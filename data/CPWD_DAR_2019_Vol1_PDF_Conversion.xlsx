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Item Index" sheetId="2" state="visible" r:id="rId2"/>
    <sheet xmlns:r="http://schemas.openxmlformats.org/officeDocument/2006/relationships" name="01_Carriage_of_Materials" sheetId="3" state="visible" r:id="rId3"/>
    <sheet xmlns:r="http://schemas.openxmlformats.org/officeDocument/2006/relationships" name="02_Earth_Work" sheetId="4" state="visible" r:id="rId4"/>
    <sheet xmlns:r="http://schemas.openxmlformats.org/officeDocument/2006/relationships" name="03_Mortars" sheetId="5" state="visible" r:id="rId5"/>
    <sheet xmlns:r="http://schemas.openxmlformats.org/officeDocument/2006/relationships" name="04_Concrete_Work" sheetId="6" state="visible" r:id="rId6"/>
    <sheet xmlns:r="http://schemas.openxmlformats.org/officeDocument/2006/relationships" name="05_RCC_Work" sheetId="7" state="visible" r:id="rId7"/>
    <sheet xmlns:r="http://schemas.openxmlformats.org/officeDocument/2006/relationships" name="06_Masonry_Work" sheetId="8" state="visible" r:id="rId8"/>
    <sheet xmlns:r="http://schemas.openxmlformats.org/officeDocument/2006/relationships" name="07_Stone_Work" sheetId="9" state="visible" r:id="rId9"/>
    <sheet xmlns:r="http://schemas.openxmlformats.org/officeDocument/2006/relationships" name="08_Cladding_Work" sheetId="10" state="visible" r:id="rId10"/>
    <sheet xmlns:r="http://schemas.openxmlformats.org/officeDocument/2006/relationships" name="09_Wood_and_PVC_Work" sheetId="11" state="visible" r:id="rId11"/>
    <sheet xmlns:r="http://schemas.openxmlformats.org/officeDocument/2006/relationships" name="10_Steel_Work" sheetId="12" state="visible" r:id="rId12"/>
    <sheet xmlns:r="http://schemas.openxmlformats.org/officeDocument/2006/relationships" name="11_Flooring" sheetId="13" state="visible" r:id="rId13"/>
    <sheet xmlns:r="http://schemas.openxmlformats.org/officeDocument/2006/relationships" name="12_Roofing" sheetId="14" state="visible" r:id="rId14"/>
  </sheets>
  <definedNames>
    <definedName name="_xlnm._FilterDatabase" localSheetId="1" hidden="1">'Item Index'!$A$3:$F$1086</definedName>
  </definedNames>
  <calcPr calcId="124519" fullCalcOnLoad="1"/>
</workbook>
</file>

<file path=xl/styles.xml><?xml version="1.0" encoding="utf-8"?>
<styleSheet xmlns="http://schemas.openxmlformats.org/spreadsheetml/2006/main">
  <numFmts count="2">
    <numFmt numFmtId="164" formatCode="#,##0.000"/>
    <numFmt numFmtId="165" formatCode="₹ #,##0.00"/>
  </numFmts>
  <fonts count="10">
    <font>
      <name val="Calibri"/>
      <family val="2"/>
      <color theme="1"/>
      <sz val="11"/>
      <scheme val="minor"/>
    </font>
    <font>
      <name val="Segoe UI"/>
      <b val="1"/>
      <color rgb="00FFFFFF"/>
      <sz val="13"/>
    </font>
    <font>
      <name val="Segoe UI"/>
      <i val="1"/>
      <color rgb="00475569"/>
      <sz val="9"/>
    </font>
    <font>
      <name val="Segoe UI"/>
      <b val="1"/>
      <color rgb="000F172A"/>
      <sz val="10"/>
    </font>
    <font>
      <name val="Segoe UI"/>
      <b val="1"/>
      <color rgb="00FFFFFF"/>
      <sz val="10"/>
    </font>
    <font>
      <name val="Segoe UI"/>
      <color rgb="000F172A"/>
      <sz val="10"/>
    </font>
    <font>
      <name val="Segoe UI"/>
      <b val="1"/>
      <color rgb="001E3A8A"/>
      <sz val="13"/>
    </font>
    <font>
      <name val="Segoe UI"/>
      <i val="1"/>
      <color rgb="00B91C1C"/>
      <sz val="9"/>
    </font>
    <font>
      <name val="Segoe UI"/>
      <color rgb="001D4ED8"/>
      <sz val="10"/>
      <u val="single"/>
    </font>
    <font>
      <name val="Segoe UI"/>
      <b val="1"/>
      <color rgb="001E3A8A"/>
      <sz val="11"/>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1F5F9"/>
        <bgColor rgb="00F1F5F9"/>
      </patternFill>
    </fill>
    <fill>
      <patternFill patternType="solid">
        <fgColor rgb="00E2E8F0"/>
        <bgColor rgb="00E2E8F0"/>
      </patternFill>
    </fill>
    <fill>
      <patternFill patternType="solid">
        <fgColor rgb="002B4C7E"/>
        <bgColor rgb="002B4C7E"/>
      </patternFill>
    </fill>
    <fill>
      <patternFill patternType="solid">
        <fgColor rgb="00FEF08A"/>
        <bgColor rgb="00FEF08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9" fillId="0" borderId="0" applyAlignment="1" pivotButton="0" quotePrefix="0" xfId="0">
      <alignment horizontal="left" vertical="center" wrapText="1"/>
    </xf>
    <xf numFmtId="0" fontId="2" fillId="0" borderId="0" applyAlignment="1" pivotButton="0" quotePrefix="0" xfId="0">
      <alignment horizontal="left" vertical="center" wrapText="1"/>
    </xf>
    <xf numFmtId="0" fontId="4" fillId="6" borderId="2" applyAlignment="1" pivotButton="0" quotePrefix="0" xfId="0">
      <alignment horizontal="center" vertical="center"/>
    </xf>
    <xf numFmtId="0" fontId="0" fillId="0" borderId="1" applyAlignment="1" pivotButton="0" quotePrefix="0" xfId="0">
      <alignment horizontal="center" vertical="center"/>
    </xf>
    <xf numFmtId="0" fontId="8" fillId="0" borderId="1" pivotButton="0" quotePrefix="0" xfId="0"/>
    <xf numFmtId="0" fontId="3" fillId="4" borderId="1" pivotButton="0" quotePrefix="0" xfId="0"/>
    <xf numFmtId="0" fontId="0" fillId="4" borderId="1" pivotButton="0" quotePrefix="0" xfId="0"/>
    <xf numFmtId="0" fontId="3" fillId="4" borderId="1" applyAlignment="1" pivotButton="0" quotePrefix="0" xfId="0">
      <alignment horizontal="center" vertical="center"/>
    </xf>
    <xf numFmtId="0" fontId="0" fillId="0" borderId="1" applyAlignment="1" pivotButton="0" quotePrefix="0" xfId="0">
      <alignment horizontal="left" vertical="center" wrapText="1"/>
    </xf>
    <xf numFmtId="0" fontId="8" fillId="0" borderId="1" applyAlignment="1" pivotButton="0" quotePrefix="0" xfId="0">
      <alignment horizontal="left" vertical="center" wrapText="1"/>
    </xf>
    <xf numFmtId="165" fontId="0" fillId="0" borderId="1" applyAlignment="1" pivotButton="0" quotePrefix="0" xfId="0">
      <alignment horizontal="left" vertical="center" wrapText="1"/>
    </xf>
    <xf numFmtId="0" fontId="8" fillId="0" borderId="0" pivotButton="0" quotePrefix="0" xfId="0"/>
    <xf numFmtId="165" fontId="0" fillId="0" borderId="0" pivotButton="0" quotePrefix="0" xfId="0"/>
    <xf numFmtId="0" fontId="2" fillId="3" borderId="0" applyAlignment="1" pivotButton="0" quotePrefix="0" xfId="0">
      <alignment horizontal="left" vertical="center"/>
    </xf>
    <xf numFmtId="0" fontId="3" fillId="4" borderId="1" applyAlignment="1" pivotButton="0" quotePrefix="0" xfId="0">
      <alignment horizontal="left" vertical="center" wrapText="1"/>
    </xf>
    <xf numFmtId="0" fontId="3" fillId="5" borderId="1" pivotButton="0" quotePrefix="0" xfId="0"/>
    <xf numFmtId="0" fontId="3" fillId="5" borderId="1" applyAlignment="1" pivotButton="0" quotePrefix="0" xfId="0">
      <alignment horizontal="left" vertical="center" wrapText="1"/>
    </xf>
    <xf numFmtId="0" fontId="0" fillId="5" borderId="1" pivotButton="0" quotePrefix="0" xfId="0"/>
    <xf numFmtId="0" fontId="2" fillId="0" borderId="0" pivotButton="0" quotePrefix="0" xfId="0"/>
    <xf numFmtId="0" fontId="0" fillId="0" borderId="1" pivotButton="0" quotePrefix="0" xfId="0"/>
    <xf numFmtId="164" fontId="0" fillId="0" borderId="1" pivotButton="0" quotePrefix="0" xfId="0"/>
    <xf numFmtId="165" fontId="0" fillId="0" borderId="1" pivotButton="0" quotePrefix="0" xfId="0"/>
    <xf numFmtId="165" fontId="3" fillId="4" borderId="1" pivotButton="0" quotePrefix="0" xfId="0"/>
    <xf numFmtId="0" fontId="5" fillId="0" borderId="1" pivotButton="0" quotePrefix="0" xfId="0"/>
    <xf numFmtId="165" fontId="5" fillId="0" borderId="1" pivotButton="0" quotePrefix="0" xfId="0"/>
    <xf numFmtId="0" fontId="2" fillId="0" borderId="1" applyAlignment="1" pivotButton="0" quotePrefix="0" xfId="0">
      <alignment horizontal="left" vertical="center" wrapText="1"/>
    </xf>
    <xf numFmtId="0" fontId="6" fillId="7" borderId="1" pivotButton="0" quotePrefix="0" xfId="0"/>
    <xf numFmtId="0" fontId="0" fillId="7" borderId="1" pivotButton="0" quotePrefix="0" xfId="0"/>
    <xf numFmtId="165" fontId="6" fillId="7" borderId="1" pivotButton="0" quotePrefix="0" xfId="0"/>
    <xf numFmtId="0" fontId="2" fillId="0" borderId="1" pivotButton="0" quotePrefix="0" xfId="0"/>
    <xf numFmtId="10" fontId="6" fillId="7" borderId="1" pivotButton="0" quotePrefix="0" xfId="0"/>
    <xf numFmtId="0" fontId="7" fillId="0" borderId="1" applyAlignment="1" pivotButton="0" quotePrefix="0" xfId="0">
      <alignment horizontal="left" vertical="center" wrapText="1"/>
    </xf>
  </cellXfs>
  <cellStyles count="1">
    <cellStyle name="Normal" xfId="0" builtinId="0" hidden="0"/>
  </cellStyles>
  <dxfs count="1">
    <dxf>
      <fill>
        <patternFill patternType="solid">
          <fgColor rgb="00FECACA"/>
          <b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Carriage_of_Materials'!A1" TargetMode="External" Id="rId1"/><Relationship Type="http://schemas.openxmlformats.org/officeDocument/2006/relationships/hyperlink" Target="#'02_Earth_Work'!A1" TargetMode="External" Id="rId2"/><Relationship Type="http://schemas.openxmlformats.org/officeDocument/2006/relationships/hyperlink" Target="#'03_Mortars'!A1" TargetMode="External" Id="rId3"/><Relationship Type="http://schemas.openxmlformats.org/officeDocument/2006/relationships/hyperlink" Target="#'04_Concrete_Work'!A1" TargetMode="External" Id="rId4"/><Relationship Type="http://schemas.openxmlformats.org/officeDocument/2006/relationships/hyperlink" Target="#'05_RCC_Work'!A1" TargetMode="External" Id="rId5"/><Relationship Type="http://schemas.openxmlformats.org/officeDocument/2006/relationships/hyperlink" Target="#'06_Masonry_Work'!A1" TargetMode="External" Id="rId6"/><Relationship Type="http://schemas.openxmlformats.org/officeDocument/2006/relationships/hyperlink" Target="#'07_Stone_Work'!A1" TargetMode="External" Id="rId7"/><Relationship Type="http://schemas.openxmlformats.org/officeDocument/2006/relationships/hyperlink" Target="#'08_Cladding_Work'!A1" TargetMode="External" Id="rId8"/><Relationship Type="http://schemas.openxmlformats.org/officeDocument/2006/relationships/hyperlink" Target="#'09_Wood_and_PVC_Work'!A1" TargetMode="External" Id="rId9"/><Relationship Type="http://schemas.openxmlformats.org/officeDocument/2006/relationships/hyperlink" Target="#'10_Steel_Work'!A1" TargetMode="External" Id="rId10"/><Relationship Type="http://schemas.openxmlformats.org/officeDocument/2006/relationships/hyperlink" Target="#'11_Flooring'!A1" TargetMode="External" Id="rId11"/><Relationship Type="http://schemas.openxmlformats.org/officeDocument/2006/relationships/hyperlink" Target="#'12_Roofing'!A1" TargetMode="External" Id="rId12"/><Relationship Type="http://schemas.openxmlformats.org/officeDocument/2006/relationships/hyperlink" Target="#'07_Stone_Work'!A24" TargetMode="External" Id="rId13"/><Relationship Type="http://schemas.openxmlformats.org/officeDocument/2006/relationships/hyperlink" Target="#'07_Stone_Work'!A154" TargetMode="External" Id="rId14"/><Relationship Type="http://schemas.openxmlformats.org/officeDocument/2006/relationships/hyperlink" Target="#'08_Cladding_Work'!A1007" TargetMode="External" Id="rId15"/><Relationship Type="http://schemas.openxmlformats.org/officeDocument/2006/relationships/hyperlink" Target="#'08_Cladding_Work'!A1007" TargetMode="External" Id="rId16"/><Relationship Type="http://schemas.openxmlformats.org/officeDocument/2006/relationships/hyperlink" Target="#'08_Cladding_Work'!A1007" TargetMode="External" Id="rId17"/><Relationship Type="http://schemas.openxmlformats.org/officeDocument/2006/relationships/hyperlink" Target="#'08_Cladding_Work'!A1007" TargetMode="External" Id="rId18"/><Relationship Type="http://schemas.openxmlformats.org/officeDocument/2006/relationships/hyperlink" Target="#'09_Wood_and_PVC_Work'!A1930" TargetMode="External" Id="rId19"/><Relationship Type="http://schemas.openxmlformats.org/officeDocument/2006/relationships/hyperlink" Target="#'09_Wood_and_PVC_Work'!A3572" TargetMode="External" Id="rId20"/><Relationship Type="http://schemas.openxmlformats.org/officeDocument/2006/relationships/hyperlink" Target="#'11_Flooring'!A1958" TargetMode="External" Id="rId21"/><Relationship Type="http://schemas.openxmlformats.org/officeDocument/2006/relationships/hyperlink" Target="#'11_Flooring'!A1958" TargetMode="External" Id="rId22"/><Relationship Type="http://schemas.openxmlformats.org/officeDocument/2006/relationships/hyperlink" Target="#'12_Roofing'!A1744" TargetMode="External" Id="rId23"/><Relationship Type="http://schemas.openxmlformats.org/officeDocument/2006/relationships/hyperlink" Target="#'12_Roofing'!A1744" TargetMode="External" Id="rId24"/></Relationships>
</file>

<file path=xl/worksheets/_rels/sheet2.xml.rels><Relationships xmlns="http://schemas.openxmlformats.org/package/2006/relationships"><Relationship Type="http://schemas.openxmlformats.org/officeDocument/2006/relationships/hyperlink" Target="#'01_Carriage_of_Materials'!A5" TargetMode="External" Id="rId1"/><Relationship Type="http://schemas.openxmlformats.org/officeDocument/2006/relationships/hyperlink" Target="#'01_Carriage_of_Materials'!A16" TargetMode="External" Id="rId2"/><Relationship Type="http://schemas.openxmlformats.org/officeDocument/2006/relationships/hyperlink" Target="#'01_Carriage_of_Materials'!A26" TargetMode="External" Id="rId3"/><Relationship Type="http://schemas.openxmlformats.org/officeDocument/2006/relationships/hyperlink" Target="#'01_Carriage_of_Materials'!A35" TargetMode="External" Id="rId4"/><Relationship Type="http://schemas.openxmlformats.org/officeDocument/2006/relationships/hyperlink" Target="#'01_Carriage_of_Materials'!A45" TargetMode="External" Id="rId5"/><Relationship Type="http://schemas.openxmlformats.org/officeDocument/2006/relationships/hyperlink" Target="#'02_Earth_Work'!A5" TargetMode="External" Id="rId6"/><Relationship Type="http://schemas.openxmlformats.org/officeDocument/2006/relationships/hyperlink" Target="#'02_Earth_Work'!A16" TargetMode="External" Id="rId7"/><Relationship Type="http://schemas.openxmlformats.org/officeDocument/2006/relationships/hyperlink" Target="#'02_Earth_Work'!A31" TargetMode="External" Id="rId8"/><Relationship Type="http://schemas.openxmlformats.org/officeDocument/2006/relationships/hyperlink" Target="#'02_Earth_Work'!A45" TargetMode="External" Id="rId9"/><Relationship Type="http://schemas.openxmlformats.org/officeDocument/2006/relationships/hyperlink" Target="#'02_Earth_Work'!A56" TargetMode="External" Id="rId10"/><Relationship Type="http://schemas.openxmlformats.org/officeDocument/2006/relationships/hyperlink" Target="#'02_Earth_Work'!A66" TargetMode="External" Id="rId11"/><Relationship Type="http://schemas.openxmlformats.org/officeDocument/2006/relationships/hyperlink" Target="#'02_Earth_Work'!A79" TargetMode="External" Id="rId12"/><Relationship Type="http://schemas.openxmlformats.org/officeDocument/2006/relationships/hyperlink" Target="#'02_Earth_Work'!A96" TargetMode="External" Id="rId13"/><Relationship Type="http://schemas.openxmlformats.org/officeDocument/2006/relationships/hyperlink" Target="#'02_Earth_Work'!A115" TargetMode="External" Id="rId14"/><Relationship Type="http://schemas.openxmlformats.org/officeDocument/2006/relationships/hyperlink" Target="#'02_Earth_Work'!A133" TargetMode="External" Id="rId15"/><Relationship Type="http://schemas.openxmlformats.org/officeDocument/2006/relationships/hyperlink" Target="#'02_Earth_Work'!A146" TargetMode="External" Id="rId16"/><Relationship Type="http://schemas.openxmlformats.org/officeDocument/2006/relationships/hyperlink" Target="#'02_Earth_Work'!A163" TargetMode="External" Id="rId17"/><Relationship Type="http://schemas.openxmlformats.org/officeDocument/2006/relationships/hyperlink" Target="#'02_Earth_Work'!A182" TargetMode="External" Id="rId18"/><Relationship Type="http://schemas.openxmlformats.org/officeDocument/2006/relationships/hyperlink" Target="#'02_Earth_Work'!A200" TargetMode="External" Id="rId19"/><Relationship Type="http://schemas.openxmlformats.org/officeDocument/2006/relationships/hyperlink" Target="#'02_Earth_Work'!A210" TargetMode="External" Id="rId20"/><Relationship Type="http://schemas.openxmlformats.org/officeDocument/2006/relationships/hyperlink" Target="#'02_Earth_Work'!A220" TargetMode="External" Id="rId21"/><Relationship Type="http://schemas.openxmlformats.org/officeDocument/2006/relationships/hyperlink" Target="#'02_Earth_Work'!A229" TargetMode="External" Id="rId22"/><Relationship Type="http://schemas.openxmlformats.org/officeDocument/2006/relationships/hyperlink" Target="#'02_Earth_Work'!A233" TargetMode="External" Id="rId23"/><Relationship Type="http://schemas.openxmlformats.org/officeDocument/2006/relationships/hyperlink" Target="#'02_Earth_Work'!A238" TargetMode="External" Id="rId24"/><Relationship Type="http://schemas.openxmlformats.org/officeDocument/2006/relationships/hyperlink" Target="#'02_Earth_Work'!A249" TargetMode="External" Id="rId25"/><Relationship Type="http://schemas.openxmlformats.org/officeDocument/2006/relationships/hyperlink" Target="#'02_Earth_Work'!A260" TargetMode="External" Id="rId26"/><Relationship Type="http://schemas.openxmlformats.org/officeDocument/2006/relationships/hyperlink" Target="#'02_Earth_Work'!A271" TargetMode="External" Id="rId27"/><Relationship Type="http://schemas.openxmlformats.org/officeDocument/2006/relationships/hyperlink" Target="#'02_Earth_Work'!A282" TargetMode="External" Id="rId28"/><Relationship Type="http://schemas.openxmlformats.org/officeDocument/2006/relationships/hyperlink" Target="#'02_Earth_Work'!A293" TargetMode="External" Id="rId29"/><Relationship Type="http://schemas.openxmlformats.org/officeDocument/2006/relationships/hyperlink" Target="#'02_Earth_Work'!A304" TargetMode="External" Id="rId30"/><Relationship Type="http://schemas.openxmlformats.org/officeDocument/2006/relationships/hyperlink" Target="#'02_Earth_Work'!A315" TargetMode="External" Id="rId31"/><Relationship Type="http://schemas.openxmlformats.org/officeDocument/2006/relationships/hyperlink" Target="#'02_Earth_Work'!A326" TargetMode="External" Id="rId32"/><Relationship Type="http://schemas.openxmlformats.org/officeDocument/2006/relationships/hyperlink" Target="#'02_Earth_Work'!A336" TargetMode="External" Id="rId33"/><Relationship Type="http://schemas.openxmlformats.org/officeDocument/2006/relationships/hyperlink" Target="#'02_Earth_Work'!A340" TargetMode="External" Id="rId34"/><Relationship Type="http://schemas.openxmlformats.org/officeDocument/2006/relationships/hyperlink" Target="#'02_Earth_Work'!A345" TargetMode="External" Id="rId35"/><Relationship Type="http://schemas.openxmlformats.org/officeDocument/2006/relationships/hyperlink" Target="#'02_Earth_Work'!A361" TargetMode="External" Id="rId36"/><Relationship Type="http://schemas.openxmlformats.org/officeDocument/2006/relationships/hyperlink" Target="#'02_Earth_Work'!A377" TargetMode="External" Id="rId37"/><Relationship Type="http://schemas.openxmlformats.org/officeDocument/2006/relationships/hyperlink" Target="#'02_Earth_Work'!A393" TargetMode="External" Id="rId38"/><Relationship Type="http://schemas.openxmlformats.org/officeDocument/2006/relationships/hyperlink" Target="#'02_Earth_Work'!A409" TargetMode="External" Id="rId39"/><Relationship Type="http://schemas.openxmlformats.org/officeDocument/2006/relationships/hyperlink" Target="#'02_Earth_Work'!A425" TargetMode="External" Id="rId40"/><Relationship Type="http://schemas.openxmlformats.org/officeDocument/2006/relationships/hyperlink" Target="#'02_Earth_Work'!A441" TargetMode="External" Id="rId41"/><Relationship Type="http://schemas.openxmlformats.org/officeDocument/2006/relationships/hyperlink" Target="#'02_Earth_Work'!A457" TargetMode="External" Id="rId42"/><Relationship Type="http://schemas.openxmlformats.org/officeDocument/2006/relationships/hyperlink" Target="#'02_Earth_Work'!A473" TargetMode="External" Id="rId43"/><Relationship Type="http://schemas.openxmlformats.org/officeDocument/2006/relationships/hyperlink" Target="#'02_Earth_Work'!A488" TargetMode="External" Id="rId44"/><Relationship Type="http://schemas.openxmlformats.org/officeDocument/2006/relationships/hyperlink" Target="#'02_Earth_Work'!A501" TargetMode="External" Id="rId45"/><Relationship Type="http://schemas.openxmlformats.org/officeDocument/2006/relationships/hyperlink" Target="#'02_Earth_Work'!A517" TargetMode="External" Id="rId46"/><Relationship Type="http://schemas.openxmlformats.org/officeDocument/2006/relationships/hyperlink" Target="#'02_Earth_Work'!A533" TargetMode="External" Id="rId47"/><Relationship Type="http://schemas.openxmlformats.org/officeDocument/2006/relationships/hyperlink" Target="#'02_Earth_Work'!A549" TargetMode="External" Id="rId48"/><Relationship Type="http://schemas.openxmlformats.org/officeDocument/2006/relationships/hyperlink" Target="#'02_Earth_Work'!A565" TargetMode="External" Id="rId49"/><Relationship Type="http://schemas.openxmlformats.org/officeDocument/2006/relationships/hyperlink" Target="#'02_Earth_Work'!A581" TargetMode="External" Id="rId50"/><Relationship Type="http://schemas.openxmlformats.org/officeDocument/2006/relationships/hyperlink" Target="#'02_Earth_Work'!A597" TargetMode="External" Id="rId51"/><Relationship Type="http://schemas.openxmlformats.org/officeDocument/2006/relationships/hyperlink" Target="#'02_Earth_Work'!A612" TargetMode="External" Id="rId52"/><Relationship Type="http://schemas.openxmlformats.org/officeDocument/2006/relationships/hyperlink" Target="#'02_Earth_Work'!A627" TargetMode="External" Id="rId53"/><Relationship Type="http://schemas.openxmlformats.org/officeDocument/2006/relationships/hyperlink" Target="#'02_Earth_Work'!A641" TargetMode="External" Id="rId54"/><Relationship Type="http://schemas.openxmlformats.org/officeDocument/2006/relationships/hyperlink" Target="#'02_Earth_Work'!A654" TargetMode="External" Id="rId55"/><Relationship Type="http://schemas.openxmlformats.org/officeDocument/2006/relationships/hyperlink" Target="#'02_Earth_Work'!A659" TargetMode="External" Id="rId56"/><Relationship Type="http://schemas.openxmlformats.org/officeDocument/2006/relationships/hyperlink" Target="#'02_Earth_Work'!A663" TargetMode="External" Id="rId57"/><Relationship Type="http://schemas.openxmlformats.org/officeDocument/2006/relationships/hyperlink" Target="#'02_Earth_Work'!A674" TargetMode="External" Id="rId58"/><Relationship Type="http://schemas.openxmlformats.org/officeDocument/2006/relationships/hyperlink" Target="#'02_Earth_Work'!A688" TargetMode="External" Id="rId59"/><Relationship Type="http://schemas.openxmlformats.org/officeDocument/2006/relationships/hyperlink" Target="#'02_Earth_Work'!A699" TargetMode="External" Id="rId60"/><Relationship Type="http://schemas.openxmlformats.org/officeDocument/2006/relationships/hyperlink" Target="#'02_Earth_Work'!A709" TargetMode="External" Id="rId61"/><Relationship Type="http://schemas.openxmlformats.org/officeDocument/2006/relationships/hyperlink" Target="#'02_Earth_Work'!A723" TargetMode="External" Id="rId62"/><Relationship Type="http://schemas.openxmlformats.org/officeDocument/2006/relationships/hyperlink" Target="#'02_Earth_Work'!A734" TargetMode="External" Id="rId63"/><Relationship Type="http://schemas.openxmlformats.org/officeDocument/2006/relationships/hyperlink" Target="#'02_Earth_Work'!A745" TargetMode="External" Id="rId64"/><Relationship Type="http://schemas.openxmlformats.org/officeDocument/2006/relationships/hyperlink" Target="#'02_Earth_Work'!A756" TargetMode="External" Id="rId65"/><Relationship Type="http://schemas.openxmlformats.org/officeDocument/2006/relationships/hyperlink" Target="#'02_Earth_Work'!A767" TargetMode="External" Id="rId66"/><Relationship Type="http://schemas.openxmlformats.org/officeDocument/2006/relationships/hyperlink" Target="#'02_Earth_Work'!A777" TargetMode="External" Id="rId67"/><Relationship Type="http://schemas.openxmlformats.org/officeDocument/2006/relationships/hyperlink" Target="#'02_Earth_Work'!A787" TargetMode="External" Id="rId68"/><Relationship Type="http://schemas.openxmlformats.org/officeDocument/2006/relationships/hyperlink" Target="#'02_Earth_Work'!A797" TargetMode="External" Id="rId69"/><Relationship Type="http://schemas.openxmlformats.org/officeDocument/2006/relationships/hyperlink" Target="#'02_Earth_Work'!A806" TargetMode="External" Id="rId70"/><Relationship Type="http://schemas.openxmlformats.org/officeDocument/2006/relationships/hyperlink" Target="#'02_Earth_Work'!A816" TargetMode="External" Id="rId71"/><Relationship Type="http://schemas.openxmlformats.org/officeDocument/2006/relationships/hyperlink" Target="#'02_Earth_Work'!A828" TargetMode="External" Id="rId72"/><Relationship Type="http://schemas.openxmlformats.org/officeDocument/2006/relationships/hyperlink" Target="#'02_Earth_Work'!A840" TargetMode="External" Id="rId73"/><Relationship Type="http://schemas.openxmlformats.org/officeDocument/2006/relationships/hyperlink" Target="#'02_Earth_Work'!A852" TargetMode="External" Id="rId74"/><Relationship Type="http://schemas.openxmlformats.org/officeDocument/2006/relationships/hyperlink" Target="#'02_Earth_Work'!A864" TargetMode="External" Id="rId75"/><Relationship Type="http://schemas.openxmlformats.org/officeDocument/2006/relationships/hyperlink" Target="#'02_Earth_Work'!A876" TargetMode="External" Id="rId76"/><Relationship Type="http://schemas.openxmlformats.org/officeDocument/2006/relationships/hyperlink" Target="#'02_Earth_Work'!A887" TargetMode="External" Id="rId77"/><Relationship Type="http://schemas.openxmlformats.org/officeDocument/2006/relationships/hyperlink" Target="#'02_Earth_Work'!A898" TargetMode="External" Id="rId78"/><Relationship Type="http://schemas.openxmlformats.org/officeDocument/2006/relationships/hyperlink" Target="#'02_Earth_Work'!A909" TargetMode="External" Id="rId79"/><Relationship Type="http://schemas.openxmlformats.org/officeDocument/2006/relationships/hyperlink" Target="#'02_Earth_Work'!A921" TargetMode="External" Id="rId80"/><Relationship Type="http://schemas.openxmlformats.org/officeDocument/2006/relationships/hyperlink" Target="#'02_Earth_Work'!A933" TargetMode="External" Id="rId81"/><Relationship Type="http://schemas.openxmlformats.org/officeDocument/2006/relationships/hyperlink" Target="#'02_Earth_Work'!A945" TargetMode="External" Id="rId82"/><Relationship Type="http://schemas.openxmlformats.org/officeDocument/2006/relationships/hyperlink" Target="#'02_Earth_Work'!A955" TargetMode="External" Id="rId83"/><Relationship Type="http://schemas.openxmlformats.org/officeDocument/2006/relationships/hyperlink" Target="#'02_Earth_Work'!A965" TargetMode="External" Id="rId84"/><Relationship Type="http://schemas.openxmlformats.org/officeDocument/2006/relationships/hyperlink" Target="#'03_Mortars'!A4" TargetMode="External" Id="rId85"/><Relationship Type="http://schemas.openxmlformats.org/officeDocument/2006/relationships/hyperlink" Target="#'03_Mortars'!A19" TargetMode="External" Id="rId86"/><Relationship Type="http://schemas.openxmlformats.org/officeDocument/2006/relationships/hyperlink" Target="#'03_Mortars'!A34" TargetMode="External" Id="rId87"/><Relationship Type="http://schemas.openxmlformats.org/officeDocument/2006/relationships/hyperlink" Target="#'03_Mortars'!A49" TargetMode="External" Id="rId88"/><Relationship Type="http://schemas.openxmlformats.org/officeDocument/2006/relationships/hyperlink" Target="#'03_Mortars'!A64" TargetMode="External" Id="rId89"/><Relationship Type="http://schemas.openxmlformats.org/officeDocument/2006/relationships/hyperlink" Target="#'03_Mortars'!A79" TargetMode="External" Id="rId90"/><Relationship Type="http://schemas.openxmlformats.org/officeDocument/2006/relationships/hyperlink" Target="#'03_Mortars'!A94" TargetMode="External" Id="rId91"/><Relationship Type="http://schemas.openxmlformats.org/officeDocument/2006/relationships/hyperlink" Target="#'03_Mortars'!A109" TargetMode="External" Id="rId92"/><Relationship Type="http://schemas.openxmlformats.org/officeDocument/2006/relationships/hyperlink" Target="#'03_Mortars'!A124" TargetMode="External" Id="rId93"/><Relationship Type="http://schemas.openxmlformats.org/officeDocument/2006/relationships/hyperlink" Target="#'03_Mortars'!A139" TargetMode="External" Id="rId94"/><Relationship Type="http://schemas.openxmlformats.org/officeDocument/2006/relationships/hyperlink" Target="#'03_Mortars'!A154" TargetMode="External" Id="rId95"/><Relationship Type="http://schemas.openxmlformats.org/officeDocument/2006/relationships/hyperlink" Target="#'03_Mortars'!A169" TargetMode="External" Id="rId96"/><Relationship Type="http://schemas.openxmlformats.org/officeDocument/2006/relationships/hyperlink" Target="#'03_Mortars'!A184" TargetMode="External" Id="rId97"/><Relationship Type="http://schemas.openxmlformats.org/officeDocument/2006/relationships/hyperlink" Target="#'03_Mortars'!A199" TargetMode="External" Id="rId98"/><Relationship Type="http://schemas.openxmlformats.org/officeDocument/2006/relationships/hyperlink" Target="#'03_Mortars'!A214" TargetMode="External" Id="rId99"/><Relationship Type="http://schemas.openxmlformats.org/officeDocument/2006/relationships/hyperlink" Target="#'03_Mortars'!A229" TargetMode="External" Id="rId100"/><Relationship Type="http://schemas.openxmlformats.org/officeDocument/2006/relationships/hyperlink" Target="#'03_Mortars'!A244" TargetMode="External" Id="rId101"/><Relationship Type="http://schemas.openxmlformats.org/officeDocument/2006/relationships/hyperlink" Target="#'03_Mortars'!A259" TargetMode="External" Id="rId102"/><Relationship Type="http://schemas.openxmlformats.org/officeDocument/2006/relationships/hyperlink" Target="#'03_Mortars'!A270" TargetMode="External" Id="rId103"/><Relationship Type="http://schemas.openxmlformats.org/officeDocument/2006/relationships/hyperlink" Target="#'04_Concrete_Work'!A5" TargetMode="External" Id="rId104"/><Relationship Type="http://schemas.openxmlformats.org/officeDocument/2006/relationships/hyperlink" Target="#'04_Concrete_Work'!A27" TargetMode="External" Id="rId105"/><Relationship Type="http://schemas.openxmlformats.org/officeDocument/2006/relationships/hyperlink" Target="#'04_Concrete_Work'!A49" TargetMode="External" Id="rId106"/><Relationship Type="http://schemas.openxmlformats.org/officeDocument/2006/relationships/hyperlink" Target="#'04_Concrete_Work'!A73" TargetMode="External" Id="rId107"/><Relationship Type="http://schemas.openxmlformats.org/officeDocument/2006/relationships/hyperlink" Target="#'04_Concrete_Work'!A95" TargetMode="External" Id="rId108"/><Relationship Type="http://schemas.openxmlformats.org/officeDocument/2006/relationships/hyperlink" Target="#'04_Concrete_Work'!A118" TargetMode="External" Id="rId109"/><Relationship Type="http://schemas.openxmlformats.org/officeDocument/2006/relationships/hyperlink" Target="#'04_Concrete_Work'!A141" TargetMode="External" Id="rId110"/><Relationship Type="http://schemas.openxmlformats.org/officeDocument/2006/relationships/hyperlink" Target="#'04_Concrete_Work'!A164" TargetMode="External" Id="rId111"/><Relationship Type="http://schemas.openxmlformats.org/officeDocument/2006/relationships/hyperlink" Target="#'04_Concrete_Work'!A187" TargetMode="External" Id="rId112"/><Relationship Type="http://schemas.openxmlformats.org/officeDocument/2006/relationships/hyperlink" Target="#'04_Concrete_Work'!A212" TargetMode="External" Id="rId113"/><Relationship Type="http://schemas.openxmlformats.org/officeDocument/2006/relationships/hyperlink" Target="#'04_Concrete_Work'!A237" TargetMode="External" Id="rId114"/><Relationship Type="http://schemas.openxmlformats.org/officeDocument/2006/relationships/hyperlink" Target="#'04_Concrete_Work'!A263" TargetMode="External" Id="rId115"/><Relationship Type="http://schemas.openxmlformats.org/officeDocument/2006/relationships/hyperlink" Target="#'04_Concrete_Work'!A289" TargetMode="External" Id="rId116"/><Relationship Type="http://schemas.openxmlformats.org/officeDocument/2006/relationships/hyperlink" Target="#'04_Concrete_Work'!A315" TargetMode="External" Id="rId117"/><Relationship Type="http://schemas.openxmlformats.org/officeDocument/2006/relationships/hyperlink" Target="#'04_Concrete_Work'!A341" TargetMode="External" Id="rId118"/><Relationship Type="http://schemas.openxmlformats.org/officeDocument/2006/relationships/hyperlink" Target="#'04_Concrete_Work'!A362" TargetMode="External" Id="rId119"/><Relationship Type="http://schemas.openxmlformats.org/officeDocument/2006/relationships/hyperlink" Target="#'04_Concrete_Work'!A382" TargetMode="External" Id="rId120"/><Relationship Type="http://schemas.openxmlformats.org/officeDocument/2006/relationships/hyperlink" Target="#'04_Concrete_Work'!A401" TargetMode="External" Id="rId121"/><Relationship Type="http://schemas.openxmlformats.org/officeDocument/2006/relationships/hyperlink" Target="#'04_Concrete_Work'!A410" TargetMode="External" Id="rId122"/><Relationship Type="http://schemas.openxmlformats.org/officeDocument/2006/relationships/hyperlink" Target="#'04_Concrete_Work'!A425" TargetMode="External" Id="rId123"/><Relationship Type="http://schemas.openxmlformats.org/officeDocument/2006/relationships/hyperlink" Target="#'04_Concrete_Work'!A439" TargetMode="External" Id="rId124"/><Relationship Type="http://schemas.openxmlformats.org/officeDocument/2006/relationships/hyperlink" Target="#'04_Concrete_Work'!A456" TargetMode="External" Id="rId125"/><Relationship Type="http://schemas.openxmlformats.org/officeDocument/2006/relationships/hyperlink" Target="#'04_Concrete_Work'!A470" TargetMode="External" Id="rId126"/><Relationship Type="http://schemas.openxmlformats.org/officeDocument/2006/relationships/hyperlink" Target="#'04_Concrete_Work'!A485" TargetMode="External" Id="rId127"/><Relationship Type="http://schemas.openxmlformats.org/officeDocument/2006/relationships/hyperlink" Target="#'04_Concrete_Work'!A499" TargetMode="External" Id="rId128"/><Relationship Type="http://schemas.openxmlformats.org/officeDocument/2006/relationships/hyperlink" Target="#'04_Concrete_Work'!A511" TargetMode="External" Id="rId129"/><Relationship Type="http://schemas.openxmlformats.org/officeDocument/2006/relationships/hyperlink" Target="#'04_Concrete_Work'!A521" TargetMode="External" Id="rId130"/><Relationship Type="http://schemas.openxmlformats.org/officeDocument/2006/relationships/hyperlink" Target="#'04_Concrete_Work'!A537" TargetMode="External" Id="rId131"/><Relationship Type="http://schemas.openxmlformats.org/officeDocument/2006/relationships/hyperlink" Target="#'04_Concrete_Work'!A546" TargetMode="External" Id="rId132"/><Relationship Type="http://schemas.openxmlformats.org/officeDocument/2006/relationships/hyperlink" Target="#'04_Concrete_Work'!A556" TargetMode="External" Id="rId133"/><Relationship Type="http://schemas.openxmlformats.org/officeDocument/2006/relationships/hyperlink" Target="#'04_Concrete_Work'!A568" TargetMode="External" Id="rId134"/><Relationship Type="http://schemas.openxmlformats.org/officeDocument/2006/relationships/hyperlink" Target="#'04_Concrete_Work'!A597" TargetMode="External" Id="rId135"/><Relationship Type="http://schemas.openxmlformats.org/officeDocument/2006/relationships/hyperlink" Target="#'04_Concrete_Work'!A608" TargetMode="External" Id="rId136"/><Relationship Type="http://schemas.openxmlformats.org/officeDocument/2006/relationships/hyperlink" Target="#'04_Concrete_Work'!A637" TargetMode="External" Id="rId137"/><Relationship Type="http://schemas.openxmlformats.org/officeDocument/2006/relationships/hyperlink" Target="#'04_Concrete_Work'!A666" TargetMode="External" Id="rId138"/><Relationship Type="http://schemas.openxmlformats.org/officeDocument/2006/relationships/hyperlink" Target="#'04_Concrete_Work'!A695" TargetMode="External" Id="rId139"/><Relationship Type="http://schemas.openxmlformats.org/officeDocument/2006/relationships/hyperlink" Target="#'04_Concrete_Work'!A724" TargetMode="External" Id="rId140"/><Relationship Type="http://schemas.openxmlformats.org/officeDocument/2006/relationships/hyperlink" Target="#'04_Concrete_Work'!A751" TargetMode="External" Id="rId141"/><Relationship Type="http://schemas.openxmlformats.org/officeDocument/2006/relationships/hyperlink" Target="#'04_Concrete_Work'!A778" TargetMode="External" Id="rId142"/><Relationship Type="http://schemas.openxmlformats.org/officeDocument/2006/relationships/hyperlink" Target="#'04_Concrete_Work'!A805" TargetMode="External" Id="rId143"/><Relationship Type="http://schemas.openxmlformats.org/officeDocument/2006/relationships/hyperlink" Target="#'05_RCC_Work'!A5" TargetMode="External" Id="rId144"/><Relationship Type="http://schemas.openxmlformats.org/officeDocument/2006/relationships/hyperlink" Target="#'05_RCC_Work'!A27" TargetMode="External" Id="rId145"/><Relationship Type="http://schemas.openxmlformats.org/officeDocument/2006/relationships/hyperlink" Target="#'05_RCC_Work'!A49" TargetMode="External" Id="rId146"/><Relationship Type="http://schemas.openxmlformats.org/officeDocument/2006/relationships/hyperlink" Target="#'05_RCC_Work'!A74" TargetMode="External" Id="rId147"/><Relationship Type="http://schemas.openxmlformats.org/officeDocument/2006/relationships/hyperlink" Target="#'05_RCC_Work'!A96" TargetMode="External" Id="rId148"/><Relationship Type="http://schemas.openxmlformats.org/officeDocument/2006/relationships/hyperlink" Target="#'05_RCC_Work'!A111" TargetMode="External" Id="rId149"/><Relationship Type="http://schemas.openxmlformats.org/officeDocument/2006/relationships/hyperlink" Target="#'05_RCC_Work'!A137" TargetMode="External" Id="rId150"/><Relationship Type="http://schemas.openxmlformats.org/officeDocument/2006/relationships/hyperlink" Target="#'05_RCC_Work'!A147" TargetMode="External" Id="rId151"/><Relationship Type="http://schemas.openxmlformats.org/officeDocument/2006/relationships/hyperlink" Target="#'05_RCC_Work'!A157" TargetMode="External" Id="rId152"/><Relationship Type="http://schemas.openxmlformats.org/officeDocument/2006/relationships/hyperlink" Target="#'05_RCC_Work'!A187" TargetMode="External" Id="rId153"/><Relationship Type="http://schemas.openxmlformats.org/officeDocument/2006/relationships/hyperlink" Target="#'05_RCC_Work'!A208" TargetMode="External" Id="rId154"/><Relationship Type="http://schemas.openxmlformats.org/officeDocument/2006/relationships/hyperlink" Target="#'05_RCC_Work'!A228" TargetMode="External" Id="rId155"/><Relationship Type="http://schemas.openxmlformats.org/officeDocument/2006/relationships/hyperlink" Target="#'05_RCC_Work'!A246" TargetMode="External" Id="rId156"/><Relationship Type="http://schemas.openxmlformats.org/officeDocument/2006/relationships/hyperlink" Target="#'05_RCC_Work'!A264" TargetMode="External" Id="rId157"/><Relationship Type="http://schemas.openxmlformats.org/officeDocument/2006/relationships/hyperlink" Target="#'05_RCC_Work'!A282" TargetMode="External" Id="rId158"/><Relationship Type="http://schemas.openxmlformats.org/officeDocument/2006/relationships/hyperlink" Target="#'05_RCC_Work'!A301" TargetMode="External" Id="rId159"/><Relationship Type="http://schemas.openxmlformats.org/officeDocument/2006/relationships/hyperlink" Target="#'05_RCC_Work'!A317" TargetMode="External" Id="rId160"/><Relationship Type="http://schemas.openxmlformats.org/officeDocument/2006/relationships/hyperlink" Target="#'05_RCC_Work'!A328" TargetMode="External" Id="rId161"/><Relationship Type="http://schemas.openxmlformats.org/officeDocument/2006/relationships/hyperlink" Target="#'05_RCC_Work'!A345" TargetMode="External" Id="rId162"/><Relationship Type="http://schemas.openxmlformats.org/officeDocument/2006/relationships/hyperlink" Target="#'05_RCC_Work'!A363" TargetMode="External" Id="rId163"/><Relationship Type="http://schemas.openxmlformats.org/officeDocument/2006/relationships/hyperlink" Target="#'05_RCC_Work'!A383" TargetMode="External" Id="rId164"/><Relationship Type="http://schemas.openxmlformats.org/officeDocument/2006/relationships/hyperlink" Target="#'05_RCC_Work'!A396" TargetMode="External" Id="rId165"/><Relationship Type="http://schemas.openxmlformats.org/officeDocument/2006/relationships/hyperlink" Target="#'05_RCC_Work'!A412" TargetMode="External" Id="rId166"/><Relationship Type="http://schemas.openxmlformats.org/officeDocument/2006/relationships/hyperlink" Target="#'05_RCC_Work'!A434" TargetMode="External" Id="rId167"/><Relationship Type="http://schemas.openxmlformats.org/officeDocument/2006/relationships/hyperlink" Target="#'05_RCC_Work'!A450" TargetMode="External" Id="rId168"/><Relationship Type="http://schemas.openxmlformats.org/officeDocument/2006/relationships/hyperlink" Target="#'05_RCC_Work'!A465" TargetMode="External" Id="rId169"/><Relationship Type="http://schemas.openxmlformats.org/officeDocument/2006/relationships/hyperlink" Target="#'05_RCC_Work'!A481" TargetMode="External" Id="rId170"/><Relationship Type="http://schemas.openxmlformats.org/officeDocument/2006/relationships/hyperlink" Target="#'05_RCC_Work'!A497" TargetMode="External" Id="rId171"/><Relationship Type="http://schemas.openxmlformats.org/officeDocument/2006/relationships/hyperlink" Target="#'05_RCC_Work'!A513" TargetMode="External" Id="rId172"/><Relationship Type="http://schemas.openxmlformats.org/officeDocument/2006/relationships/hyperlink" Target="#'05_RCC_Work'!A536" TargetMode="External" Id="rId173"/><Relationship Type="http://schemas.openxmlformats.org/officeDocument/2006/relationships/hyperlink" Target="#'05_RCC_Work'!A559" TargetMode="External" Id="rId174"/><Relationship Type="http://schemas.openxmlformats.org/officeDocument/2006/relationships/hyperlink" Target="#'05_RCC_Work'!A573" TargetMode="External" Id="rId175"/><Relationship Type="http://schemas.openxmlformats.org/officeDocument/2006/relationships/hyperlink" Target="#'05_RCC_Work'!A587" TargetMode="External" Id="rId176"/><Relationship Type="http://schemas.openxmlformats.org/officeDocument/2006/relationships/hyperlink" Target="#'05_RCC_Work'!A601" TargetMode="External" Id="rId177"/><Relationship Type="http://schemas.openxmlformats.org/officeDocument/2006/relationships/hyperlink" Target="#'05_RCC_Work'!A615" TargetMode="External" Id="rId178"/><Relationship Type="http://schemas.openxmlformats.org/officeDocument/2006/relationships/hyperlink" Target="#'05_RCC_Work'!A631" TargetMode="External" Id="rId179"/><Relationship Type="http://schemas.openxmlformats.org/officeDocument/2006/relationships/hyperlink" Target="#'05_RCC_Work'!A645" TargetMode="External" Id="rId180"/><Relationship Type="http://schemas.openxmlformats.org/officeDocument/2006/relationships/hyperlink" Target="#'05_RCC_Work'!A660" TargetMode="External" Id="rId181"/><Relationship Type="http://schemas.openxmlformats.org/officeDocument/2006/relationships/hyperlink" Target="#'05_RCC_Work'!A682" TargetMode="External" Id="rId182"/><Relationship Type="http://schemas.openxmlformats.org/officeDocument/2006/relationships/hyperlink" Target="#'05_RCC_Work'!A700" TargetMode="External" Id="rId183"/><Relationship Type="http://schemas.openxmlformats.org/officeDocument/2006/relationships/hyperlink" Target="#'05_RCC_Work'!A719" TargetMode="External" Id="rId184"/><Relationship Type="http://schemas.openxmlformats.org/officeDocument/2006/relationships/hyperlink" Target="#'05_RCC_Work'!A739" TargetMode="External" Id="rId185"/><Relationship Type="http://schemas.openxmlformats.org/officeDocument/2006/relationships/hyperlink" Target="#'05_RCC_Work'!A754" TargetMode="External" Id="rId186"/><Relationship Type="http://schemas.openxmlformats.org/officeDocument/2006/relationships/hyperlink" Target="#'05_RCC_Work'!A769" TargetMode="External" Id="rId187"/><Relationship Type="http://schemas.openxmlformats.org/officeDocument/2006/relationships/hyperlink" Target="#'05_RCC_Work'!A783" TargetMode="External" Id="rId188"/><Relationship Type="http://schemas.openxmlformats.org/officeDocument/2006/relationships/hyperlink" Target="#'05_RCC_Work'!A799" TargetMode="External" Id="rId189"/><Relationship Type="http://schemas.openxmlformats.org/officeDocument/2006/relationships/hyperlink" Target="#'05_RCC_Work'!A814" TargetMode="External" Id="rId190"/><Relationship Type="http://schemas.openxmlformats.org/officeDocument/2006/relationships/hyperlink" Target="#'05_RCC_Work'!A828" TargetMode="External" Id="rId191"/><Relationship Type="http://schemas.openxmlformats.org/officeDocument/2006/relationships/hyperlink" Target="#'05_RCC_Work'!A843" TargetMode="External" Id="rId192"/><Relationship Type="http://schemas.openxmlformats.org/officeDocument/2006/relationships/hyperlink" Target="#'05_RCC_Work'!A857" TargetMode="External" Id="rId193"/><Relationship Type="http://schemas.openxmlformats.org/officeDocument/2006/relationships/hyperlink" Target="#'05_RCC_Work'!A872" TargetMode="External" Id="rId194"/><Relationship Type="http://schemas.openxmlformats.org/officeDocument/2006/relationships/hyperlink" Target="#'05_RCC_Work'!A887" TargetMode="External" Id="rId195"/><Relationship Type="http://schemas.openxmlformats.org/officeDocument/2006/relationships/hyperlink" Target="#'05_RCC_Work'!A902" TargetMode="External" Id="rId196"/><Relationship Type="http://schemas.openxmlformats.org/officeDocument/2006/relationships/hyperlink" Target="#'05_RCC_Work'!A917" TargetMode="External" Id="rId197"/><Relationship Type="http://schemas.openxmlformats.org/officeDocument/2006/relationships/hyperlink" Target="#'05_RCC_Work'!A932" TargetMode="External" Id="rId198"/><Relationship Type="http://schemas.openxmlformats.org/officeDocument/2006/relationships/hyperlink" Target="#'05_RCC_Work'!A946" TargetMode="External" Id="rId199"/><Relationship Type="http://schemas.openxmlformats.org/officeDocument/2006/relationships/hyperlink" Target="#'05_RCC_Work'!A961" TargetMode="External" Id="rId200"/><Relationship Type="http://schemas.openxmlformats.org/officeDocument/2006/relationships/hyperlink" Target="#'05_RCC_Work'!A976" TargetMode="External" Id="rId201"/><Relationship Type="http://schemas.openxmlformats.org/officeDocument/2006/relationships/hyperlink" Target="#'05_RCC_Work'!A991" TargetMode="External" Id="rId202"/><Relationship Type="http://schemas.openxmlformats.org/officeDocument/2006/relationships/hyperlink" Target="#'05_RCC_Work'!A1006" TargetMode="External" Id="rId203"/><Relationship Type="http://schemas.openxmlformats.org/officeDocument/2006/relationships/hyperlink" Target="#'05_RCC_Work'!A1022" TargetMode="External" Id="rId204"/><Relationship Type="http://schemas.openxmlformats.org/officeDocument/2006/relationships/hyperlink" Target="#'05_RCC_Work'!A1037" TargetMode="External" Id="rId205"/><Relationship Type="http://schemas.openxmlformats.org/officeDocument/2006/relationships/hyperlink" Target="#'05_RCC_Work'!A1051" TargetMode="External" Id="rId206"/><Relationship Type="http://schemas.openxmlformats.org/officeDocument/2006/relationships/hyperlink" Target="#'05_RCC_Work'!A1070" TargetMode="External" Id="rId207"/><Relationship Type="http://schemas.openxmlformats.org/officeDocument/2006/relationships/hyperlink" Target="#'05_RCC_Work'!A1081" TargetMode="External" Id="rId208"/><Relationship Type="http://schemas.openxmlformats.org/officeDocument/2006/relationships/hyperlink" Target="#'05_RCC_Work'!A1097" TargetMode="External" Id="rId209"/><Relationship Type="http://schemas.openxmlformats.org/officeDocument/2006/relationships/hyperlink" Target="#'05_RCC_Work'!A1117" TargetMode="External" Id="rId210"/><Relationship Type="http://schemas.openxmlformats.org/officeDocument/2006/relationships/hyperlink" Target="#'05_RCC_Work'!A1135" TargetMode="External" Id="rId211"/><Relationship Type="http://schemas.openxmlformats.org/officeDocument/2006/relationships/hyperlink" Target="#'05_RCC_Work'!A1150" TargetMode="External" Id="rId212"/><Relationship Type="http://schemas.openxmlformats.org/officeDocument/2006/relationships/hyperlink" Target="#'05_RCC_Work'!A1165" TargetMode="External" Id="rId213"/><Relationship Type="http://schemas.openxmlformats.org/officeDocument/2006/relationships/hyperlink" Target="#'05_RCC_Work'!A1181" TargetMode="External" Id="rId214"/><Relationship Type="http://schemas.openxmlformats.org/officeDocument/2006/relationships/hyperlink" Target="#'05_RCC_Work'!A1197" TargetMode="External" Id="rId215"/><Relationship Type="http://schemas.openxmlformats.org/officeDocument/2006/relationships/hyperlink" Target="#'05_RCC_Work'!A1212" TargetMode="External" Id="rId216"/><Relationship Type="http://schemas.openxmlformats.org/officeDocument/2006/relationships/hyperlink" Target="#'05_RCC_Work'!A1225" TargetMode="External" Id="rId217"/><Relationship Type="http://schemas.openxmlformats.org/officeDocument/2006/relationships/hyperlink" Target="#'05_RCC_Work'!A1237" TargetMode="External" Id="rId218"/><Relationship Type="http://schemas.openxmlformats.org/officeDocument/2006/relationships/hyperlink" Target="#'05_RCC_Work'!A1247" TargetMode="External" Id="rId219"/><Relationship Type="http://schemas.openxmlformats.org/officeDocument/2006/relationships/hyperlink" Target="#'05_RCC_Work'!A1260" TargetMode="External" Id="rId220"/><Relationship Type="http://schemas.openxmlformats.org/officeDocument/2006/relationships/hyperlink" Target="#'05_RCC_Work'!A1284" TargetMode="External" Id="rId221"/><Relationship Type="http://schemas.openxmlformats.org/officeDocument/2006/relationships/hyperlink" Target="#'05_RCC_Work'!A1309" TargetMode="External" Id="rId222"/><Relationship Type="http://schemas.openxmlformats.org/officeDocument/2006/relationships/hyperlink" Target="#'05_RCC_Work'!A1321" TargetMode="External" Id="rId223"/><Relationship Type="http://schemas.openxmlformats.org/officeDocument/2006/relationships/hyperlink" Target="#'05_RCC_Work'!A1333" TargetMode="External" Id="rId224"/><Relationship Type="http://schemas.openxmlformats.org/officeDocument/2006/relationships/hyperlink" Target="#'05_RCC_Work'!A1344" TargetMode="External" Id="rId225"/><Relationship Type="http://schemas.openxmlformats.org/officeDocument/2006/relationships/hyperlink" Target="#'05_RCC_Work'!A1354" TargetMode="External" Id="rId226"/><Relationship Type="http://schemas.openxmlformats.org/officeDocument/2006/relationships/hyperlink" Target="#'05_RCC_Work'!A1371" TargetMode="External" Id="rId227"/><Relationship Type="http://schemas.openxmlformats.org/officeDocument/2006/relationships/hyperlink" Target="#'05_RCC_Work'!A1396" TargetMode="External" Id="rId228"/><Relationship Type="http://schemas.openxmlformats.org/officeDocument/2006/relationships/hyperlink" Target="#'05_RCC_Work'!A1421" TargetMode="External" Id="rId229"/><Relationship Type="http://schemas.openxmlformats.org/officeDocument/2006/relationships/hyperlink" Target="#'05_RCC_Work'!A1432" TargetMode="External" Id="rId230"/><Relationship Type="http://schemas.openxmlformats.org/officeDocument/2006/relationships/hyperlink" Target="#'05_RCC_Work'!A1461" TargetMode="External" Id="rId231"/><Relationship Type="http://schemas.openxmlformats.org/officeDocument/2006/relationships/hyperlink" Target="#'05_RCC_Work'!A1490" TargetMode="External" Id="rId232"/><Relationship Type="http://schemas.openxmlformats.org/officeDocument/2006/relationships/hyperlink" Target="#'05_RCC_Work'!A1504" TargetMode="External" Id="rId233"/><Relationship Type="http://schemas.openxmlformats.org/officeDocument/2006/relationships/hyperlink" Target="#'05_RCC_Work'!A1516" TargetMode="External" Id="rId234"/><Relationship Type="http://schemas.openxmlformats.org/officeDocument/2006/relationships/hyperlink" Target="#'05_RCC_Work'!A1528" TargetMode="External" Id="rId235"/><Relationship Type="http://schemas.openxmlformats.org/officeDocument/2006/relationships/hyperlink" Target="#'05_RCC_Work'!A1540" TargetMode="External" Id="rId236"/><Relationship Type="http://schemas.openxmlformats.org/officeDocument/2006/relationships/hyperlink" Target="#'05_RCC_Work'!A1552" TargetMode="External" Id="rId237"/><Relationship Type="http://schemas.openxmlformats.org/officeDocument/2006/relationships/hyperlink" Target="#'05_RCC_Work'!A1564" TargetMode="External" Id="rId238"/><Relationship Type="http://schemas.openxmlformats.org/officeDocument/2006/relationships/hyperlink" Target="#'05_RCC_Work'!A1579" TargetMode="External" Id="rId239"/><Relationship Type="http://schemas.openxmlformats.org/officeDocument/2006/relationships/hyperlink" Target="#'05_RCC_Work'!A1595" TargetMode="External" Id="rId240"/><Relationship Type="http://schemas.openxmlformats.org/officeDocument/2006/relationships/hyperlink" Target="#'05_RCC_Work'!A1611" TargetMode="External" Id="rId241"/><Relationship Type="http://schemas.openxmlformats.org/officeDocument/2006/relationships/hyperlink" Target="#'05_RCC_Work'!A1627" TargetMode="External" Id="rId242"/><Relationship Type="http://schemas.openxmlformats.org/officeDocument/2006/relationships/hyperlink" Target="#'05_RCC_Work'!A1642" TargetMode="External" Id="rId243"/><Relationship Type="http://schemas.openxmlformats.org/officeDocument/2006/relationships/hyperlink" Target="#'05_RCC_Work'!A1657" TargetMode="External" Id="rId244"/><Relationship Type="http://schemas.openxmlformats.org/officeDocument/2006/relationships/hyperlink" Target="#'05_RCC_Work'!A1672" TargetMode="External" Id="rId245"/><Relationship Type="http://schemas.openxmlformats.org/officeDocument/2006/relationships/hyperlink" Target="#'05_RCC_Work'!A1687" TargetMode="External" Id="rId246"/><Relationship Type="http://schemas.openxmlformats.org/officeDocument/2006/relationships/hyperlink" Target="#'05_RCC_Work'!A1702" TargetMode="External" Id="rId247"/><Relationship Type="http://schemas.openxmlformats.org/officeDocument/2006/relationships/hyperlink" Target="#'05_RCC_Work'!A1717" TargetMode="External" Id="rId248"/><Relationship Type="http://schemas.openxmlformats.org/officeDocument/2006/relationships/hyperlink" Target="#'05_RCC_Work'!A1732" TargetMode="External" Id="rId249"/><Relationship Type="http://schemas.openxmlformats.org/officeDocument/2006/relationships/hyperlink" Target="#'05_RCC_Work'!A1750" TargetMode="External" Id="rId250"/><Relationship Type="http://schemas.openxmlformats.org/officeDocument/2006/relationships/hyperlink" Target="#'05_RCC_Work'!A1768" TargetMode="External" Id="rId251"/><Relationship Type="http://schemas.openxmlformats.org/officeDocument/2006/relationships/hyperlink" Target="#'05_RCC_Work'!A1786" TargetMode="External" Id="rId252"/><Relationship Type="http://schemas.openxmlformats.org/officeDocument/2006/relationships/hyperlink" Target="#'05_RCC_Work'!A1798" TargetMode="External" Id="rId253"/><Relationship Type="http://schemas.openxmlformats.org/officeDocument/2006/relationships/hyperlink" Target="#'05_RCC_Work'!A1810" TargetMode="External" Id="rId254"/><Relationship Type="http://schemas.openxmlformats.org/officeDocument/2006/relationships/hyperlink" Target="#'05_RCC_Work'!A1820" TargetMode="External" Id="rId255"/><Relationship Type="http://schemas.openxmlformats.org/officeDocument/2006/relationships/hyperlink" Target="#'05_RCC_Work'!A1831" TargetMode="External" Id="rId256"/><Relationship Type="http://schemas.openxmlformats.org/officeDocument/2006/relationships/hyperlink" Target="#'05_RCC_Work'!A1851" TargetMode="External" Id="rId257"/><Relationship Type="http://schemas.openxmlformats.org/officeDocument/2006/relationships/hyperlink" Target="#'05_RCC_Work'!A1872" TargetMode="External" Id="rId258"/><Relationship Type="http://schemas.openxmlformats.org/officeDocument/2006/relationships/hyperlink" Target="#'05_RCC_Work'!A1893" TargetMode="External" Id="rId259"/><Relationship Type="http://schemas.openxmlformats.org/officeDocument/2006/relationships/hyperlink" Target="#'06_Masonry_Work'!A5" TargetMode="External" Id="rId260"/><Relationship Type="http://schemas.openxmlformats.org/officeDocument/2006/relationships/hyperlink" Target="#'06_Masonry_Work'!A22" TargetMode="External" Id="rId261"/><Relationship Type="http://schemas.openxmlformats.org/officeDocument/2006/relationships/hyperlink" Target="#'06_Masonry_Work'!A39" TargetMode="External" Id="rId262"/><Relationship Type="http://schemas.openxmlformats.org/officeDocument/2006/relationships/hyperlink" Target="#'06_Masonry_Work'!A56" TargetMode="External" Id="rId263"/><Relationship Type="http://schemas.openxmlformats.org/officeDocument/2006/relationships/hyperlink" Target="#'06_Masonry_Work'!A73" TargetMode="External" Id="rId264"/><Relationship Type="http://schemas.openxmlformats.org/officeDocument/2006/relationships/hyperlink" Target="#'06_Masonry_Work'!A92" TargetMode="External" Id="rId265"/><Relationship Type="http://schemas.openxmlformats.org/officeDocument/2006/relationships/hyperlink" Target="#'06_Masonry_Work'!A111" TargetMode="External" Id="rId266"/><Relationship Type="http://schemas.openxmlformats.org/officeDocument/2006/relationships/hyperlink" Target="#'06_Masonry_Work'!A130" TargetMode="External" Id="rId267"/><Relationship Type="http://schemas.openxmlformats.org/officeDocument/2006/relationships/hyperlink" Target="#'06_Masonry_Work'!A148" TargetMode="External" Id="rId268"/><Relationship Type="http://schemas.openxmlformats.org/officeDocument/2006/relationships/hyperlink" Target="#'06_Masonry_Work'!A157" TargetMode="External" Id="rId269"/><Relationship Type="http://schemas.openxmlformats.org/officeDocument/2006/relationships/hyperlink" Target="#'06_Masonry_Work'!A172" TargetMode="External" Id="rId270"/><Relationship Type="http://schemas.openxmlformats.org/officeDocument/2006/relationships/hyperlink" Target="#'06_Masonry_Work'!A185" TargetMode="External" Id="rId271"/><Relationship Type="http://schemas.openxmlformats.org/officeDocument/2006/relationships/hyperlink" Target="#'06_Masonry_Work'!A202" TargetMode="External" Id="rId272"/><Relationship Type="http://schemas.openxmlformats.org/officeDocument/2006/relationships/hyperlink" Target="#'06_Masonry_Work'!A221" TargetMode="External" Id="rId273"/><Relationship Type="http://schemas.openxmlformats.org/officeDocument/2006/relationships/hyperlink" Target="#'06_Masonry_Work'!A240" TargetMode="External" Id="rId274"/><Relationship Type="http://schemas.openxmlformats.org/officeDocument/2006/relationships/hyperlink" Target="#'06_Masonry_Work'!A258" TargetMode="External" Id="rId275"/><Relationship Type="http://schemas.openxmlformats.org/officeDocument/2006/relationships/hyperlink" Target="#'06_Masonry_Work'!A275" TargetMode="External" Id="rId276"/><Relationship Type="http://schemas.openxmlformats.org/officeDocument/2006/relationships/hyperlink" Target="#'06_Masonry_Work'!A292" TargetMode="External" Id="rId277"/><Relationship Type="http://schemas.openxmlformats.org/officeDocument/2006/relationships/hyperlink" Target="#'06_Masonry_Work'!A310" TargetMode="External" Id="rId278"/><Relationship Type="http://schemas.openxmlformats.org/officeDocument/2006/relationships/hyperlink" Target="#'06_Masonry_Work'!A327" TargetMode="External" Id="rId279"/><Relationship Type="http://schemas.openxmlformats.org/officeDocument/2006/relationships/hyperlink" Target="#'06_Masonry_Work'!A336" TargetMode="External" Id="rId280"/><Relationship Type="http://schemas.openxmlformats.org/officeDocument/2006/relationships/hyperlink" Target="#'06_Masonry_Work'!A348" TargetMode="External" Id="rId281"/><Relationship Type="http://schemas.openxmlformats.org/officeDocument/2006/relationships/hyperlink" Target="#'06_Masonry_Work'!A365" TargetMode="External" Id="rId282"/><Relationship Type="http://schemas.openxmlformats.org/officeDocument/2006/relationships/hyperlink" Target="#'06_Masonry_Work'!A381" TargetMode="External" Id="rId283"/><Relationship Type="http://schemas.openxmlformats.org/officeDocument/2006/relationships/hyperlink" Target="#'06_Masonry_Work'!A397" TargetMode="External" Id="rId284"/><Relationship Type="http://schemas.openxmlformats.org/officeDocument/2006/relationships/hyperlink" Target="#'06_Masonry_Work'!A415" TargetMode="External" Id="rId285"/><Relationship Type="http://schemas.openxmlformats.org/officeDocument/2006/relationships/hyperlink" Target="#'06_Masonry_Work'!A434" TargetMode="External" Id="rId286"/><Relationship Type="http://schemas.openxmlformats.org/officeDocument/2006/relationships/hyperlink" Target="#'06_Masonry_Work'!A453" TargetMode="External" Id="rId287"/><Relationship Type="http://schemas.openxmlformats.org/officeDocument/2006/relationships/hyperlink" Target="#'06_Masonry_Work'!A470" TargetMode="External" Id="rId288"/><Relationship Type="http://schemas.openxmlformats.org/officeDocument/2006/relationships/hyperlink" Target="#'06_Masonry_Work'!A480" TargetMode="External" Id="rId289"/><Relationship Type="http://schemas.openxmlformats.org/officeDocument/2006/relationships/hyperlink" Target="#'06_Masonry_Work'!A490" TargetMode="External" Id="rId290"/><Relationship Type="http://schemas.openxmlformats.org/officeDocument/2006/relationships/hyperlink" Target="#'06_Masonry_Work'!A503" TargetMode="External" Id="rId291"/><Relationship Type="http://schemas.openxmlformats.org/officeDocument/2006/relationships/hyperlink" Target="#'06_Masonry_Work'!A521" TargetMode="External" Id="rId292"/><Relationship Type="http://schemas.openxmlformats.org/officeDocument/2006/relationships/hyperlink" Target="#'06_Masonry_Work'!A541" TargetMode="External" Id="rId293"/><Relationship Type="http://schemas.openxmlformats.org/officeDocument/2006/relationships/hyperlink" Target="#'06_Masonry_Work'!A558" TargetMode="External" Id="rId294"/><Relationship Type="http://schemas.openxmlformats.org/officeDocument/2006/relationships/hyperlink" Target="#'06_Masonry_Work'!A577" TargetMode="External" Id="rId295"/><Relationship Type="http://schemas.openxmlformats.org/officeDocument/2006/relationships/hyperlink" Target="#'06_Masonry_Work'!A594" TargetMode="External" Id="rId296"/><Relationship Type="http://schemas.openxmlformats.org/officeDocument/2006/relationships/hyperlink" Target="#'06_Masonry_Work'!A613" TargetMode="External" Id="rId297"/><Relationship Type="http://schemas.openxmlformats.org/officeDocument/2006/relationships/hyperlink" Target="#'06_Masonry_Work'!A630" TargetMode="External" Id="rId298"/><Relationship Type="http://schemas.openxmlformats.org/officeDocument/2006/relationships/hyperlink" Target="#'06_Masonry_Work'!A649" TargetMode="External" Id="rId299"/><Relationship Type="http://schemas.openxmlformats.org/officeDocument/2006/relationships/hyperlink" Target="#'06_Masonry_Work'!A666" TargetMode="External" Id="rId300"/><Relationship Type="http://schemas.openxmlformats.org/officeDocument/2006/relationships/hyperlink" Target="#'06_Masonry_Work'!A685" TargetMode="External" Id="rId301"/><Relationship Type="http://schemas.openxmlformats.org/officeDocument/2006/relationships/hyperlink" Target="#'06_Masonry_Work'!A702" TargetMode="External" Id="rId302"/><Relationship Type="http://schemas.openxmlformats.org/officeDocument/2006/relationships/hyperlink" Target="#'06_Masonry_Work'!A721" TargetMode="External" Id="rId303"/><Relationship Type="http://schemas.openxmlformats.org/officeDocument/2006/relationships/hyperlink" Target="#'06_Masonry_Work'!A740" TargetMode="External" Id="rId304"/><Relationship Type="http://schemas.openxmlformats.org/officeDocument/2006/relationships/hyperlink" Target="#'06_Masonry_Work'!A759" TargetMode="External" Id="rId305"/><Relationship Type="http://schemas.openxmlformats.org/officeDocument/2006/relationships/hyperlink" Target="#'06_Masonry_Work'!A778" TargetMode="External" Id="rId306"/><Relationship Type="http://schemas.openxmlformats.org/officeDocument/2006/relationships/hyperlink" Target="#'06_Masonry_Work'!A797" TargetMode="External" Id="rId307"/><Relationship Type="http://schemas.openxmlformats.org/officeDocument/2006/relationships/hyperlink" Target="#'06_Masonry_Work'!A816" TargetMode="External" Id="rId308"/><Relationship Type="http://schemas.openxmlformats.org/officeDocument/2006/relationships/hyperlink" Target="#'06_Masonry_Work'!A835" TargetMode="External" Id="rId309"/><Relationship Type="http://schemas.openxmlformats.org/officeDocument/2006/relationships/hyperlink" Target="#'06_Masonry_Work'!A851" TargetMode="External" Id="rId310"/><Relationship Type="http://schemas.openxmlformats.org/officeDocument/2006/relationships/hyperlink" Target="#'06_Masonry_Work'!A868" TargetMode="External" Id="rId311"/><Relationship Type="http://schemas.openxmlformats.org/officeDocument/2006/relationships/hyperlink" Target="#'06_Masonry_Work'!A886" TargetMode="External" Id="rId312"/><Relationship Type="http://schemas.openxmlformats.org/officeDocument/2006/relationships/hyperlink" Target="#'06_Masonry_Work'!A899" TargetMode="External" Id="rId313"/><Relationship Type="http://schemas.openxmlformats.org/officeDocument/2006/relationships/hyperlink" Target="#'06_Masonry_Work'!A908" TargetMode="External" Id="rId314"/><Relationship Type="http://schemas.openxmlformats.org/officeDocument/2006/relationships/hyperlink" Target="#'06_Masonry_Work'!A925" TargetMode="External" Id="rId315"/><Relationship Type="http://schemas.openxmlformats.org/officeDocument/2006/relationships/hyperlink" Target="#'06_Masonry_Work'!A943" TargetMode="External" Id="rId316"/><Relationship Type="http://schemas.openxmlformats.org/officeDocument/2006/relationships/hyperlink" Target="#'06_Masonry_Work'!A960" TargetMode="External" Id="rId317"/><Relationship Type="http://schemas.openxmlformats.org/officeDocument/2006/relationships/hyperlink" Target="#'07_Stone_Work'!A5" TargetMode="External" Id="rId318"/><Relationship Type="http://schemas.openxmlformats.org/officeDocument/2006/relationships/hyperlink" Target="#'07_Stone_Work'!A24" TargetMode="External" Id="rId319"/><Relationship Type="http://schemas.openxmlformats.org/officeDocument/2006/relationships/hyperlink" Target="#'07_Stone_Work'!A44" TargetMode="External" Id="rId320"/><Relationship Type="http://schemas.openxmlformats.org/officeDocument/2006/relationships/hyperlink" Target="#'07_Stone_Work'!A55" TargetMode="External" Id="rId321"/><Relationship Type="http://schemas.openxmlformats.org/officeDocument/2006/relationships/hyperlink" Target="#'07_Stone_Work'!A67" TargetMode="External" Id="rId322"/><Relationship Type="http://schemas.openxmlformats.org/officeDocument/2006/relationships/hyperlink" Target="#'07_Stone_Work'!A80" TargetMode="External" Id="rId323"/><Relationship Type="http://schemas.openxmlformats.org/officeDocument/2006/relationships/hyperlink" Target="#'07_Stone_Work'!A98" TargetMode="External" Id="rId324"/><Relationship Type="http://schemas.openxmlformats.org/officeDocument/2006/relationships/hyperlink" Target="#'07_Stone_Work'!A116" TargetMode="External" Id="rId325"/><Relationship Type="http://schemas.openxmlformats.org/officeDocument/2006/relationships/hyperlink" Target="#'07_Stone_Work'!A135" TargetMode="External" Id="rId326"/><Relationship Type="http://schemas.openxmlformats.org/officeDocument/2006/relationships/hyperlink" Target="#'07_Stone_Work'!A154" TargetMode="External" Id="rId327"/><Relationship Type="http://schemas.openxmlformats.org/officeDocument/2006/relationships/hyperlink" Target="#'07_Stone_Work'!A165" TargetMode="External" Id="rId328"/><Relationship Type="http://schemas.openxmlformats.org/officeDocument/2006/relationships/hyperlink" Target="#'07_Stone_Work'!A177" TargetMode="External" Id="rId329"/><Relationship Type="http://schemas.openxmlformats.org/officeDocument/2006/relationships/hyperlink" Target="#'07_Stone_Work'!A191" TargetMode="External" Id="rId330"/><Relationship Type="http://schemas.openxmlformats.org/officeDocument/2006/relationships/hyperlink" Target="#'07_Stone_Work'!A217" TargetMode="External" Id="rId331"/><Relationship Type="http://schemas.openxmlformats.org/officeDocument/2006/relationships/hyperlink" Target="#'07_Stone_Work'!A243" TargetMode="External" Id="rId332"/><Relationship Type="http://schemas.openxmlformats.org/officeDocument/2006/relationships/hyperlink" Target="#'07_Stone_Work'!A269" TargetMode="External" Id="rId333"/><Relationship Type="http://schemas.openxmlformats.org/officeDocument/2006/relationships/hyperlink" Target="#'07_Stone_Work'!A295" TargetMode="External" Id="rId334"/><Relationship Type="http://schemas.openxmlformats.org/officeDocument/2006/relationships/hyperlink" Target="#'07_Stone_Work'!A323" TargetMode="External" Id="rId335"/><Relationship Type="http://schemas.openxmlformats.org/officeDocument/2006/relationships/hyperlink" Target="#'07_Stone_Work'!A351" TargetMode="External" Id="rId336"/><Relationship Type="http://schemas.openxmlformats.org/officeDocument/2006/relationships/hyperlink" Target="#'07_Stone_Work'!A379" TargetMode="External" Id="rId337"/><Relationship Type="http://schemas.openxmlformats.org/officeDocument/2006/relationships/hyperlink" Target="#'07_Stone_Work'!A407" TargetMode="External" Id="rId338"/><Relationship Type="http://schemas.openxmlformats.org/officeDocument/2006/relationships/hyperlink" Target="#'07_Stone_Work'!A436" TargetMode="External" Id="rId339"/><Relationship Type="http://schemas.openxmlformats.org/officeDocument/2006/relationships/hyperlink" Target="#'07_Stone_Work'!A465" TargetMode="External" Id="rId340"/><Relationship Type="http://schemas.openxmlformats.org/officeDocument/2006/relationships/hyperlink" Target="#'07_Stone_Work'!A494" TargetMode="External" Id="rId341"/><Relationship Type="http://schemas.openxmlformats.org/officeDocument/2006/relationships/hyperlink" Target="#'07_Stone_Work'!A523" TargetMode="External" Id="rId342"/><Relationship Type="http://schemas.openxmlformats.org/officeDocument/2006/relationships/hyperlink" Target="#'07_Stone_Work'!A549" TargetMode="External" Id="rId343"/><Relationship Type="http://schemas.openxmlformats.org/officeDocument/2006/relationships/hyperlink" Target="#'07_Stone_Work'!A575" TargetMode="External" Id="rId344"/><Relationship Type="http://schemas.openxmlformats.org/officeDocument/2006/relationships/hyperlink" Target="#'07_Stone_Work'!A601" TargetMode="External" Id="rId345"/><Relationship Type="http://schemas.openxmlformats.org/officeDocument/2006/relationships/hyperlink" Target="#'07_Stone_Work'!A625" TargetMode="External" Id="rId346"/><Relationship Type="http://schemas.openxmlformats.org/officeDocument/2006/relationships/hyperlink" Target="#'07_Stone_Work'!A635" TargetMode="External" Id="rId347"/><Relationship Type="http://schemas.openxmlformats.org/officeDocument/2006/relationships/hyperlink" Target="#'07_Stone_Work'!A644" TargetMode="External" Id="rId348"/><Relationship Type="http://schemas.openxmlformats.org/officeDocument/2006/relationships/hyperlink" Target="#'07_Stone_Work'!A653" TargetMode="External" Id="rId349"/><Relationship Type="http://schemas.openxmlformats.org/officeDocument/2006/relationships/hyperlink" Target="#'07_Stone_Work'!A671" TargetMode="External" Id="rId350"/><Relationship Type="http://schemas.openxmlformats.org/officeDocument/2006/relationships/hyperlink" Target="#'07_Stone_Work'!A697" TargetMode="External" Id="rId351"/><Relationship Type="http://schemas.openxmlformats.org/officeDocument/2006/relationships/hyperlink" Target="#'07_Stone_Work'!A723" TargetMode="External" Id="rId352"/><Relationship Type="http://schemas.openxmlformats.org/officeDocument/2006/relationships/hyperlink" Target="#'07_Stone_Work'!A733" TargetMode="External" Id="rId353"/><Relationship Type="http://schemas.openxmlformats.org/officeDocument/2006/relationships/hyperlink" Target="#'07_Stone_Work'!A742" TargetMode="External" Id="rId354"/><Relationship Type="http://schemas.openxmlformats.org/officeDocument/2006/relationships/hyperlink" Target="#'07_Stone_Work'!A752" TargetMode="External" Id="rId355"/><Relationship Type="http://schemas.openxmlformats.org/officeDocument/2006/relationships/hyperlink" Target="#'07_Stone_Work'!A761" TargetMode="External" Id="rId356"/><Relationship Type="http://schemas.openxmlformats.org/officeDocument/2006/relationships/hyperlink" Target="#'07_Stone_Work'!A774" TargetMode="External" Id="rId357"/><Relationship Type="http://schemas.openxmlformats.org/officeDocument/2006/relationships/hyperlink" Target="#'07_Stone_Work'!A797" TargetMode="External" Id="rId358"/><Relationship Type="http://schemas.openxmlformats.org/officeDocument/2006/relationships/hyperlink" Target="#'07_Stone_Work'!A819" TargetMode="External" Id="rId359"/><Relationship Type="http://schemas.openxmlformats.org/officeDocument/2006/relationships/hyperlink" Target="#'07_Stone_Work'!A837" TargetMode="External" Id="rId360"/><Relationship Type="http://schemas.openxmlformats.org/officeDocument/2006/relationships/hyperlink" Target="#'07_Stone_Work'!A854" TargetMode="External" Id="rId361"/><Relationship Type="http://schemas.openxmlformats.org/officeDocument/2006/relationships/hyperlink" Target="#'07_Stone_Work'!A867" TargetMode="External" Id="rId362"/><Relationship Type="http://schemas.openxmlformats.org/officeDocument/2006/relationships/hyperlink" Target="#'07_Stone_Work'!A893" TargetMode="External" Id="rId363"/><Relationship Type="http://schemas.openxmlformats.org/officeDocument/2006/relationships/hyperlink" Target="#'07_Stone_Work'!A906" TargetMode="External" Id="rId364"/><Relationship Type="http://schemas.openxmlformats.org/officeDocument/2006/relationships/hyperlink" Target="#'07_Stone_Work'!A919" TargetMode="External" Id="rId365"/><Relationship Type="http://schemas.openxmlformats.org/officeDocument/2006/relationships/hyperlink" Target="#'07_Stone_Work'!A933" TargetMode="External" Id="rId366"/><Relationship Type="http://schemas.openxmlformats.org/officeDocument/2006/relationships/hyperlink" Target="#'07_Stone_Work'!A946" TargetMode="External" Id="rId367"/><Relationship Type="http://schemas.openxmlformats.org/officeDocument/2006/relationships/hyperlink" Target="#'07_Stone_Work'!A956" TargetMode="External" Id="rId368"/><Relationship Type="http://schemas.openxmlformats.org/officeDocument/2006/relationships/hyperlink" Target="#'07_Stone_Work'!A970" TargetMode="External" Id="rId369"/><Relationship Type="http://schemas.openxmlformats.org/officeDocument/2006/relationships/hyperlink" Target="#'07_Stone_Work'!A989" TargetMode="External" Id="rId370"/><Relationship Type="http://schemas.openxmlformats.org/officeDocument/2006/relationships/hyperlink" Target="#'08_Cladding_Work'!A6" TargetMode="External" Id="rId371"/><Relationship Type="http://schemas.openxmlformats.org/officeDocument/2006/relationships/hyperlink" Target="#'08_Cladding_Work'!A28" TargetMode="External" Id="rId372"/><Relationship Type="http://schemas.openxmlformats.org/officeDocument/2006/relationships/hyperlink" Target="#'08_Cladding_Work'!A50" TargetMode="External" Id="rId373"/><Relationship Type="http://schemas.openxmlformats.org/officeDocument/2006/relationships/hyperlink" Target="#'08_Cladding_Work'!A67" TargetMode="External" Id="rId374"/><Relationship Type="http://schemas.openxmlformats.org/officeDocument/2006/relationships/hyperlink" Target="#'08_Cladding_Work'!A84" TargetMode="External" Id="rId375"/><Relationship Type="http://schemas.openxmlformats.org/officeDocument/2006/relationships/hyperlink" Target="#'08_Cladding_Work'!A101" TargetMode="External" Id="rId376"/><Relationship Type="http://schemas.openxmlformats.org/officeDocument/2006/relationships/hyperlink" Target="#'08_Cladding_Work'!A117" TargetMode="External" Id="rId377"/><Relationship Type="http://schemas.openxmlformats.org/officeDocument/2006/relationships/hyperlink" Target="#'08_Cladding_Work'!A129" TargetMode="External" Id="rId378"/><Relationship Type="http://schemas.openxmlformats.org/officeDocument/2006/relationships/hyperlink" Target="#'08_Cladding_Work'!A140" TargetMode="External" Id="rId379"/><Relationship Type="http://schemas.openxmlformats.org/officeDocument/2006/relationships/hyperlink" Target="#'08_Cladding_Work'!A152" TargetMode="External" Id="rId380"/><Relationship Type="http://schemas.openxmlformats.org/officeDocument/2006/relationships/hyperlink" Target="#'08_Cladding_Work'!A163" TargetMode="External" Id="rId381"/><Relationship Type="http://schemas.openxmlformats.org/officeDocument/2006/relationships/hyperlink" Target="#'08_Cladding_Work'!A176" TargetMode="External" Id="rId382"/><Relationship Type="http://schemas.openxmlformats.org/officeDocument/2006/relationships/hyperlink" Target="#'08_Cladding_Work'!A189" TargetMode="External" Id="rId383"/><Relationship Type="http://schemas.openxmlformats.org/officeDocument/2006/relationships/hyperlink" Target="#'08_Cladding_Work'!A203" TargetMode="External" Id="rId384"/><Relationship Type="http://schemas.openxmlformats.org/officeDocument/2006/relationships/hyperlink" Target="#'08_Cladding_Work'!A218" TargetMode="External" Id="rId385"/><Relationship Type="http://schemas.openxmlformats.org/officeDocument/2006/relationships/hyperlink" Target="#'08_Cladding_Work'!A233" TargetMode="External" Id="rId386"/><Relationship Type="http://schemas.openxmlformats.org/officeDocument/2006/relationships/hyperlink" Target="#'08_Cladding_Work'!A248" TargetMode="External" Id="rId387"/><Relationship Type="http://schemas.openxmlformats.org/officeDocument/2006/relationships/hyperlink" Target="#'08_Cladding_Work'!A266" TargetMode="External" Id="rId388"/><Relationship Type="http://schemas.openxmlformats.org/officeDocument/2006/relationships/hyperlink" Target="#'08_Cladding_Work'!A283" TargetMode="External" Id="rId389"/><Relationship Type="http://schemas.openxmlformats.org/officeDocument/2006/relationships/hyperlink" Target="#'08_Cladding_Work'!A296" TargetMode="External" Id="rId390"/><Relationship Type="http://schemas.openxmlformats.org/officeDocument/2006/relationships/hyperlink" Target="#'08_Cladding_Work'!A309" TargetMode="External" Id="rId391"/><Relationship Type="http://schemas.openxmlformats.org/officeDocument/2006/relationships/hyperlink" Target="#'08_Cladding_Work'!A333" TargetMode="External" Id="rId392"/><Relationship Type="http://schemas.openxmlformats.org/officeDocument/2006/relationships/hyperlink" Target="#'08_Cladding_Work'!A359" TargetMode="External" Id="rId393"/><Relationship Type="http://schemas.openxmlformats.org/officeDocument/2006/relationships/hyperlink" Target="#'08_Cladding_Work'!A385" TargetMode="External" Id="rId394"/><Relationship Type="http://schemas.openxmlformats.org/officeDocument/2006/relationships/hyperlink" Target="#'08_Cladding_Work'!A411" TargetMode="External" Id="rId395"/><Relationship Type="http://schemas.openxmlformats.org/officeDocument/2006/relationships/hyperlink" Target="#'08_Cladding_Work'!A437" TargetMode="External" Id="rId396"/><Relationship Type="http://schemas.openxmlformats.org/officeDocument/2006/relationships/hyperlink" Target="#'08_Cladding_Work'!A463" TargetMode="External" Id="rId397"/><Relationship Type="http://schemas.openxmlformats.org/officeDocument/2006/relationships/hyperlink" Target="#'08_Cladding_Work'!A489" TargetMode="External" Id="rId398"/><Relationship Type="http://schemas.openxmlformats.org/officeDocument/2006/relationships/hyperlink" Target="#'08_Cladding_Work'!A515" TargetMode="External" Id="rId399"/><Relationship Type="http://schemas.openxmlformats.org/officeDocument/2006/relationships/hyperlink" Target="#'08_Cladding_Work'!A541" TargetMode="External" Id="rId400"/><Relationship Type="http://schemas.openxmlformats.org/officeDocument/2006/relationships/hyperlink" Target="#'08_Cladding_Work'!A567" TargetMode="External" Id="rId401"/><Relationship Type="http://schemas.openxmlformats.org/officeDocument/2006/relationships/hyperlink" Target="#'08_Cladding_Work'!A593" TargetMode="External" Id="rId402"/><Relationship Type="http://schemas.openxmlformats.org/officeDocument/2006/relationships/hyperlink" Target="#'08_Cladding_Work'!A619" TargetMode="External" Id="rId403"/><Relationship Type="http://schemas.openxmlformats.org/officeDocument/2006/relationships/hyperlink" Target="#'08_Cladding_Work'!A645" TargetMode="External" Id="rId404"/><Relationship Type="http://schemas.openxmlformats.org/officeDocument/2006/relationships/hyperlink" Target="#'08_Cladding_Work'!A671" TargetMode="External" Id="rId405"/><Relationship Type="http://schemas.openxmlformats.org/officeDocument/2006/relationships/hyperlink" Target="#'08_Cladding_Work'!A697" TargetMode="External" Id="rId406"/><Relationship Type="http://schemas.openxmlformats.org/officeDocument/2006/relationships/hyperlink" Target="#'08_Cladding_Work'!A723" TargetMode="External" Id="rId407"/><Relationship Type="http://schemas.openxmlformats.org/officeDocument/2006/relationships/hyperlink" Target="#'08_Cladding_Work'!A749" TargetMode="External" Id="rId408"/><Relationship Type="http://schemas.openxmlformats.org/officeDocument/2006/relationships/hyperlink" Target="#'08_Cladding_Work'!A775" TargetMode="External" Id="rId409"/><Relationship Type="http://schemas.openxmlformats.org/officeDocument/2006/relationships/hyperlink" Target="#'08_Cladding_Work'!A801" TargetMode="External" Id="rId410"/><Relationship Type="http://schemas.openxmlformats.org/officeDocument/2006/relationships/hyperlink" Target="#'08_Cladding_Work'!A827" TargetMode="External" Id="rId411"/><Relationship Type="http://schemas.openxmlformats.org/officeDocument/2006/relationships/hyperlink" Target="#'08_Cladding_Work'!A853" TargetMode="External" Id="rId412"/><Relationship Type="http://schemas.openxmlformats.org/officeDocument/2006/relationships/hyperlink" Target="#'08_Cladding_Work'!A874" TargetMode="External" Id="rId413"/><Relationship Type="http://schemas.openxmlformats.org/officeDocument/2006/relationships/hyperlink" Target="#'08_Cladding_Work'!A893" TargetMode="External" Id="rId414"/><Relationship Type="http://schemas.openxmlformats.org/officeDocument/2006/relationships/hyperlink" Target="#'08_Cladding_Work'!A905" TargetMode="External" Id="rId415"/><Relationship Type="http://schemas.openxmlformats.org/officeDocument/2006/relationships/hyperlink" Target="#'08_Cladding_Work'!A917" TargetMode="External" Id="rId416"/><Relationship Type="http://schemas.openxmlformats.org/officeDocument/2006/relationships/hyperlink" Target="#'08_Cladding_Work'!A939" TargetMode="External" Id="rId417"/><Relationship Type="http://schemas.openxmlformats.org/officeDocument/2006/relationships/hyperlink" Target="#'08_Cladding_Work'!A956" TargetMode="External" Id="rId418"/><Relationship Type="http://schemas.openxmlformats.org/officeDocument/2006/relationships/hyperlink" Target="#'08_Cladding_Work'!A970" TargetMode="External" Id="rId419"/><Relationship Type="http://schemas.openxmlformats.org/officeDocument/2006/relationships/hyperlink" Target="#'08_Cladding_Work'!A989" TargetMode="External" Id="rId420"/><Relationship Type="http://schemas.openxmlformats.org/officeDocument/2006/relationships/hyperlink" Target="#'08_Cladding_Work'!A1007" TargetMode="External" Id="rId421"/><Relationship Type="http://schemas.openxmlformats.org/officeDocument/2006/relationships/hyperlink" Target="#'08_Cladding_Work'!A1029" TargetMode="External" Id="rId422"/><Relationship Type="http://schemas.openxmlformats.org/officeDocument/2006/relationships/hyperlink" Target="#'08_Cladding_Work'!A1043" TargetMode="External" Id="rId423"/><Relationship Type="http://schemas.openxmlformats.org/officeDocument/2006/relationships/hyperlink" Target="#'08_Cladding_Work'!A1058" TargetMode="External" Id="rId424"/><Relationship Type="http://schemas.openxmlformats.org/officeDocument/2006/relationships/hyperlink" Target="#'08_Cladding_Work'!A1069" TargetMode="External" Id="rId425"/><Relationship Type="http://schemas.openxmlformats.org/officeDocument/2006/relationships/hyperlink" Target="#'08_Cladding_Work'!A1080" TargetMode="External" Id="rId426"/><Relationship Type="http://schemas.openxmlformats.org/officeDocument/2006/relationships/hyperlink" Target="#'08_Cladding_Work'!A1091" TargetMode="External" Id="rId427"/><Relationship Type="http://schemas.openxmlformats.org/officeDocument/2006/relationships/hyperlink" Target="#'08_Cladding_Work'!A1102" TargetMode="External" Id="rId428"/><Relationship Type="http://schemas.openxmlformats.org/officeDocument/2006/relationships/hyperlink" Target="#'08_Cladding_Work'!A1119" TargetMode="External" Id="rId429"/><Relationship Type="http://schemas.openxmlformats.org/officeDocument/2006/relationships/hyperlink" Target="#'08_Cladding_Work'!A1136" TargetMode="External" Id="rId430"/><Relationship Type="http://schemas.openxmlformats.org/officeDocument/2006/relationships/hyperlink" Target="#'08_Cladding_Work'!A1154" TargetMode="External" Id="rId431"/><Relationship Type="http://schemas.openxmlformats.org/officeDocument/2006/relationships/hyperlink" Target="#'08_Cladding_Work'!A1172" TargetMode="External" Id="rId432"/><Relationship Type="http://schemas.openxmlformats.org/officeDocument/2006/relationships/hyperlink" Target="#'08_Cladding_Work'!A1188" TargetMode="External" Id="rId433"/><Relationship Type="http://schemas.openxmlformats.org/officeDocument/2006/relationships/hyperlink" Target="#'08_Cladding_Work'!A1204" TargetMode="External" Id="rId434"/><Relationship Type="http://schemas.openxmlformats.org/officeDocument/2006/relationships/hyperlink" Target="#'08_Cladding_Work'!A1220" TargetMode="External" Id="rId435"/><Relationship Type="http://schemas.openxmlformats.org/officeDocument/2006/relationships/hyperlink" Target="#'08_Cladding_Work'!A1237" TargetMode="External" Id="rId436"/><Relationship Type="http://schemas.openxmlformats.org/officeDocument/2006/relationships/hyperlink" Target="#'08_Cladding_Work'!A1253" TargetMode="External" Id="rId437"/><Relationship Type="http://schemas.openxmlformats.org/officeDocument/2006/relationships/hyperlink" Target="#'08_Cladding_Work'!A1270" TargetMode="External" Id="rId438"/><Relationship Type="http://schemas.openxmlformats.org/officeDocument/2006/relationships/hyperlink" Target="#'08_Cladding_Work'!A1287" TargetMode="External" Id="rId439"/><Relationship Type="http://schemas.openxmlformats.org/officeDocument/2006/relationships/hyperlink" Target="#'08_Cladding_Work'!A1303" TargetMode="External" Id="rId440"/><Relationship Type="http://schemas.openxmlformats.org/officeDocument/2006/relationships/hyperlink" Target="#'08_Cladding_Work'!A1319" TargetMode="External" Id="rId441"/><Relationship Type="http://schemas.openxmlformats.org/officeDocument/2006/relationships/hyperlink" Target="#'09_Wood_and_PVC_Work'!A5" TargetMode="External" Id="rId442"/><Relationship Type="http://schemas.openxmlformats.org/officeDocument/2006/relationships/hyperlink" Target="#'09_Wood_and_PVC_Work'!A18" TargetMode="External" Id="rId443"/><Relationship Type="http://schemas.openxmlformats.org/officeDocument/2006/relationships/hyperlink" Target="#'09_Wood_and_PVC_Work'!A31" TargetMode="External" Id="rId444"/><Relationship Type="http://schemas.openxmlformats.org/officeDocument/2006/relationships/hyperlink" Target="#'09_Wood_and_PVC_Work'!A45" TargetMode="External" Id="rId445"/><Relationship Type="http://schemas.openxmlformats.org/officeDocument/2006/relationships/hyperlink" Target="#'09_Wood_and_PVC_Work'!A59" TargetMode="External" Id="rId446"/><Relationship Type="http://schemas.openxmlformats.org/officeDocument/2006/relationships/hyperlink" Target="#'09_Wood_and_PVC_Work'!A73" TargetMode="External" Id="rId447"/><Relationship Type="http://schemas.openxmlformats.org/officeDocument/2006/relationships/hyperlink" Target="#'09_Wood_and_PVC_Work'!A89" TargetMode="External" Id="rId448"/><Relationship Type="http://schemas.openxmlformats.org/officeDocument/2006/relationships/hyperlink" Target="#'09_Wood_and_PVC_Work'!A102" TargetMode="External" Id="rId449"/><Relationship Type="http://schemas.openxmlformats.org/officeDocument/2006/relationships/hyperlink" Target="#'09_Wood_and_PVC_Work'!A115" TargetMode="External" Id="rId450"/><Relationship Type="http://schemas.openxmlformats.org/officeDocument/2006/relationships/hyperlink" Target="#'09_Wood_and_PVC_Work'!A131" TargetMode="External" Id="rId451"/><Relationship Type="http://schemas.openxmlformats.org/officeDocument/2006/relationships/hyperlink" Target="#'09_Wood_and_PVC_Work'!A146" TargetMode="External" Id="rId452"/><Relationship Type="http://schemas.openxmlformats.org/officeDocument/2006/relationships/hyperlink" Target="#'09_Wood_and_PVC_Work'!A161" TargetMode="External" Id="rId453"/><Relationship Type="http://schemas.openxmlformats.org/officeDocument/2006/relationships/hyperlink" Target="#'09_Wood_and_PVC_Work'!A178" TargetMode="External" Id="rId454"/><Relationship Type="http://schemas.openxmlformats.org/officeDocument/2006/relationships/hyperlink" Target="#'09_Wood_and_PVC_Work'!A195" TargetMode="External" Id="rId455"/><Relationship Type="http://schemas.openxmlformats.org/officeDocument/2006/relationships/hyperlink" Target="#'09_Wood_and_PVC_Work'!A211" TargetMode="External" Id="rId456"/><Relationship Type="http://schemas.openxmlformats.org/officeDocument/2006/relationships/hyperlink" Target="#'09_Wood_and_PVC_Work'!A226" TargetMode="External" Id="rId457"/><Relationship Type="http://schemas.openxmlformats.org/officeDocument/2006/relationships/hyperlink" Target="#'09_Wood_and_PVC_Work'!A240" TargetMode="External" Id="rId458"/><Relationship Type="http://schemas.openxmlformats.org/officeDocument/2006/relationships/hyperlink" Target="#'09_Wood_and_PVC_Work'!A254" TargetMode="External" Id="rId459"/><Relationship Type="http://schemas.openxmlformats.org/officeDocument/2006/relationships/hyperlink" Target="#'09_Wood_and_PVC_Work'!A268" TargetMode="External" Id="rId460"/><Relationship Type="http://schemas.openxmlformats.org/officeDocument/2006/relationships/hyperlink" Target="#'09_Wood_and_PVC_Work'!A281" TargetMode="External" Id="rId461"/><Relationship Type="http://schemas.openxmlformats.org/officeDocument/2006/relationships/hyperlink" Target="#'09_Wood_and_PVC_Work'!A297" TargetMode="External" Id="rId462"/><Relationship Type="http://schemas.openxmlformats.org/officeDocument/2006/relationships/hyperlink" Target="#'09_Wood_and_PVC_Work'!A311" TargetMode="External" Id="rId463"/><Relationship Type="http://schemas.openxmlformats.org/officeDocument/2006/relationships/hyperlink" Target="#'09_Wood_and_PVC_Work'!A325" TargetMode="External" Id="rId464"/><Relationship Type="http://schemas.openxmlformats.org/officeDocument/2006/relationships/hyperlink" Target="#'09_Wood_and_PVC_Work'!A339" TargetMode="External" Id="rId465"/><Relationship Type="http://schemas.openxmlformats.org/officeDocument/2006/relationships/hyperlink" Target="#'09_Wood_and_PVC_Work'!A353" TargetMode="External" Id="rId466"/><Relationship Type="http://schemas.openxmlformats.org/officeDocument/2006/relationships/hyperlink" Target="#'09_Wood_and_PVC_Work'!A367" TargetMode="External" Id="rId467"/><Relationship Type="http://schemas.openxmlformats.org/officeDocument/2006/relationships/hyperlink" Target="#'09_Wood_and_PVC_Work'!A381" TargetMode="External" Id="rId468"/><Relationship Type="http://schemas.openxmlformats.org/officeDocument/2006/relationships/hyperlink" Target="#'09_Wood_and_PVC_Work'!A395" TargetMode="External" Id="rId469"/><Relationship Type="http://schemas.openxmlformats.org/officeDocument/2006/relationships/hyperlink" Target="#'09_Wood_and_PVC_Work'!A409" TargetMode="External" Id="rId470"/><Relationship Type="http://schemas.openxmlformats.org/officeDocument/2006/relationships/hyperlink" Target="#'09_Wood_and_PVC_Work'!A425" TargetMode="External" Id="rId471"/><Relationship Type="http://schemas.openxmlformats.org/officeDocument/2006/relationships/hyperlink" Target="#'09_Wood_and_PVC_Work'!A440" TargetMode="External" Id="rId472"/><Relationship Type="http://schemas.openxmlformats.org/officeDocument/2006/relationships/hyperlink" Target="#'09_Wood_and_PVC_Work'!A454" TargetMode="External" Id="rId473"/><Relationship Type="http://schemas.openxmlformats.org/officeDocument/2006/relationships/hyperlink" Target="#'09_Wood_and_PVC_Work'!A475" TargetMode="External" Id="rId474"/><Relationship Type="http://schemas.openxmlformats.org/officeDocument/2006/relationships/hyperlink" Target="#'09_Wood_and_PVC_Work'!A496" TargetMode="External" Id="rId475"/><Relationship Type="http://schemas.openxmlformats.org/officeDocument/2006/relationships/hyperlink" Target="#'09_Wood_and_PVC_Work'!A519" TargetMode="External" Id="rId476"/><Relationship Type="http://schemas.openxmlformats.org/officeDocument/2006/relationships/hyperlink" Target="#'09_Wood_and_PVC_Work'!A542" TargetMode="External" Id="rId477"/><Relationship Type="http://schemas.openxmlformats.org/officeDocument/2006/relationships/hyperlink" Target="#'09_Wood_and_PVC_Work'!A564" TargetMode="External" Id="rId478"/><Relationship Type="http://schemas.openxmlformats.org/officeDocument/2006/relationships/hyperlink" Target="#'09_Wood_and_PVC_Work'!A585" TargetMode="External" Id="rId479"/><Relationship Type="http://schemas.openxmlformats.org/officeDocument/2006/relationships/hyperlink" Target="#'09_Wood_and_PVC_Work'!A599" TargetMode="External" Id="rId480"/><Relationship Type="http://schemas.openxmlformats.org/officeDocument/2006/relationships/hyperlink" Target="#'09_Wood_and_PVC_Work'!A609" TargetMode="External" Id="rId481"/><Relationship Type="http://schemas.openxmlformats.org/officeDocument/2006/relationships/hyperlink" Target="#'09_Wood_and_PVC_Work'!A619" TargetMode="External" Id="rId482"/><Relationship Type="http://schemas.openxmlformats.org/officeDocument/2006/relationships/hyperlink" Target="#'09_Wood_and_PVC_Work'!A629" TargetMode="External" Id="rId483"/><Relationship Type="http://schemas.openxmlformats.org/officeDocument/2006/relationships/hyperlink" Target="#'09_Wood_and_PVC_Work'!A647" TargetMode="External" Id="rId484"/><Relationship Type="http://schemas.openxmlformats.org/officeDocument/2006/relationships/hyperlink" Target="#'09_Wood_and_PVC_Work'!A661" TargetMode="External" Id="rId485"/><Relationship Type="http://schemas.openxmlformats.org/officeDocument/2006/relationships/hyperlink" Target="#'09_Wood_and_PVC_Work'!A675" TargetMode="External" Id="rId486"/><Relationship Type="http://schemas.openxmlformats.org/officeDocument/2006/relationships/hyperlink" Target="#'09_Wood_and_PVC_Work'!A694" TargetMode="External" Id="rId487"/><Relationship Type="http://schemas.openxmlformats.org/officeDocument/2006/relationships/hyperlink" Target="#'09_Wood_and_PVC_Work'!A713" TargetMode="External" Id="rId488"/><Relationship Type="http://schemas.openxmlformats.org/officeDocument/2006/relationships/hyperlink" Target="#'09_Wood_and_PVC_Work'!A732" TargetMode="External" Id="rId489"/><Relationship Type="http://schemas.openxmlformats.org/officeDocument/2006/relationships/hyperlink" Target="#'09_Wood_and_PVC_Work'!A750" TargetMode="External" Id="rId490"/><Relationship Type="http://schemas.openxmlformats.org/officeDocument/2006/relationships/hyperlink" Target="#'09_Wood_and_PVC_Work'!A764" TargetMode="External" Id="rId491"/><Relationship Type="http://schemas.openxmlformats.org/officeDocument/2006/relationships/hyperlink" Target="#'09_Wood_and_PVC_Work'!A778" TargetMode="External" Id="rId492"/><Relationship Type="http://schemas.openxmlformats.org/officeDocument/2006/relationships/hyperlink" Target="#'09_Wood_and_PVC_Work'!A792" TargetMode="External" Id="rId493"/><Relationship Type="http://schemas.openxmlformats.org/officeDocument/2006/relationships/hyperlink" Target="#'09_Wood_and_PVC_Work'!A806" TargetMode="External" Id="rId494"/><Relationship Type="http://schemas.openxmlformats.org/officeDocument/2006/relationships/hyperlink" Target="#'09_Wood_and_PVC_Work'!A821" TargetMode="External" Id="rId495"/><Relationship Type="http://schemas.openxmlformats.org/officeDocument/2006/relationships/hyperlink" Target="#'09_Wood_and_PVC_Work'!A836" TargetMode="External" Id="rId496"/><Relationship Type="http://schemas.openxmlformats.org/officeDocument/2006/relationships/hyperlink" Target="#'09_Wood_and_PVC_Work'!A851" TargetMode="External" Id="rId497"/><Relationship Type="http://schemas.openxmlformats.org/officeDocument/2006/relationships/hyperlink" Target="#'09_Wood_and_PVC_Work'!A866" TargetMode="External" Id="rId498"/><Relationship Type="http://schemas.openxmlformats.org/officeDocument/2006/relationships/hyperlink" Target="#'09_Wood_and_PVC_Work'!A881" TargetMode="External" Id="rId499"/><Relationship Type="http://schemas.openxmlformats.org/officeDocument/2006/relationships/hyperlink" Target="#'09_Wood_and_PVC_Work'!A896" TargetMode="External" Id="rId500"/><Relationship Type="http://schemas.openxmlformats.org/officeDocument/2006/relationships/hyperlink" Target="#'09_Wood_and_PVC_Work'!A905" TargetMode="External" Id="rId501"/><Relationship Type="http://schemas.openxmlformats.org/officeDocument/2006/relationships/hyperlink" Target="#'09_Wood_and_PVC_Work'!A915" TargetMode="External" Id="rId502"/><Relationship Type="http://schemas.openxmlformats.org/officeDocument/2006/relationships/hyperlink" Target="#'09_Wood_and_PVC_Work'!A925" TargetMode="External" Id="rId503"/><Relationship Type="http://schemas.openxmlformats.org/officeDocument/2006/relationships/hyperlink" Target="#'09_Wood_and_PVC_Work'!A935" TargetMode="External" Id="rId504"/><Relationship Type="http://schemas.openxmlformats.org/officeDocument/2006/relationships/hyperlink" Target="#'09_Wood_and_PVC_Work'!A944" TargetMode="External" Id="rId505"/><Relationship Type="http://schemas.openxmlformats.org/officeDocument/2006/relationships/hyperlink" Target="#'09_Wood_and_PVC_Work'!A956" TargetMode="External" Id="rId506"/><Relationship Type="http://schemas.openxmlformats.org/officeDocument/2006/relationships/hyperlink" Target="#'09_Wood_and_PVC_Work'!A979" TargetMode="External" Id="rId507"/><Relationship Type="http://schemas.openxmlformats.org/officeDocument/2006/relationships/hyperlink" Target="#'09_Wood_and_PVC_Work'!A1004" TargetMode="External" Id="rId508"/><Relationship Type="http://schemas.openxmlformats.org/officeDocument/2006/relationships/hyperlink" Target="#'09_Wood_and_PVC_Work'!A1028" TargetMode="External" Id="rId509"/><Relationship Type="http://schemas.openxmlformats.org/officeDocument/2006/relationships/hyperlink" Target="#'09_Wood_and_PVC_Work'!A1051" TargetMode="External" Id="rId510"/><Relationship Type="http://schemas.openxmlformats.org/officeDocument/2006/relationships/hyperlink" Target="#'09_Wood_and_PVC_Work'!A1076" TargetMode="External" Id="rId511"/><Relationship Type="http://schemas.openxmlformats.org/officeDocument/2006/relationships/hyperlink" Target="#'09_Wood_and_PVC_Work'!A1100" TargetMode="External" Id="rId512"/><Relationship Type="http://schemas.openxmlformats.org/officeDocument/2006/relationships/hyperlink" Target="#'09_Wood_and_PVC_Work'!A1123" TargetMode="External" Id="rId513"/><Relationship Type="http://schemas.openxmlformats.org/officeDocument/2006/relationships/hyperlink" Target="#'09_Wood_and_PVC_Work'!A1148" TargetMode="External" Id="rId514"/><Relationship Type="http://schemas.openxmlformats.org/officeDocument/2006/relationships/hyperlink" Target="#'09_Wood_and_PVC_Work'!A1172" TargetMode="External" Id="rId515"/><Relationship Type="http://schemas.openxmlformats.org/officeDocument/2006/relationships/hyperlink" Target="#'09_Wood_and_PVC_Work'!A1195" TargetMode="External" Id="rId516"/><Relationship Type="http://schemas.openxmlformats.org/officeDocument/2006/relationships/hyperlink" Target="#'09_Wood_and_PVC_Work'!A1220" TargetMode="External" Id="rId517"/><Relationship Type="http://schemas.openxmlformats.org/officeDocument/2006/relationships/hyperlink" Target="#'09_Wood_and_PVC_Work'!A1242" TargetMode="External" Id="rId518"/><Relationship Type="http://schemas.openxmlformats.org/officeDocument/2006/relationships/hyperlink" Target="#'09_Wood_and_PVC_Work'!A1256" TargetMode="External" Id="rId519"/><Relationship Type="http://schemas.openxmlformats.org/officeDocument/2006/relationships/hyperlink" Target="#'09_Wood_and_PVC_Work'!A1271" TargetMode="External" Id="rId520"/><Relationship Type="http://schemas.openxmlformats.org/officeDocument/2006/relationships/hyperlink" Target="#'09_Wood_and_PVC_Work'!A1286" TargetMode="External" Id="rId521"/><Relationship Type="http://schemas.openxmlformats.org/officeDocument/2006/relationships/hyperlink" Target="#'09_Wood_and_PVC_Work'!A1301" TargetMode="External" Id="rId522"/><Relationship Type="http://schemas.openxmlformats.org/officeDocument/2006/relationships/hyperlink" Target="#'09_Wood_and_PVC_Work'!A1316" TargetMode="External" Id="rId523"/><Relationship Type="http://schemas.openxmlformats.org/officeDocument/2006/relationships/hyperlink" Target="#'09_Wood_and_PVC_Work'!A1330" TargetMode="External" Id="rId524"/><Relationship Type="http://schemas.openxmlformats.org/officeDocument/2006/relationships/hyperlink" Target="#'09_Wood_and_PVC_Work'!A1345" TargetMode="External" Id="rId525"/><Relationship Type="http://schemas.openxmlformats.org/officeDocument/2006/relationships/hyperlink" Target="#'09_Wood_and_PVC_Work'!A1365" TargetMode="External" Id="rId526"/><Relationship Type="http://schemas.openxmlformats.org/officeDocument/2006/relationships/hyperlink" Target="#'09_Wood_and_PVC_Work'!A1386" TargetMode="External" Id="rId527"/><Relationship Type="http://schemas.openxmlformats.org/officeDocument/2006/relationships/hyperlink" Target="#'09_Wood_and_PVC_Work'!A1396" TargetMode="External" Id="rId528"/><Relationship Type="http://schemas.openxmlformats.org/officeDocument/2006/relationships/hyperlink" Target="#'09_Wood_and_PVC_Work'!A1405" TargetMode="External" Id="rId529"/><Relationship Type="http://schemas.openxmlformats.org/officeDocument/2006/relationships/hyperlink" Target="#'09_Wood_and_PVC_Work'!A1417" TargetMode="External" Id="rId530"/><Relationship Type="http://schemas.openxmlformats.org/officeDocument/2006/relationships/hyperlink" Target="#'09_Wood_and_PVC_Work'!A1433" TargetMode="External" Id="rId531"/><Relationship Type="http://schemas.openxmlformats.org/officeDocument/2006/relationships/hyperlink" Target="#'09_Wood_and_PVC_Work'!A1449" TargetMode="External" Id="rId532"/><Relationship Type="http://schemas.openxmlformats.org/officeDocument/2006/relationships/hyperlink" Target="#'09_Wood_and_PVC_Work'!A1465" TargetMode="External" Id="rId533"/><Relationship Type="http://schemas.openxmlformats.org/officeDocument/2006/relationships/hyperlink" Target="#'09_Wood_and_PVC_Work'!A1481" TargetMode="External" Id="rId534"/><Relationship Type="http://schemas.openxmlformats.org/officeDocument/2006/relationships/hyperlink" Target="#'09_Wood_and_PVC_Work'!A1497" TargetMode="External" Id="rId535"/><Relationship Type="http://schemas.openxmlformats.org/officeDocument/2006/relationships/hyperlink" Target="#'09_Wood_and_PVC_Work'!A1514" TargetMode="External" Id="rId536"/><Relationship Type="http://schemas.openxmlformats.org/officeDocument/2006/relationships/hyperlink" Target="#'09_Wood_and_PVC_Work'!A1532" TargetMode="External" Id="rId537"/><Relationship Type="http://schemas.openxmlformats.org/officeDocument/2006/relationships/hyperlink" Target="#'09_Wood_and_PVC_Work'!A1548" TargetMode="External" Id="rId538"/><Relationship Type="http://schemas.openxmlformats.org/officeDocument/2006/relationships/hyperlink" Target="#'09_Wood_and_PVC_Work'!A1565" TargetMode="External" Id="rId539"/><Relationship Type="http://schemas.openxmlformats.org/officeDocument/2006/relationships/hyperlink" Target="#'09_Wood_and_PVC_Work'!A1581" TargetMode="External" Id="rId540"/><Relationship Type="http://schemas.openxmlformats.org/officeDocument/2006/relationships/hyperlink" Target="#'09_Wood_and_PVC_Work'!A1595" TargetMode="External" Id="rId541"/><Relationship Type="http://schemas.openxmlformats.org/officeDocument/2006/relationships/hyperlink" Target="#'09_Wood_and_PVC_Work'!A1605" TargetMode="External" Id="rId542"/><Relationship Type="http://schemas.openxmlformats.org/officeDocument/2006/relationships/hyperlink" Target="#'09_Wood_and_PVC_Work'!A1621" TargetMode="External" Id="rId543"/><Relationship Type="http://schemas.openxmlformats.org/officeDocument/2006/relationships/hyperlink" Target="#'09_Wood_and_PVC_Work'!A1637" TargetMode="External" Id="rId544"/><Relationship Type="http://schemas.openxmlformats.org/officeDocument/2006/relationships/hyperlink" Target="#'09_Wood_and_PVC_Work'!A1653" TargetMode="External" Id="rId545"/><Relationship Type="http://schemas.openxmlformats.org/officeDocument/2006/relationships/hyperlink" Target="#'09_Wood_and_PVC_Work'!A1667" TargetMode="External" Id="rId546"/><Relationship Type="http://schemas.openxmlformats.org/officeDocument/2006/relationships/hyperlink" Target="#'09_Wood_and_PVC_Work'!A1681" TargetMode="External" Id="rId547"/><Relationship Type="http://schemas.openxmlformats.org/officeDocument/2006/relationships/hyperlink" Target="#'09_Wood_and_PVC_Work'!A1695" TargetMode="External" Id="rId548"/><Relationship Type="http://schemas.openxmlformats.org/officeDocument/2006/relationships/hyperlink" Target="#'09_Wood_and_PVC_Work'!A1708" TargetMode="External" Id="rId549"/><Relationship Type="http://schemas.openxmlformats.org/officeDocument/2006/relationships/hyperlink" Target="#'09_Wood_and_PVC_Work'!A1722" TargetMode="External" Id="rId550"/><Relationship Type="http://schemas.openxmlformats.org/officeDocument/2006/relationships/hyperlink" Target="#'09_Wood_and_PVC_Work'!A1736" TargetMode="External" Id="rId551"/><Relationship Type="http://schemas.openxmlformats.org/officeDocument/2006/relationships/hyperlink" Target="#'09_Wood_and_PVC_Work'!A1750" TargetMode="External" Id="rId552"/><Relationship Type="http://schemas.openxmlformats.org/officeDocument/2006/relationships/hyperlink" Target="#'09_Wood_and_PVC_Work'!A1763" TargetMode="External" Id="rId553"/><Relationship Type="http://schemas.openxmlformats.org/officeDocument/2006/relationships/hyperlink" Target="#'09_Wood_and_PVC_Work'!A1777" TargetMode="External" Id="rId554"/><Relationship Type="http://schemas.openxmlformats.org/officeDocument/2006/relationships/hyperlink" Target="#'09_Wood_and_PVC_Work'!A1791" TargetMode="External" Id="rId555"/><Relationship Type="http://schemas.openxmlformats.org/officeDocument/2006/relationships/hyperlink" Target="#'09_Wood_and_PVC_Work'!A1805" TargetMode="External" Id="rId556"/><Relationship Type="http://schemas.openxmlformats.org/officeDocument/2006/relationships/hyperlink" Target="#'09_Wood_and_PVC_Work'!A1818" TargetMode="External" Id="rId557"/><Relationship Type="http://schemas.openxmlformats.org/officeDocument/2006/relationships/hyperlink" Target="#'09_Wood_and_PVC_Work'!A1832" TargetMode="External" Id="rId558"/><Relationship Type="http://schemas.openxmlformats.org/officeDocument/2006/relationships/hyperlink" Target="#'09_Wood_and_PVC_Work'!A1846" TargetMode="External" Id="rId559"/><Relationship Type="http://schemas.openxmlformats.org/officeDocument/2006/relationships/hyperlink" Target="#'09_Wood_and_PVC_Work'!A1860" TargetMode="External" Id="rId560"/><Relationship Type="http://schemas.openxmlformats.org/officeDocument/2006/relationships/hyperlink" Target="#'09_Wood_and_PVC_Work'!A1874" TargetMode="External" Id="rId561"/><Relationship Type="http://schemas.openxmlformats.org/officeDocument/2006/relationships/hyperlink" Target="#'09_Wood_and_PVC_Work'!A1888" TargetMode="External" Id="rId562"/><Relationship Type="http://schemas.openxmlformats.org/officeDocument/2006/relationships/hyperlink" Target="#'09_Wood_and_PVC_Work'!A1902" TargetMode="External" Id="rId563"/><Relationship Type="http://schemas.openxmlformats.org/officeDocument/2006/relationships/hyperlink" Target="#'09_Wood_and_PVC_Work'!A1916" TargetMode="External" Id="rId564"/><Relationship Type="http://schemas.openxmlformats.org/officeDocument/2006/relationships/hyperlink" Target="#'09_Wood_and_PVC_Work'!A1930" TargetMode="External" Id="rId565"/><Relationship Type="http://schemas.openxmlformats.org/officeDocument/2006/relationships/hyperlink" Target="#'09_Wood_and_PVC_Work'!A1944" TargetMode="External" Id="rId566"/><Relationship Type="http://schemas.openxmlformats.org/officeDocument/2006/relationships/hyperlink" Target="#'09_Wood_and_PVC_Work'!A1958" TargetMode="External" Id="rId567"/><Relationship Type="http://schemas.openxmlformats.org/officeDocument/2006/relationships/hyperlink" Target="#'09_Wood_and_PVC_Work'!A1972" TargetMode="External" Id="rId568"/><Relationship Type="http://schemas.openxmlformats.org/officeDocument/2006/relationships/hyperlink" Target="#'09_Wood_and_PVC_Work'!A1986" TargetMode="External" Id="rId569"/><Relationship Type="http://schemas.openxmlformats.org/officeDocument/2006/relationships/hyperlink" Target="#'09_Wood_and_PVC_Work'!A2000" TargetMode="External" Id="rId570"/><Relationship Type="http://schemas.openxmlformats.org/officeDocument/2006/relationships/hyperlink" Target="#'09_Wood_and_PVC_Work'!A2014" TargetMode="External" Id="rId571"/><Relationship Type="http://schemas.openxmlformats.org/officeDocument/2006/relationships/hyperlink" Target="#'09_Wood_and_PVC_Work'!A2028" TargetMode="External" Id="rId572"/><Relationship Type="http://schemas.openxmlformats.org/officeDocument/2006/relationships/hyperlink" Target="#'09_Wood_and_PVC_Work'!A2041" TargetMode="External" Id="rId573"/><Relationship Type="http://schemas.openxmlformats.org/officeDocument/2006/relationships/hyperlink" Target="#'09_Wood_and_PVC_Work'!A2054" TargetMode="External" Id="rId574"/><Relationship Type="http://schemas.openxmlformats.org/officeDocument/2006/relationships/hyperlink" Target="#'09_Wood_and_PVC_Work'!A2067" TargetMode="External" Id="rId575"/><Relationship Type="http://schemas.openxmlformats.org/officeDocument/2006/relationships/hyperlink" Target="#'09_Wood_and_PVC_Work'!A2079" TargetMode="External" Id="rId576"/><Relationship Type="http://schemas.openxmlformats.org/officeDocument/2006/relationships/hyperlink" Target="#'09_Wood_and_PVC_Work'!A2091" TargetMode="External" Id="rId577"/><Relationship Type="http://schemas.openxmlformats.org/officeDocument/2006/relationships/hyperlink" Target="#'09_Wood_and_PVC_Work'!A2104" TargetMode="External" Id="rId578"/><Relationship Type="http://schemas.openxmlformats.org/officeDocument/2006/relationships/hyperlink" Target="#'09_Wood_and_PVC_Work'!A2117" TargetMode="External" Id="rId579"/><Relationship Type="http://schemas.openxmlformats.org/officeDocument/2006/relationships/hyperlink" Target="#'09_Wood_and_PVC_Work'!A2130" TargetMode="External" Id="rId580"/><Relationship Type="http://schemas.openxmlformats.org/officeDocument/2006/relationships/hyperlink" Target="#'09_Wood_and_PVC_Work'!A2143" TargetMode="External" Id="rId581"/><Relationship Type="http://schemas.openxmlformats.org/officeDocument/2006/relationships/hyperlink" Target="#'09_Wood_and_PVC_Work'!A2156" TargetMode="External" Id="rId582"/><Relationship Type="http://schemas.openxmlformats.org/officeDocument/2006/relationships/hyperlink" Target="#'09_Wood_and_PVC_Work'!A2169" TargetMode="External" Id="rId583"/><Relationship Type="http://schemas.openxmlformats.org/officeDocument/2006/relationships/hyperlink" Target="#'09_Wood_and_PVC_Work'!A2182" TargetMode="External" Id="rId584"/><Relationship Type="http://schemas.openxmlformats.org/officeDocument/2006/relationships/hyperlink" Target="#'09_Wood_and_PVC_Work'!A2195" TargetMode="External" Id="rId585"/><Relationship Type="http://schemas.openxmlformats.org/officeDocument/2006/relationships/hyperlink" Target="#'09_Wood_and_PVC_Work'!A2208" TargetMode="External" Id="rId586"/><Relationship Type="http://schemas.openxmlformats.org/officeDocument/2006/relationships/hyperlink" Target="#'09_Wood_and_PVC_Work'!A2221" TargetMode="External" Id="rId587"/><Relationship Type="http://schemas.openxmlformats.org/officeDocument/2006/relationships/hyperlink" Target="#'09_Wood_and_PVC_Work'!A2233" TargetMode="External" Id="rId588"/><Relationship Type="http://schemas.openxmlformats.org/officeDocument/2006/relationships/hyperlink" Target="#'09_Wood_and_PVC_Work'!A2246" TargetMode="External" Id="rId589"/><Relationship Type="http://schemas.openxmlformats.org/officeDocument/2006/relationships/hyperlink" Target="#'09_Wood_and_PVC_Work'!A2260" TargetMode="External" Id="rId590"/><Relationship Type="http://schemas.openxmlformats.org/officeDocument/2006/relationships/hyperlink" Target="#'09_Wood_and_PVC_Work'!A2274" TargetMode="External" Id="rId591"/><Relationship Type="http://schemas.openxmlformats.org/officeDocument/2006/relationships/hyperlink" Target="#'09_Wood_and_PVC_Work'!A2288" TargetMode="External" Id="rId592"/><Relationship Type="http://schemas.openxmlformats.org/officeDocument/2006/relationships/hyperlink" Target="#'09_Wood_and_PVC_Work'!A2301" TargetMode="External" Id="rId593"/><Relationship Type="http://schemas.openxmlformats.org/officeDocument/2006/relationships/hyperlink" Target="#'09_Wood_and_PVC_Work'!A2315" TargetMode="External" Id="rId594"/><Relationship Type="http://schemas.openxmlformats.org/officeDocument/2006/relationships/hyperlink" Target="#'09_Wood_and_PVC_Work'!A2329" TargetMode="External" Id="rId595"/><Relationship Type="http://schemas.openxmlformats.org/officeDocument/2006/relationships/hyperlink" Target="#'09_Wood_and_PVC_Work'!A2343" TargetMode="External" Id="rId596"/><Relationship Type="http://schemas.openxmlformats.org/officeDocument/2006/relationships/hyperlink" Target="#'09_Wood_and_PVC_Work'!A2357" TargetMode="External" Id="rId597"/><Relationship Type="http://schemas.openxmlformats.org/officeDocument/2006/relationships/hyperlink" Target="#'09_Wood_and_PVC_Work'!A2371" TargetMode="External" Id="rId598"/><Relationship Type="http://schemas.openxmlformats.org/officeDocument/2006/relationships/hyperlink" Target="#'09_Wood_and_PVC_Work'!A2385" TargetMode="External" Id="rId599"/><Relationship Type="http://schemas.openxmlformats.org/officeDocument/2006/relationships/hyperlink" Target="#'09_Wood_and_PVC_Work'!A2399" TargetMode="External" Id="rId600"/><Relationship Type="http://schemas.openxmlformats.org/officeDocument/2006/relationships/hyperlink" Target="#'09_Wood_and_PVC_Work'!A2413" TargetMode="External" Id="rId601"/><Relationship Type="http://schemas.openxmlformats.org/officeDocument/2006/relationships/hyperlink" Target="#'09_Wood_and_PVC_Work'!A2427" TargetMode="External" Id="rId602"/><Relationship Type="http://schemas.openxmlformats.org/officeDocument/2006/relationships/hyperlink" Target="#'09_Wood_and_PVC_Work'!A2440" TargetMode="External" Id="rId603"/><Relationship Type="http://schemas.openxmlformats.org/officeDocument/2006/relationships/hyperlink" Target="#'09_Wood_and_PVC_Work'!A2454" TargetMode="External" Id="rId604"/><Relationship Type="http://schemas.openxmlformats.org/officeDocument/2006/relationships/hyperlink" Target="#'09_Wood_and_PVC_Work'!A2468" TargetMode="External" Id="rId605"/><Relationship Type="http://schemas.openxmlformats.org/officeDocument/2006/relationships/hyperlink" Target="#'09_Wood_and_PVC_Work'!A2482" TargetMode="External" Id="rId606"/><Relationship Type="http://schemas.openxmlformats.org/officeDocument/2006/relationships/hyperlink" Target="#'09_Wood_and_PVC_Work'!A2496" TargetMode="External" Id="rId607"/><Relationship Type="http://schemas.openxmlformats.org/officeDocument/2006/relationships/hyperlink" Target="#'09_Wood_and_PVC_Work'!A2509" TargetMode="External" Id="rId608"/><Relationship Type="http://schemas.openxmlformats.org/officeDocument/2006/relationships/hyperlink" Target="#'09_Wood_and_PVC_Work'!A2522" TargetMode="External" Id="rId609"/><Relationship Type="http://schemas.openxmlformats.org/officeDocument/2006/relationships/hyperlink" Target="#'09_Wood_and_PVC_Work'!A2535" TargetMode="External" Id="rId610"/><Relationship Type="http://schemas.openxmlformats.org/officeDocument/2006/relationships/hyperlink" Target="#'09_Wood_and_PVC_Work'!A2548" TargetMode="External" Id="rId611"/><Relationship Type="http://schemas.openxmlformats.org/officeDocument/2006/relationships/hyperlink" Target="#'09_Wood_and_PVC_Work'!A2561" TargetMode="External" Id="rId612"/><Relationship Type="http://schemas.openxmlformats.org/officeDocument/2006/relationships/hyperlink" Target="#'09_Wood_and_PVC_Work'!A2573" TargetMode="External" Id="rId613"/><Relationship Type="http://schemas.openxmlformats.org/officeDocument/2006/relationships/hyperlink" Target="#'09_Wood_and_PVC_Work'!A2584" TargetMode="External" Id="rId614"/><Relationship Type="http://schemas.openxmlformats.org/officeDocument/2006/relationships/hyperlink" Target="#'09_Wood_and_PVC_Work'!A2595" TargetMode="External" Id="rId615"/><Relationship Type="http://schemas.openxmlformats.org/officeDocument/2006/relationships/hyperlink" Target="#'09_Wood_and_PVC_Work'!A2607" TargetMode="External" Id="rId616"/><Relationship Type="http://schemas.openxmlformats.org/officeDocument/2006/relationships/hyperlink" Target="#'09_Wood_and_PVC_Work'!A2619" TargetMode="External" Id="rId617"/><Relationship Type="http://schemas.openxmlformats.org/officeDocument/2006/relationships/hyperlink" Target="#'09_Wood_and_PVC_Work'!A2631" TargetMode="External" Id="rId618"/><Relationship Type="http://schemas.openxmlformats.org/officeDocument/2006/relationships/hyperlink" Target="#'09_Wood_and_PVC_Work'!A2643" TargetMode="External" Id="rId619"/><Relationship Type="http://schemas.openxmlformats.org/officeDocument/2006/relationships/hyperlink" Target="#'09_Wood_and_PVC_Work'!A2654" TargetMode="External" Id="rId620"/><Relationship Type="http://schemas.openxmlformats.org/officeDocument/2006/relationships/hyperlink" Target="#'09_Wood_and_PVC_Work'!A2666" TargetMode="External" Id="rId621"/><Relationship Type="http://schemas.openxmlformats.org/officeDocument/2006/relationships/hyperlink" Target="#'09_Wood_and_PVC_Work'!A2679" TargetMode="External" Id="rId622"/><Relationship Type="http://schemas.openxmlformats.org/officeDocument/2006/relationships/hyperlink" Target="#'09_Wood_and_PVC_Work'!A2692" TargetMode="External" Id="rId623"/><Relationship Type="http://schemas.openxmlformats.org/officeDocument/2006/relationships/hyperlink" Target="#'09_Wood_and_PVC_Work'!A2704" TargetMode="External" Id="rId624"/><Relationship Type="http://schemas.openxmlformats.org/officeDocument/2006/relationships/hyperlink" Target="#'09_Wood_and_PVC_Work'!A2716" TargetMode="External" Id="rId625"/><Relationship Type="http://schemas.openxmlformats.org/officeDocument/2006/relationships/hyperlink" Target="#'09_Wood_and_PVC_Work'!A2728" TargetMode="External" Id="rId626"/><Relationship Type="http://schemas.openxmlformats.org/officeDocument/2006/relationships/hyperlink" Target="#'09_Wood_and_PVC_Work'!A2740" TargetMode="External" Id="rId627"/><Relationship Type="http://schemas.openxmlformats.org/officeDocument/2006/relationships/hyperlink" Target="#'09_Wood_and_PVC_Work'!A2753" TargetMode="External" Id="rId628"/><Relationship Type="http://schemas.openxmlformats.org/officeDocument/2006/relationships/hyperlink" Target="#'09_Wood_and_PVC_Work'!A2766" TargetMode="External" Id="rId629"/><Relationship Type="http://schemas.openxmlformats.org/officeDocument/2006/relationships/hyperlink" Target="#'09_Wood_and_PVC_Work'!A2779" TargetMode="External" Id="rId630"/><Relationship Type="http://schemas.openxmlformats.org/officeDocument/2006/relationships/hyperlink" Target="#'09_Wood_and_PVC_Work'!A2792" TargetMode="External" Id="rId631"/><Relationship Type="http://schemas.openxmlformats.org/officeDocument/2006/relationships/hyperlink" Target="#'09_Wood_and_PVC_Work'!A2805" TargetMode="External" Id="rId632"/><Relationship Type="http://schemas.openxmlformats.org/officeDocument/2006/relationships/hyperlink" Target="#'09_Wood_and_PVC_Work'!A2818" TargetMode="External" Id="rId633"/><Relationship Type="http://schemas.openxmlformats.org/officeDocument/2006/relationships/hyperlink" Target="#'09_Wood_and_PVC_Work'!A2830" TargetMode="External" Id="rId634"/><Relationship Type="http://schemas.openxmlformats.org/officeDocument/2006/relationships/hyperlink" Target="#'09_Wood_and_PVC_Work'!A2841" TargetMode="External" Id="rId635"/><Relationship Type="http://schemas.openxmlformats.org/officeDocument/2006/relationships/hyperlink" Target="#'09_Wood_and_PVC_Work'!A2853" TargetMode="External" Id="rId636"/><Relationship Type="http://schemas.openxmlformats.org/officeDocument/2006/relationships/hyperlink" Target="#'09_Wood_and_PVC_Work'!A2865" TargetMode="External" Id="rId637"/><Relationship Type="http://schemas.openxmlformats.org/officeDocument/2006/relationships/hyperlink" Target="#'09_Wood_and_PVC_Work'!A2877" TargetMode="External" Id="rId638"/><Relationship Type="http://schemas.openxmlformats.org/officeDocument/2006/relationships/hyperlink" Target="#'09_Wood_and_PVC_Work'!A2889" TargetMode="External" Id="rId639"/><Relationship Type="http://schemas.openxmlformats.org/officeDocument/2006/relationships/hyperlink" Target="#'09_Wood_and_PVC_Work'!A2900" TargetMode="External" Id="rId640"/><Relationship Type="http://schemas.openxmlformats.org/officeDocument/2006/relationships/hyperlink" Target="#'09_Wood_and_PVC_Work'!A2912" TargetMode="External" Id="rId641"/><Relationship Type="http://schemas.openxmlformats.org/officeDocument/2006/relationships/hyperlink" Target="#'09_Wood_and_PVC_Work'!A2925" TargetMode="External" Id="rId642"/><Relationship Type="http://schemas.openxmlformats.org/officeDocument/2006/relationships/hyperlink" Target="#'09_Wood_and_PVC_Work'!A2938" TargetMode="External" Id="rId643"/><Relationship Type="http://schemas.openxmlformats.org/officeDocument/2006/relationships/hyperlink" Target="#'09_Wood_and_PVC_Work'!A2950" TargetMode="External" Id="rId644"/><Relationship Type="http://schemas.openxmlformats.org/officeDocument/2006/relationships/hyperlink" Target="#'09_Wood_and_PVC_Work'!A2963" TargetMode="External" Id="rId645"/><Relationship Type="http://schemas.openxmlformats.org/officeDocument/2006/relationships/hyperlink" Target="#'09_Wood_and_PVC_Work'!A2976" TargetMode="External" Id="rId646"/><Relationship Type="http://schemas.openxmlformats.org/officeDocument/2006/relationships/hyperlink" Target="#'09_Wood_and_PVC_Work'!A2989" TargetMode="External" Id="rId647"/><Relationship Type="http://schemas.openxmlformats.org/officeDocument/2006/relationships/hyperlink" Target="#'09_Wood_and_PVC_Work'!A3002" TargetMode="External" Id="rId648"/><Relationship Type="http://schemas.openxmlformats.org/officeDocument/2006/relationships/hyperlink" Target="#'09_Wood_and_PVC_Work'!A3016" TargetMode="External" Id="rId649"/><Relationship Type="http://schemas.openxmlformats.org/officeDocument/2006/relationships/hyperlink" Target="#'09_Wood_and_PVC_Work'!A3030" TargetMode="External" Id="rId650"/><Relationship Type="http://schemas.openxmlformats.org/officeDocument/2006/relationships/hyperlink" Target="#'09_Wood_and_PVC_Work'!A3044" TargetMode="External" Id="rId651"/><Relationship Type="http://schemas.openxmlformats.org/officeDocument/2006/relationships/hyperlink" Target="#'09_Wood_and_PVC_Work'!A3058" TargetMode="External" Id="rId652"/><Relationship Type="http://schemas.openxmlformats.org/officeDocument/2006/relationships/hyperlink" Target="#'09_Wood_and_PVC_Work'!A3072" TargetMode="External" Id="rId653"/><Relationship Type="http://schemas.openxmlformats.org/officeDocument/2006/relationships/hyperlink" Target="#'09_Wood_and_PVC_Work'!A3086" TargetMode="External" Id="rId654"/><Relationship Type="http://schemas.openxmlformats.org/officeDocument/2006/relationships/hyperlink" Target="#'09_Wood_and_PVC_Work'!A3100" TargetMode="External" Id="rId655"/><Relationship Type="http://schemas.openxmlformats.org/officeDocument/2006/relationships/hyperlink" Target="#'09_Wood_and_PVC_Work'!A3114" TargetMode="External" Id="rId656"/><Relationship Type="http://schemas.openxmlformats.org/officeDocument/2006/relationships/hyperlink" Target="#'09_Wood_and_PVC_Work'!A3127" TargetMode="External" Id="rId657"/><Relationship Type="http://schemas.openxmlformats.org/officeDocument/2006/relationships/hyperlink" Target="#'09_Wood_and_PVC_Work'!A3140" TargetMode="External" Id="rId658"/><Relationship Type="http://schemas.openxmlformats.org/officeDocument/2006/relationships/hyperlink" Target="#'09_Wood_and_PVC_Work'!A3153" TargetMode="External" Id="rId659"/><Relationship Type="http://schemas.openxmlformats.org/officeDocument/2006/relationships/hyperlink" Target="#'09_Wood_and_PVC_Work'!A3166" TargetMode="External" Id="rId660"/><Relationship Type="http://schemas.openxmlformats.org/officeDocument/2006/relationships/hyperlink" Target="#'09_Wood_and_PVC_Work'!A3179" TargetMode="External" Id="rId661"/><Relationship Type="http://schemas.openxmlformats.org/officeDocument/2006/relationships/hyperlink" Target="#'09_Wood_and_PVC_Work'!A3192" TargetMode="External" Id="rId662"/><Relationship Type="http://schemas.openxmlformats.org/officeDocument/2006/relationships/hyperlink" Target="#'09_Wood_and_PVC_Work'!A3204" TargetMode="External" Id="rId663"/><Relationship Type="http://schemas.openxmlformats.org/officeDocument/2006/relationships/hyperlink" Target="#'09_Wood_and_PVC_Work'!A3215" TargetMode="External" Id="rId664"/><Relationship Type="http://schemas.openxmlformats.org/officeDocument/2006/relationships/hyperlink" Target="#'09_Wood_and_PVC_Work'!A3229" TargetMode="External" Id="rId665"/><Relationship Type="http://schemas.openxmlformats.org/officeDocument/2006/relationships/hyperlink" Target="#'09_Wood_and_PVC_Work'!A3242" TargetMode="External" Id="rId666"/><Relationship Type="http://schemas.openxmlformats.org/officeDocument/2006/relationships/hyperlink" Target="#'09_Wood_and_PVC_Work'!A3255" TargetMode="External" Id="rId667"/><Relationship Type="http://schemas.openxmlformats.org/officeDocument/2006/relationships/hyperlink" Target="#'09_Wood_and_PVC_Work'!A3268" TargetMode="External" Id="rId668"/><Relationship Type="http://schemas.openxmlformats.org/officeDocument/2006/relationships/hyperlink" Target="#'09_Wood_and_PVC_Work'!A3281" TargetMode="External" Id="rId669"/><Relationship Type="http://schemas.openxmlformats.org/officeDocument/2006/relationships/hyperlink" Target="#'09_Wood_and_PVC_Work'!A3293" TargetMode="External" Id="rId670"/><Relationship Type="http://schemas.openxmlformats.org/officeDocument/2006/relationships/hyperlink" Target="#'09_Wood_and_PVC_Work'!A3305" TargetMode="External" Id="rId671"/><Relationship Type="http://schemas.openxmlformats.org/officeDocument/2006/relationships/hyperlink" Target="#'09_Wood_and_PVC_Work'!A3317" TargetMode="External" Id="rId672"/><Relationship Type="http://schemas.openxmlformats.org/officeDocument/2006/relationships/hyperlink" Target="#'09_Wood_and_PVC_Work'!A3329" TargetMode="External" Id="rId673"/><Relationship Type="http://schemas.openxmlformats.org/officeDocument/2006/relationships/hyperlink" Target="#'09_Wood_and_PVC_Work'!A3356" TargetMode="External" Id="rId674"/><Relationship Type="http://schemas.openxmlformats.org/officeDocument/2006/relationships/hyperlink" Target="#'09_Wood_and_PVC_Work'!A3383" TargetMode="External" Id="rId675"/><Relationship Type="http://schemas.openxmlformats.org/officeDocument/2006/relationships/hyperlink" Target="#'09_Wood_and_PVC_Work'!A3410" TargetMode="External" Id="rId676"/><Relationship Type="http://schemas.openxmlformats.org/officeDocument/2006/relationships/hyperlink" Target="#'09_Wood_and_PVC_Work'!A3437" TargetMode="External" Id="rId677"/><Relationship Type="http://schemas.openxmlformats.org/officeDocument/2006/relationships/hyperlink" Target="#'09_Wood_and_PVC_Work'!A3464" TargetMode="External" Id="rId678"/><Relationship Type="http://schemas.openxmlformats.org/officeDocument/2006/relationships/hyperlink" Target="#'09_Wood_and_PVC_Work'!A3477" TargetMode="External" Id="rId679"/><Relationship Type="http://schemas.openxmlformats.org/officeDocument/2006/relationships/hyperlink" Target="#'09_Wood_and_PVC_Work'!A3490" TargetMode="External" Id="rId680"/><Relationship Type="http://schemas.openxmlformats.org/officeDocument/2006/relationships/hyperlink" Target="#'09_Wood_and_PVC_Work'!A3504" TargetMode="External" Id="rId681"/><Relationship Type="http://schemas.openxmlformats.org/officeDocument/2006/relationships/hyperlink" Target="#'09_Wood_and_PVC_Work'!A3518" TargetMode="External" Id="rId682"/><Relationship Type="http://schemas.openxmlformats.org/officeDocument/2006/relationships/hyperlink" Target="#'09_Wood_and_PVC_Work'!A3531" TargetMode="External" Id="rId683"/><Relationship Type="http://schemas.openxmlformats.org/officeDocument/2006/relationships/hyperlink" Target="#'09_Wood_and_PVC_Work'!A3543" TargetMode="External" Id="rId684"/><Relationship Type="http://schemas.openxmlformats.org/officeDocument/2006/relationships/hyperlink" Target="#'09_Wood_and_PVC_Work'!A3555" TargetMode="External" Id="rId685"/><Relationship Type="http://schemas.openxmlformats.org/officeDocument/2006/relationships/hyperlink" Target="#'09_Wood_and_PVC_Work'!A3572" TargetMode="External" Id="rId686"/><Relationship Type="http://schemas.openxmlformats.org/officeDocument/2006/relationships/hyperlink" Target="#'09_Wood_and_PVC_Work'!A3585" TargetMode="External" Id="rId687"/><Relationship Type="http://schemas.openxmlformats.org/officeDocument/2006/relationships/hyperlink" Target="#'09_Wood_and_PVC_Work'!A3596" TargetMode="External" Id="rId688"/><Relationship Type="http://schemas.openxmlformats.org/officeDocument/2006/relationships/hyperlink" Target="#'09_Wood_and_PVC_Work'!A3608" TargetMode="External" Id="rId689"/><Relationship Type="http://schemas.openxmlformats.org/officeDocument/2006/relationships/hyperlink" Target="#'09_Wood_and_PVC_Work'!A3619" TargetMode="External" Id="rId690"/><Relationship Type="http://schemas.openxmlformats.org/officeDocument/2006/relationships/hyperlink" Target="#'09_Wood_and_PVC_Work'!A3629" TargetMode="External" Id="rId691"/><Relationship Type="http://schemas.openxmlformats.org/officeDocument/2006/relationships/hyperlink" Target="#'09_Wood_and_PVC_Work'!A3640" TargetMode="External" Id="rId692"/><Relationship Type="http://schemas.openxmlformats.org/officeDocument/2006/relationships/hyperlink" Target="#'09_Wood_and_PVC_Work'!A3651" TargetMode="External" Id="rId693"/><Relationship Type="http://schemas.openxmlformats.org/officeDocument/2006/relationships/hyperlink" Target="#'09_Wood_and_PVC_Work'!A3664" TargetMode="External" Id="rId694"/><Relationship Type="http://schemas.openxmlformats.org/officeDocument/2006/relationships/hyperlink" Target="#'09_Wood_and_PVC_Work'!A3677" TargetMode="External" Id="rId695"/><Relationship Type="http://schemas.openxmlformats.org/officeDocument/2006/relationships/hyperlink" Target="#'09_Wood_and_PVC_Work'!A3691" TargetMode="External" Id="rId696"/><Relationship Type="http://schemas.openxmlformats.org/officeDocument/2006/relationships/hyperlink" Target="#'09_Wood_and_PVC_Work'!A3705" TargetMode="External" Id="rId697"/><Relationship Type="http://schemas.openxmlformats.org/officeDocument/2006/relationships/hyperlink" Target="#'09_Wood_and_PVC_Work'!A3717" TargetMode="External" Id="rId698"/><Relationship Type="http://schemas.openxmlformats.org/officeDocument/2006/relationships/hyperlink" Target="#'09_Wood_and_PVC_Work'!A3731" TargetMode="External" Id="rId699"/><Relationship Type="http://schemas.openxmlformats.org/officeDocument/2006/relationships/hyperlink" Target="#'09_Wood_and_PVC_Work'!A3748" TargetMode="External" Id="rId700"/><Relationship Type="http://schemas.openxmlformats.org/officeDocument/2006/relationships/hyperlink" Target="#'09_Wood_and_PVC_Work'!A3763" TargetMode="External" Id="rId701"/><Relationship Type="http://schemas.openxmlformats.org/officeDocument/2006/relationships/hyperlink" Target="#'09_Wood_and_PVC_Work'!A3776" TargetMode="External" Id="rId702"/><Relationship Type="http://schemas.openxmlformats.org/officeDocument/2006/relationships/hyperlink" Target="#'09_Wood_and_PVC_Work'!A3792" TargetMode="External" Id="rId703"/><Relationship Type="http://schemas.openxmlformats.org/officeDocument/2006/relationships/hyperlink" Target="#'09_Wood_and_PVC_Work'!A3807" TargetMode="External" Id="rId704"/><Relationship Type="http://schemas.openxmlformats.org/officeDocument/2006/relationships/hyperlink" Target="#'09_Wood_and_PVC_Work'!A3821" TargetMode="External" Id="rId705"/><Relationship Type="http://schemas.openxmlformats.org/officeDocument/2006/relationships/hyperlink" Target="#'09_Wood_and_PVC_Work'!A3838" TargetMode="External" Id="rId706"/><Relationship Type="http://schemas.openxmlformats.org/officeDocument/2006/relationships/hyperlink" Target="#'09_Wood_and_PVC_Work'!A3853" TargetMode="External" Id="rId707"/><Relationship Type="http://schemas.openxmlformats.org/officeDocument/2006/relationships/hyperlink" Target="#'09_Wood_and_PVC_Work'!A3867" TargetMode="External" Id="rId708"/><Relationship Type="http://schemas.openxmlformats.org/officeDocument/2006/relationships/hyperlink" Target="#'09_Wood_and_PVC_Work'!A3880" TargetMode="External" Id="rId709"/><Relationship Type="http://schemas.openxmlformats.org/officeDocument/2006/relationships/hyperlink" Target="#'09_Wood_and_PVC_Work'!A3893" TargetMode="External" Id="rId710"/><Relationship Type="http://schemas.openxmlformats.org/officeDocument/2006/relationships/hyperlink" Target="#'09_Wood_and_PVC_Work'!A3907" TargetMode="External" Id="rId711"/><Relationship Type="http://schemas.openxmlformats.org/officeDocument/2006/relationships/hyperlink" Target="#'09_Wood_and_PVC_Work'!A3920" TargetMode="External" Id="rId712"/><Relationship Type="http://schemas.openxmlformats.org/officeDocument/2006/relationships/hyperlink" Target="#'09_Wood_and_PVC_Work'!A3932" TargetMode="External" Id="rId713"/><Relationship Type="http://schemas.openxmlformats.org/officeDocument/2006/relationships/hyperlink" Target="#'09_Wood_and_PVC_Work'!A3949" TargetMode="External" Id="rId714"/><Relationship Type="http://schemas.openxmlformats.org/officeDocument/2006/relationships/hyperlink" Target="#'09_Wood_and_PVC_Work'!A3967" TargetMode="External" Id="rId715"/><Relationship Type="http://schemas.openxmlformats.org/officeDocument/2006/relationships/hyperlink" Target="#'09_Wood_and_PVC_Work'!A3985" TargetMode="External" Id="rId716"/><Relationship Type="http://schemas.openxmlformats.org/officeDocument/2006/relationships/hyperlink" Target="#'09_Wood_and_PVC_Work'!A4001" TargetMode="External" Id="rId717"/><Relationship Type="http://schemas.openxmlformats.org/officeDocument/2006/relationships/hyperlink" Target="#'09_Wood_and_PVC_Work'!A4014" TargetMode="External" Id="rId718"/><Relationship Type="http://schemas.openxmlformats.org/officeDocument/2006/relationships/hyperlink" Target="#'09_Wood_and_PVC_Work'!A4035" TargetMode="External" Id="rId719"/><Relationship Type="http://schemas.openxmlformats.org/officeDocument/2006/relationships/hyperlink" Target="#'09_Wood_and_PVC_Work'!A4056" TargetMode="External" Id="rId720"/><Relationship Type="http://schemas.openxmlformats.org/officeDocument/2006/relationships/hyperlink" Target="#'09_Wood_and_PVC_Work'!A4077" TargetMode="External" Id="rId721"/><Relationship Type="http://schemas.openxmlformats.org/officeDocument/2006/relationships/hyperlink" Target="#'09_Wood_and_PVC_Work'!A4099" TargetMode="External" Id="rId722"/><Relationship Type="http://schemas.openxmlformats.org/officeDocument/2006/relationships/hyperlink" Target="#'09_Wood_and_PVC_Work'!A4122" TargetMode="External" Id="rId723"/><Relationship Type="http://schemas.openxmlformats.org/officeDocument/2006/relationships/hyperlink" Target="#'09_Wood_and_PVC_Work'!A4147" TargetMode="External" Id="rId724"/><Relationship Type="http://schemas.openxmlformats.org/officeDocument/2006/relationships/hyperlink" Target="#'09_Wood_and_PVC_Work'!A4171" TargetMode="External" Id="rId725"/><Relationship Type="http://schemas.openxmlformats.org/officeDocument/2006/relationships/hyperlink" Target="#'09_Wood_and_PVC_Work'!A4194" TargetMode="External" Id="rId726"/><Relationship Type="http://schemas.openxmlformats.org/officeDocument/2006/relationships/hyperlink" Target="#'09_Wood_and_PVC_Work'!A4219" TargetMode="External" Id="rId727"/><Relationship Type="http://schemas.openxmlformats.org/officeDocument/2006/relationships/hyperlink" Target="#'09_Wood_and_PVC_Work'!A4243" TargetMode="External" Id="rId728"/><Relationship Type="http://schemas.openxmlformats.org/officeDocument/2006/relationships/hyperlink" Target="#'09_Wood_and_PVC_Work'!A4266" TargetMode="External" Id="rId729"/><Relationship Type="http://schemas.openxmlformats.org/officeDocument/2006/relationships/hyperlink" Target="#'09_Wood_and_PVC_Work'!A4291" TargetMode="External" Id="rId730"/><Relationship Type="http://schemas.openxmlformats.org/officeDocument/2006/relationships/hyperlink" Target="#'09_Wood_and_PVC_Work'!A4315" TargetMode="External" Id="rId731"/><Relationship Type="http://schemas.openxmlformats.org/officeDocument/2006/relationships/hyperlink" Target="#'09_Wood_and_PVC_Work'!A4338" TargetMode="External" Id="rId732"/><Relationship Type="http://schemas.openxmlformats.org/officeDocument/2006/relationships/hyperlink" Target="#'09_Wood_and_PVC_Work'!A4363" TargetMode="External" Id="rId733"/><Relationship Type="http://schemas.openxmlformats.org/officeDocument/2006/relationships/hyperlink" Target="#'09_Wood_and_PVC_Work'!A4385" TargetMode="External" Id="rId734"/><Relationship Type="http://schemas.openxmlformats.org/officeDocument/2006/relationships/hyperlink" Target="#'09_Wood_and_PVC_Work'!A4401" TargetMode="External" Id="rId735"/><Relationship Type="http://schemas.openxmlformats.org/officeDocument/2006/relationships/hyperlink" Target="#'09_Wood_and_PVC_Work'!A4415" TargetMode="External" Id="rId736"/><Relationship Type="http://schemas.openxmlformats.org/officeDocument/2006/relationships/hyperlink" Target="#'09_Wood_and_PVC_Work'!A4426" TargetMode="External" Id="rId737"/><Relationship Type="http://schemas.openxmlformats.org/officeDocument/2006/relationships/hyperlink" Target="#'09_Wood_and_PVC_Work'!A4437" TargetMode="External" Id="rId738"/><Relationship Type="http://schemas.openxmlformats.org/officeDocument/2006/relationships/hyperlink" Target="#'09_Wood_and_PVC_Work'!A4451" TargetMode="External" Id="rId739"/><Relationship Type="http://schemas.openxmlformats.org/officeDocument/2006/relationships/hyperlink" Target="#'09_Wood_and_PVC_Work'!A4463" TargetMode="External" Id="rId740"/><Relationship Type="http://schemas.openxmlformats.org/officeDocument/2006/relationships/hyperlink" Target="#'09_Wood_and_PVC_Work'!A4477" TargetMode="External" Id="rId741"/><Relationship Type="http://schemas.openxmlformats.org/officeDocument/2006/relationships/hyperlink" Target="#'09_Wood_and_PVC_Work'!A4490" TargetMode="External" Id="rId742"/><Relationship Type="http://schemas.openxmlformats.org/officeDocument/2006/relationships/hyperlink" Target="#'09_Wood_and_PVC_Work'!A4506" TargetMode="External" Id="rId743"/><Relationship Type="http://schemas.openxmlformats.org/officeDocument/2006/relationships/hyperlink" Target="#'09_Wood_and_PVC_Work'!A4521" TargetMode="External" Id="rId744"/><Relationship Type="http://schemas.openxmlformats.org/officeDocument/2006/relationships/hyperlink" Target="#'09_Wood_and_PVC_Work'!A4533" TargetMode="External" Id="rId745"/><Relationship Type="http://schemas.openxmlformats.org/officeDocument/2006/relationships/hyperlink" Target="#'09_Wood_and_PVC_Work'!A4545" TargetMode="External" Id="rId746"/><Relationship Type="http://schemas.openxmlformats.org/officeDocument/2006/relationships/hyperlink" Target="#'09_Wood_and_PVC_Work'!A4557" TargetMode="External" Id="rId747"/><Relationship Type="http://schemas.openxmlformats.org/officeDocument/2006/relationships/hyperlink" Target="#'09_Wood_and_PVC_Work'!A4572" TargetMode="External" Id="rId748"/><Relationship Type="http://schemas.openxmlformats.org/officeDocument/2006/relationships/hyperlink" Target="#'09_Wood_and_PVC_Work'!A4593" TargetMode="External" Id="rId749"/><Relationship Type="http://schemas.openxmlformats.org/officeDocument/2006/relationships/hyperlink" Target="#'09_Wood_and_PVC_Work'!A4614" TargetMode="External" Id="rId750"/><Relationship Type="http://schemas.openxmlformats.org/officeDocument/2006/relationships/hyperlink" Target="#'09_Wood_and_PVC_Work'!A4635" TargetMode="External" Id="rId751"/><Relationship Type="http://schemas.openxmlformats.org/officeDocument/2006/relationships/hyperlink" Target="#'09_Wood_and_PVC_Work'!A4656" TargetMode="External" Id="rId752"/><Relationship Type="http://schemas.openxmlformats.org/officeDocument/2006/relationships/hyperlink" Target="#'09_Wood_and_PVC_Work'!A4677" TargetMode="External" Id="rId753"/><Relationship Type="http://schemas.openxmlformats.org/officeDocument/2006/relationships/hyperlink" Target="#'09_Wood_and_PVC_Work'!A4698" TargetMode="External" Id="rId754"/><Relationship Type="http://schemas.openxmlformats.org/officeDocument/2006/relationships/hyperlink" Target="#'09_Wood_and_PVC_Work'!A4717" TargetMode="External" Id="rId755"/><Relationship Type="http://schemas.openxmlformats.org/officeDocument/2006/relationships/hyperlink" Target="#'09_Wood_and_PVC_Work'!A4739" TargetMode="External" Id="rId756"/><Relationship Type="http://schemas.openxmlformats.org/officeDocument/2006/relationships/hyperlink" Target="#'09_Wood_and_PVC_Work'!A4763" TargetMode="External" Id="rId757"/><Relationship Type="http://schemas.openxmlformats.org/officeDocument/2006/relationships/hyperlink" Target="#'09_Wood_and_PVC_Work'!A4785" TargetMode="External" Id="rId758"/><Relationship Type="http://schemas.openxmlformats.org/officeDocument/2006/relationships/hyperlink" Target="#'09_Wood_and_PVC_Work'!A4807" TargetMode="External" Id="rId759"/><Relationship Type="http://schemas.openxmlformats.org/officeDocument/2006/relationships/hyperlink" Target="#'09_Wood_and_PVC_Work'!A4830" TargetMode="External" Id="rId760"/><Relationship Type="http://schemas.openxmlformats.org/officeDocument/2006/relationships/hyperlink" Target="#'09_Wood_and_PVC_Work'!A4853" TargetMode="External" Id="rId761"/><Relationship Type="http://schemas.openxmlformats.org/officeDocument/2006/relationships/hyperlink" Target="#'09_Wood_and_PVC_Work'!A4876" TargetMode="External" Id="rId762"/><Relationship Type="http://schemas.openxmlformats.org/officeDocument/2006/relationships/hyperlink" Target="#'09_Wood_and_PVC_Work'!A4899" TargetMode="External" Id="rId763"/><Relationship Type="http://schemas.openxmlformats.org/officeDocument/2006/relationships/hyperlink" Target="#'09_Wood_and_PVC_Work'!A4925" TargetMode="External" Id="rId764"/><Relationship Type="http://schemas.openxmlformats.org/officeDocument/2006/relationships/hyperlink" Target="#'09_Wood_and_PVC_Work'!A4949" TargetMode="External" Id="rId765"/><Relationship Type="http://schemas.openxmlformats.org/officeDocument/2006/relationships/hyperlink" Target="#'09_Wood_and_PVC_Work'!A4975" TargetMode="External" Id="rId766"/><Relationship Type="http://schemas.openxmlformats.org/officeDocument/2006/relationships/hyperlink" Target="#'09_Wood_and_PVC_Work'!A4999" TargetMode="External" Id="rId767"/><Relationship Type="http://schemas.openxmlformats.org/officeDocument/2006/relationships/hyperlink" Target="#'09_Wood_and_PVC_Work'!A5023" TargetMode="External" Id="rId768"/><Relationship Type="http://schemas.openxmlformats.org/officeDocument/2006/relationships/hyperlink" Target="#'09_Wood_and_PVC_Work'!A5037" TargetMode="External" Id="rId769"/><Relationship Type="http://schemas.openxmlformats.org/officeDocument/2006/relationships/hyperlink" Target="#'09_Wood_and_PVC_Work'!A5051" TargetMode="External" Id="rId770"/><Relationship Type="http://schemas.openxmlformats.org/officeDocument/2006/relationships/hyperlink" Target="#'09_Wood_and_PVC_Work'!A5065" TargetMode="External" Id="rId771"/><Relationship Type="http://schemas.openxmlformats.org/officeDocument/2006/relationships/hyperlink" Target="#'09_Wood_and_PVC_Work'!A5079" TargetMode="External" Id="rId772"/><Relationship Type="http://schemas.openxmlformats.org/officeDocument/2006/relationships/hyperlink" Target="#'09_Wood_and_PVC_Work'!A5092" TargetMode="External" Id="rId773"/><Relationship Type="http://schemas.openxmlformats.org/officeDocument/2006/relationships/hyperlink" Target="#'09_Wood_and_PVC_Work'!A5104" TargetMode="External" Id="rId774"/><Relationship Type="http://schemas.openxmlformats.org/officeDocument/2006/relationships/hyperlink" Target="#'09_Wood_and_PVC_Work'!A5116" TargetMode="External" Id="rId775"/><Relationship Type="http://schemas.openxmlformats.org/officeDocument/2006/relationships/hyperlink" Target="#'09_Wood_and_PVC_Work'!A5128" TargetMode="External" Id="rId776"/><Relationship Type="http://schemas.openxmlformats.org/officeDocument/2006/relationships/hyperlink" Target="#'09_Wood_and_PVC_Work'!A5140" TargetMode="External" Id="rId777"/><Relationship Type="http://schemas.openxmlformats.org/officeDocument/2006/relationships/hyperlink" Target="#'09_Wood_and_PVC_Work'!A5152" TargetMode="External" Id="rId778"/><Relationship Type="http://schemas.openxmlformats.org/officeDocument/2006/relationships/hyperlink" Target="#'09_Wood_and_PVC_Work'!A5168" TargetMode="External" Id="rId779"/><Relationship Type="http://schemas.openxmlformats.org/officeDocument/2006/relationships/hyperlink" Target="#'09_Wood_and_PVC_Work'!A5181" TargetMode="External" Id="rId780"/><Relationship Type="http://schemas.openxmlformats.org/officeDocument/2006/relationships/hyperlink" Target="#'09_Wood_and_PVC_Work'!A5195" TargetMode="External" Id="rId781"/><Relationship Type="http://schemas.openxmlformats.org/officeDocument/2006/relationships/hyperlink" Target="#'09_Wood_and_PVC_Work'!A5209" TargetMode="External" Id="rId782"/><Relationship Type="http://schemas.openxmlformats.org/officeDocument/2006/relationships/hyperlink" Target="#'09_Wood_and_PVC_Work'!A5224" TargetMode="External" Id="rId783"/><Relationship Type="http://schemas.openxmlformats.org/officeDocument/2006/relationships/hyperlink" Target="#'09_Wood_and_PVC_Work'!A5239" TargetMode="External" Id="rId784"/><Relationship Type="http://schemas.openxmlformats.org/officeDocument/2006/relationships/hyperlink" Target="#'09_Wood_and_PVC_Work'!A5254" TargetMode="External" Id="rId785"/><Relationship Type="http://schemas.openxmlformats.org/officeDocument/2006/relationships/hyperlink" Target="#'09_Wood_and_PVC_Work'!A5269" TargetMode="External" Id="rId786"/><Relationship Type="http://schemas.openxmlformats.org/officeDocument/2006/relationships/hyperlink" Target="#'09_Wood_and_PVC_Work'!A5283" TargetMode="External" Id="rId787"/><Relationship Type="http://schemas.openxmlformats.org/officeDocument/2006/relationships/hyperlink" Target="#'09_Wood_and_PVC_Work'!A5299" TargetMode="External" Id="rId788"/><Relationship Type="http://schemas.openxmlformats.org/officeDocument/2006/relationships/hyperlink" Target="#'09_Wood_and_PVC_Work'!A5316" TargetMode="External" Id="rId789"/><Relationship Type="http://schemas.openxmlformats.org/officeDocument/2006/relationships/hyperlink" Target="#'09_Wood_and_PVC_Work'!A5332" TargetMode="External" Id="rId790"/><Relationship Type="http://schemas.openxmlformats.org/officeDocument/2006/relationships/hyperlink" Target="#'09_Wood_and_PVC_Work'!A5343" TargetMode="External" Id="rId791"/><Relationship Type="http://schemas.openxmlformats.org/officeDocument/2006/relationships/hyperlink" Target="#'09_Wood_and_PVC_Work'!A5355" TargetMode="External" Id="rId792"/><Relationship Type="http://schemas.openxmlformats.org/officeDocument/2006/relationships/hyperlink" Target="#'09_Wood_and_PVC_Work'!A5366" TargetMode="External" Id="rId793"/><Relationship Type="http://schemas.openxmlformats.org/officeDocument/2006/relationships/hyperlink" Target="#'09_Wood_and_PVC_Work'!A5381" TargetMode="External" Id="rId794"/><Relationship Type="http://schemas.openxmlformats.org/officeDocument/2006/relationships/hyperlink" Target="#'09_Wood_and_PVC_Work'!A5394" TargetMode="External" Id="rId795"/><Relationship Type="http://schemas.openxmlformats.org/officeDocument/2006/relationships/hyperlink" Target="#'09_Wood_and_PVC_Work'!A5407" TargetMode="External" Id="rId796"/><Relationship Type="http://schemas.openxmlformats.org/officeDocument/2006/relationships/hyperlink" Target="#'10_Steel_Work'!A4" TargetMode="External" Id="rId797"/><Relationship Type="http://schemas.openxmlformats.org/officeDocument/2006/relationships/hyperlink" Target="#'10_Steel_Work'!A19" TargetMode="External" Id="rId798"/><Relationship Type="http://schemas.openxmlformats.org/officeDocument/2006/relationships/hyperlink" Target="#'10_Steel_Work'!A40" TargetMode="External" Id="rId799"/><Relationship Type="http://schemas.openxmlformats.org/officeDocument/2006/relationships/hyperlink" Target="#'10_Steel_Work'!A63" TargetMode="External" Id="rId800"/><Relationship Type="http://schemas.openxmlformats.org/officeDocument/2006/relationships/hyperlink" Target="#'10_Steel_Work'!A90" TargetMode="External" Id="rId801"/><Relationship Type="http://schemas.openxmlformats.org/officeDocument/2006/relationships/hyperlink" Target="#'10_Steel_Work'!A116" TargetMode="External" Id="rId802"/><Relationship Type="http://schemas.openxmlformats.org/officeDocument/2006/relationships/hyperlink" Target="#'10_Steel_Work'!A143" TargetMode="External" Id="rId803"/><Relationship Type="http://schemas.openxmlformats.org/officeDocument/2006/relationships/hyperlink" Target="#'10_Steel_Work'!A161" TargetMode="External" Id="rId804"/><Relationship Type="http://schemas.openxmlformats.org/officeDocument/2006/relationships/hyperlink" Target="#'10_Steel_Work'!A179" TargetMode="External" Id="rId805"/><Relationship Type="http://schemas.openxmlformats.org/officeDocument/2006/relationships/hyperlink" Target="#'10_Steel_Work'!A196" TargetMode="External" Id="rId806"/><Relationship Type="http://schemas.openxmlformats.org/officeDocument/2006/relationships/hyperlink" Target="#'10_Steel_Work'!A207" TargetMode="External" Id="rId807"/><Relationship Type="http://schemas.openxmlformats.org/officeDocument/2006/relationships/hyperlink" Target="#'10_Steel_Work'!A218" TargetMode="External" Id="rId808"/><Relationship Type="http://schemas.openxmlformats.org/officeDocument/2006/relationships/hyperlink" Target="#'10_Steel_Work'!A228" TargetMode="External" Id="rId809"/><Relationship Type="http://schemas.openxmlformats.org/officeDocument/2006/relationships/hyperlink" Target="#'10_Steel_Work'!A238" TargetMode="External" Id="rId810"/><Relationship Type="http://schemas.openxmlformats.org/officeDocument/2006/relationships/hyperlink" Target="#'10_Steel_Work'!A253" TargetMode="External" Id="rId811"/><Relationship Type="http://schemas.openxmlformats.org/officeDocument/2006/relationships/hyperlink" Target="#'10_Steel_Work'!A265" TargetMode="External" Id="rId812"/><Relationship Type="http://schemas.openxmlformats.org/officeDocument/2006/relationships/hyperlink" Target="#'10_Steel_Work'!A282" TargetMode="External" Id="rId813"/><Relationship Type="http://schemas.openxmlformats.org/officeDocument/2006/relationships/hyperlink" Target="#'10_Steel_Work'!A302" TargetMode="External" Id="rId814"/><Relationship Type="http://schemas.openxmlformats.org/officeDocument/2006/relationships/hyperlink" Target="#'10_Steel_Work'!A314" TargetMode="External" Id="rId815"/><Relationship Type="http://schemas.openxmlformats.org/officeDocument/2006/relationships/hyperlink" Target="#'10_Steel_Work'!A335" TargetMode="External" Id="rId816"/><Relationship Type="http://schemas.openxmlformats.org/officeDocument/2006/relationships/hyperlink" Target="#'10_Steel_Work'!A355" TargetMode="External" Id="rId817"/><Relationship Type="http://schemas.openxmlformats.org/officeDocument/2006/relationships/hyperlink" Target="#'10_Steel_Work'!A374" TargetMode="External" Id="rId818"/><Relationship Type="http://schemas.openxmlformats.org/officeDocument/2006/relationships/hyperlink" Target="#'10_Steel_Work'!A394" TargetMode="External" Id="rId819"/><Relationship Type="http://schemas.openxmlformats.org/officeDocument/2006/relationships/hyperlink" Target="#'10_Steel_Work'!A413" TargetMode="External" Id="rId820"/><Relationship Type="http://schemas.openxmlformats.org/officeDocument/2006/relationships/hyperlink" Target="#'10_Steel_Work'!A433" TargetMode="External" Id="rId821"/><Relationship Type="http://schemas.openxmlformats.org/officeDocument/2006/relationships/hyperlink" Target="#'10_Steel_Work'!A452" TargetMode="External" Id="rId822"/><Relationship Type="http://schemas.openxmlformats.org/officeDocument/2006/relationships/hyperlink" Target="#'10_Steel_Work'!A471" TargetMode="External" Id="rId823"/><Relationship Type="http://schemas.openxmlformats.org/officeDocument/2006/relationships/hyperlink" Target="#'10_Steel_Work'!A492" TargetMode="External" Id="rId824"/><Relationship Type="http://schemas.openxmlformats.org/officeDocument/2006/relationships/hyperlink" Target="#'10_Steel_Work'!A511" TargetMode="External" Id="rId825"/><Relationship Type="http://schemas.openxmlformats.org/officeDocument/2006/relationships/hyperlink" Target="#'10_Steel_Work'!A528" TargetMode="External" Id="rId826"/><Relationship Type="http://schemas.openxmlformats.org/officeDocument/2006/relationships/hyperlink" Target="#'10_Steel_Work'!A545" TargetMode="External" Id="rId827"/><Relationship Type="http://schemas.openxmlformats.org/officeDocument/2006/relationships/hyperlink" Target="#'10_Steel_Work'!A561" TargetMode="External" Id="rId828"/><Relationship Type="http://schemas.openxmlformats.org/officeDocument/2006/relationships/hyperlink" Target="#'10_Steel_Work'!A573" TargetMode="External" Id="rId829"/><Relationship Type="http://schemas.openxmlformats.org/officeDocument/2006/relationships/hyperlink" Target="#'10_Steel_Work'!A586" TargetMode="External" Id="rId830"/><Relationship Type="http://schemas.openxmlformats.org/officeDocument/2006/relationships/hyperlink" Target="#'10_Steel_Work'!A598" TargetMode="External" Id="rId831"/><Relationship Type="http://schemas.openxmlformats.org/officeDocument/2006/relationships/hyperlink" Target="#'10_Steel_Work'!A611" TargetMode="External" Id="rId832"/><Relationship Type="http://schemas.openxmlformats.org/officeDocument/2006/relationships/hyperlink" Target="#'10_Steel_Work'!A624" TargetMode="External" Id="rId833"/><Relationship Type="http://schemas.openxmlformats.org/officeDocument/2006/relationships/hyperlink" Target="#'10_Steel_Work'!A635" TargetMode="External" Id="rId834"/><Relationship Type="http://schemas.openxmlformats.org/officeDocument/2006/relationships/hyperlink" Target="#'10_Steel_Work'!A656" TargetMode="External" Id="rId835"/><Relationship Type="http://schemas.openxmlformats.org/officeDocument/2006/relationships/hyperlink" Target="#'10_Steel_Work'!A674" TargetMode="External" Id="rId836"/><Relationship Type="http://schemas.openxmlformats.org/officeDocument/2006/relationships/hyperlink" Target="#'10_Steel_Work'!A691" TargetMode="External" Id="rId837"/><Relationship Type="http://schemas.openxmlformats.org/officeDocument/2006/relationships/hyperlink" Target="#'10_Steel_Work'!A708" TargetMode="External" Id="rId838"/><Relationship Type="http://schemas.openxmlformats.org/officeDocument/2006/relationships/hyperlink" Target="#'10_Steel_Work'!A725" TargetMode="External" Id="rId839"/><Relationship Type="http://schemas.openxmlformats.org/officeDocument/2006/relationships/hyperlink" Target="#'10_Steel_Work'!A738" TargetMode="External" Id="rId840"/><Relationship Type="http://schemas.openxmlformats.org/officeDocument/2006/relationships/hyperlink" Target="#'10_Steel_Work'!A751" TargetMode="External" Id="rId841"/><Relationship Type="http://schemas.openxmlformats.org/officeDocument/2006/relationships/hyperlink" Target="#'10_Steel_Work'!A764" TargetMode="External" Id="rId842"/><Relationship Type="http://schemas.openxmlformats.org/officeDocument/2006/relationships/hyperlink" Target="#'10_Steel_Work'!A777" TargetMode="External" Id="rId843"/><Relationship Type="http://schemas.openxmlformats.org/officeDocument/2006/relationships/hyperlink" Target="#'10_Steel_Work'!A789" TargetMode="External" Id="rId844"/><Relationship Type="http://schemas.openxmlformats.org/officeDocument/2006/relationships/hyperlink" Target="#'10_Steel_Work'!A806" TargetMode="External" Id="rId845"/><Relationship Type="http://schemas.openxmlformats.org/officeDocument/2006/relationships/hyperlink" Target="#'10_Steel_Work'!A823" TargetMode="External" Id="rId846"/><Relationship Type="http://schemas.openxmlformats.org/officeDocument/2006/relationships/hyperlink" Target="#'10_Steel_Work'!A840" TargetMode="External" Id="rId847"/><Relationship Type="http://schemas.openxmlformats.org/officeDocument/2006/relationships/hyperlink" Target="#'10_Steel_Work'!A853" TargetMode="External" Id="rId848"/><Relationship Type="http://schemas.openxmlformats.org/officeDocument/2006/relationships/hyperlink" Target="#'10_Steel_Work'!A865" TargetMode="External" Id="rId849"/><Relationship Type="http://schemas.openxmlformats.org/officeDocument/2006/relationships/hyperlink" Target="#'11_Flooring'!A5" TargetMode="External" Id="rId850"/><Relationship Type="http://schemas.openxmlformats.org/officeDocument/2006/relationships/hyperlink" Target="#'11_Flooring'!A23" TargetMode="External" Id="rId851"/><Relationship Type="http://schemas.openxmlformats.org/officeDocument/2006/relationships/hyperlink" Target="#'11_Flooring'!A40" TargetMode="External" Id="rId852"/><Relationship Type="http://schemas.openxmlformats.org/officeDocument/2006/relationships/hyperlink" Target="#'11_Flooring'!A57" TargetMode="External" Id="rId853"/><Relationship Type="http://schemas.openxmlformats.org/officeDocument/2006/relationships/hyperlink" Target="#'11_Flooring'!A78" TargetMode="External" Id="rId854"/><Relationship Type="http://schemas.openxmlformats.org/officeDocument/2006/relationships/hyperlink" Target="#'11_Flooring'!A103" TargetMode="External" Id="rId855"/><Relationship Type="http://schemas.openxmlformats.org/officeDocument/2006/relationships/hyperlink" Target="#'11_Flooring'!A129" TargetMode="External" Id="rId856"/><Relationship Type="http://schemas.openxmlformats.org/officeDocument/2006/relationships/hyperlink" Target="#'11_Flooring'!A144" TargetMode="External" Id="rId857"/><Relationship Type="http://schemas.openxmlformats.org/officeDocument/2006/relationships/hyperlink" Target="#'11_Flooring'!A157" TargetMode="External" Id="rId858"/><Relationship Type="http://schemas.openxmlformats.org/officeDocument/2006/relationships/hyperlink" Target="#'11_Flooring'!A169" TargetMode="External" Id="rId859"/><Relationship Type="http://schemas.openxmlformats.org/officeDocument/2006/relationships/hyperlink" Target="#'11_Flooring'!A201" TargetMode="External" Id="rId860"/><Relationship Type="http://schemas.openxmlformats.org/officeDocument/2006/relationships/hyperlink" Target="#'11_Flooring'!A215" TargetMode="External" Id="rId861"/><Relationship Type="http://schemas.openxmlformats.org/officeDocument/2006/relationships/hyperlink" Target="#'11_Flooring'!A229" TargetMode="External" Id="rId862"/><Relationship Type="http://schemas.openxmlformats.org/officeDocument/2006/relationships/hyperlink" Target="#'11_Flooring'!A259" TargetMode="External" Id="rId863"/><Relationship Type="http://schemas.openxmlformats.org/officeDocument/2006/relationships/hyperlink" Target="#'11_Flooring'!A271" TargetMode="External" Id="rId864"/><Relationship Type="http://schemas.openxmlformats.org/officeDocument/2006/relationships/hyperlink" Target="#'11_Flooring'!A283" TargetMode="External" Id="rId865"/><Relationship Type="http://schemas.openxmlformats.org/officeDocument/2006/relationships/hyperlink" Target="#'11_Flooring'!A315" TargetMode="External" Id="rId866"/><Relationship Type="http://schemas.openxmlformats.org/officeDocument/2006/relationships/hyperlink" Target="#'11_Flooring'!A329" TargetMode="External" Id="rId867"/><Relationship Type="http://schemas.openxmlformats.org/officeDocument/2006/relationships/hyperlink" Target="#'11_Flooring'!A343" TargetMode="External" Id="rId868"/><Relationship Type="http://schemas.openxmlformats.org/officeDocument/2006/relationships/hyperlink" Target="#'11_Flooring'!A373" TargetMode="External" Id="rId869"/><Relationship Type="http://schemas.openxmlformats.org/officeDocument/2006/relationships/hyperlink" Target="#'11_Flooring'!A385" TargetMode="External" Id="rId870"/><Relationship Type="http://schemas.openxmlformats.org/officeDocument/2006/relationships/hyperlink" Target="#'11_Flooring'!A415" TargetMode="External" Id="rId871"/><Relationship Type="http://schemas.openxmlformats.org/officeDocument/2006/relationships/hyperlink" Target="#'11_Flooring'!A447" TargetMode="External" Id="rId872"/><Relationship Type="http://schemas.openxmlformats.org/officeDocument/2006/relationships/hyperlink" Target="#'11_Flooring'!A461" TargetMode="External" Id="rId873"/><Relationship Type="http://schemas.openxmlformats.org/officeDocument/2006/relationships/hyperlink" Target="#'11_Flooring'!A475" TargetMode="External" Id="rId874"/><Relationship Type="http://schemas.openxmlformats.org/officeDocument/2006/relationships/hyperlink" Target="#'11_Flooring'!A505" TargetMode="External" Id="rId875"/><Relationship Type="http://schemas.openxmlformats.org/officeDocument/2006/relationships/hyperlink" Target="#'11_Flooring'!A517" TargetMode="External" Id="rId876"/><Relationship Type="http://schemas.openxmlformats.org/officeDocument/2006/relationships/hyperlink" Target="#'11_Flooring'!A548" TargetMode="External" Id="rId877"/><Relationship Type="http://schemas.openxmlformats.org/officeDocument/2006/relationships/hyperlink" Target="#'11_Flooring'!A571" TargetMode="External" Id="rId878"/><Relationship Type="http://schemas.openxmlformats.org/officeDocument/2006/relationships/hyperlink" Target="#'11_Flooring'!A586" TargetMode="External" Id="rId879"/><Relationship Type="http://schemas.openxmlformats.org/officeDocument/2006/relationships/hyperlink" Target="#'11_Flooring'!A601" TargetMode="External" Id="rId880"/><Relationship Type="http://schemas.openxmlformats.org/officeDocument/2006/relationships/hyperlink" Target="#'11_Flooring'!A622" TargetMode="External" Id="rId881"/><Relationship Type="http://schemas.openxmlformats.org/officeDocument/2006/relationships/hyperlink" Target="#'11_Flooring'!A635" TargetMode="External" Id="rId882"/><Relationship Type="http://schemas.openxmlformats.org/officeDocument/2006/relationships/hyperlink" Target="#'11_Flooring'!A648" TargetMode="External" Id="rId883"/><Relationship Type="http://schemas.openxmlformats.org/officeDocument/2006/relationships/hyperlink" Target="#'11_Flooring'!A661" TargetMode="External" Id="rId884"/><Relationship Type="http://schemas.openxmlformats.org/officeDocument/2006/relationships/hyperlink" Target="#'11_Flooring'!A673" TargetMode="External" Id="rId885"/><Relationship Type="http://schemas.openxmlformats.org/officeDocument/2006/relationships/hyperlink" Target="#'11_Flooring'!A702" TargetMode="External" Id="rId886"/><Relationship Type="http://schemas.openxmlformats.org/officeDocument/2006/relationships/hyperlink" Target="#'11_Flooring'!A724" TargetMode="External" Id="rId887"/><Relationship Type="http://schemas.openxmlformats.org/officeDocument/2006/relationships/hyperlink" Target="#'11_Flooring'!A746" TargetMode="External" Id="rId888"/><Relationship Type="http://schemas.openxmlformats.org/officeDocument/2006/relationships/hyperlink" Target="#'11_Flooring'!A767" TargetMode="External" Id="rId889"/><Relationship Type="http://schemas.openxmlformats.org/officeDocument/2006/relationships/hyperlink" Target="#'11_Flooring'!A788" TargetMode="External" Id="rId890"/><Relationship Type="http://schemas.openxmlformats.org/officeDocument/2006/relationships/hyperlink" Target="#'11_Flooring'!A800" TargetMode="External" Id="rId891"/><Relationship Type="http://schemas.openxmlformats.org/officeDocument/2006/relationships/hyperlink" Target="#'11_Flooring'!A819" TargetMode="External" Id="rId892"/><Relationship Type="http://schemas.openxmlformats.org/officeDocument/2006/relationships/hyperlink" Target="#'11_Flooring'!A839" TargetMode="External" Id="rId893"/><Relationship Type="http://schemas.openxmlformats.org/officeDocument/2006/relationships/hyperlink" Target="#'11_Flooring'!A858" TargetMode="External" Id="rId894"/><Relationship Type="http://schemas.openxmlformats.org/officeDocument/2006/relationships/hyperlink" Target="#'11_Flooring'!A878" TargetMode="External" Id="rId895"/><Relationship Type="http://schemas.openxmlformats.org/officeDocument/2006/relationships/hyperlink" Target="#'11_Flooring'!A900" TargetMode="External" Id="rId896"/><Relationship Type="http://schemas.openxmlformats.org/officeDocument/2006/relationships/hyperlink" Target="#'11_Flooring'!A922" TargetMode="External" Id="rId897"/><Relationship Type="http://schemas.openxmlformats.org/officeDocument/2006/relationships/hyperlink" Target="#'11_Flooring'!A943" TargetMode="External" Id="rId898"/><Relationship Type="http://schemas.openxmlformats.org/officeDocument/2006/relationships/hyperlink" Target="#'11_Flooring'!A965" TargetMode="External" Id="rId899"/><Relationship Type="http://schemas.openxmlformats.org/officeDocument/2006/relationships/hyperlink" Target="#'11_Flooring'!A984" TargetMode="External" Id="rId900"/><Relationship Type="http://schemas.openxmlformats.org/officeDocument/2006/relationships/hyperlink" Target="#'11_Flooring'!A1003" TargetMode="External" Id="rId901"/><Relationship Type="http://schemas.openxmlformats.org/officeDocument/2006/relationships/hyperlink" Target="#'11_Flooring'!A1021" TargetMode="External" Id="rId902"/><Relationship Type="http://schemas.openxmlformats.org/officeDocument/2006/relationships/hyperlink" Target="#'11_Flooring'!A1041" TargetMode="External" Id="rId903"/><Relationship Type="http://schemas.openxmlformats.org/officeDocument/2006/relationships/hyperlink" Target="#'11_Flooring'!A1061" TargetMode="External" Id="rId904"/><Relationship Type="http://schemas.openxmlformats.org/officeDocument/2006/relationships/hyperlink" Target="#'11_Flooring'!A1081" TargetMode="External" Id="rId905"/><Relationship Type="http://schemas.openxmlformats.org/officeDocument/2006/relationships/hyperlink" Target="#'11_Flooring'!A1099" TargetMode="External" Id="rId906"/><Relationship Type="http://schemas.openxmlformats.org/officeDocument/2006/relationships/hyperlink" Target="#'11_Flooring'!A1118" TargetMode="External" Id="rId907"/><Relationship Type="http://schemas.openxmlformats.org/officeDocument/2006/relationships/hyperlink" Target="#'11_Flooring'!A1137" TargetMode="External" Id="rId908"/><Relationship Type="http://schemas.openxmlformats.org/officeDocument/2006/relationships/hyperlink" Target="#'11_Flooring'!A1156" TargetMode="External" Id="rId909"/><Relationship Type="http://schemas.openxmlformats.org/officeDocument/2006/relationships/hyperlink" Target="#'11_Flooring'!A1175" TargetMode="External" Id="rId910"/><Relationship Type="http://schemas.openxmlformats.org/officeDocument/2006/relationships/hyperlink" Target="#'11_Flooring'!A1194" TargetMode="External" Id="rId911"/><Relationship Type="http://schemas.openxmlformats.org/officeDocument/2006/relationships/hyperlink" Target="#'11_Flooring'!A1212" TargetMode="External" Id="rId912"/><Relationship Type="http://schemas.openxmlformats.org/officeDocument/2006/relationships/hyperlink" Target="#'11_Flooring'!A1224" TargetMode="External" Id="rId913"/><Relationship Type="http://schemas.openxmlformats.org/officeDocument/2006/relationships/hyperlink" Target="#'11_Flooring'!A1238" TargetMode="External" Id="rId914"/><Relationship Type="http://schemas.openxmlformats.org/officeDocument/2006/relationships/hyperlink" Target="#'11_Flooring'!A1258" TargetMode="External" Id="rId915"/><Relationship Type="http://schemas.openxmlformats.org/officeDocument/2006/relationships/hyperlink" Target="#'11_Flooring'!A1278" TargetMode="External" Id="rId916"/><Relationship Type="http://schemas.openxmlformats.org/officeDocument/2006/relationships/hyperlink" Target="#'11_Flooring'!A1295" TargetMode="External" Id="rId917"/><Relationship Type="http://schemas.openxmlformats.org/officeDocument/2006/relationships/hyperlink" Target="#'11_Flooring'!A1312" TargetMode="External" Id="rId918"/><Relationship Type="http://schemas.openxmlformats.org/officeDocument/2006/relationships/hyperlink" Target="#'11_Flooring'!A1330" TargetMode="External" Id="rId919"/><Relationship Type="http://schemas.openxmlformats.org/officeDocument/2006/relationships/hyperlink" Target="#'11_Flooring'!A1348" TargetMode="External" Id="rId920"/><Relationship Type="http://schemas.openxmlformats.org/officeDocument/2006/relationships/hyperlink" Target="#'11_Flooring'!A1368" TargetMode="External" Id="rId921"/><Relationship Type="http://schemas.openxmlformats.org/officeDocument/2006/relationships/hyperlink" Target="#'11_Flooring'!A1387" TargetMode="External" Id="rId922"/><Relationship Type="http://schemas.openxmlformats.org/officeDocument/2006/relationships/hyperlink" Target="#'11_Flooring'!A1396" TargetMode="External" Id="rId923"/><Relationship Type="http://schemas.openxmlformats.org/officeDocument/2006/relationships/hyperlink" Target="#'11_Flooring'!A1407" TargetMode="External" Id="rId924"/><Relationship Type="http://schemas.openxmlformats.org/officeDocument/2006/relationships/hyperlink" Target="#'11_Flooring'!A1423" TargetMode="External" Id="rId925"/><Relationship Type="http://schemas.openxmlformats.org/officeDocument/2006/relationships/hyperlink" Target="#'11_Flooring'!A1438" TargetMode="External" Id="rId926"/><Relationship Type="http://schemas.openxmlformats.org/officeDocument/2006/relationships/hyperlink" Target="#'11_Flooring'!A1455" TargetMode="External" Id="rId927"/><Relationship Type="http://schemas.openxmlformats.org/officeDocument/2006/relationships/hyperlink" Target="#'11_Flooring'!A1472" TargetMode="External" Id="rId928"/><Relationship Type="http://schemas.openxmlformats.org/officeDocument/2006/relationships/hyperlink" Target="#'11_Flooring'!A1488" TargetMode="External" Id="rId929"/><Relationship Type="http://schemas.openxmlformats.org/officeDocument/2006/relationships/hyperlink" Target="#'11_Flooring'!A1504" TargetMode="External" Id="rId930"/><Relationship Type="http://schemas.openxmlformats.org/officeDocument/2006/relationships/hyperlink" Target="#'11_Flooring'!A1520" TargetMode="External" Id="rId931"/><Relationship Type="http://schemas.openxmlformats.org/officeDocument/2006/relationships/hyperlink" Target="#'11_Flooring'!A1536" TargetMode="External" Id="rId932"/><Relationship Type="http://schemas.openxmlformats.org/officeDocument/2006/relationships/hyperlink" Target="#'11_Flooring'!A1553" TargetMode="External" Id="rId933"/><Relationship Type="http://schemas.openxmlformats.org/officeDocument/2006/relationships/hyperlink" Target="#'11_Flooring'!A1570" TargetMode="External" Id="rId934"/><Relationship Type="http://schemas.openxmlformats.org/officeDocument/2006/relationships/hyperlink" Target="#'11_Flooring'!A1587" TargetMode="External" Id="rId935"/><Relationship Type="http://schemas.openxmlformats.org/officeDocument/2006/relationships/hyperlink" Target="#'11_Flooring'!A1604" TargetMode="External" Id="rId936"/><Relationship Type="http://schemas.openxmlformats.org/officeDocument/2006/relationships/hyperlink" Target="#'11_Flooring'!A1620" TargetMode="External" Id="rId937"/><Relationship Type="http://schemas.openxmlformats.org/officeDocument/2006/relationships/hyperlink" Target="#'11_Flooring'!A1634" TargetMode="External" Id="rId938"/><Relationship Type="http://schemas.openxmlformats.org/officeDocument/2006/relationships/hyperlink" Target="#'11_Flooring'!A1647" TargetMode="External" Id="rId939"/><Relationship Type="http://schemas.openxmlformats.org/officeDocument/2006/relationships/hyperlink" Target="#'11_Flooring'!A1673" TargetMode="External" Id="rId940"/><Relationship Type="http://schemas.openxmlformats.org/officeDocument/2006/relationships/hyperlink" Target="#'11_Flooring'!A1692" TargetMode="External" Id="rId941"/><Relationship Type="http://schemas.openxmlformats.org/officeDocument/2006/relationships/hyperlink" Target="#'11_Flooring'!A1709" TargetMode="External" Id="rId942"/><Relationship Type="http://schemas.openxmlformats.org/officeDocument/2006/relationships/hyperlink" Target="#'11_Flooring'!A1726" TargetMode="External" Id="rId943"/><Relationship Type="http://schemas.openxmlformats.org/officeDocument/2006/relationships/hyperlink" Target="#'11_Flooring'!A1743" TargetMode="External" Id="rId944"/><Relationship Type="http://schemas.openxmlformats.org/officeDocument/2006/relationships/hyperlink" Target="#'11_Flooring'!A1759" TargetMode="External" Id="rId945"/><Relationship Type="http://schemas.openxmlformats.org/officeDocument/2006/relationships/hyperlink" Target="#'11_Flooring'!A1776" TargetMode="External" Id="rId946"/><Relationship Type="http://schemas.openxmlformats.org/officeDocument/2006/relationships/hyperlink" Target="#'11_Flooring'!A1791" TargetMode="External" Id="rId947"/><Relationship Type="http://schemas.openxmlformats.org/officeDocument/2006/relationships/hyperlink" Target="#'11_Flooring'!A1806" TargetMode="External" Id="rId948"/><Relationship Type="http://schemas.openxmlformats.org/officeDocument/2006/relationships/hyperlink" Target="#'11_Flooring'!A1821" TargetMode="External" Id="rId949"/><Relationship Type="http://schemas.openxmlformats.org/officeDocument/2006/relationships/hyperlink" Target="#'11_Flooring'!A1836" TargetMode="External" Id="rId950"/><Relationship Type="http://schemas.openxmlformats.org/officeDocument/2006/relationships/hyperlink" Target="#'11_Flooring'!A1849" TargetMode="External" Id="rId951"/><Relationship Type="http://schemas.openxmlformats.org/officeDocument/2006/relationships/hyperlink" Target="#'11_Flooring'!A1862" TargetMode="External" Id="rId952"/><Relationship Type="http://schemas.openxmlformats.org/officeDocument/2006/relationships/hyperlink" Target="#'11_Flooring'!A1875" TargetMode="External" Id="rId953"/><Relationship Type="http://schemas.openxmlformats.org/officeDocument/2006/relationships/hyperlink" Target="#'11_Flooring'!A1888" TargetMode="External" Id="rId954"/><Relationship Type="http://schemas.openxmlformats.org/officeDocument/2006/relationships/hyperlink" Target="#'11_Flooring'!A1903" TargetMode="External" Id="rId955"/><Relationship Type="http://schemas.openxmlformats.org/officeDocument/2006/relationships/hyperlink" Target="#'11_Flooring'!A1918" TargetMode="External" Id="rId956"/><Relationship Type="http://schemas.openxmlformats.org/officeDocument/2006/relationships/hyperlink" Target="#'11_Flooring'!A1933" TargetMode="External" Id="rId957"/><Relationship Type="http://schemas.openxmlformats.org/officeDocument/2006/relationships/hyperlink" Target="#'11_Flooring'!A1947" TargetMode="External" Id="rId958"/><Relationship Type="http://schemas.openxmlformats.org/officeDocument/2006/relationships/hyperlink" Target="#'11_Flooring'!A1958" TargetMode="External" Id="rId959"/><Relationship Type="http://schemas.openxmlformats.org/officeDocument/2006/relationships/hyperlink" Target="#'11_Flooring'!A1978" TargetMode="External" Id="rId960"/><Relationship Type="http://schemas.openxmlformats.org/officeDocument/2006/relationships/hyperlink" Target="#'11_Flooring'!A1997" TargetMode="External" Id="rId961"/><Relationship Type="http://schemas.openxmlformats.org/officeDocument/2006/relationships/hyperlink" Target="#'11_Flooring'!A2014" TargetMode="External" Id="rId962"/><Relationship Type="http://schemas.openxmlformats.org/officeDocument/2006/relationships/hyperlink" Target="#'11_Flooring'!A2032" TargetMode="External" Id="rId963"/><Relationship Type="http://schemas.openxmlformats.org/officeDocument/2006/relationships/hyperlink" Target="#'11_Flooring'!A2050" TargetMode="External" Id="rId964"/><Relationship Type="http://schemas.openxmlformats.org/officeDocument/2006/relationships/hyperlink" Target="#'11_Flooring'!A2071" TargetMode="External" Id="rId965"/><Relationship Type="http://schemas.openxmlformats.org/officeDocument/2006/relationships/hyperlink" Target="#'12_Roofing'!A5" TargetMode="External" Id="rId966"/><Relationship Type="http://schemas.openxmlformats.org/officeDocument/2006/relationships/hyperlink" Target="#'12_Roofing'!A36" TargetMode="External" Id="rId967"/><Relationship Type="http://schemas.openxmlformats.org/officeDocument/2006/relationships/hyperlink" Target="#'12_Roofing'!A67" TargetMode="External" Id="rId968"/><Relationship Type="http://schemas.openxmlformats.org/officeDocument/2006/relationships/hyperlink" Target="#'12_Roofing'!A98" TargetMode="External" Id="rId969"/><Relationship Type="http://schemas.openxmlformats.org/officeDocument/2006/relationships/hyperlink" Target="#'12_Roofing'!A109" TargetMode="External" Id="rId970"/><Relationship Type="http://schemas.openxmlformats.org/officeDocument/2006/relationships/hyperlink" Target="#'12_Roofing'!A120" TargetMode="External" Id="rId971"/><Relationship Type="http://schemas.openxmlformats.org/officeDocument/2006/relationships/hyperlink" Target="#'12_Roofing'!A131" TargetMode="External" Id="rId972"/><Relationship Type="http://schemas.openxmlformats.org/officeDocument/2006/relationships/hyperlink" Target="#'12_Roofing'!A142" TargetMode="External" Id="rId973"/><Relationship Type="http://schemas.openxmlformats.org/officeDocument/2006/relationships/hyperlink" Target="#'12_Roofing'!A153" TargetMode="External" Id="rId974"/><Relationship Type="http://schemas.openxmlformats.org/officeDocument/2006/relationships/hyperlink" Target="#'12_Roofing'!A164" TargetMode="External" Id="rId975"/><Relationship Type="http://schemas.openxmlformats.org/officeDocument/2006/relationships/hyperlink" Target="#'12_Roofing'!A184" TargetMode="External" Id="rId976"/><Relationship Type="http://schemas.openxmlformats.org/officeDocument/2006/relationships/hyperlink" Target="#'12_Roofing'!A204" TargetMode="External" Id="rId977"/><Relationship Type="http://schemas.openxmlformats.org/officeDocument/2006/relationships/hyperlink" Target="#'12_Roofing'!A224" TargetMode="External" Id="rId978"/><Relationship Type="http://schemas.openxmlformats.org/officeDocument/2006/relationships/hyperlink" Target="#'12_Roofing'!A244" TargetMode="External" Id="rId979"/><Relationship Type="http://schemas.openxmlformats.org/officeDocument/2006/relationships/hyperlink" Target="#'12_Roofing'!A269" TargetMode="External" Id="rId980"/><Relationship Type="http://schemas.openxmlformats.org/officeDocument/2006/relationships/hyperlink" Target="#'12_Roofing'!A293" TargetMode="External" Id="rId981"/><Relationship Type="http://schemas.openxmlformats.org/officeDocument/2006/relationships/hyperlink" Target="#'12_Roofing'!A311" TargetMode="External" Id="rId982"/><Relationship Type="http://schemas.openxmlformats.org/officeDocument/2006/relationships/hyperlink" Target="#'12_Roofing'!A321" TargetMode="External" Id="rId983"/><Relationship Type="http://schemas.openxmlformats.org/officeDocument/2006/relationships/hyperlink" Target="#'12_Roofing'!A331" TargetMode="External" Id="rId984"/><Relationship Type="http://schemas.openxmlformats.org/officeDocument/2006/relationships/hyperlink" Target="#'12_Roofing'!A345" TargetMode="External" Id="rId985"/><Relationship Type="http://schemas.openxmlformats.org/officeDocument/2006/relationships/hyperlink" Target="#'12_Roofing'!A360" TargetMode="External" Id="rId986"/><Relationship Type="http://schemas.openxmlformats.org/officeDocument/2006/relationships/hyperlink" Target="#'12_Roofing'!A375" TargetMode="External" Id="rId987"/><Relationship Type="http://schemas.openxmlformats.org/officeDocument/2006/relationships/hyperlink" Target="#'12_Roofing'!A390" TargetMode="External" Id="rId988"/><Relationship Type="http://schemas.openxmlformats.org/officeDocument/2006/relationships/hyperlink" Target="#'12_Roofing'!A405" TargetMode="External" Id="rId989"/><Relationship Type="http://schemas.openxmlformats.org/officeDocument/2006/relationships/hyperlink" Target="#'12_Roofing'!A420" TargetMode="External" Id="rId990"/><Relationship Type="http://schemas.openxmlformats.org/officeDocument/2006/relationships/hyperlink" Target="#'12_Roofing'!A435" TargetMode="External" Id="rId991"/><Relationship Type="http://schemas.openxmlformats.org/officeDocument/2006/relationships/hyperlink" Target="#'12_Roofing'!A453" TargetMode="External" Id="rId992"/><Relationship Type="http://schemas.openxmlformats.org/officeDocument/2006/relationships/hyperlink" Target="#'12_Roofing'!A471" TargetMode="External" Id="rId993"/><Relationship Type="http://schemas.openxmlformats.org/officeDocument/2006/relationships/hyperlink" Target="#'12_Roofing'!A489" TargetMode="External" Id="rId994"/><Relationship Type="http://schemas.openxmlformats.org/officeDocument/2006/relationships/hyperlink" Target="#'12_Roofing'!A500" TargetMode="External" Id="rId995"/><Relationship Type="http://schemas.openxmlformats.org/officeDocument/2006/relationships/hyperlink" Target="#'12_Roofing'!A518" TargetMode="External" Id="rId996"/><Relationship Type="http://schemas.openxmlformats.org/officeDocument/2006/relationships/hyperlink" Target="#'12_Roofing'!A537" TargetMode="External" Id="rId997"/><Relationship Type="http://schemas.openxmlformats.org/officeDocument/2006/relationships/hyperlink" Target="#'12_Roofing'!A552" TargetMode="External" Id="rId998"/><Relationship Type="http://schemas.openxmlformats.org/officeDocument/2006/relationships/hyperlink" Target="#'12_Roofing'!A570" TargetMode="External" Id="rId999"/><Relationship Type="http://schemas.openxmlformats.org/officeDocument/2006/relationships/hyperlink" Target="#'12_Roofing'!A593" TargetMode="External" Id="rId1000"/><Relationship Type="http://schemas.openxmlformats.org/officeDocument/2006/relationships/hyperlink" Target="#'12_Roofing'!A615" TargetMode="External" Id="rId1001"/><Relationship Type="http://schemas.openxmlformats.org/officeDocument/2006/relationships/hyperlink" Target="#'12_Roofing'!A628" TargetMode="External" Id="rId1002"/><Relationship Type="http://schemas.openxmlformats.org/officeDocument/2006/relationships/hyperlink" Target="#'12_Roofing'!A644" TargetMode="External" Id="rId1003"/><Relationship Type="http://schemas.openxmlformats.org/officeDocument/2006/relationships/hyperlink" Target="#'12_Roofing'!A661" TargetMode="External" Id="rId1004"/><Relationship Type="http://schemas.openxmlformats.org/officeDocument/2006/relationships/hyperlink" Target="#'12_Roofing'!A696" TargetMode="External" Id="rId1005"/><Relationship Type="http://schemas.openxmlformats.org/officeDocument/2006/relationships/hyperlink" Target="#'12_Roofing'!A733" TargetMode="External" Id="rId1006"/><Relationship Type="http://schemas.openxmlformats.org/officeDocument/2006/relationships/hyperlink" Target="#'12_Roofing'!A752" TargetMode="External" Id="rId1007"/><Relationship Type="http://schemas.openxmlformats.org/officeDocument/2006/relationships/hyperlink" Target="#'12_Roofing'!A771" TargetMode="External" Id="rId1008"/><Relationship Type="http://schemas.openxmlformats.org/officeDocument/2006/relationships/hyperlink" Target="#'12_Roofing'!A788" TargetMode="External" Id="rId1009"/><Relationship Type="http://schemas.openxmlformats.org/officeDocument/2006/relationships/hyperlink" Target="#'12_Roofing'!A805" TargetMode="External" Id="rId1010"/><Relationship Type="http://schemas.openxmlformats.org/officeDocument/2006/relationships/hyperlink" Target="#'12_Roofing'!A821" TargetMode="External" Id="rId1011"/><Relationship Type="http://schemas.openxmlformats.org/officeDocument/2006/relationships/hyperlink" Target="#'12_Roofing'!A837" TargetMode="External" Id="rId1012"/><Relationship Type="http://schemas.openxmlformats.org/officeDocument/2006/relationships/hyperlink" Target="#'12_Roofing'!A853" TargetMode="External" Id="rId1013"/><Relationship Type="http://schemas.openxmlformats.org/officeDocument/2006/relationships/hyperlink" Target="#'12_Roofing'!A869" TargetMode="External" Id="rId1014"/><Relationship Type="http://schemas.openxmlformats.org/officeDocument/2006/relationships/hyperlink" Target="#'12_Roofing'!A887" TargetMode="External" Id="rId1015"/><Relationship Type="http://schemas.openxmlformats.org/officeDocument/2006/relationships/hyperlink" Target="#'12_Roofing'!A907" TargetMode="External" Id="rId1016"/><Relationship Type="http://schemas.openxmlformats.org/officeDocument/2006/relationships/hyperlink" Target="#'12_Roofing'!A927" TargetMode="External" Id="rId1017"/><Relationship Type="http://schemas.openxmlformats.org/officeDocument/2006/relationships/hyperlink" Target="#'12_Roofing'!A947" TargetMode="External" Id="rId1018"/><Relationship Type="http://schemas.openxmlformats.org/officeDocument/2006/relationships/hyperlink" Target="#'12_Roofing'!A967" TargetMode="External" Id="rId1019"/><Relationship Type="http://schemas.openxmlformats.org/officeDocument/2006/relationships/hyperlink" Target="#'12_Roofing'!A985" TargetMode="External" Id="rId1020"/><Relationship Type="http://schemas.openxmlformats.org/officeDocument/2006/relationships/hyperlink" Target="#'12_Roofing'!A997" TargetMode="External" Id="rId1021"/><Relationship Type="http://schemas.openxmlformats.org/officeDocument/2006/relationships/hyperlink" Target="#'12_Roofing'!A1020" TargetMode="External" Id="rId1022"/><Relationship Type="http://schemas.openxmlformats.org/officeDocument/2006/relationships/hyperlink" Target="#'12_Roofing'!A1045" TargetMode="External" Id="rId1023"/><Relationship Type="http://schemas.openxmlformats.org/officeDocument/2006/relationships/hyperlink" Target="#'12_Roofing'!A1059" TargetMode="External" Id="rId1024"/><Relationship Type="http://schemas.openxmlformats.org/officeDocument/2006/relationships/hyperlink" Target="#'12_Roofing'!A1071" TargetMode="External" Id="rId1025"/><Relationship Type="http://schemas.openxmlformats.org/officeDocument/2006/relationships/hyperlink" Target="#'12_Roofing'!A1084" TargetMode="External" Id="rId1026"/><Relationship Type="http://schemas.openxmlformats.org/officeDocument/2006/relationships/hyperlink" Target="#'12_Roofing'!A1097" TargetMode="External" Id="rId1027"/><Relationship Type="http://schemas.openxmlformats.org/officeDocument/2006/relationships/hyperlink" Target="#'12_Roofing'!A1111" TargetMode="External" Id="rId1028"/><Relationship Type="http://schemas.openxmlformats.org/officeDocument/2006/relationships/hyperlink" Target="#'12_Roofing'!A1125" TargetMode="External" Id="rId1029"/><Relationship Type="http://schemas.openxmlformats.org/officeDocument/2006/relationships/hyperlink" Target="#'12_Roofing'!A1140" TargetMode="External" Id="rId1030"/><Relationship Type="http://schemas.openxmlformats.org/officeDocument/2006/relationships/hyperlink" Target="#'12_Roofing'!A1171" TargetMode="External" Id="rId1031"/><Relationship Type="http://schemas.openxmlformats.org/officeDocument/2006/relationships/hyperlink" Target="#'12_Roofing'!A1202" TargetMode="External" Id="rId1032"/><Relationship Type="http://schemas.openxmlformats.org/officeDocument/2006/relationships/hyperlink" Target="#'12_Roofing'!A1218" TargetMode="External" Id="rId1033"/><Relationship Type="http://schemas.openxmlformats.org/officeDocument/2006/relationships/hyperlink" Target="#'12_Roofing'!A1235" TargetMode="External" Id="rId1034"/><Relationship Type="http://schemas.openxmlformats.org/officeDocument/2006/relationships/hyperlink" Target="#'12_Roofing'!A1246" TargetMode="External" Id="rId1035"/><Relationship Type="http://schemas.openxmlformats.org/officeDocument/2006/relationships/hyperlink" Target="#'12_Roofing'!A1263" TargetMode="External" Id="rId1036"/><Relationship Type="http://schemas.openxmlformats.org/officeDocument/2006/relationships/hyperlink" Target="#'12_Roofing'!A1281" TargetMode="External" Id="rId1037"/><Relationship Type="http://schemas.openxmlformats.org/officeDocument/2006/relationships/hyperlink" Target="#'12_Roofing'!A1295" TargetMode="External" Id="rId1038"/><Relationship Type="http://schemas.openxmlformats.org/officeDocument/2006/relationships/hyperlink" Target="#'12_Roofing'!A1309" TargetMode="External" Id="rId1039"/><Relationship Type="http://schemas.openxmlformats.org/officeDocument/2006/relationships/hyperlink" Target="#'12_Roofing'!A1323" TargetMode="External" Id="rId1040"/><Relationship Type="http://schemas.openxmlformats.org/officeDocument/2006/relationships/hyperlink" Target="#'12_Roofing'!A1337" TargetMode="External" Id="rId1041"/><Relationship Type="http://schemas.openxmlformats.org/officeDocument/2006/relationships/hyperlink" Target="#'12_Roofing'!A1350" TargetMode="External" Id="rId1042"/><Relationship Type="http://schemas.openxmlformats.org/officeDocument/2006/relationships/hyperlink" Target="#'12_Roofing'!A1363" TargetMode="External" Id="rId1043"/><Relationship Type="http://schemas.openxmlformats.org/officeDocument/2006/relationships/hyperlink" Target="#'12_Roofing'!A1376" TargetMode="External" Id="rId1044"/><Relationship Type="http://schemas.openxmlformats.org/officeDocument/2006/relationships/hyperlink" Target="#'12_Roofing'!A1389" TargetMode="External" Id="rId1045"/><Relationship Type="http://schemas.openxmlformats.org/officeDocument/2006/relationships/hyperlink" Target="#'12_Roofing'!A1403" TargetMode="External" Id="rId1046"/><Relationship Type="http://schemas.openxmlformats.org/officeDocument/2006/relationships/hyperlink" Target="#'12_Roofing'!A1417" TargetMode="External" Id="rId1047"/><Relationship Type="http://schemas.openxmlformats.org/officeDocument/2006/relationships/hyperlink" Target="#'12_Roofing'!A1431" TargetMode="External" Id="rId1048"/><Relationship Type="http://schemas.openxmlformats.org/officeDocument/2006/relationships/hyperlink" Target="#'12_Roofing'!A1444" TargetMode="External" Id="rId1049"/><Relationship Type="http://schemas.openxmlformats.org/officeDocument/2006/relationships/hyperlink" Target="#'12_Roofing'!A1462" TargetMode="External" Id="rId1050"/><Relationship Type="http://schemas.openxmlformats.org/officeDocument/2006/relationships/hyperlink" Target="#'12_Roofing'!A1479" TargetMode="External" Id="rId1051"/><Relationship Type="http://schemas.openxmlformats.org/officeDocument/2006/relationships/hyperlink" Target="#'12_Roofing'!A1490" TargetMode="External" Id="rId1052"/><Relationship Type="http://schemas.openxmlformats.org/officeDocument/2006/relationships/hyperlink" Target="#'12_Roofing'!A1518" TargetMode="External" Id="rId1053"/><Relationship Type="http://schemas.openxmlformats.org/officeDocument/2006/relationships/hyperlink" Target="#'12_Roofing'!A1546" TargetMode="External" Id="rId1054"/><Relationship Type="http://schemas.openxmlformats.org/officeDocument/2006/relationships/hyperlink" Target="#'12_Roofing'!A1574" TargetMode="External" Id="rId1055"/><Relationship Type="http://schemas.openxmlformats.org/officeDocument/2006/relationships/hyperlink" Target="#'12_Roofing'!A1601" TargetMode="External" Id="rId1056"/><Relationship Type="http://schemas.openxmlformats.org/officeDocument/2006/relationships/hyperlink" Target="#'12_Roofing'!A1612" TargetMode="External" Id="rId1057"/><Relationship Type="http://schemas.openxmlformats.org/officeDocument/2006/relationships/hyperlink" Target="#'12_Roofing'!A1632" TargetMode="External" Id="rId1058"/><Relationship Type="http://schemas.openxmlformats.org/officeDocument/2006/relationships/hyperlink" Target="#'12_Roofing'!A1651" TargetMode="External" Id="rId1059"/><Relationship Type="http://schemas.openxmlformats.org/officeDocument/2006/relationships/hyperlink" Target="#'12_Roofing'!A1664" TargetMode="External" Id="rId1060"/><Relationship Type="http://schemas.openxmlformats.org/officeDocument/2006/relationships/hyperlink" Target="#'12_Roofing'!A1677" TargetMode="External" Id="rId1061"/><Relationship Type="http://schemas.openxmlformats.org/officeDocument/2006/relationships/hyperlink" Target="#'12_Roofing'!A1696" TargetMode="External" Id="rId1062"/><Relationship Type="http://schemas.openxmlformats.org/officeDocument/2006/relationships/hyperlink" Target="#'12_Roofing'!A1711" TargetMode="External" Id="rId1063"/><Relationship Type="http://schemas.openxmlformats.org/officeDocument/2006/relationships/hyperlink" Target="#'12_Roofing'!A1726" TargetMode="External" Id="rId1064"/><Relationship Type="http://schemas.openxmlformats.org/officeDocument/2006/relationships/hyperlink" Target="#'12_Roofing'!A1744" TargetMode="External" Id="rId1065"/><Relationship Type="http://schemas.openxmlformats.org/officeDocument/2006/relationships/hyperlink" Target="#'12_Roofing'!A1762" TargetMode="External" Id="rId1066"/><Relationship Type="http://schemas.openxmlformats.org/officeDocument/2006/relationships/hyperlink" Target="#'12_Roofing'!A1780" TargetMode="External" Id="rId1067"/><Relationship Type="http://schemas.openxmlformats.org/officeDocument/2006/relationships/hyperlink" Target="#'12_Roofing'!A1806" TargetMode="External" Id="rId1068"/><Relationship Type="http://schemas.openxmlformats.org/officeDocument/2006/relationships/hyperlink" Target="#'12_Roofing'!A1829" TargetMode="External" Id="rId1069"/><Relationship Type="http://schemas.openxmlformats.org/officeDocument/2006/relationships/hyperlink" Target="#'12_Roofing'!A1852" TargetMode="External" Id="rId1070"/><Relationship Type="http://schemas.openxmlformats.org/officeDocument/2006/relationships/hyperlink" Target="#'12_Roofing'!A1875" TargetMode="External" Id="rId1071"/><Relationship Type="http://schemas.openxmlformats.org/officeDocument/2006/relationships/hyperlink" Target="#'12_Roofing'!A1896" TargetMode="External" Id="rId1072"/><Relationship Type="http://schemas.openxmlformats.org/officeDocument/2006/relationships/hyperlink" Target="#'12_Roofing'!A1922" TargetMode="External" Id="rId1073"/><Relationship Type="http://schemas.openxmlformats.org/officeDocument/2006/relationships/hyperlink" Target="#'12_Roofing'!A1948" TargetMode="External" Id="rId1074"/><Relationship Type="http://schemas.openxmlformats.org/officeDocument/2006/relationships/hyperlink" Target="#'12_Roofing'!A1972" TargetMode="External" Id="rId1075"/><Relationship Type="http://schemas.openxmlformats.org/officeDocument/2006/relationships/hyperlink" Target="#'12_Roofing'!A1992" TargetMode="External" Id="rId1076"/><Relationship Type="http://schemas.openxmlformats.org/officeDocument/2006/relationships/hyperlink" Target="#'12_Roofing'!A2012" TargetMode="External" Id="rId1077"/><Relationship Type="http://schemas.openxmlformats.org/officeDocument/2006/relationships/hyperlink" Target="#'12_Roofing'!A2027" TargetMode="External" Id="rId1078"/><Relationship Type="http://schemas.openxmlformats.org/officeDocument/2006/relationships/hyperlink" Target="#'12_Roofing'!A2050" TargetMode="External" Id="rId1079"/><Relationship Type="http://schemas.openxmlformats.org/officeDocument/2006/relationships/hyperlink" Target="#'12_Roofing'!A2077" TargetMode="External" Id="rId1080"/><Relationship Type="http://schemas.openxmlformats.org/officeDocument/2006/relationships/hyperlink" Target="#'12_Roofing'!A2090" TargetMode="External" Id="rId1081"/><Relationship Type="http://schemas.openxmlformats.org/officeDocument/2006/relationships/hyperlink" Target="#'12_Roofing'!A2102" TargetMode="External" Id="rId1082"/><Relationship Type="http://schemas.openxmlformats.org/officeDocument/2006/relationships/hyperlink" Target="#'12_Roofing'!A2115" TargetMode="External" Id="rId1083"/></Relationships>
</file>

<file path=xl/worksheets/_rels/sheet6.xml.rels><Relationships xmlns="http://schemas.openxmlformats.org/package/2006/relationships"><Relationship Type="http://schemas.openxmlformats.org/officeDocument/2006/relationships/hyperlink" Target="#'04_Concrete_Work'!A5" TargetMode="External" Id="rId1"/><Relationship Type="http://schemas.openxmlformats.org/officeDocument/2006/relationships/hyperlink" Target="#'04_Concrete_Work'!A5" TargetMode="External" Id="rId2"/><Relationship Type="http://schemas.openxmlformats.org/officeDocument/2006/relationships/hyperlink" Target="#'10_Steel_Work'!A4" TargetMode="External" Id="rId3"/><Relationship Type="http://schemas.openxmlformats.org/officeDocument/2006/relationships/hyperlink" Target="#'11_Flooring'!A23" TargetMode="External" Id="rId4"/><Relationship Type="http://schemas.openxmlformats.org/officeDocument/2006/relationships/hyperlink" Target="#'11_Flooring'!A144" TargetMode="External" Id="rId5"/><Relationship Type="http://schemas.openxmlformats.org/officeDocument/2006/relationships/hyperlink" Target="#'04_Concrete_Work'!A5" TargetMode="External" Id="rId6"/><Relationship Type="http://schemas.openxmlformats.org/officeDocument/2006/relationships/hyperlink" Target="#'10_Steel_Work'!A4" TargetMode="External" Id="rId7"/><Relationship Type="http://schemas.openxmlformats.org/officeDocument/2006/relationships/hyperlink" Target="#'11_Flooring'!A23" TargetMode="External" Id="rId8"/><Relationship Type="http://schemas.openxmlformats.org/officeDocument/2006/relationships/hyperlink" Target="#'11_Flooring'!A144" TargetMode="External" Id="rId9"/><Relationship Type="http://schemas.openxmlformats.org/officeDocument/2006/relationships/hyperlink" Target="#'04_Concrete_Work'!A5" TargetMode="External" Id="rId10"/><Relationship Type="http://schemas.openxmlformats.org/officeDocument/2006/relationships/hyperlink" Target="#'10_Steel_Work'!A4" TargetMode="External" Id="rId11"/><Relationship Type="http://schemas.openxmlformats.org/officeDocument/2006/relationships/hyperlink" Target="#'11_Flooring'!A23" TargetMode="External" Id="rId12"/><Relationship Type="http://schemas.openxmlformats.org/officeDocument/2006/relationships/hyperlink" Target="#'11_Flooring'!A144" TargetMode="External" Id="rId13"/><Relationship Type="http://schemas.openxmlformats.org/officeDocument/2006/relationships/hyperlink" Target="#'03_Mortars'!A109" TargetMode="External" Id="rId14"/><Relationship Type="http://schemas.openxmlformats.org/officeDocument/2006/relationships/hyperlink" Target="#'04_Concrete_Work'!A5" TargetMode="External" Id="rId15"/><Relationship Type="http://schemas.openxmlformats.org/officeDocument/2006/relationships/hyperlink" Target="#'03_Mortars'!A94" TargetMode="External" Id="rId16"/><Relationship Type="http://schemas.openxmlformats.org/officeDocument/2006/relationships/hyperlink" Target="#'05_RCC_Work'!A27" TargetMode="External" Id="rId17"/><Relationship Type="http://schemas.openxmlformats.org/officeDocument/2006/relationships/hyperlink" Target="#'05_RCC_Work'!A187" TargetMode="External" Id="rId18"/><Relationship Type="http://schemas.openxmlformats.org/officeDocument/2006/relationships/hyperlink" Target="#'10_Steel_Work'!A4" TargetMode="External" Id="rId19"/><Relationship Type="http://schemas.openxmlformats.org/officeDocument/2006/relationships/hyperlink" Target="#'02_Earth_Work'!A133" TargetMode="External" Id="rId20"/><Relationship Type="http://schemas.openxmlformats.org/officeDocument/2006/relationships/hyperlink" Target="#'04_Concrete_Work'!A73" TargetMode="External" Id="rId21"/><Relationship Type="http://schemas.openxmlformats.org/officeDocument/2006/relationships/hyperlink" Target="#'05_RCC_Work'!A1037" TargetMode="External" Id="rId22"/><Relationship Type="http://schemas.openxmlformats.org/officeDocument/2006/relationships/hyperlink" Target="#'04_Concrete_Work'!A27" TargetMode="External" Id="rId23"/><Relationship Type="http://schemas.openxmlformats.org/officeDocument/2006/relationships/hyperlink" Target="#'04_Concrete_Work'!A27" TargetMode="External" Id="rId24"/></Relationships>
</file>

<file path=xl/worksheets/_rels/sheet7.xml.rels><Relationships xmlns="http://schemas.openxmlformats.org/package/2006/relationships"><Relationship Type="http://schemas.openxmlformats.org/officeDocument/2006/relationships/hyperlink" Target="#'04_Concrete_Work'!A401" TargetMode="External" Id="rId1"/><Relationship Type="http://schemas.openxmlformats.org/officeDocument/2006/relationships/hyperlink" Target="#'05_RCC_Work'!A49" TargetMode="External" Id="rId2"/><Relationship Type="http://schemas.openxmlformats.org/officeDocument/2006/relationships/hyperlink" Target="#'04_Concrete_Work'!A5" TargetMode="External" Id="rId3"/><Relationship Type="http://schemas.openxmlformats.org/officeDocument/2006/relationships/hyperlink" Target="#'10_Steel_Work'!A4" TargetMode="External" Id="rId4"/><Relationship Type="http://schemas.openxmlformats.org/officeDocument/2006/relationships/hyperlink" Target="#'10_Steel_Work'!A4" TargetMode="External" Id="rId5"/><Relationship Type="http://schemas.openxmlformats.org/officeDocument/2006/relationships/hyperlink" Target="#'10_Steel_Work'!A4" TargetMode="External" Id="rId6"/><Relationship Type="http://schemas.openxmlformats.org/officeDocument/2006/relationships/hyperlink" Target="#'05_RCC_Work'!A264" TargetMode="External" Id="rId7"/><Relationship Type="http://schemas.openxmlformats.org/officeDocument/2006/relationships/hyperlink" Target="#'05_RCC_Work'!A208" TargetMode="External" Id="rId8"/><Relationship Type="http://schemas.openxmlformats.org/officeDocument/2006/relationships/hyperlink" Target="#'05_RCC_Work'!A301" TargetMode="External" Id="rId9"/><Relationship Type="http://schemas.openxmlformats.org/officeDocument/2006/relationships/hyperlink" Target="#'05_RCC_Work'!A328" TargetMode="External" Id="rId10"/><Relationship Type="http://schemas.openxmlformats.org/officeDocument/2006/relationships/hyperlink" Target="#'10_Steel_Work'!A4" TargetMode="External" Id="rId11"/><Relationship Type="http://schemas.openxmlformats.org/officeDocument/2006/relationships/hyperlink" Target="#'10_Steel_Work'!A4" TargetMode="External" Id="rId12"/><Relationship Type="http://schemas.openxmlformats.org/officeDocument/2006/relationships/hyperlink" Target="#'04_Concrete_Work'!A410" TargetMode="External" Id="rId13"/><Relationship Type="http://schemas.openxmlformats.org/officeDocument/2006/relationships/hyperlink" Target="#'04_Concrete_Work'!A237" TargetMode="External" Id="rId14"/><Relationship Type="http://schemas.openxmlformats.org/officeDocument/2006/relationships/hyperlink" Target="#'04_Concrete_Work'!A341" TargetMode="External" Id="rId15"/><Relationship Type="http://schemas.openxmlformats.org/officeDocument/2006/relationships/hyperlink" Target="#'04_Concrete_Work'!A5" TargetMode="External" Id="rId16"/><Relationship Type="http://schemas.openxmlformats.org/officeDocument/2006/relationships/hyperlink" Target="#'04_Concrete_Work'!A341" TargetMode="External" Id="rId17"/><Relationship Type="http://schemas.openxmlformats.org/officeDocument/2006/relationships/hyperlink" Target="#'04_Concrete_Work'!A5" TargetMode="External" Id="rId18"/><Relationship Type="http://schemas.openxmlformats.org/officeDocument/2006/relationships/hyperlink" Target="#'04_Concrete_Work'!A341" TargetMode="External" Id="rId19"/><Relationship Type="http://schemas.openxmlformats.org/officeDocument/2006/relationships/hyperlink" Target="#'04_Concrete_Work'!A5" TargetMode="External" Id="rId20"/><Relationship Type="http://schemas.openxmlformats.org/officeDocument/2006/relationships/hyperlink" Target="#'04_Concrete_Work'!A341" TargetMode="External" Id="rId21"/><Relationship Type="http://schemas.openxmlformats.org/officeDocument/2006/relationships/hyperlink" Target="#'04_Concrete_Work'!A5" TargetMode="External" Id="rId22"/><Relationship Type="http://schemas.openxmlformats.org/officeDocument/2006/relationships/hyperlink" Target="#'04_Concrete_Work'!A341" TargetMode="External" Id="rId23"/><Relationship Type="http://schemas.openxmlformats.org/officeDocument/2006/relationships/hyperlink" Target="#'04_Concrete_Work'!A5" TargetMode="External" Id="rId24"/><Relationship Type="http://schemas.openxmlformats.org/officeDocument/2006/relationships/hyperlink" Target="#'05_RCC_Work'!A264" TargetMode="External" Id="rId25"/><Relationship Type="http://schemas.openxmlformats.org/officeDocument/2006/relationships/hyperlink" Target="#'04_Concrete_Work'!A5" TargetMode="External" Id="rId26"/><Relationship Type="http://schemas.openxmlformats.org/officeDocument/2006/relationships/hyperlink" Target="#'05_RCC_Work'!A264" TargetMode="External" Id="rId27"/><Relationship Type="http://schemas.openxmlformats.org/officeDocument/2006/relationships/hyperlink" Target="#'03_Mortars'!A34" TargetMode="External" Id="rId28"/><Relationship Type="http://schemas.openxmlformats.org/officeDocument/2006/relationships/hyperlink" Target="#'03_Mortars'!A94" TargetMode="External" Id="rId29"/><Relationship Type="http://schemas.openxmlformats.org/officeDocument/2006/relationships/hyperlink" Target="#'05_RCC_Work'!A49" TargetMode="External" Id="rId30"/><Relationship Type="http://schemas.openxmlformats.org/officeDocument/2006/relationships/hyperlink" Target="#'05_RCC_Work'!A412" TargetMode="External" Id="rId31"/><Relationship Type="http://schemas.openxmlformats.org/officeDocument/2006/relationships/hyperlink" Target="#'10_Steel_Work'!A19" TargetMode="External" Id="rId32"/><Relationship Type="http://schemas.openxmlformats.org/officeDocument/2006/relationships/hyperlink" Target="#'05_RCC_Work'!A1260" TargetMode="External" Id="rId33"/><Relationship Type="http://schemas.openxmlformats.org/officeDocument/2006/relationships/hyperlink" Target="#'05_RCC_Work'!A1333" TargetMode="External" Id="rId34"/><Relationship Type="http://schemas.openxmlformats.org/officeDocument/2006/relationships/hyperlink" Target="#'04_Concrete_Work'!A382" TargetMode="External" Id="rId35"/><Relationship Type="http://schemas.openxmlformats.org/officeDocument/2006/relationships/hyperlink" Target="#'05_RCC_Work'!A1260" TargetMode="External" Id="rId36"/><Relationship Type="http://schemas.openxmlformats.org/officeDocument/2006/relationships/hyperlink" Target="#'05_RCC_Work'!A1333" TargetMode="External" Id="rId37"/><Relationship Type="http://schemas.openxmlformats.org/officeDocument/2006/relationships/hyperlink" Target="#'04_Concrete_Work'!A382" TargetMode="External" Id="rId38"/><Relationship Type="http://schemas.openxmlformats.org/officeDocument/2006/relationships/hyperlink" Target="#'05_RCC_Work'!A1260" TargetMode="External" Id="rId39"/><Relationship Type="http://schemas.openxmlformats.org/officeDocument/2006/relationships/hyperlink" Target="#'05_RCC_Work'!A1321" TargetMode="External" Id="rId40"/><Relationship Type="http://schemas.openxmlformats.org/officeDocument/2006/relationships/hyperlink" Target="#'04_Concrete_Work'!A382" TargetMode="External" Id="rId41"/><Relationship Type="http://schemas.openxmlformats.org/officeDocument/2006/relationships/hyperlink" Target="#'05_RCC_Work'!A1831" TargetMode="External" Id="rId42"/><Relationship Type="http://schemas.openxmlformats.org/officeDocument/2006/relationships/hyperlink" Target="#'05_RCC_Work'!A1851" TargetMode="External" Id="rId43"/><Relationship Type="http://schemas.openxmlformats.org/officeDocument/2006/relationships/hyperlink" Target="#'05_RCC_Work'!A1831" TargetMode="External" Id="rId44"/><Relationship Type="http://schemas.openxmlformats.org/officeDocument/2006/relationships/hyperlink" Target="#'05_RCC_Work'!A1798" TargetMode="External" Id="rId45"/><Relationship Type="http://schemas.openxmlformats.org/officeDocument/2006/relationships/hyperlink" Target="#'05_RCC_Work'!A1872" TargetMode="External" Id="rId46"/><Relationship Type="http://schemas.openxmlformats.org/officeDocument/2006/relationships/hyperlink" Target="#'05_RCC_Work'!A27" TargetMode="External" Id="rId47"/><Relationship Type="http://schemas.openxmlformats.org/officeDocument/2006/relationships/hyperlink" Target="#'05_RCC_Work'!A902" TargetMode="External" Id="rId48"/><Relationship Type="http://schemas.openxmlformats.org/officeDocument/2006/relationships/hyperlink" Target="#'05_RCC_Work'!A1260" TargetMode="External" Id="rId49"/><Relationship Type="http://schemas.openxmlformats.org/officeDocument/2006/relationships/hyperlink" Target="#'05_RCC_Work'!A1309" TargetMode="External" Id="rId50"/><Relationship Type="http://schemas.openxmlformats.org/officeDocument/2006/relationships/hyperlink" Target="#'10_Steel_Work'!A624" TargetMode="External" Id="rId51"/></Relationships>
</file>

<file path=xl/worksheets/_rels/sheet8.xml.rels><Relationships xmlns="http://schemas.openxmlformats.org/package/2006/relationships"><Relationship Type="http://schemas.openxmlformats.org/officeDocument/2006/relationships/hyperlink" Target="#'03_Mortars'!A124" TargetMode="External" Id="rId1"/><Relationship Type="http://schemas.openxmlformats.org/officeDocument/2006/relationships/hyperlink" Target="#'03_Mortars'!A154" TargetMode="External" Id="rId2"/><Relationship Type="http://schemas.openxmlformats.org/officeDocument/2006/relationships/hyperlink" Target="#'03_Mortars'!A124" TargetMode="External" Id="rId3"/><Relationship Type="http://schemas.openxmlformats.org/officeDocument/2006/relationships/hyperlink" Target="#'03_Mortars'!A154" TargetMode="External" Id="rId4"/><Relationship Type="http://schemas.openxmlformats.org/officeDocument/2006/relationships/hyperlink" Target="#'03_Mortars'!A154" TargetMode="External" Id="rId5"/><Relationship Type="http://schemas.openxmlformats.org/officeDocument/2006/relationships/hyperlink" Target="#'03_Mortars'!A154" TargetMode="External" Id="rId6"/><Relationship Type="http://schemas.openxmlformats.org/officeDocument/2006/relationships/hyperlink" Target="#'03_Mortars'!A124" TargetMode="External" Id="rId7"/><Relationship Type="http://schemas.openxmlformats.org/officeDocument/2006/relationships/hyperlink" Target="#'03_Mortars'!A154" TargetMode="External" Id="rId8"/><Relationship Type="http://schemas.openxmlformats.org/officeDocument/2006/relationships/hyperlink" Target="#'06_Masonry_Work'!A258" TargetMode="External" Id="rId9"/><Relationship Type="http://schemas.openxmlformats.org/officeDocument/2006/relationships/hyperlink" Target="#'03_Mortars'!A109" TargetMode="External" Id="rId10"/><Relationship Type="http://schemas.openxmlformats.org/officeDocument/2006/relationships/hyperlink" Target="#'03_Mortars'!A109" TargetMode="External" Id="rId11"/><Relationship Type="http://schemas.openxmlformats.org/officeDocument/2006/relationships/hyperlink" Target="#'05_RCC_Work'!A328" TargetMode="External" Id="rId12"/><Relationship Type="http://schemas.openxmlformats.org/officeDocument/2006/relationships/hyperlink" Target="#'03_Mortars'!A109" TargetMode="External" Id="rId13"/><Relationship Type="http://schemas.openxmlformats.org/officeDocument/2006/relationships/hyperlink" Target="#'05_RCC_Work'!A328" TargetMode="External" Id="rId14"/><Relationship Type="http://schemas.openxmlformats.org/officeDocument/2006/relationships/hyperlink" Target="#'05_RCC_Work'!A328" TargetMode="External" Id="rId15"/><Relationship Type="http://schemas.openxmlformats.org/officeDocument/2006/relationships/hyperlink" Target="#'03_Mortars'!A109" TargetMode="External" Id="rId16"/><Relationship Type="http://schemas.openxmlformats.org/officeDocument/2006/relationships/hyperlink" Target="#'03_Mortars'!A124" TargetMode="External" Id="rId17"/><Relationship Type="http://schemas.openxmlformats.org/officeDocument/2006/relationships/hyperlink" Target="#'03_Mortars'!A109" TargetMode="External" Id="rId18"/><Relationship Type="http://schemas.openxmlformats.org/officeDocument/2006/relationships/hyperlink" Target="#'03_Mortars'!A124" TargetMode="External" Id="rId19"/><Relationship Type="http://schemas.openxmlformats.org/officeDocument/2006/relationships/hyperlink" Target="#'03_Mortars'!A124" TargetMode="External" Id="rId20"/><Relationship Type="http://schemas.openxmlformats.org/officeDocument/2006/relationships/hyperlink" Target="#'03_Mortars'!A154" TargetMode="External" Id="rId21"/><Relationship Type="http://schemas.openxmlformats.org/officeDocument/2006/relationships/hyperlink" Target="#'03_Mortars'!A154" TargetMode="External" Id="rId22"/><Relationship Type="http://schemas.openxmlformats.org/officeDocument/2006/relationships/hyperlink" Target="#'03_Mortars'!A154" TargetMode="External" Id="rId23"/><Relationship Type="http://schemas.openxmlformats.org/officeDocument/2006/relationships/hyperlink" Target="#'03_Mortars'!A124" TargetMode="External" Id="rId24"/><Relationship Type="http://schemas.openxmlformats.org/officeDocument/2006/relationships/hyperlink" Target="#'05_RCC_Work'!A328" TargetMode="External" Id="rId25"/><Relationship Type="http://schemas.openxmlformats.org/officeDocument/2006/relationships/hyperlink" Target="#'03_Mortars'!A124" TargetMode="External" Id="rId26"/><Relationship Type="http://schemas.openxmlformats.org/officeDocument/2006/relationships/hyperlink" Target="#'05_RCC_Work'!A328" TargetMode="External" Id="rId27"/><Relationship Type="http://schemas.openxmlformats.org/officeDocument/2006/relationships/hyperlink" Target="#'03_Mortars'!A109" TargetMode="External" Id="rId28"/><Relationship Type="http://schemas.openxmlformats.org/officeDocument/2006/relationships/hyperlink" Target="#'06_Masonry_Work'!A111" TargetMode="External" Id="rId29"/><Relationship Type="http://schemas.openxmlformats.org/officeDocument/2006/relationships/hyperlink" Target="#'03_Mortars'!A154" TargetMode="External" Id="rId30"/><Relationship Type="http://schemas.openxmlformats.org/officeDocument/2006/relationships/hyperlink" Target="#'03_Mortars'!A154" TargetMode="External" Id="rId31"/><Relationship Type="http://schemas.openxmlformats.org/officeDocument/2006/relationships/hyperlink" Target="#'03_Mortars'!A154" TargetMode="External" Id="rId32"/><Relationship Type="http://schemas.openxmlformats.org/officeDocument/2006/relationships/hyperlink" Target="#'03_Mortars'!A154" TargetMode="External" Id="rId33"/><Relationship Type="http://schemas.openxmlformats.org/officeDocument/2006/relationships/hyperlink" Target="#'03_Mortars'!A154" TargetMode="External" Id="rId34"/><Relationship Type="http://schemas.openxmlformats.org/officeDocument/2006/relationships/hyperlink" Target="#'03_Mortars'!A154" TargetMode="External" Id="rId35"/><Relationship Type="http://schemas.openxmlformats.org/officeDocument/2006/relationships/hyperlink" Target="#'03_Mortars'!A154" TargetMode="External" Id="rId36"/><Relationship Type="http://schemas.openxmlformats.org/officeDocument/2006/relationships/hyperlink" Target="#'03_Mortars'!A154" TargetMode="External" Id="rId37"/><Relationship Type="http://schemas.openxmlformats.org/officeDocument/2006/relationships/hyperlink" Target="#'03_Mortars'!A154" TargetMode="External" Id="rId38"/><Relationship Type="http://schemas.openxmlformats.org/officeDocument/2006/relationships/hyperlink" Target="#'03_Mortars'!A154" TargetMode="External" Id="rId39"/><Relationship Type="http://schemas.openxmlformats.org/officeDocument/2006/relationships/hyperlink" Target="#'03_Mortars'!A154" TargetMode="External" Id="rId40"/><Relationship Type="http://schemas.openxmlformats.org/officeDocument/2006/relationships/hyperlink" Target="#'03_Mortars'!A154" TargetMode="External" Id="rId41"/><Relationship Type="http://schemas.openxmlformats.org/officeDocument/2006/relationships/hyperlink" Target="#'03_Mortars'!A124" TargetMode="External" Id="rId42"/><Relationship Type="http://schemas.openxmlformats.org/officeDocument/2006/relationships/hyperlink" Target="#'03_Mortars'!A154" TargetMode="External" Id="rId43"/><Relationship Type="http://schemas.openxmlformats.org/officeDocument/2006/relationships/hyperlink" Target="#'03_Mortars'!A124" TargetMode="External" Id="rId44"/><Relationship Type="http://schemas.openxmlformats.org/officeDocument/2006/relationships/hyperlink" Target="#'03_Mortars'!A154" TargetMode="External" Id="rId45"/><Relationship Type="http://schemas.openxmlformats.org/officeDocument/2006/relationships/hyperlink" Target="#'03_Mortars'!A124" TargetMode="External" Id="rId46"/><Relationship Type="http://schemas.openxmlformats.org/officeDocument/2006/relationships/hyperlink" Target="#'03_Mortars'!A154" TargetMode="External" Id="rId47"/><Relationship Type="http://schemas.openxmlformats.org/officeDocument/2006/relationships/hyperlink" Target="#'03_Mortars'!A124" TargetMode="External" Id="rId48"/><Relationship Type="http://schemas.openxmlformats.org/officeDocument/2006/relationships/hyperlink" Target="#'03_Mortars'!A34" TargetMode="External" Id="rId49"/><Relationship Type="http://schemas.openxmlformats.org/officeDocument/2006/relationships/hyperlink" Target="#'05_RCC_Work'!A328" TargetMode="External" Id="rId50"/><Relationship Type="http://schemas.openxmlformats.org/officeDocument/2006/relationships/hyperlink" Target="#'03_Mortars'!A124" TargetMode="External" Id="rId51"/><Relationship Type="http://schemas.openxmlformats.org/officeDocument/2006/relationships/hyperlink" Target="#'05_RCC_Work'!A828" TargetMode="External" Id="rId52"/><Relationship Type="http://schemas.openxmlformats.org/officeDocument/2006/relationships/hyperlink" Target="#'03_Mortars'!A49" TargetMode="External" Id="rId53"/><Relationship Type="http://schemas.openxmlformats.org/officeDocument/2006/relationships/hyperlink" Target="#'03_Mortars'!A109" TargetMode="External" Id="rId54"/><Relationship Type="http://schemas.openxmlformats.org/officeDocument/2006/relationships/hyperlink" Target="#'03_Mortars'!A124" TargetMode="External" Id="rId55"/></Relationships>
</file>

<file path=xl/worksheets/_rels/sheet9.xml.rels><Relationships xmlns="http://schemas.openxmlformats.org/package/2006/relationships"><Relationship Type="http://schemas.openxmlformats.org/officeDocument/2006/relationships/hyperlink" Target="#'03_Mortars'!A154" TargetMode="External" Id="rId1"/><Relationship Type="http://schemas.openxmlformats.org/officeDocument/2006/relationships/hyperlink" Target="#'03_Mortars'!A154" TargetMode="External" Id="rId2"/><Relationship Type="http://schemas.openxmlformats.org/officeDocument/2006/relationships/hyperlink" Target="#'03_Mortars'!A154" TargetMode="External" Id="rId3"/><Relationship Type="http://schemas.openxmlformats.org/officeDocument/2006/relationships/hyperlink" Target="#'03_Mortars'!A154" TargetMode="External" Id="rId4"/><Relationship Type="http://schemas.openxmlformats.org/officeDocument/2006/relationships/hyperlink" Target="#'03_Mortars'!A154" TargetMode="External" Id="rId5"/><Relationship Type="http://schemas.openxmlformats.org/officeDocument/2006/relationships/hyperlink" Target="#'03_Mortars'!A154" TargetMode="External" Id="rId6"/><Relationship Type="http://schemas.openxmlformats.org/officeDocument/2006/relationships/hyperlink" Target="#'05_RCC_Work'!A328" TargetMode="External" Id="rId7"/><Relationship Type="http://schemas.openxmlformats.org/officeDocument/2006/relationships/hyperlink" Target="#'03_Mortars'!A94" TargetMode="External" Id="rId8"/><Relationship Type="http://schemas.openxmlformats.org/officeDocument/2006/relationships/hyperlink" Target="#'03_Mortars'!A169" TargetMode="External" Id="rId9"/><Relationship Type="http://schemas.openxmlformats.org/officeDocument/2006/relationships/hyperlink" Target="#'06_Masonry_Work'!A111" TargetMode="External" Id="rId10"/><Relationship Type="http://schemas.openxmlformats.org/officeDocument/2006/relationships/hyperlink" Target="#'03_Mortars'!A169" TargetMode="External" Id="rId11"/><Relationship Type="http://schemas.openxmlformats.org/officeDocument/2006/relationships/hyperlink" Target="#'06_Masonry_Work'!A111" TargetMode="External" Id="rId12"/><Relationship Type="http://schemas.openxmlformats.org/officeDocument/2006/relationships/hyperlink" Target="#'07_Stone_Work'!A191" TargetMode="External" Id="rId13"/><Relationship Type="http://schemas.openxmlformats.org/officeDocument/2006/relationships/hyperlink" Target="#'07_Stone_Work'!A217" TargetMode="External" Id="rId14"/><Relationship Type="http://schemas.openxmlformats.org/officeDocument/2006/relationships/hyperlink" Target="#'03_Mortars'!A109" TargetMode="External" Id="rId15"/><Relationship Type="http://schemas.openxmlformats.org/officeDocument/2006/relationships/hyperlink" Target="#'03_Mortars'!A109" TargetMode="External" Id="rId16"/></Relationships>
</file>

<file path=xl/worksheets/_rels/sheet10.xml.rels><Relationships xmlns="http://schemas.openxmlformats.org/package/2006/relationships"><Relationship Type="http://schemas.openxmlformats.org/officeDocument/2006/relationships/hyperlink" Target="#'03_Mortars'!A109" TargetMode="External" Id="rId1"/><Relationship Type="http://schemas.openxmlformats.org/officeDocument/2006/relationships/hyperlink" Target="#'03_Mortars'!A214" TargetMode="External" Id="rId2"/><Relationship Type="http://schemas.openxmlformats.org/officeDocument/2006/relationships/hyperlink" Target="#'03_Mortars'!A109" TargetMode="External" Id="rId3"/><Relationship Type="http://schemas.openxmlformats.org/officeDocument/2006/relationships/hyperlink" Target="#'03_Mortars'!A214" TargetMode="External" Id="rId4"/><Relationship Type="http://schemas.openxmlformats.org/officeDocument/2006/relationships/hyperlink" Target="#'03_Mortars'!A124" TargetMode="External" Id="rId5"/><Relationship Type="http://schemas.openxmlformats.org/officeDocument/2006/relationships/hyperlink" Target="#'03_Mortars'!A124" TargetMode="External" Id="rId6"/><Relationship Type="http://schemas.openxmlformats.org/officeDocument/2006/relationships/hyperlink" Target="#'03_Mortars'!A124" TargetMode="External" Id="rId7"/><Relationship Type="http://schemas.openxmlformats.org/officeDocument/2006/relationships/hyperlink" Target="#'03_Mortars'!A124" TargetMode="External" Id="rId8"/><Relationship Type="http://schemas.openxmlformats.org/officeDocument/2006/relationships/hyperlink" Target="#'03_Mortars'!A124" TargetMode="External" Id="rId9"/><Relationship Type="http://schemas.openxmlformats.org/officeDocument/2006/relationships/hyperlink" Target="#'03_Mortars'!A94" TargetMode="External" Id="rId10"/><Relationship Type="http://schemas.openxmlformats.org/officeDocument/2006/relationships/hyperlink" Target="#'03_Mortars'!A94" TargetMode="External" Id="rId11"/><Relationship Type="http://schemas.openxmlformats.org/officeDocument/2006/relationships/hyperlink" Target="#'03_Mortars'!A109" TargetMode="External" Id="rId12"/><Relationship Type="http://schemas.openxmlformats.org/officeDocument/2006/relationships/hyperlink" Target="#'03_Mortars'!A109" TargetMode="External" Id="rId13"/><Relationship Type="http://schemas.openxmlformats.org/officeDocument/2006/relationships/hyperlink" Target="#'03_Mortars'!A109" TargetMode="External" Id="rId14"/><Relationship Type="http://schemas.openxmlformats.org/officeDocument/2006/relationships/hyperlink" Target="#'03_Mortars'!A109" TargetMode="External" Id="rId15"/><Relationship Type="http://schemas.openxmlformats.org/officeDocument/2006/relationships/hyperlink" Target="#'03_Mortars'!A109" TargetMode="External" Id="rId16"/><Relationship Type="http://schemas.openxmlformats.org/officeDocument/2006/relationships/hyperlink" Target="#'03_Mortars'!A109" TargetMode="External" Id="rId17"/><Relationship Type="http://schemas.openxmlformats.org/officeDocument/2006/relationships/hyperlink" Target="#'03_Mortars'!A109" TargetMode="External" Id="rId18"/><Relationship Type="http://schemas.openxmlformats.org/officeDocument/2006/relationships/hyperlink" Target="#'03_Mortars'!A109" TargetMode="External" Id="rId19"/><Relationship Type="http://schemas.openxmlformats.org/officeDocument/2006/relationships/hyperlink" Target="#'03_Mortars'!A109" TargetMode="External" Id="rId20"/><Relationship Type="http://schemas.openxmlformats.org/officeDocument/2006/relationships/hyperlink" Target="#'03_Mortars'!A109" TargetMode="External" Id="rId21"/><Relationship Type="http://schemas.openxmlformats.org/officeDocument/2006/relationships/hyperlink" Target="#'03_Mortars'!A109" TargetMode="External" Id="rId22"/><Relationship Type="http://schemas.openxmlformats.org/officeDocument/2006/relationships/hyperlink" Target="#'03_Mortars'!A109" TargetMode="External" Id="rId23"/><Relationship Type="http://schemas.openxmlformats.org/officeDocument/2006/relationships/hyperlink" Target="#'03_Mortars'!A109" TargetMode="External" Id="rId24"/><Relationship Type="http://schemas.openxmlformats.org/officeDocument/2006/relationships/hyperlink" Target="#'03_Mortars'!A109" TargetMode="External" Id="rId25"/><Relationship Type="http://schemas.openxmlformats.org/officeDocument/2006/relationships/hyperlink" Target="#'03_Mortars'!A109" TargetMode="External" Id="rId26"/><Relationship Type="http://schemas.openxmlformats.org/officeDocument/2006/relationships/hyperlink" Target="#'03_Mortars'!A109" TargetMode="External" Id="rId27"/><Relationship Type="http://schemas.openxmlformats.org/officeDocument/2006/relationships/hyperlink" Target="#'03_Mortars'!A109" TargetMode="External" Id="rId28"/><Relationship Type="http://schemas.openxmlformats.org/officeDocument/2006/relationships/hyperlink" Target="#'03_Mortars'!A109" TargetMode="External" Id="rId29"/><Relationship Type="http://schemas.openxmlformats.org/officeDocument/2006/relationships/hyperlink" Target="#'03_Mortars'!A109" TargetMode="External" Id="rId30"/><Relationship Type="http://schemas.openxmlformats.org/officeDocument/2006/relationships/hyperlink" Target="#'03_Mortars'!A109" TargetMode="External" Id="rId31"/><Relationship Type="http://schemas.openxmlformats.org/officeDocument/2006/relationships/hyperlink" Target="#'03_Mortars'!A109" TargetMode="External" Id="rId32"/><Relationship Type="http://schemas.openxmlformats.org/officeDocument/2006/relationships/hyperlink" Target="#'03_Mortars'!A109" TargetMode="External" Id="rId33"/><Relationship Type="http://schemas.openxmlformats.org/officeDocument/2006/relationships/hyperlink" Target="#'03_Mortars'!A109" TargetMode="External" Id="rId34"/><Relationship Type="http://schemas.openxmlformats.org/officeDocument/2006/relationships/hyperlink" Target="#'03_Mortars'!A109" TargetMode="External" Id="rId35"/><Relationship Type="http://schemas.openxmlformats.org/officeDocument/2006/relationships/hyperlink" Target="#'03_Mortars'!A109" TargetMode="External" Id="rId36"/><Relationship Type="http://schemas.openxmlformats.org/officeDocument/2006/relationships/hyperlink" Target="#'03_Mortars'!A94" TargetMode="External" Id="rId37"/><Relationship Type="http://schemas.openxmlformats.org/officeDocument/2006/relationships/hyperlink" Target="#'03_Mortars'!A94" TargetMode="External" Id="rId38"/><Relationship Type="http://schemas.openxmlformats.org/officeDocument/2006/relationships/hyperlink" Target="#'03_Mortars'!A109" TargetMode="External" Id="rId39"/><Relationship Type="http://schemas.openxmlformats.org/officeDocument/2006/relationships/hyperlink" Target="#'03_Mortars'!A109" TargetMode="External" Id="rId40"/><Relationship Type="http://schemas.openxmlformats.org/officeDocument/2006/relationships/hyperlink" Target="#'04_Concrete_Work'!A27" TargetMode="External" Id="rId41"/><Relationship Type="http://schemas.openxmlformats.org/officeDocument/2006/relationships/hyperlink" Target="#'03_Mortars'!A34" TargetMode="External" Id="rId42"/><Relationship Type="http://schemas.openxmlformats.org/officeDocument/2006/relationships/hyperlink" Target="#'03_Mortars'!A109" TargetMode="External" Id="rId43"/></Relationships>
</file>

<file path=xl/worksheets/_rels/sheet11.xml.rels><Relationships xmlns="http://schemas.openxmlformats.org/package/2006/relationships"><Relationship Type="http://schemas.openxmlformats.org/officeDocument/2006/relationships/hyperlink" Target="#'04_Concrete_Work'!A289" TargetMode="External" Id="rId1"/></Relationships>
</file>

<file path=xl/worksheets/_rels/sheet12.xml.rels><Relationships xmlns="http://schemas.openxmlformats.org/package/2006/relationships"><Relationship Type="http://schemas.openxmlformats.org/officeDocument/2006/relationships/hyperlink" Target="#'04_Concrete_Work'!A289" TargetMode="External" Id="rId1"/><Relationship Type="http://schemas.openxmlformats.org/officeDocument/2006/relationships/hyperlink" Target="#'10_Steel_Work'!A238" TargetMode="External" Id="rId2"/><Relationship Type="http://schemas.openxmlformats.org/officeDocument/2006/relationships/hyperlink" Target="#'04_Concrete_Work'!A289" TargetMode="External" Id="rId3"/><Relationship Type="http://schemas.openxmlformats.org/officeDocument/2006/relationships/hyperlink" Target="#'04_Concrete_Work'!A289" TargetMode="External" Id="rId4"/></Relationships>
</file>

<file path=xl/worksheets/_rels/sheet13.xml.rels><Relationships xmlns="http://schemas.openxmlformats.org/package/2006/relationships"><Relationship Type="http://schemas.openxmlformats.org/officeDocument/2006/relationships/hyperlink" Target="#'03_Mortars'!A124" TargetMode="External" Id="rId1"/><Relationship Type="http://schemas.openxmlformats.org/officeDocument/2006/relationships/hyperlink" Target="#'03_Mortars'!A154" TargetMode="External" Id="rId2"/><Relationship Type="http://schemas.openxmlformats.org/officeDocument/2006/relationships/hyperlink" Target="#'03_Mortars'!A259" TargetMode="External" Id="rId3"/><Relationship Type="http://schemas.openxmlformats.org/officeDocument/2006/relationships/hyperlink" Target="#'03_Mortars'!A109" TargetMode="External" Id="rId4"/><Relationship Type="http://schemas.openxmlformats.org/officeDocument/2006/relationships/hyperlink" Target="#'04_Concrete_Work'!A27" TargetMode="External" Id="rId5"/><Relationship Type="http://schemas.openxmlformats.org/officeDocument/2006/relationships/hyperlink" Target="#'11_Flooring'!A169" TargetMode="External" Id="rId6"/><Relationship Type="http://schemas.openxmlformats.org/officeDocument/2006/relationships/hyperlink" Target="#'11_Flooring'!A169" TargetMode="External" Id="rId7"/><Relationship Type="http://schemas.openxmlformats.org/officeDocument/2006/relationships/hyperlink" Target="#'11_Flooring'!A169" TargetMode="External" Id="rId8"/><Relationship Type="http://schemas.openxmlformats.org/officeDocument/2006/relationships/hyperlink" Target="#'11_Flooring'!A169" TargetMode="External" Id="rId9"/><Relationship Type="http://schemas.openxmlformats.org/officeDocument/2006/relationships/hyperlink" Target="#'11_Flooring'!A283" TargetMode="External" Id="rId10"/><Relationship Type="http://schemas.openxmlformats.org/officeDocument/2006/relationships/hyperlink" Target="#'11_Flooring'!A283" TargetMode="External" Id="rId11"/><Relationship Type="http://schemas.openxmlformats.org/officeDocument/2006/relationships/hyperlink" Target="#'11_Flooring'!A283" TargetMode="External" Id="rId12"/><Relationship Type="http://schemas.openxmlformats.org/officeDocument/2006/relationships/hyperlink" Target="#'11_Flooring'!A415" TargetMode="External" Id="rId13"/><Relationship Type="http://schemas.openxmlformats.org/officeDocument/2006/relationships/hyperlink" Target="#'11_Flooring'!A415" TargetMode="External" Id="rId14"/><Relationship Type="http://schemas.openxmlformats.org/officeDocument/2006/relationships/hyperlink" Target="#'11_Flooring'!A415" TargetMode="External" Id="rId15"/><Relationship Type="http://schemas.openxmlformats.org/officeDocument/2006/relationships/hyperlink" Target="#'03_Mortars'!A109" TargetMode="External" Id="rId16"/><Relationship Type="http://schemas.openxmlformats.org/officeDocument/2006/relationships/hyperlink" Target="#'11_Flooring'!A548" TargetMode="External" Id="rId17"/><Relationship Type="http://schemas.openxmlformats.org/officeDocument/2006/relationships/hyperlink" Target="#'11_Flooring'!A548" TargetMode="External" Id="rId18"/><Relationship Type="http://schemas.openxmlformats.org/officeDocument/2006/relationships/hyperlink" Target="#'03_Mortars'!A109" TargetMode="External" Id="rId19"/><Relationship Type="http://schemas.openxmlformats.org/officeDocument/2006/relationships/hyperlink" Target="#'11_Flooring'!A548" TargetMode="External" Id="rId20"/><Relationship Type="http://schemas.openxmlformats.org/officeDocument/2006/relationships/hyperlink" Target="#'11_Flooring'!A548" TargetMode="External" Id="rId21"/><Relationship Type="http://schemas.openxmlformats.org/officeDocument/2006/relationships/hyperlink" Target="#'11_Flooring'!A144" TargetMode="External" Id="rId22"/><Relationship Type="http://schemas.openxmlformats.org/officeDocument/2006/relationships/hyperlink" Target="#'03_Mortars'!A124" TargetMode="External" Id="rId23"/><Relationship Type="http://schemas.openxmlformats.org/officeDocument/2006/relationships/hyperlink" Target="#'03_Mortars'!A124" TargetMode="External" Id="rId24"/><Relationship Type="http://schemas.openxmlformats.org/officeDocument/2006/relationships/hyperlink" Target="#'03_Mortars'!A124" TargetMode="External" Id="rId25"/><Relationship Type="http://schemas.openxmlformats.org/officeDocument/2006/relationships/hyperlink" Target="#'03_Mortars'!A124" TargetMode="External" Id="rId26"/><Relationship Type="http://schemas.openxmlformats.org/officeDocument/2006/relationships/hyperlink" Target="#'03_Mortars'!A109" TargetMode="External" Id="rId27"/><Relationship Type="http://schemas.openxmlformats.org/officeDocument/2006/relationships/hyperlink" Target="#'03_Mortars'!A109" TargetMode="External" Id="rId28"/><Relationship Type="http://schemas.openxmlformats.org/officeDocument/2006/relationships/hyperlink" Target="#'03_Mortars'!A109" TargetMode="External" Id="rId29"/><Relationship Type="http://schemas.openxmlformats.org/officeDocument/2006/relationships/hyperlink" Target="#'03_Mortars'!A109" TargetMode="External" Id="rId30"/><Relationship Type="http://schemas.openxmlformats.org/officeDocument/2006/relationships/hyperlink" Target="#'03_Mortars'!A124" TargetMode="External" Id="rId31"/><Relationship Type="http://schemas.openxmlformats.org/officeDocument/2006/relationships/hyperlink" Target="#'03_Mortars'!A124" TargetMode="External" Id="rId32"/><Relationship Type="http://schemas.openxmlformats.org/officeDocument/2006/relationships/hyperlink" Target="#'03_Mortars'!A124" TargetMode="External" Id="rId33"/><Relationship Type="http://schemas.openxmlformats.org/officeDocument/2006/relationships/hyperlink" Target="#'03_Mortars'!A124" TargetMode="External" Id="rId34"/><Relationship Type="http://schemas.openxmlformats.org/officeDocument/2006/relationships/hyperlink" Target="#'03_Mortars'!A124" TargetMode="External" Id="rId35"/><Relationship Type="http://schemas.openxmlformats.org/officeDocument/2006/relationships/hyperlink" Target="#'03_Mortars'!A124" TargetMode="External" Id="rId36"/><Relationship Type="http://schemas.openxmlformats.org/officeDocument/2006/relationships/hyperlink" Target="#'03_Mortars'!A124" TargetMode="External" Id="rId37"/><Relationship Type="http://schemas.openxmlformats.org/officeDocument/2006/relationships/hyperlink" Target="#'03_Mortars'!A124" TargetMode="External" Id="rId38"/><Relationship Type="http://schemas.openxmlformats.org/officeDocument/2006/relationships/hyperlink" Target="#'03_Mortars'!A124" TargetMode="External" Id="rId39"/><Relationship Type="http://schemas.openxmlformats.org/officeDocument/2006/relationships/hyperlink" Target="#'03_Mortars'!A124" TargetMode="External" Id="rId40"/><Relationship Type="http://schemas.openxmlformats.org/officeDocument/2006/relationships/hyperlink" Target="#'03_Mortars'!A109" TargetMode="External" Id="rId41"/><Relationship Type="http://schemas.openxmlformats.org/officeDocument/2006/relationships/hyperlink" Target="#'03_Mortars'!A124" TargetMode="External" Id="rId42"/><Relationship Type="http://schemas.openxmlformats.org/officeDocument/2006/relationships/hyperlink" Target="#'03_Mortars'!A124" TargetMode="External" Id="rId43"/><Relationship Type="http://schemas.openxmlformats.org/officeDocument/2006/relationships/hyperlink" Target="#'03_Mortars'!A124" TargetMode="External" Id="rId44"/><Relationship Type="http://schemas.openxmlformats.org/officeDocument/2006/relationships/hyperlink" Target="#'03_Mortars'!A124" TargetMode="External" Id="rId45"/><Relationship Type="http://schemas.openxmlformats.org/officeDocument/2006/relationships/hyperlink" Target="#'03_Mortars'!A124" TargetMode="External" Id="rId46"/><Relationship Type="http://schemas.openxmlformats.org/officeDocument/2006/relationships/hyperlink" Target="#'03_Mortars'!A124" TargetMode="External" Id="rId47"/><Relationship Type="http://schemas.openxmlformats.org/officeDocument/2006/relationships/hyperlink" Target="#'03_Mortars'!A124" TargetMode="External" Id="rId48"/><Relationship Type="http://schemas.openxmlformats.org/officeDocument/2006/relationships/hyperlink" Target="#'03_Mortars'!A109" TargetMode="External" Id="rId49"/><Relationship Type="http://schemas.openxmlformats.org/officeDocument/2006/relationships/hyperlink" Target="#'03_Mortars'!A139" TargetMode="External" Id="rId50"/><Relationship Type="http://schemas.openxmlformats.org/officeDocument/2006/relationships/hyperlink" Target="#'03_Mortars'!A139" TargetMode="External" Id="rId51"/><Relationship Type="http://schemas.openxmlformats.org/officeDocument/2006/relationships/hyperlink" Target="#'03_Mortars'!A139" TargetMode="External" Id="rId52"/><Relationship Type="http://schemas.openxmlformats.org/officeDocument/2006/relationships/hyperlink" Target="#'03_Mortars'!A169" TargetMode="External" Id="rId53"/><Relationship Type="http://schemas.openxmlformats.org/officeDocument/2006/relationships/hyperlink" Target="#'03_Mortars'!A139" TargetMode="External" Id="rId54"/><Relationship Type="http://schemas.openxmlformats.org/officeDocument/2006/relationships/hyperlink" Target="#'03_Mortars'!A169" TargetMode="External" Id="rId55"/><Relationship Type="http://schemas.openxmlformats.org/officeDocument/2006/relationships/hyperlink" Target="#'03_Mortars'!A139" TargetMode="External" Id="rId56"/><Relationship Type="http://schemas.openxmlformats.org/officeDocument/2006/relationships/hyperlink" Target="#'03_Mortars'!A169" TargetMode="External" Id="rId57"/><Relationship Type="http://schemas.openxmlformats.org/officeDocument/2006/relationships/hyperlink" Target="#'03_Mortars'!A139" TargetMode="External" Id="rId58"/><Relationship Type="http://schemas.openxmlformats.org/officeDocument/2006/relationships/hyperlink" Target="#'03_Mortars'!A169" TargetMode="External" Id="rId59"/><Relationship Type="http://schemas.openxmlformats.org/officeDocument/2006/relationships/hyperlink" Target="#'03_Mortars'!A124" TargetMode="External" Id="rId60"/><Relationship Type="http://schemas.openxmlformats.org/officeDocument/2006/relationships/hyperlink" Target="#'03_Mortars'!A109" TargetMode="External" Id="rId61"/><Relationship Type="http://schemas.openxmlformats.org/officeDocument/2006/relationships/hyperlink" Target="#'03_Mortars'!A124" TargetMode="External" Id="rId62"/><Relationship Type="http://schemas.openxmlformats.org/officeDocument/2006/relationships/hyperlink" Target="#'03_Mortars'!A124" TargetMode="External" Id="rId63"/><Relationship Type="http://schemas.openxmlformats.org/officeDocument/2006/relationships/hyperlink" Target="#'03_Mortars'!A124" TargetMode="External" Id="rId64"/><Relationship Type="http://schemas.openxmlformats.org/officeDocument/2006/relationships/hyperlink" Target="#'03_Mortars'!A124" TargetMode="External" Id="rId65"/><Relationship Type="http://schemas.openxmlformats.org/officeDocument/2006/relationships/hyperlink" Target="#'03_Mortars'!A124" TargetMode="External" Id="rId66"/><Relationship Type="http://schemas.openxmlformats.org/officeDocument/2006/relationships/hyperlink" Target="#'03_Mortars'!A124" TargetMode="External" Id="rId67"/><Relationship Type="http://schemas.openxmlformats.org/officeDocument/2006/relationships/hyperlink" Target="#'03_Mortars'!A124" TargetMode="External" Id="rId68"/><Relationship Type="http://schemas.openxmlformats.org/officeDocument/2006/relationships/hyperlink" Target="#'03_Mortars'!A124" TargetMode="External" Id="rId69"/><Relationship Type="http://schemas.openxmlformats.org/officeDocument/2006/relationships/hyperlink" Target="#'03_Mortars'!A124" TargetMode="External" Id="rId70"/><Relationship Type="http://schemas.openxmlformats.org/officeDocument/2006/relationships/hyperlink" Target="#'03_Mortars'!A124" TargetMode="External" Id="rId71"/><Relationship Type="http://schemas.openxmlformats.org/officeDocument/2006/relationships/hyperlink" Target="#'04_Concrete_Work'!A597" TargetMode="External" Id="rId72"/><Relationship Type="http://schemas.openxmlformats.org/officeDocument/2006/relationships/hyperlink" Target="#'04_Concrete_Work'!A511" TargetMode="External" Id="rId73"/><Relationship Type="http://schemas.openxmlformats.org/officeDocument/2006/relationships/hyperlink" Target="#'02_Earth_Work'!A709" TargetMode="External" Id="rId74"/><Relationship Type="http://schemas.openxmlformats.org/officeDocument/2006/relationships/hyperlink" Target="#'03_Mortars'!A109" TargetMode="External" Id="rId75"/><Relationship Type="http://schemas.openxmlformats.org/officeDocument/2006/relationships/hyperlink" Target="#'03_Mortars'!A109" TargetMode="External" Id="rId76"/><Relationship Type="http://schemas.openxmlformats.org/officeDocument/2006/relationships/hyperlink" Target="#'03_Mortars'!A109" TargetMode="External" Id="rId77"/><Relationship Type="http://schemas.openxmlformats.org/officeDocument/2006/relationships/hyperlink" Target="#'03_Mortars'!A109" TargetMode="External" Id="rId78"/><Relationship Type="http://schemas.openxmlformats.org/officeDocument/2006/relationships/hyperlink" Target="#'03_Mortars'!A109" TargetMode="External" Id="rId79"/><Relationship Type="http://schemas.openxmlformats.org/officeDocument/2006/relationships/hyperlink" Target="#'03_Mortars'!A124" TargetMode="External" Id="rId80"/><Relationship Type="http://schemas.openxmlformats.org/officeDocument/2006/relationships/hyperlink" Target="#'03_Mortars'!A124" TargetMode="External" Id="rId81"/><Relationship Type="http://schemas.openxmlformats.org/officeDocument/2006/relationships/hyperlink" Target="#'03_Mortars'!A124" TargetMode="External" Id="rId82"/><Relationship Type="http://schemas.openxmlformats.org/officeDocument/2006/relationships/hyperlink" Target="#'03_Mortars'!A124" TargetMode="External" Id="rId83"/></Relationships>
</file>

<file path=xl/worksheets/_rels/sheet14.xml.rels><Relationships xmlns="http://schemas.openxmlformats.org/package/2006/relationships"><Relationship Type="http://schemas.openxmlformats.org/officeDocument/2006/relationships/hyperlink" Target="#'03_Mortars'!A259" TargetMode="External" Id="rId1"/><Relationship Type="http://schemas.openxmlformats.org/officeDocument/2006/relationships/hyperlink" Target="#'03_Mortars'!A34" TargetMode="External" Id="rId2"/><Relationship Type="http://schemas.openxmlformats.org/officeDocument/2006/relationships/hyperlink" Target="#'03_Mortars'!A259" TargetMode="External" Id="rId3"/><Relationship Type="http://schemas.openxmlformats.org/officeDocument/2006/relationships/hyperlink" Target="#'03_Mortars'!A34" TargetMode="External" Id="rId4"/><Relationship Type="http://schemas.openxmlformats.org/officeDocument/2006/relationships/hyperlink" Target="#'03_Mortars'!A34" TargetMode="External" Id="rId5"/><Relationship Type="http://schemas.openxmlformats.org/officeDocument/2006/relationships/hyperlink" Target="#'03_Mortars'!A124" TargetMode="External" Id="rId6"/><Relationship Type="http://schemas.openxmlformats.org/officeDocument/2006/relationships/hyperlink" Target="#'03_Mortars'!A124" TargetMode="External" Id="rId7"/><Relationship Type="http://schemas.openxmlformats.org/officeDocument/2006/relationships/hyperlink" Target="#'03_Mortars'!A34" TargetMode="External" Id="rId8"/><Relationship Type="http://schemas.openxmlformats.org/officeDocument/2006/relationships/hyperlink" Target="#'03_Mortars'!A109" TargetMode="External" Id="rId9"/><Relationship Type="http://schemas.openxmlformats.org/officeDocument/2006/relationships/hyperlink" Target="#'03_Mortars'!A124" TargetMode="External" Id="rId10"/><Relationship Type="http://schemas.openxmlformats.org/officeDocument/2006/relationships/hyperlink" Target="#'03_Mortars'!A34" TargetMode="External" Id="rId11"/><Relationship Type="http://schemas.openxmlformats.org/officeDocument/2006/relationships/hyperlink" Target="#'03_Mortars'!A124" TargetMode="External" Id="rId12"/><Relationship Type="http://schemas.openxmlformats.org/officeDocument/2006/relationships/hyperlink" Target="#'03_Mortars'!A34" TargetMode="External" Id="rId13"/><Relationship Type="http://schemas.openxmlformats.org/officeDocument/2006/relationships/hyperlink" Target="#'03_Mortars'!A124" TargetMode="External" Id="rId14"/></Relationships>
</file>

<file path=xl/worksheets/sheet1.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14" customWidth="1" min="1" max="1"/>
    <col width="46" customWidth="1" min="2" max="2"/>
    <col width="11" customWidth="1" min="3" max="3"/>
    <col width="15" customWidth="1" min="4" max="4"/>
    <col width="15" customWidth="1" min="5" max="5"/>
    <col width="15" customWidth="1" min="6" max="6"/>
    <col width="44" customWidth="1" min="7" max="7"/>
  </cols>
  <sheetData>
    <row r="1" ht="30" customHeight="1">
      <c r="A1" s="1" t="inlineStr">
        <is>
          <t>CPWD DAR 2019 — Volume 1 — PDF to Excel Conversion</t>
        </is>
      </c>
    </row>
    <row r="3" ht="112" customHeight="1">
      <c r="A3" s="2" t="inlineStr">
        <is>
          <t>Line-by-line conversion of the CPWD Delhi Analysis of Rates (DAR) 2019, built from this project's PDF-verified item data. Every item shows its full official text, its Material/Labour/Machinery lines with a live Amount = Quantity x Rate per row, the Calculated W (a live SUM), the W as printed in the DAR, and their Difference. Formulas are deliberately basic: the DAR's statutory additions (water charges, GST, CPOH, cess) are NOT reproduced, and SAY is the item's final DAR rate shown as a fixed, printed value. A Difference other than zero marks a place where the DAR's own printed numbers do not add up; all of them are listed under Errata below.</t>
        </is>
      </c>
    </row>
    <row r="5">
      <c r="A5" s="3" t="inlineStr">
        <is>
          <t>Scope notes</t>
        </is>
      </c>
    </row>
    <row r="6" ht="34" customHeight="1">
      <c r="A6" s="4" t="inlineStr">
        <is>
          <t>- Chapter 02 (Earth Work) is hand-transcribed (there is no machine-extracted item file for it) and is labelled provisional; its printed W comes from this project's Ch02 W file where one exists. Five items referenced in some internal drafting tools (2.1.2, 2.2.2, 2.3.2, 2.6.2, 2.8.2 - a "Hard soil" excavation variant) do not appear anywhere in the source PDF and are excluded.</t>
        </is>
      </c>
    </row>
    <row r="7" ht="34" customHeight="1">
      <c r="A7" s="4" t="inlineStr">
        <is>
          <t>- Chapter 01 (Carriage of Materials): the source document's lead-distance freight-rate lookup tables (items 1.1 and 1.2) are large multi-column tables, not itemized cost buildups, and are not included. Only the chapter's genuinely itemized priced entries (1.3, 1.4.1-1.4.3, etc.) are reproduced.</t>
        </is>
      </c>
    </row>
    <row r="9">
      <c r="A9" s="3" t="inlineStr">
        <is>
          <t>Contents and verification</t>
        </is>
      </c>
    </row>
    <row r="10" ht="32" customHeight="1">
      <c r="A10" s="5" t="inlineStr">
        <is>
          <t>Sub-Head</t>
        </is>
      </c>
      <c r="B10" s="5" t="inlineStr">
        <is>
          <t>Title</t>
        </is>
      </c>
      <c r="C10" s="5" t="inlineStr">
        <is>
          <t>Items</t>
        </is>
      </c>
      <c r="D10" s="5" t="inlineStr">
        <is>
          <t>With printed W</t>
        </is>
      </c>
      <c r="E10" s="5" t="inlineStr">
        <is>
          <t>Calculated W = printed W</t>
        </is>
      </c>
      <c r="F10" s="5" t="inlineStr">
        <is>
          <t>W differs (see errata)</t>
        </is>
      </c>
      <c r="G10" s="5" t="inlineStr">
        <is>
          <t>No W printed</t>
        </is>
      </c>
    </row>
    <row r="11">
      <c r="A11" s="6" t="inlineStr">
        <is>
          <t>01</t>
        </is>
      </c>
      <c r="B11" s="7" t="inlineStr">
        <is>
          <t>SUB-HEAD 01: CARRIAGE OF MATERIALS</t>
        </is>
      </c>
      <c r="C11" s="6" t="n">
        <v>5</v>
      </c>
      <c r="D11" s="6" t="n">
        <v>0</v>
      </c>
      <c r="E11" s="6" t="n">
        <v>0</v>
      </c>
      <c r="F11" s="6" t="n">
        <v>0</v>
      </c>
      <c r="G11" s="6" t="n">
        <v>5</v>
      </c>
    </row>
    <row r="12">
      <c r="A12" s="6" t="inlineStr">
        <is>
          <t>02</t>
        </is>
      </c>
      <c r="B12" s="7" t="inlineStr">
        <is>
          <t>SUB-HEAD 02: EARTH WORK</t>
        </is>
      </c>
      <c r="C12" s="6" t="n">
        <v>79</v>
      </c>
      <c r="D12" s="6" t="n">
        <v>56</v>
      </c>
      <c r="E12" s="6" t="n">
        <v>56</v>
      </c>
      <c r="F12" s="6" t="n">
        <v>0</v>
      </c>
      <c r="G12" s="6" t="n">
        <v>17</v>
      </c>
    </row>
    <row r="13">
      <c r="A13" s="6" t="inlineStr">
        <is>
          <t>03</t>
        </is>
      </c>
      <c r="B13" s="7" t="inlineStr">
        <is>
          <t>SUB-HEAD 03: MORTARS</t>
        </is>
      </c>
      <c r="C13" s="6" t="n">
        <v>19</v>
      </c>
      <c r="D13" s="6" t="n">
        <v>0</v>
      </c>
      <c r="E13" s="6" t="n">
        <v>0</v>
      </c>
      <c r="F13" s="6" t="n">
        <v>0</v>
      </c>
      <c r="G13" s="6" t="n">
        <v>19</v>
      </c>
    </row>
    <row r="14">
      <c r="A14" s="6" t="inlineStr">
        <is>
          <t>04</t>
        </is>
      </c>
      <c r="B14" s="7" t="inlineStr">
        <is>
          <t>SUB-HEAD 04: CONCRETE WORK</t>
        </is>
      </c>
      <c r="C14" s="6" t="n">
        <v>40</v>
      </c>
      <c r="D14" s="6" t="n">
        <v>39</v>
      </c>
      <c r="E14" s="6" t="n">
        <v>39</v>
      </c>
      <c r="F14" s="6" t="n">
        <v>0</v>
      </c>
      <c r="G14" s="6" t="n">
        <v>1</v>
      </c>
    </row>
    <row r="15">
      <c r="A15" s="6" t="inlineStr">
        <is>
          <t>05</t>
        </is>
      </c>
      <c r="B15" s="7" t="inlineStr">
        <is>
          <t>SUB-HEAD 05: REINFORCED CEMENT CONCRETE</t>
        </is>
      </c>
      <c r="C15" s="6" t="n">
        <v>116</v>
      </c>
      <c r="D15" s="6" t="n">
        <v>111</v>
      </c>
      <c r="E15" s="6" t="n">
        <v>111</v>
      </c>
      <c r="F15" s="6" t="n">
        <v>0</v>
      </c>
      <c r="G15" s="6" t="n">
        <v>5</v>
      </c>
    </row>
    <row r="16">
      <c r="A16" s="6" t="inlineStr">
        <is>
          <t>06</t>
        </is>
      </c>
      <c r="B16" s="7" t="inlineStr">
        <is>
          <t>SUB-HEAD 06: MASONRY WORK</t>
        </is>
      </c>
      <c r="C16" s="6" t="n">
        <v>58</v>
      </c>
      <c r="D16" s="6" t="n">
        <v>58</v>
      </c>
      <c r="E16" s="6" t="n">
        <v>58</v>
      </c>
      <c r="F16" s="6" t="n">
        <v>0</v>
      </c>
      <c r="G16" s="6" t="n">
        <v>0</v>
      </c>
    </row>
    <row r="17">
      <c r="A17" s="6" t="inlineStr">
        <is>
          <t>07</t>
        </is>
      </c>
      <c r="B17" s="7" t="inlineStr">
        <is>
          <t>SUB-HEAD 07: STONE WORK</t>
        </is>
      </c>
      <c r="C17" s="6" t="n">
        <v>53</v>
      </c>
      <c r="D17" s="6" t="n">
        <v>53</v>
      </c>
      <c r="E17" s="6" t="n">
        <v>51</v>
      </c>
      <c r="F17" s="6" t="n">
        <v>2</v>
      </c>
      <c r="G17" s="6" t="n">
        <v>0</v>
      </c>
    </row>
    <row r="18">
      <c r="A18" s="6" t="inlineStr">
        <is>
          <t>08</t>
        </is>
      </c>
      <c r="B18" s="7" t="inlineStr">
        <is>
          <t>SUB-HEAD 08: CLADDING WORK</t>
        </is>
      </c>
      <c r="C18" s="6" t="n">
        <v>71</v>
      </c>
      <c r="D18" s="6" t="n">
        <v>71</v>
      </c>
      <c r="E18" s="6" t="n">
        <v>70</v>
      </c>
      <c r="F18" s="6" t="n">
        <v>1</v>
      </c>
      <c r="G18" s="6" t="n">
        <v>0</v>
      </c>
    </row>
    <row r="19">
      <c r="A19" s="6" t="inlineStr">
        <is>
          <t>09</t>
        </is>
      </c>
      <c r="B19" s="7" t="inlineStr">
        <is>
          <t>SUB-HEAD 09: WOOD AND PVC WORK</t>
        </is>
      </c>
      <c r="C19" s="6" t="n">
        <v>355</v>
      </c>
      <c r="D19" s="6" t="n">
        <v>355</v>
      </c>
      <c r="E19" s="6" t="n">
        <v>353</v>
      </c>
      <c r="F19" s="6" t="n">
        <v>2</v>
      </c>
      <c r="G19" s="6" t="n">
        <v>0</v>
      </c>
    </row>
    <row r="20">
      <c r="A20" s="6" t="inlineStr">
        <is>
          <t>10</t>
        </is>
      </c>
      <c r="B20" s="7" t="inlineStr">
        <is>
          <t>SUB-HEAD 10: STEEL WORK</t>
        </is>
      </c>
      <c r="C20" s="6" t="n">
        <v>53</v>
      </c>
      <c r="D20" s="6" t="n">
        <v>53</v>
      </c>
      <c r="E20" s="6" t="n">
        <v>53</v>
      </c>
      <c r="F20" s="6" t="n">
        <v>0</v>
      </c>
      <c r="G20" s="6" t="n">
        <v>0</v>
      </c>
    </row>
    <row r="21">
      <c r="A21" s="6" t="inlineStr">
        <is>
          <t>11</t>
        </is>
      </c>
      <c r="B21" s="7" t="inlineStr">
        <is>
          <t>SUB-HEAD 11: FLOORING</t>
        </is>
      </c>
      <c r="C21" s="6" t="n">
        <v>116</v>
      </c>
      <c r="D21" s="6" t="n">
        <v>116</v>
      </c>
      <c r="E21" s="6" t="n">
        <v>115</v>
      </c>
      <c r="F21" s="6" t="n">
        <v>1</v>
      </c>
      <c r="G21" s="6" t="n">
        <v>0</v>
      </c>
    </row>
    <row r="22">
      <c r="A22" s="6" t="inlineStr">
        <is>
          <t>12</t>
        </is>
      </c>
      <c r="B22" s="7" t="inlineStr">
        <is>
          <t>SUB-HEAD 12: ROOFING</t>
        </is>
      </c>
      <c r="C22" s="6" t="n">
        <v>118</v>
      </c>
      <c r="D22" s="6" t="n">
        <v>118</v>
      </c>
      <c r="E22" s="6" t="n">
        <v>117</v>
      </c>
      <c r="F22" s="6" t="n">
        <v>1</v>
      </c>
      <c r="G22" s="6" t="n">
        <v>0</v>
      </c>
    </row>
    <row r="23">
      <c r="A23" s="8" t="inlineStr">
        <is>
          <t>Total</t>
        </is>
      </c>
      <c r="B23" s="9" t="n"/>
      <c r="C23" s="10" t="n">
        <v>1083</v>
      </c>
      <c r="D23" s="10" t="n">
        <v>1030</v>
      </c>
      <c r="E23" s="10" t="n">
        <v>1023</v>
      </c>
      <c r="F23" s="10" t="n">
        <v>7</v>
      </c>
      <c r="G23" s="10" t="n">
        <v>47</v>
      </c>
    </row>
    <row r="25">
      <c r="A25" s="3" t="inlineStr">
        <is>
          <t>Errata - where the DAR's own printed numbers do not add up (12 rows)</t>
        </is>
      </c>
    </row>
    <row r="26" ht="30" customHeight="1">
      <c r="A26" s="4" t="inlineStr">
        <is>
          <t>A row's printed Amount is not Quantity x Rate. This workbook keeps the printed Quantity and Rate, so the item's Calculated W differs from the printed W by exactly the sum of that item's slips.</t>
        </is>
      </c>
    </row>
    <row r="27" ht="30" customHeight="1">
      <c r="A27" s="5" t="inlineStr">
        <is>
          <t>Sub-Head</t>
        </is>
      </c>
      <c r="B27" s="5" t="inlineStr">
        <is>
          <t>Item / row</t>
        </is>
      </c>
      <c r="C27" s="5" t="inlineStr">
        <is>
          <t>Row code</t>
        </is>
      </c>
      <c r="D27" s="5" t="inlineStr">
        <is>
          <t>Quantity x Rate</t>
        </is>
      </c>
      <c r="E27" s="5" t="inlineStr">
        <is>
          <t>DAR prints</t>
        </is>
      </c>
      <c r="F27" s="5" t="inlineStr">
        <is>
          <t>Difference</t>
        </is>
      </c>
      <c r="G27" s="5" t="inlineStr">
        <is>
          <t>Item's W: calculated / printed</t>
        </is>
      </c>
    </row>
    <row r="28">
      <c r="A28" s="11" t="inlineStr">
        <is>
          <t>07</t>
        </is>
      </c>
      <c r="B28" s="12" t="inlineStr">
        <is>
          <t>7.2.1  -  Rate as per SH: 3.11</t>
        </is>
      </c>
      <c r="C28" s="11" t="inlineStr">
        <is>
          <t>3.11</t>
        </is>
      </c>
      <c r="D28" s="13" t="n">
        <v>1107.5295</v>
      </c>
      <c r="E28" s="13" t="n">
        <v>1061.78</v>
      </c>
      <c r="F28" s="13" t="n">
        <v>45.74950000000013</v>
      </c>
      <c r="G28" s="11" t="inlineStr">
        <is>
          <t>5,643.87 / 5,598.12</t>
        </is>
      </c>
    </row>
    <row r="29">
      <c r="A29" s="11" t="inlineStr">
        <is>
          <t>07</t>
        </is>
      </c>
      <c r="B29" s="12" t="inlineStr">
        <is>
          <t>7.10.1  -  Mason (for plain stone work) 2nd class)</t>
        </is>
      </c>
      <c r="C29" s="11" t="inlineStr">
        <is>
          <t>0125</t>
        </is>
      </c>
      <c r="D29" s="13" t="n">
        <v>454.93</v>
      </c>
      <c r="E29" s="13" t="n">
        <v>300.16</v>
      </c>
      <c r="F29" s="13" t="n">
        <v>154.77</v>
      </c>
      <c r="G29" s="11" t="inlineStr">
        <is>
          <t>605.59 / 450.82</t>
        </is>
      </c>
    </row>
    <row r="30">
      <c r="A30" s="11" t="inlineStr">
        <is>
          <t>08</t>
        </is>
      </c>
      <c r="B30" s="12" t="inlineStr">
        <is>
          <t>8.21  -  Blacksmith 1st class</t>
        </is>
      </c>
      <c r="C30" s="11" t="inlineStr">
        <is>
          <t>0102</t>
        </is>
      </c>
      <c r="D30" s="13" t="n">
        <v>988.9200000000001</v>
      </c>
      <c r="E30" s="13" t="n">
        <v>652.58</v>
      </c>
      <c r="F30" s="13" t="n">
        <v>336.34</v>
      </c>
      <c r="G30" s="11" t="inlineStr">
        <is>
          <t>16,092.57 / 14,658.93</t>
        </is>
      </c>
    </row>
    <row r="31">
      <c r="A31" s="11" t="inlineStr">
        <is>
          <t>08</t>
        </is>
      </c>
      <c r="B31" s="12" t="inlineStr">
        <is>
          <t>8.21  -  Bandhani</t>
        </is>
      </c>
      <c r="C31" s="11" t="inlineStr">
        <is>
          <t>0100</t>
        </is>
      </c>
      <c r="D31" s="13" t="n">
        <v>413.39</v>
      </c>
      <c r="E31" s="13" t="n">
        <v>272.69</v>
      </c>
      <c r="F31" s="13" t="n">
        <v>140.7</v>
      </c>
      <c r="G31" s="11" t="inlineStr">
        <is>
          <t>16,092.57 / 14,658.93</t>
        </is>
      </c>
    </row>
    <row r="32">
      <c r="A32" s="11" t="inlineStr">
        <is>
          <t>08</t>
        </is>
      </c>
      <c r="B32" s="12" t="inlineStr">
        <is>
          <t>8.21  -  Beldar</t>
        </is>
      </c>
      <c r="C32" s="11" t="inlineStr">
        <is>
          <t>0114</t>
        </is>
      </c>
      <c r="D32" s="13" t="n">
        <v>2745.36</v>
      </c>
      <c r="E32" s="13" t="n">
        <v>1810.56</v>
      </c>
      <c r="F32" s="13" t="n">
        <v>934.8000000000002</v>
      </c>
      <c r="G32" s="11" t="inlineStr">
        <is>
          <t>16,092.57 / 14,658.93</t>
        </is>
      </c>
    </row>
    <row r="33">
      <c r="A33" s="11" t="inlineStr">
        <is>
          <t>08</t>
        </is>
      </c>
      <c r="B33" s="12" t="inlineStr">
        <is>
          <t>8.21  -  Sundries</t>
        </is>
      </c>
      <c r="C33" s="11" t="inlineStr">
        <is>
          <t>9999</t>
        </is>
      </c>
      <c r="D33" s="13" t="n">
        <v>161.46</v>
      </c>
      <c r="E33" s="13" t="n">
        <v>139.66</v>
      </c>
      <c r="F33" s="13" t="n">
        <v>21.80000000000001</v>
      </c>
      <c r="G33" s="11" t="inlineStr">
        <is>
          <t>16,092.57 / 14,658.93</t>
        </is>
      </c>
    </row>
    <row r="34">
      <c r="A34" s="11" t="inlineStr">
        <is>
          <t>09</t>
        </is>
      </c>
      <c r="B34" s="12" t="inlineStr">
        <is>
          <t>9.60.2  -  Beldar</t>
        </is>
      </c>
      <c r="C34" s="11" t="inlineStr">
        <is>
          <t>0114</t>
        </is>
      </c>
      <c r="D34" s="13" t="n">
        <v>111.6</v>
      </c>
      <c r="E34" s="13" t="n">
        <v>73.59999999999999</v>
      </c>
      <c r="F34" s="13" t="n">
        <v>38.00000000000001</v>
      </c>
      <c r="G34" s="11" t="inlineStr">
        <is>
          <t>1,799.46 / 1,761.46</t>
        </is>
      </c>
    </row>
    <row r="35">
      <c r="A35" s="11" t="inlineStr">
        <is>
          <t>09</t>
        </is>
      </c>
      <c r="B35" s="12" t="inlineStr">
        <is>
          <t>9.111.1  -  Carpenter 1st class</t>
        </is>
      </c>
      <c r="C35" s="11" t="inlineStr">
        <is>
          <t>0111</t>
        </is>
      </c>
      <c r="D35" s="13" t="n">
        <v>553.5</v>
      </c>
      <c r="E35" s="13" t="n">
        <v>365.25</v>
      </c>
      <c r="F35" s="13" t="n">
        <v>188.25</v>
      </c>
      <c r="G35" s="11" t="inlineStr">
        <is>
          <t>1,130.65 / 942.40</t>
        </is>
      </c>
    </row>
    <row r="36">
      <c r="A36" s="11" t="inlineStr">
        <is>
          <t>11</t>
        </is>
      </c>
      <c r="B36" s="12" t="inlineStr">
        <is>
          <t>11.51.1  -  Rate as per SH: 3.9</t>
        </is>
      </c>
      <c r="C36" s="11" t="inlineStr">
        <is>
          <t>3.9</t>
        </is>
      </c>
      <c r="D36" s="13" t="n">
        <v>898.3184</v>
      </c>
      <c r="E36" s="13" t="n">
        <v>889.39</v>
      </c>
      <c r="F36" s="13" t="n">
        <v>8.928400000000011</v>
      </c>
      <c r="G36" s="11" t="inlineStr">
        <is>
          <t>44,758.33 / 44,742.13</t>
        </is>
      </c>
    </row>
    <row r="37">
      <c r="A37" s="11" t="inlineStr">
        <is>
          <t>11</t>
        </is>
      </c>
      <c r="B37" s="12" t="inlineStr">
        <is>
          <t>11.51.1  -  carriage of marble slab</t>
        </is>
      </c>
      <c r="C37" s="11" t="inlineStr">
        <is>
          <t>9999</t>
        </is>
      </c>
      <c r="D37" s="13" t="n">
        <v>53.82</v>
      </c>
      <c r="E37" s="13" t="n">
        <v>46.55</v>
      </c>
      <c r="F37" s="13" t="n">
        <v>7.270000000000003</v>
      </c>
      <c r="G37" s="11" t="inlineStr">
        <is>
          <t>44,758.33 / 44,742.13</t>
        </is>
      </c>
    </row>
    <row r="38">
      <c r="A38" s="11" t="inlineStr">
        <is>
          <t>12</t>
        </is>
      </c>
      <c r="B38" s="12" t="inlineStr">
        <is>
          <t>12.51.4  -  Carriage of barge boards, bolts, nuts and washers</t>
        </is>
      </c>
      <c r="C38" s="11" t="inlineStr">
        <is>
          <t>9977</t>
        </is>
      </c>
      <c r="D38" s="13" t="n">
        <v>18.72</v>
      </c>
      <c r="E38" s="13" t="n">
        <v>16.19</v>
      </c>
      <c r="F38" s="13" t="n">
        <v>2.529999999999998</v>
      </c>
      <c r="G38" s="11" t="inlineStr">
        <is>
          <t>2,193.00 / 2,188.64</t>
        </is>
      </c>
    </row>
    <row r="39">
      <c r="A39" s="11" t="inlineStr">
        <is>
          <t>12</t>
        </is>
      </c>
      <c r="B39" s="12" t="inlineStr">
        <is>
          <t>12.51.4  -  Sundries</t>
        </is>
      </c>
      <c r="C39" s="11" t="inlineStr">
        <is>
          <t>9999</t>
        </is>
      </c>
      <c r="D39" s="13" t="n">
        <v>13.52</v>
      </c>
      <c r="E39" s="13" t="n">
        <v>11.69</v>
      </c>
      <c r="F39" s="13" t="n">
        <v>1.83</v>
      </c>
      <c r="G39" s="11" t="inlineStr">
        <is>
          <t>2,193.00 / 2,188.64</t>
        </is>
      </c>
    </row>
    <row r="41">
      <c r="A41" s="3" t="inlineStr">
        <is>
          <t>About this file</t>
        </is>
      </c>
    </row>
    <row r="42" ht="28" customHeight="1">
      <c r="A42" s="4" t="inlineStr">
        <is>
          <t>Source document: CivilDAR_2019_Vol_1.pdf.  Generated 2026-09-21 from repository commit 2b9b270.</t>
        </is>
      </c>
    </row>
  </sheetData>
  <mergeCells count="10">
    <mergeCell ref="A1:G1"/>
    <mergeCell ref="A9:G9"/>
    <mergeCell ref="A3:G3"/>
    <mergeCell ref="A6:G6"/>
    <mergeCell ref="A26:G26"/>
    <mergeCell ref="A7:G7"/>
    <mergeCell ref="A25:G25"/>
    <mergeCell ref="A42:G42"/>
    <mergeCell ref="A41:G41"/>
    <mergeCell ref="A5:G5"/>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1" r:id="rId16"/>
    <hyperlink xmlns:r="http://schemas.openxmlformats.org/officeDocument/2006/relationships" ref="B32" r:id="rId17"/>
    <hyperlink xmlns:r="http://schemas.openxmlformats.org/officeDocument/2006/relationships" ref="B33" r:id="rId18"/>
    <hyperlink xmlns:r="http://schemas.openxmlformats.org/officeDocument/2006/relationships" ref="B34" r:id="rId19"/>
    <hyperlink xmlns:r="http://schemas.openxmlformats.org/officeDocument/2006/relationships" ref="B35" r:id="rId20"/>
    <hyperlink xmlns:r="http://schemas.openxmlformats.org/officeDocument/2006/relationships" ref="B36" r:id="rId21"/>
    <hyperlink xmlns:r="http://schemas.openxmlformats.org/officeDocument/2006/relationships" ref="B37" r:id="rId22"/>
    <hyperlink xmlns:r="http://schemas.openxmlformats.org/officeDocument/2006/relationships" ref="B38" r:id="rId23"/>
    <hyperlink xmlns:r="http://schemas.openxmlformats.org/officeDocument/2006/relationships" ref="B39"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86"/>
  <sheetViews>
    <sheetView showGridLines="0" workbookViewId="0">
      <pane ySplit="3" topLeftCell="A4" activePane="bottomLeft" state="frozen"/>
      <selection pane="bottomLeft" activeCell="A1" sqref="A1"/>
    </sheetView>
  </sheetViews>
  <sheetFormatPr baseColWidth="8" defaultRowHeight="15"/>
  <cols>
    <col width="14" customWidth="1" min="1" max="1"/>
    <col width="84" customWidth="1" min="2" max="2"/>
    <col width="10" customWidth="1" min="3" max="3"/>
    <col width="14" customWidth="1" min="4" max="4"/>
    <col width="26" customWidth="1" min="5" max="5"/>
    <col width="10" customWidth="1" min="6" max="6"/>
  </cols>
  <sheetData>
    <row r="1" ht="26" customHeight="1">
      <c r="A1" s="1" t="inlineStr">
        <is>
          <t>Item Index - every item, with a link to its block</t>
        </is>
      </c>
    </row>
    <row r="3">
      <c r="A3" s="5" t="inlineStr">
        <is>
          <t>Item</t>
        </is>
      </c>
      <c r="B3" s="5" t="inlineStr">
        <is>
          <t>Description</t>
        </is>
      </c>
      <c r="C3" s="5" t="inlineStr">
        <is>
          <t>Unit</t>
        </is>
      </c>
      <c r="D3" s="5" t="inlineStr">
        <is>
          <t>SAY (Rs.)</t>
        </is>
      </c>
      <c r="E3" s="5" t="inlineStr">
        <is>
          <t>Sub-Head sheet</t>
        </is>
      </c>
      <c r="F3" s="5" t="inlineStr">
        <is>
          <t>PDF page</t>
        </is>
      </c>
    </row>
    <row r="4">
      <c r="A4" s="14" t="inlineStr">
        <is>
          <t>1.1.18</t>
        </is>
      </c>
      <c r="B4" t="inlineStr">
        <is>
          <t>By Mechanical Transport including loading, unloading and stacking: Code Name Unit Rate - Disposal of moorum...</t>
        </is>
      </c>
      <c r="C4" t="inlineStr">
        <is>
          <t>trips</t>
        </is>
      </c>
      <c r="D4" s="15" t="n">
        <v>284.6</v>
      </c>
      <c r="E4" t="inlineStr">
        <is>
          <t>01_Carriage_of_Materials</t>
        </is>
      </c>
      <c r="F4" t="n">
        <v>80</v>
      </c>
    </row>
    <row r="5">
      <c r="A5" s="14" t="inlineStr">
        <is>
          <t>1.3</t>
        </is>
      </c>
      <c r="B5" t="inlineStr">
        <is>
          <t>Loading in or unloading cement from the railway wagons at siding and carrying the same from or into godowns...</t>
        </is>
      </c>
      <c r="C5" t="inlineStr">
        <is>
          <t>tonne</t>
        </is>
      </c>
      <c r="D5" s="15" t="n">
        <v>104.9</v>
      </c>
      <c r="E5" t="inlineStr">
        <is>
          <t>01_Carriage_of_Materials</t>
        </is>
      </c>
      <c r="F5" t="n">
        <v>83</v>
      </c>
    </row>
    <row r="6">
      <c r="A6" s="14" t="inlineStr">
        <is>
          <t>1.4.1</t>
        </is>
      </c>
      <c r="B6" t="inlineStr">
        <is>
          <t>Loading in or unloading from the railway wagons as per direction of Engineer-in- charge - Steel Details of...</t>
        </is>
      </c>
      <c r="C6" t="inlineStr">
        <is>
          <t>tonne</t>
        </is>
      </c>
      <c r="D6" s="15" t="n">
        <v>155.45</v>
      </c>
      <c r="E6" t="inlineStr">
        <is>
          <t>01_Carriage_of_Materials</t>
        </is>
      </c>
      <c r="F6" t="n">
        <v>83</v>
      </c>
    </row>
    <row r="7">
      <c r="A7" s="14" t="inlineStr">
        <is>
          <t>1.4.2</t>
        </is>
      </c>
      <c r="B7" t="inlineStr">
        <is>
          <t>Loading in or unloading from the railway wagons as per direction of Engineer-in- charge - G.I., C.I., R.C.C...</t>
        </is>
      </c>
      <c r="C7" t="inlineStr">
        <is>
          <t>tonne</t>
        </is>
      </c>
      <c r="D7" s="15" t="n">
        <v>92.2</v>
      </c>
      <c r="E7" t="inlineStr">
        <is>
          <t>01_Carriage_of_Materials</t>
        </is>
      </c>
      <c r="F7" t="n">
        <v>83</v>
      </c>
    </row>
    <row r="8">
      <c r="A8" s="14" t="inlineStr">
        <is>
          <t>1.4.3</t>
        </is>
      </c>
      <c r="B8" t="inlineStr">
        <is>
          <t>Loading in or unloading from the railway wagons as per direction of Engineer-in- charge - 1.4.3 Heavy mater...</t>
        </is>
      </c>
      <c r="C8" t="inlineStr">
        <is>
          <t>tonne</t>
        </is>
      </c>
      <c r="D8" s="15" t="n">
        <v>165.15</v>
      </c>
      <c r="E8" t="inlineStr">
        <is>
          <t>01_Carriage_of_Materials</t>
        </is>
      </c>
      <c r="F8" t="n">
        <v>84</v>
      </c>
    </row>
    <row r="9">
      <c r="A9" s="14" t="inlineStr">
        <is>
          <t>2.1.1</t>
        </is>
      </c>
      <c r="B9" t="inlineStr">
        <is>
          <t>Earth work in surface excavation not exceeding 30 cm in depth but exceeding 1.5 m in width as well as 10 sq...</t>
        </is>
      </c>
      <c r="C9" t="inlineStr">
        <is>
          <t>sqm</t>
        </is>
      </c>
      <c r="D9" s="15" t="n">
        <v>92.55</v>
      </c>
      <c r="E9" t="inlineStr">
        <is>
          <t>02_Earth_Work</t>
        </is>
      </c>
    </row>
    <row r="10">
      <c r="A10" s="14" t="inlineStr">
        <is>
          <t>2.2.1</t>
        </is>
      </c>
      <c r="B10" t="inlineStr">
        <is>
          <t>Earth work in rough excavation, banking excavated earth in layers not exceeding 20cm in depth, breaking clo...</t>
        </is>
      </c>
      <c r="C10" t="inlineStr">
        <is>
          <t>cum</t>
        </is>
      </c>
      <c r="D10" s="15" t="n">
        <v>746.8</v>
      </c>
      <c r="E10" t="inlineStr">
        <is>
          <t>02_Earth_Work</t>
        </is>
      </c>
    </row>
    <row r="11">
      <c r="A11" s="14" t="inlineStr">
        <is>
          <t>2.3.1</t>
        </is>
      </c>
      <c r="B11" t="inlineStr">
        <is>
          <t>Banking excavated earth in layers not exceeding 20 cm in depth, breaking clods, watering, rolling each laye...</t>
        </is>
      </c>
      <c r="C11" t="inlineStr">
        <is>
          <t>cum</t>
        </is>
      </c>
      <c r="D11" s="15" t="n">
        <v>470.55</v>
      </c>
      <c r="E11" t="inlineStr">
        <is>
          <t>02_Earth_Work</t>
        </is>
      </c>
    </row>
    <row r="12">
      <c r="A12" s="14" t="inlineStr">
        <is>
          <t>2.4</t>
        </is>
      </c>
      <c r="B12" t="inlineStr">
        <is>
          <t>Deduct for not rolling with power roller of minimum 8 tonnes for banking excavated earth in layers not exce...</t>
        </is>
      </c>
      <c r="C12" t="inlineStr">
        <is>
          <t>cum</t>
        </is>
      </c>
      <c r="D12" s="15" t="n">
        <v>4.3</v>
      </c>
      <c r="E12" t="inlineStr">
        <is>
          <t>02_Earth_Work</t>
        </is>
      </c>
    </row>
    <row r="13">
      <c r="A13" s="14" t="inlineStr">
        <is>
          <t>2.5</t>
        </is>
      </c>
      <c r="B13" t="inlineStr">
        <is>
          <t>Deduct for not watering the excavated earth for banking</t>
        </is>
      </c>
      <c r="C13" t="inlineStr">
        <is>
          <t>cum</t>
        </is>
      </c>
      <c r="D13" s="15" t="n">
        <v>33</v>
      </c>
      <c r="E13" t="inlineStr">
        <is>
          <t>02_Earth_Work</t>
        </is>
      </c>
    </row>
    <row r="14">
      <c r="A14" s="14" t="inlineStr">
        <is>
          <t>2.6.1</t>
        </is>
      </c>
      <c r="B14" t="inlineStr">
        <is>
          <t>Earth work in excavation by mechanical means (Hydraulic excavator)/manual means over areas (exceeding 30 cm...</t>
        </is>
      </c>
      <c r="C14" t="inlineStr">
        <is>
          <t>cum</t>
        </is>
      </c>
      <c r="D14" s="15" t="n">
        <v>181.85</v>
      </c>
      <c r="E14" t="inlineStr">
        <is>
          <t>02_Earth_Work</t>
        </is>
      </c>
    </row>
    <row r="15">
      <c r="A15" s="14" t="inlineStr">
        <is>
          <t>2.7.1</t>
        </is>
      </c>
      <c r="B15" t="inlineStr">
        <is>
          <t>Earth work in excavation by mechanical means (Hydraulic excavator)/manual means over areas (exceeding 30 cm...</t>
        </is>
      </c>
      <c r="C15" t="inlineStr">
        <is>
          <t>cum</t>
        </is>
      </c>
      <c r="D15" s="15" t="n">
        <v>352.45</v>
      </c>
      <c r="E15" t="inlineStr">
        <is>
          <t>02_Earth_Work</t>
        </is>
      </c>
    </row>
    <row r="16">
      <c r="A16" s="14" t="inlineStr">
        <is>
          <t>2.7.2</t>
        </is>
      </c>
      <c r="B16" t="inlineStr">
        <is>
          <t>Earth work in excavation by mechanical means (Hydraulic excavator)/manual means over areas (exceeding 30 cm...</t>
        </is>
      </c>
      <c r="C16" t="inlineStr">
        <is>
          <t>cum</t>
        </is>
      </c>
      <c r="D16" s="15" t="n">
        <v>609.65</v>
      </c>
      <c r="E16" t="inlineStr">
        <is>
          <t>02_Earth_Work</t>
        </is>
      </c>
    </row>
    <row r="17">
      <c r="A17" s="14" t="inlineStr">
        <is>
          <t>2.7.3</t>
        </is>
      </c>
      <c r="B17" t="inlineStr">
        <is>
          <t>Earth work in excavation by mechanical means (Hydraulic excavator)/manual means over areas (exceeding 30 cm...</t>
        </is>
      </c>
      <c r="C17" t="inlineStr">
        <is>
          <t>cum</t>
        </is>
      </c>
      <c r="D17" s="15" t="n">
        <v>1016.2</v>
      </c>
      <c r="E17" t="inlineStr">
        <is>
          <t>02_Earth_Work</t>
        </is>
      </c>
    </row>
    <row r="18">
      <c r="A18" s="14" t="inlineStr">
        <is>
          <t>2.8.1</t>
        </is>
      </c>
      <c r="B18" t="inlineStr">
        <is>
          <t>Earth work in excavation by mechanical means (Hydraulic excavator) / manual means in foundation trenches or...</t>
        </is>
      </c>
      <c r="C18" t="inlineStr">
        <is>
          <t>cum</t>
        </is>
      </c>
      <c r="D18" s="15" t="n">
        <v>252.3</v>
      </c>
      <c r="E18" t="inlineStr">
        <is>
          <t>02_Earth_Work</t>
        </is>
      </c>
    </row>
    <row r="19">
      <c r="A19" s="14" t="inlineStr">
        <is>
          <t>2.9.1</t>
        </is>
      </c>
      <c r="B19" t="inlineStr">
        <is>
          <t>Excavation work by mechanical means (Hydraulic excavator)/ manual means in foundation trenches or drains (n...</t>
        </is>
      </c>
      <c r="C19" t="inlineStr">
        <is>
          <t>cum</t>
        </is>
      </c>
      <c r="D19" s="15" t="n">
        <v>448.15</v>
      </c>
      <c r="E19" t="inlineStr">
        <is>
          <t>02_Earth_Work</t>
        </is>
      </c>
    </row>
    <row r="20">
      <c r="A20" s="14" t="inlineStr">
        <is>
          <t>2.9.2</t>
        </is>
      </c>
      <c r="B20" t="inlineStr">
        <is>
          <t>Excavation work by mechanical means (Hydraulic excavator)/ manual means in foundation trenches or drains (n...</t>
        </is>
      </c>
      <c r="C20" t="inlineStr">
        <is>
          <t>cum</t>
        </is>
      </c>
      <c r="D20" s="15" t="n">
        <v>729</v>
      </c>
      <c r="E20" t="inlineStr">
        <is>
          <t>02_Earth_Work</t>
        </is>
      </c>
    </row>
    <row r="21">
      <c r="A21" s="14" t="inlineStr">
        <is>
          <t>2.9.3</t>
        </is>
      </c>
      <c r="B21" t="inlineStr">
        <is>
          <t>Excavation work by mechanical means (Hydraulic excavator)/ manual means in foundation trenches or drains (n...</t>
        </is>
      </c>
      <c r="C21" t="inlineStr">
        <is>
          <t>cum</t>
        </is>
      </c>
      <c r="D21" s="15" t="n">
        <v>1080.55</v>
      </c>
      <c r="E21" t="inlineStr">
        <is>
          <t>02_Earth_Work</t>
        </is>
      </c>
    </row>
    <row r="22">
      <c r="A22" s="14" t="inlineStr">
        <is>
          <t>2.10.1.1</t>
        </is>
      </c>
      <c r="B22" t="inlineStr">
        <is>
          <t>Excavating trenches of required width for pipes, cables, etc including excavation for sockets, and dressing...</t>
        </is>
      </c>
      <c r="C22" t="inlineStr">
        <is>
          <t>metre</t>
        </is>
      </c>
      <c r="D22" s="15" t="n">
        <v>223</v>
      </c>
      <c r="E22" t="inlineStr">
        <is>
          <t>02_Earth_Work</t>
        </is>
      </c>
    </row>
    <row r="23">
      <c r="A23" s="14" t="inlineStr">
        <is>
          <t>2.10.1.2</t>
        </is>
      </c>
      <c r="B23" t="inlineStr">
        <is>
          <t>Excavating trenches of required width for pipes, cables, etc including excavation for sockets, and dressing...</t>
        </is>
      </c>
      <c r="C23" t="inlineStr">
        <is>
          <t>metre</t>
        </is>
      </c>
      <c r="D23" s="15" t="n">
        <v>364.2</v>
      </c>
      <c r="E23" t="inlineStr">
        <is>
          <t>02_Earth_Work</t>
        </is>
      </c>
    </row>
    <row r="24">
      <c r="A24" s="14" t="inlineStr">
        <is>
          <t>2.10.1.3</t>
        </is>
      </c>
      <c r="B24" t="inlineStr">
        <is>
          <t>Excavating trenches of required width for pipes, cables, etc including excavation for sockets, and dressing...</t>
        </is>
      </c>
      <c r="C24" t="inlineStr">
        <is>
          <t>metre</t>
        </is>
      </c>
      <c r="D24" s="15" t="n">
        <v>568.6</v>
      </c>
      <c r="E24" t="inlineStr">
        <is>
          <t>02_Earth_Work</t>
        </is>
      </c>
    </row>
    <row r="25">
      <c r="A25" s="14" t="inlineStr">
        <is>
          <t>2.11</t>
        </is>
      </c>
      <c r="B25" t="inlineStr">
        <is>
          <t>Extra for excavating trenches for pipes, cables etc. in all kinds of soil for depth exceeding 1.5 m, but no...</t>
        </is>
      </c>
      <c r="C25" t="inlineStr">
        <is>
          <t>%</t>
        </is>
      </c>
      <c r="D25" s="15" t="n"/>
      <c r="E25" t="inlineStr">
        <is>
          <t>02_Earth_Work</t>
        </is>
      </c>
    </row>
    <row r="26">
      <c r="A26" s="14" t="inlineStr">
        <is>
          <t>2.12</t>
        </is>
      </c>
      <c r="B26" t="inlineStr">
        <is>
          <t>Extra for excavating trenches for pipes, cables, etc, in all kinds of soil for depth exceeding 3 m in depth...</t>
        </is>
      </c>
      <c r="C26" t="inlineStr">
        <is>
          <t>%</t>
        </is>
      </c>
      <c r="D26" s="15" t="n"/>
      <c r="E26" t="inlineStr">
        <is>
          <t>02_Earth_Work</t>
        </is>
      </c>
    </row>
    <row r="27">
      <c r="A27" s="14" t="inlineStr">
        <is>
          <t>2.13.1.1</t>
        </is>
      </c>
      <c r="B27" t="inlineStr">
        <is>
          <t>Excavating trenches of required width for pipes, cables, etc, including excavation for sockets, depth upto...</t>
        </is>
      </c>
      <c r="C27" t="inlineStr">
        <is>
          <t>metre</t>
        </is>
      </c>
      <c r="D27" s="15" t="n">
        <v>323.85</v>
      </c>
      <c r="E27" t="inlineStr">
        <is>
          <t>02_Earth_Work</t>
        </is>
      </c>
    </row>
    <row r="28">
      <c r="A28" s="14" t="inlineStr">
        <is>
          <t>2.13.1.2</t>
        </is>
      </c>
      <c r="B28" t="inlineStr">
        <is>
          <t>Excavating trenches of required width for pipes, cables, etc, including excavation for sockets, depth upto...</t>
        </is>
      </c>
      <c r="C28" t="inlineStr">
        <is>
          <t>metre</t>
        </is>
      </c>
      <c r="D28" s="15" t="n">
        <v>801.85</v>
      </c>
      <c r="E28" t="inlineStr">
        <is>
          <t>02_Earth_Work</t>
        </is>
      </c>
    </row>
    <row r="29">
      <c r="A29" s="14" t="inlineStr">
        <is>
          <t>2.13.1.3</t>
        </is>
      </c>
      <c r="B29" t="inlineStr">
        <is>
          <t>Excavating trenches of required width for pipes, cables, etc, including excavation for sockets, depth upto...</t>
        </is>
      </c>
      <c r="C29" t="inlineStr">
        <is>
          <t>metre</t>
        </is>
      </c>
      <c r="D29" s="15" t="n">
        <v>922.65</v>
      </c>
      <c r="E29" t="inlineStr">
        <is>
          <t>02_Earth_Work</t>
        </is>
      </c>
    </row>
    <row r="30">
      <c r="A30" s="14" t="inlineStr">
        <is>
          <t>2.13.2.1</t>
        </is>
      </c>
      <c r="B30" t="inlineStr">
        <is>
          <t>Excavating trenches of required width for pipes, cables, etc, including excavation for sockets, depth upto...</t>
        </is>
      </c>
      <c r="C30" t="inlineStr">
        <is>
          <t>metre</t>
        </is>
      </c>
      <c r="D30" s="15" t="n">
        <v>458.6</v>
      </c>
      <c r="E30" t="inlineStr">
        <is>
          <t>02_Earth_Work</t>
        </is>
      </c>
    </row>
    <row r="31">
      <c r="A31" s="14" t="inlineStr">
        <is>
          <t>2.13.2.2</t>
        </is>
      </c>
      <c r="B31" t="inlineStr">
        <is>
          <t>Excavating trenches of required width for pipes, cables, etc, including excavation for sockets, depth upto...</t>
        </is>
      </c>
      <c r="C31" t="inlineStr">
        <is>
          <t>metre</t>
        </is>
      </c>
      <c r="D31" s="15" t="n">
        <v>1135.6</v>
      </c>
      <c r="E31" t="inlineStr">
        <is>
          <t>02_Earth_Work</t>
        </is>
      </c>
    </row>
    <row r="32">
      <c r="A32" s="14" t="inlineStr">
        <is>
          <t>2.13.2.3</t>
        </is>
      </c>
      <c r="B32" t="inlineStr">
        <is>
          <t>Excavating trenches of required width for pipes, cables, etc, including excavation for sockets, depth upto...</t>
        </is>
      </c>
      <c r="C32" t="inlineStr">
        <is>
          <t>metre</t>
        </is>
      </c>
      <c r="D32" s="15" t="n">
        <v>1306.6</v>
      </c>
      <c r="E32" t="inlineStr">
        <is>
          <t>02_Earth_Work</t>
        </is>
      </c>
    </row>
    <row r="33">
      <c r="A33" s="14" t="inlineStr">
        <is>
          <t>2.13.3.1</t>
        </is>
      </c>
      <c r="B33" t="inlineStr">
        <is>
          <t>Excavating trenches of required width for pipes, cables, etc, including excavation for sockets, depth upto...</t>
        </is>
      </c>
      <c r="C33" t="inlineStr">
        <is>
          <t>metre</t>
        </is>
      </c>
      <c r="D33" s="15" t="n">
        <v>624.7</v>
      </c>
      <c r="E33" t="inlineStr">
        <is>
          <t>02_Earth_Work</t>
        </is>
      </c>
    </row>
    <row r="34">
      <c r="A34" s="14" t="inlineStr">
        <is>
          <t>2.13.3.2</t>
        </is>
      </c>
      <c r="B34" t="inlineStr">
        <is>
          <t>Excavating trenches of required width for pipes, cables, etc, including excavation for sockets, depth upto...</t>
        </is>
      </c>
      <c r="C34" t="inlineStr">
        <is>
          <t>metre</t>
        </is>
      </c>
      <c r="D34" s="15" t="n">
        <v>1546.9</v>
      </c>
      <c r="E34" t="inlineStr">
        <is>
          <t>02_Earth_Work</t>
        </is>
      </c>
    </row>
    <row r="35">
      <c r="A35" s="14" t="inlineStr">
        <is>
          <t>2.13.3.3</t>
        </is>
      </c>
      <c r="B35" t="inlineStr">
        <is>
          <t>Excavating trenches of required width for pipes, cables, etc, including excavation for sockets, depth upto...</t>
        </is>
      </c>
      <c r="C35" t="inlineStr">
        <is>
          <t>metre</t>
        </is>
      </c>
      <c r="D35" s="15" t="n">
        <v>1780</v>
      </c>
      <c r="E35" t="inlineStr">
        <is>
          <t>02_Earth_Work</t>
        </is>
      </c>
    </row>
    <row r="36">
      <c r="A36" s="14" t="inlineStr">
        <is>
          <t>2.14</t>
        </is>
      </c>
      <c r="B36" t="inlineStr">
        <is>
          <t>Extra for excavating trenches for pipes, cables, etc. in ordinary/hard rock exceeding 1.5 m in depth but no...</t>
        </is>
      </c>
      <c r="C36" t="inlineStr">
        <is>
          <t>%</t>
        </is>
      </c>
      <c r="D36" s="15" t="n"/>
      <c r="E36" t="inlineStr">
        <is>
          <t>02_Earth_Work</t>
        </is>
      </c>
    </row>
    <row r="37">
      <c r="A37" s="14" t="inlineStr">
        <is>
          <t>2.15</t>
        </is>
      </c>
      <c r="B37" t="inlineStr">
        <is>
          <t>Extra for excavating trenches for pipes, cables, etc. in ordinary/hard rock exceeding 3m in depth but not e...</t>
        </is>
      </c>
      <c r="C37" t="inlineStr">
        <is>
          <t>%</t>
        </is>
      </c>
      <c r="D37" s="15" t="n"/>
      <c r="E37" t="inlineStr">
        <is>
          <t>02_Earth_Work</t>
        </is>
      </c>
    </row>
    <row r="38">
      <c r="A38" s="14" t="inlineStr">
        <is>
          <t>2.16.1</t>
        </is>
      </c>
      <c r="B38" t="inlineStr">
        <is>
          <t>Close timbering in trenches including strutting, shoring and packing cavities (wherever required) complete....</t>
        </is>
      </c>
      <c r="C38" t="inlineStr">
        <is>
          <t>sqm</t>
        </is>
      </c>
      <c r="D38" s="15" t="n">
        <v>129.95</v>
      </c>
      <c r="E38" t="inlineStr">
        <is>
          <t>02_Earth_Work</t>
        </is>
      </c>
    </row>
    <row r="39">
      <c r="A39" s="14" t="inlineStr">
        <is>
          <t>2.16.2</t>
        </is>
      </c>
      <c r="B39" t="inlineStr">
        <is>
          <t>Close timbering in trenches including strutting, shoring and packing cavities (wherever required) complete....</t>
        </is>
      </c>
      <c r="C39" t="inlineStr">
        <is>
          <t>sqm</t>
        </is>
      </c>
      <c r="D39" s="15" t="n">
        <v>141.2</v>
      </c>
      <c r="E39" t="inlineStr">
        <is>
          <t>02_Earth_Work</t>
        </is>
      </c>
    </row>
    <row r="40">
      <c r="A40" s="14" t="inlineStr">
        <is>
          <t>2.16.3</t>
        </is>
      </c>
      <c r="B40" t="inlineStr">
        <is>
          <t>Close timbering in trenches including strutting, shoring and packing cavities (wherever required) complete....</t>
        </is>
      </c>
      <c r="C40" t="inlineStr">
        <is>
          <t>sqm</t>
        </is>
      </c>
      <c r="D40" s="15" t="n">
        <v>166.55</v>
      </c>
      <c r="E40" t="inlineStr">
        <is>
          <t>02_Earth_Work</t>
        </is>
      </c>
    </row>
    <row r="41">
      <c r="A41" s="14" t="inlineStr">
        <is>
          <t>2.17.1</t>
        </is>
      </c>
      <c r="B41" t="inlineStr">
        <is>
          <t>Close timbering in case of shafts, wells, cesspits, manholes and the like including strutting, shoring and...</t>
        </is>
      </c>
      <c r="C41" t="inlineStr">
        <is>
          <t>sqm</t>
        </is>
      </c>
      <c r="D41" s="15" t="n">
        <v>138.45</v>
      </c>
      <c r="E41" t="inlineStr">
        <is>
          <t>02_Earth_Work</t>
        </is>
      </c>
    </row>
    <row r="42">
      <c r="A42" s="14" t="inlineStr">
        <is>
          <t>2.17.2</t>
        </is>
      </c>
      <c r="B42" t="inlineStr">
        <is>
          <t>Close timbering in case of shafts, wells, cesspits, manholes and the like including strutting, shoring and...</t>
        </is>
      </c>
      <c r="C42" t="inlineStr">
        <is>
          <t>sqm</t>
        </is>
      </c>
      <c r="D42" s="15" t="n">
        <v>162.55</v>
      </c>
      <c r="E42" t="inlineStr">
        <is>
          <t>02_Earth_Work</t>
        </is>
      </c>
    </row>
    <row r="43">
      <c r="A43" s="14" t="inlineStr">
        <is>
          <t>2.17.3</t>
        </is>
      </c>
      <c r="B43" t="inlineStr">
        <is>
          <t>Close timbering in case of shafts, wells, cesspits, manholes and the like including strutting, shoring and...</t>
        </is>
      </c>
      <c r="C43" t="inlineStr">
        <is>
          <t>sqm</t>
        </is>
      </c>
      <c r="D43" s="15" t="n">
        <v>187.95</v>
      </c>
      <c r="E43" t="inlineStr">
        <is>
          <t>02_Earth_Work</t>
        </is>
      </c>
    </row>
    <row r="44">
      <c r="A44" s="14" t="inlineStr">
        <is>
          <t>2.18.1</t>
        </is>
      </c>
      <c r="B44" t="inlineStr">
        <is>
          <t>Close timbering over areas including strutting, shoring and packing cavities (wherever required) etc. compl...</t>
        </is>
      </c>
      <c r="C44" t="inlineStr">
        <is>
          <t>sqm</t>
        </is>
      </c>
      <c r="D44" s="15" t="n">
        <v>116.25</v>
      </c>
      <c r="E44" t="inlineStr">
        <is>
          <t>02_Earth_Work</t>
        </is>
      </c>
    </row>
    <row r="45">
      <c r="A45" s="14" t="inlineStr">
        <is>
          <t>2.18.2</t>
        </is>
      </c>
      <c r="B45" t="inlineStr">
        <is>
          <t>Close timbering over areas including strutting, shoring and packing cavities (wherever required) etc. compl...</t>
        </is>
      </c>
      <c r="C45" t="inlineStr">
        <is>
          <t>sqm</t>
        </is>
      </c>
      <c r="D45" s="15" t="n">
        <v>129.75</v>
      </c>
      <c r="E45" t="inlineStr">
        <is>
          <t>02_Earth_Work</t>
        </is>
      </c>
    </row>
    <row r="46">
      <c r="A46" s="14" t="inlineStr">
        <is>
          <t>2.18.3</t>
        </is>
      </c>
      <c r="B46" t="inlineStr">
        <is>
          <t>Close timbering over areas including strutting, shoring and packing cavities (wherever required) etc. compl...</t>
        </is>
      </c>
      <c r="C46" t="inlineStr">
        <is>
          <t>sqm</t>
        </is>
      </c>
      <c r="D46" s="15" t="n">
        <v>143.9</v>
      </c>
      <c r="E46" t="inlineStr">
        <is>
          <t>02_Earth_Work</t>
        </is>
      </c>
    </row>
    <row r="47">
      <c r="A47" s="14" t="inlineStr">
        <is>
          <t>2.19</t>
        </is>
      </c>
      <c r="B47" t="inlineStr">
        <is>
          <t>Extra for planking, strutting and packing materials for cavities (in close timbering) if required to be lef...</t>
        </is>
      </c>
      <c r="C47" t="inlineStr">
        <is>
          <t>sqm</t>
        </is>
      </c>
      <c r="D47" s="15" t="n">
        <v>1596.5</v>
      </c>
      <c r="E47" t="inlineStr">
        <is>
          <t>02_Earth_Work</t>
        </is>
      </c>
    </row>
    <row r="48">
      <c r="A48" s="14" t="inlineStr">
        <is>
          <t>2.20.1</t>
        </is>
      </c>
      <c r="B48" t="inlineStr">
        <is>
          <t>Open timbering in trenches including strutting and shoring complete (measurements to be taken of the face a...</t>
        </is>
      </c>
      <c r="C48" t="inlineStr">
        <is>
          <t>sqm</t>
        </is>
      </c>
      <c r="D48" s="15" t="n">
        <v>67</v>
      </c>
      <c r="E48" t="inlineStr">
        <is>
          <t>02_Earth_Work</t>
        </is>
      </c>
    </row>
    <row r="49">
      <c r="A49" s="14" t="inlineStr">
        <is>
          <t>2.20.2</t>
        </is>
      </c>
      <c r="B49" t="inlineStr">
        <is>
          <t>Open timbering in trenches including strutting and shoring complete (measurements to be taken of the face a...</t>
        </is>
      </c>
      <c r="C49" t="inlineStr">
        <is>
          <t>sqm</t>
        </is>
      </c>
      <c r="D49" s="15" t="n">
        <v>74.05</v>
      </c>
      <c r="E49" t="inlineStr">
        <is>
          <t>02_Earth_Work</t>
        </is>
      </c>
    </row>
    <row r="50">
      <c r="A50" s="14" t="inlineStr">
        <is>
          <t>2.20.3</t>
        </is>
      </c>
      <c r="B50" t="inlineStr">
        <is>
          <t>Open timbering in trenches including strutting and shoring complete (measurements to be taken of the face a...</t>
        </is>
      </c>
      <c r="C50" t="inlineStr">
        <is>
          <t>sqm</t>
        </is>
      </c>
      <c r="D50" s="15" t="n">
        <v>85.7</v>
      </c>
      <c r="E50" t="inlineStr">
        <is>
          <t>02_Earth_Work</t>
        </is>
      </c>
    </row>
    <row r="51">
      <c r="A51" s="14" t="inlineStr">
        <is>
          <t>2.21.1</t>
        </is>
      </c>
      <c r="B51" t="inlineStr">
        <is>
          <t>Open timbering in case of shafts, wells, cesspits, manholes and the like including strutting and shoring co...</t>
        </is>
      </c>
      <c r="C51" t="inlineStr">
        <is>
          <t>sqm</t>
        </is>
      </c>
      <c r="D51" s="15" t="n">
        <v>60.3</v>
      </c>
      <c r="E51" t="inlineStr">
        <is>
          <t>02_Earth_Work</t>
        </is>
      </c>
    </row>
    <row r="52">
      <c r="A52" s="14" t="inlineStr">
        <is>
          <t>2.21.2</t>
        </is>
      </c>
      <c r="B52" t="inlineStr">
        <is>
          <t>Open timbering in case of shafts, wells, cesspits, manholes and the like including strutting and shoring co...</t>
        </is>
      </c>
      <c r="C52" t="inlineStr">
        <is>
          <t>sqm</t>
        </is>
      </c>
      <c r="D52" s="15" t="n">
        <v>71.59999999999999</v>
      </c>
      <c r="E52" t="inlineStr">
        <is>
          <t>02_Earth_Work</t>
        </is>
      </c>
    </row>
    <row r="53">
      <c r="A53" s="14" t="inlineStr">
        <is>
          <t>2.21.3</t>
        </is>
      </c>
      <c r="B53" t="inlineStr">
        <is>
          <t>Open timbering in case of shafts, wells, cesspits, manholes and the like including strutting and shoring co...</t>
        </is>
      </c>
      <c r="C53" t="inlineStr">
        <is>
          <t>sqm</t>
        </is>
      </c>
      <c r="D53" s="15" t="n">
        <v>86.5</v>
      </c>
      <c r="E53" t="inlineStr">
        <is>
          <t>02_Earth_Work</t>
        </is>
      </c>
    </row>
    <row r="54">
      <c r="A54" s="14" t="inlineStr">
        <is>
          <t>2.22.1</t>
        </is>
      </c>
      <c r="B54" t="inlineStr">
        <is>
          <t>Open timbering over areas including strutting, shoring etc. complete. (Measurements to be taken of the face...</t>
        </is>
      </c>
      <c r="C54" t="inlineStr">
        <is>
          <t>sqm</t>
        </is>
      </c>
      <c r="D54" s="15" t="n">
        <v>40.9</v>
      </c>
      <c r="E54" t="inlineStr">
        <is>
          <t>02_Earth_Work</t>
        </is>
      </c>
    </row>
    <row r="55">
      <c r="A55" s="14" t="inlineStr">
        <is>
          <t>2.22.2</t>
        </is>
      </c>
      <c r="B55" t="inlineStr">
        <is>
          <t>Open timbering over areas including strutting, shoring etc. complete. (Measurements to be taken of the face...</t>
        </is>
      </c>
      <c r="C55" t="inlineStr">
        <is>
          <t>sqm</t>
        </is>
      </c>
      <c r="D55" s="15" t="n">
        <v>48.45</v>
      </c>
      <c r="E55" t="inlineStr">
        <is>
          <t>02_Earth_Work</t>
        </is>
      </c>
    </row>
    <row r="56">
      <c r="A56" s="14" t="inlineStr">
        <is>
          <t>2.22.3</t>
        </is>
      </c>
      <c r="B56" t="inlineStr">
        <is>
          <t>Open timbering over areas including strutting, shoring etc. complete. (Measurements to be taken of the face...</t>
        </is>
      </c>
      <c r="C56" t="inlineStr">
        <is>
          <t>sqm</t>
        </is>
      </c>
      <c r="D56" s="15" t="n">
        <v>60.7</v>
      </c>
      <c r="E56" t="inlineStr">
        <is>
          <t>02_Earth_Work</t>
        </is>
      </c>
    </row>
    <row r="57">
      <c r="A57" s="14" t="inlineStr">
        <is>
          <t>2.23</t>
        </is>
      </c>
      <c r="B57" t="inlineStr">
        <is>
          <t>Extra for planking and strutting in open timbering if required to be left permanently in position. (Face ar...</t>
        </is>
      </c>
      <c r="C57" t="inlineStr">
        <is>
          <t>sqm</t>
        </is>
      </c>
      <c r="D57" s="15" t="n">
        <v>820.55</v>
      </c>
      <c r="E57" t="inlineStr">
        <is>
          <t>02_Earth_Work</t>
        </is>
      </c>
    </row>
    <row r="58">
      <c r="A58" s="14" t="inlineStr">
        <is>
          <t>2.24.1</t>
        </is>
      </c>
      <c r="B58" t="inlineStr">
        <is>
          <t>Extra rates for quantities of works, executed - In or under water and/or liquid mud, including pumping out...</t>
        </is>
      </c>
      <c r="C58" t="inlineStr">
        <is>
          <t>%</t>
        </is>
      </c>
      <c r="D58" s="15" t="n"/>
      <c r="E58" t="inlineStr">
        <is>
          <t>02_Earth_Work</t>
        </is>
      </c>
    </row>
    <row r="59">
      <c r="A59" s="14" t="inlineStr">
        <is>
          <t>2.24.2</t>
        </is>
      </c>
      <c r="B59" t="inlineStr">
        <is>
          <t>Extra rates for quantities of works, executed - In or under foul position, including pumping out water as r...</t>
        </is>
      </c>
      <c r="C59" t="inlineStr">
        <is>
          <t>%</t>
        </is>
      </c>
      <c r="D59" s="15" t="n"/>
      <c r="E59" t="inlineStr">
        <is>
          <t>02_Earth_Work</t>
        </is>
      </c>
    </row>
    <row r="60">
      <c r="A60" s="14" t="inlineStr">
        <is>
          <t>2.25</t>
        </is>
      </c>
      <c r="B60" t="inlineStr">
        <is>
          <t>Filling available excavated earth (excluding rock) in trenches, plinth, sides of foundations etc. in layers...</t>
        </is>
      </c>
      <c r="C60" t="inlineStr">
        <is>
          <t>cum</t>
        </is>
      </c>
      <c r="D60" s="15" t="n">
        <v>219.65</v>
      </c>
      <c r="E60" t="inlineStr">
        <is>
          <t>02_Earth_Work</t>
        </is>
      </c>
    </row>
    <row r="61">
      <c r="A61" s="14" t="inlineStr">
        <is>
          <t>2.25(a)</t>
        </is>
      </c>
      <c r="B61" t="inlineStr">
        <is>
          <t>Excavating, supplying and filling of local earth (including royalty) by mechanical transport upto a lead of...</t>
        </is>
      </c>
      <c r="C61" t="inlineStr">
        <is>
          <t>cum</t>
        </is>
      </c>
      <c r="D61" s="15" t="n">
        <v>323.9</v>
      </c>
      <c r="E61" t="inlineStr">
        <is>
          <t>02_Earth_Work</t>
        </is>
      </c>
    </row>
    <row r="62">
      <c r="A62" s="14" t="inlineStr">
        <is>
          <t>2.26.1</t>
        </is>
      </c>
      <c r="B62" t="inlineStr">
        <is>
          <t>Extra for every additional lift of 1.5 m or part thereof in excavation / banking excavated or stacked mater...</t>
        </is>
      </c>
      <c r="C62" t="inlineStr">
        <is>
          <t>cum</t>
        </is>
      </c>
      <c r="D62" s="15" t="n">
        <v>90.40000000000001</v>
      </c>
      <c r="E62" t="inlineStr">
        <is>
          <t>02_Earth_Work</t>
        </is>
      </c>
    </row>
    <row r="63">
      <c r="A63" s="14" t="inlineStr">
        <is>
          <t>2.26.2</t>
        </is>
      </c>
      <c r="B63" t="inlineStr">
        <is>
          <t>Extra for every additional lift of 1.5 m or part thereof in excavation / banking excavated or stacked mater...</t>
        </is>
      </c>
      <c r="C63" t="inlineStr">
        <is>
          <t>cum</t>
        </is>
      </c>
      <c r="D63" s="15" t="n">
        <v>162.1</v>
      </c>
      <c r="E63" t="inlineStr">
        <is>
          <t>02_Earth_Work</t>
        </is>
      </c>
    </row>
    <row r="64">
      <c r="A64" s="14" t="inlineStr">
        <is>
          <t>2.27</t>
        </is>
      </c>
      <c r="B64" t="inlineStr">
        <is>
          <t>Supplying and filling in plinth with sand under floors, including watering, ramming, consolidating and dres...</t>
        </is>
      </c>
      <c r="C64" t="inlineStr">
        <is>
          <t>cum</t>
        </is>
      </c>
      <c r="D64" s="15" t="n">
        <v>1953.05</v>
      </c>
      <c r="E64" t="inlineStr">
        <is>
          <t>02_Earth_Work</t>
        </is>
      </c>
    </row>
    <row r="65">
      <c r="A65" s="14" t="inlineStr">
        <is>
          <t>2.28.1</t>
        </is>
      </c>
      <c r="B65" t="inlineStr">
        <is>
          <t>Surface dressing of the ground including removing vegetation and in-equalities not exceeding 15 cm deep and...</t>
        </is>
      </c>
      <c r="C65" t="inlineStr">
        <is>
          <t>sqm</t>
        </is>
      </c>
      <c r="D65" s="15" t="n">
        <v>24.35</v>
      </c>
      <c r="E65" t="inlineStr">
        <is>
          <t>02_Earth_Work</t>
        </is>
      </c>
    </row>
    <row r="66">
      <c r="A66" s="14" t="inlineStr">
        <is>
          <t>2.28.2</t>
        </is>
      </c>
      <c r="B66" t="inlineStr">
        <is>
          <t>Surface dressing of the ground including removing vegetation and in-equalities not exceeding 15 cm deep and...</t>
        </is>
      </c>
      <c r="C66" t="inlineStr">
        <is>
          <t>sqm</t>
        </is>
      </c>
      <c r="D66" s="15" t="n">
        <v>35.15</v>
      </c>
      <c r="E66" t="inlineStr">
        <is>
          <t>02_Earth_Work</t>
        </is>
      </c>
    </row>
    <row r="67">
      <c r="A67" s="14" t="inlineStr">
        <is>
          <t>2.29.1</t>
        </is>
      </c>
      <c r="B67" t="inlineStr">
        <is>
          <t>Ploughing the existing ground to a depth of 15 cm to 25 cm and watering the same - All kinds of soil</t>
        </is>
      </c>
      <c r="C67" t="inlineStr">
        <is>
          <t>sqm</t>
        </is>
      </c>
      <c r="D67" s="15" t="n">
        <v>24.65</v>
      </c>
      <c r="E67" t="inlineStr">
        <is>
          <t>02_Earth_Work</t>
        </is>
      </c>
    </row>
    <row r="68">
      <c r="A68" s="14" t="inlineStr">
        <is>
          <t>2.29.2</t>
        </is>
      </c>
      <c r="B68" t="inlineStr">
        <is>
          <t>Ploughing the existing ground to a depth of 15 cm to 25 cm and watering the same - Hard soil</t>
        </is>
      </c>
      <c r="C68" t="inlineStr">
        <is>
          <t>sqm</t>
        </is>
      </c>
      <c r="D68" s="15" t="n">
        <v>34.7</v>
      </c>
      <c r="E68" t="inlineStr">
        <is>
          <t>02_Earth_Work</t>
        </is>
      </c>
    </row>
    <row r="69">
      <c r="A69" s="14" t="inlineStr">
        <is>
          <t>2.30.1</t>
        </is>
      </c>
      <c r="B69" t="inlineStr">
        <is>
          <t>Excavating holes more than 0.10 cum &amp; upto 0.5 cum including getting out the excavated soil, then returning...</t>
        </is>
      </c>
      <c r="C69" t="inlineStr">
        <is>
          <t>each</t>
        </is>
      </c>
      <c r="D69" s="15" t="n">
        <v>79.3</v>
      </c>
      <c r="E69" t="inlineStr">
        <is>
          <t>02_Earth_Work</t>
        </is>
      </c>
    </row>
    <row r="70">
      <c r="A70" s="14" t="inlineStr">
        <is>
          <t>2.30.2</t>
        </is>
      </c>
      <c r="B70" t="inlineStr">
        <is>
          <t>Excavating holes more than 0.10 cum &amp; upto 0.5 cum including getting out the excavated soil, then returning...</t>
        </is>
      </c>
      <c r="C70" t="inlineStr">
        <is>
          <t>each</t>
        </is>
      </c>
      <c r="D70" s="15" t="n">
        <v>138.05</v>
      </c>
      <c r="E70" t="inlineStr">
        <is>
          <t>02_Earth_Work</t>
        </is>
      </c>
    </row>
    <row r="71">
      <c r="A71" s="14" t="inlineStr">
        <is>
          <t>2.30.3</t>
        </is>
      </c>
      <c r="B71" t="inlineStr">
        <is>
          <t>Excavating holes more than 0.10 cum &amp; upto 0.5 cum including getting out the excavated soil, then returning...</t>
        </is>
      </c>
      <c r="C71" t="inlineStr">
        <is>
          <t>each</t>
        </is>
      </c>
      <c r="D71" s="15" t="n">
        <v>222.3</v>
      </c>
      <c r="E71" t="inlineStr">
        <is>
          <t>02_Earth_Work</t>
        </is>
      </c>
    </row>
    <row r="72">
      <c r="A72" s="14" t="inlineStr">
        <is>
          <t>2.30.4</t>
        </is>
      </c>
      <c r="B72" t="inlineStr">
        <is>
          <t>Excavating holes more than 0.10 cum &amp; upto 0.5 cum including getting out the excavated soil, then returning...</t>
        </is>
      </c>
      <c r="C72" t="inlineStr">
        <is>
          <t>each</t>
        </is>
      </c>
      <c r="D72" s="15" t="n">
        <v>327.8</v>
      </c>
      <c r="E72" t="inlineStr">
        <is>
          <t>02_Earth_Work</t>
        </is>
      </c>
    </row>
    <row r="73">
      <c r="A73" s="14" t="inlineStr">
        <is>
          <t>2.31</t>
        </is>
      </c>
      <c r="B73" t="inlineStr">
        <is>
          <t>Clearing jungle including uprooting of rank vegetation, grass, brush wood, trees and saplings of girth up t...</t>
        </is>
      </c>
      <c r="C73" t="inlineStr">
        <is>
          <t>sqm</t>
        </is>
      </c>
      <c r="D73" s="15" t="n">
        <v>12.55</v>
      </c>
      <c r="E73" t="inlineStr">
        <is>
          <t>02_Earth_Work</t>
        </is>
      </c>
    </row>
    <row r="74">
      <c r="A74" s="14" t="inlineStr">
        <is>
          <t>2.32</t>
        </is>
      </c>
      <c r="B74" t="inlineStr">
        <is>
          <t>Clearing grass and removal of the rubbish up to a distance of 50 m outside the periphery of the area cleared</t>
        </is>
      </c>
      <c r="C74" t="inlineStr">
        <is>
          <t>sqm</t>
        </is>
      </c>
      <c r="D74" s="15" t="n">
        <v>6.4</v>
      </c>
      <c r="E74" t="inlineStr">
        <is>
          <t>02_Earth_Work</t>
        </is>
      </c>
    </row>
    <row r="75">
      <c r="A75" s="14" t="inlineStr">
        <is>
          <t>2.33.1</t>
        </is>
      </c>
      <c r="B75" t="inlineStr">
        <is>
          <t>Felling trees of the girth (measured at a height of 1 m above ground level), including cutting of trunks an...</t>
        </is>
      </c>
      <c r="C75" t="inlineStr">
        <is>
          <t>each</t>
        </is>
      </c>
      <c r="D75" s="15" t="n">
        <v>380.6</v>
      </c>
      <c r="E75" t="inlineStr">
        <is>
          <t>02_Earth_Work</t>
        </is>
      </c>
    </row>
    <row r="76">
      <c r="A76" s="14" t="inlineStr">
        <is>
          <t>2.33.2</t>
        </is>
      </c>
      <c r="B76" t="inlineStr">
        <is>
          <t>Felling trees of the girth (measured at a height of 1 m above ground level), including cutting of trunks an...</t>
        </is>
      </c>
      <c r="C76" t="inlineStr">
        <is>
          <t>each</t>
        </is>
      </c>
      <c r="D76" s="15" t="n">
        <v>1694.4</v>
      </c>
      <c r="E76" t="inlineStr">
        <is>
          <t>02_Earth_Work</t>
        </is>
      </c>
    </row>
    <row r="77">
      <c r="A77" s="14" t="inlineStr">
        <is>
          <t>2.33.3</t>
        </is>
      </c>
      <c r="B77" t="inlineStr">
        <is>
          <t>Felling trees of the girth (measured at a height of 1 m above ground level), including cutting of trunks an...</t>
        </is>
      </c>
      <c r="C77" t="inlineStr">
        <is>
          <t>each</t>
        </is>
      </c>
      <c r="D77" s="15" t="n">
        <v>7860.55</v>
      </c>
      <c r="E77" t="inlineStr">
        <is>
          <t>02_Earth_Work</t>
        </is>
      </c>
    </row>
    <row r="78">
      <c r="A78" s="14" t="inlineStr">
        <is>
          <t>2.33.4</t>
        </is>
      </c>
      <c r="B78" t="inlineStr">
        <is>
          <t>Felling trees of the girth (measured at a height of 1 m above ground level), including cutting of trunks an...</t>
        </is>
      </c>
      <c r="C78" t="inlineStr">
        <is>
          <t>each</t>
        </is>
      </c>
      <c r="D78" s="15" t="n">
        <v>15749.95</v>
      </c>
      <c r="E78" t="inlineStr">
        <is>
          <t>02_Earth_Work</t>
        </is>
      </c>
    </row>
    <row r="79">
      <c r="A79" s="14" t="inlineStr">
        <is>
          <t>2.34.1</t>
        </is>
      </c>
      <c r="B79" t="inlineStr">
        <is>
          <t>Supplying chemical emulsion in sealed containers including delivery as specified - Chlorpyriphos/ Lindane e...</t>
        </is>
      </c>
      <c r="C79" t="inlineStr">
        <is>
          <t>litre</t>
        </is>
      </c>
      <c r="D79" s="15" t="n">
        <v>200.85</v>
      </c>
      <c r="E79" t="inlineStr">
        <is>
          <t>02_Earth_Work</t>
        </is>
      </c>
    </row>
    <row r="80">
      <c r="A80" s="14" t="inlineStr">
        <is>
          <t>2.35.1.1</t>
        </is>
      </c>
      <c r="B80" t="inlineStr">
        <is>
          <t>Diluting and injecting chemical emulsion for POST-CONSTRUCTIONAL anti- termite treatment (excluding the cos...</t>
        </is>
      </c>
      <c r="C80" t="inlineStr">
        <is>
          <t>metre</t>
        </is>
      </c>
      <c r="D80" s="15" t="n">
        <v>28.25</v>
      </c>
      <c r="E80" t="inlineStr">
        <is>
          <t>02_Earth_Work</t>
        </is>
      </c>
    </row>
    <row r="81">
      <c r="A81" s="14" t="inlineStr">
        <is>
          <t>2.35.2.1</t>
        </is>
      </c>
      <c r="B81" t="inlineStr">
        <is>
          <t>Diluting and injecting chemical emulsion for POST-CONSTRUCTIONAL anti- termite treatment (excluding the cos...</t>
        </is>
      </c>
      <c r="C81" t="inlineStr">
        <is>
          <t>metre</t>
        </is>
      </c>
      <c r="D81" s="15" t="n">
        <v>39.45</v>
      </c>
      <c r="E81" t="inlineStr">
        <is>
          <t>02_Earth_Work</t>
        </is>
      </c>
    </row>
    <row r="82">
      <c r="A82" s="14" t="inlineStr">
        <is>
          <t>2.35.3.1</t>
        </is>
      </c>
      <c r="B82" t="inlineStr">
        <is>
          <t>Diluting and injecting chemical emulsion for POST-CONSTRUCTIONAL anti- termite treatment (excluding the cos...</t>
        </is>
      </c>
      <c r="C82" t="inlineStr">
        <is>
          <t>sqm</t>
        </is>
      </c>
      <c r="D82" s="15" t="n">
        <v>227.05</v>
      </c>
      <c r="E82" t="inlineStr">
        <is>
          <t>02_Earth_Work</t>
        </is>
      </c>
    </row>
    <row r="83">
      <c r="A83" s="14" t="inlineStr">
        <is>
          <t>2.35.4.1</t>
        </is>
      </c>
      <c r="B83" t="inlineStr">
        <is>
          <t>Diluting and injecting chemical emulsion for POST-CONSTRUCTIONAL anti- termite treatment (excluding the cos...</t>
        </is>
      </c>
      <c r="C83" t="inlineStr">
        <is>
          <t>metre</t>
        </is>
      </c>
      <c r="D83" s="15" t="n">
        <v>31.75</v>
      </c>
      <c r="E83" t="inlineStr">
        <is>
          <t>02_Earth_Work</t>
        </is>
      </c>
    </row>
    <row r="84">
      <c r="A84" s="14" t="inlineStr">
        <is>
          <t>2.35.5</t>
        </is>
      </c>
      <c r="B84" t="inlineStr">
        <is>
          <t>Diluting and injecting chemical emulsion for POST-CONSTRUCTIONAL anti- termite treatment (excluding the cos...</t>
        </is>
      </c>
      <c r="C84" t="inlineStr">
        <is>
          <t>metre</t>
        </is>
      </c>
      <c r="D84" s="15" t="n">
        <v>254</v>
      </c>
      <c r="E84" t="inlineStr">
        <is>
          <t>02_Earth_Work</t>
        </is>
      </c>
    </row>
    <row r="85">
      <c r="A85" s="14" t="inlineStr">
        <is>
          <t>2.36</t>
        </is>
      </c>
      <c r="B85" t="inlineStr">
        <is>
          <t>Extra for levelling &amp; neatly dressing of disposed soil completely as directed by Engineer-in-charge</t>
        </is>
      </c>
      <c r="C85" t="inlineStr">
        <is>
          <t>cum</t>
        </is>
      </c>
      <c r="D85" s="15" t="n">
        <v>66.34999999999999</v>
      </c>
      <c r="E85" t="inlineStr">
        <is>
          <t>02_Earth_Work</t>
        </is>
      </c>
    </row>
    <row r="86">
      <c r="A86" s="14" t="inlineStr">
        <is>
          <t>2.37</t>
        </is>
      </c>
      <c r="B86" t="inlineStr">
        <is>
          <t>Supply and stacking of Fly ash conforming to IRC-58 at site, including carriage, loading, unloading &amp; stack...</t>
        </is>
      </c>
      <c r="C86" t="inlineStr">
        <is>
          <t>cum</t>
        </is>
      </c>
      <c r="D86" s="15" t="n">
        <v>152.2</v>
      </c>
      <c r="E86" t="inlineStr">
        <is>
          <t>02_Earth_Work</t>
        </is>
      </c>
    </row>
    <row r="87">
      <c r="A87" s="14" t="inlineStr">
        <is>
          <t>2.38</t>
        </is>
      </c>
      <c r="B87" t="inlineStr">
        <is>
          <t>Filling with available fly ash and earth (excluding rock) in trenches or embankment in layers (each layer s...</t>
        </is>
      </c>
      <c r="C87" t="inlineStr">
        <is>
          <t>cum</t>
        </is>
      </c>
      <c r="D87" s="15" t="n">
        <v>219.65</v>
      </c>
      <c r="E87" t="inlineStr">
        <is>
          <t>02_Earth_Work</t>
        </is>
      </c>
    </row>
    <row r="88">
      <c r="A88" s="14" t="inlineStr">
        <is>
          <t>3.1</t>
        </is>
      </c>
      <c r="B88" t="inlineStr">
        <is>
          <t>Cement mortar 1:1 (1 cement : 1 fine sand)</t>
        </is>
      </c>
      <c r="C88" t="inlineStr">
        <is>
          <t>cum</t>
        </is>
      </c>
      <c r="D88" s="15" t="n">
        <v>6390.6</v>
      </c>
      <c r="E88" t="inlineStr">
        <is>
          <t>03_Mortars</t>
        </is>
      </c>
      <c r="F88" t="n">
        <v>144</v>
      </c>
    </row>
    <row r="89">
      <c r="A89" s="14" t="inlineStr">
        <is>
          <t>3.2</t>
        </is>
      </c>
      <c r="B89" t="inlineStr">
        <is>
          <t>Cement mortar 1:2 (1 cement : 2 fine sand)</t>
        </is>
      </c>
      <c r="C89" t="inlineStr">
        <is>
          <t>cum</t>
        </is>
      </c>
      <c r="D89" s="15" t="n">
        <v>4918.05</v>
      </c>
      <c r="E89" t="inlineStr">
        <is>
          <t>03_Mortars</t>
        </is>
      </c>
      <c r="F89" t="n">
        <v>144</v>
      </c>
    </row>
    <row r="90">
      <c r="A90" s="14" t="inlineStr">
        <is>
          <t>3.3</t>
        </is>
      </c>
      <c r="B90" t="inlineStr">
        <is>
          <t>Cement mortar 1:3 (1 cement : 3 fine sand)</t>
        </is>
      </c>
      <c r="C90" t="inlineStr">
        <is>
          <t>cum</t>
        </is>
      </c>
      <c r="D90" s="15" t="n">
        <v>4183.05</v>
      </c>
      <c r="E90" t="inlineStr">
        <is>
          <t>03_Mortars</t>
        </is>
      </c>
      <c r="F90" t="n">
        <v>144</v>
      </c>
    </row>
    <row r="91">
      <c r="A91" s="14" t="inlineStr">
        <is>
          <t>3.4</t>
        </is>
      </c>
      <c r="B91" t="inlineStr">
        <is>
          <t>Cement mortar 1:4 (1 cement : 4 fine sand)</t>
        </is>
      </c>
      <c r="C91" t="inlineStr">
        <is>
          <t>cum</t>
        </is>
      </c>
      <c r="D91" s="15" t="n">
        <v>3528.85</v>
      </c>
      <c r="E91" t="inlineStr">
        <is>
          <t>03_Mortars</t>
        </is>
      </c>
      <c r="F91" t="n">
        <v>145</v>
      </c>
    </row>
    <row r="92">
      <c r="A92" s="14" t="inlineStr">
        <is>
          <t>3.5</t>
        </is>
      </c>
      <c r="B92" t="inlineStr">
        <is>
          <t>Cement mortar 1:5 (1 cement : 5 fine sand)</t>
        </is>
      </c>
      <c r="C92" t="inlineStr">
        <is>
          <t>cum</t>
        </is>
      </c>
      <c r="D92" s="15" t="n">
        <v>3176.6</v>
      </c>
      <c r="E92" t="inlineStr">
        <is>
          <t>03_Mortars</t>
        </is>
      </c>
      <c r="F92" t="n">
        <v>145</v>
      </c>
    </row>
    <row r="93">
      <c r="A93" s="14" t="inlineStr">
        <is>
          <t>3.6</t>
        </is>
      </c>
      <c r="B93" t="inlineStr">
        <is>
          <t>Cement mortar 1:6 (1 cement : 6 fine sand)</t>
        </is>
      </c>
      <c r="C93" t="inlineStr">
        <is>
          <t>cum</t>
        </is>
      </c>
      <c r="D93" s="15" t="n">
        <v>2874.65</v>
      </c>
      <c r="E93" t="inlineStr">
        <is>
          <t>03_Mortars</t>
        </is>
      </c>
      <c r="F93" t="n">
        <v>146</v>
      </c>
    </row>
    <row r="94">
      <c r="A94" s="14" t="inlineStr">
        <is>
          <t>3.7</t>
        </is>
      </c>
      <c r="B94" t="inlineStr">
        <is>
          <t>Cement mortar 1:2 (1 cement : 2 coarse sand)</t>
        </is>
      </c>
      <c r="C94" t="inlineStr">
        <is>
          <t>cum</t>
        </is>
      </c>
      <c r="D94" s="15" t="n">
        <v>5345.55</v>
      </c>
      <c r="E94" t="inlineStr">
        <is>
          <t>03_Mortars</t>
        </is>
      </c>
      <c r="F94" t="n">
        <v>146</v>
      </c>
    </row>
    <row r="95">
      <c r="A95" s="14" t="inlineStr">
        <is>
          <t>3.8</t>
        </is>
      </c>
      <c r="B95" t="inlineStr">
        <is>
          <t>Cement mortar 1:3 (1 cement : 3 coarse sand)</t>
        </is>
      </c>
      <c r="C95" t="inlineStr">
        <is>
          <t>cum</t>
        </is>
      </c>
      <c r="D95" s="15" t="n">
        <v>4664.55</v>
      </c>
      <c r="E95" t="inlineStr">
        <is>
          <t>03_Mortars</t>
        </is>
      </c>
      <c r="F95" t="n">
        <v>147</v>
      </c>
    </row>
    <row r="96">
      <c r="A96" s="14" t="inlineStr">
        <is>
          <t>3.9</t>
        </is>
      </c>
      <c r="B96" t="inlineStr">
        <is>
          <t>Cement mortar 1:4 (1 cement : 4 coarse sand)</t>
        </is>
      </c>
      <c r="C96" t="inlineStr">
        <is>
          <t>cum</t>
        </is>
      </c>
      <c r="D96" s="15" t="n">
        <v>4010.35</v>
      </c>
      <c r="E96" t="inlineStr">
        <is>
          <t>03_Mortars</t>
        </is>
      </c>
      <c r="F96" t="n">
        <v>147</v>
      </c>
    </row>
    <row r="97">
      <c r="A97" s="14" t="inlineStr">
        <is>
          <t>3.10</t>
        </is>
      </c>
      <c r="B97" t="inlineStr">
        <is>
          <t>Cement mortar 1:5 (1 cement : 5 coarse sand)</t>
        </is>
      </c>
      <c r="C97" t="inlineStr">
        <is>
          <t>cum</t>
        </is>
      </c>
      <c r="D97" s="15" t="n">
        <v>3658.1</v>
      </c>
      <c r="E97" t="inlineStr">
        <is>
          <t>03_Mortars</t>
        </is>
      </c>
      <c r="F97" t="n">
        <v>147</v>
      </c>
    </row>
    <row r="98">
      <c r="A98" s="14" t="inlineStr">
        <is>
          <t>3.11</t>
        </is>
      </c>
      <c r="B98" t="inlineStr">
        <is>
          <t>Cement mortar 1:6 (1 cement : 6 coarse sand)</t>
        </is>
      </c>
      <c r="C98" t="inlineStr">
        <is>
          <t>cum</t>
        </is>
      </c>
      <c r="D98" s="15" t="n">
        <v>3356.15</v>
      </c>
      <c r="E98" t="inlineStr">
        <is>
          <t>03_Mortars</t>
        </is>
      </c>
      <c r="F98" t="n">
        <v>148</v>
      </c>
    </row>
    <row r="99">
      <c r="A99" s="14" t="inlineStr">
        <is>
          <t>3.12</t>
        </is>
      </c>
      <c r="B99" t="inlineStr">
        <is>
          <t>Cement mortar 1:2 (1 cement : 2 stone dust)</t>
        </is>
      </c>
      <c r="C99" t="inlineStr">
        <is>
          <t>cum</t>
        </is>
      </c>
      <c r="D99" s="15" t="n">
        <v>5108.05</v>
      </c>
      <c r="E99" t="inlineStr">
        <is>
          <t>03_Mortars</t>
        </is>
      </c>
      <c r="F99" t="n">
        <v>148</v>
      </c>
    </row>
    <row r="100">
      <c r="A100" s="14" t="inlineStr">
        <is>
          <t>3.13</t>
        </is>
      </c>
      <c r="B100" t="inlineStr">
        <is>
          <t>Cement mortar 1:2 (1 cement : 2 marble dust)</t>
        </is>
      </c>
      <c r="C100" t="inlineStr">
        <is>
          <t>cum</t>
        </is>
      </c>
      <c r="D100" s="15" t="n">
        <v>5136.55</v>
      </c>
      <c r="E100" t="inlineStr">
        <is>
          <t>03_Mortars</t>
        </is>
      </c>
      <c r="F100" t="n">
        <v>149</v>
      </c>
    </row>
    <row r="101">
      <c r="A101" s="14" t="inlineStr">
        <is>
          <t>3.14</t>
        </is>
      </c>
      <c r="B101" t="inlineStr">
        <is>
          <t>Cement mortar 1:5 (1 cement : 5 marble dust)</t>
        </is>
      </c>
      <c r="C101" t="inlineStr">
        <is>
          <t>cum</t>
        </is>
      </c>
      <c r="D101" s="15" t="n">
        <v>3422.7</v>
      </c>
      <c r="E101" t="inlineStr">
        <is>
          <t>03_Mortars</t>
        </is>
      </c>
      <c r="F101" t="n">
        <v>149</v>
      </c>
    </row>
    <row r="102">
      <c r="A102" s="14" t="inlineStr">
        <is>
          <t>3.15</t>
        </is>
      </c>
      <c r="B102" t="inlineStr">
        <is>
          <t>White cement mortar 1:2 (1 white cement : 2 marble dust)</t>
        </is>
      </c>
      <c r="C102" t="inlineStr">
        <is>
          <t>cum</t>
        </is>
      </c>
      <c r="D102" s="15" t="n">
        <v>9393.35</v>
      </c>
      <c r="E102" t="inlineStr">
        <is>
          <t>03_Mortars</t>
        </is>
      </c>
      <c r="F102" t="n">
        <v>150</v>
      </c>
    </row>
    <row r="103">
      <c r="A103" s="14" t="inlineStr">
        <is>
          <t>3.16</t>
        </is>
      </c>
      <c r="B103" t="inlineStr">
        <is>
          <t>White cement mortar 1:3 (1 white cement : 3 marble dust)</t>
        </is>
      </c>
      <c r="C103" t="inlineStr">
        <is>
          <t>cum</t>
        </is>
      </c>
      <c r="D103" s="15" t="n">
        <v>7621.75</v>
      </c>
      <c r="E103" t="inlineStr">
        <is>
          <t>03_Mortars</t>
        </is>
      </c>
      <c r="F103" t="n">
        <v>150</v>
      </c>
    </row>
    <row r="104">
      <c r="A104" s="14" t="inlineStr">
        <is>
          <t>3.17</t>
        </is>
      </c>
      <c r="B104" t="inlineStr">
        <is>
          <t>White cement mortar 1:5 (1 white cement : 5 marble dust)</t>
        </is>
      </c>
      <c r="C104" t="inlineStr">
        <is>
          <t>cum</t>
        </is>
      </c>
      <c r="D104" s="15" t="n">
        <v>5363.3</v>
      </c>
      <c r="E104" t="inlineStr">
        <is>
          <t>03_Mortars</t>
        </is>
      </c>
      <c r="F104" t="n">
        <v>150</v>
      </c>
    </row>
    <row r="105">
      <c r="A105" s="14" t="inlineStr">
        <is>
          <t>3.18</t>
        </is>
      </c>
      <c r="B105" t="inlineStr">
        <is>
          <t>Mud mortar</t>
        </is>
      </c>
      <c r="C105" t="inlineStr">
        <is>
          <t>nos</t>
        </is>
      </c>
      <c r="D105" s="15" t="n">
        <v>737</v>
      </c>
      <c r="E105" t="inlineStr">
        <is>
          <t>03_Mortars</t>
        </is>
      </c>
      <c r="F105" t="n">
        <v>151</v>
      </c>
    </row>
    <row r="106">
      <c r="A106" s="14" t="inlineStr">
        <is>
          <t>3.19</t>
        </is>
      </c>
      <c r="B106" t="inlineStr">
        <is>
          <t>Mortar in lime, surkhi (50% red and 50% light yellow) and marble dust 1:1.5:0.5</t>
        </is>
      </c>
      <c r="C106" t="inlineStr">
        <is>
          <t>cum</t>
        </is>
      </c>
      <c r="D106" s="15" t="n">
        <v>2821.15</v>
      </c>
      <c r="E106" t="inlineStr">
        <is>
          <t>03_Mortars</t>
        </is>
      </c>
      <c r="F106" t="n">
        <v>151</v>
      </c>
    </row>
    <row r="107">
      <c r="A107" s="14" t="inlineStr">
        <is>
          <t>4.1.2</t>
        </is>
      </c>
      <c r="B107" t="inlineStr">
        <is>
          <t>Providing and laying in position cement concrete of specified grade excluding the cost of centering and shu...</t>
        </is>
      </c>
      <c r="C107" t="inlineStr">
        <is>
          <t>cum</t>
        </is>
      </c>
      <c r="D107" s="15" t="n">
        <v>7210.55</v>
      </c>
      <c r="E107" t="inlineStr">
        <is>
          <t>04_Concrete_Work</t>
        </is>
      </c>
      <c r="F107" t="n">
        <v>154</v>
      </c>
    </row>
    <row r="108">
      <c r="A108" s="14" t="inlineStr">
        <is>
          <t>4.1.3</t>
        </is>
      </c>
      <c r="B108" t="inlineStr">
        <is>
          <t>Providing and laying in position cement concrete of specified grade excluding the cost of centering and shu...</t>
        </is>
      </c>
      <c r="C108" t="inlineStr">
        <is>
          <t>cum</t>
        </is>
      </c>
      <c r="D108" s="15" t="n">
        <v>6788.6</v>
      </c>
      <c r="E108" t="inlineStr">
        <is>
          <t>04_Concrete_Work</t>
        </is>
      </c>
      <c r="F108" t="n">
        <v>154</v>
      </c>
    </row>
    <row r="109">
      <c r="A109" s="14" t="inlineStr">
        <is>
          <t>4.1.4</t>
        </is>
      </c>
      <c r="B109" t="inlineStr">
        <is>
          <t>Providing and laying in position cement concrete of specified grade excluding the cost of centering and shu...</t>
        </is>
      </c>
      <c r="C109" t="inlineStr">
        <is>
          <t>cum</t>
        </is>
      </c>
      <c r="D109" s="15" t="n">
        <v>6680.2</v>
      </c>
      <c r="E109" t="inlineStr">
        <is>
          <t>04_Concrete_Work</t>
        </is>
      </c>
      <c r="F109" t="n">
        <v>155</v>
      </c>
    </row>
    <row r="110">
      <c r="A110" s="14" t="inlineStr">
        <is>
          <t>4.1.5</t>
        </is>
      </c>
      <c r="B110" t="inlineStr">
        <is>
          <t>Providing and laying in position cement concrete of specified grade excluding the cost of centering and shu...</t>
        </is>
      </c>
      <c r="C110" t="inlineStr">
        <is>
          <t>cum</t>
        </is>
      </c>
      <c r="D110" s="15" t="n">
        <v>6259.1</v>
      </c>
      <c r="E110" t="inlineStr">
        <is>
          <t>04_Concrete_Work</t>
        </is>
      </c>
      <c r="F110" t="n">
        <v>156</v>
      </c>
    </row>
    <row r="111">
      <c r="A111" s="14" t="inlineStr">
        <is>
          <t>4.1.6</t>
        </is>
      </c>
      <c r="B111" t="inlineStr">
        <is>
          <t>Providing and laying in position cement concrete of specified grade excluding the cost of centering and shu...</t>
        </is>
      </c>
      <c r="C111" t="inlineStr">
        <is>
          <t>cum</t>
        </is>
      </c>
      <c r="D111" s="15" t="n">
        <v>6126.25</v>
      </c>
      <c r="E111" t="inlineStr">
        <is>
          <t>04_Concrete_Work</t>
        </is>
      </c>
      <c r="F111" t="n">
        <v>157</v>
      </c>
    </row>
    <row r="112">
      <c r="A112" s="14" t="inlineStr">
        <is>
          <t>4.1.8</t>
        </is>
      </c>
      <c r="B112" t="inlineStr">
        <is>
          <t>Providing and laying in position cement concrete of specified grade excluding the cost of centering and shu...</t>
        </is>
      </c>
      <c r="C112" t="inlineStr">
        <is>
          <t>cum</t>
        </is>
      </c>
      <c r="D112" s="15" t="n">
        <v>5789.6</v>
      </c>
      <c r="E112" t="inlineStr">
        <is>
          <t>04_Concrete_Work</t>
        </is>
      </c>
      <c r="F112" t="n">
        <v>157</v>
      </c>
    </row>
    <row r="113">
      <c r="A113" s="14" t="inlineStr">
        <is>
          <t>4.1.10</t>
        </is>
      </c>
      <c r="B113" t="inlineStr">
        <is>
          <t>Providing and laying in position cement concrete of specified grade excluding the cost of centering and shu...</t>
        </is>
      </c>
      <c r="C113" t="inlineStr">
        <is>
          <t>cum</t>
        </is>
      </c>
      <c r="D113" s="15" t="n">
        <v>5520.3</v>
      </c>
      <c r="E113" t="inlineStr">
        <is>
          <t>04_Concrete_Work</t>
        </is>
      </c>
      <c r="F113" t="n">
        <v>158</v>
      </c>
    </row>
    <row r="114">
      <c r="A114" s="14" t="inlineStr">
        <is>
          <t>4.1.11</t>
        </is>
      </c>
      <c r="B114" t="inlineStr">
        <is>
          <t>Providing and laying in position cement concrete of specified grade excluding the cost of centering and shu...</t>
        </is>
      </c>
      <c r="C114" t="inlineStr">
        <is>
          <t>cum</t>
        </is>
      </c>
      <c r="D114" s="15" t="n">
        <v>5225.15</v>
      </c>
      <c r="E114" t="inlineStr">
        <is>
          <t>04_Concrete_Work</t>
        </is>
      </c>
      <c r="F114" t="n">
        <v>159</v>
      </c>
    </row>
    <row r="115">
      <c r="A115" s="14" t="inlineStr">
        <is>
          <t>4.1.12</t>
        </is>
      </c>
      <c r="B115" t="inlineStr">
        <is>
          <t>Providing and laying in position cement concrete of specified grade excluding the cost of centering and shu...</t>
        </is>
      </c>
      <c r="C115" t="inlineStr">
        <is>
          <t>cum</t>
        </is>
      </c>
      <c r="D115" s="15" t="n">
        <v>5629.15</v>
      </c>
      <c r="E115" t="inlineStr">
        <is>
          <t>04_Concrete_Work</t>
        </is>
      </c>
      <c r="F115" t="n">
        <v>160</v>
      </c>
    </row>
    <row r="116">
      <c r="A116" s="14" t="inlineStr">
        <is>
          <t>4.1.13</t>
        </is>
      </c>
      <c r="B116" t="inlineStr">
        <is>
          <t>Providing and laying in position cement concrete of specified grade excluding the cost of centering and shu...</t>
        </is>
      </c>
      <c r="C116" t="inlineStr">
        <is>
          <t>cum</t>
        </is>
      </c>
      <c r="D116" s="15" t="n">
        <v>5301.45</v>
      </c>
      <c r="E116" t="inlineStr">
        <is>
          <t>04_Concrete_Work</t>
        </is>
      </c>
      <c r="F116" t="n">
        <v>160</v>
      </c>
    </row>
    <row r="117">
      <c r="A117" s="14" t="inlineStr">
        <is>
          <t>4.2.2</t>
        </is>
      </c>
      <c r="B117" t="inlineStr">
        <is>
          <t>Providing and laying cement concrete in retaining walls, return walls, walls (any thickness) including atta...</t>
        </is>
      </c>
      <c r="C117" t="inlineStr">
        <is>
          <t>cum</t>
        </is>
      </c>
      <c r="D117" s="15" t="n">
        <v>8976.450000000001</v>
      </c>
      <c r="E117" t="inlineStr">
        <is>
          <t>04_Concrete_Work</t>
        </is>
      </c>
      <c r="F117" t="n">
        <v>161</v>
      </c>
    </row>
    <row r="118">
      <c r="A118" s="14" t="inlineStr">
        <is>
          <t>4.2.3</t>
        </is>
      </c>
      <c r="B118" t="inlineStr">
        <is>
          <t>Providing and laying cement concrete in retaining walls, return walls, walls (any thickness) including atta...</t>
        </is>
      </c>
      <c r="C118" t="inlineStr">
        <is>
          <t>cum</t>
        </is>
      </c>
      <c r="D118" s="15" t="n">
        <v>8554.5</v>
      </c>
      <c r="E118" t="inlineStr">
        <is>
          <t>04_Concrete_Work</t>
        </is>
      </c>
      <c r="F118" t="n">
        <v>162</v>
      </c>
    </row>
    <row r="119">
      <c r="A119" s="14" t="inlineStr">
        <is>
          <t>4.2.5</t>
        </is>
      </c>
      <c r="B119" t="inlineStr">
        <is>
          <t>Providing and laying cement concrete in retaining walls, return walls, walls (any thickness) including atta...</t>
        </is>
      </c>
      <c r="C119" t="inlineStr">
        <is>
          <t>cum</t>
        </is>
      </c>
      <c r="D119" s="15" t="n">
        <v>8025</v>
      </c>
      <c r="E119" t="inlineStr">
        <is>
          <t>04_Concrete_Work</t>
        </is>
      </c>
      <c r="F119" t="n">
        <v>163</v>
      </c>
    </row>
    <row r="120">
      <c r="A120" s="14" t="inlineStr">
        <is>
          <t>4.2.8</t>
        </is>
      </c>
      <c r="B120" t="inlineStr">
        <is>
          <t>Providing and laying cement concrete in retaining walls, return walls, walls (any thickness) including atta...</t>
        </is>
      </c>
      <c r="C120" t="inlineStr">
        <is>
          <t>cum</t>
        </is>
      </c>
      <c r="D120" s="15" t="n">
        <v>7273.25</v>
      </c>
      <c r="E120" t="inlineStr">
        <is>
          <t>04_Concrete_Work</t>
        </is>
      </c>
      <c r="F120" t="n">
        <v>164</v>
      </c>
    </row>
    <row r="121">
      <c r="A121" s="14" t="inlineStr">
        <is>
          <t>4.3.1</t>
        </is>
      </c>
      <c r="B121" t="inlineStr">
        <is>
          <t>Centering and shuttering including strutting, propping etc. and removal of form work for - Foundations, foo...</t>
        </is>
      </c>
      <c r="C121" t="inlineStr">
        <is>
          <t>sqm</t>
        </is>
      </c>
      <c r="D121" s="15" t="n">
        <v>284.85</v>
      </c>
      <c r="E121" t="inlineStr">
        <is>
          <t>04_Concrete_Work</t>
        </is>
      </c>
      <c r="F121" t="n">
        <v>164</v>
      </c>
    </row>
    <row r="122">
      <c r="A122" s="14" t="inlineStr">
        <is>
          <t>4.3.2</t>
        </is>
      </c>
      <c r="B122" t="inlineStr">
        <is>
          <t>Centering and shuttering including strutting, propping etc. and removal of form work for - Retaining walls,...</t>
        </is>
      </c>
      <c r="C122" t="inlineStr">
        <is>
          <t>sqm</t>
        </is>
      </c>
      <c r="D122" s="15" t="n">
        <v>609.3</v>
      </c>
      <c r="E122" t="inlineStr">
        <is>
          <t>04_Concrete_Work</t>
        </is>
      </c>
      <c r="F122" t="n">
        <v>165</v>
      </c>
    </row>
    <row r="123">
      <c r="A123" s="14" t="inlineStr">
        <is>
          <t>4.3.3</t>
        </is>
      </c>
      <c r="B123" t="inlineStr">
        <is>
          <t>Centering and shuttering including strutting, propping etc. and removal of form work for - Columns, piers,...</t>
        </is>
      </c>
      <c r="C123" t="inlineStr">
        <is>
          <t>sqm</t>
        </is>
      </c>
      <c r="D123" s="15" t="n">
        <v>733.7</v>
      </c>
      <c r="E123" t="inlineStr">
        <is>
          <t>04_Concrete_Work</t>
        </is>
      </c>
      <c r="F123" t="n">
        <v>166</v>
      </c>
    </row>
    <row r="124">
      <c r="A124" s="14" t="inlineStr">
        <is>
          <t>4.4.1</t>
        </is>
      </c>
      <c r="B124" t="inlineStr">
        <is>
          <t>Providing and laying cement concrete in kerbs, steps and the like at or near ground level excluding the cos...</t>
        </is>
      </c>
      <c r="C124" t="inlineStr">
        <is>
          <t>cum</t>
        </is>
      </c>
      <c r="D124" s="15" t="n">
        <v>7210.55</v>
      </c>
      <c r="E124" t="inlineStr">
        <is>
          <t>04_Concrete_Work</t>
        </is>
      </c>
      <c r="F124" t="n">
        <v>167</v>
      </c>
    </row>
    <row r="125">
      <c r="A125" s="14" t="inlineStr">
        <is>
          <t>4.5.1</t>
        </is>
      </c>
      <c r="B125" t="inlineStr">
        <is>
          <t>Providing and fixing up to floor five level precast cement concrete string or lacing courses, copings, bed...</t>
        </is>
      </c>
      <c r="C125" t="inlineStr">
        <is>
          <t>cum</t>
        </is>
      </c>
      <c r="D125" s="15" t="n">
        <v>8537.75</v>
      </c>
      <c r="E125" t="inlineStr">
        <is>
          <t>04_Concrete_Work</t>
        </is>
      </c>
      <c r="F125" t="n">
        <v>168</v>
      </c>
    </row>
    <row r="126">
      <c r="A126" s="14" t="inlineStr">
        <is>
          <t>4.6.1</t>
        </is>
      </c>
      <c r="B126" t="inlineStr">
        <is>
          <t>Providing and fixing at or near ground level precast cement concrete in kerbs, edgings etc. as per approved...</t>
        </is>
      </c>
      <c r="C126" t="inlineStr">
        <is>
          <t>cum</t>
        </is>
      </c>
      <c r="D126" s="15" t="n">
        <v>7533.85</v>
      </c>
      <c r="E126" t="inlineStr">
        <is>
          <t>04_Concrete_Work</t>
        </is>
      </c>
      <c r="F126" t="n">
        <v>169</v>
      </c>
    </row>
    <row r="127">
      <c r="A127" s="14" t="inlineStr">
        <is>
          <t>4.7.1</t>
        </is>
      </c>
      <c r="B127" t="inlineStr">
        <is>
          <t>Providing and fixing up to floor five level precast cement concrete solid block, including hoisting and set...</t>
        </is>
      </c>
      <c r="C127" t="inlineStr">
        <is>
          <t>cum</t>
        </is>
      </c>
      <c r="D127" s="15" t="n">
        <v>14241.05</v>
      </c>
      <c r="E127" t="inlineStr">
        <is>
          <t>04_Concrete_Work</t>
        </is>
      </c>
      <c r="F127" t="n">
        <v>170</v>
      </c>
    </row>
    <row r="128">
      <c r="A128" s="14" t="inlineStr">
        <is>
          <t>4.8.1</t>
        </is>
      </c>
      <c r="B128" t="inlineStr">
        <is>
          <t>Providing and fixing up to floor five level precast cement concrete hollow block, including hoisting and se...</t>
        </is>
      </c>
      <c r="C128" t="inlineStr">
        <is>
          <t>cum</t>
        </is>
      </c>
      <c r="D128" s="15" t="n">
        <v>11346.05</v>
      </c>
      <c r="E128" t="inlineStr">
        <is>
          <t>04_Concrete_Work</t>
        </is>
      </c>
      <c r="F128" t="n">
        <v>171</v>
      </c>
    </row>
    <row r="129">
      <c r="A129" s="14" t="inlineStr">
        <is>
          <t>4.9</t>
        </is>
      </c>
      <c r="B129" t="inlineStr">
        <is>
          <t>Precasting and placing in position 125 mm dia Bollards 600 mm high of required shape including providing M....</t>
        </is>
      </c>
      <c r="C129" t="inlineStr">
        <is>
          <t>cum</t>
        </is>
      </c>
      <c r="D129" s="15" t="n">
        <v>723.05</v>
      </c>
      <c r="E129" t="inlineStr">
        <is>
          <t>04_Concrete_Work</t>
        </is>
      </c>
      <c r="F129" t="n">
        <v>172</v>
      </c>
    </row>
    <row r="130">
      <c r="A130" s="14" t="inlineStr">
        <is>
          <t>4.10</t>
        </is>
      </c>
      <c r="B130" t="inlineStr">
        <is>
          <t>Providing and laying damp-proof course 40mm thick with cement concrete 1:2:4 (1 cement : 2 coarse sand (zon...</t>
        </is>
      </c>
      <c r="C130" t="inlineStr">
        <is>
          <t>sqm</t>
        </is>
      </c>
      <c r="D130" s="15" t="n">
        <v>347.9</v>
      </c>
      <c r="E130" t="inlineStr">
        <is>
          <t>04_Concrete_Work</t>
        </is>
      </c>
      <c r="F130" t="n">
        <v>173</v>
      </c>
    </row>
    <row r="131">
      <c r="A131" s="14" t="inlineStr">
        <is>
          <t>4.11</t>
        </is>
      </c>
      <c r="B131" t="inlineStr">
        <is>
          <t>Providing and laying damp-proof course 50mm thick with cement concrete 1:2:4 (1 cement : 2 coarse sand(zone...</t>
        </is>
      </c>
      <c r="C131" t="inlineStr">
        <is>
          <t>sqm</t>
        </is>
      </c>
      <c r="D131" s="15" t="n">
        <v>418.9</v>
      </c>
      <c r="E131" t="inlineStr">
        <is>
          <t>04_Concrete_Work</t>
        </is>
      </c>
      <c r="F131" t="n">
        <v>174</v>
      </c>
    </row>
    <row r="132">
      <c r="A132" s="14" t="inlineStr">
        <is>
          <t>4.12</t>
        </is>
      </c>
      <c r="B132" t="inlineStr">
        <is>
          <t>Extra for providing and mixing water proofing material in cement concrete work in doses by weight of cement...</t>
        </is>
      </c>
      <c r="C132" t="inlineStr">
        <is>
          <t>nos</t>
        </is>
      </c>
      <c r="D132" s="15" t="n">
        <v>56.55</v>
      </c>
      <c r="E132" t="inlineStr">
        <is>
          <t>04_Concrete_Work</t>
        </is>
      </c>
      <c r="F132" t="n">
        <v>175</v>
      </c>
    </row>
    <row r="133">
      <c r="A133" s="14" t="inlineStr">
        <is>
          <t>4.13</t>
        </is>
      </c>
      <c r="B133" t="inlineStr">
        <is>
          <t>Providing &amp; applying a coat of residual petroleum bitumen of grade of VG-10 of approved quality using 1.7kg...</t>
        </is>
      </c>
      <c r="C133" t="inlineStr">
        <is>
          <t>sqm</t>
        </is>
      </c>
      <c r="D133" s="15" t="n">
        <v>110</v>
      </c>
      <c r="E133" t="inlineStr">
        <is>
          <t>04_Concrete_Work</t>
        </is>
      </c>
      <c r="F133" t="n">
        <v>175</v>
      </c>
    </row>
    <row r="134">
      <c r="A134" s="14" t="inlineStr">
        <is>
          <t>4.14</t>
        </is>
      </c>
      <c r="B134" t="inlineStr">
        <is>
          <t>Extra for concrete work in superstructure above floor V level for each four floors or part thereof</t>
        </is>
      </c>
      <c r="C134" t="inlineStr">
        <is>
          <t>cum</t>
        </is>
      </c>
      <c r="D134" s="15" t="n">
        <v>1119.85</v>
      </c>
      <c r="E134" t="inlineStr">
        <is>
          <t>04_Concrete_Work</t>
        </is>
      </c>
      <c r="F134" t="n">
        <v>176</v>
      </c>
    </row>
    <row r="135">
      <c r="A135" s="14" t="inlineStr">
        <is>
          <t>4.15</t>
        </is>
      </c>
      <c r="B135" t="inlineStr">
        <is>
          <t>Extra for laying concrete in or under water and/or liquid mud including cost of pumping or bailing out wate...</t>
        </is>
      </c>
      <c r="C135" t="inlineStr">
        <is>
          <t>cum</t>
        </is>
      </c>
      <c r="D135" s="15" t="n">
        <v>794.65</v>
      </c>
      <c r="E135" t="inlineStr">
        <is>
          <t>04_Concrete_Work</t>
        </is>
      </c>
      <c r="F135" t="n">
        <v>176</v>
      </c>
    </row>
    <row r="136">
      <c r="A136" s="14" t="inlineStr">
        <is>
          <t>4.16</t>
        </is>
      </c>
      <c r="B136" t="inlineStr">
        <is>
          <t>Extra for laying concrete in or under foul positions</t>
        </is>
      </c>
      <c r="C136" t="inlineStr">
        <is>
          <t>cum</t>
        </is>
      </c>
      <c r="D136" s="15" t="n">
        <v>336.55</v>
      </c>
      <c r="E136" t="inlineStr">
        <is>
          <t>04_Concrete_Work</t>
        </is>
      </c>
      <c r="F136" t="n">
        <v>177</v>
      </c>
    </row>
    <row r="137">
      <c r="A137" s="14" t="inlineStr">
        <is>
          <t>4.17</t>
        </is>
      </c>
      <c r="B137" t="inlineStr">
        <is>
          <t>Making plinth protection 50mm thick of cement concrete 1:3:6 (1 cement : 3 coarse sand : 6 graded stone agg...</t>
        </is>
      </c>
      <c r="C137" t="inlineStr">
        <is>
          <t>sqm</t>
        </is>
      </c>
      <c r="D137" s="15" t="n">
        <v>614.05</v>
      </c>
      <c r="E137" t="inlineStr">
        <is>
          <t>04_Concrete_Work</t>
        </is>
      </c>
      <c r="F137" t="n">
        <v>177</v>
      </c>
    </row>
    <row r="138">
      <c r="A138" s="14" t="inlineStr">
        <is>
          <t>4.18</t>
        </is>
      </c>
      <c r="B138" t="inlineStr">
        <is>
          <t>Extra for addition of synthetic Polyester triangular fibre of length 12mm, effective diameter 10-40 microns...</t>
        </is>
      </c>
      <c r="C138" t="inlineStr">
        <is>
          <t>nos</t>
        </is>
      </c>
      <c r="D138" s="15" t="n">
        <v>61.05</v>
      </c>
      <c r="E138" t="inlineStr">
        <is>
          <t>04_Concrete_Work</t>
        </is>
      </c>
      <c r="F138" t="n">
        <v>178</v>
      </c>
    </row>
    <row r="139">
      <c r="A139" s="14" t="inlineStr">
        <is>
          <t>4.19.1.1</t>
        </is>
      </c>
      <c r="B139" t="inlineStr">
        <is>
          <t>Providing and laying in position ready mixed plain cement concrete, using fly ash and cement content as per...</t>
        </is>
      </c>
      <c r="C139" t="inlineStr">
        <is>
          <t>cum</t>
        </is>
      </c>
      <c r="D139" s="15" t="n">
        <v>7738.2</v>
      </c>
      <c r="E139" t="inlineStr">
        <is>
          <t>04_Concrete_Work</t>
        </is>
      </c>
      <c r="F139" t="n">
        <v>179</v>
      </c>
    </row>
    <row r="140">
      <c r="A140" s="14" t="inlineStr">
        <is>
          <t>4.19.1.2</t>
        </is>
      </c>
      <c r="B140" t="inlineStr">
        <is>
          <t>Providing and laying in position ready mixed plain cement concrete, using fly ash and cement content as per...</t>
        </is>
      </c>
      <c r="C140" t="inlineStr">
        <is>
          <t>cum</t>
        </is>
      </c>
      <c r="D140" s="15" t="n">
        <v>7598.7</v>
      </c>
      <c r="E140" t="inlineStr">
        <is>
          <t>04_Concrete_Work</t>
        </is>
      </c>
      <c r="F140" t="n">
        <v>180</v>
      </c>
    </row>
    <row r="141">
      <c r="A141" s="14" t="inlineStr">
        <is>
          <t>4.19.2.1</t>
        </is>
      </c>
      <c r="B141" t="inlineStr">
        <is>
          <t>Providing and laying in position ready mixed plain cement concrete, using fly ash and cement content as per...</t>
        </is>
      </c>
      <c r="C141" t="inlineStr">
        <is>
          <t>cum</t>
        </is>
      </c>
      <c r="D141" s="15" t="n">
        <v>8860.799999999999</v>
      </c>
      <c r="E141" t="inlineStr">
        <is>
          <t>04_Concrete_Work</t>
        </is>
      </c>
      <c r="F141" t="n">
        <v>181</v>
      </c>
    </row>
    <row r="142">
      <c r="A142" s="14" t="inlineStr">
        <is>
          <t>4.19.2.2</t>
        </is>
      </c>
      <c r="B142" t="inlineStr">
        <is>
          <t>Providing and laying in position ready mixed plain cement concrete, using fly ash and cement content as per...</t>
        </is>
      </c>
      <c r="C142" t="inlineStr">
        <is>
          <t>cum</t>
        </is>
      </c>
      <c r="D142" s="15" t="n">
        <v>8721.299999999999</v>
      </c>
      <c r="E142" t="inlineStr">
        <is>
          <t>04_Concrete_Work</t>
        </is>
      </c>
      <c r="F142" t="n">
        <v>182</v>
      </c>
    </row>
    <row r="143">
      <c r="A143" s="14" t="inlineStr">
        <is>
          <t>4.20.1.1</t>
        </is>
      </c>
      <c r="B143" t="inlineStr">
        <is>
          <t>Providing and laying in position ready mixed plain cement concrete, with cement content as per approved des...</t>
        </is>
      </c>
      <c r="C143" t="inlineStr">
        <is>
          <t>cum</t>
        </is>
      </c>
      <c r="D143" s="15" t="n">
        <v>7900.75</v>
      </c>
      <c r="E143" t="inlineStr">
        <is>
          <t>04_Concrete_Work</t>
        </is>
      </c>
      <c r="F143" t="n">
        <v>183</v>
      </c>
    </row>
    <row r="144">
      <c r="A144" s="14" t="inlineStr">
        <is>
          <t>4.20.1.2</t>
        </is>
      </c>
      <c r="B144" t="inlineStr">
        <is>
          <t>Providing and laying in position ready mixed plain cement concrete, with cement content as per approved des...</t>
        </is>
      </c>
      <c r="C144" t="inlineStr">
        <is>
          <t>cum</t>
        </is>
      </c>
      <c r="D144" s="15" t="n">
        <v>7761.25</v>
      </c>
      <c r="E144" t="inlineStr">
        <is>
          <t>04_Concrete_Work</t>
        </is>
      </c>
      <c r="F144" t="n">
        <v>184</v>
      </c>
    </row>
    <row r="145">
      <c r="A145" s="14" t="inlineStr">
        <is>
          <t>4.20.2.1</t>
        </is>
      </c>
      <c r="B145" t="inlineStr">
        <is>
          <t>Providing and laying in position ready mixed plain cement concrete, with cement content as per approved des...</t>
        </is>
      </c>
      <c r="C145" t="inlineStr">
        <is>
          <t>cum</t>
        </is>
      </c>
      <c r="D145" s="15" t="n">
        <v>9023.299999999999</v>
      </c>
      <c r="E145" t="inlineStr">
        <is>
          <t>04_Concrete_Work</t>
        </is>
      </c>
      <c r="F145" t="n">
        <v>185</v>
      </c>
    </row>
    <row r="146">
      <c r="A146" s="14" t="inlineStr">
        <is>
          <t>4.20.2.2</t>
        </is>
      </c>
      <c r="B146" t="inlineStr">
        <is>
          <t>Providing and laying in position ready mixed plain cement concrete, with cement content as per approved des...</t>
        </is>
      </c>
      <c r="C146" t="inlineStr">
        <is>
          <t>cum</t>
        </is>
      </c>
      <c r="D146" s="15" t="n">
        <v>8883.85</v>
      </c>
      <c r="E146" t="inlineStr">
        <is>
          <t>04_Concrete_Work</t>
        </is>
      </c>
      <c r="F146" t="n">
        <v>186</v>
      </c>
    </row>
    <row r="147">
      <c r="A147" s="14" t="inlineStr">
        <is>
          <t>5.1.2</t>
        </is>
      </c>
      <c r="B147" t="inlineStr">
        <is>
          <t>Providing and laying in position specified grade of reinforced cement concrete, excluding the cost of cente...</t>
        </is>
      </c>
      <c r="C147" t="inlineStr">
        <is>
          <t>cum</t>
        </is>
      </c>
      <c r="D147" s="15" t="n">
        <v>7718.25</v>
      </c>
      <c r="E147" t="inlineStr">
        <is>
          <t>05_RCC_Work</t>
        </is>
      </c>
      <c r="F147" t="n">
        <v>190</v>
      </c>
    </row>
    <row r="148">
      <c r="A148" s="14" t="inlineStr">
        <is>
          <t>5.1.3</t>
        </is>
      </c>
      <c r="B148" t="inlineStr">
        <is>
          <t>Providing and laying in position specified grade of reinforced cement concrete, excluding the cost of cente...</t>
        </is>
      </c>
      <c r="C148" t="inlineStr">
        <is>
          <t>cum</t>
        </is>
      </c>
      <c r="D148" s="15" t="n">
        <v>7296.35</v>
      </c>
      <c r="E148" t="inlineStr">
        <is>
          <t>05_RCC_Work</t>
        </is>
      </c>
      <c r="F148" t="n">
        <v>190</v>
      </c>
    </row>
    <row r="149">
      <c r="A149" s="14" t="inlineStr">
        <is>
          <t>5.2.2</t>
        </is>
      </c>
      <c r="B149" t="inlineStr">
        <is>
          <t>Reinforced cement concrete work in walls (any thickness), including attached pilasters, buttresses, plinth...</t>
        </is>
      </c>
      <c r="C149" t="inlineStr">
        <is>
          <t>cum</t>
        </is>
      </c>
      <c r="D149" s="15" t="n">
        <v>9306</v>
      </c>
      <c r="E149" t="inlineStr">
        <is>
          <t>05_RCC_Work</t>
        </is>
      </c>
      <c r="F149" t="n">
        <v>191</v>
      </c>
    </row>
    <row r="150">
      <c r="A150" s="14" t="inlineStr">
        <is>
          <t>5.3</t>
        </is>
      </c>
      <c r="B150" t="inlineStr">
        <is>
          <t>Reinforced cement concrete work in beams, suspended floors, roofs having slope up to 15° landings, balconie...</t>
        </is>
      </c>
      <c r="C150" t="inlineStr">
        <is>
          <t>cum</t>
        </is>
      </c>
      <c r="D150" s="15" t="n">
        <v>9763.799999999999</v>
      </c>
      <c r="E150" t="inlineStr">
        <is>
          <t>05_RCC_Work</t>
        </is>
      </c>
      <c r="F150" t="n">
        <v>192</v>
      </c>
    </row>
    <row r="151">
      <c r="A151" s="14" t="inlineStr">
        <is>
          <t>5.4</t>
        </is>
      </c>
      <c r="B151" t="inlineStr">
        <is>
          <t>Providing and laying up to floor five level reinforced cement concrete in kerbs, steps and the like excludi...</t>
        </is>
      </c>
      <c r="C151" t="inlineStr">
        <is>
          <t>cum</t>
        </is>
      </c>
      <c r="D151" s="15" t="n">
        <v>8962.700000000001</v>
      </c>
      <c r="E151" t="inlineStr">
        <is>
          <t>05_RCC_Work</t>
        </is>
      </c>
      <c r="F151" t="n">
        <v>193</v>
      </c>
    </row>
    <row r="152">
      <c r="A152" s="14" t="inlineStr">
        <is>
          <t>5.5</t>
        </is>
      </c>
      <c r="B152" t="inlineStr">
        <is>
          <t>Reinforced cement concrete work in arches, archribs, domes, vaults, shells, folded plate and roofs having s...</t>
        </is>
      </c>
      <c r="C152" t="inlineStr">
        <is>
          <t>cum</t>
        </is>
      </c>
      <c r="D152" s="15" t="n">
        <v>10289</v>
      </c>
      <c r="E152" t="inlineStr">
        <is>
          <t>05_RCC_Work</t>
        </is>
      </c>
      <c r="F152" t="n">
        <v>194</v>
      </c>
    </row>
    <row r="153">
      <c r="A153" s="14" t="inlineStr">
        <is>
          <t>5.6</t>
        </is>
      </c>
      <c r="B153" t="inlineStr">
        <is>
          <t>Reinforced cement concrete work in chimneys, shafts, up to floor five level, excluding the cost of centerin...</t>
        </is>
      </c>
      <c r="C153" t="inlineStr">
        <is>
          <t>cum</t>
        </is>
      </c>
      <c r="D153" s="15" t="n">
        <v>9500.1</v>
      </c>
      <c r="E153" t="inlineStr">
        <is>
          <t>05_RCC_Work</t>
        </is>
      </c>
      <c r="F153" t="n">
        <v>195</v>
      </c>
    </row>
    <row r="154">
      <c r="A154" s="14" t="inlineStr">
        <is>
          <t>5.7</t>
        </is>
      </c>
      <c r="B154" t="inlineStr">
        <is>
          <t>Reinforced cement concrete work in well-steining, excluding the cost of centering, shuttering, finishing an...</t>
        </is>
      </c>
      <c r="C154" t="inlineStr">
        <is>
          <t>cum</t>
        </is>
      </c>
      <c r="D154" s="15" t="n">
        <v>7270.3</v>
      </c>
      <c r="E154" t="inlineStr">
        <is>
          <t>05_RCC_Work</t>
        </is>
      </c>
      <c r="F154" t="n">
        <v>195</v>
      </c>
    </row>
    <row r="155">
      <c r="A155" s="14" t="inlineStr">
        <is>
          <t>5.8</t>
        </is>
      </c>
      <c r="B155" t="inlineStr">
        <is>
          <t>Reinforced cement concrete work in vertical and horizontal fins individually or forming box louvers, facias...</t>
        </is>
      </c>
      <c r="C155" t="inlineStr">
        <is>
          <t>cum</t>
        </is>
      </c>
      <c r="D155" s="15" t="n">
        <v>8550.25</v>
      </c>
      <c r="E155" t="inlineStr">
        <is>
          <t>05_RCC_Work</t>
        </is>
      </c>
      <c r="F155" t="n">
        <v>196</v>
      </c>
    </row>
    <row r="156">
      <c r="A156" s="14" t="inlineStr">
        <is>
          <t>5.9.1</t>
        </is>
      </c>
      <c r="B156" t="inlineStr">
        <is>
          <t>Centering and shuttering including strutting, propping etc. and removal of form for - Foundations, footings...</t>
        </is>
      </c>
      <c r="C156" t="inlineStr">
        <is>
          <t>sqm</t>
        </is>
      </c>
      <c r="D156" s="15" t="n">
        <v>284.85</v>
      </c>
      <c r="E156" t="inlineStr">
        <is>
          <t>05_RCC_Work</t>
        </is>
      </c>
      <c r="F156" t="n">
        <v>197</v>
      </c>
    </row>
    <row r="157">
      <c r="A157" s="14" t="inlineStr">
        <is>
          <t>5.9.2</t>
        </is>
      </c>
      <c r="B157" t="inlineStr">
        <is>
          <t>Centering and shuttering including strutting, propping etc. and removal of form for - Walls (any thickness)...</t>
        </is>
      </c>
      <c r="C157" t="inlineStr">
        <is>
          <t>sqm</t>
        </is>
      </c>
      <c r="D157" s="15" t="n">
        <v>609.3</v>
      </c>
      <c r="E157" t="inlineStr">
        <is>
          <t>05_RCC_Work</t>
        </is>
      </c>
      <c r="F157" t="n">
        <v>198</v>
      </c>
    </row>
    <row r="158">
      <c r="A158" s="14" t="inlineStr">
        <is>
          <t>5.9.3</t>
        </is>
      </c>
      <c r="B158" t="inlineStr">
        <is>
          <t>Centering and shuttering including strutting, propping etc. and removal of form for - Suspended floors, roo...</t>
        </is>
      </c>
      <c r="C158" t="inlineStr">
        <is>
          <t>sqm</t>
        </is>
      </c>
      <c r="D158" s="15" t="n">
        <v>693.05</v>
      </c>
      <c r="E158" t="inlineStr">
        <is>
          <t>05_RCC_Work</t>
        </is>
      </c>
      <c r="F158" t="n">
        <v>199</v>
      </c>
    </row>
    <row r="159">
      <c r="A159" s="14" t="inlineStr">
        <is>
          <t>5.9.4</t>
        </is>
      </c>
      <c r="B159" t="inlineStr">
        <is>
          <t>Centering and shuttering including strutting, propping etc. and removal of form for - Shelves (Cast in situ)</t>
        </is>
      </c>
      <c r="C159" t="inlineStr">
        <is>
          <t>sqm</t>
        </is>
      </c>
      <c r="D159" s="15" t="n">
        <v>693.05</v>
      </c>
      <c r="E159" t="inlineStr">
        <is>
          <t>05_RCC_Work</t>
        </is>
      </c>
      <c r="F159" t="n">
        <v>200</v>
      </c>
    </row>
    <row r="160">
      <c r="A160" s="14" t="inlineStr">
        <is>
          <t>5.9.5</t>
        </is>
      </c>
      <c r="B160" t="inlineStr">
        <is>
          <t>Centering and shuttering including strutting, propping etc. and removal of form for - Lintels, beams, plint...</t>
        </is>
      </c>
      <c r="C160" t="inlineStr">
        <is>
          <t>sqm</t>
        </is>
      </c>
      <c r="D160" s="15" t="n">
        <v>552.05</v>
      </c>
      <c r="E160" t="inlineStr">
        <is>
          <t>05_RCC_Work</t>
        </is>
      </c>
      <c r="F160" t="n">
        <v>201</v>
      </c>
    </row>
    <row r="161">
      <c r="A161" s="14" t="inlineStr">
        <is>
          <t>5.9.6</t>
        </is>
      </c>
      <c r="B161" t="inlineStr">
        <is>
          <t>Centering and shuttering including strutting, propping etc. and removal of form for - Columns, Pillars, Pie...</t>
        </is>
      </c>
      <c r="C161" t="inlineStr">
        <is>
          <t>sqm</t>
        </is>
      </c>
      <c r="D161" s="15" t="n">
        <v>733.7</v>
      </c>
      <c r="E161" t="inlineStr">
        <is>
          <t>05_RCC_Work</t>
        </is>
      </c>
      <c r="F161" t="n">
        <v>202</v>
      </c>
    </row>
    <row r="162">
      <c r="A162" s="14" t="inlineStr">
        <is>
          <t>5.9.7</t>
        </is>
      </c>
      <c r="B162" t="inlineStr">
        <is>
          <t>Centering and shuttering including strutting, propping etc. and removal of form for - Stairs, (excluding la...</t>
        </is>
      </c>
      <c r="C162" t="inlineStr">
        <is>
          <t>sqm</t>
        </is>
      </c>
      <c r="D162" s="15" t="n">
        <v>622.35</v>
      </c>
      <c r="E162" t="inlineStr">
        <is>
          <t>05_RCC_Work</t>
        </is>
      </c>
      <c r="F162" t="n">
        <v>203</v>
      </c>
    </row>
    <row r="163">
      <c r="A163" s="14" t="inlineStr">
        <is>
          <t>5.9.8</t>
        </is>
      </c>
      <c r="B163" t="inlineStr">
        <is>
          <t>Centering and shuttering including strutting, propping etc. and removal of form for - Spiral staircases (in...</t>
        </is>
      </c>
      <c r="C163" t="inlineStr">
        <is>
          <t>sqm</t>
        </is>
      </c>
      <c r="D163" s="15" t="n">
        <v>600</v>
      </c>
      <c r="E163" t="inlineStr">
        <is>
          <t>05_RCC_Work</t>
        </is>
      </c>
      <c r="F163" t="n">
        <v>204</v>
      </c>
    </row>
    <row r="164">
      <c r="A164" s="14" t="inlineStr">
        <is>
          <t>5.9.9</t>
        </is>
      </c>
      <c r="B164" t="inlineStr">
        <is>
          <t>Centering and shuttering including strutting, propping etc. and removal of form for - Arches, domes, vaults...</t>
        </is>
      </c>
      <c r="C164" t="inlineStr">
        <is>
          <t>sqm</t>
        </is>
      </c>
      <c r="D164" s="15" t="n">
        <v>1713.2</v>
      </c>
      <c r="E164" t="inlineStr">
        <is>
          <t>05_RCC_Work</t>
        </is>
      </c>
      <c r="F164" t="n">
        <v>205</v>
      </c>
    </row>
    <row r="165">
      <c r="A165" s="14" t="inlineStr">
        <is>
          <t>5.9.10</t>
        </is>
      </c>
      <c r="B165" t="inlineStr">
        <is>
          <t>Centering and shuttering including strutting, propping etc. and removal of form for - Extra for arches, dom...</t>
        </is>
      </c>
      <c r="C165" t="inlineStr">
        <is>
          <t>sqm</t>
        </is>
      </c>
      <c r="D165" s="15" t="n">
        <v>560.65</v>
      </c>
      <c r="E165" t="inlineStr">
        <is>
          <t>05_RCC_Work</t>
        </is>
      </c>
      <c r="F165" t="n">
        <v>206</v>
      </c>
    </row>
    <row r="166">
      <c r="A166" s="14" t="inlineStr">
        <is>
          <t>5.9.11</t>
        </is>
      </c>
      <c r="B166" t="inlineStr">
        <is>
          <t>Centering and shuttering including strutting, propping etc. and removal of form for - Chimneys and shafts D...</t>
        </is>
      </c>
      <c r="C166" t="inlineStr">
        <is>
          <t>sqm</t>
        </is>
      </c>
      <c r="D166" s="15" t="n">
        <v>609.3</v>
      </c>
      <c r="E166" t="inlineStr">
        <is>
          <t>05_RCC_Work</t>
        </is>
      </c>
      <c r="F166" t="n">
        <v>207</v>
      </c>
    </row>
    <row r="167">
      <c r="A167" s="14" t="inlineStr">
        <is>
          <t>5.9.12</t>
        </is>
      </c>
      <c r="B167" t="inlineStr">
        <is>
          <t>Centering and shuttering including strutting, propping etc. and removal of form for - Well steining</t>
        </is>
      </c>
      <c r="C167" t="inlineStr">
        <is>
          <t>sqm</t>
        </is>
      </c>
      <c r="D167" s="15" t="n">
        <v>246.4</v>
      </c>
      <c r="E167" t="inlineStr">
        <is>
          <t>05_RCC_Work</t>
        </is>
      </c>
      <c r="F167" t="n">
        <v>208</v>
      </c>
    </row>
    <row r="168">
      <c r="A168" s="14" t="inlineStr">
        <is>
          <t>5.9.13</t>
        </is>
      </c>
      <c r="B168" t="inlineStr">
        <is>
          <t>Centering and shuttering including strutting, propping etc. and removal of form for - Vertical and horizont...</t>
        </is>
      </c>
      <c r="C168" t="inlineStr">
        <is>
          <t>sqm</t>
        </is>
      </c>
      <c r="D168" s="15" t="n">
        <v>1023.55</v>
      </c>
      <c r="E168" t="inlineStr">
        <is>
          <t>05_RCC_Work</t>
        </is>
      </c>
      <c r="F168" t="n">
        <v>209</v>
      </c>
    </row>
    <row r="169">
      <c r="A169" s="14" t="inlineStr">
        <is>
          <t>5.9.15</t>
        </is>
      </c>
      <c r="B169" t="inlineStr">
        <is>
          <t>Centering and shuttering including strutting, propping etc. and removal of form for - Small lintels not exc...</t>
        </is>
      </c>
      <c r="C169" t="inlineStr">
        <is>
          <t>sqm</t>
        </is>
      </c>
      <c r="D169" s="15" t="n">
        <v>284.85</v>
      </c>
      <c r="E169" t="inlineStr">
        <is>
          <t>05_RCC_Work</t>
        </is>
      </c>
      <c r="F169" t="n">
        <v>210</v>
      </c>
    </row>
    <row r="170">
      <c r="A170" s="14" t="inlineStr">
        <is>
          <t>5.9.16.1</t>
        </is>
      </c>
      <c r="B170" t="inlineStr">
        <is>
          <t>Centering and shuttering including strutting, propping etc. and removal of form for - Edges of slabs and br...</t>
        </is>
      </c>
      <c r="C170" t="inlineStr">
        <is>
          <t>metres</t>
        </is>
      </c>
      <c r="D170" s="15" t="n">
        <v>173.25</v>
      </c>
      <c r="E170" t="inlineStr">
        <is>
          <t>05_RCC_Work</t>
        </is>
      </c>
      <c r="F170" t="n">
        <v>211</v>
      </c>
    </row>
    <row r="171">
      <c r="A171" s="14" t="inlineStr">
        <is>
          <t>5.9.16.2</t>
        </is>
      </c>
      <c r="B171" t="inlineStr">
        <is>
          <t>Centering and shuttering including strutting, propping etc. and removal of form for - Edges of slabs and br...</t>
        </is>
      </c>
      <c r="C171" t="inlineStr">
        <is>
          <t>sqm</t>
        </is>
      </c>
      <c r="D171" s="15" t="n">
        <v>737.3</v>
      </c>
      <c r="E171" t="inlineStr">
        <is>
          <t>05_RCC_Work</t>
        </is>
      </c>
      <c r="F171" t="n">
        <v>212</v>
      </c>
    </row>
    <row r="172">
      <c r="A172" s="14" t="inlineStr">
        <is>
          <t>5.9.17</t>
        </is>
      </c>
      <c r="B172" t="inlineStr">
        <is>
          <t>Centering and shuttering including strutting, propping etc. and removal of form for - Cornices and mouldings</t>
        </is>
      </c>
      <c r="C172" t="inlineStr">
        <is>
          <t>sqm</t>
        </is>
      </c>
      <c r="D172" s="15" t="n">
        <v>740.25</v>
      </c>
      <c r="E172" t="inlineStr">
        <is>
          <t>05_RCC_Work</t>
        </is>
      </c>
      <c r="F172" t="n">
        <v>213</v>
      </c>
    </row>
    <row r="173">
      <c r="A173" s="14" t="inlineStr">
        <is>
          <t>5.9.18</t>
        </is>
      </c>
      <c r="B173" t="inlineStr">
        <is>
          <t>Centering and shuttering including strutting, propping etc. and removal of form for - Small surfaces such a...</t>
        </is>
      </c>
      <c r="C173" t="inlineStr">
        <is>
          <t>sqm</t>
        </is>
      </c>
      <c r="D173" s="15" t="n">
        <v>773.7</v>
      </c>
      <c r="E173" t="inlineStr">
        <is>
          <t>05_RCC_Work</t>
        </is>
      </c>
      <c r="F173" t="n">
        <v>214</v>
      </c>
    </row>
    <row r="174">
      <c r="A174" s="14" t="inlineStr">
        <is>
          <t>5.9.19</t>
        </is>
      </c>
      <c r="B174" t="inlineStr">
        <is>
          <t>Centering and shuttering including strutting, propping etc. and removal of form for - Weather shade, Chajja...</t>
        </is>
      </c>
      <c r="C174" t="inlineStr">
        <is>
          <t>sqm</t>
        </is>
      </c>
      <c r="D174" s="15" t="n">
        <v>766.75</v>
      </c>
      <c r="E174" t="inlineStr">
        <is>
          <t>05_RCC_Work</t>
        </is>
      </c>
      <c r="F174" t="n">
        <v>216</v>
      </c>
    </row>
    <row r="175">
      <c r="A175" s="14" t="inlineStr">
        <is>
          <t>5.9.20</t>
        </is>
      </c>
      <c r="B175" t="inlineStr">
        <is>
          <t>Centering and shuttering including strutting, propping etc. and removal of form for - Suspended floors, roo...</t>
        </is>
      </c>
      <c r="C175" t="inlineStr">
        <is>
          <t>sqm</t>
        </is>
      </c>
      <c r="D175" s="15" t="n">
        <v>779.3</v>
      </c>
      <c r="E175" t="inlineStr">
        <is>
          <t>05_RCC_Work</t>
        </is>
      </c>
      <c r="F175" t="n">
        <v>217</v>
      </c>
    </row>
    <row r="176">
      <c r="A176" s="14" t="inlineStr">
        <is>
          <t>5.9.21</t>
        </is>
      </c>
      <c r="B176" t="inlineStr">
        <is>
          <t>Centering and shuttering including strutting, propping etc. and removal of form for - Lintels, beams, plint...</t>
        </is>
      </c>
      <c r="C176" t="inlineStr">
        <is>
          <t>sqm</t>
        </is>
      </c>
      <c r="D176" s="15" t="n">
        <v>641.6</v>
      </c>
      <c r="E176" t="inlineStr">
        <is>
          <t>05_RCC_Work</t>
        </is>
      </c>
      <c r="F176" t="n">
        <v>219</v>
      </c>
    </row>
    <row r="177">
      <c r="A177" s="14" t="inlineStr">
        <is>
          <t>5.10.1</t>
        </is>
      </c>
      <c r="B177" t="inlineStr">
        <is>
          <t>Providing and fixing tie bolt, spring coil and plastic cone in wall shuttering complete as per the directio...</t>
        </is>
      </c>
      <c r="C177" t="inlineStr">
        <is>
          <t>sets</t>
        </is>
      </c>
      <c r="D177" s="15" t="n">
        <v>140.8</v>
      </c>
      <c r="E177" t="inlineStr">
        <is>
          <t>05_RCC_Work</t>
        </is>
      </c>
      <c r="F177" t="n">
        <v>220</v>
      </c>
    </row>
    <row r="178">
      <c r="A178" s="14" t="inlineStr">
        <is>
          <t>5.10.2</t>
        </is>
      </c>
      <c r="B178" t="inlineStr">
        <is>
          <t>Providing and fixing tie bolt, spring coil and plastic cone in wall shuttering complete as per the directio...</t>
        </is>
      </c>
      <c r="C178" t="inlineStr">
        <is>
          <t>sets</t>
        </is>
      </c>
      <c r="D178" s="15" t="n">
        <v>154.2</v>
      </c>
      <c r="E178" t="inlineStr">
        <is>
          <t>05_RCC_Work</t>
        </is>
      </c>
      <c r="F178" t="n">
        <v>220</v>
      </c>
    </row>
    <row r="179">
      <c r="A179" s="14" t="inlineStr">
        <is>
          <t>5.10.3</t>
        </is>
      </c>
      <c r="B179" t="inlineStr">
        <is>
          <t>Providing and fixing tie bolt, spring coil and plastic cone in wall shuttering complete as per the directio...</t>
        </is>
      </c>
      <c r="C179" t="inlineStr">
        <is>
          <t>sets</t>
        </is>
      </c>
      <c r="D179" s="15" t="n">
        <v>166.25</v>
      </c>
      <c r="E179" t="inlineStr">
        <is>
          <t>05_RCC_Work</t>
        </is>
      </c>
      <c r="F179" t="n">
        <v>221</v>
      </c>
    </row>
    <row r="180">
      <c r="A180" s="14" t="inlineStr">
        <is>
          <t>5.10.4</t>
        </is>
      </c>
      <c r="B180" t="inlineStr">
        <is>
          <t>Providing and fixing tie bolt, spring coil and plastic cone in wall shuttering complete as per the directio...</t>
        </is>
      </c>
      <c r="C180" t="inlineStr">
        <is>
          <t>sets</t>
        </is>
      </c>
      <c r="D180" s="15" t="n">
        <v>179.6</v>
      </c>
      <c r="E180" t="inlineStr">
        <is>
          <t>05_RCC_Work</t>
        </is>
      </c>
      <c r="F180" t="n">
        <v>221</v>
      </c>
    </row>
    <row r="181">
      <c r="A181" s="14" t="inlineStr">
        <is>
          <t>5.11.1</t>
        </is>
      </c>
      <c r="B181" t="inlineStr">
        <is>
          <t>Extra for additional height in centering, shuttering where ever required with adequate bracing, propping et...</t>
        </is>
      </c>
      <c r="C181" t="inlineStr">
        <is>
          <t>sqm</t>
        </is>
      </c>
      <c r="D181" s="15" t="n">
        <v>287.5</v>
      </c>
      <c r="E181" t="inlineStr">
        <is>
          <t>05_RCC_Work</t>
        </is>
      </c>
      <c r="F181" t="n">
        <v>222</v>
      </c>
    </row>
    <row r="182">
      <c r="A182" s="14" t="inlineStr">
        <is>
          <t>5.12</t>
        </is>
      </c>
      <c r="B182" t="inlineStr">
        <is>
          <t>Providing, hoisting and fixing above plinth level up to floor five level precast reinforced cement concrete...</t>
        </is>
      </c>
      <c r="C182" t="inlineStr">
        <is>
          <t>cum</t>
        </is>
      </c>
      <c r="D182" s="15" t="n">
        <v>8886.35</v>
      </c>
      <c r="E182" t="inlineStr">
        <is>
          <t>05_RCC_Work</t>
        </is>
      </c>
      <c r="F182" t="n">
        <v>223</v>
      </c>
    </row>
    <row r="183">
      <c r="A183" s="14" t="inlineStr">
        <is>
          <t>5.13</t>
        </is>
      </c>
      <c r="B183" t="inlineStr">
        <is>
          <t>Providing, hoisting and fixing up to floor five level precast reinforced cement concrete in small lintels n...</t>
        </is>
      </c>
      <c r="C183" t="inlineStr">
        <is>
          <t>cum</t>
        </is>
      </c>
      <c r="D183" s="15" t="n">
        <v>12464.25</v>
      </c>
      <c r="E183" t="inlineStr">
        <is>
          <t>05_RCC_Work</t>
        </is>
      </c>
      <c r="F183" t="n">
        <v>224</v>
      </c>
    </row>
    <row r="184">
      <c r="A184" s="14" t="inlineStr">
        <is>
          <t>5.14</t>
        </is>
      </c>
      <c r="B184" t="inlineStr">
        <is>
          <t>Providing, hoisting and fixing above plinth level up to floor five level precast reinforced cement concrete...</t>
        </is>
      </c>
      <c r="C184" t="inlineStr">
        <is>
          <t>cum</t>
        </is>
      </c>
      <c r="D184" s="15" t="n">
        <v>14479.55</v>
      </c>
      <c r="E184" t="inlineStr">
        <is>
          <t>05_RCC_Work</t>
        </is>
      </c>
      <c r="F184" t="n">
        <v>225</v>
      </c>
    </row>
    <row r="185">
      <c r="A185" s="14" t="inlineStr">
        <is>
          <t>5.15</t>
        </is>
      </c>
      <c r="B185" t="inlineStr">
        <is>
          <t>Providing, hoisting and fixing above plinth level up to floor five level precast reinforced cement concrete...</t>
        </is>
      </c>
      <c r="C185" t="inlineStr">
        <is>
          <t>cum</t>
        </is>
      </c>
      <c r="D185" s="15" t="n">
        <v>11351.35</v>
      </c>
      <c r="E185" t="inlineStr">
        <is>
          <t>05_RCC_Work</t>
        </is>
      </c>
      <c r="F185" t="n">
        <v>226</v>
      </c>
    </row>
    <row r="186">
      <c r="A186" s="14" t="inlineStr">
        <is>
          <t>5.16</t>
        </is>
      </c>
      <c r="B186" t="inlineStr">
        <is>
          <t>Providing, hoisting and fixing above plinth level up to floor five level precast reinforced cement concrete...</t>
        </is>
      </c>
      <c r="C186" t="inlineStr">
        <is>
          <t>cum</t>
        </is>
      </c>
      <c r="D186" s="15" t="n">
        <v>17196</v>
      </c>
      <c r="E186" t="inlineStr">
        <is>
          <t>05_RCC_Work</t>
        </is>
      </c>
      <c r="F186" t="n">
        <v>227</v>
      </c>
    </row>
    <row r="187">
      <c r="A187" s="14" t="inlineStr">
        <is>
          <t>5.17</t>
        </is>
      </c>
      <c r="B187" t="inlineStr">
        <is>
          <t>Providing, hoisting and fixing above plinth level up to floor five level precast reinforced cement concrete...</t>
        </is>
      </c>
      <c r="C187" t="inlineStr">
        <is>
          <t>cum</t>
        </is>
      </c>
      <c r="D187" s="15" t="n">
        <v>9948.799999999999</v>
      </c>
      <c r="E187" t="inlineStr">
        <is>
          <t>05_RCC_Work</t>
        </is>
      </c>
      <c r="F187" t="n">
        <v>228</v>
      </c>
    </row>
    <row r="188">
      <c r="A188" s="14" t="inlineStr">
        <is>
          <t>5.18.1</t>
        </is>
      </c>
      <c r="B188" t="inlineStr">
        <is>
          <t>Providing precast cement concrete Jali 1:2:4 (1 cement : 2 coarse sand(zone-III) : 4 graded stone aggregate...</t>
        </is>
      </c>
      <c r="C188" t="inlineStr">
        <is>
          <t>sqm</t>
        </is>
      </c>
      <c r="D188" s="15" t="n">
        <v>1474.05</v>
      </c>
      <c r="E188" t="inlineStr">
        <is>
          <t>05_RCC_Work</t>
        </is>
      </c>
      <c r="F188" t="n">
        <v>229</v>
      </c>
    </row>
    <row r="189">
      <c r="A189" s="14" t="inlineStr">
        <is>
          <t>5.18.2</t>
        </is>
      </c>
      <c r="B189" t="inlineStr">
        <is>
          <t>Providing precast cement concrete Jali 1:2:4 (1 cement : 2 coarse sand(zone-III) : 4 graded stone aggregate...</t>
        </is>
      </c>
      <c r="C189" t="inlineStr">
        <is>
          <t>sqm</t>
        </is>
      </c>
      <c r="D189" s="15" t="n">
        <v>1329.75</v>
      </c>
      <c r="E189" t="inlineStr">
        <is>
          <t>05_RCC_Work</t>
        </is>
      </c>
      <c r="F189" t="n">
        <v>229</v>
      </c>
    </row>
    <row r="190">
      <c r="A190" s="14" t="inlineStr">
        <is>
          <t>5.18.3</t>
        </is>
      </c>
      <c r="B190" t="inlineStr">
        <is>
          <t>Providing precast cement concrete Jali 1:2:4 (1 cement : 2 coarse sand(zone-III) : 4 graded stone aggregate...</t>
        </is>
      </c>
      <c r="C190" t="inlineStr">
        <is>
          <t>sqm</t>
        </is>
      </c>
      <c r="D190" s="15" t="n">
        <v>1194.95</v>
      </c>
      <c r="E190" t="inlineStr">
        <is>
          <t>05_RCC_Work</t>
        </is>
      </c>
      <c r="F190" t="n">
        <v>230</v>
      </c>
    </row>
    <row r="191">
      <c r="A191" s="14" t="inlineStr">
        <is>
          <t>5.19</t>
        </is>
      </c>
      <c r="B191" t="inlineStr">
        <is>
          <t>Encasing rolled steel sections, in beams and columns, with cement concrete 1:1.5:3 (1 cement : 1.5 coarse s...</t>
        </is>
      </c>
      <c r="C191" t="inlineStr">
        <is>
          <t>cum</t>
        </is>
      </c>
      <c r="D191" s="15" t="n">
        <v>13020.5</v>
      </c>
      <c r="E191" t="inlineStr">
        <is>
          <t>05_RCC_Work</t>
        </is>
      </c>
      <c r="F191" t="n">
        <v>230</v>
      </c>
    </row>
    <row r="192">
      <c r="A192" s="14" t="inlineStr">
        <is>
          <t>5.20</t>
        </is>
      </c>
      <c r="B192" t="inlineStr">
        <is>
          <t>Encasing rolled steel section in grillages with cement concrete 1:1.5:3 (1 cement</t>
        </is>
      </c>
      <c r="C192" t="inlineStr">
        <is>
          <t>cum</t>
        </is>
      </c>
      <c r="D192" s="15" t="n">
        <v>8190.1</v>
      </c>
      <c r="E192" t="inlineStr">
        <is>
          <t>05_RCC_Work</t>
        </is>
      </c>
      <c r="F192" t="n">
        <v>231</v>
      </c>
    </row>
    <row r="193">
      <c r="A193" s="14" t="inlineStr">
        <is>
          <t>5.21</t>
        </is>
      </c>
      <c r="B193" t="inlineStr">
        <is>
          <t>Extra for providing and fixing expanded metal mesh of size 20x60 mm and strands</t>
        </is>
      </c>
      <c r="C193" t="inlineStr">
        <is>
          <t>sqm</t>
        </is>
      </c>
      <c r="D193" s="15" t="n">
        <v>443.95</v>
      </c>
      <c r="E193" t="inlineStr">
        <is>
          <t>05_RCC_Work</t>
        </is>
      </c>
      <c r="F193" t="n">
        <v>232</v>
      </c>
    </row>
    <row r="194">
      <c r="A194" s="14" t="inlineStr">
        <is>
          <t>5.22.1</t>
        </is>
      </c>
      <c r="B194" t="inlineStr">
        <is>
          <t>Steel reinforcement for R.C.C. work including straightening, cutting, bending, placing in position and bind...</t>
        </is>
      </c>
      <c r="C194" t="inlineStr">
        <is>
          <t>kg</t>
        </is>
      </c>
      <c r="D194" s="15" t="n">
        <v>82.09999999999999</v>
      </c>
      <c r="E194" t="inlineStr">
        <is>
          <t>05_RCC_Work</t>
        </is>
      </c>
      <c r="F194" t="n">
        <v>232</v>
      </c>
    </row>
    <row r="195">
      <c r="A195" s="14" t="inlineStr">
        <is>
          <t>5.22.2</t>
        </is>
      </c>
      <c r="B195" t="inlineStr">
        <is>
          <t>Steel reinforcement for R.C.C. work including straightening, cutting, bending, placing in position and bind...</t>
        </is>
      </c>
      <c r="C195" t="inlineStr">
        <is>
          <t>kg</t>
        </is>
      </c>
      <c r="D195" s="15" t="n">
        <v>85.59999999999999</v>
      </c>
      <c r="E195" t="inlineStr">
        <is>
          <t>05_RCC_Work</t>
        </is>
      </c>
      <c r="F195" t="n">
        <v>233</v>
      </c>
    </row>
    <row r="196">
      <c r="A196" s="14" t="inlineStr">
        <is>
          <t>5.22.3</t>
        </is>
      </c>
      <c r="B196" t="inlineStr">
        <is>
          <t>Steel reinforcement for R.C.C. work including straightening, cutting, bending, placing in position and bind...</t>
        </is>
      </c>
      <c r="C196" t="inlineStr">
        <is>
          <t>kg</t>
        </is>
      </c>
      <c r="D196" s="15" t="n">
        <v>83.5</v>
      </c>
      <c r="E196" t="inlineStr">
        <is>
          <t>05_RCC_Work</t>
        </is>
      </c>
      <c r="F196" t="n">
        <v>233</v>
      </c>
    </row>
    <row r="197">
      <c r="A197" s="14" t="inlineStr">
        <is>
          <t>5.22.4</t>
        </is>
      </c>
      <c r="B197" t="inlineStr">
        <is>
          <t>Steel reinforcement for R.C.C. work including straightening, cutting, bending, placing in position and bind...</t>
        </is>
      </c>
      <c r="C197" t="inlineStr">
        <is>
          <t>kg</t>
        </is>
      </c>
      <c r="D197" s="15" t="n">
        <v>83.5</v>
      </c>
      <c r="E197" t="inlineStr">
        <is>
          <t>05_RCC_Work</t>
        </is>
      </c>
      <c r="F197" t="n">
        <v>234</v>
      </c>
    </row>
    <row r="198">
      <c r="A198" s="14" t="inlineStr">
        <is>
          <t>5.22.5</t>
        </is>
      </c>
      <c r="B198" t="inlineStr">
        <is>
          <t>Steel reinforcement for R.C.C. work including straightening, cutting, bending, placing in position and bind...</t>
        </is>
      </c>
      <c r="C198" t="inlineStr">
        <is>
          <t>kg</t>
        </is>
      </c>
      <c r="D198" s="15" t="n">
        <v>92.15000000000001</v>
      </c>
      <c r="E198" t="inlineStr">
        <is>
          <t>05_RCC_Work</t>
        </is>
      </c>
      <c r="F198" t="n">
        <v>235</v>
      </c>
    </row>
    <row r="199">
      <c r="A199" s="14" t="inlineStr">
        <is>
          <t>5.22.6</t>
        </is>
      </c>
      <c r="B199" t="inlineStr">
        <is>
          <t>Steel reinforcement for R.C.C. work including straightening, cutting, bending, placing in position and bind...</t>
        </is>
      </c>
      <c r="C199" t="inlineStr">
        <is>
          <t>kg</t>
        </is>
      </c>
      <c r="D199" s="15" t="n">
        <v>83.5</v>
      </c>
      <c r="E199" t="inlineStr">
        <is>
          <t>05_RCC_Work</t>
        </is>
      </c>
      <c r="F199" t="n">
        <v>235</v>
      </c>
    </row>
    <row r="200">
      <c r="A200" s="14" t="inlineStr">
        <is>
          <t>5.22A.1</t>
        </is>
      </c>
      <c r="B200" t="inlineStr">
        <is>
          <t>Steel reinforcement for R.C.C. work including straightening, cutting, bending, placing in position and bind...</t>
        </is>
      </c>
      <c r="C200" t="inlineStr">
        <is>
          <t>kg</t>
        </is>
      </c>
      <c r="D200" s="15" t="n">
        <v>82.09999999999999</v>
      </c>
      <c r="E200" t="inlineStr">
        <is>
          <t>05_RCC_Work</t>
        </is>
      </c>
      <c r="F200" t="n">
        <v>236</v>
      </c>
    </row>
    <row r="201">
      <c r="A201" s="14" t="inlineStr">
        <is>
          <t>5.22A.2</t>
        </is>
      </c>
      <c r="B201" t="inlineStr">
        <is>
          <t>Steel reinforcement for R.C.C. work including straightening, cutting, bending, placing in position and bind...</t>
        </is>
      </c>
      <c r="C201" t="inlineStr">
        <is>
          <t>kg</t>
        </is>
      </c>
      <c r="D201" s="15" t="n">
        <v>85.59999999999999</v>
      </c>
      <c r="E201" t="inlineStr">
        <is>
          <t>05_RCC_Work</t>
        </is>
      </c>
      <c r="F201" t="n">
        <v>237</v>
      </c>
    </row>
    <row r="202">
      <c r="A202" s="14" t="inlineStr">
        <is>
          <t>5.22A.3</t>
        </is>
      </c>
      <c r="B202" t="inlineStr">
        <is>
          <t>Steel reinforcement for R.C.C. work including straightening, cutting, bending, placing in position and bind...</t>
        </is>
      </c>
      <c r="C202" t="inlineStr">
        <is>
          <t>kg</t>
        </is>
      </c>
      <c r="D202" s="15" t="n">
        <v>83.5</v>
      </c>
      <c r="E202" t="inlineStr">
        <is>
          <t>05_RCC_Work</t>
        </is>
      </c>
      <c r="F202" t="n">
        <v>237</v>
      </c>
    </row>
    <row r="203">
      <c r="A203" s="14" t="inlineStr">
        <is>
          <t>5.22A.4</t>
        </is>
      </c>
      <c r="B203" t="inlineStr">
        <is>
          <t>Steel reinforcement for R.C.C. work including straightening, cutting, bending, placing in position and bind...</t>
        </is>
      </c>
      <c r="C203" t="inlineStr">
        <is>
          <t>kg</t>
        </is>
      </c>
      <c r="D203" s="15" t="n">
        <v>83.5</v>
      </c>
      <c r="E203" t="inlineStr">
        <is>
          <t>05_RCC_Work</t>
        </is>
      </c>
      <c r="F203" t="n">
        <v>238</v>
      </c>
    </row>
    <row r="204">
      <c r="A204" s="14" t="inlineStr">
        <is>
          <t>5.22A.5</t>
        </is>
      </c>
      <c r="B204" t="inlineStr">
        <is>
          <t>Steel reinforcement for R.C.C. work including straightening, cutting, bending, placing in position and bind...</t>
        </is>
      </c>
      <c r="C204" t="inlineStr">
        <is>
          <t>kg</t>
        </is>
      </c>
      <c r="D204" s="15" t="n">
        <v>92.15000000000001</v>
      </c>
      <c r="E204" t="inlineStr">
        <is>
          <t>05_RCC_Work</t>
        </is>
      </c>
      <c r="F204" t="n">
        <v>238</v>
      </c>
    </row>
    <row r="205">
      <c r="A205" s="14" t="inlineStr">
        <is>
          <t>5.22A.6</t>
        </is>
      </c>
      <c r="B205" t="inlineStr">
        <is>
          <t>Steel reinforcement for R.C.C. work including straightening, cutting, bending, placing in position and bind...</t>
        </is>
      </c>
      <c r="C205" t="inlineStr">
        <is>
          <t>kg</t>
        </is>
      </c>
      <c r="D205" s="15" t="n">
        <v>83.5</v>
      </c>
      <c r="E205" t="inlineStr">
        <is>
          <t>05_RCC_Work</t>
        </is>
      </c>
      <c r="F205" t="n">
        <v>239</v>
      </c>
    </row>
    <row r="206">
      <c r="A206" s="14" t="inlineStr">
        <is>
          <t>5.22B.1</t>
        </is>
      </c>
      <c r="B206" t="inlineStr">
        <is>
          <t>Steel reinforcement for R.C.C. work ready to use "cut and bend" rebars of approved make from factory/worksh...</t>
        </is>
      </c>
      <c r="C206" t="inlineStr">
        <is>
          <t>kg</t>
        </is>
      </c>
      <c r="D206" s="15" t="n">
        <v>77.65000000000001</v>
      </c>
      <c r="E206" t="inlineStr">
        <is>
          <t>05_RCC_Work</t>
        </is>
      </c>
      <c r="F206" t="n">
        <v>239</v>
      </c>
    </row>
    <row r="207">
      <c r="A207" s="14" t="inlineStr">
        <is>
          <t>5.22C.1</t>
        </is>
      </c>
      <c r="B207" t="inlineStr">
        <is>
          <t>Steel reinforcement for R.C.C. work ready to use "cut and bend" rebars of approved make from factory/worksh...</t>
        </is>
      </c>
      <c r="C207" t="inlineStr">
        <is>
          <t>kg</t>
        </is>
      </c>
      <c r="D207" s="15" t="n">
        <v>77.65000000000001</v>
      </c>
      <c r="E207" t="inlineStr">
        <is>
          <t>05_RCC_Work</t>
        </is>
      </c>
      <c r="F207" t="n">
        <v>240</v>
      </c>
    </row>
    <row r="208">
      <c r="A208" s="14" t="inlineStr">
        <is>
          <t>5.23</t>
        </is>
      </c>
      <c r="B208" t="inlineStr">
        <is>
          <t>Smooth finishing of the exposed surface of R.C.C. work with 6 mm thick cement mortar 1:3 (1 Cement : 3 fine...</t>
        </is>
      </c>
      <c r="C208" t="inlineStr">
        <is>
          <t>sqm</t>
        </is>
      </c>
      <c r="D208" s="15" t="n">
        <v>227.35</v>
      </c>
      <c r="E208" t="inlineStr">
        <is>
          <t>05_RCC_Work</t>
        </is>
      </c>
      <c r="F208" t="n">
        <v>241</v>
      </c>
    </row>
    <row r="209">
      <c r="A209" s="14" t="inlineStr">
        <is>
          <t>5.24</t>
        </is>
      </c>
      <c r="B209" t="inlineStr">
        <is>
          <t>Extra for rendering smooth the top of suspended floors, landings and staircases (treads and risers) with ce...</t>
        </is>
      </c>
      <c r="C209" t="inlineStr">
        <is>
          <t>sqm</t>
        </is>
      </c>
      <c r="D209" s="15" t="n">
        <v>125.1</v>
      </c>
      <c r="E209" t="inlineStr">
        <is>
          <t>05_RCC_Work</t>
        </is>
      </c>
      <c r="F209" t="n">
        <v>241</v>
      </c>
    </row>
    <row r="210">
      <c r="A210" s="14" t="inlineStr">
        <is>
          <t>5.25</t>
        </is>
      </c>
      <c r="B210" t="inlineStr">
        <is>
          <t>Providing and fixing in position copper plate as per design for expansion joints</t>
        </is>
      </c>
      <c r="C210" t="inlineStr">
        <is>
          <t>kg</t>
        </is>
      </c>
      <c r="D210" s="15" t="n">
        <v>728.2</v>
      </c>
      <c r="E210" t="inlineStr">
        <is>
          <t>05_RCC_Work</t>
        </is>
      </c>
      <c r="F210" t="n">
        <v>242</v>
      </c>
    </row>
    <row r="211">
      <c r="A211" s="14" t="inlineStr">
        <is>
          <t>5.26</t>
        </is>
      </c>
      <c r="B211" t="inlineStr">
        <is>
          <t>Providing and filling in position, blown bitumen in expansion joints</t>
        </is>
      </c>
      <c r="C211" t="inlineStr">
        <is>
          <t>cum</t>
        </is>
      </c>
      <c r="D211" s="15" t="n">
        <v>61509.8</v>
      </c>
      <c r="E211" t="inlineStr">
        <is>
          <t>05_RCC_Work</t>
        </is>
      </c>
      <c r="F211" t="n">
        <v>242</v>
      </c>
    </row>
    <row r="212">
      <c r="A212" s="14" t="inlineStr">
        <is>
          <t>5.27</t>
        </is>
      </c>
      <c r="B212" t="inlineStr">
        <is>
          <t>Providing and filling in position bitumen mix filler of Proportion 80 kg. of hot bitumen, 1 kg. of cement a...</t>
        </is>
      </c>
      <c r="C212" t="inlineStr">
        <is>
          <t>cum</t>
        </is>
      </c>
      <c r="D212" s="15" t="n">
        <v>21054.5</v>
      </c>
      <c r="E212" t="inlineStr">
        <is>
          <t>05_RCC_Work</t>
        </is>
      </c>
      <c r="F212" t="n">
        <v>243</v>
      </c>
    </row>
    <row r="213">
      <c r="A213" s="14" t="inlineStr">
        <is>
          <t>5.28</t>
        </is>
      </c>
      <c r="B213" t="inlineStr">
        <is>
          <t>Providing and fixing in position 12mm thick bitumen impregnated fiber board conforming to IS: 1838, includi...</t>
        </is>
      </c>
      <c r="C213" t="inlineStr">
        <is>
          <t>m</t>
        </is>
      </c>
      <c r="D213" s="15" t="n">
        <v>557.65</v>
      </c>
      <c r="E213" t="inlineStr">
        <is>
          <t>05_RCC_Work</t>
        </is>
      </c>
      <c r="F213" t="n">
        <v>244</v>
      </c>
    </row>
    <row r="214">
      <c r="A214" s="14" t="inlineStr">
        <is>
          <t>5.29.1.1</t>
        </is>
      </c>
      <c r="B214" t="inlineStr">
        <is>
          <t>Providing and fixing sheet covering over expansion joints with iron screws as per design - Non-asbestos fib...</t>
        </is>
      </c>
      <c r="C214" t="inlineStr">
        <is>
          <t>metre</t>
        </is>
      </c>
      <c r="D214" s="15" t="n">
        <v>190.5</v>
      </c>
      <c r="E214" t="inlineStr">
        <is>
          <t>05_RCC_Work</t>
        </is>
      </c>
      <c r="F214" t="n">
        <v>245</v>
      </c>
    </row>
    <row r="215">
      <c r="A215" s="14" t="inlineStr">
        <is>
          <t>5.29.1.2</t>
        </is>
      </c>
      <c r="B215" t="inlineStr">
        <is>
          <t>Providing and fixing sheet covering over expansion joints with iron screws as per design - Non-asbestos fib...</t>
        </is>
      </c>
      <c r="C215" t="inlineStr">
        <is>
          <t>metre</t>
        </is>
      </c>
      <c r="D215" s="15" t="n">
        <v>256.25</v>
      </c>
      <c r="E215" t="inlineStr">
        <is>
          <t>05_RCC_Work</t>
        </is>
      </c>
      <c r="F215" t="n">
        <v>246</v>
      </c>
    </row>
    <row r="216">
      <c r="A216" s="14" t="inlineStr">
        <is>
          <t>5.29.2.1</t>
        </is>
      </c>
      <c r="B216" t="inlineStr">
        <is>
          <t>Providing and fixing sheet covering over expansion joints with iron screws as per design - Aluminium fluted...</t>
        </is>
      </c>
      <c r="C216" t="inlineStr">
        <is>
          <t>metre</t>
        </is>
      </c>
      <c r="D216" s="15" t="n">
        <v>493.4</v>
      </c>
      <c r="E216" t="inlineStr">
        <is>
          <t>05_RCC_Work</t>
        </is>
      </c>
      <c r="F216" t="n">
        <v>246</v>
      </c>
    </row>
    <row r="217">
      <c r="A217" s="14" t="inlineStr">
        <is>
          <t>5.29.2.2</t>
        </is>
      </c>
      <c r="B217" t="inlineStr">
        <is>
          <t>Providing and fixing sheet covering over expansion joints with iron screws as per design - Aluminium fluted...</t>
        </is>
      </c>
      <c r="C217" t="inlineStr">
        <is>
          <t>metre</t>
        </is>
      </c>
      <c r="D217" s="15" t="n">
        <v>654.95</v>
      </c>
      <c r="E217" t="inlineStr">
        <is>
          <t>05_RCC_Work</t>
        </is>
      </c>
      <c r="F217" t="n">
        <v>247</v>
      </c>
    </row>
    <row r="218">
      <c r="A218" s="14" t="inlineStr">
        <is>
          <t>5.29.3.1</t>
        </is>
      </c>
      <c r="B218" t="inlineStr">
        <is>
          <t>Providing and fixing sheet covering over expansion joints with iron screws as per design - Cement bonded wo...</t>
        </is>
      </c>
      <c r="C218" t="inlineStr">
        <is>
          <t>metre</t>
        </is>
      </c>
      <c r="D218" s="15" t="n">
        <v>187.35</v>
      </c>
      <c r="E218" t="inlineStr">
        <is>
          <t>05_RCC_Work</t>
        </is>
      </c>
      <c r="F218" t="n">
        <v>247</v>
      </c>
    </row>
    <row r="219">
      <c r="A219" s="14" t="inlineStr">
        <is>
          <t>5.29.3.2</t>
        </is>
      </c>
      <c r="B219" t="inlineStr">
        <is>
          <t>Providing and fixing sheet covering over expansion joints with iron screws as per design - Cement bonded wo...</t>
        </is>
      </c>
      <c r="C219" t="inlineStr">
        <is>
          <t>metre</t>
        </is>
      </c>
      <c r="D219" s="15" t="n">
        <v>252</v>
      </c>
      <c r="E219" t="inlineStr">
        <is>
          <t>05_RCC_Work</t>
        </is>
      </c>
      <c r="F219" t="n">
        <v>248</v>
      </c>
    </row>
    <row r="220">
      <c r="A220" s="14" t="inlineStr">
        <is>
          <t>5.30</t>
        </is>
      </c>
      <c r="B220" t="inlineStr">
        <is>
          <t>Add for plaster drip course/ groove in plastered surface or moulding to R.C.C. projections</t>
        </is>
      </c>
      <c r="C220" t="inlineStr">
        <is>
          <t>metre</t>
        </is>
      </c>
      <c r="D220" s="15" t="n">
        <v>58.9</v>
      </c>
      <c r="E220" t="inlineStr">
        <is>
          <t>05_RCC_Work</t>
        </is>
      </c>
      <c r="F220" t="n">
        <v>248</v>
      </c>
    </row>
    <row r="221">
      <c r="A221" s="14" t="inlineStr">
        <is>
          <t>5.31</t>
        </is>
      </c>
      <c r="B221" t="inlineStr">
        <is>
          <t>Extra for laying reinforced cement concrete in or under water and/ or liquid mud, including cost of pumping...</t>
        </is>
      </c>
      <c r="C221" t="inlineStr">
        <is>
          <t>cum</t>
        </is>
      </c>
      <c r="D221" s="15" t="n">
        <v>794.65</v>
      </c>
      <c r="E221" t="inlineStr">
        <is>
          <t>05_RCC_Work</t>
        </is>
      </c>
      <c r="F221" t="n">
        <v>249</v>
      </c>
    </row>
    <row r="222">
      <c r="A222" s="14" t="inlineStr">
        <is>
          <t>5.32</t>
        </is>
      </c>
      <c r="B222" t="inlineStr">
        <is>
          <t>Extra for laying reinforced cement concrete in or under foul positions</t>
        </is>
      </c>
      <c r="C222" t="inlineStr">
        <is>
          <t>cum</t>
        </is>
      </c>
      <c r="D222" s="15" t="n">
        <v>336.55</v>
      </c>
      <c r="E222" t="inlineStr">
        <is>
          <t>05_RCC_Work</t>
        </is>
      </c>
      <c r="F222" t="n">
        <v>249</v>
      </c>
    </row>
    <row r="223">
      <c r="A223" s="14" t="inlineStr">
        <is>
          <t>5.33.1</t>
        </is>
      </c>
      <c r="B223" t="inlineStr">
        <is>
          <t>Providing and laying in position machine batched and machine mixed design mix M-25 grade cement concrete fo...</t>
        </is>
      </c>
      <c r="C223" t="inlineStr">
        <is>
          <t>cum</t>
        </is>
      </c>
      <c r="D223" s="15" t="n">
        <v>7997.3</v>
      </c>
      <c r="E223" t="inlineStr">
        <is>
          <t>05_RCC_Work</t>
        </is>
      </c>
      <c r="F223" t="n">
        <v>250</v>
      </c>
    </row>
    <row r="224">
      <c r="A224" s="14" t="inlineStr">
        <is>
          <t>5.33.2</t>
        </is>
      </c>
      <c r="B224" t="inlineStr">
        <is>
          <t>Providing and laying in position machine batched and machine mixed design mix M-25 grade cement concrete fo...</t>
        </is>
      </c>
      <c r="C224" t="inlineStr">
        <is>
          <t>cum</t>
        </is>
      </c>
      <c r="D224" s="15" t="n">
        <v>9400.85</v>
      </c>
      <c r="E224" t="inlineStr">
        <is>
          <t>05_RCC_Work</t>
        </is>
      </c>
      <c r="F224" t="n">
        <v>251</v>
      </c>
    </row>
    <row r="225">
      <c r="A225" s="14" t="inlineStr">
        <is>
          <t>5.34.1</t>
        </is>
      </c>
      <c r="B225" t="inlineStr">
        <is>
          <t>Extra for providing richer mixes at all floor levels. Note:- Excess/less cement over the specified cement c...</t>
        </is>
      </c>
      <c r="C225" t="inlineStr">
        <is>
          <t>cum</t>
        </is>
      </c>
      <c r="D225" s="15" t="n">
        <v>69.75</v>
      </c>
      <c r="E225" t="inlineStr">
        <is>
          <t>05_RCC_Work</t>
        </is>
      </c>
      <c r="F225" t="n">
        <v>251</v>
      </c>
    </row>
    <row r="226">
      <c r="A226" s="14" t="inlineStr">
        <is>
          <t>5.34.2</t>
        </is>
      </c>
      <c r="B226" t="inlineStr">
        <is>
          <t>Extra for providing richer mixes at all floor levels. Note:- Excess/less cement over the specified cement c...</t>
        </is>
      </c>
      <c r="C226" t="inlineStr">
        <is>
          <t>cum</t>
        </is>
      </c>
      <c r="D226" s="15" t="n">
        <v>139.45</v>
      </c>
      <c r="E226" t="inlineStr">
        <is>
          <t>05_RCC_Work</t>
        </is>
      </c>
      <c r="F226" t="n">
        <v>252</v>
      </c>
    </row>
    <row r="227">
      <c r="A227" s="14" t="inlineStr">
        <is>
          <t>5.34.3</t>
        </is>
      </c>
      <c r="B227" t="inlineStr">
        <is>
          <t>Extra for providing richer mixes at all floor levels. Note:- Excess/less cement over the specified cement c...</t>
        </is>
      </c>
      <c r="C227" t="inlineStr">
        <is>
          <t>cum</t>
        </is>
      </c>
      <c r="D227" s="15" t="n">
        <v>209.2</v>
      </c>
      <c r="E227" t="inlineStr">
        <is>
          <t>05_RCC_Work</t>
        </is>
      </c>
      <c r="F227" t="n">
        <v>253</v>
      </c>
    </row>
    <row r="228">
      <c r="A228" s="14" t="inlineStr">
        <is>
          <t>5.35</t>
        </is>
      </c>
      <c r="B228" t="inlineStr">
        <is>
          <t>Add for using extra cement in the items of design mix over and above the specified cement content therein</t>
        </is>
      </c>
      <c r="C228" t="inlineStr">
        <is>
          <t>quintal</t>
        </is>
      </c>
      <c r="D228" s="15" t="n">
        <v>673.3</v>
      </c>
      <c r="E228" t="inlineStr">
        <is>
          <t>05_RCC_Work</t>
        </is>
      </c>
      <c r="F228" t="n">
        <v>253</v>
      </c>
    </row>
    <row r="229">
      <c r="A229" s="14" t="inlineStr">
        <is>
          <t>5.36</t>
        </is>
      </c>
      <c r="B229" t="inlineStr">
        <is>
          <t>Providing and placing in position precast reinforced cement concrete waffle units, square or rectangular, a...</t>
        </is>
      </c>
      <c r="C229" t="inlineStr">
        <is>
          <t>cum</t>
        </is>
      </c>
      <c r="D229" s="15" t="n">
        <v>25483.1</v>
      </c>
      <c r="E229" t="inlineStr">
        <is>
          <t>05_RCC_Work</t>
        </is>
      </c>
      <c r="F229" t="n">
        <v>254</v>
      </c>
    </row>
    <row r="230">
      <c r="A230" s="14" t="inlineStr">
        <is>
          <t>5.37.1</t>
        </is>
      </c>
      <c r="B230" t="inlineStr">
        <is>
          <t>Providing and laying in position ready mixed M-25 grade concrete for reinforced cement concrete work, using...</t>
        </is>
      </c>
      <c r="C230" t="inlineStr">
        <is>
          <t>cum</t>
        </is>
      </c>
      <c r="D230" s="15" t="n">
        <v>8398.65</v>
      </c>
      <c r="E230" t="inlineStr">
        <is>
          <t>05_RCC_Work</t>
        </is>
      </c>
      <c r="F230" t="n">
        <v>255</v>
      </c>
    </row>
    <row r="231">
      <c r="A231" s="14" t="inlineStr">
        <is>
          <t>5.37.2</t>
        </is>
      </c>
      <c r="B231" t="inlineStr">
        <is>
          <t>Providing and laying in position ready mixed M-25 grade concrete for reinforced cement concrete work, using...</t>
        </is>
      </c>
      <c r="C231" t="inlineStr">
        <is>
          <t>cum</t>
        </is>
      </c>
      <c r="D231" s="15" t="n">
        <v>9802.200000000001</v>
      </c>
      <c r="E231" t="inlineStr">
        <is>
          <t>05_RCC_Work</t>
        </is>
      </c>
      <c r="F231" t="n">
        <v>256</v>
      </c>
    </row>
    <row r="232">
      <c r="A232" s="14" t="inlineStr">
        <is>
          <t>5.38</t>
        </is>
      </c>
      <c r="B232" t="inlineStr">
        <is>
          <t>Extra for R.C.C./ B.M.C/ R.M.C. work above floor V level for each four floors or part thereof</t>
        </is>
      </c>
      <c r="C232" t="inlineStr">
        <is>
          <t>cum</t>
        </is>
      </c>
      <c r="D232" s="15" t="n">
        <v>280.95</v>
      </c>
      <c r="E232" t="inlineStr">
        <is>
          <t>05_RCC_Work</t>
        </is>
      </c>
      <c r="F232" t="n">
        <v>257</v>
      </c>
    </row>
    <row r="233">
      <c r="A233" s="14" t="inlineStr">
        <is>
          <t>5.40.1</t>
        </is>
      </c>
      <c r="B233" t="inlineStr">
        <is>
          <t>Providing and laying in position ready mixed M-25 grade concrete for reinforced cement concrete work, using...</t>
        </is>
      </c>
      <c r="C233" t="inlineStr">
        <is>
          <t>cum</t>
        </is>
      </c>
      <c r="D233" s="15" t="n">
        <v>8365.799999999999</v>
      </c>
      <c r="E233" t="inlineStr">
        <is>
          <t>05_RCC_Work</t>
        </is>
      </c>
      <c r="F233" t="n">
        <v>258</v>
      </c>
    </row>
    <row r="234">
      <c r="A234" s="14" t="inlineStr">
        <is>
          <t>5.40.2</t>
        </is>
      </c>
      <c r="B234" t="inlineStr">
        <is>
          <t>Providing and laying in position ready mixed M-25 grade concrete for reinforced cement concrete work, using...</t>
        </is>
      </c>
      <c r="C234" t="inlineStr">
        <is>
          <t>cum</t>
        </is>
      </c>
      <c r="D234" s="15" t="n">
        <v>9769.35</v>
      </c>
      <c r="E234" t="inlineStr">
        <is>
          <t>05_RCC_Work</t>
        </is>
      </c>
      <c r="F234" t="n">
        <v>259</v>
      </c>
    </row>
    <row r="235">
      <c r="A235" s="14" t="inlineStr">
        <is>
          <t>5.41.1</t>
        </is>
      </c>
      <c r="B235" t="inlineStr">
        <is>
          <t>Supplying and applying pre tested and approved water based concrete curing compound to concrete/ masonry su...</t>
        </is>
      </c>
      <c r="C235" t="inlineStr">
        <is>
          <t>sqm</t>
        </is>
      </c>
      <c r="D235" s="15" t="n">
        <v>53.9</v>
      </c>
      <c r="E235" t="inlineStr">
        <is>
          <t>05_RCC_Work</t>
        </is>
      </c>
      <c r="F235" t="n">
        <v>260</v>
      </c>
    </row>
    <row r="236">
      <c r="A236" s="14" t="inlineStr">
        <is>
          <t>5.42.1</t>
        </is>
      </c>
      <c r="B236" t="inlineStr">
        <is>
          <t>Providing and fixing parallel threaded couplers conforming to IS code on “Reinforcement Couplers for Mechan...</t>
        </is>
      </c>
      <c r="C236" t="inlineStr">
        <is>
          <t>no</t>
        </is>
      </c>
      <c r="D236" s="15" t="n">
        <v>97.8</v>
      </c>
      <c r="E236" t="inlineStr">
        <is>
          <t>05_RCC_Work</t>
        </is>
      </c>
      <c r="F236" t="n">
        <v>260</v>
      </c>
    </row>
    <row r="237">
      <c r="A237" s="14" t="inlineStr">
        <is>
          <t>5.42.2</t>
        </is>
      </c>
      <c r="B237" t="inlineStr">
        <is>
          <t>Providing and fixing parallel threaded couplers conforming to IS code on “Reinforcement Couplers for Mechan...</t>
        </is>
      </c>
      <c r="C237" t="inlineStr">
        <is>
          <t>no</t>
        </is>
      </c>
      <c r="D237" s="15" t="n">
        <v>135.3</v>
      </c>
      <c r="E237" t="inlineStr">
        <is>
          <t>05_RCC_Work</t>
        </is>
      </c>
      <c r="F237" t="n">
        <v>261</v>
      </c>
    </row>
    <row r="238">
      <c r="A238" s="14" t="inlineStr">
        <is>
          <t>5.42.3</t>
        </is>
      </c>
      <c r="B238" t="inlineStr">
        <is>
          <t>Providing and fixing parallel threaded couplers conforming to IS code on “Reinforcement Couplers for Mechan...</t>
        </is>
      </c>
      <c r="C238" t="inlineStr">
        <is>
          <t>no</t>
        </is>
      </c>
      <c r="D238" s="15" t="n">
        <v>195.45</v>
      </c>
      <c r="E238" t="inlineStr">
        <is>
          <t>05_RCC_Work</t>
        </is>
      </c>
      <c r="F238" t="n">
        <v>261</v>
      </c>
    </row>
    <row r="239">
      <c r="A239" s="14" t="inlineStr">
        <is>
          <t>5.42.4</t>
        </is>
      </c>
      <c r="B239" t="inlineStr">
        <is>
          <t>Providing and fixing parallel threaded couplers conforming to IS code on “Reinforcement Couplers for Mechan...</t>
        </is>
      </c>
      <c r="C239" t="inlineStr">
        <is>
          <t>no</t>
        </is>
      </c>
      <c r="D239" s="15" t="n">
        <v>228.55</v>
      </c>
      <c r="E239" t="inlineStr">
        <is>
          <t>05_RCC_Work</t>
        </is>
      </c>
      <c r="F239" t="n">
        <v>261</v>
      </c>
    </row>
    <row r="240">
      <c r="A240" s="14" t="inlineStr">
        <is>
          <t>5.42.5</t>
        </is>
      </c>
      <c r="B240" t="inlineStr">
        <is>
          <t>Providing and fixing parallel threaded couplers conforming to IS code on “Reinforcement Couplers for Mechan...</t>
        </is>
      </c>
      <c r="C240" t="inlineStr">
        <is>
          <t>no</t>
        </is>
      </c>
      <c r="D240" s="15" t="n">
        <v>275.75</v>
      </c>
      <c r="E240" t="inlineStr">
        <is>
          <t>05_RCC_Work</t>
        </is>
      </c>
      <c r="F240" t="n">
        <v>262</v>
      </c>
    </row>
    <row r="241">
      <c r="A241" s="14" t="inlineStr">
        <is>
          <t>5.43.1</t>
        </is>
      </c>
      <c r="B241" t="inlineStr">
        <is>
          <t>Providing and fixing in position Stainless steel Grade 304 plate-1.0 mm thick as per design for expansion j...</t>
        </is>
      </c>
      <c r="C241" t="inlineStr">
        <is>
          <t>metre</t>
        </is>
      </c>
      <c r="D241" s="15" t="n">
        <v>711.9</v>
      </c>
      <c r="E241" t="inlineStr">
        <is>
          <t>05_RCC_Work</t>
        </is>
      </c>
      <c r="F241" t="n">
        <v>262</v>
      </c>
    </row>
    <row r="242">
      <c r="A242" s="14" t="inlineStr">
        <is>
          <t>5.43.2</t>
        </is>
      </c>
      <c r="B242" t="inlineStr">
        <is>
          <t>Providing and fixing in position Stainless steel Grade 304 plate-1.0 mm thick as per design for expansion j...</t>
        </is>
      </c>
      <c r="C242" t="inlineStr">
        <is>
          <t>metre</t>
        </is>
      </c>
      <c r="D242" s="15" t="n">
        <v>1006.25</v>
      </c>
      <c r="E242" t="inlineStr">
        <is>
          <t>05_RCC_Work</t>
        </is>
      </c>
      <c r="F242" t="n">
        <v>263</v>
      </c>
    </row>
    <row r="243">
      <c r="A243" s="14" t="inlineStr">
        <is>
          <t>5.44.1</t>
        </is>
      </c>
      <c r="B243" t="inlineStr">
        <is>
          <t>Providing and fixing of expansion joint system related with floor location as per drawings and direction of...</t>
        </is>
      </c>
      <c r="C243" t="inlineStr">
        <is>
          <t>metre</t>
        </is>
      </c>
      <c r="D243" s="15" t="n">
        <v>5594.85</v>
      </c>
      <c r="E243" t="inlineStr">
        <is>
          <t>05_RCC_Work</t>
        </is>
      </c>
      <c r="F243" t="n">
        <v>264</v>
      </c>
    </row>
    <row r="244">
      <c r="A244" s="14" t="inlineStr">
        <is>
          <t>5.44.2</t>
        </is>
      </c>
      <c r="B244" t="inlineStr">
        <is>
          <t>Providing and fixing of expansion joint system related with floor location as per drawings and direction of...</t>
        </is>
      </c>
      <c r="C244" t="inlineStr">
        <is>
          <t>metre</t>
        </is>
      </c>
      <c r="D244" s="15" t="n">
        <v>6849.15</v>
      </c>
      <c r="E244" t="inlineStr">
        <is>
          <t>05_RCC_Work</t>
        </is>
      </c>
      <c r="F244" t="n">
        <v>264</v>
      </c>
    </row>
    <row r="245">
      <c r="A245" s="14" t="inlineStr">
        <is>
          <t>5.44.3</t>
        </is>
      </c>
      <c r="B245" t="inlineStr">
        <is>
          <t>Providing and fixing of expansion joint system related with floor location as per drawings and direction of...</t>
        </is>
      </c>
      <c r="C245" t="inlineStr">
        <is>
          <t>metre</t>
        </is>
      </c>
      <c r="D245" s="15" t="n">
        <v>8772.450000000001</v>
      </c>
      <c r="E245" t="inlineStr">
        <is>
          <t>05_RCC_Work</t>
        </is>
      </c>
      <c r="F245" t="n">
        <v>265</v>
      </c>
    </row>
    <row r="246">
      <c r="A246" s="14" t="inlineStr">
        <is>
          <t>5.45.1</t>
        </is>
      </c>
      <c r="B246" t="inlineStr">
        <is>
          <t>Providing and fixing of expansion joint system related with wall joint (internal/ external) location as per...</t>
        </is>
      </c>
      <c r="C246" t="inlineStr">
        <is>
          <t>metre</t>
        </is>
      </c>
      <c r="D246" s="15" t="n">
        <v>4658.3</v>
      </c>
      <c r="E246" t="inlineStr">
        <is>
          <t>05_RCC_Work</t>
        </is>
      </c>
      <c r="F246" t="n">
        <v>265</v>
      </c>
    </row>
    <row r="247">
      <c r="A247" s="14" t="inlineStr">
        <is>
          <t>5.45.2</t>
        </is>
      </c>
      <c r="B247" t="inlineStr">
        <is>
          <t>Providing and fixing of expansion joint system related with wall joint (internal/ external) location as per...</t>
        </is>
      </c>
      <c r="C247" t="inlineStr">
        <is>
          <t>metre</t>
        </is>
      </c>
      <c r="D247" s="15" t="n">
        <v>5243.65</v>
      </c>
      <c r="E247" t="inlineStr">
        <is>
          <t>05_RCC_Work</t>
        </is>
      </c>
      <c r="F247" t="n">
        <v>266</v>
      </c>
    </row>
    <row r="248">
      <c r="A248" s="14" t="inlineStr">
        <is>
          <t>5.45.3</t>
        </is>
      </c>
      <c r="B248" t="inlineStr">
        <is>
          <t>Providing and fixing of expansion joint system related with wall joint (internal/ external) location as per...</t>
        </is>
      </c>
      <c r="C248" t="inlineStr">
        <is>
          <t>metre</t>
        </is>
      </c>
      <c r="D248" s="15" t="n">
        <v>6096.6</v>
      </c>
      <c r="E248" t="inlineStr">
        <is>
          <t>05_RCC_Work</t>
        </is>
      </c>
      <c r="F248" t="n">
        <v>266</v>
      </c>
    </row>
    <row r="249">
      <c r="A249" s="14" t="inlineStr">
        <is>
          <t>5.46.1</t>
        </is>
      </c>
      <c r="B249" t="inlineStr">
        <is>
          <t>Providing and fixing of expansion joint system of approved make and manufactures for various roof locations...</t>
        </is>
      </c>
      <c r="C249" t="inlineStr">
        <is>
          <t>metre</t>
        </is>
      </c>
      <c r="D249" s="15" t="n">
        <v>5193.45</v>
      </c>
      <c r="E249" t="inlineStr">
        <is>
          <t>05_RCC_Work</t>
        </is>
      </c>
      <c r="F249" t="n">
        <v>267</v>
      </c>
    </row>
    <row r="250">
      <c r="A250" s="14" t="inlineStr">
        <is>
          <t>5.46.2</t>
        </is>
      </c>
      <c r="B250" t="inlineStr">
        <is>
          <t>Providing and fixing of expansion joint system of approved make and manufactures for various roof locations...</t>
        </is>
      </c>
      <c r="C250" t="inlineStr">
        <is>
          <t>metre</t>
        </is>
      </c>
      <c r="D250" s="15" t="n">
        <v>5778.8</v>
      </c>
      <c r="E250" t="inlineStr">
        <is>
          <t>05_RCC_Work</t>
        </is>
      </c>
      <c r="F250" t="n">
        <v>268</v>
      </c>
    </row>
    <row r="251">
      <c r="A251" s="14" t="inlineStr">
        <is>
          <t>5.46.3</t>
        </is>
      </c>
      <c r="B251" t="inlineStr">
        <is>
          <t>Providing and fixing of expansion joint system of approved make and manufactures for various roof locations...</t>
        </is>
      </c>
      <c r="C251" t="inlineStr">
        <is>
          <t>metre</t>
        </is>
      </c>
      <c r="D251" s="15" t="n">
        <v>6854.2</v>
      </c>
      <c r="E251" t="inlineStr">
        <is>
          <t>05_RCC_Work</t>
        </is>
      </c>
      <c r="F251" t="n">
        <v>268</v>
      </c>
    </row>
    <row r="252">
      <c r="A252" s="14" t="inlineStr">
        <is>
          <t>5.47.1</t>
        </is>
      </c>
      <c r="B252" t="inlineStr">
        <is>
          <t>Providing and fixing in position factory made precast RCC M-40 fixing with hold fast embedded in 1:3:6 conc...</t>
        </is>
      </c>
      <c r="C252" t="inlineStr">
        <is>
          <t>metre</t>
        </is>
      </c>
      <c r="D252" s="15" t="n">
        <v>666.65</v>
      </c>
      <c r="E252" t="inlineStr">
        <is>
          <t>05_RCC_Work</t>
        </is>
      </c>
      <c r="F252" t="n">
        <v>269</v>
      </c>
    </row>
    <row r="253">
      <c r="A253" s="14" t="inlineStr">
        <is>
          <t>5.47.2</t>
        </is>
      </c>
      <c r="B253" t="inlineStr">
        <is>
          <t>Providing and fixing in position factory made precast RCC M-40 fixing with hold fast embedded in 1:3:6 conc...</t>
        </is>
      </c>
      <c r="C253" t="inlineStr">
        <is>
          <t>metre</t>
        </is>
      </c>
      <c r="D253" s="15" t="n">
        <v>617.9</v>
      </c>
      <c r="E253" t="inlineStr">
        <is>
          <t>05_RCC_Work</t>
        </is>
      </c>
      <c r="F253" t="n">
        <v>270</v>
      </c>
    </row>
    <row r="254">
      <c r="A254" s="14" t="inlineStr">
        <is>
          <t>5.47.3</t>
        </is>
      </c>
      <c r="B254" t="inlineStr">
        <is>
          <t>Providing and fixing in position factory made precast RCC M-40 fixing with hold fast embedded in 1:3:6 conc...</t>
        </is>
      </c>
      <c r="C254" t="inlineStr">
        <is>
          <t>metre</t>
        </is>
      </c>
      <c r="D254" s="15" t="n">
        <v>592.25</v>
      </c>
      <c r="E254" t="inlineStr">
        <is>
          <t>05_RCC_Work</t>
        </is>
      </c>
      <c r="F254" t="n">
        <v>271</v>
      </c>
    </row>
    <row r="255">
      <c r="A255" s="14" t="inlineStr">
        <is>
          <t>5.48.1</t>
        </is>
      </c>
      <c r="B255" t="inlineStr">
        <is>
          <t>Providing and laying Reinforced cement concrete for construction of piers, abutments, portal frames, pier c...</t>
        </is>
      </c>
      <c r="C255" t="inlineStr">
        <is>
          <t>cum</t>
        </is>
      </c>
      <c r="D255" s="15" t="n">
        <v>7425</v>
      </c>
      <c r="E255" t="inlineStr">
        <is>
          <t>05_RCC_Work</t>
        </is>
      </c>
      <c r="F255" t="n">
        <v>272</v>
      </c>
    </row>
    <row r="256">
      <c r="A256" s="14" t="inlineStr">
        <is>
          <t>5.48.2</t>
        </is>
      </c>
      <c r="B256" t="inlineStr">
        <is>
          <t>Providing and laying Reinforced cement concrete for construction of piers, abutments, portal frames, pier c...</t>
        </is>
      </c>
      <c r="C256" t="inlineStr">
        <is>
          <t>cum</t>
        </is>
      </c>
      <c r="D256" s="15" t="n">
        <v>8681.450000000001</v>
      </c>
      <c r="E256" t="inlineStr">
        <is>
          <t>05_RCC_Work</t>
        </is>
      </c>
      <c r="F256" t="n">
        <v>272</v>
      </c>
    </row>
    <row r="257">
      <c r="A257" s="14" t="inlineStr">
        <is>
          <t>5.48.3</t>
        </is>
      </c>
      <c r="B257" t="inlineStr">
        <is>
          <t>Providing and laying Reinforced cement concrete for construction of piers, abutments, portal frames, pier c...</t>
        </is>
      </c>
      <c r="C257" t="inlineStr">
        <is>
          <t>cum</t>
        </is>
      </c>
      <c r="D257" s="15" t="n">
        <v>748.6</v>
      </c>
      <c r="E257" t="inlineStr">
        <is>
          <t>05_RCC_Work</t>
        </is>
      </c>
      <c r="F257" t="n">
        <v>273</v>
      </c>
    </row>
    <row r="258">
      <c r="A258" s="14" t="inlineStr">
        <is>
          <t>5.48.3X</t>
        </is>
      </c>
      <c r="B258" t="inlineStr">
        <is>
          <t>Providing and laying Reinforced cement concrete for construction of piers, abutments, portal frames, pier c...</t>
        </is>
      </c>
      <c r="C258" t="inlineStr">
        <is>
          <t>cum</t>
        </is>
      </c>
      <c r="D258" s="15" t="n">
        <v>9430.049999999999</v>
      </c>
      <c r="E258" t="inlineStr">
        <is>
          <t>05_RCC_Work</t>
        </is>
      </c>
      <c r="F258" t="n">
        <v>273</v>
      </c>
    </row>
    <row r="259">
      <c r="A259" s="14" t="inlineStr">
        <is>
          <t>5.48X</t>
        </is>
      </c>
      <c r="B259" t="inlineStr">
        <is>
          <t>Annexure for item 5.48.1, Providing M50 grade Reinforced Cement Concrete data for 120.00 cum Sub Analysis f...</t>
        </is>
      </c>
      <c r="C259" t="inlineStr">
        <is>
          <t>cum</t>
        </is>
      </c>
      <c r="D259" s="15" t="n">
        <v>592482.2</v>
      </c>
      <c r="E259" t="inlineStr">
        <is>
          <t>05_RCC_Work</t>
        </is>
      </c>
      <c r="F259" t="n">
        <v>273</v>
      </c>
    </row>
    <row r="260">
      <c r="A260" s="14" t="inlineStr">
        <is>
          <t>5.48Y</t>
        </is>
      </c>
      <c r="B260" t="inlineStr">
        <is>
          <t>Annexure for items 5.48.2 for using M 60 grade Self Compacting Reinforced cement concrete data for 120.00 c...</t>
        </is>
      </c>
      <c r="C260" t="inlineStr">
        <is>
          <t>cum</t>
        </is>
      </c>
      <c r="D260" s="15" t="n">
        <v>692740.4</v>
      </c>
      <c r="E260" t="inlineStr">
        <is>
          <t>05_RCC_Work</t>
        </is>
      </c>
      <c r="F260" t="n">
        <v>274</v>
      </c>
    </row>
    <row r="261">
      <c r="A261" s="14" t="inlineStr">
        <is>
          <t>5.48Z</t>
        </is>
      </c>
      <c r="B261" t="inlineStr">
        <is>
          <t>Annexure for items 5.48.3. Extra for using M 60 grade Self Compacting Reinforced cement concrete data for 1...</t>
        </is>
      </c>
      <c r="C261" t="inlineStr">
        <is>
          <t>cum</t>
        </is>
      </c>
      <c r="D261" s="15" t="n">
        <v>752474.7</v>
      </c>
      <c r="E261" t="inlineStr">
        <is>
          <t>05_RCC_Work</t>
        </is>
      </c>
      <c r="F261" t="n">
        <v>275</v>
      </c>
    </row>
    <row r="262">
      <c r="A262" s="14" t="inlineStr">
        <is>
          <t>5.49</t>
        </is>
      </c>
      <c r="B262" t="inlineStr">
        <is>
          <t>Constructing cast-in situ RCC diaphragm wall by providing and laying machine batched, machine mixed, self c...</t>
        </is>
      </c>
      <c r="C262" t="inlineStr">
        <is>
          <t>cum</t>
        </is>
      </c>
      <c r="D262" s="15" t="n">
        <v>16618.7</v>
      </c>
      <c r="E262" t="inlineStr">
        <is>
          <t>05_RCC_Work</t>
        </is>
      </c>
      <c r="F262" t="n">
        <v>276</v>
      </c>
    </row>
    <row r="263">
      <c r="A263" s="14" t="inlineStr">
        <is>
          <t>6.1.1</t>
        </is>
      </c>
      <c r="B263" t="inlineStr">
        <is>
          <t>Brick work with common burnt clay F.P.S. (non modular) bricks of class designation 7.5 in foundation and pl...</t>
        </is>
      </c>
      <c r="C263" t="inlineStr">
        <is>
          <t>cum</t>
        </is>
      </c>
      <c r="D263" s="15" t="n">
        <v>6376.25</v>
      </c>
      <c r="E263" t="inlineStr">
        <is>
          <t>06_Masonry_Work</t>
        </is>
      </c>
      <c r="F263" t="n">
        <v>282</v>
      </c>
    </row>
    <row r="264">
      <c r="A264" s="14" t="inlineStr">
        <is>
          <t>6.1.2</t>
        </is>
      </c>
      <c r="B264" t="inlineStr">
        <is>
          <t>Brick work with common burnt clay F.P.S. (non modular) bricks of class designation 7.5 in foundation and pl...</t>
        </is>
      </c>
      <c r="C264" t="inlineStr">
        <is>
          <t>cum</t>
        </is>
      </c>
      <c r="D264" s="15" t="n">
        <v>6157.45</v>
      </c>
      <c r="E264" t="inlineStr">
        <is>
          <t>06_Masonry_Work</t>
        </is>
      </c>
      <c r="F264" t="n">
        <v>282</v>
      </c>
    </row>
    <row r="265">
      <c r="A265" s="14" t="inlineStr">
        <is>
          <t>6.2.1</t>
        </is>
      </c>
      <c r="B265" t="inlineStr">
        <is>
          <t>Brick work with common burnt clay modular bricks of class designation 7.5 in foundation and plinth in - Cem...</t>
        </is>
      </c>
      <c r="C265" t="inlineStr">
        <is>
          <t>cum</t>
        </is>
      </c>
      <c r="D265" s="15" t="n">
        <v>5495.15</v>
      </c>
      <c r="E265" t="inlineStr">
        <is>
          <t>06_Masonry_Work</t>
        </is>
      </c>
      <c r="F265" t="n">
        <v>283</v>
      </c>
    </row>
    <row r="266">
      <c r="A266" s="14" t="inlineStr">
        <is>
          <t>6.2.2</t>
        </is>
      </c>
      <c r="B266" t="inlineStr">
        <is>
          <t>Brick work with common burnt clay modular bricks of class designation 7.5 in foundation and plinth in - Cem...</t>
        </is>
      </c>
      <c r="C266" t="inlineStr">
        <is>
          <t>cum</t>
        </is>
      </c>
      <c r="D266" s="15" t="n">
        <v>5302.6</v>
      </c>
      <c r="E266" t="inlineStr">
        <is>
          <t>06_Masonry_Work</t>
        </is>
      </c>
      <c r="F266" t="n">
        <v>283</v>
      </c>
    </row>
    <row r="267">
      <c r="A267" s="14" t="inlineStr">
        <is>
          <t>6.3.1</t>
        </is>
      </c>
      <c r="B267" t="inlineStr">
        <is>
          <t>Brick work with common burnt clay machine moulded perforated bricks of class designation 12.5 conforming to...</t>
        </is>
      </c>
      <c r="C267" t="inlineStr">
        <is>
          <t>cum</t>
        </is>
      </c>
      <c r="D267" s="15" t="n">
        <v>7722.65</v>
      </c>
      <c r="E267" t="inlineStr">
        <is>
          <t>06_Masonry_Work</t>
        </is>
      </c>
      <c r="F267" t="n">
        <v>284</v>
      </c>
    </row>
    <row r="268">
      <c r="A268" s="14" t="inlineStr">
        <is>
          <t>6.3.2</t>
        </is>
      </c>
      <c r="B268" t="inlineStr">
        <is>
          <t>Brick work with common burnt clay machine moulded perforated bricks of class designation 12.5 conforming to...</t>
        </is>
      </c>
      <c r="C268" t="inlineStr">
        <is>
          <t>cum</t>
        </is>
      </c>
      <c r="D268" s="15" t="n">
        <v>7501.5</v>
      </c>
      <c r="E268" t="inlineStr">
        <is>
          <t>06_Masonry_Work</t>
        </is>
      </c>
      <c r="F268" t="n">
        <v>285</v>
      </c>
    </row>
    <row r="269">
      <c r="A269" s="14" t="inlineStr">
        <is>
          <t>6.4.1</t>
        </is>
      </c>
      <c r="B269" t="inlineStr">
        <is>
          <t>Brick work with common burnt clay F.P.S. (non modular) bricks of class designation 7.5 in superstructure ab...</t>
        </is>
      </c>
      <c r="C269" t="inlineStr">
        <is>
          <t>cum</t>
        </is>
      </c>
      <c r="D269" s="15" t="n">
        <v>7809.25</v>
      </c>
      <c r="E269" t="inlineStr">
        <is>
          <t>06_Masonry_Work</t>
        </is>
      </c>
      <c r="F269" t="n">
        <v>286</v>
      </c>
    </row>
    <row r="270">
      <c r="A270" s="14" t="inlineStr">
        <is>
          <t>6.4.2</t>
        </is>
      </c>
      <c r="B270" t="inlineStr">
        <is>
          <t>Brick work with common burnt clay F.P.S. (non modular) bricks of class designation 7.5 in superstructure ab...</t>
        </is>
      </c>
      <c r="C270" t="inlineStr">
        <is>
          <t>cum</t>
        </is>
      </c>
      <c r="D270" s="15" t="n">
        <v>7590.45</v>
      </c>
      <c r="E270" t="inlineStr">
        <is>
          <t>06_Masonry_Work</t>
        </is>
      </c>
      <c r="F270" t="n">
        <v>286</v>
      </c>
    </row>
    <row r="271">
      <c r="A271" s="14" t="inlineStr">
        <is>
          <t>6.5</t>
        </is>
      </c>
      <c r="B271" t="inlineStr">
        <is>
          <t>Extra for brick work / AAC block masonry / Tile brick masonry in superstructure above floor V level, for ea...</t>
        </is>
      </c>
      <c r="C271" t="inlineStr">
        <is>
          <t>cum</t>
        </is>
      </c>
      <c r="D271" s="15" t="n">
        <v>236.65</v>
      </c>
      <c r="E271" t="inlineStr">
        <is>
          <t>06_Masonry_Work</t>
        </is>
      </c>
      <c r="F271" t="n">
        <v>287</v>
      </c>
    </row>
    <row r="272">
      <c r="A272" s="14" t="inlineStr">
        <is>
          <t>6.6</t>
        </is>
      </c>
      <c r="B272" t="inlineStr">
        <is>
          <t>Extra for forming cavity 5 cm to 11.5 cm wide in cavity walls with necessary weep and vent holes including...</t>
        </is>
      </c>
      <c r="C272" t="inlineStr">
        <is>
          <t>sqm</t>
        </is>
      </c>
      <c r="D272" s="15" t="n">
        <v>176.25</v>
      </c>
      <c r="E272" t="inlineStr">
        <is>
          <t>06_Masonry_Work</t>
        </is>
      </c>
      <c r="F272" t="n">
        <v>287</v>
      </c>
    </row>
    <row r="273">
      <c r="A273" s="14" t="inlineStr">
        <is>
          <t>6.7</t>
        </is>
      </c>
      <c r="B273" t="inlineStr">
        <is>
          <t>Providing half brick masonry with common burnt clay F.P.S. (non modular) bricks of class designation 7.5 in...</t>
        </is>
      </c>
      <c r="C273" t="inlineStr">
        <is>
          <t>metre</t>
        </is>
      </c>
      <c r="D273" s="15" t="n">
        <v>254</v>
      </c>
      <c r="E273" t="inlineStr">
        <is>
          <t>06_Masonry_Work</t>
        </is>
      </c>
      <c r="F273" t="n">
        <v>288</v>
      </c>
    </row>
    <row r="274">
      <c r="A274" s="14" t="inlineStr">
        <is>
          <t>6.8</t>
        </is>
      </c>
      <c r="B274" t="inlineStr">
        <is>
          <t>Brick work 7 cm thick with common burnt clay F.P.S. (non modular) brick of class designation 7.5 in cement...</t>
        </is>
      </c>
      <c r="C274" t="inlineStr">
        <is>
          <t>sqm</t>
        </is>
      </c>
      <c r="D274" s="15" t="n">
        <v>749.75</v>
      </c>
      <c r="E274" t="inlineStr">
        <is>
          <t>06_Masonry_Work</t>
        </is>
      </c>
      <c r="F274" t="n">
        <v>289</v>
      </c>
    </row>
    <row r="275">
      <c r="A275" s="14" t="inlineStr">
        <is>
          <t>6.9</t>
        </is>
      </c>
      <c r="B275" t="inlineStr">
        <is>
          <t>Brick work in plain arches in superstructure above plinth level and upto floor five level including centeri...</t>
        </is>
      </c>
      <c r="C275" t="inlineStr">
        <is>
          <t>cum</t>
        </is>
      </c>
      <c r="D275" s="15" t="n">
        <v>12352.95</v>
      </c>
      <c r="E275" t="inlineStr">
        <is>
          <t>06_Masonry_Work</t>
        </is>
      </c>
      <c r="F275" t="n">
        <v>289</v>
      </c>
    </row>
    <row r="276">
      <c r="A276" s="14" t="inlineStr">
        <is>
          <t>6.10</t>
        </is>
      </c>
      <c r="B276" t="inlineStr">
        <is>
          <t>Brick work in gauged arches in superstructure above plinth level and upto floor five level in cement mortar...</t>
        </is>
      </c>
      <c r="C276" t="inlineStr">
        <is>
          <t>cum</t>
        </is>
      </c>
      <c r="D276" s="15" t="n">
        <v>15361.9</v>
      </c>
      <c r="E276" t="inlineStr">
        <is>
          <t>06_Masonry_Work</t>
        </is>
      </c>
      <c r="F276" t="n">
        <v>290</v>
      </c>
    </row>
    <row r="277">
      <c r="A277" s="14" t="inlineStr">
        <is>
          <t>6.11</t>
        </is>
      </c>
      <c r="B277" t="inlineStr">
        <is>
          <t>Extra for additional cost of centering for arches exceeding 6m span including all shuttering, bolting, wedg...</t>
        </is>
      </c>
      <c r="C277" t="inlineStr">
        <is>
          <t>sqm</t>
        </is>
      </c>
      <c r="D277" s="15" t="n">
        <v>560.65</v>
      </c>
      <c r="E277" t="inlineStr">
        <is>
          <t>06_Masonry_Work</t>
        </is>
      </c>
      <c r="F277" t="n">
        <v>291</v>
      </c>
    </row>
    <row r="278">
      <c r="A278" s="14" t="inlineStr">
        <is>
          <t>6.12.1</t>
        </is>
      </c>
      <c r="B278" t="inlineStr">
        <is>
          <t>Half brick masonry with common burnt clay F.P.S. (non modular) bricks of class designation 7.5 in foundatio...</t>
        </is>
      </c>
      <c r="C278" t="inlineStr">
        <is>
          <t>sqm</t>
        </is>
      </c>
      <c r="D278" s="15" t="n">
        <v>798.25</v>
      </c>
      <c r="E278" t="inlineStr">
        <is>
          <t>06_Masonry_Work</t>
        </is>
      </c>
      <c r="F278" t="n">
        <v>293</v>
      </c>
    </row>
    <row r="279">
      <c r="A279" s="14" t="inlineStr">
        <is>
          <t>6.12.2</t>
        </is>
      </c>
      <c r="B279" t="inlineStr">
        <is>
          <t>Half brick masonry with common burnt clay F.P.S. (non modular) bricks of class designation 7.5 in foundatio...</t>
        </is>
      </c>
      <c r="C279" t="inlineStr">
        <is>
          <t>sqm</t>
        </is>
      </c>
      <c r="D279" s="15" t="n">
        <v>773.75</v>
      </c>
      <c r="E279" t="inlineStr">
        <is>
          <t>06_Masonry_Work</t>
        </is>
      </c>
      <c r="F279" t="n">
        <v>293</v>
      </c>
    </row>
    <row r="280">
      <c r="A280" s="14" t="inlineStr">
        <is>
          <t>6.13.1</t>
        </is>
      </c>
      <c r="B280" t="inlineStr">
        <is>
          <t>Half brick masonry with common burnt clay F.P.S. (non modular) bricks of class designation 7.5 in superstru...</t>
        </is>
      </c>
      <c r="C280" t="inlineStr">
        <is>
          <t>sqm</t>
        </is>
      </c>
      <c r="D280" s="15" t="n">
        <v>956.6</v>
      </c>
      <c r="E280" t="inlineStr">
        <is>
          <t>06_Masonry_Work</t>
        </is>
      </c>
      <c r="F280" t="n">
        <v>294</v>
      </c>
    </row>
    <row r="281">
      <c r="A281" s="14" t="inlineStr">
        <is>
          <t>6.13.2</t>
        </is>
      </c>
      <c r="B281" t="inlineStr">
        <is>
          <t>Half brick masonry with common burnt clay F.P.S. (non modular) bricks of class designation 7.5 in superstru...</t>
        </is>
      </c>
      <c r="C281" t="inlineStr">
        <is>
          <t>sqm</t>
        </is>
      </c>
      <c r="D281" s="15" t="n">
        <v>932.1</v>
      </c>
      <c r="E281" t="inlineStr">
        <is>
          <t>06_Masonry_Work</t>
        </is>
      </c>
      <c r="F281" t="n">
        <v>295</v>
      </c>
    </row>
    <row r="282">
      <c r="A282" s="14" t="inlineStr">
        <is>
          <t>6.14</t>
        </is>
      </c>
      <c r="B282" t="inlineStr">
        <is>
          <t>Extra for half brick masonry in superstructure, above floor V level for every four floors or part thereof b...</t>
        </is>
      </c>
      <c r="C282" t="inlineStr">
        <is>
          <t>sqm</t>
        </is>
      </c>
      <c r="D282" s="15" t="n">
        <v>20.95</v>
      </c>
      <c r="E282" t="inlineStr">
        <is>
          <t>06_Masonry_Work</t>
        </is>
      </c>
      <c r="F282" t="n">
        <v>295</v>
      </c>
    </row>
    <row r="283">
      <c r="A283" s="14" t="inlineStr">
        <is>
          <t>6.15</t>
        </is>
      </c>
      <c r="B283" t="inlineStr">
        <is>
          <t>Extra for providing and placing in position 2 Nos 6mm dia. M.S. bars at every third course of half brick ma...</t>
        </is>
      </c>
      <c r="C283" t="inlineStr">
        <is>
          <t>sqm</t>
        </is>
      </c>
      <c r="D283" s="15" t="n">
        <v>80.09999999999999</v>
      </c>
      <c r="E283" t="inlineStr">
        <is>
          <t>06_Masonry_Work</t>
        </is>
      </c>
      <c r="F283" t="n">
        <v>296</v>
      </c>
    </row>
    <row r="284">
      <c r="A284" s="14" t="inlineStr">
        <is>
          <t>6.16.1</t>
        </is>
      </c>
      <c r="B284" t="inlineStr">
        <is>
          <t>Tile brick masonry with common burnt clay F.P.S. (non modular) tile bricks of class designation 10 in found...</t>
        </is>
      </c>
      <c r="C284" t="inlineStr">
        <is>
          <t>cum</t>
        </is>
      </c>
      <c r="D284" s="15" t="n">
        <v>9651.049999999999</v>
      </c>
      <c r="E284" t="inlineStr">
        <is>
          <t>06_Masonry_Work</t>
        </is>
      </c>
      <c r="F284" t="n">
        <v>296</v>
      </c>
    </row>
    <row r="285">
      <c r="A285" s="14" t="inlineStr">
        <is>
          <t>6.16.2</t>
        </is>
      </c>
      <c r="B285" t="inlineStr">
        <is>
          <t>Tile brick masonry with common burnt clay F.P.S. (non modular) tile bricks of class designation 10 in found...</t>
        </is>
      </c>
      <c r="C285" t="inlineStr">
        <is>
          <t>cum</t>
        </is>
      </c>
      <c r="D285" s="15" t="n">
        <v>9300.9</v>
      </c>
      <c r="E285" t="inlineStr">
        <is>
          <t>06_Masonry_Work</t>
        </is>
      </c>
      <c r="F285" t="n">
        <v>297</v>
      </c>
    </row>
    <row r="286">
      <c r="A286" s="14" t="inlineStr">
        <is>
          <t>6.17</t>
        </is>
      </c>
      <c r="B286" t="inlineStr">
        <is>
          <t>Tile brick masonry with common burnt clay machine moulded tile bricks of class designation 12.5 conforming...</t>
        </is>
      </c>
      <c r="C286" t="inlineStr">
        <is>
          <t>cum</t>
        </is>
      </c>
      <c r="D286" s="15" t="n">
        <v>9716.75</v>
      </c>
      <c r="E286" t="inlineStr">
        <is>
          <t>06_Masonry_Work</t>
        </is>
      </c>
      <c r="F286" t="n">
        <v>297</v>
      </c>
    </row>
    <row r="287">
      <c r="A287" s="14" t="inlineStr">
        <is>
          <t>6.18</t>
        </is>
      </c>
      <c r="B287" t="inlineStr">
        <is>
          <t>Tile brick masonry with common burnt clay F.P.S. (non modular) tile bricks of class designation 10 in super...</t>
        </is>
      </c>
      <c r="C287" t="inlineStr">
        <is>
          <t>cum</t>
        </is>
      </c>
      <c r="D287" s="15" t="n">
        <v>10808.25</v>
      </c>
      <c r="E287" t="inlineStr">
        <is>
          <t>06_Masonry_Work</t>
        </is>
      </c>
      <c r="F287" t="n">
        <v>298</v>
      </c>
    </row>
    <row r="288">
      <c r="A288" s="14" t="inlineStr">
        <is>
          <t>6.20</t>
        </is>
      </c>
      <c r="B288" t="inlineStr">
        <is>
          <t>Tile brick masonry with common burnt clay F.P.S. (non modular) tile bricks of class designation 10 in plain...</t>
        </is>
      </c>
      <c r="C288" t="inlineStr">
        <is>
          <t>cum</t>
        </is>
      </c>
      <c r="D288" s="15" t="n">
        <v>15551.35</v>
      </c>
      <c r="E288" t="inlineStr">
        <is>
          <t>06_Masonry_Work</t>
        </is>
      </c>
      <c r="F288" t="n">
        <v>299</v>
      </c>
    </row>
    <row r="289">
      <c r="A289" s="14" t="inlineStr">
        <is>
          <t>6.21</t>
        </is>
      </c>
      <c r="B289" t="inlineStr">
        <is>
          <t>Tile brick masonry with common burnt clay F.P.S. (non modular) tile bricks of class designation 10 in gauge...</t>
        </is>
      </c>
      <c r="C289" t="inlineStr">
        <is>
          <t>cum</t>
        </is>
      </c>
      <c r="D289" s="15" t="n">
        <v>18567.55</v>
      </c>
      <c r="E289" t="inlineStr">
        <is>
          <t>06_Masonry_Work</t>
        </is>
      </c>
      <c r="F289" t="n">
        <v>299</v>
      </c>
    </row>
    <row r="290">
      <c r="A290" s="14" t="inlineStr">
        <is>
          <t>6.22</t>
        </is>
      </c>
      <c r="B290" t="inlineStr">
        <is>
          <t>Tile brick masonry work 5 cm thick with common burnt clay F.P.S. (non modular) tile bricks of class designa...</t>
        </is>
      </c>
      <c r="C290" t="inlineStr">
        <is>
          <t>sqm</t>
        </is>
      </c>
      <c r="D290" s="15" t="n">
        <v>773.25</v>
      </c>
      <c r="E290" t="inlineStr">
        <is>
          <t>06_Masonry_Work</t>
        </is>
      </c>
      <c r="F290" t="n">
        <v>300</v>
      </c>
    </row>
    <row r="291">
      <c r="A291" s="14" t="inlineStr">
        <is>
          <t>6.23</t>
        </is>
      </c>
      <c r="B291" t="inlineStr">
        <is>
          <t>Honey-comb brick work 10 / 11.4 cm thick with common burnt clay bricks of class designation 7.5 in super st...</t>
        </is>
      </c>
      <c r="C291" t="inlineStr">
        <is>
          <t>sqm</t>
        </is>
      </c>
      <c r="D291" s="15" t="n">
        <v>594.15</v>
      </c>
      <c r="E291" t="inlineStr">
        <is>
          <t>06_Masonry_Work</t>
        </is>
      </c>
      <c r="F291" t="n">
        <v>301</v>
      </c>
    </row>
    <row r="292">
      <c r="A292" s="14" t="inlineStr">
        <is>
          <t>6.24</t>
        </is>
      </c>
      <c r="B292" t="inlineStr">
        <is>
          <t>Extra for laying brick work in or under water and/or liquid mud including cost of pumping or bailing out wa...</t>
        </is>
      </c>
      <c r="C292" t="inlineStr">
        <is>
          <t>cum</t>
        </is>
      </c>
      <c r="D292" s="15" t="n">
        <v>794.65</v>
      </c>
      <c r="E292" t="inlineStr">
        <is>
          <t>06_Masonry_Work</t>
        </is>
      </c>
      <c r="F292" t="n">
        <v>302</v>
      </c>
    </row>
    <row r="293">
      <c r="A293" s="14" t="inlineStr">
        <is>
          <t>6.25</t>
        </is>
      </c>
      <c r="B293" t="inlineStr">
        <is>
          <t>Extra for laying brick work in or under foul position</t>
        </is>
      </c>
      <c r="C293" t="inlineStr">
        <is>
          <t>cum</t>
        </is>
      </c>
      <c r="D293" s="15" t="n">
        <v>336.55</v>
      </c>
      <c r="E293" t="inlineStr">
        <is>
          <t>06_Masonry_Work</t>
        </is>
      </c>
      <c r="F293" t="n">
        <v>302</v>
      </c>
    </row>
    <row r="294">
      <c r="A294" s="14" t="inlineStr">
        <is>
          <t>6.26.1</t>
        </is>
      </c>
      <c r="B294" t="inlineStr">
        <is>
          <t>Brick work with common burnt clay selected F.P.S. (non modular) bricks of class designation 7.5 in exposed...</t>
        </is>
      </c>
      <c r="C294" t="inlineStr">
        <is>
          <t>cum</t>
        </is>
      </c>
      <c r="D294" s="15" t="n">
        <v>6324.3</v>
      </c>
      <c r="E294" t="inlineStr">
        <is>
          <t>06_Masonry_Work</t>
        </is>
      </c>
      <c r="F294" t="n">
        <v>303</v>
      </c>
    </row>
    <row r="295">
      <c r="A295" s="14" t="inlineStr">
        <is>
          <t>6.26.2</t>
        </is>
      </c>
      <c r="B295" t="inlineStr">
        <is>
          <t>Brick work with common burnt clay selected F.P.S. (non modular) bricks of class designation 7.5 in exposed...</t>
        </is>
      </c>
      <c r="C295" t="inlineStr">
        <is>
          <t>cum</t>
        </is>
      </c>
      <c r="D295" s="15" t="n">
        <v>7832</v>
      </c>
      <c r="E295" t="inlineStr">
        <is>
          <t>06_Masonry_Work</t>
        </is>
      </c>
      <c r="F295" t="n">
        <v>303</v>
      </c>
    </row>
    <row r="296">
      <c r="A296" s="14" t="inlineStr">
        <is>
          <t>6.27.1</t>
        </is>
      </c>
      <c r="B296" t="inlineStr">
        <is>
          <t>Brick work with common burnt clay modular bricks of class designation 7.5 in exposed brick work including m...</t>
        </is>
      </c>
      <c r="C296" t="inlineStr">
        <is>
          <t>cum</t>
        </is>
      </c>
      <c r="D296" s="15" t="n">
        <v>5339.1</v>
      </c>
      <c r="E296" t="inlineStr">
        <is>
          <t>06_Masonry_Work</t>
        </is>
      </c>
      <c r="F296" t="n">
        <v>304</v>
      </c>
    </row>
    <row r="297">
      <c r="A297" s="14" t="inlineStr">
        <is>
          <t>6.27.2</t>
        </is>
      </c>
      <c r="B297" t="inlineStr">
        <is>
          <t>Brick work with common burnt clay modular bricks of class designation 7.5 in exposed brick work including m...</t>
        </is>
      </c>
      <c r="C297" t="inlineStr">
        <is>
          <t>cum</t>
        </is>
      </c>
      <c r="D297" s="15" t="n">
        <v>6772.15</v>
      </c>
      <c r="E297" t="inlineStr">
        <is>
          <t>06_Masonry_Work</t>
        </is>
      </c>
      <c r="F297" t="n">
        <v>305</v>
      </c>
    </row>
    <row r="298">
      <c r="A298" s="14" t="inlineStr">
        <is>
          <t>6.28.1</t>
        </is>
      </c>
      <c r="B298" t="inlineStr">
        <is>
          <t>Brick work with common burnt clay machine moulded modular bricks of class designation 12.5 in exposed brick...</t>
        </is>
      </c>
      <c r="C298" t="inlineStr">
        <is>
          <t>cum</t>
        </is>
      </c>
      <c r="D298" s="15" t="n">
        <v>5990.7</v>
      </c>
      <c r="E298" t="inlineStr">
        <is>
          <t>06_Masonry_Work</t>
        </is>
      </c>
      <c r="F298" t="n">
        <v>305</v>
      </c>
    </row>
    <row r="299">
      <c r="A299" s="14" t="inlineStr">
        <is>
          <t>6.28.2</t>
        </is>
      </c>
      <c r="B299" t="inlineStr">
        <is>
          <t>Brick work with common burnt clay machine moulded modular bricks of class designation 12.5 in exposed brick...</t>
        </is>
      </c>
      <c r="C299" t="inlineStr">
        <is>
          <t>cum</t>
        </is>
      </c>
      <c r="D299" s="15" t="n">
        <v>7423.7</v>
      </c>
      <c r="E299" t="inlineStr">
        <is>
          <t>06_Masonry_Work</t>
        </is>
      </c>
      <c r="F299" t="n">
        <v>306</v>
      </c>
    </row>
    <row r="300">
      <c r="A300" s="14" t="inlineStr">
        <is>
          <t>6.29.1</t>
        </is>
      </c>
      <c r="B300" t="inlineStr">
        <is>
          <t>Brick work with common burnt clay machine moulded F.P.S. (non modular) bricks of class designation 12.5 in...</t>
        </is>
      </c>
      <c r="C300" t="inlineStr">
        <is>
          <t>cum</t>
        </is>
      </c>
      <c r="D300" s="15" t="n">
        <v>6524.4</v>
      </c>
      <c r="E300" t="inlineStr">
        <is>
          <t>06_Masonry_Work</t>
        </is>
      </c>
      <c r="F300" t="n">
        <v>307</v>
      </c>
    </row>
    <row r="301">
      <c r="A301" s="14" t="inlineStr">
        <is>
          <t>6.29.2</t>
        </is>
      </c>
      <c r="B301" t="inlineStr">
        <is>
          <t>Brick work with common burnt clay machine moulded F.P.S. (non modular) bricks of class designation 12.5 in...</t>
        </is>
      </c>
      <c r="C301" t="inlineStr">
        <is>
          <t>cum</t>
        </is>
      </c>
      <c r="D301" s="15" t="n">
        <v>7900.55</v>
      </c>
      <c r="E301" t="inlineStr">
        <is>
          <t>06_Masonry_Work</t>
        </is>
      </c>
      <c r="F301" t="n">
        <v>307</v>
      </c>
    </row>
    <row r="302">
      <c r="A302" s="14" t="inlineStr">
        <is>
          <t>6.30.1</t>
        </is>
      </c>
      <c r="B302" t="inlineStr">
        <is>
          <t>Brick work with common burnt clay machine moulded perforated F.P.S. (non modular) bricks of class designati...</t>
        </is>
      </c>
      <c r="C302" t="inlineStr">
        <is>
          <t>cum</t>
        </is>
      </c>
      <c r="D302" s="15" t="n">
        <v>6326.15</v>
      </c>
      <c r="E302" t="inlineStr">
        <is>
          <t>06_Masonry_Work</t>
        </is>
      </c>
      <c r="F302" t="n">
        <v>308</v>
      </c>
    </row>
    <row r="303">
      <c r="A303" s="14" t="inlineStr">
        <is>
          <t>6.30.2</t>
        </is>
      </c>
      <c r="B303" t="inlineStr">
        <is>
          <t>Brick work with common burnt clay machine moulded perforated F.P.S. (non modular) bricks of class designati...</t>
        </is>
      </c>
      <c r="C303" t="inlineStr">
        <is>
          <t>cum</t>
        </is>
      </c>
      <c r="D303" s="15" t="n">
        <v>7759.15</v>
      </c>
      <c r="E303" t="inlineStr">
        <is>
          <t>06_Masonry_Work</t>
        </is>
      </c>
      <c r="F303" t="n">
        <v>309</v>
      </c>
    </row>
    <row r="304">
      <c r="A304" s="14" t="inlineStr">
        <is>
          <t>6.31.1</t>
        </is>
      </c>
      <c r="B304" t="inlineStr">
        <is>
          <t>Brick work with common burnt clay machine moulded perforated modular bricks of class designation 12.5 confo...</t>
        </is>
      </c>
      <c r="C304" t="inlineStr">
        <is>
          <t>cum</t>
        </is>
      </c>
      <c r="D304" s="15" t="n">
        <v>6121</v>
      </c>
      <c r="E304" t="inlineStr">
        <is>
          <t>06_Masonry_Work</t>
        </is>
      </c>
      <c r="F304" t="n">
        <v>309</v>
      </c>
    </row>
    <row r="305">
      <c r="A305" s="14" t="inlineStr">
        <is>
          <t>6.31.2</t>
        </is>
      </c>
      <c r="B305" t="inlineStr">
        <is>
          <t>Brick work with common burnt clay machine moulded perforated modular bricks of class designation 12.5 confo...</t>
        </is>
      </c>
      <c r="C305" t="inlineStr">
        <is>
          <t>cum</t>
        </is>
      </c>
      <c r="D305" s="15" t="n">
        <v>7554</v>
      </c>
      <c r="E305" t="inlineStr">
        <is>
          <t>06_Masonry_Work</t>
        </is>
      </c>
      <c r="F305" t="n">
        <v>310</v>
      </c>
    </row>
    <row r="306">
      <c r="A306" s="14" t="inlineStr">
        <is>
          <t>6.32.1</t>
        </is>
      </c>
      <c r="B306" t="inlineStr">
        <is>
          <t>Brick work with clay flyash F.P.S. (non modular) brick of class designation 7.5 in superstructure above pli...</t>
        </is>
      </c>
      <c r="C306" t="inlineStr">
        <is>
          <t>cum</t>
        </is>
      </c>
      <c r="D306" s="15" t="n">
        <v>7971.7</v>
      </c>
      <c r="E306" t="inlineStr">
        <is>
          <t>06_Masonry_Work</t>
        </is>
      </c>
      <c r="F306" t="n">
        <v>311</v>
      </c>
    </row>
    <row r="307">
      <c r="A307" s="14" t="inlineStr">
        <is>
          <t>6.32.2</t>
        </is>
      </c>
      <c r="B307" t="inlineStr">
        <is>
          <t>Brick work with clay flyash F.P.S. (non modular) brick of class designation 7.5 in superstructure above pli...</t>
        </is>
      </c>
      <c r="C307" t="inlineStr">
        <is>
          <t>cum</t>
        </is>
      </c>
      <c r="D307" s="15" t="n">
        <v>7752.9</v>
      </c>
      <c r="E307" t="inlineStr">
        <is>
          <t>06_Masonry_Work</t>
        </is>
      </c>
      <c r="F307" t="n">
        <v>312</v>
      </c>
    </row>
    <row r="308">
      <c r="A308" s="14" t="inlineStr">
        <is>
          <t>6.34.1</t>
        </is>
      </c>
      <c r="B308" t="inlineStr">
        <is>
          <t>Brick work with non modular fly ash bricks conforming to IS:12894, class designation 10 average compressive...</t>
        </is>
      </c>
      <c r="C308" t="inlineStr">
        <is>
          <t>cum</t>
        </is>
      </c>
      <c r="D308" s="15" t="n">
        <v>7473.25</v>
      </c>
      <c r="E308" t="inlineStr">
        <is>
          <t>06_Masonry_Work</t>
        </is>
      </c>
      <c r="F308" t="n">
        <v>312</v>
      </c>
    </row>
    <row r="309">
      <c r="A309" s="14" t="inlineStr">
        <is>
          <t>6.34.2</t>
        </is>
      </c>
      <c r="B309" t="inlineStr">
        <is>
          <t>Brick work with non modular fly ash bricks conforming to IS:12894, class designation 10 average compressive...</t>
        </is>
      </c>
      <c r="C309" t="inlineStr">
        <is>
          <t>cum</t>
        </is>
      </c>
      <c r="D309" s="15" t="n">
        <v>7280.7</v>
      </c>
      <c r="E309" t="inlineStr">
        <is>
          <t>06_Masonry_Work</t>
        </is>
      </c>
      <c r="F309" t="n">
        <v>313</v>
      </c>
    </row>
    <row r="310">
      <c r="A310" s="14" t="inlineStr">
        <is>
          <t>6.35.1</t>
        </is>
      </c>
      <c r="B310" t="inlineStr">
        <is>
          <t>Brick work with modular calcium silicate bricks machine moulded conforming to IS:4139, class designation 10...</t>
        </is>
      </c>
      <c r="C310" t="inlineStr">
        <is>
          <t>cum</t>
        </is>
      </c>
      <c r="D310" s="15" t="n">
        <v>8190</v>
      </c>
      <c r="E310" t="inlineStr">
        <is>
          <t>06_Masonry_Work</t>
        </is>
      </c>
      <c r="F310" t="n">
        <v>314</v>
      </c>
    </row>
    <row r="311">
      <c r="A311" s="14" t="inlineStr">
        <is>
          <t>6.35.2</t>
        </is>
      </c>
      <c r="B311" t="inlineStr">
        <is>
          <t>Brick work with modular calcium silicate bricks machine moulded conforming to IS:4139, class designation 10...</t>
        </is>
      </c>
      <c r="C311" t="inlineStr">
        <is>
          <t>cum</t>
        </is>
      </c>
      <c r="D311" s="15" t="n">
        <v>7997.4</v>
      </c>
      <c r="E311" t="inlineStr">
        <is>
          <t>06_Masonry_Work</t>
        </is>
      </c>
      <c r="F311" t="n">
        <v>315</v>
      </c>
    </row>
    <row r="312">
      <c r="A312" s="14" t="inlineStr">
        <is>
          <t>6.36.1</t>
        </is>
      </c>
      <c r="B312" t="inlineStr">
        <is>
          <t>Brick work with modular extruded brunt fly ash clay sewer bricks (Conforming to IS: 4885 ) in cement mortar...</t>
        </is>
      </c>
      <c r="C312" t="inlineStr">
        <is>
          <t>cum</t>
        </is>
      </c>
      <c r="D312" s="15" t="n">
        <v>6407.35</v>
      </c>
      <c r="E312" t="inlineStr">
        <is>
          <t>06_Masonry_Work</t>
        </is>
      </c>
      <c r="F312" t="n">
        <v>315</v>
      </c>
    </row>
    <row r="313">
      <c r="A313" s="14" t="inlineStr">
        <is>
          <t>6.37</t>
        </is>
      </c>
      <c r="B313" t="inlineStr">
        <is>
          <t>Brick work with modular extruded brunt fly ash clay sewer bricks (conforming to IS : 4885) in arches in fou...</t>
        </is>
      </c>
      <c r="C313" t="inlineStr">
        <is>
          <t>cum</t>
        </is>
      </c>
      <c r="D313" s="15" t="n">
        <v>11309.95</v>
      </c>
      <c r="E313" t="inlineStr">
        <is>
          <t>06_Masonry_Work</t>
        </is>
      </c>
      <c r="F313" t="n">
        <v>316</v>
      </c>
    </row>
    <row r="314">
      <c r="A314" s="14" t="inlineStr">
        <is>
          <t>6.38</t>
        </is>
      </c>
      <c r="B314" t="inlineStr">
        <is>
          <t>Providing and laying autoclaved aerated cement blocks masonry with 100 mm thick AAC blocks in super structu...</t>
        </is>
      </c>
      <c r="C314" t="inlineStr">
        <is>
          <t>cum</t>
        </is>
      </c>
      <c r="D314" s="15" t="n">
        <v>8227.35</v>
      </c>
      <c r="E314" t="inlineStr">
        <is>
          <t>06_Masonry_Work</t>
        </is>
      </c>
      <c r="F314" t="n">
        <v>317</v>
      </c>
    </row>
    <row r="315">
      <c r="A315" s="14" t="inlineStr">
        <is>
          <t>6.40</t>
        </is>
      </c>
      <c r="B315" t="inlineStr">
        <is>
          <t>Providing and laying Gypsum panel partitions 100 mm thick with water proof Gypsum panels of size 666x500x10...</t>
        </is>
      </c>
      <c r="C315" t="inlineStr">
        <is>
          <t>sqm</t>
        </is>
      </c>
      <c r="D315" s="15" t="n">
        <v>853.5</v>
      </c>
      <c r="E315" t="inlineStr">
        <is>
          <t>06_Masonry_Work</t>
        </is>
      </c>
      <c r="F315" t="n">
        <v>317</v>
      </c>
    </row>
    <row r="316">
      <c r="A316" s="14" t="inlineStr">
        <is>
          <t>6.41</t>
        </is>
      </c>
      <c r="B316" t="inlineStr">
        <is>
          <t>Extra for Gypsum panel Partitions in superstructure above floor V level for every four floors or part thereof</t>
        </is>
      </c>
      <c r="C316" t="inlineStr">
        <is>
          <t>sqm</t>
        </is>
      </c>
      <c r="D316" s="15" t="n">
        <v>129.15</v>
      </c>
      <c r="E316" t="inlineStr">
        <is>
          <t>06_Masonry_Work</t>
        </is>
      </c>
      <c r="F316" t="n">
        <v>318</v>
      </c>
    </row>
    <row r="317">
      <c r="A317" s="14" t="inlineStr">
        <is>
          <t>6.44</t>
        </is>
      </c>
      <c r="B317" t="inlineStr">
        <is>
          <t>Brick edging 7cm wide 11.4 cm deep to plinth protection with common burnt clay F.P.S. (non modular) bricks...</t>
        </is>
      </c>
      <c r="C317" t="inlineStr">
        <is>
          <t>metres</t>
        </is>
      </c>
      <c r="D317" s="15" t="n">
        <v>52</v>
      </c>
      <c r="E317" t="inlineStr">
        <is>
          <t>06_Masonry_Work</t>
        </is>
      </c>
      <c r="F317" t="n">
        <v>318</v>
      </c>
    </row>
    <row r="318">
      <c r="A318" s="14" t="inlineStr">
        <is>
          <t>6.45.1</t>
        </is>
      </c>
      <c r="B318" t="inlineStr">
        <is>
          <t>Half brick masonry with non modular fly ash bricks of class designation 10, conformingio IS :12894, in supe...</t>
        </is>
      </c>
      <c r="C318" t="inlineStr">
        <is>
          <t>sqm</t>
        </is>
      </c>
      <c r="D318" s="15" t="n">
        <v>941.5</v>
      </c>
      <c r="E318" t="inlineStr">
        <is>
          <t>06_Masonry_Work</t>
        </is>
      </c>
      <c r="F318" t="n">
        <v>319</v>
      </c>
    </row>
    <row r="319">
      <c r="A319" s="14" t="inlineStr">
        <is>
          <t>6.45.2</t>
        </is>
      </c>
      <c r="B319" t="inlineStr">
        <is>
          <t>Half brick masonry with non modular fly ash bricks of class designation 10, conformingio IS :12894, in supe...</t>
        </is>
      </c>
      <c r="C319" t="inlineStr">
        <is>
          <t>sqm</t>
        </is>
      </c>
      <c r="D319" s="15" t="n">
        <v>917</v>
      </c>
      <c r="E319" t="inlineStr">
        <is>
          <t>06_Masonry_Work</t>
        </is>
      </c>
      <c r="F319" t="n">
        <v>320</v>
      </c>
    </row>
    <row r="320">
      <c r="A320" s="14" t="inlineStr">
        <is>
          <t>6.47</t>
        </is>
      </c>
      <c r="B320" t="inlineStr">
        <is>
          <t>Providing and laying autoclaved aerated cement blocks masonry with 150mm/ 230mm/300 mm thick AAC blocks in...</t>
        </is>
      </c>
      <c r="C320" t="inlineStr">
        <is>
          <t>cum</t>
        </is>
      </c>
      <c r="D320" s="15" t="n">
        <v>6636.95</v>
      </c>
      <c r="E320" t="inlineStr">
        <is>
          <t>06_Masonry_Work</t>
        </is>
      </c>
      <c r="F320" t="n">
        <v>321</v>
      </c>
    </row>
    <row r="321">
      <c r="A321" s="14" t="inlineStr">
        <is>
          <t>7.1.1</t>
        </is>
      </c>
      <c r="B321" t="inlineStr">
        <is>
          <t>Random rubble masonry with hard stone in foundation and plinth including levelling up with cement concrete...</t>
        </is>
      </c>
      <c r="C321" t="inlineStr">
        <is>
          <t>cum</t>
        </is>
      </c>
      <c r="D321" s="15" t="n">
        <v>6120.8</v>
      </c>
      <c r="E321" t="inlineStr">
        <is>
          <t>07_Stone_Work</t>
        </is>
      </c>
      <c r="F321" t="n">
        <v>324</v>
      </c>
    </row>
    <row r="322">
      <c r="A322" s="14" t="inlineStr">
        <is>
          <t>7.2.1</t>
        </is>
      </c>
      <c r="B322" t="inlineStr">
        <is>
          <t>Random rubble masonry with hard stone in superstructure above plinth level and upto floor five level, inclu...</t>
        </is>
      </c>
      <c r="C322" t="inlineStr">
        <is>
          <t>cum</t>
        </is>
      </c>
      <c r="D322" s="15" t="n">
        <v>7489.95</v>
      </c>
      <c r="E322" t="inlineStr">
        <is>
          <t>07_Stone_Work</t>
        </is>
      </c>
      <c r="F322" t="n">
        <v>324</v>
      </c>
    </row>
    <row r="323">
      <c r="A323" s="14" t="inlineStr">
        <is>
          <t>7.4.1</t>
        </is>
      </c>
      <c r="B323" t="inlineStr">
        <is>
          <t>Extra for random rubble masonry with hard stone in - Square or rectangular pillars</t>
        </is>
      </c>
      <c r="C323" t="inlineStr">
        <is>
          <t>cum</t>
        </is>
      </c>
      <c r="D323" s="15" t="n">
        <v>728.5</v>
      </c>
      <c r="E323" t="inlineStr">
        <is>
          <t>07_Stone_Work</t>
        </is>
      </c>
      <c r="F323" t="n">
        <v>325</v>
      </c>
    </row>
    <row r="324">
      <c r="A324" s="14" t="inlineStr">
        <is>
          <t>7.4.2</t>
        </is>
      </c>
      <c r="B324" t="inlineStr">
        <is>
          <t>Extra for random rubble masonry with hard stone in - Circular pillars</t>
        </is>
      </c>
      <c r="C324" t="inlineStr">
        <is>
          <t>cum</t>
        </is>
      </c>
      <c r="D324" s="15" t="n">
        <v>2025.5</v>
      </c>
      <c r="E324" t="inlineStr">
        <is>
          <t>07_Stone_Work</t>
        </is>
      </c>
      <c r="F324" t="n">
        <v>326</v>
      </c>
    </row>
    <row r="325">
      <c r="A325" s="14" t="inlineStr">
        <is>
          <t>7.5</t>
        </is>
      </c>
      <c r="B325" t="inlineStr">
        <is>
          <t>Extra for random rubble masonry with hard stone curved on plan for a mean radius not exceeding 6 m</t>
        </is>
      </c>
      <c r="C325" t="inlineStr">
        <is>
          <t>cum</t>
        </is>
      </c>
      <c r="D325" s="15" t="n">
        <v>804.45</v>
      </c>
      <c r="E325" t="inlineStr">
        <is>
          <t>07_Stone_Work</t>
        </is>
      </c>
      <c r="F325" t="n">
        <v>326</v>
      </c>
    </row>
    <row r="326">
      <c r="A326" s="14" t="inlineStr">
        <is>
          <t>7.6.1</t>
        </is>
      </c>
      <c r="B326" t="inlineStr">
        <is>
          <t>Coursed rubble masonry (first sort) with hard stone in foundation and plinth with - Cement mortar 1:6 (1 ce...</t>
        </is>
      </c>
      <c r="C326" t="inlineStr">
        <is>
          <t>cum</t>
        </is>
      </c>
      <c r="D326" s="15" t="n">
        <v>7312.15</v>
      </c>
      <c r="E326" t="inlineStr">
        <is>
          <t>07_Stone_Work</t>
        </is>
      </c>
      <c r="F326" t="n">
        <v>327</v>
      </c>
    </row>
    <row r="327">
      <c r="A327" s="14" t="inlineStr">
        <is>
          <t>7.7.1</t>
        </is>
      </c>
      <c r="B327" t="inlineStr">
        <is>
          <t>Coursed rubble masonry (second sort) with hard stone in foundation &amp; plinth with - Cement mortar 1:6 (1 cem...</t>
        </is>
      </c>
      <c r="C327" t="inlineStr">
        <is>
          <t>cum</t>
        </is>
      </c>
      <c r="D327" s="15" t="n">
        <v>6805.25</v>
      </c>
      <c r="E327" t="inlineStr">
        <is>
          <t>07_Stone_Work</t>
        </is>
      </c>
      <c r="F327" t="n">
        <v>327</v>
      </c>
    </row>
    <row r="328">
      <c r="A328" s="14" t="inlineStr">
        <is>
          <t>7.8.1</t>
        </is>
      </c>
      <c r="B328" t="inlineStr">
        <is>
          <t>Coursed rubble masonry with hard stone (first or second sort) in superstructure above plinth level and upto...</t>
        </is>
      </c>
      <c r="C328" t="inlineStr">
        <is>
          <t>cum</t>
        </is>
      </c>
      <c r="D328" s="15" t="n">
        <v>8718</v>
      </c>
      <c r="E328" t="inlineStr">
        <is>
          <t>07_Stone_Work</t>
        </is>
      </c>
      <c r="F328" t="n">
        <v>328</v>
      </c>
    </row>
    <row r="329">
      <c r="A329" s="14" t="inlineStr">
        <is>
          <t>7.8.2</t>
        </is>
      </c>
      <c r="B329" t="inlineStr">
        <is>
          <t>Coursed rubble masonry with hard stone (first or second sort) in superstructure above plinth level and upto...</t>
        </is>
      </c>
      <c r="C329" t="inlineStr">
        <is>
          <t>cum</t>
        </is>
      </c>
      <c r="D329" s="15" t="n">
        <v>8211.1</v>
      </c>
      <c r="E329" t="inlineStr">
        <is>
          <t>07_Stone_Work</t>
        </is>
      </c>
      <c r="F329" t="n">
        <v>329</v>
      </c>
    </row>
    <row r="330">
      <c r="A330" s="14" t="inlineStr">
        <is>
          <t>7.10.1</t>
        </is>
      </c>
      <c r="B330" t="inlineStr">
        <is>
          <t>Extra for coursed rubble masonry with hard stone (first or second sort) in - Square or rectangular pillars</t>
        </is>
      </c>
      <c r="C330" t="inlineStr">
        <is>
          <t>cum</t>
        </is>
      </c>
      <c r="D330" s="15" t="n">
        <v>603.15</v>
      </c>
      <c r="E330" t="inlineStr">
        <is>
          <t>07_Stone_Work</t>
        </is>
      </c>
      <c r="F330" t="n">
        <v>330</v>
      </c>
    </row>
    <row r="331">
      <c r="A331" s="14" t="inlineStr">
        <is>
          <t>7.10.2</t>
        </is>
      </c>
      <c r="B331" t="inlineStr">
        <is>
          <t>Extra for coursed rubble masonry with hard stone (first or second sort) in - Circular pillars</t>
        </is>
      </c>
      <c r="C331" t="inlineStr">
        <is>
          <t>cum</t>
        </is>
      </c>
      <c r="D331" s="15" t="n">
        <v>2301.65</v>
      </c>
      <c r="E331" t="inlineStr">
        <is>
          <t>07_Stone_Work</t>
        </is>
      </c>
      <c r="F331" t="n">
        <v>330</v>
      </c>
    </row>
    <row r="332">
      <c r="A332" s="14" t="inlineStr">
        <is>
          <t>7.11</t>
        </is>
      </c>
      <c r="B332" t="inlineStr">
        <is>
          <t>Extra for coursed rubble masonry with hard stone (first or second sort) curved on plan for a mean radius no...</t>
        </is>
      </c>
      <c r="C332" t="inlineStr">
        <is>
          <t>cum</t>
        </is>
      </c>
      <c r="D332" s="15" t="n">
        <v>875.35</v>
      </c>
      <c r="E332" t="inlineStr">
        <is>
          <t>07_Stone_Work</t>
        </is>
      </c>
      <c r="F332" t="n">
        <v>330</v>
      </c>
    </row>
    <row r="333">
      <c r="A333" s="14" t="inlineStr">
        <is>
          <t>7.12.1.1</t>
        </is>
      </c>
      <c r="B333" t="inlineStr">
        <is>
          <t>Stone work in plain ashlar in super structure upto floor five level in cement mortar 1:6 (1 cement : 6 coar...</t>
        </is>
      </c>
      <c r="C333" t="inlineStr">
        <is>
          <t>cudm</t>
        </is>
      </c>
      <c r="D333" s="15" t="n">
        <v>47132</v>
      </c>
      <c r="E333" t="inlineStr">
        <is>
          <t>07_Stone_Work</t>
        </is>
      </c>
      <c r="F333" t="n">
        <v>331</v>
      </c>
    </row>
    <row r="334">
      <c r="A334" s="14" t="inlineStr">
        <is>
          <t>7.12.1.2</t>
        </is>
      </c>
      <c r="B334" t="inlineStr">
        <is>
          <t>Stone work in plain ashlar in super structure upto floor five level in cement mortar 1:6 (1 cement : 6 coar...</t>
        </is>
      </c>
      <c r="C334" t="inlineStr">
        <is>
          <t>cudm</t>
        </is>
      </c>
      <c r="D334" s="15" t="n">
        <v>69604</v>
      </c>
      <c r="E334" t="inlineStr">
        <is>
          <t>07_Stone_Work</t>
        </is>
      </c>
      <c r="F334" t="n">
        <v>332</v>
      </c>
    </row>
    <row r="335">
      <c r="A335" s="14" t="inlineStr">
        <is>
          <t>7.12.2.1</t>
        </is>
      </c>
      <c r="B335" t="inlineStr">
        <is>
          <t>Stone work in plain ashlar in super structure upto floor five level in cement mortar 1:6 (1 cement : 6 coar...</t>
        </is>
      </c>
      <c r="C335" t="inlineStr">
        <is>
          <t>cudm</t>
        </is>
      </c>
      <c r="D335" s="15" t="n">
        <v>64279</v>
      </c>
      <c r="E335" t="inlineStr">
        <is>
          <t>07_Stone_Work</t>
        </is>
      </c>
      <c r="F335" t="n">
        <v>333</v>
      </c>
    </row>
    <row r="336">
      <c r="A336" s="14" t="inlineStr">
        <is>
          <t>7.12.2.2</t>
        </is>
      </c>
      <c r="B336" t="inlineStr">
        <is>
          <t>Stone work in plain ashlar in super structure upto floor five level in cement mortar 1:6 (1 cement : 6 coar...</t>
        </is>
      </c>
      <c r="C336" t="inlineStr">
        <is>
          <t>cudm</t>
        </is>
      </c>
      <c r="D336" s="15" t="n">
        <v>86751</v>
      </c>
      <c r="E336" t="inlineStr">
        <is>
          <t>07_Stone_Work</t>
        </is>
      </c>
      <c r="F336" t="n">
        <v>334</v>
      </c>
    </row>
    <row r="337">
      <c r="A337" s="14" t="inlineStr">
        <is>
          <t>7.13.1.1</t>
        </is>
      </c>
      <c r="B337" t="inlineStr">
        <is>
          <t>Stone work plain ashlar in arches in super structure upto floor V level in cement mortar 1:3 (1 cement : 3...</t>
        </is>
      </c>
      <c r="C337" t="inlineStr">
        <is>
          <t>cudm</t>
        </is>
      </c>
      <c r="D337" s="15" t="n">
        <v>52907</v>
      </c>
      <c r="E337" t="inlineStr">
        <is>
          <t>07_Stone_Work</t>
        </is>
      </c>
      <c r="F337" t="n">
        <v>335</v>
      </c>
    </row>
    <row r="338">
      <c r="A338" s="14" t="inlineStr">
        <is>
          <t>7.13.1.2</t>
        </is>
      </c>
      <c r="B338" t="inlineStr">
        <is>
          <t>Stone work plain ashlar in arches in super structure upto floor V level in cement mortar 1:3 (1 cement : 3...</t>
        </is>
      </c>
      <c r="C338" t="inlineStr">
        <is>
          <t>cudm</t>
        </is>
      </c>
      <c r="D338" s="15" t="n">
        <v>75379</v>
      </c>
      <c r="E338" t="inlineStr">
        <is>
          <t>07_Stone_Work</t>
        </is>
      </c>
      <c r="F338" t="n">
        <v>336</v>
      </c>
    </row>
    <row r="339">
      <c r="A339" s="14" t="inlineStr">
        <is>
          <t>7.13.2.1</t>
        </is>
      </c>
      <c r="B339" t="inlineStr">
        <is>
          <t>Stone work plain ashlar in arches in super structure upto floor V level in cement mortar 1:3 (1 cement : 3...</t>
        </is>
      </c>
      <c r="C339" t="inlineStr">
        <is>
          <t>cudm</t>
        </is>
      </c>
      <c r="D339" s="15" t="n">
        <v>70053</v>
      </c>
      <c r="E339" t="inlineStr">
        <is>
          <t>07_Stone_Work</t>
        </is>
      </c>
      <c r="F339" t="n">
        <v>337</v>
      </c>
    </row>
    <row r="340">
      <c r="A340" s="14" t="inlineStr">
        <is>
          <t>7.13.2.2</t>
        </is>
      </c>
      <c r="B340" t="inlineStr">
        <is>
          <t>Stone work plain ashlar in arches in super structure upto floor V level in cement mortar 1:3 (1 cement : 3...</t>
        </is>
      </c>
      <c r="C340" t="inlineStr">
        <is>
          <t>cudm</t>
        </is>
      </c>
      <c r="D340" s="15" t="n">
        <v>92525</v>
      </c>
      <c r="E340" t="inlineStr">
        <is>
          <t>07_Stone_Work</t>
        </is>
      </c>
      <c r="F340" t="n">
        <v>338</v>
      </c>
    </row>
    <row r="341">
      <c r="A341" s="14" t="inlineStr">
        <is>
          <t>7.14.1.1</t>
        </is>
      </c>
      <c r="B341" t="inlineStr">
        <is>
          <t>Stone work plain ashlar in domes , in super structure upto floor V level in cement mortar 1:3 (1 cement : 3...</t>
        </is>
      </c>
      <c r="C341" t="inlineStr">
        <is>
          <t>cudm</t>
        </is>
      </c>
      <c r="D341" s="15" t="n">
        <v>83532</v>
      </c>
      <c r="E341" t="inlineStr">
        <is>
          <t>07_Stone_Work</t>
        </is>
      </c>
      <c r="F341" t="n">
        <v>339</v>
      </c>
    </row>
    <row r="342">
      <c r="A342" s="14" t="inlineStr">
        <is>
          <t>7.14.1.2</t>
        </is>
      </c>
      <c r="B342" t="inlineStr">
        <is>
          <t>Stone work plain ashlar in domes , in super structure upto floor V level in cement mortar 1:3 (1 cement : 3...</t>
        </is>
      </c>
      <c r="C342" t="inlineStr">
        <is>
          <t>cudm</t>
        </is>
      </c>
      <c r="D342" s="15" t="n">
        <v>106004</v>
      </c>
      <c r="E342" t="inlineStr">
        <is>
          <t>07_Stone_Work</t>
        </is>
      </c>
      <c r="F342" t="n">
        <v>340</v>
      </c>
    </row>
    <row r="343">
      <c r="A343" s="14" t="inlineStr">
        <is>
          <t>7.14.2.1</t>
        </is>
      </c>
      <c r="B343" t="inlineStr">
        <is>
          <t>Stone work plain ashlar in domes , in super structure upto floor V level in cement mortar 1:3 (1 cement : 3...</t>
        </is>
      </c>
      <c r="C343" t="inlineStr">
        <is>
          <t>cudm</t>
        </is>
      </c>
      <c r="D343" s="15" t="n">
        <v>126051</v>
      </c>
      <c r="E343" t="inlineStr">
        <is>
          <t>07_Stone_Work</t>
        </is>
      </c>
      <c r="F343" t="n">
        <v>341</v>
      </c>
    </row>
    <row r="344">
      <c r="A344" s="14" t="inlineStr">
        <is>
          <t>7.14.2.2</t>
        </is>
      </c>
      <c r="B344" t="inlineStr">
        <is>
          <t>Stone work plain ashlar in domes , in super structure upto floor V level in cement mortar 1:3 (1 cement : 3...</t>
        </is>
      </c>
      <c r="C344" t="inlineStr">
        <is>
          <t>cudm</t>
        </is>
      </c>
      <c r="D344" s="15" t="n">
        <v>148523</v>
      </c>
      <c r="E344" t="inlineStr">
        <is>
          <t>07_Stone_Work</t>
        </is>
      </c>
      <c r="F344" t="n">
        <v>342</v>
      </c>
    </row>
    <row r="345">
      <c r="A345" s="14" t="inlineStr">
        <is>
          <t>7.15.1.1</t>
        </is>
      </c>
      <c r="B345" t="inlineStr">
        <is>
          <t>Stone work ashlar punched (ordinary) in superstructure upto floor five level in cement mortar 1:6 (1 white...</t>
        </is>
      </c>
      <c r="C345" t="inlineStr">
        <is>
          <t>cudm</t>
        </is>
      </c>
      <c r="D345" s="15" t="n">
        <v>44498</v>
      </c>
      <c r="E345" t="inlineStr">
        <is>
          <t>07_Stone_Work</t>
        </is>
      </c>
      <c r="F345" t="n">
        <v>343</v>
      </c>
    </row>
    <row r="346">
      <c r="A346" s="14" t="inlineStr">
        <is>
          <t>7.15.1.2</t>
        </is>
      </c>
      <c r="B346" t="inlineStr">
        <is>
          <t>Stone work ashlar punched (ordinary) in superstructure upto floor five level in cement mortar 1:6 (1 white...</t>
        </is>
      </c>
      <c r="C346" t="inlineStr">
        <is>
          <t>cudm</t>
        </is>
      </c>
      <c r="D346" s="15" t="n">
        <v>66970</v>
      </c>
      <c r="E346" t="inlineStr">
        <is>
          <t>07_Stone_Work</t>
        </is>
      </c>
      <c r="F346" t="n">
        <v>344</v>
      </c>
    </row>
    <row r="347">
      <c r="A347" s="14" t="inlineStr">
        <is>
          <t>7.15.2.1</t>
        </is>
      </c>
      <c r="B347" t="inlineStr">
        <is>
          <t>Stone work ashlar punched (ordinary) in superstructure upto floor five level in cement mortar 1:6 (1 white...</t>
        </is>
      </c>
      <c r="C347" t="inlineStr">
        <is>
          <t>cudm</t>
        </is>
      </c>
      <c r="D347" s="15" t="n">
        <v>59010</v>
      </c>
      <c r="E347" t="inlineStr">
        <is>
          <t>07_Stone_Work</t>
        </is>
      </c>
      <c r="F347" t="n">
        <v>345</v>
      </c>
    </row>
    <row r="348">
      <c r="A348" s="14" t="inlineStr">
        <is>
          <t>7.15.2.2</t>
        </is>
      </c>
      <c r="B348" t="inlineStr">
        <is>
          <t>Stone work ashlar punched (ordinary) in superstructure upto floor five level in cement mortar 1:6 (1 white...</t>
        </is>
      </c>
      <c r="C348" t="inlineStr">
        <is>
          <t>cudm</t>
        </is>
      </c>
      <c r="D348" s="15" t="n">
        <v>81482</v>
      </c>
      <c r="E348" t="inlineStr">
        <is>
          <t>07_Stone_Work</t>
        </is>
      </c>
      <c r="F348" t="n">
        <v>346</v>
      </c>
    </row>
    <row r="349">
      <c r="A349" s="14" t="inlineStr">
        <is>
          <t>7.16</t>
        </is>
      </c>
      <c r="B349" t="inlineStr">
        <is>
          <t>Extra for stone work, random rubble / coursed rubble masonry / ashlar masonry above floor V level for every...</t>
        </is>
      </c>
      <c r="C349" t="inlineStr">
        <is>
          <t>cudm</t>
        </is>
      </c>
      <c r="D349" s="15" t="n">
        <v>1493</v>
      </c>
      <c r="E349" t="inlineStr">
        <is>
          <t>07_Stone_Work</t>
        </is>
      </c>
      <c r="F349" t="n">
        <v>347</v>
      </c>
    </row>
    <row r="350">
      <c r="A350" s="14" t="inlineStr">
        <is>
          <t>7.17.1</t>
        </is>
      </c>
      <c r="B350" t="inlineStr">
        <is>
          <t>Extra for plain ashlar or ashlar punched in - Square or rectangular pillars</t>
        </is>
      </c>
      <c r="C350" t="inlineStr">
        <is>
          <t>cudm</t>
        </is>
      </c>
      <c r="D350" s="15" t="n">
        <v>2400</v>
      </c>
      <c r="E350" t="inlineStr">
        <is>
          <t>07_Stone_Work</t>
        </is>
      </c>
      <c r="F350" t="n">
        <v>348</v>
      </c>
    </row>
    <row r="351">
      <c r="A351" s="14" t="inlineStr">
        <is>
          <t>7.18</t>
        </is>
      </c>
      <c r="B351" t="inlineStr">
        <is>
          <t>Extra for stone work; plain ashlar or ashlar punched curved on plan with a mean radius not exceeding 6 m</t>
        </is>
      </c>
      <c r="C351" t="inlineStr">
        <is>
          <t>cudm</t>
        </is>
      </c>
      <c r="D351" s="15" t="n">
        <v>1670</v>
      </c>
      <c r="E351" t="inlineStr">
        <is>
          <t>07_Stone_Work</t>
        </is>
      </c>
      <c r="F351" t="n">
        <v>348</v>
      </c>
    </row>
    <row r="352">
      <c r="A352" s="14" t="inlineStr">
        <is>
          <t>7.19</t>
        </is>
      </c>
      <c r="B352" t="inlineStr">
        <is>
          <t>Extra for additional cost of centering for arches exceeding 6m span including all strutting, bolting, wedgi...</t>
        </is>
      </c>
      <c r="C352" t="inlineStr">
        <is>
          <t>sqm</t>
        </is>
      </c>
      <c r="D352" s="15" t="n">
        <v>560.65</v>
      </c>
      <c r="E352" t="inlineStr">
        <is>
          <t>07_Stone_Work</t>
        </is>
      </c>
      <c r="F352" t="n">
        <v>348</v>
      </c>
    </row>
    <row r="353">
      <c r="A353" s="14" t="inlineStr">
        <is>
          <t>7.20.1</t>
        </is>
      </c>
      <c r="B353" t="inlineStr">
        <is>
          <t>Stone work ashlar sunk or moulded or sunk and moulded upto floor five level in cement mortar 1:6 (1 cement...</t>
        </is>
      </c>
      <c r="C353" t="inlineStr">
        <is>
          <t>cudm</t>
        </is>
      </c>
      <c r="D353" s="15" t="n">
        <v>67731</v>
      </c>
      <c r="E353" t="inlineStr">
        <is>
          <t>07_Stone_Work</t>
        </is>
      </c>
      <c r="F353" t="n">
        <v>350</v>
      </c>
    </row>
    <row r="354">
      <c r="A354" s="14" t="inlineStr">
        <is>
          <t>7.20.2</t>
        </is>
      </c>
      <c r="B354" t="inlineStr">
        <is>
          <t>Stone work ashlar sunk or moulded or sunk and moulded upto floor five level in cement mortar 1:6 (1 cement...</t>
        </is>
      </c>
      <c r="C354" t="inlineStr">
        <is>
          <t>cudm</t>
        </is>
      </c>
      <c r="D354" s="15" t="n">
        <v>90203</v>
      </c>
      <c r="E354" t="inlineStr">
        <is>
          <t>07_Stone_Work</t>
        </is>
      </c>
      <c r="F354" t="n">
        <v>351</v>
      </c>
    </row>
    <row r="355">
      <c r="A355" s="14" t="inlineStr">
        <is>
          <t>7.21.1</t>
        </is>
      </c>
      <c r="B355" t="inlineStr">
        <is>
          <t>Extra for stone work ashlar sunk or moulded or sunk and moulded or carved in - Triangular or Square or rect...</t>
        </is>
      </c>
      <c r="C355" t="inlineStr">
        <is>
          <t>cudm</t>
        </is>
      </c>
      <c r="D355" s="15" t="n">
        <v>3131</v>
      </c>
      <c r="E355" t="inlineStr">
        <is>
          <t>07_Stone_Work</t>
        </is>
      </c>
      <c r="F355" t="n">
        <v>352</v>
      </c>
    </row>
    <row r="356">
      <c r="A356" s="14" t="inlineStr">
        <is>
          <t>7.21.2</t>
        </is>
      </c>
      <c r="B356" t="inlineStr">
        <is>
          <t>Extra for stone work ashlar sunk or moulded or sunk and moulded or carved in - Circular or polygonal pillars</t>
        </is>
      </c>
      <c r="C356" t="inlineStr">
        <is>
          <t>cudm</t>
        </is>
      </c>
      <c r="D356" s="15" t="n">
        <v>8871</v>
      </c>
      <c r="E356" t="inlineStr">
        <is>
          <t>07_Stone_Work</t>
        </is>
      </c>
      <c r="F356" t="n">
        <v>352</v>
      </c>
    </row>
    <row r="357">
      <c r="A357" s="14" t="inlineStr">
        <is>
          <t>7.22</t>
        </is>
      </c>
      <c r="B357" t="inlineStr">
        <is>
          <t>Extra for stone work ashlar sunk or moulded in cornices</t>
        </is>
      </c>
      <c r="C357" t="inlineStr">
        <is>
          <t>nos</t>
        </is>
      </c>
      <c r="D357" s="15" t="n">
        <v>225.35</v>
      </c>
      <c r="E357" t="inlineStr">
        <is>
          <t>07_Stone_Work</t>
        </is>
      </c>
      <c r="F357" t="n">
        <v>353</v>
      </c>
    </row>
    <row r="358">
      <c r="A358" s="14" t="inlineStr">
        <is>
          <t>7.24</t>
        </is>
      </c>
      <c r="B358" t="inlineStr">
        <is>
          <t>Extra for stone work (veneer work) curved on plan with a mean radius not exceeding 6 m</t>
        </is>
      </c>
      <c r="C358" t="inlineStr">
        <is>
          <t>cudm</t>
        </is>
      </c>
      <c r="D358" s="15" t="n">
        <v>2400</v>
      </c>
      <c r="E358" t="inlineStr">
        <is>
          <t>07_Stone_Work</t>
        </is>
      </c>
      <c r="F358" t="n">
        <v>353</v>
      </c>
    </row>
    <row r="359">
      <c r="A359" s="14" t="inlineStr">
        <is>
          <t>7.26</t>
        </is>
      </c>
      <c r="B359" t="inlineStr">
        <is>
          <t>Providing and fixing stone dowels 10x5x2.50 cm cut to double wedge shape as per design in cement mortar 1:2...</t>
        </is>
      </c>
      <c r="C359" t="inlineStr">
        <is>
          <t>nos</t>
        </is>
      </c>
      <c r="D359" s="15" t="n">
        <v>45.75</v>
      </c>
      <c r="E359" t="inlineStr">
        <is>
          <t>07_Stone_Work</t>
        </is>
      </c>
      <c r="F359" t="n">
        <v>353</v>
      </c>
    </row>
    <row r="360">
      <c r="A360" s="14" t="inlineStr">
        <is>
          <t>7.28.1.1</t>
        </is>
      </c>
      <c r="B360" t="inlineStr">
        <is>
          <t>Providing and fixing sloping chajja of stone 40 mm thick and upto 80 cm wide beyond the wall as measured al...</t>
        </is>
      </c>
      <c r="C360" t="inlineStr">
        <is>
          <t>sqm</t>
        </is>
      </c>
      <c r="D360" s="15" t="n">
        <v>2081.2</v>
      </c>
      <c r="E360" t="inlineStr">
        <is>
          <t>07_Stone_Work</t>
        </is>
      </c>
      <c r="F360" t="n">
        <v>354</v>
      </c>
    </row>
    <row r="361">
      <c r="A361" s="14" t="inlineStr">
        <is>
          <t>7.28.2.1</t>
        </is>
      </c>
      <c r="B361" t="inlineStr">
        <is>
          <t>Providing and fixing sloping chajja of stone 40 mm thick and upto 80 cm wide beyond the wall as measured al...</t>
        </is>
      </c>
      <c r="C361" t="inlineStr">
        <is>
          <t>sqm</t>
        </is>
      </c>
      <c r="D361" s="15" t="n">
        <v>2081.2</v>
      </c>
      <c r="E361" t="inlineStr">
        <is>
          <t>07_Stone_Work</t>
        </is>
      </c>
      <c r="F361" t="n">
        <v>355</v>
      </c>
    </row>
    <row r="362">
      <c r="A362" s="14" t="inlineStr">
        <is>
          <t>7.29.1</t>
        </is>
      </c>
      <c r="B362" t="inlineStr">
        <is>
          <t>Providing and fixing horizontal chajja of stone 40 mm thick and upto 80 cm projection in cement mortar 1:4...</t>
        </is>
      </c>
      <c r="C362" t="inlineStr">
        <is>
          <t>sqm</t>
        </is>
      </c>
      <c r="D362" s="15" t="n">
        <v>1306.75</v>
      </c>
      <c r="E362" t="inlineStr">
        <is>
          <t>07_Stone_Work</t>
        </is>
      </c>
      <c r="F362" t="n">
        <v>356</v>
      </c>
    </row>
    <row r="363">
      <c r="A363" s="14" t="inlineStr">
        <is>
          <t>7.29.2</t>
        </is>
      </c>
      <c r="B363" t="inlineStr">
        <is>
          <t>Providing and fixing horizontal chajja of stone 40 mm thick and upto 80 cm projection in cement mortar 1:4...</t>
        </is>
      </c>
      <c r="C363" t="inlineStr">
        <is>
          <t>sqm</t>
        </is>
      </c>
      <c r="D363" s="15" t="n">
        <v>1306.75</v>
      </c>
      <c r="E363" t="inlineStr">
        <is>
          <t>07_Stone_Work</t>
        </is>
      </c>
      <c r="F363" t="n">
        <v>357</v>
      </c>
    </row>
    <row r="364">
      <c r="A364" s="14" t="inlineStr">
        <is>
          <t>7.30</t>
        </is>
      </c>
      <c r="B364" t="inlineStr">
        <is>
          <t>30 mm red sand stone sun-shade (chisel-dressed) supported on red sand stone brackets, fixed in walls with c...</t>
        </is>
      </c>
      <c r="C364" t="inlineStr">
        <is>
          <t>sqm</t>
        </is>
      </c>
      <c r="D364" s="15" t="n">
        <v>1556.4</v>
      </c>
      <c r="E364" t="inlineStr">
        <is>
          <t>07_Stone_Work</t>
        </is>
      </c>
      <c r="F364" t="n">
        <v>358</v>
      </c>
    </row>
    <row r="365">
      <c r="A365" s="14" t="inlineStr">
        <is>
          <t>7.31</t>
        </is>
      </c>
      <c r="B365" t="inlineStr">
        <is>
          <t>Providing and fixing red sand stone brackets 55x22.5x45 cm sunk and moulded including providing and fixing...</t>
        </is>
      </c>
      <c r="C365" t="inlineStr">
        <is>
          <t>bracket</t>
        </is>
      </c>
      <c r="D365" s="15" t="n">
        <v>5032.85</v>
      </c>
      <c r="E365" t="inlineStr">
        <is>
          <t>07_Stone_Work</t>
        </is>
      </c>
      <c r="F365" t="n">
        <v>358</v>
      </c>
    </row>
    <row r="366">
      <c r="A366" s="14" t="inlineStr">
        <is>
          <t>7.32.1</t>
        </is>
      </c>
      <c r="B366" t="inlineStr">
        <is>
          <t>Stone work, plain in copings, cornices, string courses and plinth courses, upto 75 mm thick in Cement morta...</t>
        </is>
      </c>
      <c r="C366" t="inlineStr">
        <is>
          <t>cudm</t>
        </is>
      </c>
      <c r="D366" s="15" t="n">
        <v>66408.89999999999</v>
      </c>
      <c r="E366" t="inlineStr">
        <is>
          <t>07_Stone_Work</t>
        </is>
      </c>
      <c r="F366" t="n">
        <v>359</v>
      </c>
    </row>
    <row r="367">
      <c r="A367" s="14" t="inlineStr">
        <is>
          <t>7.32.2</t>
        </is>
      </c>
      <c r="B367" t="inlineStr">
        <is>
          <t>Stone work, plain in copings, cornices, string courses and plinth courses, upto 75 mm thick in Cement morta...</t>
        </is>
      </c>
      <c r="C367" t="inlineStr">
        <is>
          <t>cudm</t>
        </is>
      </c>
      <c r="D367" s="15" t="n">
        <v>88880</v>
      </c>
      <c r="E367" t="inlineStr">
        <is>
          <t>07_Stone_Work</t>
        </is>
      </c>
      <c r="F367" t="n">
        <v>360</v>
      </c>
    </row>
    <row r="368">
      <c r="A368" s="14" t="inlineStr">
        <is>
          <t>7.33.1</t>
        </is>
      </c>
      <c r="B368" t="inlineStr">
        <is>
          <t>Providing and fixing stone jali 40 mm thick throughout in cement mortar 1:3 (1 cement : 3 coarse sand), inc...</t>
        </is>
      </c>
      <c r="C368" t="inlineStr">
        <is>
          <t>sqm</t>
        </is>
      </c>
      <c r="D368" s="15" t="n">
        <v>11230.4</v>
      </c>
      <c r="E368" t="inlineStr">
        <is>
          <t>07_Stone_Work</t>
        </is>
      </c>
      <c r="F368" t="n">
        <v>360</v>
      </c>
    </row>
    <row r="369">
      <c r="A369" s="14" t="inlineStr">
        <is>
          <t>7.33.2</t>
        </is>
      </c>
      <c r="B369" t="inlineStr">
        <is>
          <t>Providing and fixing stone jali 40 mm thick throughout in cement mortar 1:3 (1 cement : 3 coarse sand), inc...</t>
        </is>
      </c>
      <c r="C369" t="inlineStr">
        <is>
          <t>sqm</t>
        </is>
      </c>
      <c r="D369" s="15" t="n">
        <v>11230.4</v>
      </c>
      <c r="E369" t="inlineStr">
        <is>
          <t>07_Stone_Work</t>
        </is>
      </c>
      <c r="F369" t="n">
        <v>361</v>
      </c>
    </row>
    <row r="370">
      <c r="A370" s="14" t="inlineStr">
        <is>
          <t>7.34</t>
        </is>
      </c>
      <c r="B370" t="inlineStr">
        <is>
          <t>Extra for laying stone work in or under water and/or liquid mud including cost of pumping or bailing out wa...</t>
        </is>
      </c>
      <c r="C370" t="inlineStr">
        <is>
          <t>cum</t>
        </is>
      </c>
      <c r="D370" s="15" t="n">
        <v>794.65</v>
      </c>
      <c r="E370" t="inlineStr">
        <is>
          <t>07_Stone_Work</t>
        </is>
      </c>
      <c r="F370" t="n">
        <v>362</v>
      </c>
    </row>
    <row r="371">
      <c r="A371" s="14" t="inlineStr">
        <is>
          <t>7.35</t>
        </is>
      </c>
      <c r="B371" t="inlineStr">
        <is>
          <t>Extra for laying stone work in or under foul position</t>
        </is>
      </c>
      <c r="C371" t="inlineStr">
        <is>
          <t>cum</t>
        </is>
      </c>
      <c r="D371" s="15" t="n">
        <v>336.55</v>
      </c>
      <c r="E371" t="inlineStr">
        <is>
          <t>07_Stone_Work</t>
        </is>
      </c>
      <c r="F371" t="n">
        <v>362</v>
      </c>
    </row>
    <row r="372">
      <c r="A372" s="14" t="inlineStr">
        <is>
          <t>7.38.1.1</t>
        </is>
      </c>
      <c r="B372" t="inlineStr">
        <is>
          <t>Stone tile work for wall lining upto 10 m height with special adhesive over 12 mm thick bed of cement morta...</t>
        </is>
      </c>
      <c r="C372" t="inlineStr">
        <is>
          <t>sqm</t>
        </is>
      </c>
      <c r="D372" s="15" t="n">
        <v>2537.4</v>
      </c>
      <c r="E372" t="inlineStr">
        <is>
          <t>07_Stone_Work</t>
        </is>
      </c>
      <c r="F372" t="n">
        <v>363</v>
      </c>
    </row>
    <row r="373">
      <c r="A373" s="14" t="inlineStr">
        <is>
          <t>7.38.1.2</t>
        </is>
      </c>
      <c r="B373" t="inlineStr">
        <is>
          <t>Stone tile work for wall lining upto 10 m height with special adhesive over 12 mm thick bed of cement morta...</t>
        </is>
      </c>
      <c r="C373" t="inlineStr">
        <is>
          <t>sqm</t>
        </is>
      </c>
      <c r="D373" s="15" t="n">
        <v>2263.1</v>
      </c>
      <c r="E373" t="inlineStr">
        <is>
          <t>07_Stone_Work</t>
        </is>
      </c>
      <c r="F373" t="n">
        <v>363</v>
      </c>
    </row>
    <row r="374">
      <c r="A374" s="14" t="inlineStr">
        <is>
          <t>8.1.1.1</t>
        </is>
      </c>
      <c r="B374" t="inlineStr">
        <is>
          <t>Marble work gang saw cut (polished and machine cut) of thickness 18 mm for wall lining (veneer work), backi...</t>
        </is>
      </c>
      <c r="C374" t="inlineStr">
        <is>
          <t>sqm</t>
        </is>
      </c>
      <c r="D374" s="15" t="n">
        <v>4439.4</v>
      </c>
      <c r="E374" t="inlineStr">
        <is>
          <t>08_Cladding_Work</t>
        </is>
      </c>
      <c r="F374" t="n">
        <v>368</v>
      </c>
    </row>
    <row r="375">
      <c r="A375" s="14" t="inlineStr">
        <is>
          <t>8.1.1.2</t>
        </is>
      </c>
      <c r="B375" t="inlineStr">
        <is>
          <t>Marble work gang saw cut (polished and machine cut) of thickness 18 mm for wall lining (veneer work), backi...</t>
        </is>
      </c>
      <c r="C375" t="inlineStr">
        <is>
          <t>sqm</t>
        </is>
      </c>
      <c r="D375" s="15" t="n">
        <v>4615.65</v>
      </c>
      <c r="E375" t="inlineStr">
        <is>
          <t>08_Cladding_Work</t>
        </is>
      </c>
      <c r="F375" t="n">
        <v>369</v>
      </c>
    </row>
    <row r="376">
      <c r="A376" s="14" t="inlineStr">
        <is>
          <t>8.2.1.1</t>
        </is>
      </c>
      <c r="B376" t="inlineStr">
        <is>
          <t>Providing and fixing 18 mm thick gang saw cut, mirror polished, premoulded and prepolished, machine cut for...</t>
        </is>
      </c>
      <c r="C376" t="inlineStr">
        <is>
          <t>sqm</t>
        </is>
      </c>
      <c r="D376" s="15" t="n">
        <v>2777.4</v>
      </c>
      <c r="E376" t="inlineStr">
        <is>
          <t>08_Cladding_Work</t>
        </is>
      </c>
      <c r="F376" t="n">
        <v>370</v>
      </c>
    </row>
    <row r="377">
      <c r="A377" s="14" t="inlineStr">
        <is>
          <t>8.2.1.2</t>
        </is>
      </c>
      <c r="B377" t="inlineStr">
        <is>
          <t>Providing and fixing 18 mm thick gang saw cut, mirror polished, premoulded and prepolished, machine cut for...</t>
        </is>
      </c>
      <c r="C377" t="inlineStr">
        <is>
          <t>sqm</t>
        </is>
      </c>
      <c r="D377" s="15" t="n">
        <v>2552.65</v>
      </c>
      <c r="E377" t="inlineStr">
        <is>
          <t>08_Cladding_Work</t>
        </is>
      </c>
      <c r="F377" t="n">
        <v>370</v>
      </c>
    </row>
    <row r="378">
      <c r="A378" s="14" t="inlineStr">
        <is>
          <t>8.2.2.1</t>
        </is>
      </c>
      <c r="B378" t="inlineStr">
        <is>
          <t>Providing and fixing 18 mm thick gang saw cut, mirror polished, premoulded and prepolished, machine cut for...</t>
        </is>
      </c>
      <c r="C378" t="inlineStr">
        <is>
          <t>sqm</t>
        </is>
      </c>
      <c r="D378" s="15" t="n">
        <v>4217.35</v>
      </c>
      <c r="E378" t="inlineStr">
        <is>
          <t>08_Cladding_Work</t>
        </is>
      </c>
      <c r="F378" t="n">
        <v>371</v>
      </c>
    </row>
    <row r="379">
      <c r="A379" s="14" t="inlineStr">
        <is>
          <t>8.2.2.2</t>
        </is>
      </c>
      <c r="B379" t="inlineStr">
        <is>
          <t>Providing and fixing 18 mm thick gang saw cut, mirror polished, premoulded and prepolished, machine cut for...</t>
        </is>
      </c>
      <c r="C379" t="inlineStr">
        <is>
          <t>sqm</t>
        </is>
      </c>
      <c r="D379" s="15" t="n">
        <v>4007.65</v>
      </c>
      <c r="E379" t="inlineStr">
        <is>
          <t>08_Cladding_Work</t>
        </is>
      </c>
      <c r="F379" t="n">
        <v>372</v>
      </c>
    </row>
    <row r="380">
      <c r="A380" s="14" t="inlineStr">
        <is>
          <t>8.3.1</t>
        </is>
      </c>
      <c r="B380" t="inlineStr">
        <is>
          <t>Providing edge moulding to 18 mm thick marble stone counters, Vanities etc., including machine polishing to...</t>
        </is>
      </c>
      <c r="C380" t="inlineStr">
        <is>
          <t>metre</t>
        </is>
      </c>
      <c r="D380" s="15" t="n">
        <v>220.35</v>
      </c>
      <c r="E380" t="inlineStr">
        <is>
          <t>08_Cladding_Work</t>
        </is>
      </c>
      <c r="F380" t="n">
        <v>372</v>
      </c>
    </row>
    <row r="381">
      <c r="A381" s="14" t="inlineStr">
        <is>
          <t>8.3.2</t>
        </is>
      </c>
      <c r="B381" t="inlineStr">
        <is>
          <t>Providing edge moulding to 18 mm thick marble stone counters, Vanities etc., including machine polishing to...</t>
        </is>
      </c>
      <c r="C381" t="inlineStr">
        <is>
          <t>metre</t>
        </is>
      </c>
      <c r="D381" s="15" t="n">
        <v>376.25</v>
      </c>
      <c r="E381" t="inlineStr">
        <is>
          <t>08_Cladding_Work</t>
        </is>
      </c>
      <c r="F381" t="n">
        <v>373</v>
      </c>
    </row>
    <row r="382">
      <c r="A382" s="14" t="inlineStr">
        <is>
          <t>8.4</t>
        </is>
      </c>
      <c r="B382" t="inlineStr">
        <is>
          <t>Extra for fixing marble /granite stone, over and above corresponding basic item, in facia and drops of widt...</t>
        </is>
      </c>
      <c r="C382" t="inlineStr">
        <is>
          <t>metre</t>
        </is>
      </c>
      <c r="D382" s="15" t="n">
        <v>434.25</v>
      </c>
      <c r="E382" t="inlineStr">
        <is>
          <t>08_Cladding_Work</t>
        </is>
      </c>
      <c r="F382" t="n">
        <v>373</v>
      </c>
    </row>
    <row r="383">
      <c r="A383" s="14" t="inlineStr">
        <is>
          <t>8.5</t>
        </is>
      </c>
      <c r="B383" t="inlineStr">
        <is>
          <t>Extra for providing opening of required size &amp; shape for wash basin/ kitchen sink in kitchen platform, vani...</t>
        </is>
      </c>
      <c r="C383" t="inlineStr">
        <is>
          <t>nos</t>
        </is>
      </c>
      <c r="D383" s="15" t="n">
        <v>734.55</v>
      </c>
      <c r="E383" t="inlineStr">
        <is>
          <t>08_Cladding_Work</t>
        </is>
      </c>
      <c r="F383" t="n">
        <v>374</v>
      </c>
    </row>
    <row r="384">
      <c r="A384" s="14" t="inlineStr">
        <is>
          <t>8.6</t>
        </is>
      </c>
      <c r="B384" t="inlineStr">
        <is>
          <t>Mirror polishing on marble work/Granite work/stone work where ever required to give high gloss finish complete</t>
        </is>
      </c>
      <c r="C384" t="inlineStr">
        <is>
          <t>sqm</t>
        </is>
      </c>
      <c r="D384" s="15" t="n">
        <v>368</v>
      </c>
      <c r="E384" t="inlineStr">
        <is>
          <t>08_Cladding_Work</t>
        </is>
      </c>
      <c r="F384" t="n">
        <v>374</v>
      </c>
    </row>
    <row r="385">
      <c r="A385" s="14" t="inlineStr">
        <is>
          <t>8.7.1</t>
        </is>
      </c>
      <c r="B385" t="inlineStr">
        <is>
          <t>Providing and fixing cramps of required size &amp; shape in RCC/ CC / Brick masonry backing with cement mortar...</t>
        </is>
      </c>
      <c r="C385" t="inlineStr">
        <is>
          <t>kg</t>
        </is>
      </c>
      <c r="D385" s="15" t="n">
        <v>627.85</v>
      </c>
      <c r="E385" t="inlineStr">
        <is>
          <t>08_Cladding_Work</t>
        </is>
      </c>
      <c r="F385" t="n">
        <v>375</v>
      </c>
    </row>
    <row r="386">
      <c r="A386" s="14" t="inlineStr">
        <is>
          <t>8.7.2</t>
        </is>
      </c>
      <c r="B386" t="inlineStr">
        <is>
          <t>Providing and fixing cramps of required size &amp; shape in RCC/ CC / Brick masonry backing with cement mortar...</t>
        </is>
      </c>
      <c r="C386" t="inlineStr">
        <is>
          <t>kg</t>
        </is>
      </c>
      <c r="D386" s="15" t="n">
        <v>612.6</v>
      </c>
      <c r="E386" t="inlineStr">
        <is>
          <t>08_Cladding_Work</t>
        </is>
      </c>
      <c r="F386" t="n">
        <v>375</v>
      </c>
    </row>
    <row r="387">
      <c r="A387" s="14" t="inlineStr">
        <is>
          <t>8.8.1.1</t>
        </is>
      </c>
      <c r="B387" t="inlineStr">
        <is>
          <t>Providing and fixing expansion hold fasteners on C.C. /R.C.C./Brick masonry surface backing including drill...</t>
        </is>
      </c>
      <c r="C387" t="inlineStr">
        <is>
          <t>nos</t>
        </is>
      </c>
      <c r="D387" s="15" t="n">
        <v>33.05</v>
      </c>
      <c r="E387" t="inlineStr">
        <is>
          <t>08_Cladding_Work</t>
        </is>
      </c>
      <c r="F387" t="n">
        <v>376</v>
      </c>
    </row>
    <row r="388">
      <c r="A388" s="14" t="inlineStr">
        <is>
          <t>8.8.1.2</t>
        </is>
      </c>
      <c r="B388" t="inlineStr">
        <is>
          <t>Providing and fixing expansion hold fasteners on C.C. /R.C.C./Brick masonry surface backing including drill...</t>
        </is>
      </c>
      <c r="C388" t="inlineStr">
        <is>
          <t>nos</t>
        </is>
      </c>
      <c r="D388" s="15" t="n">
        <v>33.35</v>
      </c>
      <c r="E388" t="inlineStr">
        <is>
          <t>08_Cladding_Work</t>
        </is>
      </c>
      <c r="F388" t="n">
        <v>377</v>
      </c>
    </row>
    <row r="389">
      <c r="A389" s="14" t="inlineStr">
        <is>
          <t>8.8.1.3</t>
        </is>
      </c>
      <c r="B389" t="inlineStr">
        <is>
          <t>Providing and fixing expansion hold fasteners on C.C. /R.C.C./Brick masonry surface backing including drill...</t>
        </is>
      </c>
      <c r="C389" t="inlineStr">
        <is>
          <t>nos</t>
        </is>
      </c>
      <c r="D389" s="15" t="n">
        <v>55.1</v>
      </c>
      <c r="E389" t="inlineStr">
        <is>
          <t>08_Cladding_Work</t>
        </is>
      </c>
      <c r="F389" t="n">
        <v>377</v>
      </c>
    </row>
    <row r="390">
      <c r="A390" s="14" t="inlineStr">
        <is>
          <t>8.9.1.1</t>
        </is>
      </c>
      <c r="B390" t="inlineStr">
        <is>
          <t>Stone tile (polished) work for wall lining over 12 mm thick bed of cement mortar 1:3 (1 cement : 3 coarse s...</t>
        </is>
      </c>
      <c r="C390" t="inlineStr">
        <is>
          <t>sqm</t>
        </is>
      </c>
      <c r="D390" s="15" t="n">
        <v>2515.4</v>
      </c>
      <c r="E390" t="inlineStr">
        <is>
          <t>08_Cladding_Work</t>
        </is>
      </c>
      <c r="F390" t="n">
        <v>378</v>
      </c>
    </row>
    <row r="391">
      <c r="A391" s="14" t="inlineStr">
        <is>
          <t>8.9.1.2</t>
        </is>
      </c>
      <c r="B391" t="inlineStr">
        <is>
          <t>Stone tile (polished) work for wall lining over 12 mm thick bed of cement mortar 1:3 (1 cement : 3 coarse s...</t>
        </is>
      </c>
      <c r="C391" t="inlineStr">
        <is>
          <t>sqm</t>
        </is>
      </c>
      <c r="D391" s="15" t="n">
        <v>2926.85</v>
      </c>
      <c r="E391" t="inlineStr">
        <is>
          <t>08_Cladding_Work</t>
        </is>
      </c>
      <c r="F391" t="n">
        <v>379</v>
      </c>
    </row>
    <row r="392">
      <c r="A392" s="14" t="inlineStr">
        <is>
          <t>8.10.1</t>
        </is>
      </c>
      <c r="B392" t="inlineStr">
        <is>
          <t>Providing and fixing stone slab with table rubbed, edges rounded and polished, of size 75x50 cm deep and 1....</t>
        </is>
      </c>
      <c r="C392" t="inlineStr">
        <is>
          <t>sqm</t>
        </is>
      </c>
      <c r="D392" s="15" t="n">
        <v>3216.9</v>
      </c>
      <c r="E392" t="inlineStr">
        <is>
          <t>08_Cladding_Work</t>
        </is>
      </c>
      <c r="F392" t="n">
        <v>379</v>
      </c>
    </row>
    <row r="393">
      <c r="A393" s="14" t="inlineStr">
        <is>
          <t>8.10.2</t>
        </is>
      </c>
      <c r="B393" t="inlineStr">
        <is>
          <t>Providing and fixing stone slab with table rubbed, edges rounded and polished, of size 75x50 cm deep and 1....</t>
        </is>
      </c>
      <c r="C393" t="inlineStr">
        <is>
          <t>sqm</t>
        </is>
      </c>
      <c r="D393" s="15" t="n">
        <v>3216.9</v>
      </c>
      <c r="E393" t="inlineStr">
        <is>
          <t>08_Cladding_Work</t>
        </is>
      </c>
      <c r="F393" t="n">
        <v>380</v>
      </c>
    </row>
    <row r="394">
      <c r="A394" s="14" t="inlineStr">
        <is>
          <t>8.11.1</t>
        </is>
      </c>
      <c r="B394" t="inlineStr">
        <is>
          <t>Providing and fixing machine cut, mirror/ eggshell polished , Marble stone work for wall lining (veneer wor...</t>
        </is>
      </c>
      <c r="C394" t="inlineStr">
        <is>
          <t>sqm</t>
        </is>
      </c>
      <c r="D394" s="15" t="n">
        <v>8823.75</v>
      </c>
      <c r="E394" t="inlineStr">
        <is>
          <t>08_Cladding_Work</t>
        </is>
      </c>
      <c r="F394" t="n">
        <v>381</v>
      </c>
    </row>
    <row r="395">
      <c r="A395" s="14" t="inlineStr">
        <is>
          <t>8.14.1.1</t>
        </is>
      </c>
      <c r="B395" t="inlineStr">
        <is>
          <t>Stone work (machine cut edges) for wall lining etc. (veneer work) upto 10 metre height, backing filled with...</t>
        </is>
      </c>
      <c r="C395" t="inlineStr">
        <is>
          <t>sqm</t>
        </is>
      </c>
      <c r="D395" s="15" t="n">
        <v>4460.95</v>
      </c>
      <c r="E395" t="inlineStr">
        <is>
          <t>08_Cladding_Work</t>
        </is>
      </c>
      <c r="F395" t="n">
        <v>382</v>
      </c>
    </row>
    <row r="396">
      <c r="A396" s="14" t="inlineStr">
        <is>
          <t>8.14.1.2</t>
        </is>
      </c>
      <c r="B396" t="inlineStr">
        <is>
          <t>Stone work (machine cut edges) for wall lining etc. (veneer work) upto 10 metre height, backing filled with...</t>
        </is>
      </c>
      <c r="C396" t="inlineStr">
        <is>
          <t>sqm</t>
        </is>
      </c>
      <c r="D396" s="15" t="n">
        <v>4316.2</v>
      </c>
      <c r="E396" t="inlineStr">
        <is>
          <t>08_Cladding_Work</t>
        </is>
      </c>
      <c r="F396" t="n">
        <v>382</v>
      </c>
    </row>
    <row r="397">
      <c r="A397" s="14" t="inlineStr">
        <is>
          <t>8.14.1.3</t>
        </is>
      </c>
      <c r="B397" t="inlineStr">
        <is>
          <t>Stone work (machine cut edges) for wall lining etc. (veneer work) upto 10 metre height, backing filled with...</t>
        </is>
      </c>
      <c r="C397" t="inlineStr">
        <is>
          <t>sqm</t>
        </is>
      </c>
      <c r="D397" s="15" t="n">
        <v>4171.8</v>
      </c>
      <c r="E397" t="inlineStr">
        <is>
          <t>08_Cladding_Work</t>
        </is>
      </c>
      <c r="F397" t="n">
        <v>383</v>
      </c>
    </row>
    <row r="398">
      <c r="A398" s="14" t="inlineStr">
        <is>
          <t>8.14.1.4</t>
        </is>
      </c>
      <c r="B398" t="inlineStr">
        <is>
          <t>Stone work (machine cut edges) for wall lining etc. (veneer work) upto 10 metre height, backing filled with...</t>
        </is>
      </c>
      <c r="C398" t="inlineStr">
        <is>
          <t>sqm</t>
        </is>
      </c>
      <c r="D398" s="15" t="n">
        <v>4026.8</v>
      </c>
      <c r="E398" t="inlineStr">
        <is>
          <t>08_Cladding_Work</t>
        </is>
      </c>
      <c r="F398" t="n">
        <v>384</v>
      </c>
    </row>
    <row r="399">
      <c r="A399" s="14" t="inlineStr">
        <is>
          <t>8.14.1.5</t>
        </is>
      </c>
      <c r="B399" t="inlineStr">
        <is>
          <t>Stone work (machine cut edges) for wall lining etc. (veneer work) upto 10 metre height, backing filled with...</t>
        </is>
      </c>
      <c r="C399" t="inlineStr">
        <is>
          <t>sqm</t>
        </is>
      </c>
      <c r="D399" s="15" t="n">
        <v>3882</v>
      </c>
      <c r="E399" t="inlineStr">
        <is>
          <t>08_Cladding_Work</t>
        </is>
      </c>
      <c r="F399" t="n">
        <v>385</v>
      </c>
    </row>
    <row r="400">
      <c r="A400" s="14" t="inlineStr">
        <is>
          <t>8.14.2.1</t>
        </is>
      </c>
      <c r="B400" t="inlineStr">
        <is>
          <t>Stone work (machine cut edges) for wall lining etc. (veneer work) upto 10 metre height, backing filled with...</t>
        </is>
      </c>
      <c r="C400" t="inlineStr">
        <is>
          <t>sqm</t>
        </is>
      </c>
      <c r="D400" s="15" t="n">
        <v>6154.7</v>
      </c>
      <c r="E400" t="inlineStr">
        <is>
          <t>08_Cladding_Work</t>
        </is>
      </c>
      <c r="F400" t="n">
        <v>386</v>
      </c>
    </row>
    <row r="401">
      <c r="A401" s="14" t="inlineStr">
        <is>
          <t>8.14.2.2</t>
        </is>
      </c>
      <c r="B401" t="inlineStr">
        <is>
          <t>Stone work (machine cut edges) for wall lining etc. (veneer work) upto 10 metre height, backing filled with...</t>
        </is>
      </c>
      <c r="C401" t="inlineStr">
        <is>
          <t>sqm</t>
        </is>
      </c>
      <c r="D401" s="15" t="n">
        <v>6010</v>
      </c>
      <c r="E401" t="inlineStr">
        <is>
          <t>08_Cladding_Work</t>
        </is>
      </c>
      <c r="F401" t="n">
        <v>387</v>
      </c>
    </row>
    <row r="402">
      <c r="A402" s="14" t="inlineStr">
        <is>
          <t>8.14.2.3</t>
        </is>
      </c>
      <c r="B402" t="inlineStr">
        <is>
          <t>Stone work (machine cut edges) for wall lining etc. (veneer work) upto 10 metre height, backing filled with...</t>
        </is>
      </c>
      <c r="C402" t="inlineStr">
        <is>
          <t>sqm</t>
        </is>
      </c>
      <c r="D402" s="15" t="n">
        <v>5865.6</v>
      </c>
      <c r="E402" t="inlineStr">
        <is>
          <t>08_Cladding_Work</t>
        </is>
      </c>
      <c r="F402" t="n">
        <v>388</v>
      </c>
    </row>
    <row r="403">
      <c r="A403" s="14" t="inlineStr">
        <is>
          <t>8.14.2.4</t>
        </is>
      </c>
      <c r="B403" t="inlineStr">
        <is>
          <t>Stone work (machine cut edges) for wall lining etc. (veneer work) upto 10 metre height, backing filled with...</t>
        </is>
      </c>
      <c r="C403" t="inlineStr">
        <is>
          <t>sqm</t>
        </is>
      </c>
      <c r="D403" s="15" t="n">
        <v>5720.6</v>
      </c>
      <c r="E403" t="inlineStr">
        <is>
          <t>08_Cladding_Work</t>
        </is>
      </c>
      <c r="F403" t="n">
        <v>389</v>
      </c>
    </row>
    <row r="404">
      <c r="A404" s="14" t="inlineStr">
        <is>
          <t>8.14.2.5</t>
        </is>
      </c>
      <c r="B404" t="inlineStr">
        <is>
          <t>Stone work (machine cut edges) for wall lining etc. (veneer work) upto 10 metre height, backing filled with...</t>
        </is>
      </c>
      <c r="C404" t="inlineStr">
        <is>
          <t>sqm</t>
        </is>
      </c>
      <c r="D404" s="15" t="n">
        <v>5575.75</v>
      </c>
      <c r="E404" t="inlineStr">
        <is>
          <t>08_Cladding_Work</t>
        </is>
      </c>
      <c r="F404" t="n">
        <v>390</v>
      </c>
    </row>
    <row r="405">
      <c r="A405" s="14" t="inlineStr">
        <is>
          <t>8.14.3.1</t>
        </is>
      </c>
      <c r="B405" t="inlineStr">
        <is>
          <t>Stone work (machine cut edges) for wall lining etc. (veneer work) upto 10 metre height, backing filled with...</t>
        </is>
      </c>
      <c r="C405" t="inlineStr">
        <is>
          <t>sqm</t>
        </is>
      </c>
      <c r="D405" s="15" t="n">
        <v>6034.3</v>
      </c>
      <c r="E405" t="inlineStr">
        <is>
          <t>08_Cladding_Work</t>
        </is>
      </c>
      <c r="F405" t="n">
        <v>391</v>
      </c>
    </row>
    <row r="406">
      <c r="A406" s="14" t="inlineStr">
        <is>
          <t>8.14.3.2</t>
        </is>
      </c>
      <c r="B406" t="inlineStr">
        <is>
          <t>Stone work (machine cut edges) for wall lining etc. (veneer work) upto 10 metre height, backing filled with...</t>
        </is>
      </c>
      <c r="C406" t="inlineStr">
        <is>
          <t>sqm</t>
        </is>
      </c>
      <c r="D406" s="15" t="n">
        <v>5664.85</v>
      </c>
      <c r="E406" t="inlineStr">
        <is>
          <t>08_Cladding_Work</t>
        </is>
      </c>
      <c r="F406" t="n">
        <v>392</v>
      </c>
    </row>
    <row r="407">
      <c r="A407" s="14" t="inlineStr">
        <is>
          <t>8.14.3.3</t>
        </is>
      </c>
      <c r="B407" t="inlineStr">
        <is>
          <t>Stone work (machine cut edges) for wall lining etc. (veneer work) upto 10 metre height, backing filled with...</t>
        </is>
      </c>
      <c r="C407" t="inlineStr">
        <is>
          <t>sqm</t>
        </is>
      </c>
      <c r="D407" s="15" t="n">
        <v>5296.25</v>
      </c>
      <c r="E407" t="inlineStr">
        <is>
          <t>08_Cladding_Work</t>
        </is>
      </c>
      <c r="F407" t="n">
        <v>393</v>
      </c>
    </row>
    <row r="408">
      <c r="A408" s="14" t="inlineStr">
        <is>
          <t>8.14.3.4</t>
        </is>
      </c>
      <c r="B408" t="inlineStr">
        <is>
          <t>Stone work (machine cut edges) for wall lining etc. (veneer work) upto 10 metre height, backing filled with...</t>
        </is>
      </c>
      <c r="C408" t="inlineStr">
        <is>
          <t>sqm</t>
        </is>
      </c>
      <c r="D408" s="15" t="n">
        <v>4925</v>
      </c>
      <c r="E408" t="inlineStr">
        <is>
          <t>08_Cladding_Work</t>
        </is>
      </c>
      <c r="F408" t="n">
        <v>394</v>
      </c>
    </row>
    <row r="409">
      <c r="A409" s="14" t="inlineStr">
        <is>
          <t>8.14.3.5</t>
        </is>
      </c>
      <c r="B409" t="inlineStr">
        <is>
          <t>Stone work (machine cut edges) for wall lining etc. (veneer work) upto 10 metre height, backing filled with...</t>
        </is>
      </c>
      <c r="C409" t="inlineStr">
        <is>
          <t>sqm</t>
        </is>
      </c>
      <c r="D409" s="15" t="n">
        <v>4556.15</v>
      </c>
      <c r="E409" t="inlineStr">
        <is>
          <t>08_Cladding_Work</t>
        </is>
      </c>
      <c r="F409" t="n">
        <v>395</v>
      </c>
    </row>
    <row r="410">
      <c r="A410" s="14" t="inlineStr">
        <is>
          <t>8.14.4.1</t>
        </is>
      </c>
      <c r="B410" t="inlineStr">
        <is>
          <t>Stone work (machine cut edges) for wall lining etc. (veneer work) upto 10 metre height, backing filled with...</t>
        </is>
      </c>
      <c r="C410" t="inlineStr">
        <is>
          <t>sqm</t>
        </is>
      </c>
      <c r="D410" s="15" t="n">
        <v>7728.1</v>
      </c>
      <c r="E410" t="inlineStr">
        <is>
          <t>08_Cladding_Work</t>
        </is>
      </c>
      <c r="F410" t="n">
        <v>396</v>
      </c>
    </row>
    <row r="411">
      <c r="A411" s="14" t="inlineStr">
        <is>
          <t>8.14.4.2</t>
        </is>
      </c>
      <c r="B411" t="inlineStr">
        <is>
          <t>Stone work (machine cut edges) for wall lining etc. (veneer work) upto 10 metre height, backing filled with...</t>
        </is>
      </c>
      <c r="C411" t="inlineStr">
        <is>
          <t>sqm</t>
        </is>
      </c>
      <c r="D411" s="15" t="n">
        <v>7358.65</v>
      </c>
      <c r="E411" t="inlineStr">
        <is>
          <t>08_Cladding_Work</t>
        </is>
      </c>
      <c r="F411" t="n">
        <v>397</v>
      </c>
    </row>
    <row r="412">
      <c r="A412" s="14" t="inlineStr">
        <is>
          <t>8.14.4.3</t>
        </is>
      </c>
      <c r="B412" t="inlineStr">
        <is>
          <t>Stone work (machine cut edges) for wall lining etc. (veneer work) upto 10 metre height, backing filled with...</t>
        </is>
      </c>
      <c r="C412" t="inlineStr">
        <is>
          <t>sqm</t>
        </is>
      </c>
      <c r="D412" s="15" t="n">
        <v>6990.05</v>
      </c>
      <c r="E412" t="inlineStr">
        <is>
          <t>08_Cladding_Work</t>
        </is>
      </c>
      <c r="F412" t="n">
        <v>398</v>
      </c>
    </row>
    <row r="413">
      <c r="A413" s="14" t="inlineStr">
        <is>
          <t>8.14.4.4</t>
        </is>
      </c>
      <c r="B413" t="inlineStr">
        <is>
          <t>Stone work (machine cut edges) for wall lining etc. (veneer work) upto 10 metre height, backing filled with...</t>
        </is>
      </c>
      <c r="C413" t="inlineStr">
        <is>
          <t>sqm</t>
        </is>
      </c>
      <c r="D413" s="15" t="n">
        <v>6618.8</v>
      </c>
      <c r="E413" t="inlineStr">
        <is>
          <t>08_Cladding_Work</t>
        </is>
      </c>
      <c r="F413" t="n">
        <v>399</v>
      </c>
    </row>
    <row r="414">
      <c r="A414" s="14" t="inlineStr">
        <is>
          <t>8.14.4.5</t>
        </is>
      </c>
      <c r="B414" t="inlineStr">
        <is>
          <t>Stone work (machine cut edges) for wall lining etc. (veneer work) upto 10 metre height, backing filled with...</t>
        </is>
      </c>
      <c r="C414" t="inlineStr">
        <is>
          <t>sqm</t>
        </is>
      </c>
      <c r="D414" s="15" t="n">
        <v>6249.9</v>
      </c>
      <c r="E414" t="inlineStr">
        <is>
          <t>08_Cladding_Work</t>
        </is>
      </c>
      <c r="F414" t="n">
        <v>400</v>
      </c>
    </row>
    <row r="415">
      <c r="A415" s="14" t="inlineStr">
        <is>
          <t>8.14.5.1</t>
        </is>
      </c>
      <c r="B415" t="inlineStr">
        <is>
          <t>Stone work (machine cut edges) for wall lining etc. (veneer work) upto 10 metre height, backing filled with...</t>
        </is>
      </c>
      <c r="C415" t="inlineStr">
        <is>
          <t>sqm</t>
        </is>
      </c>
      <c r="D415" s="15" t="n">
        <v>2549.75</v>
      </c>
      <c r="E415" t="inlineStr">
        <is>
          <t>08_Cladding_Work</t>
        </is>
      </c>
      <c r="F415" t="n">
        <v>401</v>
      </c>
    </row>
    <row r="416">
      <c r="A416" s="14" t="inlineStr">
        <is>
          <t>8.14.5.2</t>
        </is>
      </c>
      <c r="B416" t="inlineStr">
        <is>
          <t>Stone work (machine cut edges) for wall lining etc. (veneer work) upto 10 metre height, backing filled with...</t>
        </is>
      </c>
      <c r="C416" t="inlineStr">
        <is>
          <t>sqm</t>
        </is>
      </c>
      <c r="D416" s="15" t="n">
        <v>2360.1</v>
      </c>
      <c r="E416" t="inlineStr">
        <is>
          <t>08_Cladding_Work</t>
        </is>
      </c>
      <c r="F416" t="n">
        <v>402</v>
      </c>
    </row>
    <row r="417">
      <c r="A417" s="14" t="inlineStr">
        <is>
          <t>8.15</t>
        </is>
      </c>
      <c r="B417" t="inlineStr">
        <is>
          <t>Providing and fixing stainless steel cramps of required size and shape for anchoring stone wall lining to t...</t>
        </is>
      </c>
      <c r="C417" t="inlineStr">
        <is>
          <t>kg</t>
        </is>
      </c>
      <c r="D417" s="15" t="n">
        <v>612.6</v>
      </c>
      <c r="E417" t="inlineStr">
        <is>
          <t>08_Cladding_Work</t>
        </is>
      </c>
      <c r="F417" t="n">
        <v>402</v>
      </c>
    </row>
    <row r="418">
      <c r="A418" s="14" t="inlineStr">
        <is>
          <t>8.16</t>
        </is>
      </c>
      <c r="B418" t="inlineStr">
        <is>
          <t>Providing and fixing copper pins 7.5 cm long 6 mm diameter for securing adjacent stones in stone wall linin...</t>
        </is>
      </c>
      <c r="C418" t="inlineStr">
        <is>
          <t>nos</t>
        </is>
      </c>
      <c r="D418" s="15" t="n">
        <v>36.2</v>
      </c>
      <c r="E418" t="inlineStr">
        <is>
          <t>08_Cladding_Work</t>
        </is>
      </c>
      <c r="F418" t="n">
        <v>403</v>
      </c>
    </row>
    <row r="419">
      <c r="A419" s="14" t="inlineStr">
        <is>
          <t>8.17</t>
        </is>
      </c>
      <c r="B419" t="inlineStr">
        <is>
          <t>Wall lining butch work upto 10m height with Dholpur stone 40 mm thick rough facing on the exposed surface w...</t>
        </is>
      </c>
      <c r="C419" t="inlineStr">
        <is>
          <t>sqm</t>
        </is>
      </c>
      <c r="D419" s="15" t="n">
        <v>2388</v>
      </c>
      <c r="E419" t="inlineStr">
        <is>
          <t>08_Cladding_Work</t>
        </is>
      </c>
      <c r="F419" t="n">
        <v>404</v>
      </c>
    </row>
    <row r="420">
      <c r="A420" s="14" t="inlineStr">
        <is>
          <t>8.18.1.1</t>
        </is>
      </c>
      <c r="B420" t="inlineStr">
        <is>
          <t>Stone work (machine cut edges Veneer work) for wall lining upto 10 m height, backing filled with a grout of...</t>
        </is>
      </c>
      <c r="C420" t="inlineStr">
        <is>
          <t>sqm</t>
        </is>
      </c>
      <c r="D420" s="15" t="n">
        <v>2890.25</v>
      </c>
      <c r="E420" t="inlineStr">
        <is>
          <t>08_Cladding_Work</t>
        </is>
      </c>
      <c r="F420" t="n">
        <v>405</v>
      </c>
    </row>
    <row r="421">
      <c r="A421" s="14" t="inlineStr">
        <is>
          <t>8.19</t>
        </is>
      </c>
      <c r="B421" t="inlineStr">
        <is>
          <t>Extra for stone work for wall lining on exterior walls of height more than 10 m from ground level for every...</t>
        </is>
      </c>
      <c r="C421" t="inlineStr">
        <is>
          <t>sqm</t>
        </is>
      </c>
      <c r="D421" s="15" t="n">
        <v>129.65</v>
      </c>
      <c r="E421" t="inlineStr">
        <is>
          <t>08_Cladding_Work</t>
        </is>
      </c>
      <c r="F421" t="n">
        <v>406</v>
      </c>
    </row>
    <row r="422">
      <c r="A422" s="14" t="inlineStr">
        <is>
          <t>8.20.1</t>
        </is>
      </c>
      <c r="B422" t="inlineStr">
        <is>
          <t>Providing and fixing dry cladding upto 10 metre heights with 30mm thick gang saw cut stone with (machine cu...</t>
        </is>
      </c>
      <c r="C422" t="inlineStr">
        <is>
          <t>sqm</t>
        </is>
      </c>
      <c r="D422" s="15" t="n">
        <v>2217.75</v>
      </c>
      <c r="E422" t="inlineStr">
        <is>
          <t>08_Cladding_Work</t>
        </is>
      </c>
      <c r="F422" t="n">
        <v>407</v>
      </c>
    </row>
    <row r="423">
      <c r="A423" s="14" t="inlineStr">
        <is>
          <t>8.20.2</t>
        </is>
      </c>
      <c r="B423" t="inlineStr">
        <is>
          <t>Providing and fixing dry cladding upto 10 metre heights with 30mm thick gang saw cut stone with (machine cu...</t>
        </is>
      </c>
      <c r="C423" t="inlineStr">
        <is>
          <t>sqm</t>
        </is>
      </c>
      <c r="D423" s="15" t="n">
        <v>2407.4</v>
      </c>
      <c r="E423" t="inlineStr">
        <is>
          <t>08_Cladding_Work</t>
        </is>
      </c>
      <c r="F423" t="n">
        <v>407</v>
      </c>
    </row>
    <row r="424">
      <c r="A424" s="14" t="inlineStr">
        <is>
          <t>8.21</t>
        </is>
      </c>
      <c r="B424" t="inlineStr">
        <is>
          <t>Providing and fixing structural steel frame (for dry cladding with 30 mm thick gang saw cut with machine cu...</t>
        </is>
      </c>
      <c r="C424" t="inlineStr">
        <is>
          <t>kg</t>
        </is>
      </c>
      <c r="D424" s="15" t="n">
        <v>183.35</v>
      </c>
      <c r="E424" t="inlineStr">
        <is>
          <t>08_Cladding_Work</t>
        </is>
      </c>
      <c r="F424" t="n">
        <v>408</v>
      </c>
    </row>
    <row r="425">
      <c r="A425" s="14" t="inlineStr">
        <is>
          <t>8.22</t>
        </is>
      </c>
      <c r="B425" t="inlineStr">
        <is>
          <t>Providing and fixing adjustable stainless steel cramps of approved quality, required shape and size, adjust...</t>
        </is>
      </c>
      <c r="C425" t="inlineStr">
        <is>
          <t>nos</t>
        </is>
      </c>
      <c r="D425" s="15" t="n">
        <v>327</v>
      </c>
      <c r="E425" t="inlineStr">
        <is>
          <t>08_Cladding_Work</t>
        </is>
      </c>
      <c r="F425" t="n">
        <v>410</v>
      </c>
    </row>
    <row r="426">
      <c r="A426" s="14" t="inlineStr">
        <is>
          <t>8.23</t>
        </is>
      </c>
      <c r="B426" t="inlineStr">
        <is>
          <t>Providing 50x50x50 mm 2nd class teak wood plugs including cutting brick work and fixing in cement mortar 1:...</t>
        </is>
      </c>
      <c r="C426" t="inlineStr">
        <is>
          <t>nos</t>
        </is>
      </c>
      <c r="D426" s="15" t="n">
        <v>33.9</v>
      </c>
      <c r="E426" t="inlineStr">
        <is>
          <t>08_Cladding_Work</t>
        </is>
      </c>
      <c r="F426" t="n">
        <v>410</v>
      </c>
    </row>
    <row r="427">
      <c r="A427" s="14" t="inlineStr">
        <is>
          <t>8.24.1</t>
        </is>
      </c>
      <c r="B427" t="inlineStr">
        <is>
          <t>Providing and fixing expandable fasteners of specified size with necessary plastic sleeves and galvanised M...</t>
        </is>
      </c>
      <c r="C427" t="inlineStr">
        <is>
          <t>nos</t>
        </is>
      </c>
      <c r="D427" s="15" t="n">
        <v>18.95</v>
      </c>
      <c r="E427" t="inlineStr">
        <is>
          <t>08_Cladding_Work</t>
        </is>
      </c>
      <c r="F427" t="n">
        <v>411</v>
      </c>
    </row>
    <row r="428">
      <c r="A428" s="14" t="inlineStr">
        <is>
          <t>8.24.2</t>
        </is>
      </c>
      <c r="B428" t="inlineStr">
        <is>
          <t>Providing and fixing expandable fasteners of specified size with necessary plastic sleeves and galvanised M...</t>
        </is>
      </c>
      <c r="C428" t="inlineStr">
        <is>
          <t>nos</t>
        </is>
      </c>
      <c r="D428" s="15" t="n">
        <v>20.35</v>
      </c>
      <c r="E428" t="inlineStr">
        <is>
          <t>08_Cladding_Work</t>
        </is>
      </c>
      <c r="F428" t="n">
        <v>411</v>
      </c>
    </row>
    <row r="429">
      <c r="A429" s="14" t="inlineStr">
        <is>
          <t>8.24.3</t>
        </is>
      </c>
      <c r="B429" t="inlineStr">
        <is>
          <t>Providing and fixing expandable fasteners of specified size with necessary plastic sleeves and galvanised M...</t>
        </is>
      </c>
      <c r="C429" t="inlineStr">
        <is>
          <t>nos</t>
        </is>
      </c>
      <c r="D429" s="15" t="n">
        <v>24.35</v>
      </c>
      <c r="E429" t="inlineStr">
        <is>
          <t>08_Cladding_Work</t>
        </is>
      </c>
      <c r="F429" t="n">
        <v>412</v>
      </c>
    </row>
    <row r="430">
      <c r="A430" s="14" t="inlineStr">
        <is>
          <t>8.24.4</t>
        </is>
      </c>
      <c r="B430" t="inlineStr">
        <is>
          <t>Providing and fixing expandable fasteners of specified size with necessary plastic sleeves and galvanised M...</t>
        </is>
      </c>
      <c r="C430" t="inlineStr">
        <is>
          <t>nos</t>
        </is>
      </c>
      <c r="D430" s="15" t="n">
        <v>25.7</v>
      </c>
      <c r="E430" t="inlineStr">
        <is>
          <t>08_Cladding_Work</t>
        </is>
      </c>
      <c r="F430" t="n">
        <v>412</v>
      </c>
    </row>
    <row r="431">
      <c r="A431" s="14" t="inlineStr">
        <is>
          <t>8.25.1</t>
        </is>
      </c>
      <c r="B431" t="inlineStr">
        <is>
          <t>Providing and fixing 2nd class teak wood plain lining tongued and grooved, including wooden plugs complete...</t>
        </is>
      </c>
      <c r="C431" t="inlineStr">
        <is>
          <t>sqm</t>
        </is>
      </c>
      <c r="D431" s="15" t="n">
        <v>6137.7</v>
      </c>
      <c r="E431" t="inlineStr">
        <is>
          <t>08_Cladding_Work</t>
        </is>
      </c>
      <c r="F431" t="n">
        <v>413</v>
      </c>
    </row>
    <row r="432">
      <c r="A432" s="14" t="inlineStr">
        <is>
          <t>8.25.2</t>
        </is>
      </c>
      <c r="B432" t="inlineStr">
        <is>
          <t>Providing and fixing 2nd class teak wood plain lining tongued and grooved, including wooden plugs complete...</t>
        </is>
      </c>
      <c r="C432" t="inlineStr">
        <is>
          <t>sqm</t>
        </is>
      </c>
      <c r="D432" s="15" t="n">
        <v>4057.75</v>
      </c>
      <c r="E432" t="inlineStr">
        <is>
          <t>08_Cladding_Work</t>
        </is>
      </c>
      <c r="F432" t="n">
        <v>414</v>
      </c>
    </row>
    <row r="433">
      <c r="A433" s="14" t="inlineStr">
        <is>
          <t>8.25.3</t>
        </is>
      </c>
      <c r="B433" t="inlineStr">
        <is>
          <t>Providing and fixing 2nd class teak wood plain lining tongued and grooved, including wooden plugs complete...</t>
        </is>
      </c>
      <c r="C433" t="inlineStr">
        <is>
          <t>sqm</t>
        </is>
      </c>
      <c r="D433" s="15" t="n">
        <v>3291.15</v>
      </c>
      <c r="E433" t="inlineStr">
        <is>
          <t>08_Cladding_Work</t>
        </is>
      </c>
      <c r="F433" t="n">
        <v>415</v>
      </c>
    </row>
    <row r="434">
      <c r="A434" s="14" t="inlineStr">
        <is>
          <t>8.25.4</t>
        </is>
      </c>
      <c r="B434" t="inlineStr">
        <is>
          <t>Providing and fixing 2nd class teak wood plain lining tongued and grooved, including wooden plugs complete...</t>
        </is>
      </c>
      <c r="C434" t="inlineStr">
        <is>
          <t>sqm</t>
        </is>
      </c>
      <c r="D434" s="15" t="n">
        <v>2181.8</v>
      </c>
      <c r="E434" t="inlineStr">
        <is>
          <t>08_Cladding_Work</t>
        </is>
      </c>
      <c r="F434" t="n">
        <v>415</v>
      </c>
    </row>
    <row r="435">
      <c r="A435" s="14" t="inlineStr">
        <is>
          <t>8.26.1</t>
        </is>
      </c>
      <c r="B435" t="inlineStr">
        <is>
          <t>Providing and fixing in wall lining flat pressed three layer (medium density) particle board or graded wood...</t>
        </is>
      </c>
      <c r="C435" t="inlineStr">
        <is>
          <t>sqm</t>
        </is>
      </c>
      <c r="D435" s="15" t="n">
        <v>1269.6</v>
      </c>
      <c r="E435" t="inlineStr">
        <is>
          <t>08_Cladding_Work</t>
        </is>
      </c>
      <c r="F435" t="n">
        <v>416</v>
      </c>
    </row>
    <row r="436">
      <c r="A436" s="14" t="inlineStr">
        <is>
          <t>8.26.2</t>
        </is>
      </c>
      <c r="B436" t="inlineStr">
        <is>
          <t>Providing and fixing in wall lining flat pressed three layer (medium density) particle board or graded wood...</t>
        </is>
      </c>
      <c r="C436" t="inlineStr">
        <is>
          <t>sqm</t>
        </is>
      </c>
      <c r="D436" s="15" t="n">
        <v>1431.5</v>
      </c>
      <c r="E436" t="inlineStr">
        <is>
          <t>08_Cladding_Work</t>
        </is>
      </c>
      <c r="F436" t="n">
        <v>417</v>
      </c>
    </row>
    <row r="437">
      <c r="A437" s="14" t="inlineStr">
        <is>
          <t>8.26.3</t>
        </is>
      </c>
      <c r="B437" t="inlineStr">
        <is>
          <t>Providing and fixing in wall lining flat pressed three layer (medium density) particle board or graded wood...</t>
        </is>
      </c>
      <c r="C437" t="inlineStr">
        <is>
          <t>sqm</t>
        </is>
      </c>
      <c r="D437" s="15" t="n">
        <v>1799.45</v>
      </c>
      <c r="E437" t="inlineStr">
        <is>
          <t>08_Cladding_Work</t>
        </is>
      </c>
      <c r="F437" t="n">
        <v>418</v>
      </c>
    </row>
    <row r="438">
      <c r="A438" s="14" t="inlineStr">
        <is>
          <t>8.27.1</t>
        </is>
      </c>
      <c r="B438" t="inlineStr">
        <is>
          <t>Providing and fixing specified wood frame work consisting of battens 50x25mm fixed with rawl plug and drill...</t>
        </is>
      </c>
      <c r="C438" t="inlineStr">
        <is>
          <t>cudm</t>
        </is>
      </c>
      <c r="D438" s="15" t="n">
        <v>165255.05</v>
      </c>
      <c r="E438" t="inlineStr">
        <is>
          <t>08_Cladding_Work</t>
        </is>
      </c>
      <c r="F438" t="n">
        <v>418</v>
      </c>
    </row>
    <row r="439">
      <c r="A439" s="14" t="inlineStr">
        <is>
          <t>8.28.1</t>
        </is>
      </c>
      <c r="B439" t="inlineStr">
        <is>
          <t>Providing and fixing plywood 4 mm thick, one side decorative veneer conforming to IS: 1328 (type-1), for pl...</t>
        </is>
      </c>
      <c r="C439" t="inlineStr">
        <is>
          <t>sqm</t>
        </is>
      </c>
      <c r="D439" s="15" t="n">
        <v>1551</v>
      </c>
      <c r="E439" t="inlineStr">
        <is>
          <t>08_Cladding_Work</t>
        </is>
      </c>
      <c r="F439" t="n">
        <v>419</v>
      </c>
    </row>
    <row r="440">
      <c r="A440" s="14" t="inlineStr">
        <is>
          <t>8.29</t>
        </is>
      </c>
      <c r="B440" t="inlineStr">
        <is>
          <t>Providing and fixing 4mm thick coir veneer board, ISI marked IS : 14842, plain lining with necessary screws...</t>
        </is>
      </c>
      <c r="C440" t="inlineStr">
        <is>
          <t>sqm</t>
        </is>
      </c>
      <c r="D440" s="15" t="n">
        <v>1502.85</v>
      </c>
      <c r="E440" t="inlineStr">
        <is>
          <t>08_Cladding_Work</t>
        </is>
      </c>
      <c r="F440" t="n">
        <v>420</v>
      </c>
    </row>
    <row r="441">
      <c r="A441" s="14" t="inlineStr">
        <is>
          <t>8.30.1</t>
        </is>
      </c>
      <c r="B441" t="inlineStr">
        <is>
          <t>Providing and fixing skirting with Pre-laminated (one side decorative and other side balancing lamination)...</t>
        </is>
      </c>
      <c r="C441" t="inlineStr">
        <is>
          <t>sqm</t>
        </is>
      </c>
      <c r="D441" s="15" t="n">
        <v>1891.5</v>
      </c>
      <c r="E441" t="inlineStr">
        <is>
          <t>08_Cladding_Work</t>
        </is>
      </c>
      <c r="F441" t="n">
        <v>421</v>
      </c>
    </row>
    <row r="442">
      <c r="A442" s="14" t="inlineStr">
        <is>
          <t>8.30.2</t>
        </is>
      </c>
      <c r="B442" t="inlineStr">
        <is>
          <t>Providing and fixing skirting with Pre-laminated (one side decorative and other side balancing lamination)...</t>
        </is>
      </c>
      <c r="C442" t="inlineStr">
        <is>
          <t>sqm</t>
        </is>
      </c>
      <c r="D442" s="15" t="n">
        <v>2259.4</v>
      </c>
      <c r="E442" t="inlineStr">
        <is>
          <t>08_Cladding_Work</t>
        </is>
      </c>
      <c r="F442" t="n">
        <v>421</v>
      </c>
    </row>
    <row r="443">
      <c r="A443" s="14" t="inlineStr">
        <is>
          <t>8.31</t>
        </is>
      </c>
      <c r="B443" t="inlineStr">
        <is>
          <t>Providing and fixing Ist quality ceramic glazed wall tiles conforming to IS: 15622 (thickness to be specifi...</t>
        </is>
      </c>
      <c r="C443" t="inlineStr">
        <is>
          <t>sqm</t>
        </is>
      </c>
      <c r="D443" s="15" t="n">
        <v>1030.3</v>
      </c>
      <c r="E443" t="inlineStr">
        <is>
          <t>08_Cladding_Work</t>
        </is>
      </c>
      <c r="F443" t="n">
        <v>422</v>
      </c>
    </row>
    <row r="444">
      <c r="A444" s="14" t="inlineStr">
        <is>
          <t>8.32</t>
        </is>
      </c>
      <c r="B444" t="inlineStr">
        <is>
          <t>Designing, fabricating, testing, installing and fixing in position Curtain Wall with Aluminium Composite Pa...</t>
        </is>
      </c>
      <c r="C444" t="inlineStr">
        <is>
          <t>sqm</t>
        </is>
      </c>
      <c r="D444" s="15" t="n">
        <v>4309.8</v>
      </c>
      <c r="E444" t="inlineStr">
        <is>
          <t>08_Cladding_Work</t>
        </is>
      </c>
      <c r="F444" t="n">
        <v>423</v>
      </c>
    </row>
    <row r="445">
      <c r="A445" s="14" t="inlineStr">
        <is>
          <t>9.1.1</t>
        </is>
      </c>
      <c r="B445" t="inlineStr">
        <is>
          <t>Providing wood work in frames of doors, windows, clerestory windows and other frames, wrought framed and fi...</t>
        </is>
      </c>
      <c r="C445" t="inlineStr">
        <is>
          <t>cudm</t>
        </is>
      </c>
      <c r="D445" s="15" t="n">
        <v>130183.05</v>
      </c>
      <c r="E445" t="inlineStr">
        <is>
          <t>09_Wood_and_PVC_Work</t>
        </is>
      </c>
      <c r="F445" t="n">
        <v>428</v>
      </c>
    </row>
    <row r="446">
      <c r="A446" s="14" t="inlineStr">
        <is>
          <t>9.1.2</t>
        </is>
      </c>
      <c r="B446" t="inlineStr">
        <is>
          <t>Providing wood work in frames of doors, windows, clerestory windows and other frames, wrought framed and fi...</t>
        </is>
      </c>
      <c r="C446" t="inlineStr">
        <is>
          <t>cudm</t>
        </is>
      </c>
      <c r="D446" s="15" t="n">
        <v>105327.2</v>
      </c>
      <c r="E446" t="inlineStr">
        <is>
          <t>09_Wood_and_PVC_Work</t>
        </is>
      </c>
      <c r="F446" t="n">
        <v>428</v>
      </c>
    </row>
    <row r="447">
      <c r="A447" s="14" t="inlineStr">
        <is>
          <t>9.1.3</t>
        </is>
      </c>
      <c r="B447" t="inlineStr">
        <is>
          <t>Providing wood work in frames of doors, windows, clerestory windows and other frames, wrought framed and fi...</t>
        </is>
      </c>
      <c r="C447" t="inlineStr">
        <is>
          <t>cudm</t>
        </is>
      </c>
      <c r="D447" s="15" t="n">
        <v>71746.39999999999</v>
      </c>
      <c r="E447" t="inlineStr">
        <is>
          <t>09_Wood_and_PVC_Work</t>
        </is>
      </c>
      <c r="F447" t="n">
        <v>429</v>
      </c>
    </row>
    <row r="448">
      <c r="A448" s="14" t="inlineStr">
        <is>
          <t>9.2</t>
        </is>
      </c>
      <c r="B448" t="inlineStr">
        <is>
          <t>Providing laminated veneer lumber conforming to IS:14616 and TAD -15: 2001 (Part B) in factory made frames...</t>
        </is>
      </c>
      <c r="C448" t="inlineStr">
        <is>
          <t>cudm</t>
        </is>
      </c>
      <c r="D448" s="15" t="n">
        <v>113706.4</v>
      </c>
      <c r="E448" t="inlineStr">
        <is>
          <t>09_Wood_and_PVC_Work</t>
        </is>
      </c>
      <c r="F448" t="n">
        <v>430</v>
      </c>
    </row>
    <row r="449">
      <c r="A449" s="14" t="inlineStr">
        <is>
          <t>9.3.1</t>
        </is>
      </c>
      <c r="B449" t="inlineStr">
        <is>
          <t>Providing wood work in frames of false ceiling, partitions etc. sawn and fixed in position with necessary s...</t>
        </is>
      </c>
      <c r="C449" t="inlineStr">
        <is>
          <t>cudm</t>
        </is>
      </c>
      <c r="D449" s="15" t="n">
        <v>95893.89999999999</v>
      </c>
      <c r="E449" t="inlineStr">
        <is>
          <t>09_Wood_and_PVC_Work</t>
        </is>
      </c>
      <c r="F449" t="n">
        <v>430</v>
      </c>
    </row>
    <row r="450">
      <c r="A450" s="14" t="inlineStr">
        <is>
          <t>9.3.2</t>
        </is>
      </c>
      <c r="B450" t="inlineStr">
        <is>
          <t>Providing wood work in frames of false ceiling, partitions etc. sawn and fixed in position with necessary s...</t>
        </is>
      </c>
      <c r="C450" t="inlineStr">
        <is>
          <t>cudm</t>
        </is>
      </c>
      <c r="D450" s="15" t="n">
        <v>62114.45</v>
      </c>
      <c r="E450" t="inlineStr">
        <is>
          <t>09_Wood_and_PVC_Work</t>
        </is>
      </c>
      <c r="F450" t="n">
        <v>431</v>
      </c>
    </row>
    <row r="451">
      <c r="A451" s="14" t="inlineStr">
        <is>
          <t>9.4.1</t>
        </is>
      </c>
      <c r="B451" t="inlineStr">
        <is>
          <t>Extra for additional labour for circular works, such as in frames of fan light - Second class teak wood</t>
        </is>
      </c>
      <c r="C451" t="inlineStr">
        <is>
          <t>cudm</t>
        </is>
      </c>
      <c r="D451" s="15" t="n">
        <v>13018.35</v>
      </c>
      <c r="E451" t="inlineStr">
        <is>
          <t>09_Wood_and_PVC_Work</t>
        </is>
      </c>
      <c r="F451" t="n">
        <v>432</v>
      </c>
    </row>
    <row r="452">
      <c r="A452" s="14" t="inlineStr">
        <is>
          <t>9.4.2</t>
        </is>
      </c>
      <c r="B452" t="inlineStr">
        <is>
          <t>Extra for additional labour for circular works, such as in frames of fan light - Sal wood</t>
        </is>
      </c>
      <c r="C452" t="inlineStr">
        <is>
          <t>cudm</t>
        </is>
      </c>
      <c r="D452" s="15" t="n">
        <v>10532.8</v>
      </c>
      <c r="E452" t="inlineStr">
        <is>
          <t>09_Wood_and_PVC_Work</t>
        </is>
      </c>
      <c r="F452" t="n">
        <v>432</v>
      </c>
    </row>
    <row r="453">
      <c r="A453" s="14" t="inlineStr">
        <is>
          <t>9.4.3</t>
        </is>
      </c>
      <c r="B453" t="inlineStr">
        <is>
          <t>Extra for additional labour for circular works, such as in frames of fan light - Kiln seasoned and chemical...</t>
        </is>
      </c>
      <c r="C453" t="inlineStr">
        <is>
          <t>cudm</t>
        </is>
      </c>
      <c r="D453" s="15" t="n">
        <v>7175</v>
      </c>
      <c r="E453" t="inlineStr">
        <is>
          <t>09_Wood_and_PVC_Work</t>
        </is>
      </c>
      <c r="F453" t="n">
        <v>433</v>
      </c>
    </row>
    <row r="454">
      <c r="A454" s="14" t="inlineStr">
        <is>
          <t>9.5.1.1</t>
        </is>
      </c>
      <c r="B454" t="inlineStr">
        <is>
          <t>Providing and fixing panelled or panelled and glazed shutters for doors, windows and clerestory windows fix...</t>
        </is>
      </c>
      <c r="C454" t="inlineStr">
        <is>
          <t>sqm</t>
        </is>
      </c>
      <c r="D454" s="15" t="n">
        <v>3613.35</v>
      </c>
      <c r="E454" t="inlineStr">
        <is>
          <t>09_Wood_and_PVC_Work</t>
        </is>
      </c>
      <c r="F454" t="n">
        <v>433</v>
      </c>
    </row>
    <row r="455">
      <c r="A455" s="14" t="inlineStr">
        <is>
          <t>9.5.1.2</t>
        </is>
      </c>
      <c r="B455" t="inlineStr">
        <is>
          <t>Providing and fixing panelled or panelled and glazed shutters for doors, windows and clerestory windows fix...</t>
        </is>
      </c>
      <c r="C455" t="inlineStr">
        <is>
          <t>sqm</t>
        </is>
      </c>
      <c r="D455" s="15" t="n">
        <v>3269.85</v>
      </c>
      <c r="E455" t="inlineStr">
        <is>
          <t>09_Wood_and_PVC_Work</t>
        </is>
      </c>
      <c r="F455" t="n">
        <v>434</v>
      </c>
    </row>
    <row r="456">
      <c r="A456" s="14" t="inlineStr">
        <is>
          <t>9.5.2.1</t>
        </is>
      </c>
      <c r="B456" t="inlineStr">
        <is>
          <t>Providing and fixing panelled or panelled and glazed shutters for doors, windows and clerestory windows fix...</t>
        </is>
      </c>
      <c r="C456" t="inlineStr">
        <is>
          <t>sqm</t>
        </is>
      </c>
      <c r="D456" s="15" t="n">
        <v>2381.55</v>
      </c>
      <c r="E456" t="inlineStr">
        <is>
          <t>09_Wood_and_PVC_Work</t>
        </is>
      </c>
      <c r="F456" t="n">
        <v>435</v>
      </c>
    </row>
    <row r="457">
      <c r="A457" s="14" t="inlineStr">
        <is>
          <t>9.5.2.2</t>
        </is>
      </c>
      <c r="B457" t="inlineStr">
        <is>
          <t>Providing and fixing panelled or panelled and glazed shutters for doors, windows and clerestory windows fix...</t>
        </is>
      </c>
      <c r="C457" t="inlineStr">
        <is>
          <t>sqm</t>
        </is>
      </c>
      <c r="D457" s="15" t="n">
        <v>2208.65</v>
      </c>
      <c r="E457" t="inlineStr">
        <is>
          <t>09_Wood_and_PVC_Work</t>
        </is>
      </c>
      <c r="F457" t="n">
        <v>436</v>
      </c>
    </row>
    <row r="458">
      <c r="A458" s="14" t="inlineStr">
        <is>
          <t>9.5.3.1</t>
        </is>
      </c>
      <c r="B458" t="inlineStr">
        <is>
          <t>Providing and fixing panelled or panelled and glazed shutters for doors, windows and clerestory windows fix...</t>
        </is>
      </c>
      <c r="C458" t="inlineStr">
        <is>
          <t>sqm</t>
        </is>
      </c>
      <c r="D458" s="15" t="n">
        <v>3191.6</v>
      </c>
      <c r="E458" t="inlineStr">
        <is>
          <t>09_Wood_and_PVC_Work</t>
        </is>
      </c>
      <c r="F458" t="n">
        <v>436</v>
      </c>
    </row>
    <row r="459">
      <c r="A459" s="14" t="inlineStr">
        <is>
          <t>9.5.3.2</t>
        </is>
      </c>
      <c r="B459" t="inlineStr">
        <is>
          <t>Providing and fixing panelled or panelled and glazed shutters for doors, windows and clerestory windows fix...</t>
        </is>
      </c>
      <c r="C459" t="inlineStr">
        <is>
          <t>sqm</t>
        </is>
      </c>
      <c r="D459" s="15" t="n">
        <v>2906</v>
      </c>
      <c r="E459" t="inlineStr">
        <is>
          <t>09_Wood_and_PVC_Work</t>
        </is>
      </c>
      <c r="F459" t="n">
        <v>437</v>
      </c>
    </row>
    <row r="460">
      <c r="A460" s="14" t="inlineStr">
        <is>
          <t>9.6.1</t>
        </is>
      </c>
      <c r="B460" t="inlineStr">
        <is>
          <t>Providing and fixing 35 mm thick factory made laminated veneer lumber door shutter conforming to IS : 14616...</t>
        </is>
      </c>
      <c r="C460" t="inlineStr">
        <is>
          <t>sqm</t>
        </is>
      </c>
      <c r="D460" s="15" t="n">
        <v>2636.6</v>
      </c>
      <c r="E460" t="inlineStr">
        <is>
          <t>09_Wood_and_PVC_Work</t>
        </is>
      </c>
      <c r="F460" t="n">
        <v>438</v>
      </c>
    </row>
    <row r="461">
      <c r="A461" s="14" t="inlineStr">
        <is>
          <t>9.6.2</t>
        </is>
      </c>
      <c r="B461" t="inlineStr">
        <is>
          <t>Providing and fixing 35 mm thick factory made laminated veneer lumber door shutter conforming to IS : 14616...</t>
        </is>
      </c>
      <c r="C461" t="inlineStr">
        <is>
          <t>sqm</t>
        </is>
      </c>
      <c r="D461" s="15" t="n">
        <v>2770.4</v>
      </c>
      <c r="E461" t="inlineStr">
        <is>
          <t>09_Wood_and_PVC_Work</t>
        </is>
      </c>
      <c r="F461" t="n">
        <v>439</v>
      </c>
    </row>
    <row r="462">
      <c r="A462" s="14" t="inlineStr">
        <is>
          <t>9.6.3</t>
        </is>
      </c>
      <c r="B462" t="inlineStr">
        <is>
          <t>Providing and fixing 35 mm thick factory made laminated veneer lumber door shutter conforming to IS : 14616...</t>
        </is>
      </c>
      <c r="C462" t="inlineStr">
        <is>
          <t>sqm</t>
        </is>
      </c>
      <c r="D462" s="15" t="n">
        <v>3024.6</v>
      </c>
      <c r="E462" t="inlineStr">
        <is>
          <t>09_Wood_and_PVC_Work</t>
        </is>
      </c>
      <c r="F462" t="n">
        <v>440</v>
      </c>
    </row>
    <row r="463">
      <c r="A463" s="14" t="inlineStr">
        <is>
          <t>9.7.1</t>
        </is>
      </c>
      <c r="B463" t="inlineStr">
        <is>
          <t>Providing and fixing panelling or panelling and glazing in panelled or panelled and glazed shutters for doo...</t>
        </is>
      </c>
      <c r="C463" t="inlineStr">
        <is>
          <t>sqm</t>
        </is>
      </c>
      <c r="D463" s="15" t="n">
        <v>2942.3</v>
      </c>
      <c r="E463" t="inlineStr">
        <is>
          <t>09_Wood_and_PVC_Work</t>
        </is>
      </c>
      <c r="F463" t="n">
        <v>440</v>
      </c>
    </row>
    <row r="464">
      <c r="A464" s="14" t="inlineStr">
        <is>
          <t>9.7.2</t>
        </is>
      </c>
      <c r="B464" t="inlineStr">
        <is>
          <t>Providing and fixing panelling or panelling and glazing in panelled or panelled and glazed shutters for doo...</t>
        </is>
      </c>
      <c r="C464" t="inlineStr">
        <is>
          <t>sqm</t>
        </is>
      </c>
      <c r="D464" s="15" t="n">
        <v>1949.65</v>
      </c>
      <c r="E464" t="inlineStr">
        <is>
          <t>09_Wood_and_PVC_Work</t>
        </is>
      </c>
      <c r="F464" t="n">
        <v>441</v>
      </c>
    </row>
    <row r="465">
      <c r="A465" s="14" t="inlineStr">
        <is>
          <t>9.7.3.1</t>
        </is>
      </c>
      <c r="B465" t="inlineStr">
        <is>
          <t>Providing and fixing panelling or panelling and glazing in panelled or panelled and glazed shutters for doo...</t>
        </is>
      </c>
      <c r="C465" t="inlineStr">
        <is>
          <t>sqm</t>
        </is>
      </c>
      <c r="D465" s="15" t="n">
        <v>2256.55</v>
      </c>
      <c r="E465" t="inlineStr">
        <is>
          <t>09_Wood_and_PVC_Work</t>
        </is>
      </c>
      <c r="F465" t="n">
        <v>442</v>
      </c>
    </row>
    <row r="466">
      <c r="A466" s="14" t="inlineStr">
        <is>
          <t>9.7.3.2</t>
        </is>
      </c>
      <c r="B466" t="inlineStr">
        <is>
          <t>Providing and fixing panelling or panelling and glazing in panelled or panelled and glazed shutters for doo...</t>
        </is>
      </c>
      <c r="C466" t="inlineStr">
        <is>
          <t>sqm</t>
        </is>
      </c>
      <c r="D466" s="15" t="n">
        <v>2288.95</v>
      </c>
      <c r="E466" t="inlineStr">
        <is>
          <t>09_Wood_and_PVC_Work</t>
        </is>
      </c>
      <c r="F466" t="n">
        <v>442</v>
      </c>
    </row>
    <row r="467">
      <c r="A467" s="14" t="inlineStr">
        <is>
          <t>9.7.4.1</t>
        </is>
      </c>
      <c r="B467" t="inlineStr">
        <is>
          <t>Providing and fixing panelling or panelling and glazing in panelled or panelled and glazed shutters for doo...</t>
        </is>
      </c>
      <c r="C467" t="inlineStr">
        <is>
          <t>sqm</t>
        </is>
      </c>
      <c r="D467" s="15" t="n">
        <v>2418.7</v>
      </c>
      <c r="E467" t="inlineStr">
        <is>
          <t>09_Wood_and_PVC_Work</t>
        </is>
      </c>
      <c r="F467" t="n">
        <v>443</v>
      </c>
    </row>
    <row r="468">
      <c r="A468" s="14" t="inlineStr">
        <is>
          <t>9.7.5.1</t>
        </is>
      </c>
      <c r="B468" t="inlineStr">
        <is>
          <t>Providing and fixing panelling or panelling and glazing in panelled or panelled and glazed shutters for doo...</t>
        </is>
      </c>
      <c r="C468" t="inlineStr">
        <is>
          <t>sqm</t>
        </is>
      </c>
      <c r="D468" s="15" t="n">
        <v>1345.1</v>
      </c>
      <c r="E468" t="inlineStr">
        <is>
          <t>09_Wood_and_PVC_Work</t>
        </is>
      </c>
      <c r="F468" t="n">
        <v>444</v>
      </c>
    </row>
    <row r="469">
      <c r="A469" s="14" t="inlineStr">
        <is>
          <t>9.7.5.2</t>
        </is>
      </c>
      <c r="B469" t="inlineStr">
        <is>
          <t>Providing and fixing panelling or panelling and glazing in panelled or panelled and glazed shutters for doo...</t>
        </is>
      </c>
      <c r="C469" t="inlineStr">
        <is>
          <t>sqm</t>
        </is>
      </c>
      <c r="D469" s="15" t="n">
        <v>1688.9</v>
      </c>
      <c r="E469" t="inlineStr">
        <is>
          <t>09_Wood_and_PVC_Work</t>
        </is>
      </c>
      <c r="F469" t="n">
        <v>444</v>
      </c>
    </row>
    <row r="470">
      <c r="A470" s="14" t="inlineStr">
        <is>
          <t>9.7.5.3</t>
        </is>
      </c>
      <c r="B470" t="inlineStr">
        <is>
          <t>Providing and fixing panelling or panelling and glazing in panelled or panelled and glazed shutters for doo...</t>
        </is>
      </c>
      <c r="C470" t="inlineStr">
        <is>
          <t>sqm</t>
        </is>
      </c>
      <c r="D470" s="15" t="n">
        <v>1753.8</v>
      </c>
      <c r="E470" t="inlineStr">
        <is>
          <t>09_Wood_and_PVC_Work</t>
        </is>
      </c>
      <c r="F470" t="n">
        <v>445</v>
      </c>
    </row>
    <row r="471">
      <c r="A471" s="14" t="inlineStr">
        <is>
          <t>9.7.5.4</t>
        </is>
      </c>
      <c r="B471" t="inlineStr">
        <is>
          <t>Providing and fixing panelling or panelling and glazing in panelled or panelled and glazed shutters for doo...</t>
        </is>
      </c>
      <c r="C471" t="inlineStr">
        <is>
          <t>sqm</t>
        </is>
      </c>
      <c r="D471" s="15" t="n">
        <v>1810.55</v>
      </c>
      <c r="E471" t="inlineStr">
        <is>
          <t>09_Wood_and_PVC_Work</t>
        </is>
      </c>
      <c r="F471" t="n">
        <v>446</v>
      </c>
    </row>
    <row r="472">
      <c r="A472" s="14" t="inlineStr">
        <is>
          <t>9.7.6.1</t>
        </is>
      </c>
      <c r="B472" t="inlineStr">
        <is>
          <t>Providing and fixing panelling or panelling and glazing in panelled or panelled and glazed shutters for doo...</t>
        </is>
      </c>
      <c r="C472" t="inlineStr">
        <is>
          <t>sqm</t>
        </is>
      </c>
      <c r="D472" s="15" t="n">
        <v>1964.6</v>
      </c>
      <c r="E472" t="inlineStr">
        <is>
          <t>09_Wood_and_PVC_Work</t>
        </is>
      </c>
      <c r="F472" t="n">
        <v>446</v>
      </c>
    </row>
    <row r="473">
      <c r="A473" s="14" t="inlineStr">
        <is>
          <t>9.7.7.1</t>
        </is>
      </c>
      <c r="B473" t="inlineStr">
        <is>
          <t>Providing and fixing panelling or panelling and glazing in panelled or panelled and glazed shutters for doo...</t>
        </is>
      </c>
      <c r="C473" t="inlineStr">
        <is>
          <t>sqm</t>
        </is>
      </c>
      <c r="D473" s="15" t="n">
        <v>1792.55</v>
      </c>
      <c r="E473" t="inlineStr">
        <is>
          <t>09_Wood_and_PVC_Work</t>
        </is>
      </c>
      <c r="F473" t="n">
        <v>447</v>
      </c>
    </row>
    <row r="474">
      <c r="A474" s="14" t="inlineStr">
        <is>
          <t>9.7.7.2</t>
        </is>
      </c>
      <c r="B474" t="inlineStr">
        <is>
          <t>Providing and fixing panelling or panelling and glazing in panelled or panelled and glazed shutters for doo...</t>
        </is>
      </c>
      <c r="C474" t="inlineStr">
        <is>
          <t>sqm</t>
        </is>
      </c>
      <c r="D474" s="15" t="n">
        <v>2116.9</v>
      </c>
      <c r="E474" t="inlineStr">
        <is>
          <t>09_Wood_and_PVC_Work</t>
        </is>
      </c>
      <c r="F474" t="n">
        <v>448</v>
      </c>
    </row>
    <row r="475">
      <c r="A475" s="14" t="inlineStr">
        <is>
          <t>9.7.8</t>
        </is>
      </c>
      <c r="B475" t="inlineStr">
        <is>
          <t>Providing and fixing panelling or panelling and glazing in panelled or panelled and glazed shutters for doo...</t>
        </is>
      </c>
      <c r="C475" t="inlineStr">
        <is>
          <t>sqm</t>
        </is>
      </c>
      <c r="D475" s="15" t="n">
        <v>1458.6</v>
      </c>
      <c r="E475" t="inlineStr">
        <is>
          <t>09_Wood_and_PVC_Work</t>
        </is>
      </c>
      <c r="F475" t="n">
        <v>448</v>
      </c>
    </row>
    <row r="476">
      <c r="A476" s="14" t="inlineStr">
        <is>
          <t>9.9.1.1</t>
        </is>
      </c>
      <c r="B476" t="inlineStr">
        <is>
          <t>Providing and fixing glazed shutters for doors, windows and clerestory windows using 4 mm thick float glass...</t>
        </is>
      </c>
      <c r="C476" t="inlineStr">
        <is>
          <t>sqm</t>
        </is>
      </c>
      <c r="D476" s="15" t="n">
        <v>4353.75</v>
      </c>
      <c r="E476" t="inlineStr">
        <is>
          <t>09_Wood_and_PVC_Work</t>
        </is>
      </c>
      <c r="F476" t="n">
        <v>449</v>
      </c>
    </row>
    <row r="477">
      <c r="A477" s="14" t="inlineStr">
        <is>
          <t>9.9.1.2</t>
        </is>
      </c>
      <c r="B477" t="inlineStr">
        <is>
          <t>Providing and fixing glazed shutters for doors, windows and clerestory windows using 4 mm thick float glass...</t>
        </is>
      </c>
      <c r="C477" t="inlineStr">
        <is>
          <t>sqm</t>
        </is>
      </c>
      <c r="D477" s="15" t="n">
        <v>3961.2</v>
      </c>
      <c r="E477" t="inlineStr">
        <is>
          <t>09_Wood_and_PVC_Work</t>
        </is>
      </c>
      <c r="F477" t="n">
        <v>450</v>
      </c>
    </row>
    <row r="478">
      <c r="A478" s="14" t="inlineStr">
        <is>
          <t>9.9.2.1</t>
        </is>
      </c>
      <c r="B478" t="inlineStr">
        <is>
          <t>Providing and fixing glazed shutters for doors, windows and clerestory windows using 4 mm thick float glass...</t>
        </is>
      </c>
      <c r="C478" t="inlineStr">
        <is>
          <t>sqm</t>
        </is>
      </c>
      <c r="D478" s="15" t="n">
        <v>2951.35</v>
      </c>
      <c r="E478" t="inlineStr">
        <is>
          <t>09_Wood_and_PVC_Work</t>
        </is>
      </c>
      <c r="F478" t="n">
        <v>451</v>
      </c>
    </row>
    <row r="479">
      <c r="A479" s="14" t="inlineStr">
        <is>
          <t>9.9.2.2</t>
        </is>
      </c>
      <c r="B479" t="inlineStr">
        <is>
          <t>Providing and fixing glazed shutters for doors, windows and clerestory windows using 4 mm thick float glass...</t>
        </is>
      </c>
      <c r="C479" t="inlineStr">
        <is>
          <t>sqm</t>
        </is>
      </c>
      <c r="D479" s="15" t="n">
        <v>2753.8</v>
      </c>
      <c r="E479" t="inlineStr">
        <is>
          <t>09_Wood_and_PVC_Work</t>
        </is>
      </c>
      <c r="F479" t="n">
        <v>452</v>
      </c>
    </row>
    <row r="480">
      <c r="A480" s="14" t="inlineStr">
        <is>
          <t>9.9.3.1</t>
        </is>
      </c>
      <c r="B480" t="inlineStr">
        <is>
          <t>Providing and fixing glazed shutters for doors, windows and clerestory windows using 4 mm thick float glass...</t>
        </is>
      </c>
      <c r="C480" t="inlineStr">
        <is>
          <t>sqm</t>
        </is>
      </c>
      <c r="D480" s="15" t="n">
        <v>3874.15</v>
      </c>
      <c r="E480" t="inlineStr">
        <is>
          <t>09_Wood_and_PVC_Work</t>
        </is>
      </c>
      <c r="F480" t="n">
        <v>453</v>
      </c>
    </row>
    <row r="481">
      <c r="A481" s="14" t="inlineStr">
        <is>
          <t>9.9.3.2</t>
        </is>
      </c>
      <c r="B481" t="inlineStr">
        <is>
          <t>Providing and fixing glazed shutters for doors, windows and clerestory windows using 4 mm thick float glass...</t>
        </is>
      </c>
      <c r="C481" t="inlineStr">
        <is>
          <t>sqm</t>
        </is>
      </c>
      <c r="D481" s="15" t="n">
        <v>3547.75</v>
      </c>
      <c r="E481" t="inlineStr">
        <is>
          <t>09_Wood_and_PVC_Work</t>
        </is>
      </c>
      <c r="F481" t="n">
        <v>454</v>
      </c>
    </row>
    <row r="482">
      <c r="A482" s="14" t="inlineStr">
        <is>
          <t>9.10.1</t>
        </is>
      </c>
      <c r="B482" t="inlineStr">
        <is>
          <t>Providing and fixing factory made laminated veneer lumber glazed shutter conforming to IS: 14616 and TADS 1...</t>
        </is>
      </c>
      <c r="C482" t="inlineStr">
        <is>
          <t>sqm</t>
        </is>
      </c>
      <c r="D482" s="15" t="n">
        <v>2572.5</v>
      </c>
      <c r="E482" t="inlineStr">
        <is>
          <t>09_Wood_and_PVC_Work</t>
        </is>
      </c>
      <c r="F482" t="n">
        <v>455</v>
      </c>
    </row>
    <row r="483">
      <c r="A483" s="14" t="inlineStr">
        <is>
          <t>9.11.1</t>
        </is>
      </c>
      <c r="B483" t="inlineStr">
        <is>
          <t>Extra for providing heavy sheet float glass panes instead of ordinary float glass in glazed doors, windows...</t>
        </is>
      </c>
      <c r="C483" t="inlineStr">
        <is>
          <t>sqm</t>
        </is>
      </c>
      <c r="D483" s="15" t="n">
        <v>267.6</v>
      </c>
      <c r="E483" t="inlineStr">
        <is>
          <t>09_Wood_and_PVC_Work</t>
        </is>
      </c>
      <c r="F483" t="n">
        <v>456</v>
      </c>
    </row>
    <row r="484">
      <c r="A484" s="14" t="inlineStr">
        <is>
          <t>9.12</t>
        </is>
      </c>
      <c r="B484" t="inlineStr">
        <is>
          <t>Extra for providing frosted glass panes 4 mm thick instead of ordinary float glass panes 4 mm thick in door...</t>
        </is>
      </c>
      <c r="C484" t="inlineStr">
        <is>
          <t>sqm</t>
        </is>
      </c>
      <c r="D484" s="15" t="n">
        <v>214.05</v>
      </c>
      <c r="E484" t="inlineStr">
        <is>
          <t>09_Wood_and_PVC_Work</t>
        </is>
      </c>
      <c r="F484" t="n">
        <v>456</v>
      </c>
    </row>
    <row r="485">
      <c r="A485" s="14" t="inlineStr">
        <is>
          <t>9.13</t>
        </is>
      </c>
      <c r="B485" t="inlineStr">
        <is>
          <t>Deduct for providing pin headed glass panes instead of ordinary float glass panes weighing 4 mm thick in do...</t>
        </is>
      </c>
      <c r="C485" t="inlineStr">
        <is>
          <t>sqm</t>
        </is>
      </c>
      <c r="D485" s="15" t="n">
        <v>6.7</v>
      </c>
      <c r="E485" t="inlineStr">
        <is>
          <t>09_Wood_and_PVC_Work</t>
        </is>
      </c>
      <c r="F485" t="n">
        <v>457</v>
      </c>
    </row>
    <row r="486">
      <c r="A486" s="14" t="inlineStr">
        <is>
          <t>9.14</t>
        </is>
      </c>
      <c r="B486" t="inlineStr">
        <is>
          <t>Extra for providing ISI marked Stainless Steel butt hinges instead of M.S. pressed butt hinges bright finis...</t>
        </is>
      </c>
      <c r="C486" t="inlineStr">
        <is>
          <t>sqm</t>
        </is>
      </c>
      <c r="D486" s="15" t="n">
        <v>126.5</v>
      </c>
      <c r="E486" t="inlineStr">
        <is>
          <t>09_Wood_and_PVC_Work</t>
        </is>
      </c>
      <c r="F486" t="n">
        <v>457</v>
      </c>
    </row>
    <row r="487">
      <c r="A487" s="14" t="inlineStr">
        <is>
          <t>9.15.1.1</t>
        </is>
      </c>
      <c r="B487" t="inlineStr">
        <is>
          <t>Deduct for not providing hinges in doors, windows or clerestory window shutters with - Stainless steel butt...</t>
        </is>
      </c>
      <c r="C487" t="inlineStr">
        <is>
          <t>sqm</t>
        </is>
      </c>
      <c r="D487" s="15" t="n">
        <v>181.6</v>
      </c>
      <c r="E487" t="inlineStr">
        <is>
          <t>09_Wood_and_PVC_Work</t>
        </is>
      </c>
      <c r="F487" t="n">
        <v>458</v>
      </c>
    </row>
    <row r="488">
      <c r="A488" s="14" t="inlineStr">
        <is>
          <t>9.15.2.1</t>
        </is>
      </c>
      <c r="B488" t="inlineStr">
        <is>
          <t>Deduct for not providing hinges in doors, windows or clerestory window shutters with - ISI marked M.S. pres...</t>
        </is>
      </c>
      <c r="C488" t="inlineStr">
        <is>
          <t>sqm</t>
        </is>
      </c>
      <c r="D488" s="15" t="n">
        <v>55.15</v>
      </c>
      <c r="E488" t="inlineStr">
        <is>
          <t>09_Wood_and_PVC_Work</t>
        </is>
      </c>
      <c r="F488" t="n">
        <v>459</v>
      </c>
    </row>
    <row r="489">
      <c r="A489" s="14" t="inlineStr">
        <is>
          <t>9.16.1.1</t>
        </is>
      </c>
      <c r="B489" t="inlineStr">
        <is>
          <t>Providing and fixing 25 mm thick shutters for cup board etc - Panelled or panelled &amp; glazed shutters - Seco...</t>
        </is>
      </c>
      <c r="C489" t="inlineStr">
        <is>
          <t>sqm</t>
        </is>
      </c>
      <c r="D489" s="15" t="n">
        <v>3794.85</v>
      </c>
      <c r="E489" t="inlineStr">
        <is>
          <t>09_Wood_and_PVC_Work</t>
        </is>
      </c>
      <c r="F489" t="n">
        <v>459</v>
      </c>
    </row>
    <row r="490">
      <c r="A490" s="14" t="inlineStr">
        <is>
          <t>9.16.1.2</t>
        </is>
      </c>
      <c r="B490" t="inlineStr">
        <is>
          <t>Providing and fixing 25 mm thick shutters for cup board etc - Panelled or panelled &amp; glazed shutters - Seco...</t>
        </is>
      </c>
      <c r="C490" t="inlineStr">
        <is>
          <t>sqm</t>
        </is>
      </c>
      <c r="D490" s="15" t="n">
        <v>3937.2</v>
      </c>
      <c r="E490" t="inlineStr">
        <is>
          <t>09_Wood_and_PVC_Work</t>
        </is>
      </c>
      <c r="F490" t="n">
        <v>460</v>
      </c>
    </row>
    <row r="491">
      <c r="A491" s="14" t="inlineStr">
        <is>
          <t>9.16.2.1</t>
        </is>
      </c>
      <c r="B491" t="inlineStr">
        <is>
          <t>Providing and fixing 25 mm thick shutters for cup board etc - Glazed shutters - Second class teak wood incl...</t>
        </is>
      </c>
      <c r="C491" t="inlineStr">
        <is>
          <t>sqm</t>
        </is>
      </c>
      <c r="D491" s="15" t="n">
        <v>3646.15</v>
      </c>
      <c r="E491" t="inlineStr">
        <is>
          <t>09_Wood_and_PVC_Work</t>
        </is>
      </c>
      <c r="F491" t="n">
        <v>461</v>
      </c>
    </row>
    <row r="492">
      <c r="A492" s="14" t="inlineStr">
        <is>
          <t>9.16.2.2</t>
        </is>
      </c>
      <c r="B492" t="inlineStr">
        <is>
          <t>Providing and fixing 25 mm thick shutters for cup board etc - Glazed shutters - Second class teak wood incl...</t>
        </is>
      </c>
      <c r="C492" t="inlineStr">
        <is>
          <t>sqm</t>
        </is>
      </c>
      <c r="D492" s="15" t="n">
        <v>3684.65</v>
      </c>
      <c r="E492" t="inlineStr">
        <is>
          <t>09_Wood_and_PVC_Work</t>
        </is>
      </c>
      <c r="F492" t="n">
        <v>462</v>
      </c>
    </row>
    <row r="493">
      <c r="A493" s="14" t="inlineStr">
        <is>
          <t>9.17.1</t>
        </is>
      </c>
      <c r="B493" t="inlineStr">
        <is>
          <t>Providing and fixing flat pressed 3 layer particle board medium density exterior grade (Grade I) or graded...</t>
        </is>
      </c>
      <c r="C493" t="inlineStr">
        <is>
          <t>sqm</t>
        </is>
      </c>
      <c r="D493" s="15" t="n">
        <v>643.5</v>
      </c>
      <c r="E493" t="inlineStr">
        <is>
          <t>09_Wood_and_PVC_Work</t>
        </is>
      </c>
      <c r="F493" t="n">
        <v>463</v>
      </c>
    </row>
    <row r="494">
      <c r="A494" s="14" t="inlineStr">
        <is>
          <t>9.17.2</t>
        </is>
      </c>
      <c r="B494" t="inlineStr">
        <is>
          <t>Providing and fixing flat pressed 3 layer particle board medium density exterior grade (Grade I) or graded...</t>
        </is>
      </c>
      <c r="C494" t="inlineStr">
        <is>
          <t>sqm</t>
        </is>
      </c>
      <c r="D494" s="15" t="n">
        <v>915.6</v>
      </c>
      <c r="E494" t="inlineStr">
        <is>
          <t>09_Wood_and_PVC_Work</t>
        </is>
      </c>
      <c r="F494" t="n">
        <v>463</v>
      </c>
    </row>
    <row r="495">
      <c r="A495" s="14" t="inlineStr">
        <is>
          <t>9.18.1</t>
        </is>
      </c>
      <c r="B495" t="inlineStr">
        <is>
          <t>Providing and fixing Pre-laminated flat pressed 3 layer (medium density) particle board or graded wood part...</t>
        </is>
      </c>
      <c r="C495" t="inlineStr">
        <is>
          <t>sqm</t>
        </is>
      </c>
      <c r="D495" s="15" t="n">
        <v>1193.2</v>
      </c>
      <c r="E495" t="inlineStr">
        <is>
          <t>09_Wood_and_PVC_Work</t>
        </is>
      </c>
      <c r="F495" t="n">
        <v>464</v>
      </c>
    </row>
    <row r="496">
      <c r="A496" s="14" t="inlineStr">
        <is>
          <t>9.18.2</t>
        </is>
      </c>
      <c r="B496" t="inlineStr">
        <is>
          <t>Providing and fixing Pre-laminated flat pressed 3 layer (medium density) particle board or graded wood part...</t>
        </is>
      </c>
      <c r="C496" t="inlineStr">
        <is>
          <t>sqm</t>
        </is>
      </c>
      <c r="D496" s="15" t="n">
        <v>1548.45</v>
      </c>
      <c r="E496" t="inlineStr">
        <is>
          <t>09_Wood_and_PVC_Work</t>
        </is>
      </c>
      <c r="F496" t="n">
        <v>465</v>
      </c>
    </row>
    <row r="497">
      <c r="A497" s="14" t="inlineStr">
        <is>
          <t>9.20.1</t>
        </is>
      </c>
      <c r="B497" t="inlineStr">
        <is>
          <t>Providing and fixing ISI marked flush door shutters conforming to IS : 2202 (Part I) decorative type, core...</t>
        </is>
      </c>
      <c r="C497" t="inlineStr">
        <is>
          <t>sqm</t>
        </is>
      </c>
      <c r="D497" s="15" t="n">
        <v>3023.95</v>
      </c>
      <c r="E497" t="inlineStr">
        <is>
          <t>09_Wood_and_PVC_Work</t>
        </is>
      </c>
      <c r="F497" t="n">
        <v>466</v>
      </c>
    </row>
    <row r="498">
      <c r="A498" s="14" t="inlineStr">
        <is>
          <t>9.20.2</t>
        </is>
      </c>
      <c r="B498" t="inlineStr">
        <is>
          <t>Providing and fixing ISI marked flush door shutters conforming to IS : 2202 (Part I) decorative type, core...</t>
        </is>
      </c>
      <c r="C498" t="inlineStr">
        <is>
          <t>sqm</t>
        </is>
      </c>
      <c r="D498" s="15" t="n">
        <v>2756.35</v>
      </c>
      <c r="E498" t="inlineStr">
        <is>
          <t>09_Wood_and_PVC_Work</t>
        </is>
      </c>
      <c r="F498" t="n">
        <v>466</v>
      </c>
    </row>
    <row r="499">
      <c r="A499" s="14" t="inlineStr">
        <is>
          <t>9.20.3</t>
        </is>
      </c>
      <c r="B499" t="inlineStr">
        <is>
          <t>Providing and fixing ISI marked flush door shutters conforming to IS : 2202 (Part I) decorative type, core...</t>
        </is>
      </c>
      <c r="C499" t="inlineStr">
        <is>
          <t>sqm</t>
        </is>
      </c>
      <c r="D499" s="15" t="n">
        <v>2464.7</v>
      </c>
      <c r="E499" t="inlineStr">
        <is>
          <t>09_Wood_and_PVC_Work</t>
        </is>
      </c>
      <c r="F499" t="n">
        <v>467</v>
      </c>
    </row>
    <row r="500">
      <c r="A500" s="14" t="inlineStr">
        <is>
          <t>9.21.1</t>
        </is>
      </c>
      <c r="B500" t="inlineStr">
        <is>
          <t>Providing and fixing ISI marked flush door shutters conforming to IS : 2202 (Part I) non-decorative type, c...</t>
        </is>
      </c>
      <c r="C500" t="inlineStr">
        <is>
          <t>sqm</t>
        </is>
      </c>
      <c r="D500" s="15" t="n">
        <v>1886.7</v>
      </c>
      <c r="E500" t="inlineStr">
        <is>
          <t>09_Wood_and_PVC_Work</t>
        </is>
      </c>
      <c r="F500" t="n">
        <v>468</v>
      </c>
    </row>
    <row r="501">
      <c r="A501" s="14" t="inlineStr">
        <is>
          <t>9.21.2</t>
        </is>
      </c>
      <c r="B501" t="inlineStr">
        <is>
          <t>Providing and fixing ISI marked flush door shutters conforming to IS : 2202 (Part I) non-decorative type, c...</t>
        </is>
      </c>
      <c r="C501" t="inlineStr">
        <is>
          <t>sqm</t>
        </is>
      </c>
      <c r="D501" s="15" t="n">
        <v>1819.8</v>
      </c>
      <c r="E501" t="inlineStr">
        <is>
          <t>09_Wood_and_PVC_Work</t>
        </is>
      </c>
      <c r="F501" t="n">
        <v>468</v>
      </c>
    </row>
    <row r="502">
      <c r="A502" s="14" t="inlineStr">
        <is>
          <t>9.21.3</t>
        </is>
      </c>
      <c r="B502" t="inlineStr">
        <is>
          <t>Providing and fixing ISI marked flush door shutters conforming to IS : 2202 (Part I) non-decorative type, c...</t>
        </is>
      </c>
      <c r="C502" t="inlineStr">
        <is>
          <t>sqm</t>
        </is>
      </c>
      <c r="D502" s="15" t="n">
        <v>1782.35</v>
      </c>
      <c r="E502" t="inlineStr">
        <is>
          <t>09_Wood_and_PVC_Work</t>
        </is>
      </c>
      <c r="F502" t="n">
        <v>469</v>
      </c>
    </row>
    <row r="503">
      <c r="A503" s="14" t="inlineStr">
        <is>
          <t>9.22.1</t>
        </is>
      </c>
      <c r="B503" t="inlineStr">
        <is>
          <t>Extra for Providing and fixing flush doors with decorative veneering instead of non decorative ISI marked f...</t>
        </is>
      </c>
      <c r="C503" t="inlineStr">
        <is>
          <t>sqm</t>
        </is>
      </c>
      <c r="D503" s="15" t="n">
        <v>441.5</v>
      </c>
      <c r="E503" t="inlineStr">
        <is>
          <t>09_Wood_and_PVC_Work</t>
        </is>
      </c>
      <c r="F503" t="n">
        <v>470</v>
      </c>
    </row>
    <row r="504">
      <c r="A504" s="14" t="inlineStr">
        <is>
          <t>9.23</t>
        </is>
      </c>
      <c r="B504" t="inlineStr">
        <is>
          <t>Extra for providing lipping with 2nd class teak wood battens 25 mm minimum depth on all edges of flush door...</t>
        </is>
      </c>
      <c r="C504" t="inlineStr">
        <is>
          <t>sqm</t>
        </is>
      </c>
      <c r="D504" s="15" t="n">
        <v>401.4</v>
      </c>
      <c r="E504" t="inlineStr">
        <is>
          <t>09_Wood_and_PVC_Work</t>
        </is>
      </c>
      <c r="F504" t="n">
        <v>470</v>
      </c>
    </row>
    <row r="505">
      <c r="A505" s="14" t="inlineStr">
        <is>
          <t>9.24.1</t>
        </is>
      </c>
      <c r="B505" t="inlineStr">
        <is>
          <t>Extra for providing vision panel not exceeding 0.1 sqm in all type of flush doors (cost of glass excluded)...</t>
        </is>
      </c>
      <c r="C505" t="inlineStr">
        <is>
          <t>sqm</t>
        </is>
      </c>
      <c r="D505" s="15" t="n">
        <v>173.95</v>
      </c>
      <c r="E505" t="inlineStr">
        <is>
          <t>09_Wood_and_PVC_Work</t>
        </is>
      </c>
      <c r="F505" t="n">
        <v>471</v>
      </c>
    </row>
    <row r="506">
      <c r="A506" s="14" t="inlineStr">
        <is>
          <t>9.24.2</t>
        </is>
      </c>
      <c r="B506" t="inlineStr">
        <is>
          <t>Extra for providing vision panel not exceeding 0.1 sqm in all type of flush doors (cost of glass excluded)...</t>
        </is>
      </c>
      <c r="C506" t="inlineStr">
        <is>
          <t>sqm</t>
        </is>
      </c>
      <c r="D506" s="15" t="n">
        <v>180.6</v>
      </c>
      <c r="E506" t="inlineStr">
        <is>
          <t>09_Wood_and_PVC_Work</t>
        </is>
      </c>
      <c r="F506" t="n">
        <v>471</v>
      </c>
    </row>
    <row r="507">
      <c r="A507" s="14" t="inlineStr">
        <is>
          <t>9.25.1</t>
        </is>
      </c>
      <c r="B507" t="inlineStr">
        <is>
          <t>Extra if louvers (not exceeding 0.2 sqm) are provided in flush door shutters (overall area of door shutters...</t>
        </is>
      </c>
      <c r="C507" t="inlineStr">
        <is>
          <t>sqm</t>
        </is>
      </c>
      <c r="D507" s="15" t="n">
        <v>354.55</v>
      </c>
      <c r="E507" t="inlineStr">
        <is>
          <t>09_Wood_and_PVC_Work</t>
        </is>
      </c>
      <c r="F507" t="n">
        <v>472</v>
      </c>
    </row>
    <row r="508">
      <c r="A508" s="14" t="inlineStr">
        <is>
          <t>9.26</t>
        </is>
      </c>
      <c r="B508" t="inlineStr">
        <is>
          <t>Extra for cutting rebate in flush door shutters (Total area of the shutter to be measured)</t>
        </is>
      </c>
      <c r="C508" t="inlineStr">
        <is>
          <t>sqm</t>
        </is>
      </c>
      <c r="D508" s="15" t="n">
        <v>93.65000000000001</v>
      </c>
      <c r="E508" t="inlineStr">
        <is>
          <t>09_Wood_and_PVC_Work</t>
        </is>
      </c>
      <c r="F508" t="n">
        <v>472</v>
      </c>
    </row>
    <row r="509">
      <c r="A509" s="14" t="inlineStr">
        <is>
          <t>9.27.1.1.1</t>
        </is>
      </c>
      <c r="B509" t="inlineStr">
        <is>
          <t>Providing and fixing wire gauge shutters using galvanized M.S. wire gauge of average width of aperture 1.4...</t>
        </is>
      </c>
      <c r="C509" t="inlineStr">
        <is>
          <t>sqm</t>
        </is>
      </c>
      <c r="D509" s="15" t="n">
        <v>4221.2</v>
      </c>
      <c r="E509" t="inlineStr">
        <is>
          <t>09_Wood_and_PVC_Work</t>
        </is>
      </c>
      <c r="F509" t="n">
        <v>473</v>
      </c>
    </row>
    <row r="510">
      <c r="A510" s="14" t="inlineStr">
        <is>
          <t>9.27.1.1.2</t>
        </is>
      </c>
      <c r="B510" t="inlineStr">
        <is>
          <t>Providing and fixing wire gauge shutters using galvanized M.S. wire gauge of average width of aperture 1.4...</t>
        </is>
      </c>
      <c r="C510" t="inlineStr">
        <is>
          <t>sqm</t>
        </is>
      </c>
      <c r="D510" s="15" t="n">
        <v>2979.5</v>
      </c>
      <c r="E510" t="inlineStr">
        <is>
          <t>09_Wood_and_PVC_Work</t>
        </is>
      </c>
      <c r="F510" t="n">
        <v>474</v>
      </c>
    </row>
    <row r="511">
      <c r="A511" s="14" t="inlineStr">
        <is>
          <t>9.27.1.1.3</t>
        </is>
      </c>
      <c r="B511" t="inlineStr">
        <is>
          <t>Providing and fixing wire gauge shutters using galvanized M.S. wire gauge of average width of aperture 1.4...</t>
        </is>
      </c>
      <c r="C511" t="inlineStr">
        <is>
          <t>sqm</t>
        </is>
      </c>
      <c r="D511" s="15" t="n">
        <v>3796.15</v>
      </c>
      <c r="E511" t="inlineStr">
        <is>
          <t>09_Wood_and_PVC_Work</t>
        </is>
      </c>
      <c r="F511" t="n">
        <v>475</v>
      </c>
    </row>
    <row r="512">
      <c r="A512" s="14" t="inlineStr">
        <is>
          <t>9.27.1.2.1</t>
        </is>
      </c>
      <c r="B512" t="inlineStr">
        <is>
          <t>Providing and fixing wire gauge shutters using galvanized M.S. wire gauge of average width of aperture 1.4...</t>
        </is>
      </c>
      <c r="C512" t="inlineStr">
        <is>
          <t>sqm</t>
        </is>
      </c>
      <c r="D512" s="15" t="n">
        <v>4347.7</v>
      </c>
      <c r="E512" t="inlineStr">
        <is>
          <t>09_Wood_and_PVC_Work</t>
        </is>
      </c>
      <c r="F512" t="n">
        <v>476</v>
      </c>
    </row>
    <row r="513">
      <c r="A513" s="14" t="inlineStr">
        <is>
          <t>9.27.1.2.2</t>
        </is>
      </c>
      <c r="B513" t="inlineStr">
        <is>
          <t>Providing and fixing wire gauge shutters using galvanized M.S. wire gauge of average width of aperture 1.4...</t>
        </is>
      </c>
      <c r="C513" t="inlineStr">
        <is>
          <t>sqm</t>
        </is>
      </c>
      <c r="D513" s="15" t="n">
        <v>3106</v>
      </c>
      <c r="E513" t="inlineStr">
        <is>
          <t>09_Wood_and_PVC_Work</t>
        </is>
      </c>
      <c r="F513" t="n">
        <v>477</v>
      </c>
    </row>
    <row r="514">
      <c r="A514" s="14" t="inlineStr">
        <is>
          <t>9.27.1.2.3</t>
        </is>
      </c>
      <c r="B514" t="inlineStr">
        <is>
          <t>Providing and fixing wire gauge shutters using galvanized M.S. wire gauge of average width of aperture 1.4...</t>
        </is>
      </c>
      <c r="C514" t="inlineStr">
        <is>
          <t>sqm</t>
        </is>
      </c>
      <c r="D514" s="15" t="n">
        <v>3922.65</v>
      </c>
      <c r="E514" t="inlineStr">
        <is>
          <t>09_Wood_and_PVC_Work</t>
        </is>
      </c>
      <c r="F514" t="n">
        <v>478</v>
      </c>
    </row>
    <row r="515">
      <c r="A515" s="14" t="inlineStr">
        <is>
          <t>9.27.2.1.1</t>
        </is>
      </c>
      <c r="B515" t="inlineStr">
        <is>
          <t>Providing and fixing wire gauge shutters using galvanized M.S. wire gauge of average width of aperture 1.4...</t>
        </is>
      </c>
      <c r="C515" t="inlineStr">
        <is>
          <t>sqm</t>
        </is>
      </c>
      <c r="D515" s="15" t="n">
        <v>3750.75</v>
      </c>
      <c r="E515" t="inlineStr">
        <is>
          <t>09_Wood_and_PVC_Work</t>
        </is>
      </c>
      <c r="F515" t="n">
        <v>479</v>
      </c>
    </row>
    <row r="516">
      <c r="A516" s="14" t="inlineStr">
        <is>
          <t>9.27.2.1.2</t>
        </is>
      </c>
      <c r="B516" t="inlineStr">
        <is>
          <t>Providing and fixing wire gauge shutters using galvanized M.S. wire gauge of average width of aperture 1.4...</t>
        </is>
      </c>
      <c r="C516" t="inlineStr">
        <is>
          <t>sqm</t>
        </is>
      </c>
      <c r="D516" s="15" t="n">
        <v>2689.6</v>
      </c>
      <c r="E516" t="inlineStr">
        <is>
          <t>09_Wood_and_PVC_Work</t>
        </is>
      </c>
      <c r="F516" t="n">
        <v>480</v>
      </c>
    </row>
    <row r="517">
      <c r="A517" s="14" t="inlineStr">
        <is>
          <t>9.27.2.1.3</t>
        </is>
      </c>
      <c r="B517" t="inlineStr">
        <is>
          <t>Providing and fixing wire gauge shutters using galvanized M.S. wire gauge of average width of aperture 1.4...</t>
        </is>
      </c>
      <c r="C517" t="inlineStr">
        <is>
          <t>sqm</t>
        </is>
      </c>
      <c r="D517" s="15" t="n">
        <v>3386.9</v>
      </c>
      <c r="E517" t="inlineStr">
        <is>
          <t>09_Wood_and_PVC_Work</t>
        </is>
      </c>
      <c r="F517" t="n">
        <v>481</v>
      </c>
    </row>
    <row r="518">
      <c r="A518" s="14" t="inlineStr">
        <is>
          <t>9.27.2.2.1</t>
        </is>
      </c>
      <c r="B518" t="inlineStr">
        <is>
          <t>Providing and fixing wire gauge shutters using galvanized M.S. wire gauge of average width of aperture 1.4...</t>
        </is>
      </c>
      <c r="C518" t="inlineStr">
        <is>
          <t>sqm</t>
        </is>
      </c>
      <c r="D518" s="15" t="n">
        <v>3877.25</v>
      </c>
      <c r="E518" t="inlineStr">
        <is>
          <t>09_Wood_and_PVC_Work</t>
        </is>
      </c>
      <c r="F518" t="n">
        <v>482</v>
      </c>
    </row>
    <row r="519">
      <c r="A519" s="14" t="inlineStr">
        <is>
          <t>9.27.2.2.2</t>
        </is>
      </c>
      <c r="B519" t="inlineStr">
        <is>
          <t>Providing and fixing wire gauge shutters using galvanized M.S. wire gauge of average width of aperture 1.4...</t>
        </is>
      </c>
      <c r="C519" t="inlineStr">
        <is>
          <t>sqm</t>
        </is>
      </c>
      <c r="D519" s="15" t="n">
        <v>2815.9</v>
      </c>
      <c r="E519" t="inlineStr">
        <is>
          <t>09_Wood_and_PVC_Work</t>
        </is>
      </c>
      <c r="F519" t="n">
        <v>483</v>
      </c>
    </row>
    <row r="520">
      <c r="A520" s="14" t="inlineStr">
        <is>
          <t>9.27.2.2.3</t>
        </is>
      </c>
      <c r="B520" t="inlineStr">
        <is>
          <t>Providing and fixing wire gauge shutters using galvanized M.S. wire gauge of average width of aperture 1.4...</t>
        </is>
      </c>
      <c r="C520" t="inlineStr">
        <is>
          <t>sqm</t>
        </is>
      </c>
      <c r="D520" s="15" t="n">
        <v>3513.4</v>
      </c>
      <c r="E520" t="inlineStr">
        <is>
          <t>09_Wood_and_PVC_Work</t>
        </is>
      </c>
      <c r="F520" t="n">
        <v>484</v>
      </c>
    </row>
    <row r="521">
      <c r="A521" s="14" t="inlineStr">
        <is>
          <t>9.31.1</t>
        </is>
      </c>
      <c r="B521" t="inlineStr">
        <is>
          <t>Providing and fixing wire gauge laminated veneer lumber shutters conforming to IS : 14616, and as per TADS...</t>
        </is>
      </c>
      <c r="C521" t="inlineStr">
        <is>
          <t>sqm</t>
        </is>
      </c>
      <c r="D521" s="15" t="n">
        <v>2636.6</v>
      </c>
      <c r="E521" t="inlineStr">
        <is>
          <t>09_Wood_and_PVC_Work</t>
        </is>
      </c>
      <c r="F521" t="n">
        <v>485</v>
      </c>
    </row>
    <row r="522">
      <c r="A522" s="14" t="inlineStr">
        <is>
          <t>9.31.2</t>
        </is>
      </c>
      <c r="B522" t="inlineStr">
        <is>
          <t>Providing and fixing wire gauge laminated veneer lumber shutters conforming to IS : 14616, and as per TADS...</t>
        </is>
      </c>
      <c r="C522" t="inlineStr">
        <is>
          <t>sqm</t>
        </is>
      </c>
      <c r="D522" s="15" t="n">
        <v>2382.4</v>
      </c>
      <c r="E522" t="inlineStr">
        <is>
          <t>09_Wood_and_PVC_Work</t>
        </is>
      </c>
      <c r="F522" t="n">
        <v>485</v>
      </c>
    </row>
    <row r="523">
      <c r="A523" s="14" t="inlineStr">
        <is>
          <t>9.40.1.1</t>
        </is>
      </c>
      <c r="B523" t="inlineStr">
        <is>
          <t>Providing and fixing wooden moulded beading to door and window frames with iron screws, plugs and priming c...</t>
        </is>
      </c>
      <c r="C523" t="inlineStr">
        <is>
          <t>metre</t>
        </is>
      </c>
      <c r="D523" s="15" t="n">
        <v>184.6</v>
      </c>
      <c r="E523" t="inlineStr">
        <is>
          <t>09_Wood_and_PVC_Work</t>
        </is>
      </c>
      <c r="F523" t="n">
        <v>486</v>
      </c>
    </row>
    <row r="524">
      <c r="A524" s="14" t="inlineStr">
        <is>
          <t>9.40.1.2</t>
        </is>
      </c>
      <c r="B524" t="inlineStr">
        <is>
          <t>Providing and fixing wooden moulded beading to door and window frames with iron screws, plugs and priming c...</t>
        </is>
      </c>
      <c r="C524" t="inlineStr">
        <is>
          <t>metre</t>
        </is>
      </c>
      <c r="D524" s="15" t="n">
        <v>232.15</v>
      </c>
      <c r="E524" t="inlineStr">
        <is>
          <t>09_Wood_and_PVC_Work</t>
        </is>
      </c>
      <c r="F524" t="n">
        <v>487</v>
      </c>
    </row>
    <row r="525">
      <c r="A525" s="14" t="inlineStr">
        <is>
          <t>9.40.2.1</t>
        </is>
      </c>
      <c r="B525" t="inlineStr">
        <is>
          <t>Providing and fixing wooden moulded beading to door and window frames with iron screws, plugs and priming c...</t>
        </is>
      </c>
      <c r="C525" t="inlineStr">
        <is>
          <t>metre</t>
        </is>
      </c>
      <c r="D525" s="15" t="n">
        <v>149.2</v>
      </c>
      <c r="E525" t="inlineStr">
        <is>
          <t>09_Wood_and_PVC_Work</t>
        </is>
      </c>
      <c r="F525" t="n">
        <v>487</v>
      </c>
    </row>
    <row r="526">
      <c r="A526" s="14" t="inlineStr">
        <is>
          <t>9.40.2.2</t>
        </is>
      </c>
      <c r="B526" t="inlineStr">
        <is>
          <t>Providing and fixing wooden moulded beading to door and window frames with iron screws, plugs and priming c...</t>
        </is>
      </c>
      <c r="C526" t="inlineStr">
        <is>
          <t>metre</t>
        </is>
      </c>
      <c r="D526" s="15" t="n">
        <v>173.15</v>
      </c>
      <c r="E526" t="inlineStr">
        <is>
          <t>09_Wood_and_PVC_Work</t>
        </is>
      </c>
      <c r="F526" t="n">
        <v>488</v>
      </c>
    </row>
    <row r="527">
      <c r="A527" s="14" t="inlineStr">
        <is>
          <t>9.41.1</t>
        </is>
      </c>
      <c r="B527" t="inlineStr">
        <is>
          <t>Providing and fixing plain jaffri of 35x10 mm laths placed 35 mm apart (frames to be paid separately), incl...</t>
        </is>
      </c>
      <c r="C527" t="inlineStr">
        <is>
          <t>sqm</t>
        </is>
      </c>
      <c r="D527" s="15" t="n">
        <v>2546.9</v>
      </c>
      <c r="E527" t="inlineStr">
        <is>
          <t>09_Wood_and_PVC_Work</t>
        </is>
      </c>
      <c r="F527" t="n">
        <v>489</v>
      </c>
    </row>
    <row r="528">
      <c r="A528" s="14" t="inlineStr">
        <is>
          <t>9.42</t>
        </is>
      </c>
      <c r="B528" t="inlineStr">
        <is>
          <t>Providing and fixing 18 mm thick, 150 mm wide pelmet of flat pressed 3 layer or graded wood particle board...</t>
        </is>
      </c>
      <c r="C528" t="inlineStr">
        <is>
          <t>m</t>
        </is>
      </c>
      <c r="D528" s="15" t="n">
        <v>505.95</v>
      </c>
      <c r="E528" t="inlineStr">
        <is>
          <t>09_Wood_and_PVC_Work</t>
        </is>
      </c>
      <c r="F528" t="n">
        <v>489</v>
      </c>
    </row>
    <row r="529">
      <c r="A529" s="14" t="inlineStr">
        <is>
          <t>9.43</t>
        </is>
      </c>
      <c r="B529" t="inlineStr">
        <is>
          <t>Providing and fixing 18 mm thick, 150 mm wide pelmet of coir veneer board ISI marked IS : 14842, including...</t>
        </is>
      </c>
      <c r="C529" t="inlineStr">
        <is>
          <t>m</t>
        </is>
      </c>
      <c r="D529" s="15" t="n">
        <v>632.65</v>
      </c>
      <c r="E529" t="inlineStr">
        <is>
          <t>09_Wood_and_PVC_Work</t>
        </is>
      </c>
      <c r="F529" t="n">
        <v>490</v>
      </c>
    </row>
    <row r="530">
      <c r="A530" s="14" t="inlineStr">
        <is>
          <t>9.44.1</t>
        </is>
      </c>
      <c r="B530" t="inlineStr">
        <is>
          <t>Extra for using veneered particle board conforming to IS 3097 Grade I, in item of pelmet 18mm thick 150mm w...</t>
        </is>
      </c>
      <c r="C530" t="inlineStr">
        <is>
          <t>m</t>
        </is>
      </c>
      <c r="D530" s="15" t="n">
        <v>33.2</v>
      </c>
      <c r="E530" t="inlineStr">
        <is>
          <t>09_Wood_and_PVC_Work</t>
        </is>
      </c>
      <c r="F530" t="n">
        <v>491</v>
      </c>
    </row>
    <row r="531">
      <c r="A531" s="14" t="inlineStr">
        <is>
          <t>9.44.2</t>
        </is>
      </c>
      <c r="B531" t="inlineStr">
        <is>
          <t>Extra for using veneered particle board conforming to IS 3097 Grade I, in item of pelmet 18mm thick 150mm w...</t>
        </is>
      </c>
      <c r="C531" t="inlineStr">
        <is>
          <t>m</t>
        </is>
      </c>
      <c r="D531" s="15" t="n">
        <v>107.05</v>
      </c>
      <c r="E531" t="inlineStr">
        <is>
          <t>09_Wood_and_PVC_Work</t>
        </is>
      </c>
      <c r="F531" t="n">
        <v>492</v>
      </c>
    </row>
    <row r="532">
      <c r="A532" s="14" t="inlineStr">
        <is>
          <t>9.45</t>
        </is>
      </c>
      <c r="B532" t="inlineStr">
        <is>
          <t>Providing and fixing teak wood lipping of size 25x3 mm in pelmet</t>
        </is>
      </c>
      <c r="C532" t="inlineStr">
        <is>
          <t>metre</t>
        </is>
      </c>
      <c r="D532" s="15" t="n">
        <v>60.1</v>
      </c>
      <c r="E532" t="inlineStr">
        <is>
          <t>09_Wood_and_PVC_Work</t>
        </is>
      </c>
      <c r="F532" t="n">
        <v>492</v>
      </c>
    </row>
    <row r="533">
      <c r="A533" s="14" t="inlineStr">
        <is>
          <t>9.46.1</t>
        </is>
      </c>
      <c r="B533" t="inlineStr">
        <is>
          <t>Providing and fixing chromium plated brass curtain rod having wall thickness of - 12 mm dia</t>
        </is>
      </c>
      <c r="C533" t="inlineStr">
        <is>
          <t>metre</t>
        </is>
      </c>
      <c r="D533" s="15" t="n">
        <v>272.8</v>
      </c>
      <c r="E533" t="inlineStr">
        <is>
          <t>09_Wood_and_PVC_Work</t>
        </is>
      </c>
      <c r="F533" t="n">
        <v>493</v>
      </c>
    </row>
    <row r="534">
      <c r="A534" s="14" t="inlineStr">
        <is>
          <t>9.46.2</t>
        </is>
      </c>
      <c r="B534" t="inlineStr">
        <is>
          <t>Providing and fixing chromium plated brass curtain rod having wall thickness of - 20 mm dia</t>
        </is>
      </c>
      <c r="C534" t="inlineStr">
        <is>
          <t>metre</t>
        </is>
      </c>
      <c r="D534" s="15" t="n">
        <v>373.15</v>
      </c>
      <c r="E534" t="inlineStr">
        <is>
          <t>09_Wood_and_PVC_Work</t>
        </is>
      </c>
      <c r="F534" t="n">
        <v>493</v>
      </c>
    </row>
    <row r="535">
      <c r="A535" s="14" t="inlineStr">
        <is>
          <t>9.46.3</t>
        </is>
      </c>
      <c r="B535" t="inlineStr">
        <is>
          <t>Providing and fixing chromium plated brass curtain rod having wall thickness of - 25 mm dia</t>
        </is>
      </c>
      <c r="C535" t="inlineStr">
        <is>
          <t>metre</t>
        </is>
      </c>
      <c r="D535" s="15" t="n">
        <v>480.15</v>
      </c>
      <c r="E535" t="inlineStr">
        <is>
          <t>09_Wood_and_PVC_Work</t>
        </is>
      </c>
      <c r="F535" t="n">
        <v>494</v>
      </c>
    </row>
    <row r="536">
      <c r="A536" s="14" t="inlineStr">
        <is>
          <t>9.47.1</t>
        </is>
      </c>
      <c r="B536" t="inlineStr">
        <is>
          <t>Providing and fixing nickel plated M.S. pipe curtain rods with nickel plated brackets - 20 mm dia (heavy type)</t>
        </is>
      </c>
      <c r="C536" t="inlineStr">
        <is>
          <t>metre</t>
        </is>
      </c>
      <c r="D536" s="15" t="n">
        <v>155.65</v>
      </c>
      <c r="E536" t="inlineStr">
        <is>
          <t>09_Wood_and_PVC_Work</t>
        </is>
      </c>
      <c r="F536" t="n">
        <v>495</v>
      </c>
    </row>
    <row r="537">
      <c r="A537" s="14" t="inlineStr">
        <is>
          <t>9.47.2</t>
        </is>
      </c>
      <c r="B537" t="inlineStr">
        <is>
          <t>Providing and fixing nickel plated M.S. pipe curtain rods with nickel plated brackets - 25 mm dia (heavy type)</t>
        </is>
      </c>
      <c r="C537" t="inlineStr">
        <is>
          <t>metre</t>
        </is>
      </c>
      <c r="D537" s="15" t="n">
        <v>162.35</v>
      </c>
      <c r="E537" t="inlineStr">
        <is>
          <t>09_Wood_and_PVC_Work</t>
        </is>
      </c>
      <c r="F537" t="n">
        <v>495</v>
      </c>
    </row>
    <row r="538">
      <c r="A538" s="14" t="inlineStr">
        <is>
          <t>9.48.1</t>
        </is>
      </c>
      <c r="B538" t="inlineStr">
        <is>
          <t>Providing and fixing M.S. grills of required pattern in frames of windows etc. with M.S. flats, square or r...</t>
        </is>
      </c>
      <c r="C538" t="inlineStr">
        <is>
          <t>kg</t>
        </is>
      </c>
      <c r="D538" s="15" t="n">
        <v>165.3</v>
      </c>
      <c r="E538" t="inlineStr">
        <is>
          <t>09_Wood_and_PVC_Work</t>
        </is>
      </c>
      <c r="F538" t="n">
        <v>496</v>
      </c>
    </row>
    <row r="539">
      <c r="A539" s="14" t="inlineStr">
        <is>
          <t>9.48.2</t>
        </is>
      </c>
      <c r="B539" t="inlineStr">
        <is>
          <t>Providing and fixing M.S. grills of required pattern in frames of windows etc. with M.S. flats, square or r...</t>
        </is>
      </c>
      <c r="C539" t="inlineStr">
        <is>
          <t>kg</t>
        </is>
      </c>
      <c r="D539" s="15" t="n">
        <v>183.5</v>
      </c>
      <c r="E539" t="inlineStr">
        <is>
          <t>09_Wood_and_PVC_Work</t>
        </is>
      </c>
      <c r="F539" t="n">
        <v>497</v>
      </c>
    </row>
    <row r="540">
      <c r="A540" s="14" t="inlineStr">
        <is>
          <t>9.49</t>
        </is>
      </c>
      <c r="B540" t="inlineStr">
        <is>
          <t>Providing and fixing expanded metal 20x60 mm strands 3.25 mm wide and 1.6mm thick for windows etc. includin...</t>
        </is>
      </c>
      <c r="C540" t="inlineStr">
        <is>
          <t>sqm</t>
        </is>
      </c>
      <c r="D540" s="15" t="n">
        <v>1240.55</v>
      </c>
      <c r="E540" t="inlineStr">
        <is>
          <t>09_Wood_and_PVC_Work</t>
        </is>
      </c>
      <c r="F540" t="n">
        <v>498</v>
      </c>
    </row>
    <row r="541">
      <c r="A541" s="14" t="inlineStr">
        <is>
          <t>9.50</t>
        </is>
      </c>
      <c r="B541" t="inlineStr">
        <is>
          <t>Providing and fixing hard drawn steel wire fabric 75x25 mm mesh of weight not less than 7.75 Kg per sqm to...</t>
        </is>
      </c>
      <c r="C541" t="inlineStr">
        <is>
          <t>sqm</t>
        </is>
      </c>
      <c r="D541" s="15" t="n">
        <v>1448.35</v>
      </c>
      <c r="E541" t="inlineStr">
        <is>
          <t>09_Wood_and_PVC_Work</t>
        </is>
      </c>
      <c r="F541" t="n">
        <v>498</v>
      </c>
    </row>
    <row r="542">
      <c r="A542" s="14" t="inlineStr">
        <is>
          <t>9.51.1</t>
        </is>
      </c>
      <c r="B542" t="inlineStr">
        <is>
          <t>Providing and fixing fly proof galvanized M.S. wire gauge to windows and clerestory windows using wire gaug...</t>
        </is>
      </c>
      <c r="C542" t="inlineStr">
        <is>
          <t>sqm</t>
        </is>
      </c>
      <c r="D542" s="15" t="n">
        <v>1133.35</v>
      </c>
      <c r="E542" t="inlineStr">
        <is>
          <t>09_Wood_and_PVC_Work</t>
        </is>
      </c>
      <c r="F542" t="n">
        <v>499</v>
      </c>
    </row>
    <row r="543">
      <c r="A543" s="14" t="inlineStr">
        <is>
          <t>9.51.2</t>
        </is>
      </c>
      <c r="B543" t="inlineStr">
        <is>
          <t>Providing and fixing fly proof galvanized M.S. wire gauge to windows and clerestory windows using wire gaug...</t>
        </is>
      </c>
      <c r="C543" t="inlineStr">
        <is>
          <t>sqm</t>
        </is>
      </c>
      <c r="D543" s="15" t="n">
        <v>781.25</v>
      </c>
      <c r="E543" t="inlineStr">
        <is>
          <t>09_Wood_and_PVC_Work</t>
        </is>
      </c>
      <c r="F543" t="n">
        <v>500</v>
      </c>
    </row>
    <row r="544">
      <c r="A544" s="14" t="inlineStr">
        <is>
          <t>9.52</t>
        </is>
      </c>
      <c r="B544" t="inlineStr">
        <is>
          <t>Deduct for fixing 75x25 mm hard drawn steel wire fabric of weight not less than</t>
        </is>
      </c>
      <c r="C544" t="inlineStr">
        <is>
          <t>sqm</t>
        </is>
      </c>
      <c r="D544" s="15" t="n">
        <v>173.95</v>
      </c>
      <c r="E544" t="inlineStr">
        <is>
          <t>09_Wood_and_PVC_Work</t>
        </is>
      </c>
      <c r="F544" t="n">
        <v>501</v>
      </c>
    </row>
    <row r="545">
      <c r="A545" s="14" t="inlineStr">
        <is>
          <t>9.53</t>
        </is>
      </c>
      <c r="B545" t="inlineStr">
        <is>
          <t>Providing 40x5 mm flat iron hold fast 40 cm long including fixing to frame with 10 mm diameter bolts, nuts...</t>
        </is>
      </c>
      <c r="C545" t="inlineStr">
        <is>
          <t>no</t>
        </is>
      </c>
      <c r="D545" s="15" t="n">
        <v>179.2</v>
      </c>
      <c r="E545" t="inlineStr">
        <is>
          <t>09_Wood_and_PVC_Work</t>
        </is>
      </c>
      <c r="F545" t="n">
        <v>501</v>
      </c>
    </row>
    <row r="546">
      <c r="A546" s="14" t="inlineStr">
        <is>
          <t>9.54.1</t>
        </is>
      </c>
      <c r="B546" t="inlineStr">
        <is>
          <t>Providing beams including hoisting, fixing in position and applying wood preservative for the unexposed sur...</t>
        </is>
      </c>
      <c r="C546" t="inlineStr">
        <is>
          <t>cudm</t>
        </is>
      </c>
      <c r="D546" s="15" t="n">
        <v>93844.39999999999</v>
      </c>
      <c r="E546" t="inlineStr">
        <is>
          <t>09_Wood_and_PVC_Work</t>
        </is>
      </c>
      <c r="F546" t="n">
        <v>502</v>
      </c>
    </row>
    <row r="547">
      <c r="A547" s="14" t="inlineStr">
        <is>
          <t>9.54.2</t>
        </is>
      </c>
      <c r="B547" t="inlineStr">
        <is>
          <t>Providing beams including hoisting, fixing in position and applying wood preservative for the unexposed sur...</t>
        </is>
      </c>
      <c r="C547" t="inlineStr">
        <is>
          <t>cudm</t>
        </is>
      </c>
      <c r="D547" s="15" t="n">
        <v>59720.35</v>
      </c>
      <c r="E547" t="inlineStr">
        <is>
          <t>09_Wood_and_PVC_Work</t>
        </is>
      </c>
      <c r="F547" t="n">
        <v>503</v>
      </c>
    </row>
    <row r="548">
      <c r="A548" s="14" t="inlineStr">
        <is>
          <t>9.55.1</t>
        </is>
      </c>
      <c r="B548" t="inlineStr">
        <is>
          <t>Providing and fixing ISI marked M.S. pressed butt hinges bright finished with necessary screws etc. complet...</t>
        </is>
      </c>
      <c r="C548" t="inlineStr">
        <is>
          <t>nos</t>
        </is>
      </c>
      <c r="D548" s="15" t="n">
        <v>46.25</v>
      </c>
      <c r="E548" t="inlineStr">
        <is>
          <t>09_Wood_and_PVC_Work</t>
        </is>
      </c>
      <c r="F548" t="n">
        <v>503</v>
      </c>
    </row>
    <row r="549">
      <c r="A549" s="14" t="inlineStr">
        <is>
          <t>9.55.2</t>
        </is>
      </c>
      <c r="B549" t="inlineStr">
        <is>
          <t>Providing and fixing ISI marked M.S. pressed butt hinges bright finished with necessary screws etc. complet...</t>
        </is>
      </c>
      <c r="C549" t="inlineStr">
        <is>
          <t>nos</t>
        </is>
      </c>
      <c r="D549" s="15" t="n">
        <v>37.3</v>
      </c>
      <c r="E549" t="inlineStr">
        <is>
          <t>09_Wood_and_PVC_Work</t>
        </is>
      </c>
      <c r="F549" t="n">
        <v>504</v>
      </c>
    </row>
    <row r="550">
      <c r="A550" s="14" t="inlineStr">
        <is>
          <t>9.55.3</t>
        </is>
      </c>
      <c r="B550" t="inlineStr">
        <is>
          <t>Providing and fixing ISI marked M.S. pressed butt hinges bright finished with necessary screws etc. complet...</t>
        </is>
      </c>
      <c r="C550" t="inlineStr">
        <is>
          <t>nos</t>
        </is>
      </c>
      <c r="D550" s="15" t="n">
        <v>31.05</v>
      </c>
      <c r="E550" t="inlineStr">
        <is>
          <t>09_Wood_and_PVC_Work</t>
        </is>
      </c>
      <c r="F550" t="n">
        <v>504</v>
      </c>
    </row>
    <row r="551">
      <c r="A551" s="14" t="inlineStr">
        <is>
          <t>9.55.4</t>
        </is>
      </c>
      <c r="B551" t="inlineStr">
        <is>
          <t>Providing and fixing ISI marked M.S. pressed butt hinges bright finished with necessary screws etc. complet...</t>
        </is>
      </c>
      <c r="C551" t="inlineStr">
        <is>
          <t>nos</t>
        </is>
      </c>
      <c r="D551" s="15" t="n">
        <v>15.65</v>
      </c>
      <c r="E551" t="inlineStr">
        <is>
          <t>09_Wood_and_PVC_Work</t>
        </is>
      </c>
      <c r="F551" t="n">
        <v>505</v>
      </c>
    </row>
    <row r="552">
      <c r="A552" s="14" t="inlineStr">
        <is>
          <t>9.56.1</t>
        </is>
      </c>
      <c r="B552" t="inlineStr">
        <is>
          <t>Providing and fixing ISI marked, IS : 1341, M.S. heavy weight butt hinges with necessary screws etc. comple...</t>
        </is>
      </c>
      <c r="C552" t="inlineStr">
        <is>
          <t>nos</t>
        </is>
      </c>
      <c r="D552" s="15" t="n">
        <v>56.3</v>
      </c>
      <c r="E552" t="inlineStr">
        <is>
          <t>09_Wood_and_PVC_Work</t>
        </is>
      </c>
      <c r="F552" t="n">
        <v>505</v>
      </c>
    </row>
    <row r="553">
      <c r="A553" s="14" t="inlineStr">
        <is>
          <t>9.56.2</t>
        </is>
      </c>
      <c r="B553" t="inlineStr">
        <is>
          <t>Providing and fixing ISI marked, IS : 1341, M.S. heavy weight butt hinges with necessary screws etc. comple...</t>
        </is>
      </c>
      <c r="C553" t="inlineStr">
        <is>
          <t>nos</t>
        </is>
      </c>
      <c r="D553" s="15" t="n">
        <v>48</v>
      </c>
      <c r="E553" t="inlineStr">
        <is>
          <t>09_Wood_and_PVC_Work</t>
        </is>
      </c>
      <c r="F553" t="n">
        <v>506</v>
      </c>
    </row>
    <row r="554">
      <c r="A554" s="14" t="inlineStr">
        <is>
          <t>9.56.3</t>
        </is>
      </c>
      <c r="B554" t="inlineStr">
        <is>
          <t>Providing and fixing ISI marked, IS : 1341, M.S. heavy weight butt hinges with necessary screws etc. comple...</t>
        </is>
      </c>
      <c r="C554" t="inlineStr">
        <is>
          <t>nos</t>
        </is>
      </c>
      <c r="D554" s="15" t="n">
        <v>36.25</v>
      </c>
      <c r="E554" t="inlineStr">
        <is>
          <t>09_Wood_and_PVC_Work</t>
        </is>
      </c>
      <c r="F554" t="n">
        <v>506</v>
      </c>
    </row>
    <row r="555">
      <c r="A555" s="14" t="inlineStr">
        <is>
          <t>9.56.4</t>
        </is>
      </c>
      <c r="B555" t="inlineStr">
        <is>
          <t>Providing and fixing ISI marked, IS : 1341, M.S. heavy weight butt hinges with necessary screws etc. comple...</t>
        </is>
      </c>
      <c r="C555" t="inlineStr">
        <is>
          <t>nos</t>
        </is>
      </c>
      <c r="D555" s="15" t="n">
        <v>19.8</v>
      </c>
      <c r="E555" t="inlineStr">
        <is>
          <t>09_Wood_and_PVC_Work</t>
        </is>
      </c>
      <c r="F555" t="n">
        <v>507</v>
      </c>
    </row>
    <row r="556">
      <c r="A556" s="14" t="inlineStr">
        <is>
          <t>9.57.1</t>
        </is>
      </c>
      <c r="B556" t="inlineStr">
        <is>
          <t>Providing and fixing ISI marked oxidised M.S. pressed butt hinges with necessary screws etc. complete - 125...</t>
        </is>
      </c>
      <c r="C556" t="inlineStr">
        <is>
          <t>nos</t>
        </is>
      </c>
      <c r="D556" s="15" t="n">
        <v>45.95</v>
      </c>
      <c r="E556" t="inlineStr">
        <is>
          <t>09_Wood_and_PVC_Work</t>
        </is>
      </c>
      <c r="F556" t="n">
        <v>508</v>
      </c>
    </row>
    <row r="557">
      <c r="A557" s="14" t="inlineStr">
        <is>
          <t>9.57.2</t>
        </is>
      </c>
      <c r="B557" t="inlineStr">
        <is>
          <t>Providing and fixing ISI marked oxidised M.S. pressed butt hinges with necessary screws etc. complete - 100...</t>
        </is>
      </c>
      <c r="C557" t="inlineStr">
        <is>
          <t>nos</t>
        </is>
      </c>
      <c r="D557" s="15" t="n">
        <v>38.2</v>
      </c>
      <c r="E557" t="inlineStr">
        <is>
          <t>09_Wood_and_PVC_Work</t>
        </is>
      </c>
      <c r="F557" t="n">
        <v>508</v>
      </c>
    </row>
    <row r="558">
      <c r="A558" s="14" t="inlineStr">
        <is>
          <t>9.57.3</t>
        </is>
      </c>
      <c r="B558" t="inlineStr">
        <is>
          <t>Providing and fixing ISI marked oxidised M.S. pressed butt hinges with necessary screws etc. complete - 75x...</t>
        </is>
      </c>
      <c r="C558" t="inlineStr">
        <is>
          <t>nos</t>
        </is>
      </c>
      <c r="D558" s="15" t="n">
        <v>32.3</v>
      </c>
      <c r="E558" t="inlineStr">
        <is>
          <t>09_Wood_and_PVC_Work</t>
        </is>
      </c>
      <c r="F558" t="n">
        <v>509</v>
      </c>
    </row>
    <row r="559">
      <c r="A559" s="14" t="inlineStr">
        <is>
          <t>9.57.4</t>
        </is>
      </c>
      <c r="B559" t="inlineStr">
        <is>
          <t>Providing and fixing ISI marked oxidised M.S. pressed butt hinges with necessary screws etc. complete - 50x...</t>
        </is>
      </c>
      <c r="C559" t="inlineStr">
        <is>
          <t>nos</t>
        </is>
      </c>
      <c r="D559" s="15" t="n">
        <v>16.3</v>
      </c>
      <c r="E559" t="inlineStr">
        <is>
          <t>09_Wood_and_PVC_Work</t>
        </is>
      </c>
      <c r="F559" t="n">
        <v>509</v>
      </c>
    </row>
    <row r="560">
      <c r="A560" s="14" t="inlineStr">
        <is>
          <t>9.58.1</t>
        </is>
      </c>
      <c r="B560" t="inlineStr">
        <is>
          <t>Providing and fixing ISI marked oxidised M.S. pressed Parliamentary hinges with necessary screws etc. compl...</t>
        </is>
      </c>
      <c r="C560" t="inlineStr">
        <is>
          <t>nos</t>
        </is>
      </c>
      <c r="D560" s="15" t="n">
        <v>75.2</v>
      </c>
      <c r="E560" t="inlineStr">
        <is>
          <t>09_Wood_and_PVC_Work</t>
        </is>
      </c>
      <c r="F560" t="n">
        <v>510</v>
      </c>
    </row>
    <row r="561">
      <c r="A561" s="14" t="inlineStr">
        <is>
          <t>9.58.2</t>
        </is>
      </c>
      <c r="B561" t="inlineStr">
        <is>
          <t>Providing and fixing ISI marked oxidised M.S. pressed Parliamentary hinges with necessary screws etc. compl...</t>
        </is>
      </c>
      <c r="C561" t="inlineStr">
        <is>
          <t>nos</t>
        </is>
      </c>
      <c r="D561" s="15" t="n">
        <v>71.90000000000001</v>
      </c>
      <c r="E561" t="inlineStr">
        <is>
          <t>09_Wood_and_PVC_Work</t>
        </is>
      </c>
      <c r="F561" t="n">
        <v>510</v>
      </c>
    </row>
    <row r="562">
      <c r="A562" s="14" t="inlineStr">
        <is>
          <t>9.58.3</t>
        </is>
      </c>
      <c r="B562" t="inlineStr">
        <is>
          <t>Providing and fixing ISI marked oxidised M.S. pressed Parliamentary hinges with necessary screws etc. compl...</t>
        </is>
      </c>
      <c r="C562" t="inlineStr">
        <is>
          <t>nos</t>
        </is>
      </c>
      <c r="D562" s="15" t="n">
        <v>61.45</v>
      </c>
      <c r="E562" t="inlineStr">
        <is>
          <t>09_Wood_and_PVC_Work</t>
        </is>
      </c>
      <c r="F562" t="n">
        <v>511</v>
      </c>
    </row>
    <row r="563">
      <c r="A563" s="14" t="inlineStr">
        <is>
          <t>9.58.4</t>
        </is>
      </c>
      <c r="B563" t="inlineStr">
        <is>
          <t>Providing and fixing ISI marked oxidised M.S. pressed Parliamentary hinges with necessary screws etc. compl...</t>
        </is>
      </c>
      <c r="C563" t="inlineStr">
        <is>
          <t>nos</t>
        </is>
      </c>
      <c r="D563" s="15" t="n">
        <v>54.05</v>
      </c>
      <c r="E563" t="inlineStr">
        <is>
          <t>09_Wood_and_PVC_Work</t>
        </is>
      </c>
      <c r="F563" t="n">
        <v>511</v>
      </c>
    </row>
    <row r="564">
      <c r="A564" s="14" t="inlineStr">
        <is>
          <t>9.59.1</t>
        </is>
      </c>
      <c r="B564" t="inlineStr">
        <is>
          <t>Providing and fixing ISI marked oxidised M.S. single acting spring hinges with necessary screws etc. comple...</t>
        </is>
      </c>
      <c r="C564" t="inlineStr">
        <is>
          <t>nos</t>
        </is>
      </c>
      <c r="D564" s="15" t="n">
        <v>244.75</v>
      </c>
      <c r="E564" t="inlineStr">
        <is>
          <t>09_Wood_and_PVC_Work</t>
        </is>
      </c>
      <c r="F564" t="n">
        <v>512</v>
      </c>
    </row>
    <row r="565">
      <c r="A565" s="14" t="inlineStr">
        <is>
          <t>9.59.2</t>
        </is>
      </c>
      <c r="B565" t="inlineStr">
        <is>
          <t>Providing and fixing ISI marked oxidised M.S. single acting spring hinges with necessary screws etc. comple...</t>
        </is>
      </c>
      <c r="C565" t="inlineStr">
        <is>
          <t>nos</t>
        </is>
      </c>
      <c r="D565" s="15" t="n">
        <v>218</v>
      </c>
      <c r="E565" t="inlineStr">
        <is>
          <t>09_Wood_and_PVC_Work</t>
        </is>
      </c>
      <c r="F565" t="n">
        <v>512</v>
      </c>
    </row>
    <row r="566">
      <c r="A566" s="14" t="inlineStr">
        <is>
          <t>9.59.3</t>
        </is>
      </c>
      <c r="B566" t="inlineStr">
        <is>
          <t>Providing and fixing ISI marked oxidised M.S. single acting spring hinges with necessary screws etc. comple...</t>
        </is>
      </c>
      <c r="C566" t="inlineStr">
        <is>
          <t>nos</t>
        </is>
      </c>
      <c r="D566" s="15" t="n">
        <v>189.75</v>
      </c>
      <c r="E566" t="inlineStr">
        <is>
          <t>09_Wood_and_PVC_Work</t>
        </is>
      </c>
      <c r="F566" t="n">
        <v>513</v>
      </c>
    </row>
    <row r="567">
      <c r="A567" s="14" t="inlineStr">
        <is>
          <t>9.60.1</t>
        </is>
      </c>
      <c r="B567" t="inlineStr">
        <is>
          <t>Providing and fixing oxidised M.S. double acting spring hinges with necessary screws etc. complete - 150 mm</t>
        </is>
      </c>
      <c r="C567" t="inlineStr">
        <is>
          <t>nos</t>
        </is>
      </c>
      <c r="D567" s="15" t="n">
        <v>270.2</v>
      </c>
      <c r="E567" t="inlineStr">
        <is>
          <t>09_Wood_and_PVC_Work</t>
        </is>
      </c>
      <c r="F567" t="n">
        <v>513</v>
      </c>
    </row>
    <row r="568">
      <c r="A568" s="14" t="inlineStr">
        <is>
          <t>9.60.2</t>
        </is>
      </c>
      <c r="B568" t="inlineStr">
        <is>
          <t>Providing and fixing oxidised M.S. double acting spring hinges with necessary screws etc. complete - 125 mm</t>
        </is>
      </c>
      <c r="C568" t="inlineStr">
        <is>
          <t>nos</t>
        </is>
      </c>
      <c r="D568" s="15" t="n">
        <v>235.65</v>
      </c>
      <c r="E568" t="inlineStr">
        <is>
          <t>09_Wood_and_PVC_Work</t>
        </is>
      </c>
      <c r="F568" t="n">
        <v>514</v>
      </c>
    </row>
    <row r="569">
      <c r="A569" s="14" t="inlineStr">
        <is>
          <t>9.60.3</t>
        </is>
      </c>
      <c r="B569" t="inlineStr">
        <is>
          <t>Providing and fixing oxidised M.S. double acting spring hinges with necessary screws etc. complete - 100 mm</t>
        </is>
      </c>
      <c r="C569" t="inlineStr">
        <is>
          <t>nos</t>
        </is>
      </c>
      <c r="D569" s="15" t="n">
        <v>216.5</v>
      </c>
      <c r="E569" t="inlineStr">
        <is>
          <t>09_Wood_and_PVC_Work</t>
        </is>
      </c>
      <c r="F569" t="n">
        <v>514</v>
      </c>
    </row>
    <row r="570">
      <c r="A570" s="14" t="inlineStr">
        <is>
          <t>9.61.1</t>
        </is>
      </c>
      <c r="B570" t="inlineStr">
        <is>
          <t>Providing M.S. Piano hinges ISI marked IS : 3818 finished with nickel plating and fixing with necessary scr...</t>
        </is>
      </c>
      <c r="C570" t="inlineStr">
        <is>
          <t>metre</t>
        </is>
      </c>
      <c r="D570" s="15" t="n">
        <v>270.95</v>
      </c>
      <c r="E570" t="inlineStr">
        <is>
          <t>09_Wood_and_PVC_Work</t>
        </is>
      </c>
      <c r="F570" t="n">
        <v>515</v>
      </c>
    </row>
    <row r="571">
      <c r="A571" s="14" t="inlineStr">
        <is>
          <t>9.61.2</t>
        </is>
      </c>
      <c r="B571" t="inlineStr">
        <is>
          <t>Providing M.S. Piano hinges ISI marked IS : 3818 finished with nickel plating and fixing with necessary scr...</t>
        </is>
      </c>
      <c r="C571" t="inlineStr">
        <is>
          <t>metre</t>
        </is>
      </c>
      <c r="D571" s="15" t="n">
        <v>265.6</v>
      </c>
      <c r="E571" t="inlineStr">
        <is>
          <t>09_Wood_and_PVC_Work</t>
        </is>
      </c>
      <c r="F571" t="n">
        <v>515</v>
      </c>
    </row>
    <row r="572">
      <c r="A572" s="14" t="inlineStr">
        <is>
          <t>9.61.3</t>
        </is>
      </c>
      <c r="B572" t="inlineStr">
        <is>
          <t>Providing M.S. Piano hinges ISI marked IS : 3818 finished with nickel plating and fixing with necessary scr...</t>
        </is>
      </c>
      <c r="C572" t="inlineStr">
        <is>
          <t>metre</t>
        </is>
      </c>
      <c r="D572" s="15" t="n">
        <v>281.65</v>
      </c>
      <c r="E572" t="inlineStr">
        <is>
          <t>09_Wood_and_PVC_Work</t>
        </is>
      </c>
      <c r="F572" t="n">
        <v>516</v>
      </c>
    </row>
    <row r="573">
      <c r="A573" s="14" t="inlineStr">
        <is>
          <t>9.62.1</t>
        </is>
      </c>
      <c r="B573" t="inlineStr">
        <is>
          <t>Providing and fixing ISI marked oxidised M.S. sliding door bolts with nuts and screws etc. complete - 300x1...</t>
        </is>
      </c>
      <c r="C573" t="inlineStr">
        <is>
          <t>nos</t>
        </is>
      </c>
      <c r="D573" s="15" t="n">
        <v>183.3</v>
      </c>
      <c r="E573" t="inlineStr">
        <is>
          <t>09_Wood_and_PVC_Work</t>
        </is>
      </c>
      <c r="F573" t="n">
        <v>516</v>
      </c>
    </row>
    <row r="574">
      <c r="A574" s="14" t="inlineStr">
        <is>
          <t>9.62.2</t>
        </is>
      </c>
      <c r="B574" t="inlineStr">
        <is>
          <t>Providing and fixing ISI marked oxidised M.S. sliding door bolts with nuts and screws etc. complete - 250x1...</t>
        </is>
      </c>
      <c r="C574" t="inlineStr">
        <is>
          <t>nos</t>
        </is>
      </c>
      <c r="D574" s="15" t="n">
        <v>170</v>
      </c>
      <c r="E574" t="inlineStr">
        <is>
          <t>09_Wood_and_PVC_Work</t>
        </is>
      </c>
      <c r="F574" t="n">
        <v>517</v>
      </c>
    </row>
    <row r="575">
      <c r="A575" s="14" t="inlineStr">
        <is>
          <t>9.63.1</t>
        </is>
      </c>
      <c r="B575" t="inlineStr">
        <is>
          <t>Providing and fixing ISI marked oxidised M.S. tower bolt black finish, (Barrel type) with necessary screws...</t>
        </is>
      </c>
      <c r="C575" t="inlineStr">
        <is>
          <t>nos</t>
        </is>
      </c>
      <c r="D575" s="15" t="n">
        <v>74.15000000000001</v>
      </c>
      <c r="E575" t="inlineStr">
        <is>
          <t>09_Wood_and_PVC_Work</t>
        </is>
      </c>
      <c r="F575" t="n">
        <v>517</v>
      </c>
    </row>
    <row r="576">
      <c r="A576" s="14" t="inlineStr">
        <is>
          <t>9.63.2</t>
        </is>
      </c>
      <c r="B576" t="inlineStr">
        <is>
          <t>Providing and fixing ISI marked oxidised M.S. tower bolt black finish, (Barrel type) with necessary screws...</t>
        </is>
      </c>
      <c r="C576" t="inlineStr">
        <is>
          <t>nos</t>
        </is>
      </c>
      <c r="D576" s="15" t="n">
        <v>60.55</v>
      </c>
      <c r="E576" t="inlineStr">
        <is>
          <t>09_Wood_and_PVC_Work</t>
        </is>
      </c>
      <c r="F576" t="n">
        <v>518</v>
      </c>
    </row>
    <row r="577">
      <c r="A577" s="14" t="inlineStr">
        <is>
          <t>9.63.3</t>
        </is>
      </c>
      <c r="B577" t="inlineStr">
        <is>
          <t>Providing and fixing ISI marked oxidised M.S. tower bolt black finish, (Barrel type) with necessary screws...</t>
        </is>
      </c>
      <c r="C577" t="inlineStr">
        <is>
          <t>nos</t>
        </is>
      </c>
      <c r="D577" s="15" t="n">
        <v>52.55</v>
      </c>
      <c r="E577" t="inlineStr">
        <is>
          <t>09_Wood_and_PVC_Work</t>
        </is>
      </c>
      <c r="F577" t="n">
        <v>518</v>
      </c>
    </row>
    <row r="578">
      <c r="A578" s="14" t="inlineStr">
        <is>
          <t>9.63.4</t>
        </is>
      </c>
      <c r="B578" t="inlineStr">
        <is>
          <t>Providing and fixing ISI marked oxidised M.S. tower bolt black finish, (Barrel type) with necessary screws...</t>
        </is>
      </c>
      <c r="C578" t="inlineStr">
        <is>
          <t>nos</t>
        </is>
      </c>
      <c r="D578" s="15" t="n">
        <v>38.7</v>
      </c>
      <c r="E578" t="inlineStr">
        <is>
          <t>09_Wood_and_PVC_Work</t>
        </is>
      </c>
      <c r="F578" t="n">
        <v>519</v>
      </c>
    </row>
    <row r="579">
      <c r="A579" s="14" t="inlineStr">
        <is>
          <t>9.64</t>
        </is>
      </c>
      <c r="B579" t="inlineStr">
        <is>
          <t>Providing and fixing ISI marked 85x42 mm oxidised M.S. pull bolt lock conforming to IS : 7534 with necessar...</t>
        </is>
      </c>
      <c r="C579" t="inlineStr">
        <is>
          <t>nos</t>
        </is>
      </c>
      <c r="D579" s="15" t="n">
        <v>104.7</v>
      </c>
      <c r="E579" t="inlineStr">
        <is>
          <t>09_Wood_and_PVC_Work</t>
        </is>
      </c>
      <c r="F579" t="n">
        <v>519</v>
      </c>
    </row>
    <row r="580">
      <c r="A580" s="14" t="inlineStr">
        <is>
          <t>9.65.1</t>
        </is>
      </c>
      <c r="B580" t="inlineStr">
        <is>
          <t>Providing and fixing ISi marked oxidised M.S. door latches conforming to IS:5930 with screws etc. complete...</t>
        </is>
      </c>
      <c r="C580" t="inlineStr">
        <is>
          <t>nos</t>
        </is>
      </c>
      <c r="D580" s="15" t="n">
        <v>81.75</v>
      </c>
      <c r="E580" t="inlineStr">
        <is>
          <t>09_Wood_and_PVC_Work</t>
        </is>
      </c>
      <c r="F580" t="n">
        <v>520</v>
      </c>
    </row>
    <row r="581">
      <c r="A581" s="14" t="inlineStr">
        <is>
          <t>9.65.2</t>
        </is>
      </c>
      <c r="B581" t="inlineStr">
        <is>
          <t>Providing and fixing ISi marked oxidised M.S. door latches conforming to IS:5930 with screws etc. complete...</t>
        </is>
      </c>
      <c r="C581" t="inlineStr">
        <is>
          <t>nos</t>
        </is>
      </c>
      <c r="D581" s="15" t="n">
        <v>68.40000000000001</v>
      </c>
      <c r="E581" t="inlineStr">
        <is>
          <t>09_Wood_and_PVC_Work</t>
        </is>
      </c>
      <c r="F581" t="n">
        <v>520</v>
      </c>
    </row>
    <row r="582">
      <c r="A582" s="14" t="inlineStr">
        <is>
          <t>9.66.1</t>
        </is>
      </c>
      <c r="B582" t="inlineStr">
        <is>
          <t>Providing and fixing ISI marked oxidised M.S. handles conforming to IS:4992 with necessary screws etc. comp...</t>
        </is>
      </c>
      <c r="C582" t="inlineStr">
        <is>
          <t>nos</t>
        </is>
      </c>
      <c r="D582" s="15" t="n">
        <v>34.85</v>
      </c>
      <c r="E582" t="inlineStr">
        <is>
          <t>09_Wood_and_PVC_Work</t>
        </is>
      </c>
      <c r="F582" t="n">
        <v>521</v>
      </c>
    </row>
    <row r="583">
      <c r="A583" s="14" t="inlineStr">
        <is>
          <t>9.66.2</t>
        </is>
      </c>
      <c r="B583" t="inlineStr">
        <is>
          <t>Providing and fixing ISI marked oxidised M.S. handles conforming to IS:4992 with necessary screws etc. comp...</t>
        </is>
      </c>
      <c r="C583" t="inlineStr">
        <is>
          <t>nos</t>
        </is>
      </c>
      <c r="D583" s="15" t="n">
        <v>27.95</v>
      </c>
      <c r="E583" t="inlineStr">
        <is>
          <t>09_Wood_and_PVC_Work</t>
        </is>
      </c>
      <c r="F583" t="n">
        <v>521</v>
      </c>
    </row>
    <row r="584">
      <c r="A584" s="14" t="inlineStr">
        <is>
          <t>9.66.3</t>
        </is>
      </c>
      <c r="B584" t="inlineStr">
        <is>
          <t>Providing and fixing ISI marked oxidised M.S. handles conforming to IS:4992 with necessary screws etc. comp...</t>
        </is>
      </c>
      <c r="C584" t="inlineStr">
        <is>
          <t>nos</t>
        </is>
      </c>
      <c r="D584" s="15" t="n">
        <v>23.9</v>
      </c>
      <c r="E584" t="inlineStr">
        <is>
          <t>09_Wood_and_PVC_Work</t>
        </is>
      </c>
      <c r="F584" t="n">
        <v>522</v>
      </c>
    </row>
    <row r="585">
      <c r="A585" s="14" t="inlineStr">
        <is>
          <t>9.67.1</t>
        </is>
      </c>
      <c r="B585" t="inlineStr">
        <is>
          <t>Providing and fixing oxidised M.S. hasp and staple (safety type) conforming to IS : 363 with necessary scre...</t>
        </is>
      </c>
      <c r="C585" t="inlineStr">
        <is>
          <t>nos</t>
        </is>
      </c>
      <c r="D585" s="15" t="n">
        <v>28.75</v>
      </c>
      <c r="E585" t="inlineStr">
        <is>
          <t>09_Wood_and_PVC_Work</t>
        </is>
      </c>
      <c r="F585" t="n">
        <v>522</v>
      </c>
    </row>
    <row r="586">
      <c r="A586" s="14" t="inlineStr">
        <is>
          <t>9.67.2</t>
        </is>
      </c>
      <c r="B586" t="inlineStr">
        <is>
          <t>Providing and fixing oxidised M.S. hasp and staple (safety type) conforming to IS : 363 with necessary scre...</t>
        </is>
      </c>
      <c r="C586" t="inlineStr">
        <is>
          <t>nos</t>
        </is>
      </c>
      <c r="D586" s="15" t="n">
        <v>25.6</v>
      </c>
      <c r="E586" t="inlineStr">
        <is>
          <t>09_Wood_and_PVC_Work</t>
        </is>
      </c>
      <c r="F586" t="n">
        <v>523</v>
      </c>
    </row>
    <row r="587">
      <c r="A587" s="14" t="inlineStr">
        <is>
          <t>9.67.3</t>
        </is>
      </c>
      <c r="B587" t="inlineStr">
        <is>
          <t>Providing and fixing oxidised M.S. hasp and staple (safety type) conforming to IS : 363 with necessary scre...</t>
        </is>
      </c>
      <c r="C587" t="inlineStr">
        <is>
          <t>nos</t>
        </is>
      </c>
      <c r="D587" s="15" t="n">
        <v>21.7</v>
      </c>
      <c r="E587" t="inlineStr">
        <is>
          <t>09_Wood_and_PVC_Work</t>
        </is>
      </c>
      <c r="F587" t="n">
        <v>523</v>
      </c>
    </row>
    <row r="588">
      <c r="A588" s="14" t="inlineStr">
        <is>
          <t>9.68.1</t>
        </is>
      </c>
      <c r="B588" t="inlineStr">
        <is>
          <t>Providing and fixing oxidised M.S. casement stays (straight peg type) with necessary screws etc. complete -...</t>
        </is>
      </c>
      <c r="C588" t="inlineStr">
        <is>
          <t>nos</t>
        </is>
      </c>
      <c r="D588" s="15" t="n">
        <v>58.8</v>
      </c>
      <c r="E588" t="inlineStr">
        <is>
          <t>09_Wood_and_PVC_Work</t>
        </is>
      </c>
      <c r="F588" t="n">
        <v>524</v>
      </c>
    </row>
    <row r="589">
      <c r="A589" s="14" t="inlineStr">
        <is>
          <t>9.68.2</t>
        </is>
      </c>
      <c r="B589" t="inlineStr">
        <is>
          <t>Providing and fixing oxidised M.S. casement stays (straight peg type) with necessary screws etc. complete -...</t>
        </is>
      </c>
      <c r="C589" t="inlineStr">
        <is>
          <t>nos</t>
        </is>
      </c>
      <c r="D589" s="15" t="n">
        <v>51.4</v>
      </c>
      <c r="E589" t="inlineStr">
        <is>
          <t>09_Wood_and_PVC_Work</t>
        </is>
      </c>
      <c r="F589" t="n">
        <v>524</v>
      </c>
    </row>
    <row r="590">
      <c r="A590" s="14" t="inlineStr">
        <is>
          <t>9.68.3</t>
        </is>
      </c>
      <c r="B590" t="inlineStr">
        <is>
          <t>Providing and fixing oxidised M.S. casement stays (straight peg type) with necessary screws etc. complete -...</t>
        </is>
      </c>
      <c r="C590" t="inlineStr">
        <is>
          <t>nos</t>
        </is>
      </c>
      <c r="D590" s="15" t="n">
        <v>44.7</v>
      </c>
      <c r="E590" t="inlineStr">
        <is>
          <t>09_Wood_and_PVC_Work</t>
        </is>
      </c>
      <c r="F590" t="n">
        <v>525</v>
      </c>
    </row>
    <row r="591">
      <c r="A591" s="14" t="inlineStr">
        <is>
          <t>9.69</t>
        </is>
      </c>
      <c r="B591" t="inlineStr">
        <is>
          <t>Providing and fixing oxidised M.S. Safety chain with necessary fixtures for doors, (weighting not less than...</t>
        </is>
      </c>
      <c r="C591" t="inlineStr">
        <is>
          <t>nos</t>
        </is>
      </c>
      <c r="D591" s="15" t="n">
        <v>88.5</v>
      </c>
      <c r="E591" t="inlineStr">
        <is>
          <t>09_Wood_and_PVC_Work</t>
        </is>
      </c>
      <c r="F591" t="n">
        <v>525</v>
      </c>
    </row>
    <row r="592">
      <c r="A592" s="14" t="inlineStr">
        <is>
          <t>9.70.1</t>
        </is>
      </c>
      <c r="B592" t="inlineStr">
        <is>
          <t>Providing and fixing IS : 12817 marked stainless steel butt hinges with stainless steel screws etc. complet...</t>
        </is>
      </c>
      <c r="C592" t="inlineStr">
        <is>
          <t>nos</t>
        </is>
      </c>
      <c r="D592" s="15" t="n">
        <v>84.5</v>
      </c>
      <c r="E592" t="inlineStr">
        <is>
          <t>09_Wood_and_PVC_Work</t>
        </is>
      </c>
      <c r="F592" t="n">
        <v>526</v>
      </c>
    </row>
    <row r="593">
      <c r="A593" s="14" t="inlineStr">
        <is>
          <t>9.70.2</t>
        </is>
      </c>
      <c r="B593" t="inlineStr">
        <is>
          <t>Providing and fixing IS : 12817 marked stainless steel butt hinges with stainless steel screws etc. complet...</t>
        </is>
      </c>
      <c r="C593" t="inlineStr">
        <is>
          <t>nos</t>
        </is>
      </c>
      <c r="D593" s="15" t="n">
        <v>74.59999999999999</v>
      </c>
      <c r="E593" t="inlineStr">
        <is>
          <t>09_Wood_and_PVC_Work</t>
        </is>
      </c>
      <c r="F593" t="n">
        <v>526</v>
      </c>
    </row>
    <row r="594">
      <c r="A594" s="14" t="inlineStr">
        <is>
          <t>9.70.3</t>
        </is>
      </c>
      <c r="B594" t="inlineStr">
        <is>
          <t>Providing and fixing IS : 12817 marked stainless steel butt hinges with stainless steel screws etc. complet...</t>
        </is>
      </c>
      <c r="C594" t="inlineStr">
        <is>
          <t>nos</t>
        </is>
      </c>
      <c r="D594" s="15" t="n">
        <v>56.6</v>
      </c>
      <c r="E594" t="inlineStr">
        <is>
          <t>09_Wood_and_PVC_Work</t>
        </is>
      </c>
      <c r="F594" t="n">
        <v>527</v>
      </c>
    </row>
    <row r="595">
      <c r="A595" s="14" t="inlineStr">
        <is>
          <t>9.70.4</t>
        </is>
      </c>
      <c r="B595" t="inlineStr">
        <is>
          <t>Providing and fixing IS : 12817 marked stainless steel butt hinges with stainless steel screws etc. complet...</t>
        </is>
      </c>
      <c r="C595" t="inlineStr">
        <is>
          <t>nos</t>
        </is>
      </c>
      <c r="D595" s="15" t="n">
        <v>32.25</v>
      </c>
      <c r="E595" t="inlineStr">
        <is>
          <t>09_Wood_and_PVC_Work</t>
        </is>
      </c>
      <c r="F595" t="n">
        <v>527</v>
      </c>
    </row>
    <row r="596">
      <c r="A596" s="14" t="inlineStr">
        <is>
          <t>9.71.1</t>
        </is>
      </c>
      <c r="B596" t="inlineStr">
        <is>
          <t>Providing and fixing IS : 12817 marked stainless steel butt hinges (heavy weight) with stainless steel scre...</t>
        </is>
      </c>
      <c r="C596" t="inlineStr">
        <is>
          <t>nos</t>
        </is>
      </c>
      <c r="D596" s="15" t="n">
        <v>95.90000000000001</v>
      </c>
      <c r="E596" t="inlineStr">
        <is>
          <t>09_Wood_and_PVC_Work</t>
        </is>
      </c>
      <c r="F596" t="n">
        <v>528</v>
      </c>
    </row>
    <row r="597">
      <c r="A597" s="14" t="inlineStr">
        <is>
          <t>9.71.2</t>
        </is>
      </c>
      <c r="B597" t="inlineStr">
        <is>
          <t>Providing and fixing IS : 12817 marked stainless steel butt hinges (heavy weight) with stainless steel scre...</t>
        </is>
      </c>
      <c r="C597" t="inlineStr">
        <is>
          <t>nos</t>
        </is>
      </c>
      <c r="D597" s="15" t="n">
        <v>77.3</v>
      </c>
      <c r="E597" t="inlineStr">
        <is>
          <t>09_Wood_and_PVC_Work</t>
        </is>
      </c>
      <c r="F597" t="n">
        <v>528</v>
      </c>
    </row>
    <row r="598">
      <c r="A598" s="14" t="inlineStr">
        <is>
          <t>9.71.3</t>
        </is>
      </c>
      <c r="B598" t="inlineStr">
        <is>
          <t>Providing and fixing IS : 12817 marked stainless steel butt hinges (heavy weight) with stainless steel scre...</t>
        </is>
      </c>
      <c r="C598" t="inlineStr">
        <is>
          <t>nos</t>
        </is>
      </c>
      <c r="D598" s="15" t="n">
        <v>62.6</v>
      </c>
      <c r="E598" t="inlineStr">
        <is>
          <t>09_Wood_and_PVC_Work</t>
        </is>
      </c>
      <c r="F598" t="n">
        <v>529</v>
      </c>
    </row>
    <row r="599">
      <c r="A599" s="14" t="inlineStr">
        <is>
          <t>9.72.1</t>
        </is>
      </c>
      <c r="B599" t="inlineStr">
        <is>
          <t>Providing and fixing bright finished brass butt hinges with necessary screws etc. complete - 125x85x5.5 mm...</t>
        </is>
      </c>
      <c r="C599" t="inlineStr">
        <is>
          <t>nos</t>
        </is>
      </c>
      <c r="D599" s="15" t="n">
        <v>226.85</v>
      </c>
      <c r="E599" t="inlineStr">
        <is>
          <t>09_Wood_and_PVC_Work</t>
        </is>
      </c>
      <c r="F599" t="n">
        <v>529</v>
      </c>
    </row>
    <row r="600">
      <c r="A600" s="14" t="inlineStr">
        <is>
          <t>9.72.2</t>
        </is>
      </c>
      <c r="B600" t="inlineStr">
        <is>
          <t>Providing and fixing bright finished brass butt hinges with necessary screws etc. complete - 125x70x4 mm (o...</t>
        </is>
      </c>
      <c r="C600" t="inlineStr">
        <is>
          <t>nos</t>
        </is>
      </c>
      <c r="D600" s="15" t="n">
        <v>155.4</v>
      </c>
      <c r="E600" t="inlineStr">
        <is>
          <t>09_Wood_and_PVC_Work</t>
        </is>
      </c>
      <c r="F600" t="n">
        <v>530</v>
      </c>
    </row>
    <row r="601">
      <c r="A601" s="14" t="inlineStr">
        <is>
          <t>9.72.3</t>
        </is>
      </c>
      <c r="B601" t="inlineStr">
        <is>
          <t>Providing and fixing bright finished brass butt hinges with necessary screws etc. complete - 100x85x5.5 mm...</t>
        </is>
      </c>
      <c r="C601" t="inlineStr">
        <is>
          <t>nos</t>
        </is>
      </c>
      <c r="D601" s="15" t="n">
        <v>173.6</v>
      </c>
      <c r="E601" t="inlineStr">
        <is>
          <t>09_Wood_and_PVC_Work</t>
        </is>
      </c>
      <c r="F601" t="n">
        <v>530</v>
      </c>
    </row>
    <row r="602">
      <c r="A602" s="14" t="inlineStr">
        <is>
          <t>9.72.4</t>
        </is>
      </c>
      <c r="B602" t="inlineStr">
        <is>
          <t>Providing and fixing bright finished brass butt hinges with necessary screws etc. complete - 100x70x4 mm (o...</t>
        </is>
      </c>
      <c r="C602" t="inlineStr">
        <is>
          <t>nos</t>
        </is>
      </c>
      <c r="D602" s="15" t="n">
        <v>123.85</v>
      </c>
      <c r="E602" t="inlineStr">
        <is>
          <t>09_Wood_and_PVC_Work</t>
        </is>
      </c>
      <c r="F602" t="n">
        <v>531</v>
      </c>
    </row>
    <row r="603">
      <c r="A603" s="14" t="inlineStr">
        <is>
          <t>9.72.5</t>
        </is>
      </c>
      <c r="B603" t="inlineStr">
        <is>
          <t>Providing and fixing bright finished brass butt hinges with necessary screws etc. complete - 75x65x4 mm (he...</t>
        </is>
      </c>
      <c r="C603" t="inlineStr">
        <is>
          <t>nos</t>
        </is>
      </c>
      <c r="D603" s="15" t="n">
        <v>145.4</v>
      </c>
      <c r="E603" t="inlineStr">
        <is>
          <t>09_Wood_and_PVC_Work</t>
        </is>
      </c>
      <c r="F603" t="n">
        <v>531</v>
      </c>
    </row>
    <row r="604">
      <c r="A604" s="14" t="inlineStr">
        <is>
          <t>9.72.6</t>
        </is>
      </c>
      <c r="B604" t="inlineStr">
        <is>
          <t>Providing and fixing bright finished brass butt hinges with necessary screws etc. complete - 75x40x2.5 mm (...</t>
        </is>
      </c>
      <c r="C604" t="inlineStr">
        <is>
          <t>nos</t>
        </is>
      </c>
      <c r="D604" s="15" t="n">
        <v>84.09999999999999</v>
      </c>
      <c r="E604" t="inlineStr">
        <is>
          <t>09_Wood_and_PVC_Work</t>
        </is>
      </c>
      <c r="F604" t="n">
        <v>532</v>
      </c>
    </row>
    <row r="605">
      <c r="A605" s="14" t="inlineStr">
        <is>
          <t>9.72.7</t>
        </is>
      </c>
      <c r="B605" t="inlineStr">
        <is>
          <t>Providing and fixing bright finished brass butt hinges with necessary screws etc. complete - 50x40x2.5 mm (...</t>
        </is>
      </c>
      <c r="C605" t="inlineStr">
        <is>
          <t>nos</t>
        </is>
      </c>
      <c r="D605" s="15" t="n">
        <v>34.2</v>
      </c>
      <c r="E605" t="inlineStr">
        <is>
          <t>09_Wood_and_PVC_Work</t>
        </is>
      </c>
      <c r="F605" t="n">
        <v>532</v>
      </c>
    </row>
    <row r="606">
      <c r="A606" s="14" t="inlineStr">
        <is>
          <t>9.73.1</t>
        </is>
      </c>
      <c r="B606" t="inlineStr">
        <is>
          <t>Providing and fixing bright finished brass parliamentary hinges with necessary screws etc. complete - 150x1...</t>
        </is>
      </c>
      <c r="C606" t="inlineStr">
        <is>
          <t>nos</t>
        </is>
      </c>
      <c r="D606" s="15" t="n">
        <v>392.4</v>
      </c>
      <c r="E606" t="inlineStr">
        <is>
          <t>09_Wood_and_PVC_Work</t>
        </is>
      </c>
      <c r="F606" t="n">
        <v>533</v>
      </c>
    </row>
    <row r="607">
      <c r="A607" s="14" t="inlineStr">
        <is>
          <t>9.73.2</t>
        </is>
      </c>
      <c r="B607" t="inlineStr">
        <is>
          <t>Providing and fixing bright finished brass parliamentary hinges with necessary screws etc. complete - 125x1...</t>
        </is>
      </c>
      <c r="C607" t="inlineStr">
        <is>
          <t>nos</t>
        </is>
      </c>
      <c r="D607" s="15" t="n">
        <v>350.95</v>
      </c>
      <c r="E607" t="inlineStr">
        <is>
          <t>09_Wood_and_PVC_Work</t>
        </is>
      </c>
      <c r="F607" t="n">
        <v>533</v>
      </c>
    </row>
    <row r="608">
      <c r="A608" s="14" t="inlineStr">
        <is>
          <t>9.73.3</t>
        </is>
      </c>
      <c r="B608" t="inlineStr">
        <is>
          <t>Providing and fixing bright finished brass parliamentary hinges with necessary screws etc. complete - 100x1...</t>
        </is>
      </c>
      <c r="C608" t="inlineStr">
        <is>
          <t>nos</t>
        </is>
      </c>
      <c r="D608" s="15" t="n">
        <v>322.85</v>
      </c>
      <c r="E608" t="inlineStr">
        <is>
          <t>09_Wood_and_PVC_Work</t>
        </is>
      </c>
      <c r="F608" t="n">
        <v>534</v>
      </c>
    </row>
    <row r="609">
      <c r="A609" s="14" t="inlineStr">
        <is>
          <t>9.73.4</t>
        </is>
      </c>
      <c r="B609" t="inlineStr">
        <is>
          <t>Providing and fixing bright finished brass parliamentary hinges with necessary screws etc. complete - 75x10...</t>
        </is>
      </c>
      <c r="C609" t="inlineStr">
        <is>
          <t>nos</t>
        </is>
      </c>
      <c r="D609" s="15" t="n">
        <v>286.45</v>
      </c>
      <c r="E609" t="inlineStr">
        <is>
          <t>09_Wood_and_PVC_Work</t>
        </is>
      </c>
      <c r="F609" t="n">
        <v>534</v>
      </c>
    </row>
    <row r="610">
      <c r="A610" s="14" t="inlineStr">
        <is>
          <t>9.74.1</t>
        </is>
      </c>
      <c r="B610" t="inlineStr">
        <is>
          <t>Providing and fixing bright finished brass tower bolts (barrel type) with necessary screws etc. complete -...</t>
        </is>
      </c>
      <c r="C610" t="inlineStr">
        <is>
          <t>nos</t>
        </is>
      </c>
      <c r="D610" s="15" t="n">
        <v>373.65</v>
      </c>
      <c r="E610" t="inlineStr">
        <is>
          <t>09_Wood_and_PVC_Work</t>
        </is>
      </c>
      <c r="F610" t="n">
        <v>535</v>
      </c>
    </row>
    <row r="611">
      <c r="A611" s="14" t="inlineStr">
        <is>
          <t>9.74.2</t>
        </is>
      </c>
      <c r="B611" t="inlineStr">
        <is>
          <t>Providing and fixing bright finished brass tower bolts (barrel type) with necessary screws etc. complete -...</t>
        </is>
      </c>
      <c r="C611" t="inlineStr">
        <is>
          <t>nos</t>
        </is>
      </c>
      <c r="D611" s="15" t="n">
        <v>299.85</v>
      </c>
      <c r="E611" t="inlineStr">
        <is>
          <t>09_Wood_and_PVC_Work</t>
        </is>
      </c>
      <c r="F611" t="n">
        <v>535</v>
      </c>
    </row>
    <row r="612">
      <c r="A612" s="14" t="inlineStr">
        <is>
          <t>9.74.3</t>
        </is>
      </c>
      <c r="B612" t="inlineStr">
        <is>
          <t>Providing and fixing bright finished brass tower bolts (barrel type) with necessary screws etc. complete -...</t>
        </is>
      </c>
      <c r="C612" t="inlineStr">
        <is>
          <t>nos</t>
        </is>
      </c>
      <c r="D612" s="15" t="n">
        <v>231.65</v>
      </c>
      <c r="E612" t="inlineStr">
        <is>
          <t>09_Wood_and_PVC_Work</t>
        </is>
      </c>
      <c r="F612" t="n">
        <v>536</v>
      </c>
    </row>
    <row r="613">
      <c r="A613" s="14" t="inlineStr">
        <is>
          <t>9.74.4</t>
        </is>
      </c>
      <c r="B613" t="inlineStr">
        <is>
          <t>Providing and fixing bright finished brass tower bolts (barrel type) with necessary screws etc. complete -...</t>
        </is>
      </c>
      <c r="C613" t="inlineStr">
        <is>
          <t>nos</t>
        </is>
      </c>
      <c r="D613" s="15" t="n">
        <v>159.65</v>
      </c>
      <c r="E613" t="inlineStr">
        <is>
          <t>09_Wood_and_PVC_Work</t>
        </is>
      </c>
      <c r="F613" t="n">
        <v>536</v>
      </c>
    </row>
    <row r="614">
      <c r="A614" s="14" t="inlineStr">
        <is>
          <t>9.75.1</t>
        </is>
      </c>
      <c r="B614" t="inlineStr">
        <is>
          <t>Providing and fixing bright finished brass door latch with necessary screws etc. complete - 300x16x5 mm</t>
        </is>
      </c>
      <c r="C614" t="inlineStr">
        <is>
          <t>nos</t>
        </is>
      </c>
      <c r="D614" s="15" t="n">
        <v>272.4</v>
      </c>
      <c r="E614" t="inlineStr">
        <is>
          <t>09_Wood_and_PVC_Work</t>
        </is>
      </c>
      <c r="F614" t="n">
        <v>537</v>
      </c>
    </row>
    <row r="615">
      <c r="A615" s="14" t="inlineStr">
        <is>
          <t>9.75.2</t>
        </is>
      </c>
      <c r="B615" t="inlineStr">
        <is>
          <t>Providing and fixing bright finished brass door latch with necessary screws etc. complete - 250x16x5 mm</t>
        </is>
      </c>
      <c r="C615" t="inlineStr">
        <is>
          <t>nos</t>
        </is>
      </c>
      <c r="D615" s="15" t="n">
        <v>259</v>
      </c>
      <c r="E615" t="inlineStr">
        <is>
          <t>09_Wood_and_PVC_Work</t>
        </is>
      </c>
      <c r="F615" t="n">
        <v>537</v>
      </c>
    </row>
    <row r="616">
      <c r="A616" s="14" t="inlineStr">
        <is>
          <t>9.76</t>
        </is>
      </c>
      <c r="B616" t="inlineStr">
        <is>
          <t>Providing and fixing bright finished brass 100 mm mortice latch and lock with 6 levers and a pair of lever...</t>
        </is>
      </c>
      <c r="C616" t="inlineStr">
        <is>
          <t>no</t>
        </is>
      </c>
      <c r="D616" s="15" t="n">
        <v>712.75</v>
      </c>
      <c r="E616" t="inlineStr">
        <is>
          <t>09_Wood_and_PVC_Work</t>
        </is>
      </c>
      <c r="F616" t="n">
        <v>538</v>
      </c>
    </row>
    <row r="617">
      <c r="A617" s="14" t="inlineStr">
        <is>
          <t>9.77</t>
        </is>
      </c>
      <c r="B617" t="inlineStr">
        <is>
          <t>Providing and fixing bright finished brass 100 mm mortice latch with one dead bolt and a pair of lever hand...</t>
        </is>
      </c>
      <c r="C617" t="inlineStr">
        <is>
          <t>no</t>
        </is>
      </c>
      <c r="D617" s="15" t="n">
        <v>592.35</v>
      </c>
      <c r="E617" t="inlineStr">
        <is>
          <t>09_Wood_and_PVC_Work</t>
        </is>
      </c>
      <c r="F617" t="n">
        <v>538</v>
      </c>
    </row>
    <row r="618">
      <c r="A618" s="14" t="inlineStr">
        <is>
          <t>9.78</t>
        </is>
      </c>
      <c r="B618" t="inlineStr">
        <is>
          <t>Providing and fixing bright finished brass night latch of approved quality including necessary screws etc....</t>
        </is>
      </c>
      <c r="C618" t="inlineStr">
        <is>
          <t>no</t>
        </is>
      </c>
      <c r="D618" s="15" t="n">
        <v>993.75</v>
      </c>
      <c r="E618" t="inlineStr">
        <is>
          <t>09_Wood_and_PVC_Work</t>
        </is>
      </c>
      <c r="F618" t="n">
        <v>539</v>
      </c>
    </row>
    <row r="619">
      <c r="A619" s="14" t="inlineStr">
        <is>
          <t>9.79.1</t>
        </is>
      </c>
      <c r="B619" t="inlineStr">
        <is>
          <t>Providing and fixing special quality bright finished brass cupboard or ward robe locks with four levers of...</t>
        </is>
      </c>
      <c r="C619" t="inlineStr">
        <is>
          <t>no</t>
        </is>
      </c>
      <c r="D619" s="15" t="n">
        <v>251.2</v>
      </c>
      <c r="E619" t="inlineStr">
        <is>
          <t>09_Wood_and_PVC_Work</t>
        </is>
      </c>
      <c r="F619" t="n">
        <v>539</v>
      </c>
    </row>
    <row r="620">
      <c r="A620" s="14" t="inlineStr">
        <is>
          <t>9.79.2</t>
        </is>
      </c>
      <c r="B620" t="inlineStr">
        <is>
          <t>Providing and fixing special quality bright finished brass cupboard or ward robe locks with four levers of...</t>
        </is>
      </c>
      <c r="C620" t="inlineStr">
        <is>
          <t>no</t>
        </is>
      </c>
      <c r="D620" s="15" t="n">
        <v>291.3</v>
      </c>
      <c r="E620" t="inlineStr">
        <is>
          <t>09_Wood_and_PVC_Work</t>
        </is>
      </c>
      <c r="F620" t="n">
        <v>540</v>
      </c>
    </row>
    <row r="621">
      <c r="A621" s="14" t="inlineStr">
        <is>
          <t>9.79.3</t>
        </is>
      </c>
      <c r="B621" t="inlineStr">
        <is>
          <t>Providing and fixing special quality bright finished brass cupboard or ward robe locks with four levers of...</t>
        </is>
      </c>
      <c r="C621" t="inlineStr">
        <is>
          <t>no</t>
        </is>
      </c>
      <c r="D621" s="15" t="n">
        <v>298</v>
      </c>
      <c r="E621" t="inlineStr">
        <is>
          <t>09_Wood_and_PVC_Work</t>
        </is>
      </c>
      <c r="F621" t="n">
        <v>540</v>
      </c>
    </row>
    <row r="622">
      <c r="A622" s="14" t="inlineStr">
        <is>
          <t>9.79.4</t>
        </is>
      </c>
      <c r="B622" t="inlineStr">
        <is>
          <t>Providing and fixing special quality bright finished brass cupboard or ward robe locks with four levers of...</t>
        </is>
      </c>
      <c r="C622" t="inlineStr">
        <is>
          <t>no</t>
        </is>
      </c>
      <c r="D622" s="15" t="n">
        <v>318.1</v>
      </c>
      <c r="E622" t="inlineStr">
        <is>
          <t>09_Wood_and_PVC_Work</t>
        </is>
      </c>
      <c r="F622" t="n">
        <v>540</v>
      </c>
    </row>
    <row r="623">
      <c r="A623" s="14" t="inlineStr">
        <is>
          <t>9.80</t>
        </is>
      </c>
      <c r="B623" t="inlineStr">
        <is>
          <t>Providing and fixing 50 mm bright finished brass cup board or wardrobe knob of approved quality with necess...</t>
        </is>
      </c>
      <c r="C623" t="inlineStr">
        <is>
          <t>nos</t>
        </is>
      </c>
      <c r="D623" s="15" t="n">
        <v>62.7</v>
      </c>
      <c r="E623" t="inlineStr">
        <is>
          <t>09_Wood_and_PVC_Work</t>
        </is>
      </c>
      <c r="F623" t="n">
        <v>541</v>
      </c>
    </row>
    <row r="624">
      <c r="A624" s="14" t="inlineStr">
        <is>
          <t>9.81.1</t>
        </is>
      </c>
      <c r="B624" t="inlineStr">
        <is>
          <t>Providing and fixing bright finished brass handles with screws etc. complete - 125 mm</t>
        </is>
      </c>
      <c r="C624" t="inlineStr">
        <is>
          <t>nos</t>
        </is>
      </c>
      <c r="D624" s="15" t="n">
        <v>204.65</v>
      </c>
      <c r="E624" t="inlineStr">
        <is>
          <t>09_Wood_and_PVC_Work</t>
        </is>
      </c>
      <c r="F624" t="n">
        <v>541</v>
      </c>
    </row>
    <row r="625">
      <c r="A625" s="14" t="inlineStr">
        <is>
          <t>9.81.2</t>
        </is>
      </c>
      <c r="B625" t="inlineStr">
        <is>
          <t>Providing and fixing bright finished brass handles with screws etc. complete - 100 mm</t>
        </is>
      </c>
      <c r="C625" t="inlineStr">
        <is>
          <t>nos</t>
        </is>
      </c>
      <c r="D625" s="15" t="n">
        <v>189.45</v>
      </c>
      <c r="E625" t="inlineStr">
        <is>
          <t>09_Wood_and_PVC_Work</t>
        </is>
      </c>
      <c r="F625" t="n">
        <v>542</v>
      </c>
    </row>
    <row r="626">
      <c r="A626" s="14" t="inlineStr">
        <is>
          <t>9.81.3</t>
        </is>
      </c>
      <c r="B626" t="inlineStr">
        <is>
          <t>Providing and fixing bright finished brass handles with screws etc. complete - 75 mm</t>
        </is>
      </c>
      <c r="C626" t="inlineStr">
        <is>
          <t>nos</t>
        </is>
      </c>
      <c r="D626" s="15" t="n">
        <v>149.35</v>
      </c>
      <c r="E626" t="inlineStr">
        <is>
          <t>09_Wood_and_PVC_Work</t>
        </is>
      </c>
      <c r="F626" t="n">
        <v>542</v>
      </c>
    </row>
    <row r="627">
      <c r="A627" s="14" t="inlineStr">
        <is>
          <t>9.82</t>
        </is>
      </c>
      <c r="B627" t="inlineStr">
        <is>
          <t>Providing and fixing bright finished brass hanging type floor door stopper with necessary screws, etc. comp...</t>
        </is>
      </c>
      <c r="C627" t="inlineStr">
        <is>
          <t>nos</t>
        </is>
      </c>
      <c r="D627" s="15" t="n">
        <v>106.7</v>
      </c>
      <c r="E627" t="inlineStr">
        <is>
          <t>09_Wood_and_PVC_Work</t>
        </is>
      </c>
      <c r="F627" t="n">
        <v>543</v>
      </c>
    </row>
    <row r="628">
      <c r="A628" s="14" t="inlineStr">
        <is>
          <t>9.83</t>
        </is>
      </c>
      <c r="B628" t="inlineStr">
        <is>
          <t>Providing and fixing aluminium die cast body tubular type universal hydraulic door closer (having brand log...</t>
        </is>
      </c>
      <c r="C628" t="inlineStr">
        <is>
          <t>nos</t>
        </is>
      </c>
      <c r="D628" s="15" t="n">
        <v>1003.5</v>
      </c>
      <c r="E628" t="inlineStr">
        <is>
          <t>09_Wood_and_PVC_Work</t>
        </is>
      </c>
      <c r="F628" t="n">
        <v>544</v>
      </c>
    </row>
    <row r="629">
      <c r="A629" s="14" t="inlineStr">
        <is>
          <t>9.84</t>
        </is>
      </c>
      <c r="B629" t="inlineStr">
        <is>
          <t>Providing and fixing aluminium extruded section body tubular type universal hydraulic door closer (having b...</t>
        </is>
      </c>
      <c r="C629" t="inlineStr">
        <is>
          <t>nos</t>
        </is>
      </c>
      <c r="D629" s="15" t="n">
        <v>851.6</v>
      </c>
      <c r="E629" t="inlineStr">
        <is>
          <t>09_Wood_and_PVC_Work</t>
        </is>
      </c>
      <c r="F629" t="n">
        <v>544</v>
      </c>
    </row>
    <row r="630">
      <c r="A630" s="14" t="inlineStr">
        <is>
          <t>9.85</t>
        </is>
      </c>
      <c r="B630" t="inlineStr">
        <is>
          <t>Providing and fixing bright finished brass casement window fastener with necessary screws etc. complete</t>
        </is>
      </c>
      <c r="C630" t="inlineStr">
        <is>
          <t>nos</t>
        </is>
      </c>
      <c r="D630" s="15" t="n">
        <v>75.7</v>
      </c>
      <c r="E630" t="inlineStr">
        <is>
          <t>09_Wood_and_PVC_Work</t>
        </is>
      </c>
      <c r="F630" t="n">
        <v>545</v>
      </c>
    </row>
    <row r="631">
      <c r="A631" s="14" t="inlineStr">
        <is>
          <t>9.86.1</t>
        </is>
      </c>
      <c r="B631" t="inlineStr">
        <is>
          <t>Providing and fixing bright finished brass casement stays (straight peg type) with necessary screws etc. co...</t>
        </is>
      </c>
      <c r="C631" t="inlineStr">
        <is>
          <t>nos</t>
        </is>
      </c>
      <c r="D631" s="15" t="n">
        <v>186.2</v>
      </c>
      <c r="E631" t="inlineStr">
        <is>
          <t>09_Wood_and_PVC_Work</t>
        </is>
      </c>
      <c r="F631" t="n">
        <v>545</v>
      </c>
    </row>
    <row r="632">
      <c r="A632" s="14" t="inlineStr">
        <is>
          <t>9.86.2</t>
        </is>
      </c>
      <c r="B632" t="inlineStr">
        <is>
          <t>Providing and fixing bright finished brass casement stays (straight peg type) with necessary screws etc. co...</t>
        </is>
      </c>
      <c r="C632" t="inlineStr">
        <is>
          <t>nos</t>
        </is>
      </c>
      <c r="D632" s="15" t="n">
        <v>149.25</v>
      </c>
      <c r="E632" t="inlineStr">
        <is>
          <t>09_Wood_and_PVC_Work</t>
        </is>
      </c>
      <c r="F632" t="n">
        <v>546</v>
      </c>
    </row>
    <row r="633">
      <c r="A633" s="14" t="inlineStr">
        <is>
          <t>9.86.3</t>
        </is>
      </c>
      <c r="B633" t="inlineStr">
        <is>
          <t>Providing and fixing bright finished brass casement stays (straight peg type) with necessary screws etc. co...</t>
        </is>
      </c>
      <c r="C633" t="inlineStr">
        <is>
          <t>nos</t>
        </is>
      </c>
      <c r="D633" s="15" t="n">
        <v>142.55</v>
      </c>
      <c r="E633" t="inlineStr">
        <is>
          <t>09_Wood_and_PVC_Work</t>
        </is>
      </c>
      <c r="F633" t="n">
        <v>546</v>
      </c>
    </row>
    <row r="634">
      <c r="A634" s="14" t="inlineStr">
        <is>
          <t>9.87.1</t>
        </is>
      </c>
      <c r="B634" t="inlineStr">
        <is>
          <t>Providing and fixing bright finished brass hasp and staple (safety type) with necessary screws etc. complet...</t>
        </is>
      </c>
      <c r="C634" t="inlineStr">
        <is>
          <t>nos</t>
        </is>
      </c>
      <c r="D634" s="15" t="n">
        <v>118.1</v>
      </c>
      <c r="E634" t="inlineStr">
        <is>
          <t>09_Wood_and_PVC_Work</t>
        </is>
      </c>
      <c r="F634" t="n">
        <v>547</v>
      </c>
    </row>
    <row r="635">
      <c r="A635" s="14" t="inlineStr">
        <is>
          <t>9.87.2</t>
        </is>
      </c>
      <c r="B635" t="inlineStr">
        <is>
          <t>Providing and fixing bright finished brass hasp and staple (safety type) with necessary screws etc. complet...</t>
        </is>
      </c>
      <c r="C635" t="inlineStr">
        <is>
          <t>nos</t>
        </is>
      </c>
      <c r="D635" s="15" t="n">
        <v>106.95</v>
      </c>
      <c r="E635" t="inlineStr">
        <is>
          <t>09_Wood_and_PVC_Work</t>
        </is>
      </c>
      <c r="F635" t="n">
        <v>547</v>
      </c>
    </row>
    <row r="636">
      <c r="A636" s="14" t="inlineStr">
        <is>
          <t>9.87.3</t>
        </is>
      </c>
      <c r="B636" t="inlineStr">
        <is>
          <t>Providing and fixing bright finished brass hasp and staple (safety type) with necessary screws etc. complet...</t>
        </is>
      </c>
      <c r="C636" t="inlineStr">
        <is>
          <t>nos</t>
        </is>
      </c>
      <c r="D636" s="15" t="n">
        <v>94.2</v>
      </c>
      <c r="E636" t="inlineStr">
        <is>
          <t>09_Wood_and_PVC_Work</t>
        </is>
      </c>
      <c r="F636" t="n">
        <v>548</v>
      </c>
    </row>
    <row r="637">
      <c r="A637" s="14" t="inlineStr">
        <is>
          <t>9.88</t>
        </is>
      </c>
      <c r="B637" t="inlineStr">
        <is>
          <t>Providing and fixing chromium plated brass 100 mm mortice latch and lock with 6 levers and a pair of lever...</t>
        </is>
      </c>
      <c r="C637" t="inlineStr">
        <is>
          <t>no</t>
        </is>
      </c>
      <c r="D637" s="15" t="n">
        <v>806.45</v>
      </c>
      <c r="E637" t="inlineStr">
        <is>
          <t>09_Wood_and_PVC_Work</t>
        </is>
      </c>
      <c r="F637" t="n">
        <v>548</v>
      </c>
    </row>
    <row r="638">
      <c r="A638" s="14" t="inlineStr">
        <is>
          <t>9.89</t>
        </is>
      </c>
      <c r="B638" t="inlineStr">
        <is>
          <t>Providing and fixing chromium plated brass night latch of approved quality including necessary screws etc....</t>
        </is>
      </c>
      <c r="C638" t="inlineStr">
        <is>
          <t>no</t>
        </is>
      </c>
      <c r="D638" s="15" t="n">
        <v>846.55</v>
      </c>
      <c r="E638" t="inlineStr">
        <is>
          <t>09_Wood_and_PVC_Work</t>
        </is>
      </c>
      <c r="F638" t="n">
        <v>549</v>
      </c>
    </row>
    <row r="639">
      <c r="A639" s="14" t="inlineStr">
        <is>
          <t>9.90.1</t>
        </is>
      </c>
      <c r="B639" t="inlineStr">
        <is>
          <t>Providing and fixing special quality chromium plated brass cupboard locks with six levers of approved quali...</t>
        </is>
      </c>
      <c r="C639" t="inlineStr">
        <is>
          <t>no</t>
        </is>
      </c>
      <c r="D639" s="15" t="n">
        <v>257.85</v>
      </c>
      <c r="E639" t="inlineStr">
        <is>
          <t>09_Wood_and_PVC_Work</t>
        </is>
      </c>
      <c r="F639" t="n">
        <v>549</v>
      </c>
    </row>
    <row r="640">
      <c r="A640" s="14" t="inlineStr">
        <is>
          <t>9.90.2</t>
        </is>
      </c>
      <c r="B640" t="inlineStr">
        <is>
          <t>Providing and fixing special quality chromium plated brass cupboard locks with six levers of approved quali...</t>
        </is>
      </c>
      <c r="C640" t="inlineStr">
        <is>
          <t>no</t>
        </is>
      </c>
      <c r="D640" s="15" t="n">
        <v>271.25</v>
      </c>
      <c r="E640" t="inlineStr">
        <is>
          <t>09_Wood_and_PVC_Work</t>
        </is>
      </c>
      <c r="F640" t="n">
        <v>549</v>
      </c>
    </row>
    <row r="641">
      <c r="A641" s="14" t="inlineStr">
        <is>
          <t>9.90.3</t>
        </is>
      </c>
      <c r="B641" t="inlineStr">
        <is>
          <t>Providing and fixing special quality chromium plated brass cupboard locks with six levers of approved quali...</t>
        </is>
      </c>
      <c r="C641" t="inlineStr">
        <is>
          <t>no</t>
        </is>
      </c>
      <c r="D641" s="15" t="n">
        <v>304.7</v>
      </c>
      <c r="E641" t="inlineStr">
        <is>
          <t>09_Wood_and_PVC_Work</t>
        </is>
      </c>
      <c r="F641" t="n">
        <v>550</v>
      </c>
    </row>
    <row r="642">
      <c r="A642" s="14" t="inlineStr">
        <is>
          <t>9.90.4</t>
        </is>
      </c>
      <c r="B642" t="inlineStr">
        <is>
          <t>Providing and fixing special quality chromium plated brass cupboard locks with six levers of approved quali...</t>
        </is>
      </c>
      <c r="C642" t="inlineStr">
        <is>
          <t>no</t>
        </is>
      </c>
      <c r="D642" s="15" t="n">
        <v>338.15</v>
      </c>
      <c r="E642" t="inlineStr">
        <is>
          <t>09_Wood_and_PVC_Work</t>
        </is>
      </c>
      <c r="F642" t="n">
        <v>550</v>
      </c>
    </row>
    <row r="643">
      <c r="A643" s="14" t="inlineStr">
        <is>
          <t>9.91</t>
        </is>
      </c>
      <c r="B643" t="inlineStr">
        <is>
          <t>Providing and fixing chromium plated brass 50 mm cupboard or wardrobe knobs with nuts complete</t>
        </is>
      </c>
      <c r="C643" t="inlineStr">
        <is>
          <t>nos</t>
        </is>
      </c>
      <c r="D643" s="15" t="n">
        <v>121.6</v>
      </c>
      <c r="E643" t="inlineStr">
        <is>
          <t>09_Wood_and_PVC_Work</t>
        </is>
      </c>
      <c r="F643" t="n">
        <v>551</v>
      </c>
    </row>
    <row r="644">
      <c r="A644" s="14" t="inlineStr">
        <is>
          <t>9.92.1</t>
        </is>
      </c>
      <c r="B644" t="inlineStr">
        <is>
          <t>Providing and fixing chromium plated brass handles with necessary screws etc. complete - 125 mm</t>
        </is>
      </c>
      <c r="C644" t="inlineStr">
        <is>
          <t>nos</t>
        </is>
      </c>
      <c r="D644" s="15" t="n">
        <v>226.1</v>
      </c>
      <c r="E644" t="inlineStr">
        <is>
          <t>09_Wood_and_PVC_Work</t>
        </is>
      </c>
      <c r="F644" t="n">
        <v>551</v>
      </c>
    </row>
    <row r="645">
      <c r="A645" s="14" t="inlineStr">
        <is>
          <t>9.92.2</t>
        </is>
      </c>
      <c r="B645" t="inlineStr">
        <is>
          <t>Providing and fixing chromium plated brass handles with necessary screws etc. complete - 100 mm</t>
        </is>
      </c>
      <c r="C645" t="inlineStr">
        <is>
          <t>nos</t>
        </is>
      </c>
      <c r="D645" s="15" t="n">
        <v>198.85</v>
      </c>
      <c r="E645" t="inlineStr">
        <is>
          <t>09_Wood_and_PVC_Work</t>
        </is>
      </c>
      <c r="F645" t="n">
        <v>552</v>
      </c>
    </row>
    <row r="646">
      <c r="A646" s="14" t="inlineStr">
        <is>
          <t>9.92.3</t>
        </is>
      </c>
      <c r="B646" t="inlineStr">
        <is>
          <t>Providing and fixing chromium plated brass handles with necessary screws etc. complete - 75 mm</t>
        </is>
      </c>
      <c r="C646" t="inlineStr">
        <is>
          <t>nos</t>
        </is>
      </c>
      <c r="D646" s="15" t="n">
        <v>178.75</v>
      </c>
      <c r="E646" t="inlineStr">
        <is>
          <t>09_Wood_and_PVC_Work</t>
        </is>
      </c>
      <c r="F646" t="n">
        <v>552</v>
      </c>
    </row>
    <row r="647">
      <c r="A647" s="14" t="inlineStr">
        <is>
          <t>9.93</t>
        </is>
      </c>
      <c r="B647" t="inlineStr">
        <is>
          <t>Providing and fixing chromium plated brass casement window fastener with necessary screws etc. complete</t>
        </is>
      </c>
      <c r="C647" t="inlineStr">
        <is>
          <t>nos</t>
        </is>
      </c>
      <c r="D647" s="15" t="n">
        <v>140.15</v>
      </c>
      <c r="E647" t="inlineStr">
        <is>
          <t>09_Wood_and_PVC_Work</t>
        </is>
      </c>
      <c r="F647" t="n">
        <v>553</v>
      </c>
    </row>
    <row r="648">
      <c r="A648" s="14" t="inlineStr">
        <is>
          <t>9.94.1</t>
        </is>
      </c>
      <c r="B648" t="inlineStr">
        <is>
          <t>Providing and fixing chromium plated brass casement stays (straight peg type) with necessary screws etc. co...</t>
        </is>
      </c>
      <c r="C648" t="inlineStr">
        <is>
          <t>nos</t>
        </is>
      </c>
      <c r="D648" s="15" t="n">
        <v>207.05</v>
      </c>
      <c r="E648" t="inlineStr">
        <is>
          <t>09_Wood_and_PVC_Work</t>
        </is>
      </c>
      <c r="F648" t="n">
        <v>553</v>
      </c>
    </row>
    <row r="649">
      <c r="A649" s="14" t="inlineStr">
        <is>
          <t>9.94.2</t>
        </is>
      </c>
      <c r="B649" t="inlineStr">
        <is>
          <t>Providing and fixing chromium plated brass casement stays (straight peg type) with necessary screws etc. co...</t>
        </is>
      </c>
      <c r="C649" t="inlineStr">
        <is>
          <t>nos</t>
        </is>
      </c>
      <c r="D649" s="15" t="n">
        <v>180.3</v>
      </c>
      <c r="E649" t="inlineStr">
        <is>
          <t>09_Wood_and_PVC_Work</t>
        </is>
      </c>
      <c r="F649" t="n">
        <v>554</v>
      </c>
    </row>
    <row r="650">
      <c r="A650" s="14" t="inlineStr">
        <is>
          <t>9.94.3</t>
        </is>
      </c>
      <c r="B650" t="inlineStr">
        <is>
          <t>Providing and fixing chromium plated brass casement stays (straight peg type) with necessary screws etc. co...</t>
        </is>
      </c>
      <c r="C650" t="inlineStr">
        <is>
          <t>nos</t>
        </is>
      </c>
      <c r="D650" s="15" t="n">
        <v>153.55</v>
      </c>
      <c r="E650" t="inlineStr">
        <is>
          <t>09_Wood_and_PVC_Work</t>
        </is>
      </c>
      <c r="F650" t="n">
        <v>554</v>
      </c>
    </row>
    <row r="651">
      <c r="A651" s="14" t="inlineStr">
        <is>
          <t>9.95.1</t>
        </is>
      </c>
      <c r="B651" t="inlineStr">
        <is>
          <t>Providing and fixing ISI marked aluminium butt hinges anodised (anodic coating not less than grade AC 10 as...</t>
        </is>
      </c>
      <c r="C651" t="inlineStr">
        <is>
          <t>nos</t>
        </is>
      </c>
      <c r="D651" s="15" t="n">
        <v>136.6</v>
      </c>
      <c r="E651" t="inlineStr">
        <is>
          <t>09_Wood_and_PVC_Work</t>
        </is>
      </c>
      <c r="F651" t="n">
        <v>555</v>
      </c>
    </row>
    <row r="652">
      <c r="A652" s="14" t="inlineStr">
        <is>
          <t>9.95.2</t>
        </is>
      </c>
      <c r="B652" t="inlineStr">
        <is>
          <t>Providing and fixing ISI marked aluminium butt hinges anodised (anodic coating not less than grade AC 10 as...</t>
        </is>
      </c>
      <c r="C652" t="inlineStr">
        <is>
          <t>nos</t>
        </is>
      </c>
      <c r="D652" s="15" t="n">
        <v>114.25</v>
      </c>
      <c r="E652" t="inlineStr">
        <is>
          <t>09_Wood_and_PVC_Work</t>
        </is>
      </c>
      <c r="F652" t="n">
        <v>556</v>
      </c>
    </row>
    <row r="653">
      <c r="A653" s="14" t="inlineStr">
        <is>
          <t>9.95.3</t>
        </is>
      </c>
      <c r="B653" t="inlineStr">
        <is>
          <t>Providing and fixing ISI marked aluminium butt hinges anodised (anodic coating not less than grade AC 10 as...</t>
        </is>
      </c>
      <c r="C653" t="inlineStr">
        <is>
          <t>nos</t>
        </is>
      </c>
      <c r="D653" s="15" t="n">
        <v>104.9</v>
      </c>
      <c r="E653" t="inlineStr">
        <is>
          <t>09_Wood_and_PVC_Work</t>
        </is>
      </c>
      <c r="F653" t="n">
        <v>556</v>
      </c>
    </row>
    <row r="654">
      <c r="A654" s="14" t="inlineStr">
        <is>
          <t>9.95.4</t>
        </is>
      </c>
      <c r="B654" t="inlineStr">
        <is>
          <t>Providing and fixing ISI marked aluminium butt hinges anodised (anodic coating not less than grade AC 10 as...</t>
        </is>
      </c>
      <c r="C654" t="inlineStr">
        <is>
          <t>nos</t>
        </is>
      </c>
      <c r="D654" s="15" t="n">
        <v>95.65000000000001</v>
      </c>
      <c r="E654" t="inlineStr">
        <is>
          <t>09_Wood_and_PVC_Work</t>
        </is>
      </c>
      <c r="F654" t="n">
        <v>557</v>
      </c>
    </row>
    <row r="655">
      <c r="A655" s="14" t="inlineStr">
        <is>
          <t>9.95.5</t>
        </is>
      </c>
      <c r="B655" t="inlineStr">
        <is>
          <t>Providing and fixing ISI marked aluminium butt hinges anodised (anodic coating not less than grade AC 10 as...</t>
        </is>
      </c>
      <c r="C655" t="inlineStr">
        <is>
          <t>nos</t>
        </is>
      </c>
      <c r="D655" s="15" t="n">
        <v>88.45</v>
      </c>
      <c r="E655" t="inlineStr">
        <is>
          <t>09_Wood_and_PVC_Work</t>
        </is>
      </c>
      <c r="F655" t="n">
        <v>557</v>
      </c>
    </row>
    <row r="656">
      <c r="A656" s="14" t="inlineStr">
        <is>
          <t>9.95.6</t>
        </is>
      </c>
      <c r="B656" t="inlineStr">
        <is>
          <t>Providing and fixing ISI marked aluminium butt hinges anodised (anodic coating not less than grade AC 10 as...</t>
        </is>
      </c>
      <c r="C656" t="inlineStr">
        <is>
          <t>nos</t>
        </is>
      </c>
      <c r="D656" s="15" t="n">
        <v>77.09999999999999</v>
      </c>
      <c r="E656" t="inlineStr">
        <is>
          <t>09_Wood_and_PVC_Work</t>
        </is>
      </c>
      <c r="F656" t="n">
        <v>558</v>
      </c>
    </row>
    <row r="657">
      <c r="A657" s="14" t="inlineStr">
        <is>
          <t>9.95.7</t>
        </is>
      </c>
      <c r="B657" t="inlineStr">
        <is>
          <t>Providing and fixing ISI marked aluminium butt hinges anodised (anodic coating not less than grade AC 10 as...</t>
        </is>
      </c>
      <c r="C657" t="inlineStr">
        <is>
          <t>nos</t>
        </is>
      </c>
      <c r="D657" s="15" t="n">
        <v>70.55</v>
      </c>
      <c r="E657" t="inlineStr">
        <is>
          <t>09_Wood_and_PVC_Work</t>
        </is>
      </c>
      <c r="F657" t="n">
        <v>558</v>
      </c>
    </row>
    <row r="658">
      <c r="A658" s="14" t="inlineStr">
        <is>
          <t>9.95.8</t>
        </is>
      </c>
      <c r="B658" t="inlineStr">
        <is>
          <t>Providing and fixing ISI marked aluminium butt hinges anodised (anodic coating not less than grade AC 10 as...</t>
        </is>
      </c>
      <c r="C658" t="inlineStr">
        <is>
          <t>nos</t>
        </is>
      </c>
      <c r="D658" s="15" t="n">
        <v>66.5</v>
      </c>
      <c r="E658" t="inlineStr">
        <is>
          <t>09_Wood_and_PVC_Work</t>
        </is>
      </c>
      <c r="F658" t="n">
        <v>559</v>
      </c>
    </row>
    <row r="659">
      <c r="A659" s="14" t="inlineStr">
        <is>
          <t>9.96.1</t>
        </is>
      </c>
      <c r="B659" t="inlineStr">
        <is>
          <t>Providing and fixing aluminium sliding door bolts, ISI marked anodised (anodic coating not less than grade...</t>
        </is>
      </c>
      <c r="C659" t="inlineStr">
        <is>
          <t>nos</t>
        </is>
      </c>
      <c r="D659" s="15" t="n">
        <v>257.15</v>
      </c>
      <c r="E659" t="inlineStr">
        <is>
          <t>09_Wood_and_PVC_Work</t>
        </is>
      </c>
      <c r="F659" t="n">
        <v>559</v>
      </c>
    </row>
    <row r="660">
      <c r="A660" s="14" t="inlineStr">
        <is>
          <t>9.96.2</t>
        </is>
      </c>
      <c r="B660" t="inlineStr">
        <is>
          <t>Providing and fixing aluminium sliding door bolts, ISI marked anodised (anodic coating not less than grade...</t>
        </is>
      </c>
      <c r="C660" t="inlineStr">
        <is>
          <t>nos</t>
        </is>
      </c>
      <c r="D660" s="15" t="n">
        <v>231.7</v>
      </c>
      <c r="E660" t="inlineStr">
        <is>
          <t>09_Wood_and_PVC_Work</t>
        </is>
      </c>
      <c r="F660" t="n">
        <v>560</v>
      </c>
    </row>
    <row r="661">
      <c r="A661" s="14" t="inlineStr">
        <is>
          <t>9.97.1</t>
        </is>
      </c>
      <c r="B661" t="inlineStr">
        <is>
          <t>Providing and fixing aluminium tower bolts, ISI marked, anodised (anodic coating not less than grade AC 10...</t>
        </is>
      </c>
      <c r="C661" t="inlineStr">
        <is>
          <t>nos</t>
        </is>
      </c>
      <c r="D661" s="15" t="n">
        <v>116.8</v>
      </c>
      <c r="E661" t="inlineStr">
        <is>
          <t>09_Wood_and_PVC_Work</t>
        </is>
      </c>
      <c r="F661" t="n">
        <v>560</v>
      </c>
    </row>
    <row r="662">
      <c r="A662" s="14" t="inlineStr">
        <is>
          <t>9.97.2</t>
        </is>
      </c>
      <c r="B662" t="inlineStr">
        <is>
          <t>Providing and fixing aluminium tower bolts, ISI marked, anodised (anodic coating not less than grade AC 10...</t>
        </is>
      </c>
      <c r="C662" t="inlineStr">
        <is>
          <t>nos</t>
        </is>
      </c>
      <c r="D662" s="15" t="n">
        <v>103.55</v>
      </c>
      <c r="E662" t="inlineStr">
        <is>
          <t>09_Wood_and_PVC_Work</t>
        </is>
      </c>
      <c r="F662" t="n">
        <v>561</v>
      </c>
    </row>
    <row r="663">
      <c r="A663" s="14" t="inlineStr">
        <is>
          <t>9.97.3</t>
        </is>
      </c>
      <c r="B663" t="inlineStr">
        <is>
          <t>Providing and fixing aluminium tower bolts, ISI marked, anodised (anodic coating not less than grade AC 10...</t>
        </is>
      </c>
      <c r="C663" t="inlineStr">
        <is>
          <t>nos</t>
        </is>
      </c>
      <c r="D663" s="15" t="n">
        <v>90</v>
      </c>
      <c r="E663" t="inlineStr">
        <is>
          <t>09_Wood_and_PVC_Work</t>
        </is>
      </c>
      <c r="F663" t="n">
        <v>561</v>
      </c>
    </row>
    <row r="664">
      <c r="A664" s="14" t="inlineStr">
        <is>
          <t>9.97.4</t>
        </is>
      </c>
      <c r="B664" t="inlineStr">
        <is>
          <t>Providing and fixing aluminium tower bolts, ISI marked, anodised (anodic coating not less than grade AC 10...</t>
        </is>
      </c>
      <c r="C664" t="inlineStr">
        <is>
          <t>nos</t>
        </is>
      </c>
      <c r="D664" s="15" t="n">
        <v>75</v>
      </c>
      <c r="E664" t="inlineStr">
        <is>
          <t>09_Wood_and_PVC_Work</t>
        </is>
      </c>
      <c r="F664" t="n">
        <v>562</v>
      </c>
    </row>
    <row r="665">
      <c r="A665" s="14" t="inlineStr">
        <is>
          <t>9.97.5</t>
        </is>
      </c>
      <c r="B665" t="inlineStr">
        <is>
          <t>Providing and fixing aluminium tower bolts, ISI marked, anodised (anodic coating not less than grade AC 10...</t>
        </is>
      </c>
      <c r="C665" t="inlineStr">
        <is>
          <t>nos</t>
        </is>
      </c>
      <c r="D665" s="15" t="n">
        <v>58.15</v>
      </c>
      <c r="E665" t="inlineStr">
        <is>
          <t>09_Wood_and_PVC_Work</t>
        </is>
      </c>
      <c r="F665" t="n">
        <v>562</v>
      </c>
    </row>
    <row r="666">
      <c r="A666" s="14" t="inlineStr">
        <is>
          <t>9.98</t>
        </is>
      </c>
      <c r="B666" t="inlineStr">
        <is>
          <t>Providing and fixing aluminium pull bolt lock, ISI marked, anodised (anodic coating not less than grade AC...</t>
        </is>
      </c>
      <c r="C666" t="inlineStr">
        <is>
          <t>nos</t>
        </is>
      </c>
      <c r="D666" s="15" t="n">
        <v>85.95</v>
      </c>
      <c r="E666" t="inlineStr">
        <is>
          <t>09_Wood_and_PVC_Work</t>
        </is>
      </c>
      <c r="F666" t="n">
        <v>563</v>
      </c>
    </row>
    <row r="667">
      <c r="A667" s="14" t="inlineStr">
        <is>
          <t>9.99</t>
        </is>
      </c>
      <c r="B667" t="inlineStr">
        <is>
          <t>Providing and fixing 50 cm long aluminium kicking plate of size 100x3.15 mm, anodised (anodic coating not l...</t>
        </is>
      </c>
      <c r="C667" t="inlineStr">
        <is>
          <t>nos</t>
        </is>
      </c>
      <c r="D667" s="15" t="n">
        <v>211.75</v>
      </c>
      <c r="E667" t="inlineStr">
        <is>
          <t>09_Wood_and_PVC_Work</t>
        </is>
      </c>
      <c r="F667" t="n">
        <v>563</v>
      </c>
    </row>
    <row r="668">
      <c r="A668" s="14" t="inlineStr">
        <is>
          <t>9.100.1</t>
        </is>
      </c>
      <c r="B668" t="inlineStr">
        <is>
          <t>Providing and fixing aluminium handles, ISI marked, anodised (anodic coating not less than grade AC 10 as p...</t>
        </is>
      </c>
      <c r="C668" t="inlineStr">
        <is>
          <t>nos</t>
        </is>
      </c>
      <c r="D668" s="15" t="n">
        <v>59.65</v>
      </c>
      <c r="E668" t="inlineStr">
        <is>
          <t>09_Wood_and_PVC_Work</t>
        </is>
      </c>
      <c r="F668" t="n">
        <v>564</v>
      </c>
    </row>
    <row r="669">
      <c r="A669" s="14" t="inlineStr">
        <is>
          <t>9.100.2</t>
        </is>
      </c>
      <c r="B669" t="inlineStr">
        <is>
          <t>Providing and fixing aluminium handles, ISI marked, anodised (anodic coating not less than grade AC 10 as p...</t>
        </is>
      </c>
      <c r="C669" t="inlineStr">
        <is>
          <t>nos</t>
        </is>
      </c>
      <c r="D669" s="15" t="n">
        <v>52.85</v>
      </c>
      <c r="E669" t="inlineStr">
        <is>
          <t>09_Wood_and_PVC_Work</t>
        </is>
      </c>
      <c r="F669" t="n">
        <v>564</v>
      </c>
    </row>
    <row r="670">
      <c r="A670" s="14" t="inlineStr">
        <is>
          <t>9.100.3</t>
        </is>
      </c>
      <c r="B670" t="inlineStr">
        <is>
          <t>Providing and fixing aluminium handles, ISI marked, anodised (anodic coating not less than grade AC 10 as p...</t>
        </is>
      </c>
      <c r="C670" t="inlineStr">
        <is>
          <t>nos</t>
        </is>
      </c>
      <c r="D670" s="15" t="n">
        <v>45.9</v>
      </c>
      <c r="E670" t="inlineStr">
        <is>
          <t>09_Wood_and_PVC_Work</t>
        </is>
      </c>
      <c r="F670" t="n">
        <v>565</v>
      </c>
    </row>
    <row r="671">
      <c r="A671" s="14" t="inlineStr">
        <is>
          <t>9.101.1</t>
        </is>
      </c>
      <c r="B671" t="inlineStr">
        <is>
          <t>Providing and fixing aluminium hanging floor door stopper, ISI marked, anodised (anodic coating not less th...</t>
        </is>
      </c>
      <c r="C671" t="inlineStr">
        <is>
          <t>nos</t>
        </is>
      </c>
      <c r="D671" s="15" t="n">
        <v>33.95</v>
      </c>
      <c r="E671" t="inlineStr">
        <is>
          <t>09_Wood_and_PVC_Work</t>
        </is>
      </c>
      <c r="F671" t="n">
        <v>565</v>
      </c>
    </row>
    <row r="672">
      <c r="A672" s="14" t="inlineStr">
        <is>
          <t>9.101.2</t>
        </is>
      </c>
      <c r="B672" t="inlineStr">
        <is>
          <t>Providing and fixing aluminium hanging floor door stopper, ISI marked, anodised (anodic coating not less th...</t>
        </is>
      </c>
      <c r="C672" t="inlineStr">
        <is>
          <t>nos</t>
        </is>
      </c>
      <c r="D672" s="15" t="n">
        <v>62.05</v>
      </c>
      <c r="E672" t="inlineStr">
        <is>
          <t>09_Wood_and_PVC_Work</t>
        </is>
      </c>
      <c r="F672" t="n">
        <v>566</v>
      </c>
    </row>
    <row r="673">
      <c r="A673" s="14" t="inlineStr">
        <is>
          <t>9.102</t>
        </is>
      </c>
      <c r="B673" t="inlineStr">
        <is>
          <t>Providing and fixing aluminium casement stays, ISI marked, anodised (anodic coating not less than grade AC...</t>
        </is>
      </c>
      <c r="C673" t="inlineStr">
        <is>
          <t>nos</t>
        </is>
      </c>
      <c r="D673" s="15" t="n">
        <v>62.55</v>
      </c>
      <c r="E673" t="inlineStr">
        <is>
          <t>09_Wood_and_PVC_Work</t>
        </is>
      </c>
      <c r="F673" t="n">
        <v>566</v>
      </c>
    </row>
    <row r="674">
      <c r="A674" s="14" t="inlineStr">
        <is>
          <t>9.103</t>
        </is>
      </c>
      <c r="B674" t="inlineStr">
        <is>
          <t>Providing and fixing bright finished brass 100 mm mortice latch and lock, ISI marked, with six levers and a...</t>
        </is>
      </c>
      <c r="C674" t="inlineStr">
        <is>
          <t>lock</t>
        </is>
      </c>
      <c r="D674" s="15" t="n">
        <v>748.65</v>
      </c>
      <c r="E674" t="inlineStr">
        <is>
          <t>09_Wood_and_PVC_Work</t>
        </is>
      </c>
      <c r="F674" t="n">
        <v>567</v>
      </c>
    </row>
    <row r="675">
      <c r="A675" s="14" t="inlineStr">
        <is>
          <t>9.104</t>
        </is>
      </c>
      <c r="B675" t="inlineStr">
        <is>
          <t>Providing and fixing aluminium tee channels (heavy duty) with rollers &amp; stop end in pelmets as curtain rod</t>
        </is>
      </c>
      <c r="C675" t="inlineStr">
        <is>
          <t>metre</t>
        </is>
      </c>
      <c r="D675" s="15" t="n">
        <v>139.35</v>
      </c>
      <c r="E675" t="inlineStr">
        <is>
          <t>09_Wood_and_PVC_Work</t>
        </is>
      </c>
      <c r="F675" t="n">
        <v>567</v>
      </c>
    </row>
    <row r="676">
      <c r="A676" s="14" t="inlineStr">
        <is>
          <t>9.105.1</t>
        </is>
      </c>
      <c r="B676" t="inlineStr">
        <is>
          <t>Providing and fixing partition upto ceiling height consisting of G.I. frame and required board, including p...</t>
        </is>
      </c>
      <c r="C676" t="inlineStr">
        <is>
          <t>sqm</t>
        </is>
      </c>
      <c r="D676" s="15" t="n">
        <v>1741.15</v>
      </c>
      <c r="E676" t="inlineStr">
        <is>
          <t>09_Wood_and_PVC_Work</t>
        </is>
      </c>
      <c r="F676" t="n">
        <v>568</v>
      </c>
    </row>
    <row r="677">
      <c r="A677" s="14" t="inlineStr">
        <is>
          <t>9.105.2</t>
        </is>
      </c>
      <c r="B677" t="inlineStr">
        <is>
          <t>Providing and fixing partition upto ceiling height consisting of G.I. frame and required board, including p...</t>
        </is>
      </c>
      <c r="C677" t="inlineStr">
        <is>
          <t>sqm</t>
        </is>
      </c>
      <c r="D677" s="15" t="n">
        <v>1513.7</v>
      </c>
      <c r="E677" t="inlineStr">
        <is>
          <t>09_Wood_and_PVC_Work</t>
        </is>
      </c>
      <c r="F677" t="n">
        <v>569</v>
      </c>
    </row>
    <row r="678">
      <c r="A678" s="14" t="inlineStr">
        <is>
          <t>9.105.3</t>
        </is>
      </c>
      <c r="B678" t="inlineStr">
        <is>
          <t>Providing and fixing partition upto ceiling height consisting of G.I. frame and required board, including p...</t>
        </is>
      </c>
      <c r="C678" t="inlineStr">
        <is>
          <t>sqm</t>
        </is>
      </c>
      <c r="D678" s="15" t="n">
        <v>1808.05</v>
      </c>
      <c r="E678" t="inlineStr">
        <is>
          <t>09_Wood_and_PVC_Work</t>
        </is>
      </c>
      <c r="F678" t="n">
        <v>571</v>
      </c>
    </row>
    <row r="679">
      <c r="A679" s="14" t="inlineStr">
        <is>
          <t>9.105.4</t>
        </is>
      </c>
      <c r="B679" t="inlineStr">
        <is>
          <t>Providing and fixing partition upto ceiling height consisting of G.I. frame and required board, including p...</t>
        </is>
      </c>
      <c r="C679" t="inlineStr">
        <is>
          <t>sqm</t>
        </is>
      </c>
      <c r="D679" s="15" t="n">
        <v>1687.6</v>
      </c>
      <c r="E679" t="inlineStr">
        <is>
          <t>09_Wood_and_PVC_Work</t>
        </is>
      </c>
      <c r="F679" t="n">
        <v>572</v>
      </c>
    </row>
    <row r="680">
      <c r="A680" s="14" t="inlineStr">
        <is>
          <t>9.105.5</t>
        </is>
      </c>
      <c r="B680" t="inlineStr">
        <is>
          <t>Providing and fixing partition upto ceiling height consisting of G.I. frame and required board, including p...</t>
        </is>
      </c>
      <c r="C680" t="inlineStr">
        <is>
          <t>sqm</t>
        </is>
      </c>
      <c r="D680" s="15" t="n">
        <v>1674.25</v>
      </c>
      <c r="E680" t="inlineStr">
        <is>
          <t>09_Wood_and_PVC_Work</t>
        </is>
      </c>
      <c r="F680" t="n">
        <v>573</v>
      </c>
    </row>
    <row r="681">
      <c r="A681" s="14" t="inlineStr">
        <is>
          <t>9.106.1</t>
        </is>
      </c>
      <c r="B681" t="inlineStr">
        <is>
          <t>Providing and fixing PTMT handles with necessary screws etc. complete - 125x34x24 mm weighing not less than...</t>
        </is>
      </c>
      <c r="C681" t="inlineStr">
        <is>
          <t>nos</t>
        </is>
      </c>
      <c r="D681" s="15" t="n">
        <v>40.2</v>
      </c>
      <c r="E681" t="inlineStr">
        <is>
          <t>09_Wood_and_PVC_Work</t>
        </is>
      </c>
      <c r="F681" t="n">
        <v>574</v>
      </c>
    </row>
    <row r="682">
      <c r="A682" s="14" t="inlineStr">
        <is>
          <t>9.106.2</t>
        </is>
      </c>
      <c r="B682" t="inlineStr">
        <is>
          <t>Providing and fixing PTMT handles with necessary screws etc. complete - 150x34x24 mm weighing not less than...</t>
        </is>
      </c>
      <c r="C682" t="inlineStr">
        <is>
          <t>nos</t>
        </is>
      </c>
      <c r="D682" s="15" t="n">
        <v>40.2</v>
      </c>
      <c r="E682" t="inlineStr">
        <is>
          <t>09_Wood_and_PVC_Work</t>
        </is>
      </c>
      <c r="F682" t="n">
        <v>575</v>
      </c>
    </row>
    <row r="683">
      <c r="A683" s="14" t="inlineStr">
        <is>
          <t>9.107.1</t>
        </is>
      </c>
      <c r="B683" t="inlineStr">
        <is>
          <t>Providing and fixing PTMT Butt hinges with necessary screws etc. complete - 75x60x10 mm fitted with 5.5 mm...</t>
        </is>
      </c>
      <c r="C683" t="inlineStr">
        <is>
          <t>nos</t>
        </is>
      </c>
      <c r="D683" s="15" t="n">
        <v>67.7</v>
      </c>
      <c r="E683" t="inlineStr">
        <is>
          <t>09_Wood_and_PVC_Work</t>
        </is>
      </c>
      <c r="F683" t="n">
        <v>575</v>
      </c>
    </row>
    <row r="684">
      <c r="A684" s="14" t="inlineStr">
        <is>
          <t>9.107.2</t>
        </is>
      </c>
      <c r="B684" t="inlineStr">
        <is>
          <t>Providing and fixing PTMT Butt hinges with necessary screws etc. complete - 100x75x10 mm fitted with 5.5 mm...</t>
        </is>
      </c>
      <c r="C684" t="inlineStr">
        <is>
          <t>nos</t>
        </is>
      </c>
      <c r="D684" s="15" t="n">
        <v>84.09999999999999</v>
      </c>
      <c r="E684" t="inlineStr">
        <is>
          <t>09_Wood_and_PVC_Work</t>
        </is>
      </c>
      <c r="F684" t="n">
        <v>576</v>
      </c>
    </row>
    <row r="685">
      <c r="A685" s="14" t="inlineStr">
        <is>
          <t>9.108.1</t>
        </is>
      </c>
      <c r="B685" t="inlineStr">
        <is>
          <t>Providing and fixing PTMT Tower Bolts with 12 mm one piece rod inside and necessary screws etc., complete -...</t>
        </is>
      </c>
      <c r="C685" t="inlineStr">
        <is>
          <t>nos</t>
        </is>
      </c>
      <c r="D685" s="15" t="n">
        <v>75.84999999999999</v>
      </c>
      <c r="E685" t="inlineStr">
        <is>
          <t>09_Wood_and_PVC_Work</t>
        </is>
      </c>
      <c r="F685" t="n">
        <v>576</v>
      </c>
    </row>
    <row r="686">
      <c r="A686" s="14" t="inlineStr">
        <is>
          <t>9.108.2</t>
        </is>
      </c>
      <c r="B686" t="inlineStr">
        <is>
          <t>Providing and fixing PTMT Tower Bolts with 12 mm one piece rod inside and necessary screws etc., complete -...</t>
        </is>
      </c>
      <c r="C686" t="inlineStr">
        <is>
          <t>nos</t>
        </is>
      </c>
      <c r="D686" s="15" t="n">
        <v>104.25</v>
      </c>
      <c r="E686" t="inlineStr">
        <is>
          <t>09_Wood_and_PVC_Work</t>
        </is>
      </c>
      <c r="F686" t="n">
        <v>577</v>
      </c>
    </row>
    <row r="687">
      <c r="A687" s="14" t="inlineStr">
        <is>
          <t>9.109</t>
        </is>
      </c>
      <c r="B687" t="inlineStr">
        <is>
          <t>Providing and fixing PTMT door catcher of length 72 mm and dia. of 42 mm with suitable washers weighing not...</t>
        </is>
      </c>
      <c r="C687" t="inlineStr">
        <is>
          <t>nos</t>
        </is>
      </c>
      <c r="D687" s="15" t="n">
        <v>36.75</v>
      </c>
      <c r="E687" t="inlineStr">
        <is>
          <t>09_Wood_and_PVC_Work</t>
        </is>
      </c>
      <c r="F687" t="n">
        <v>577</v>
      </c>
    </row>
    <row r="688">
      <c r="A688" s="14" t="inlineStr">
        <is>
          <t>9.110</t>
        </is>
      </c>
      <c r="B688" t="inlineStr">
        <is>
          <t>Providing and fixing Bamboo jaffery/ fencing consisting of superior quality 25mm dia (Average) half cut bam...</t>
        </is>
      </c>
      <c r="C688" t="inlineStr">
        <is>
          <t>sqm</t>
        </is>
      </c>
      <c r="D688" s="15" t="n">
        <v>576.15</v>
      </c>
      <c r="E688" t="inlineStr">
        <is>
          <t>09_Wood_and_PVC_Work</t>
        </is>
      </c>
      <c r="F688" t="n">
        <v>578</v>
      </c>
    </row>
    <row r="689">
      <c r="A689" s="14" t="inlineStr">
        <is>
          <t>9.111.1</t>
        </is>
      </c>
      <c r="B689" t="inlineStr">
        <is>
          <t>Providing and fixing wooden moulded corner beading of triangular shape to the junction of panelling etc. wi...</t>
        </is>
      </c>
      <c r="C689" t="inlineStr">
        <is>
          <t>metre</t>
        </is>
      </c>
      <c r="D689" s="15" t="n">
        <v>250.25</v>
      </c>
      <c r="E689" t="inlineStr">
        <is>
          <t>09_Wood_and_PVC_Work</t>
        </is>
      </c>
      <c r="F689" t="n">
        <v>579</v>
      </c>
    </row>
    <row r="690">
      <c r="A690" s="14" t="inlineStr">
        <is>
          <t>9.112</t>
        </is>
      </c>
      <c r="B690" t="inlineStr">
        <is>
          <t>Providing and fixing 2nd class teak wood lipping/ moulded beading or taj beading of size 18X5 mm fixed with...</t>
        </is>
      </c>
      <c r="C690" t="inlineStr">
        <is>
          <t>metre</t>
        </is>
      </c>
      <c r="D690" s="15" t="n">
        <v>78.84999999999999</v>
      </c>
      <c r="E690" t="inlineStr">
        <is>
          <t>09_Wood_and_PVC_Work</t>
        </is>
      </c>
      <c r="F690" t="n">
        <v>580</v>
      </c>
    </row>
    <row r="691">
      <c r="A691" s="14" t="inlineStr">
        <is>
          <t>9.113</t>
        </is>
      </c>
      <c r="B691" t="inlineStr">
        <is>
          <t>Providing and fixing bright finished 100 mm mortice lock with 6 levers without pair of handles of approved...</t>
        </is>
      </c>
      <c r="C691" t="inlineStr">
        <is>
          <t>no</t>
        </is>
      </c>
      <c r="D691" s="15" t="n">
        <v>637.05</v>
      </c>
      <c r="E691" t="inlineStr">
        <is>
          <t>09_Wood_and_PVC_Work</t>
        </is>
      </c>
      <c r="F691" t="n">
        <v>580</v>
      </c>
    </row>
    <row r="692">
      <c r="A692" s="14" t="inlineStr">
        <is>
          <t>9.114.1</t>
        </is>
      </c>
      <c r="B692" t="inlineStr">
        <is>
          <t>Providing and fixing magnetic catcher of approved quality in cupboard / ward robe shutters, including fixin...</t>
        </is>
      </c>
      <c r="C692" t="inlineStr">
        <is>
          <t>no</t>
        </is>
      </c>
      <c r="D692" s="15" t="n">
        <v>39.05</v>
      </c>
      <c r="E692" t="inlineStr">
        <is>
          <t>09_Wood_and_PVC_Work</t>
        </is>
      </c>
      <c r="F692" t="n">
        <v>581</v>
      </c>
    </row>
    <row r="693">
      <c r="A693" s="14" t="inlineStr">
        <is>
          <t>9.114.2</t>
        </is>
      </c>
      <c r="B693" t="inlineStr">
        <is>
          <t>Providing and fixing magnetic catcher of approved quality in cupboard / ward robe shutters, including fixin...</t>
        </is>
      </c>
      <c r="C693" t="inlineStr">
        <is>
          <t>no</t>
        </is>
      </c>
      <c r="D693" s="15" t="n">
        <v>31.05</v>
      </c>
      <c r="E693" t="inlineStr">
        <is>
          <t>09_Wood_and_PVC_Work</t>
        </is>
      </c>
      <c r="F693" t="n">
        <v>581</v>
      </c>
    </row>
    <row r="694">
      <c r="A694" s="14" t="inlineStr">
        <is>
          <t>9.115</t>
        </is>
      </c>
      <c r="B694" t="inlineStr">
        <is>
          <t>Providing and fixing powder coated telescopic drawer channels 300 mm long with necessary screws etc. comple...</t>
        </is>
      </c>
      <c r="C694" t="inlineStr">
        <is>
          <t>sets</t>
        </is>
      </c>
      <c r="D694" s="15" t="n">
        <v>339.75</v>
      </c>
      <c r="E694" t="inlineStr">
        <is>
          <t>09_Wood_and_PVC_Work</t>
        </is>
      </c>
      <c r="F694" t="n">
        <v>581</v>
      </c>
    </row>
    <row r="695">
      <c r="A695" s="14" t="inlineStr">
        <is>
          <t>9.116</t>
        </is>
      </c>
      <c r="B695" t="inlineStr">
        <is>
          <t>Providing and fixing sliding arrangement in racks/ cupboards/cabinets shutter by with stainless steel rolle...</t>
        </is>
      </c>
      <c r="C695" t="inlineStr">
        <is>
          <t>no</t>
        </is>
      </c>
      <c r="D695" s="15" t="n">
        <v>14.8</v>
      </c>
      <c r="E695" t="inlineStr">
        <is>
          <t>09_Wood_and_PVC_Work</t>
        </is>
      </c>
      <c r="F695" t="n">
        <v>582</v>
      </c>
    </row>
    <row r="696">
      <c r="A696" s="14" t="inlineStr">
        <is>
          <t>9.117.1</t>
        </is>
      </c>
      <c r="B696" t="inlineStr">
        <is>
          <t>Providing and fixing factory made uPVC door frame made of uPVC extruded sections having an overall dimensio...</t>
        </is>
      </c>
      <c r="C696" t="inlineStr">
        <is>
          <t>metre</t>
        </is>
      </c>
      <c r="D696" s="15" t="n">
        <v>221.65</v>
      </c>
      <c r="E696" t="inlineStr">
        <is>
          <t>09_Wood_and_PVC_Work</t>
        </is>
      </c>
      <c r="F696" t="n">
        <v>583</v>
      </c>
    </row>
    <row r="697">
      <c r="A697" s="14" t="inlineStr">
        <is>
          <t>9.117.2</t>
        </is>
      </c>
      <c r="B697" t="inlineStr">
        <is>
          <t>Providing and fixing factory made uPVC door frame made of uPVC extruded sections having an overall dimensio...</t>
        </is>
      </c>
      <c r="C697" t="inlineStr">
        <is>
          <t>metre</t>
        </is>
      </c>
      <c r="D697" s="15" t="n">
        <v>267.45</v>
      </c>
      <c r="E697" t="inlineStr">
        <is>
          <t>09_Wood_and_PVC_Work</t>
        </is>
      </c>
      <c r="F697" t="n">
        <v>583</v>
      </c>
    </row>
    <row r="698">
      <c r="A698" s="14" t="inlineStr">
        <is>
          <t>9.118.1</t>
        </is>
      </c>
      <c r="B698" t="inlineStr">
        <is>
          <t>Providing and fixing to existing door frames - 24 mm thick factory made PVC door shutters made of styles an...</t>
        </is>
      </c>
      <c r="C698" t="inlineStr">
        <is>
          <t>sqm</t>
        </is>
      </c>
      <c r="D698" s="15" t="n">
        <v>1760.7</v>
      </c>
      <c r="E698" t="inlineStr">
        <is>
          <t>09_Wood_and_PVC_Work</t>
        </is>
      </c>
      <c r="F698" t="n">
        <v>584</v>
      </c>
    </row>
    <row r="699">
      <c r="A699" s="14" t="inlineStr">
        <is>
          <t>9.118.2</t>
        </is>
      </c>
      <c r="B699" t="inlineStr">
        <is>
          <t>Providing and fixing to existing door frames - 30 mm thick factory made Polyvinyl Chloride (PVC) door shutt...</t>
        </is>
      </c>
      <c r="C699" t="inlineStr">
        <is>
          <t>sqm</t>
        </is>
      </c>
      <c r="D699" s="15" t="n">
        <v>1978.65</v>
      </c>
      <c r="E699" t="inlineStr">
        <is>
          <t>09_Wood_and_PVC_Work</t>
        </is>
      </c>
      <c r="F699" t="n">
        <v>584</v>
      </c>
    </row>
    <row r="700">
      <c r="A700" s="14" t="inlineStr">
        <is>
          <t>9.118.3</t>
        </is>
      </c>
      <c r="B700" t="inlineStr">
        <is>
          <t>Providing and fixing to existing door frames - 25 mm thick PVC flush door shutters made out of a one piece...</t>
        </is>
      </c>
      <c r="C700" t="inlineStr">
        <is>
          <t>sqm</t>
        </is>
      </c>
      <c r="D700" s="15" t="n">
        <v>2582.3</v>
      </c>
      <c r="E700" t="inlineStr">
        <is>
          <t>09_Wood_and_PVC_Work</t>
        </is>
      </c>
      <c r="F700" t="n">
        <v>585</v>
      </c>
    </row>
    <row r="701">
      <c r="A701" s="14" t="inlineStr">
        <is>
          <t>9.119</t>
        </is>
      </c>
      <c r="B701" t="inlineStr">
        <is>
          <t>Providing and fixing factory made P.V.C. door frame of size 50x47 mm with awall thickness of 5 mm, made out...</t>
        </is>
      </c>
      <c r="C701" t="inlineStr">
        <is>
          <t>metres</t>
        </is>
      </c>
      <c r="D701" s="15" t="n">
        <v>391.65</v>
      </c>
      <c r="E701" t="inlineStr">
        <is>
          <t>09_Wood_and_PVC_Work</t>
        </is>
      </c>
      <c r="F701" t="n">
        <v>586</v>
      </c>
    </row>
    <row r="702">
      <c r="A702" s="14" t="inlineStr">
        <is>
          <t>9.120.1</t>
        </is>
      </c>
      <c r="B702" t="inlineStr">
        <is>
          <t>Providing and fixing factory made panel PVC door shutter consisting of frame made out of M.S. tubes of 19 g...</t>
        </is>
      </c>
      <c r="C702" t="inlineStr">
        <is>
          <t>sqm</t>
        </is>
      </c>
      <c r="D702" s="15" t="n">
        <v>2423.4</v>
      </c>
      <c r="E702" t="inlineStr">
        <is>
          <t>09_Wood_and_PVC_Work</t>
        </is>
      </c>
      <c r="F702" t="n">
        <v>587</v>
      </c>
    </row>
    <row r="703">
      <c r="A703" s="14" t="inlineStr">
        <is>
          <t>9.120.2</t>
        </is>
      </c>
      <c r="B703" t="inlineStr">
        <is>
          <t>Providing and fixing factory made panel PVC door shutter consisting of frame made out of M.S. tubes of 19 g...</t>
        </is>
      </c>
      <c r="C703" t="inlineStr">
        <is>
          <t>sqm</t>
        </is>
      </c>
      <c r="D703" s="15" t="n">
        <v>2423.4</v>
      </c>
      <c r="E703" t="inlineStr">
        <is>
          <t>09_Wood_and_PVC_Work</t>
        </is>
      </c>
      <c r="F703" t="n">
        <v>588</v>
      </c>
    </row>
    <row r="704">
      <c r="A704" s="14" t="inlineStr">
        <is>
          <t>9.121</t>
        </is>
      </c>
      <c r="B704" t="inlineStr">
        <is>
          <t>Providing and fixing Fiber Glass Reinforced plastic (FRP) Door Frames of cross- section 90 mm x 45 mm havin...</t>
        </is>
      </c>
      <c r="C704" t="inlineStr">
        <is>
          <t>metres</t>
        </is>
      </c>
      <c r="D704" s="15" t="n">
        <v>679.85</v>
      </c>
      <c r="E704" t="inlineStr">
        <is>
          <t>09_Wood_and_PVC_Work</t>
        </is>
      </c>
      <c r="F704" t="n">
        <v>588</v>
      </c>
    </row>
    <row r="705">
      <c r="A705" s="14" t="inlineStr">
        <is>
          <t>9.122.1</t>
        </is>
      </c>
      <c r="B705" t="inlineStr">
        <is>
          <t>Providing and fixing to existing door frames - 30 mm thick Glass Fibre Reinforced Plastic (FRP) panelled do...</t>
        </is>
      </c>
      <c r="C705" t="inlineStr">
        <is>
          <t>sqm</t>
        </is>
      </c>
      <c r="D705" s="15" t="n">
        <v>3465.05</v>
      </c>
      <c r="E705" t="inlineStr">
        <is>
          <t>09_Wood_and_PVC_Work</t>
        </is>
      </c>
      <c r="F705" t="n">
        <v>589</v>
      </c>
    </row>
    <row r="706">
      <c r="A706" s="14" t="inlineStr">
        <is>
          <t>9.122.2</t>
        </is>
      </c>
      <c r="B706" t="inlineStr">
        <is>
          <t>Providing and fixing to existing door frames - 30 mm thick Fiberglass Reinforced Plastic (F.R.P.) flush doo...</t>
        </is>
      </c>
      <c r="C706" t="inlineStr">
        <is>
          <t>sqm</t>
        </is>
      </c>
      <c r="D706" s="15" t="n">
        <v>3931.95</v>
      </c>
      <c r="E706" t="inlineStr">
        <is>
          <t>09_Wood_and_PVC_Work</t>
        </is>
      </c>
      <c r="F706" t="n">
        <v>590</v>
      </c>
    </row>
    <row r="707">
      <c r="A707" s="14" t="inlineStr">
        <is>
          <t>9.123</t>
        </is>
      </c>
      <c r="B707" t="inlineStr">
        <is>
          <t>Providing and fixing factory made door frame (single rebate) made out of single piece extruded solid PVC fo...</t>
        </is>
      </c>
      <c r="C707" t="inlineStr">
        <is>
          <t>metres</t>
        </is>
      </c>
      <c r="D707" s="15" t="n">
        <v>476.5</v>
      </c>
      <c r="E707" t="inlineStr">
        <is>
          <t>09_Wood_and_PVC_Work</t>
        </is>
      </c>
      <c r="F707" t="n">
        <v>590</v>
      </c>
    </row>
    <row r="708">
      <c r="A708" s="14" t="inlineStr">
        <is>
          <t>9.124.1</t>
        </is>
      </c>
      <c r="B708" t="inlineStr">
        <is>
          <t>Providing and fixing factory made 30 mm thick door shutter made of solid PVC foam profile. The styles &amp; rai...</t>
        </is>
      </c>
      <c r="C708" t="inlineStr">
        <is>
          <t>sqm</t>
        </is>
      </c>
      <c r="D708" s="15" t="n">
        <v>3028.85</v>
      </c>
      <c r="E708" t="inlineStr">
        <is>
          <t>09_Wood_and_PVC_Work</t>
        </is>
      </c>
      <c r="F708" t="n">
        <v>591</v>
      </c>
    </row>
    <row r="709">
      <c r="A709" s="14" t="inlineStr">
        <is>
          <t>9.124.2</t>
        </is>
      </c>
      <c r="B709" t="inlineStr">
        <is>
          <t>Providing and fixing factory made 30 mm thick door shutter made of solid PVC foam profile. The styles &amp; rai...</t>
        </is>
      </c>
      <c r="C709" t="inlineStr">
        <is>
          <t>sqm</t>
        </is>
      </c>
      <c r="D709" s="15" t="n">
        <v>3162.65</v>
      </c>
      <c r="E709" t="inlineStr">
        <is>
          <t>09_Wood_and_PVC_Work</t>
        </is>
      </c>
      <c r="F709" t="n">
        <v>592</v>
      </c>
    </row>
    <row r="710">
      <c r="A710" s="14" t="inlineStr">
        <is>
          <t>9.125</t>
        </is>
      </c>
      <c r="B710" t="inlineStr">
        <is>
          <t>Providing and fixing PVC rigid foam sheet 1 mm thick on existing door shutters (bathroom and W.C. doors) us...</t>
        </is>
      </c>
      <c r="C710" t="inlineStr">
        <is>
          <t>sqm</t>
        </is>
      </c>
      <c r="D710" s="15" t="n">
        <v>1200.35</v>
      </c>
      <c r="E710" t="inlineStr">
        <is>
          <t>09_Wood_and_PVC_Work</t>
        </is>
      </c>
      <c r="F710" t="n">
        <v>593</v>
      </c>
    </row>
    <row r="711">
      <c r="A711" s="14" t="inlineStr">
        <is>
          <t>9.126.1</t>
        </is>
      </c>
      <c r="B711" t="inlineStr">
        <is>
          <t>Providing and fixing 12 mm thick panelling or panelling and glazing in panelled or panelled and glazed shut...</t>
        </is>
      </c>
      <c r="C711" t="inlineStr">
        <is>
          <t>sqm</t>
        </is>
      </c>
      <c r="D711" s="15" t="n">
        <v>2005.15</v>
      </c>
      <c r="E711" t="inlineStr">
        <is>
          <t>09_Wood_and_PVC_Work</t>
        </is>
      </c>
      <c r="F711" t="n">
        <v>593</v>
      </c>
    </row>
    <row r="712">
      <c r="A712" s="14" t="inlineStr">
        <is>
          <t>9.126.2</t>
        </is>
      </c>
      <c r="B712" t="inlineStr">
        <is>
          <t>Providing and fixing 12 mm thick panelling or panelling and glazing in panelled or panelled and glazed shut...</t>
        </is>
      </c>
      <c r="C712" t="inlineStr">
        <is>
          <t>sqm</t>
        </is>
      </c>
      <c r="D712" s="15" t="n">
        <v>2256.55</v>
      </c>
      <c r="E712" t="inlineStr">
        <is>
          <t>09_Wood_and_PVC_Work</t>
        </is>
      </c>
      <c r="F712" t="n">
        <v>594</v>
      </c>
    </row>
    <row r="713">
      <c r="A713" s="14" t="inlineStr">
        <is>
          <t>9.127.1</t>
        </is>
      </c>
      <c r="B713" t="inlineStr">
        <is>
          <t>Providing &amp; Fixing decorative high pressure laminated sheet of plain / wood grain in gloss / matt/ suede fi...</t>
        </is>
      </c>
      <c r="C713" t="inlineStr">
        <is>
          <t>sqm</t>
        </is>
      </c>
      <c r="D713" s="15" t="n">
        <v>842.75</v>
      </c>
      <c r="E713" t="inlineStr">
        <is>
          <t>09_Wood_and_PVC_Work</t>
        </is>
      </c>
      <c r="F713" t="n">
        <v>595</v>
      </c>
    </row>
    <row r="714">
      <c r="A714" s="14" t="inlineStr">
        <is>
          <t>9.127.2</t>
        </is>
      </c>
      <c r="B714" t="inlineStr">
        <is>
          <t>Providing &amp; Fixing decorative high pressure laminated sheet of plain / wood grain in gloss / matt/ suede fi...</t>
        </is>
      </c>
      <c r="C714" t="inlineStr">
        <is>
          <t>sqm</t>
        </is>
      </c>
      <c r="D714" s="15" t="n">
        <v>717.65</v>
      </c>
      <c r="E714" t="inlineStr">
        <is>
          <t>09_Wood_and_PVC_Work</t>
        </is>
      </c>
      <c r="F714" t="n">
        <v>595</v>
      </c>
    </row>
    <row r="715">
      <c r="A715" s="14" t="inlineStr">
        <is>
          <t>9.128</t>
        </is>
      </c>
      <c r="B715" t="inlineStr">
        <is>
          <t>Providing and fixing factory made Fiberglass Reinforced plastics (F.R.P.) chajja 4 mm thick of required col...</t>
        </is>
      </c>
      <c r="C715" t="inlineStr">
        <is>
          <t>sqm</t>
        </is>
      </c>
      <c r="D715" s="15" t="n">
        <v>4851.25</v>
      </c>
      <c r="E715" t="inlineStr">
        <is>
          <t>09_Wood_and_PVC_Work</t>
        </is>
      </c>
      <c r="F715" t="n">
        <v>596</v>
      </c>
    </row>
    <row r="716">
      <c r="A716" s="14" t="inlineStr">
        <is>
          <t>9.129</t>
        </is>
      </c>
      <c r="B716" t="inlineStr">
        <is>
          <t>Providing and fixing cup board shutters 25 mm thick, with Pre-laminated flat pressed three layer particle b...</t>
        </is>
      </c>
      <c r="C716" t="inlineStr">
        <is>
          <t>sqm</t>
        </is>
      </c>
      <c r="D716" s="15" t="n">
        <v>1928.9</v>
      </c>
      <c r="E716" t="inlineStr">
        <is>
          <t>09_Wood_and_PVC_Work</t>
        </is>
      </c>
      <c r="F716" t="n">
        <v>596</v>
      </c>
    </row>
    <row r="717">
      <c r="A717" s="14" t="inlineStr">
        <is>
          <t>9.130.1</t>
        </is>
      </c>
      <c r="B717" t="inlineStr">
        <is>
          <t>Providing and fixing cup board shutters with 25 mm thick veneered particle board IS : 3097 marked, exterior...</t>
        </is>
      </c>
      <c r="C717" t="inlineStr">
        <is>
          <t>sqm</t>
        </is>
      </c>
      <c r="D717" s="15" t="n">
        <v>1647.95</v>
      </c>
      <c r="E717" t="inlineStr">
        <is>
          <t>09_Wood_and_PVC_Work</t>
        </is>
      </c>
      <c r="F717" t="n">
        <v>597</v>
      </c>
    </row>
    <row r="718">
      <c r="A718" s="14" t="inlineStr">
        <is>
          <t>9.130.2</t>
        </is>
      </c>
      <c r="B718" t="inlineStr">
        <is>
          <t>Providing and fixing cup board shutters with 25 mm thick veneered particle board IS : 3097 marked, exterior...</t>
        </is>
      </c>
      <c r="C718" t="inlineStr">
        <is>
          <t>sqm</t>
        </is>
      </c>
      <c r="D718" s="15" t="n">
        <v>1547.6</v>
      </c>
      <c r="E718" t="inlineStr">
        <is>
          <t>09_Wood_and_PVC_Work</t>
        </is>
      </c>
      <c r="F718" t="n">
        <v>598</v>
      </c>
    </row>
    <row r="719">
      <c r="A719" s="14" t="inlineStr">
        <is>
          <t>9.131.1</t>
        </is>
      </c>
      <c r="B719" t="inlineStr">
        <is>
          <t>Providing and fixing factory made shutters of Pre-laminated particle board flat pressed three layer or grad...</t>
        </is>
      </c>
      <c r="C719" t="inlineStr">
        <is>
          <t>sqm</t>
        </is>
      </c>
      <c r="D719" s="15" t="n">
        <v>1531.45</v>
      </c>
      <c r="E719" t="inlineStr">
        <is>
          <t>09_Wood_and_PVC_Work</t>
        </is>
      </c>
      <c r="F719" t="n">
        <v>598</v>
      </c>
    </row>
    <row r="720">
      <c r="A720" s="14" t="inlineStr">
        <is>
          <t>9.132</t>
        </is>
      </c>
      <c r="B720" t="inlineStr">
        <is>
          <t>Providing and fixing aluminum U beading of required size to Pre-laminated/flush door shutter, including fix...</t>
        </is>
      </c>
      <c r="C720" t="inlineStr">
        <is>
          <t>kg</t>
        </is>
      </c>
      <c r="D720" s="15" t="n">
        <v>517.8</v>
      </c>
      <c r="E720" t="inlineStr">
        <is>
          <t>09_Wood_and_PVC_Work</t>
        </is>
      </c>
      <c r="F720" t="n">
        <v>599</v>
      </c>
    </row>
    <row r="721">
      <c r="A721" s="14" t="inlineStr">
        <is>
          <t>9.133.1.1</t>
        </is>
      </c>
      <c r="B721" t="inlineStr">
        <is>
          <t>Providing and fixing, in position concealed G.I. section for wall paneling using board of required thicknes...</t>
        </is>
      </c>
      <c r="C721" t="inlineStr">
        <is>
          <t>sqm</t>
        </is>
      </c>
      <c r="D721" s="15" t="n">
        <v>1420.45</v>
      </c>
      <c r="E721" t="inlineStr">
        <is>
          <t>09_Wood_and_PVC_Work</t>
        </is>
      </c>
      <c r="F721" t="n">
        <v>600</v>
      </c>
    </row>
    <row r="722">
      <c r="A722" s="14" t="inlineStr">
        <is>
          <t>9.133.2.1</t>
        </is>
      </c>
      <c r="B722" t="inlineStr">
        <is>
          <t>Providing and fixing, in position concealed G.I. section for wall paneling using board of required thicknes...</t>
        </is>
      </c>
      <c r="C722" t="inlineStr">
        <is>
          <t>sqm</t>
        </is>
      </c>
      <c r="D722" s="15" t="n">
        <v>1126</v>
      </c>
      <c r="E722" t="inlineStr">
        <is>
          <t>09_Wood_and_PVC_Work</t>
        </is>
      </c>
      <c r="F722" t="n">
        <v>601</v>
      </c>
    </row>
    <row r="723">
      <c r="A723" s="14" t="inlineStr">
        <is>
          <t>9.133.2.2</t>
        </is>
      </c>
      <c r="B723" t="inlineStr">
        <is>
          <t>Providing and fixing, in position concealed G.I. section for wall paneling using board of required thicknes...</t>
        </is>
      </c>
      <c r="C723" t="inlineStr">
        <is>
          <t>sqm</t>
        </is>
      </c>
      <c r="D723" s="15" t="n">
        <v>1118.65</v>
      </c>
      <c r="E723" t="inlineStr">
        <is>
          <t>09_Wood_and_PVC_Work</t>
        </is>
      </c>
      <c r="F723" t="n">
        <v>601</v>
      </c>
    </row>
    <row r="724">
      <c r="A724" s="14" t="inlineStr">
        <is>
          <t>9.133.3.1</t>
        </is>
      </c>
      <c r="B724" t="inlineStr">
        <is>
          <t>Providing and fixing, in position concealed G.I. section for wall paneling using board of required thicknes...</t>
        </is>
      </c>
      <c r="C724" t="inlineStr">
        <is>
          <t>sqm</t>
        </is>
      </c>
      <c r="D724" s="15" t="n">
        <v>1030.35</v>
      </c>
      <c r="E724" t="inlineStr">
        <is>
          <t>09_Wood_and_PVC_Work</t>
        </is>
      </c>
      <c r="F724" t="n">
        <v>602</v>
      </c>
    </row>
    <row r="725">
      <c r="A725" s="14" t="inlineStr">
        <is>
          <t>9.134.1.1.1</t>
        </is>
      </c>
      <c r="B725" t="inlineStr">
        <is>
          <t>Providing and fixing wire gauge shutters using stainless steel grade 304 wire gauge with wire of dia 0.5 mm...</t>
        </is>
      </c>
      <c r="C725" t="inlineStr">
        <is>
          <t>sqm</t>
        </is>
      </c>
      <c r="D725" s="15" t="n">
        <v>4352.2</v>
      </c>
      <c r="E725" t="inlineStr">
        <is>
          <t>09_Wood_and_PVC_Work</t>
        </is>
      </c>
      <c r="F725" t="n">
        <v>603</v>
      </c>
    </row>
    <row r="726">
      <c r="A726" s="14" t="inlineStr">
        <is>
          <t>9.134.1.1.2</t>
        </is>
      </c>
      <c r="B726" t="inlineStr">
        <is>
          <t>Providing and fixing wire gauge shutters using stainless steel grade 304 wire gauge with wire of dia 0.5 mm...</t>
        </is>
      </c>
      <c r="C726" t="inlineStr">
        <is>
          <t>sqm</t>
        </is>
      </c>
      <c r="D726" s="15" t="n">
        <v>3110.5</v>
      </c>
      <c r="E726" t="inlineStr">
        <is>
          <t>09_Wood_and_PVC_Work</t>
        </is>
      </c>
      <c r="F726" t="n">
        <v>604</v>
      </c>
    </row>
    <row r="727">
      <c r="A727" s="14" t="inlineStr">
        <is>
          <t>9.134.1.1.3</t>
        </is>
      </c>
      <c r="B727" t="inlineStr">
        <is>
          <t>Providing and fixing wire gauge shutters using stainless steel grade 304 wire gauge with wire of dia 0.5 mm...</t>
        </is>
      </c>
      <c r="C727" t="inlineStr">
        <is>
          <t>sqm</t>
        </is>
      </c>
      <c r="D727" s="15" t="n">
        <v>3927.2</v>
      </c>
      <c r="E727" t="inlineStr">
        <is>
          <t>09_Wood_and_PVC_Work</t>
        </is>
      </c>
      <c r="F727" t="n">
        <v>605</v>
      </c>
    </row>
    <row r="728">
      <c r="A728" s="14" t="inlineStr">
        <is>
          <t>9.134.1.2.1</t>
        </is>
      </c>
      <c r="B728" t="inlineStr">
        <is>
          <t>Providing and fixing wire gauge shutters using stainless steel grade 304 wire gauge with wire of dia 0.5 mm...</t>
        </is>
      </c>
      <c r="C728" t="inlineStr">
        <is>
          <t>sqm</t>
        </is>
      </c>
      <c r="D728" s="15" t="n">
        <v>4478.7</v>
      </c>
      <c r="E728" t="inlineStr">
        <is>
          <t>09_Wood_and_PVC_Work</t>
        </is>
      </c>
      <c r="F728" t="n">
        <v>606</v>
      </c>
    </row>
    <row r="729">
      <c r="A729" s="14" t="inlineStr">
        <is>
          <t>9.134.1.2.2</t>
        </is>
      </c>
      <c r="B729" t="inlineStr">
        <is>
          <t>Providing and fixing wire gauge shutters using stainless steel grade 304 wire gauge with wire of dia 0.5 mm...</t>
        </is>
      </c>
      <c r="C729" t="inlineStr">
        <is>
          <t>sqm</t>
        </is>
      </c>
      <c r="D729" s="15" t="n">
        <v>3237</v>
      </c>
      <c r="E729" t="inlineStr">
        <is>
          <t>09_Wood_and_PVC_Work</t>
        </is>
      </c>
      <c r="F729" t="n">
        <v>607</v>
      </c>
    </row>
    <row r="730">
      <c r="A730" s="14" t="inlineStr">
        <is>
          <t>9.134.1.2.3</t>
        </is>
      </c>
      <c r="B730" t="inlineStr">
        <is>
          <t>Providing and fixing wire gauge shutters using stainless steel grade 304 wire gauge with wire of dia 0.5 mm...</t>
        </is>
      </c>
      <c r="C730" t="inlineStr">
        <is>
          <t>sqm</t>
        </is>
      </c>
      <c r="D730" s="15" t="n">
        <v>4053.65</v>
      </c>
      <c r="E730" t="inlineStr">
        <is>
          <t>09_Wood_and_PVC_Work</t>
        </is>
      </c>
      <c r="F730" t="n">
        <v>608</v>
      </c>
    </row>
    <row r="731">
      <c r="A731" s="14" t="inlineStr">
        <is>
          <t>9.134.2.1.1</t>
        </is>
      </c>
      <c r="B731" t="inlineStr">
        <is>
          <t>Providing and fixing wire gauge shutters using stainless steel grade 304 wire gauge with wire of dia 0.5 mm...</t>
        </is>
      </c>
      <c r="C731" t="inlineStr">
        <is>
          <t>sqm</t>
        </is>
      </c>
      <c r="D731" s="15" t="n">
        <v>3881.75</v>
      </c>
      <c r="E731" t="inlineStr">
        <is>
          <t>09_Wood_and_PVC_Work</t>
        </is>
      </c>
      <c r="F731" t="n">
        <v>609</v>
      </c>
    </row>
    <row r="732">
      <c r="A732" s="14" t="inlineStr">
        <is>
          <t>9.134.2.1.2</t>
        </is>
      </c>
      <c r="B732" t="inlineStr">
        <is>
          <t>Providing and fixing wire gauge shutters using stainless steel grade 304 wire gauge with wire of dia 0.5 mm...</t>
        </is>
      </c>
      <c r="C732" t="inlineStr">
        <is>
          <t>sqm</t>
        </is>
      </c>
      <c r="D732" s="15" t="n">
        <v>2820.4</v>
      </c>
      <c r="E732" t="inlineStr">
        <is>
          <t>09_Wood_and_PVC_Work</t>
        </is>
      </c>
      <c r="F732" t="n">
        <v>610</v>
      </c>
    </row>
    <row r="733">
      <c r="A733" s="14" t="inlineStr">
        <is>
          <t>9.134.2.1.3</t>
        </is>
      </c>
      <c r="B733" t="inlineStr">
        <is>
          <t>Providing and fixing wire gauge shutters using stainless steel grade 304 wire gauge with wire of dia 0.5 mm...</t>
        </is>
      </c>
      <c r="C733" t="inlineStr">
        <is>
          <t>sqm</t>
        </is>
      </c>
      <c r="D733" s="15" t="n">
        <v>3517.9</v>
      </c>
      <c r="E733" t="inlineStr">
        <is>
          <t>09_Wood_and_PVC_Work</t>
        </is>
      </c>
      <c r="F733" t="n">
        <v>611</v>
      </c>
    </row>
    <row r="734">
      <c r="A734" s="14" t="inlineStr">
        <is>
          <t>9.134.2.2.1</t>
        </is>
      </c>
      <c r="B734" t="inlineStr">
        <is>
          <t>Providing and fixing wire gauge shutters using stainless steel grade 304 wire gauge with wire of dia 0.5 mm...</t>
        </is>
      </c>
      <c r="C734" t="inlineStr">
        <is>
          <t>sqm</t>
        </is>
      </c>
      <c r="D734" s="15" t="n">
        <v>4008.25</v>
      </c>
      <c r="E734" t="inlineStr">
        <is>
          <t>09_Wood_and_PVC_Work</t>
        </is>
      </c>
      <c r="F734" t="n">
        <v>612</v>
      </c>
    </row>
    <row r="735">
      <c r="A735" s="14" t="inlineStr">
        <is>
          <t>9.134.2.2.2</t>
        </is>
      </c>
      <c r="B735" t="inlineStr">
        <is>
          <t>Providing and fixing wire gauge shutters using stainless steel grade 304 wire gauge with wire of dia 0.5 mm...</t>
        </is>
      </c>
      <c r="C735" t="inlineStr">
        <is>
          <t>sqm</t>
        </is>
      </c>
      <c r="D735" s="15" t="n">
        <v>2947.05</v>
      </c>
      <c r="E735" t="inlineStr">
        <is>
          <t>09_Wood_and_PVC_Work</t>
        </is>
      </c>
      <c r="F735" t="n">
        <v>613</v>
      </c>
    </row>
    <row r="736">
      <c r="A736" s="14" t="inlineStr">
        <is>
          <t>9.134.2.2.3</t>
        </is>
      </c>
      <c r="B736" t="inlineStr">
        <is>
          <t>Providing and fixing wire gauge shutters using stainless steel grade 304 wire gauge with wire of dia 0.5 mm...</t>
        </is>
      </c>
      <c r="C736" t="inlineStr">
        <is>
          <t>sqm</t>
        </is>
      </c>
      <c r="D736" s="15" t="n">
        <v>3644.4</v>
      </c>
      <c r="E736" t="inlineStr">
        <is>
          <t>09_Wood_and_PVC_Work</t>
        </is>
      </c>
      <c r="F736" t="n">
        <v>614</v>
      </c>
    </row>
    <row r="737">
      <c r="A737" s="14" t="inlineStr">
        <is>
          <t>9.135.1</t>
        </is>
      </c>
      <c r="B737" t="inlineStr">
        <is>
          <t>Providing and fixing fly proof stainless steel grade 304 wire gauge, to windows and clerestory windows usin...</t>
        </is>
      </c>
      <c r="C737" t="inlineStr">
        <is>
          <t>sqm</t>
        </is>
      </c>
      <c r="D737" s="15" t="n">
        <v>1353.6</v>
      </c>
      <c r="E737" t="inlineStr">
        <is>
          <t>09_Wood_and_PVC_Work</t>
        </is>
      </c>
      <c r="F737" t="n">
        <v>615</v>
      </c>
    </row>
    <row r="738">
      <c r="A738" s="14" t="inlineStr">
        <is>
          <t>9.135.2</t>
        </is>
      </c>
      <c r="B738" t="inlineStr">
        <is>
          <t>Providing and fixing fly proof stainless steel grade 304 wire gauge, to windows and clerestory windows usin...</t>
        </is>
      </c>
      <c r="C738" t="inlineStr">
        <is>
          <t>sqm</t>
        </is>
      </c>
      <c r="D738" s="15" t="n">
        <v>1001.5</v>
      </c>
      <c r="E738" t="inlineStr">
        <is>
          <t>09_Wood_and_PVC_Work</t>
        </is>
      </c>
      <c r="F738" t="n">
        <v>616</v>
      </c>
    </row>
    <row r="739">
      <c r="A739" s="14" t="inlineStr">
        <is>
          <t>9.136</t>
        </is>
      </c>
      <c r="B739" t="inlineStr">
        <is>
          <t>Providing and fixing fire resistant door frame of section 143 x 57 mm having built in rebate made out of 16...</t>
        </is>
      </c>
      <c r="C739" t="inlineStr">
        <is>
          <t>metres</t>
        </is>
      </c>
      <c r="D739" s="15" t="n">
        <v>1444.3</v>
      </c>
      <c r="E739" t="inlineStr">
        <is>
          <t>09_Wood_and_PVC_Work</t>
        </is>
      </c>
      <c r="F739" t="n">
        <v>617</v>
      </c>
    </row>
    <row r="740">
      <c r="A740" s="14" t="inlineStr">
        <is>
          <t>9.137</t>
        </is>
      </c>
      <c r="B740" t="inlineStr">
        <is>
          <t>Providing and fixing 50 mm thick glazed fire resistant door shutters of 60 minutes fire rating conforming t...</t>
        </is>
      </c>
      <c r="C740" t="inlineStr">
        <is>
          <t>sqm</t>
        </is>
      </c>
      <c r="D740" s="15" t="n">
        <v>6166</v>
      </c>
      <c r="E740" t="inlineStr">
        <is>
          <t>09_Wood_and_PVC_Work</t>
        </is>
      </c>
      <c r="F740" t="n">
        <v>617</v>
      </c>
    </row>
    <row r="741">
      <c r="A741" s="14" t="inlineStr">
        <is>
          <t>9.138</t>
        </is>
      </c>
      <c r="B741" t="inlineStr">
        <is>
          <t>Providing and fixing glazing in fire resistant door shutters, fixed panels &amp; partitions etc., with G.I. bea...</t>
        </is>
      </c>
      <c r="C741" t="inlineStr">
        <is>
          <t>sqm</t>
        </is>
      </c>
      <c r="D741" s="15" t="n">
        <v>36050.45</v>
      </c>
      <c r="E741" t="inlineStr">
        <is>
          <t>09_Wood_and_PVC_Work</t>
        </is>
      </c>
      <c r="F741" t="n">
        <v>618</v>
      </c>
    </row>
    <row r="742">
      <c r="A742" s="14" t="inlineStr">
        <is>
          <t>9.139</t>
        </is>
      </c>
      <c r="B742" t="inlineStr">
        <is>
          <t>Providing and fixing panic bar / latch (Double point) fitted with a single body, Trim Latch &amp; Lock on back...</t>
        </is>
      </c>
      <c r="C742" t="inlineStr">
        <is>
          <t>no</t>
        </is>
      </c>
      <c r="D742" s="15" t="n">
        <v>7134.85</v>
      </c>
      <c r="E742" t="inlineStr">
        <is>
          <t>09_Wood_and_PVC_Work</t>
        </is>
      </c>
      <c r="F742" t="n">
        <v>619</v>
      </c>
    </row>
    <row r="743">
      <c r="A743" s="14" t="inlineStr">
        <is>
          <t>9.140.1</t>
        </is>
      </c>
      <c r="B743" t="inlineStr">
        <is>
          <t>Providing and fixing plain lining with necessary screws/nuts &amp; bolts/ nails, including a coat of approved p...</t>
        </is>
      </c>
      <c r="C743" t="inlineStr">
        <is>
          <t>sqm</t>
        </is>
      </c>
      <c r="D743" s="15" t="n">
        <v>1040.8</v>
      </c>
      <c r="E743" t="inlineStr">
        <is>
          <t>09_Wood_and_PVC_Work</t>
        </is>
      </c>
      <c r="F743" t="n">
        <v>620</v>
      </c>
    </row>
    <row r="744">
      <c r="A744" s="14" t="inlineStr">
        <is>
          <t>9.141</t>
        </is>
      </c>
      <c r="B744" t="inlineStr">
        <is>
          <t>Providing and fixing PVC Door Frame of size 50x47 mm with a wall thickness of 5 mm (± 0.2 mm), made out of...</t>
        </is>
      </c>
      <c r="C744" t="inlineStr">
        <is>
          <t>metres</t>
        </is>
      </c>
      <c r="D744" s="15" t="n">
        <v>456.8</v>
      </c>
      <c r="E744" t="inlineStr">
        <is>
          <t>09_Wood_and_PVC_Work</t>
        </is>
      </c>
      <c r="F744" t="n">
        <v>620</v>
      </c>
    </row>
    <row r="745">
      <c r="A745" s="14" t="inlineStr">
        <is>
          <t>9.142.1</t>
        </is>
      </c>
      <c r="B745" t="inlineStr">
        <is>
          <t>35 mm thick factory made Solid panel PVC Door shutter, made out of single piece extruded soild PVC profiles...</t>
        </is>
      </c>
      <c r="C745" t="inlineStr">
        <is>
          <t>sqm</t>
        </is>
      </c>
      <c r="D745" s="15" t="n">
        <v>3240.8</v>
      </c>
      <c r="E745" t="inlineStr">
        <is>
          <t>09_Wood_and_PVC_Work</t>
        </is>
      </c>
      <c r="F745" t="n">
        <v>621</v>
      </c>
    </row>
    <row r="746">
      <c r="A746" s="14" t="inlineStr">
        <is>
          <t>9.142.2</t>
        </is>
      </c>
      <c r="B746" t="inlineStr">
        <is>
          <t>35 mm thick factory made Solid panel PVC Door shutter, made out of single piece extruded soild PVC profiles...</t>
        </is>
      </c>
      <c r="C746" t="inlineStr">
        <is>
          <t>sqm</t>
        </is>
      </c>
      <c r="D746" s="15" t="n">
        <v>3842.85</v>
      </c>
      <c r="E746" t="inlineStr">
        <is>
          <t>09_Wood_and_PVC_Work</t>
        </is>
      </c>
      <c r="F746" t="n">
        <v>622</v>
      </c>
    </row>
    <row r="747">
      <c r="A747" s="14" t="inlineStr">
        <is>
          <t>9.143</t>
        </is>
      </c>
      <c r="B747" t="inlineStr">
        <is>
          <t>Providing and Fixing factory made uPVC door frame, made of uPVC exturded sections, of size 65 mm x 55 mm wi...</t>
        </is>
      </c>
      <c r="C747" t="inlineStr">
        <is>
          <t>metres</t>
        </is>
      </c>
      <c r="D747" s="15" t="n">
        <v>528.35</v>
      </c>
      <c r="E747" t="inlineStr">
        <is>
          <t>09_Wood_and_PVC_Work</t>
        </is>
      </c>
      <c r="F747" t="n">
        <v>623</v>
      </c>
    </row>
    <row r="748">
      <c r="A748" s="14" t="inlineStr">
        <is>
          <t>9.144</t>
        </is>
      </c>
      <c r="B748" t="inlineStr">
        <is>
          <t>Providing and fixing 37 mm thick factory made PVC door shutter, styles and rails made of PVC hollow section...</t>
        </is>
      </c>
      <c r="C748" t="inlineStr">
        <is>
          <t>sqm</t>
        </is>
      </c>
      <c r="D748" s="15" t="n">
        <v>3518.85</v>
      </c>
      <c r="E748" t="inlineStr">
        <is>
          <t>09_Wood_and_PVC_Work</t>
        </is>
      </c>
      <c r="F748" t="n">
        <v>624</v>
      </c>
    </row>
    <row r="749">
      <c r="A749" s="14" t="inlineStr">
        <is>
          <t>9.145</t>
        </is>
      </c>
      <c r="B749" t="inlineStr">
        <is>
          <t>Providing and Fixing factory made PVC door frame made of PVC extruded sections of size 75 mm x 53 mm, havin...</t>
        </is>
      </c>
      <c r="C749" t="inlineStr">
        <is>
          <t>metres</t>
        </is>
      </c>
      <c r="D749" s="15" t="n">
        <v>588.55</v>
      </c>
      <c r="E749" t="inlineStr">
        <is>
          <t>09_Wood_and_PVC_Work</t>
        </is>
      </c>
      <c r="F749" t="n">
        <v>624</v>
      </c>
    </row>
    <row r="750">
      <c r="A750" s="14" t="inlineStr">
        <is>
          <t>9.146</t>
        </is>
      </c>
      <c r="B750" t="inlineStr">
        <is>
          <t>Providing and fixing 37 mm thick factory made PVC Door shutter, styles and rails made of PVC hollow extrude...</t>
        </is>
      </c>
      <c r="C750" t="inlineStr">
        <is>
          <t>sqm</t>
        </is>
      </c>
      <c r="D750" s="15" t="n">
        <v>3786.45</v>
      </c>
      <c r="E750" t="inlineStr">
        <is>
          <t>09_Wood_and_PVC_Work</t>
        </is>
      </c>
      <c r="F750" t="n">
        <v>625</v>
      </c>
    </row>
    <row r="751">
      <c r="A751" s="14" t="inlineStr">
        <is>
          <t>9.147A.1</t>
        </is>
      </c>
      <c r="B751" t="inlineStr">
        <is>
          <t>Providing and fixing factory made uPVC white colour casement/casement cum fixed glazed windows comprising o...</t>
        </is>
      </c>
      <c r="C751" t="inlineStr">
        <is>
          <t>sqm</t>
        </is>
      </c>
      <c r="D751" s="15" t="n">
        <v>9483.5</v>
      </c>
      <c r="E751" t="inlineStr">
        <is>
          <t>09_Wood_and_PVC_Work</t>
        </is>
      </c>
      <c r="F751" t="n">
        <v>626</v>
      </c>
    </row>
    <row r="752">
      <c r="A752" s="14" t="inlineStr">
        <is>
          <t>9.147A.2</t>
        </is>
      </c>
      <c r="B752" t="inlineStr">
        <is>
          <t>Providing and fixing factory made uPVC white colour casement/casement cum fixed glazed windows comprising o...</t>
        </is>
      </c>
      <c r="C752" t="inlineStr">
        <is>
          <t>sqm</t>
        </is>
      </c>
      <c r="D752" s="15" t="n">
        <v>8717.700000000001</v>
      </c>
      <c r="E752" t="inlineStr">
        <is>
          <t>09_Wood_and_PVC_Work</t>
        </is>
      </c>
      <c r="F752" t="n">
        <v>627</v>
      </c>
    </row>
    <row r="753">
      <c r="A753" s="14" t="inlineStr">
        <is>
          <t>9.147A.3</t>
        </is>
      </c>
      <c r="B753" t="inlineStr">
        <is>
          <t>Providing and fixing factory made uPVC white colour casement/casement cum fixed glazed windows comprising o...</t>
        </is>
      </c>
      <c r="C753" t="inlineStr">
        <is>
          <t>sqm</t>
        </is>
      </c>
      <c r="D753" s="15" t="n">
        <v>6982</v>
      </c>
      <c r="E753" t="inlineStr">
        <is>
          <t>09_Wood_and_PVC_Work</t>
        </is>
      </c>
      <c r="F753" t="n">
        <v>629</v>
      </c>
    </row>
    <row r="754">
      <c r="A754" s="14" t="inlineStr">
        <is>
          <t>9.147A.4</t>
        </is>
      </c>
      <c r="B754" t="inlineStr">
        <is>
          <t>Providing and fixing factory made uPVC white colour casement/casement cum fixed glazed windows comprising o...</t>
        </is>
      </c>
      <c r="C754" t="inlineStr">
        <is>
          <t>sqm</t>
        </is>
      </c>
      <c r="D754" s="15" t="n">
        <v>9331</v>
      </c>
      <c r="E754" t="inlineStr">
        <is>
          <t>09_Wood_and_PVC_Work</t>
        </is>
      </c>
      <c r="F754" t="n">
        <v>630</v>
      </c>
    </row>
    <row r="755">
      <c r="A755" s="14" t="inlineStr">
        <is>
          <t>9.147A.5</t>
        </is>
      </c>
      <c r="B755" t="inlineStr">
        <is>
          <t>Providing and fixing factory made uPVC white colour casement/casement cum fixed glazed windows comprising o...</t>
        </is>
      </c>
      <c r="C755" t="inlineStr">
        <is>
          <t>sqm</t>
        </is>
      </c>
      <c r="D755" s="15" t="n">
        <v>9666.200000000001</v>
      </c>
      <c r="E755" t="inlineStr">
        <is>
          <t>09_Wood_and_PVC_Work</t>
        </is>
      </c>
      <c r="F755" t="n">
        <v>631</v>
      </c>
    </row>
    <row r="756">
      <c r="A756" s="14" t="inlineStr">
        <is>
          <t>9.147A.6</t>
        </is>
      </c>
      <c r="B756" t="inlineStr">
        <is>
          <t>Providing and fixing factory made uPVC white colour casement/casement cum fixed glazed windows comprising o...</t>
        </is>
      </c>
      <c r="C756" t="inlineStr">
        <is>
          <t>sqm</t>
        </is>
      </c>
      <c r="D756" s="15" t="n">
        <v>7242.25</v>
      </c>
      <c r="E756" t="inlineStr">
        <is>
          <t>09_Wood_and_PVC_Work</t>
        </is>
      </c>
      <c r="F756" t="n">
        <v>632</v>
      </c>
    </row>
    <row r="757">
      <c r="A757" s="14" t="inlineStr">
        <is>
          <t>9.147B.1</t>
        </is>
      </c>
      <c r="B757" t="inlineStr">
        <is>
          <t>Providing and fixing factory made uPVC white colour fixed glazed windows/ventilators comprising of uPVC mul...</t>
        </is>
      </c>
      <c r="C757" t="inlineStr">
        <is>
          <t>sqm</t>
        </is>
      </c>
      <c r="D757" s="15" t="n">
        <v>6478.75</v>
      </c>
      <c r="E757" t="inlineStr">
        <is>
          <t>09_Wood_and_PVC_Work</t>
        </is>
      </c>
      <c r="F757" t="n">
        <v>634</v>
      </c>
    </row>
    <row r="758">
      <c r="A758" s="14" t="inlineStr">
        <is>
          <t>9.147C.1</t>
        </is>
      </c>
      <c r="B758" t="inlineStr">
        <is>
          <t>Providing and fixing factory made uPVC white colour casement/ Casement cum fixed glazed door comprising of...</t>
        </is>
      </c>
      <c r="C758" t="inlineStr">
        <is>
          <t>sqm</t>
        </is>
      </c>
      <c r="D758" s="15" t="n">
        <v>9131.450000000001</v>
      </c>
      <c r="E758" t="inlineStr">
        <is>
          <t>09_Wood_and_PVC_Work</t>
        </is>
      </c>
      <c r="F758" t="n">
        <v>635</v>
      </c>
    </row>
    <row r="759">
      <c r="A759" s="14" t="inlineStr">
        <is>
          <t>9.147C.2</t>
        </is>
      </c>
      <c r="B759" t="inlineStr">
        <is>
          <t>Providing and fixing factory made uPVC white colour casement/ Casement cum fixed glazed door comprising of...</t>
        </is>
      </c>
      <c r="C759" t="inlineStr">
        <is>
          <t>sqm</t>
        </is>
      </c>
      <c r="D759" s="15" t="n">
        <v>9328.299999999999</v>
      </c>
      <c r="E759" t="inlineStr">
        <is>
          <t>09_Wood_and_PVC_Work</t>
        </is>
      </c>
      <c r="F759" t="n">
        <v>637</v>
      </c>
    </row>
    <row r="760">
      <c r="A760" s="14" t="inlineStr">
        <is>
          <t>9.147D.1</t>
        </is>
      </c>
      <c r="B760" t="inlineStr">
        <is>
          <t>Providing and fixing factory made uPVC white colour sliding glazed window upto - Two track two panels slidi...</t>
        </is>
      </c>
      <c r="C760" t="inlineStr">
        <is>
          <t>sqm</t>
        </is>
      </c>
      <c r="D760" s="15" t="n">
        <v>6709.6</v>
      </c>
      <c r="E760" t="inlineStr">
        <is>
          <t>09_Wood_and_PVC_Work</t>
        </is>
      </c>
      <c r="F760" t="n">
        <v>638</v>
      </c>
    </row>
    <row r="761">
      <c r="A761" s="14" t="inlineStr">
        <is>
          <t>9.147D.2</t>
        </is>
      </c>
      <c r="B761" t="inlineStr">
        <is>
          <t>Providing and fixing factory made uPVC white colour sliding glazed window upto - Three track three panels s...</t>
        </is>
      </c>
      <c r="C761" t="inlineStr">
        <is>
          <t>sqm</t>
        </is>
      </c>
      <c r="D761" s="15" t="n">
        <v>8954.200000000001</v>
      </c>
      <c r="E761" t="inlineStr">
        <is>
          <t>09_Wood_and_PVC_Work</t>
        </is>
      </c>
      <c r="F761" t="n">
        <v>640</v>
      </c>
    </row>
    <row r="762">
      <c r="A762" s="14" t="inlineStr">
        <is>
          <t>9.147D.3</t>
        </is>
      </c>
      <c r="B762" t="inlineStr">
        <is>
          <t>Providing and fixing factory made uPVC white colour sliding glazed window upto - Two track two panels slidi...</t>
        </is>
      </c>
      <c r="C762" t="inlineStr">
        <is>
          <t>sqm</t>
        </is>
      </c>
      <c r="D762" s="15" t="n">
        <v>6912.15</v>
      </c>
      <c r="E762" t="inlineStr">
        <is>
          <t>09_Wood_and_PVC_Work</t>
        </is>
      </c>
      <c r="F762" t="n">
        <v>641</v>
      </c>
    </row>
    <row r="763">
      <c r="A763" s="14" t="inlineStr">
        <is>
          <t>9.147D.4</t>
        </is>
      </c>
      <c r="B763" t="inlineStr">
        <is>
          <t>Providing and fixing factory made uPVC white colour sliding glazed window upto - Three track three panels s...</t>
        </is>
      </c>
      <c r="C763" t="inlineStr">
        <is>
          <t>sqm</t>
        </is>
      </c>
      <c r="D763" s="15" t="n">
        <v>8616</v>
      </c>
      <c r="E763" t="inlineStr">
        <is>
          <t>09_Wood_and_PVC_Work</t>
        </is>
      </c>
      <c r="F763" t="n">
        <v>642</v>
      </c>
    </row>
    <row r="764">
      <c r="A764" s="14" t="inlineStr">
        <is>
          <t>9.147D.5</t>
        </is>
      </c>
      <c r="B764" t="inlineStr">
        <is>
          <t>Providing and fixing factory made uPVC white colour sliding glazed window upto - Three track three panels s...</t>
        </is>
      </c>
      <c r="C764" t="inlineStr">
        <is>
          <t>sqm</t>
        </is>
      </c>
      <c r="D764" s="15" t="n">
        <v>8177.05</v>
      </c>
      <c r="E764" t="inlineStr">
        <is>
          <t>09_Wood_and_PVC_Work</t>
        </is>
      </c>
      <c r="F764" t="n">
        <v>643</v>
      </c>
    </row>
    <row r="765">
      <c r="A765" s="14" t="inlineStr">
        <is>
          <t>9.147E.1</t>
        </is>
      </c>
      <c r="B765" t="inlineStr">
        <is>
          <t>Providing and fixing factory made uPVC white colour sliding glazed window above 1.50 m in height dimension...</t>
        </is>
      </c>
      <c r="C765" t="inlineStr">
        <is>
          <t>sqm</t>
        </is>
      </c>
      <c r="D765" s="15" t="n">
        <v>6861.6</v>
      </c>
      <c r="E765" t="inlineStr">
        <is>
          <t>09_Wood_and_PVC_Work</t>
        </is>
      </c>
      <c r="F765" t="n">
        <v>645</v>
      </c>
    </row>
    <row r="766">
      <c r="A766" s="14" t="inlineStr">
        <is>
          <t>9.147E.2</t>
        </is>
      </c>
      <c r="B766" t="inlineStr">
        <is>
          <t>Providing and fixing factory made uPVC white colour sliding glazed window above 1.50 m in height dimension...</t>
        </is>
      </c>
      <c r="C766" t="inlineStr">
        <is>
          <t>sqm</t>
        </is>
      </c>
      <c r="D766" s="15" t="n">
        <v>5941.95</v>
      </c>
      <c r="E766" t="inlineStr">
        <is>
          <t>09_Wood_and_PVC_Work</t>
        </is>
      </c>
      <c r="F766" t="n">
        <v>646</v>
      </c>
    </row>
    <row r="767">
      <c r="A767" s="14" t="inlineStr">
        <is>
          <t>9.147F.1</t>
        </is>
      </c>
      <c r="B767" t="inlineStr">
        <is>
          <t>Providing and fixing factory made uPVC white colour sliding glazed door comprising of uPVC multi-chambered...</t>
        </is>
      </c>
      <c r="C767" t="inlineStr">
        <is>
          <t>sqm</t>
        </is>
      </c>
      <c r="D767" s="15" t="n">
        <v>6005</v>
      </c>
      <c r="E767" t="inlineStr">
        <is>
          <t>09_Wood_and_PVC_Work</t>
        </is>
      </c>
      <c r="F767" t="n">
        <v>648</v>
      </c>
    </row>
    <row r="768">
      <c r="A768" s="14" t="inlineStr">
        <is>
          <t>9.147F.2</t>
        </is>
      </c>
      <c r="B768" t="inlineStr">
        <is>
          <t>Providing and fixing factory made uPVC white colour sliding glazed door comprising of uPVC multi-chambered...</t>
        </is>
      </c>
      <c r="C768" t="inlineStr">
        <is>
          <t>sqm</t>
        </is>
      </c>
      <c r="D768" s="15" t="n">
        <v>5332.85</v>
      </c>
      <c r="E768" t="inlineStr">
        <is>
          <t>09_Wood_and_PVC_Work</t>
        </is>
      </c>
      <c r="F768" t="n">
        <v>650</v>
      </c>
    </row>
    <row r="769">
      <c r="A769" s="14" t="inlineStr">
        <is>
          <t>9.147F.3</t>
        </is>
      </c>
      <c r="B769" t="inlineStr">
        <is>
          <t>Providing and fixing factory made uPVC white colour sliding glazed door comprising of uPVC multi-chambered...</t>
        </is>
      </c>
      <c r="C769" t="inlineStr">
        <is>
          <t>sqm</t>
        </is>
      </c>
      <c r="D769" s="15" t="n">
        <v>6064.8</v>
      </c>
      <c r="E769" t="inlineStr">
        <is>
          <t>09_Wood_and_PVC_Work</t>
        </is>
      </c>
      <c r="F769" t="n">
        <v>651</v>
      </c>
    </row>
    <row r="770">
      <c r="A770" s="14" t="inlineStr">
        <is>
          <t>9.147F.4</t>
        </is>
      </c>
      <c r="B770" t="inlineStr">
        <is>
          <t>Providing and fixing factory made uPVC white colour sliding glazed door comprising of uPVC multi-chambered...</t>
        </is>
      </c>
      <c r="C770" t="inlineStr">
        <is>
          <t>sqm</t>
        </is>
      </c>
      <c r="D770" s="15" t="n">
        <v>7774.55</v>
      </c>
      <c r="E770" t="inlineStr">
        <is>
          <t>09_Wood_and_PVC_Work</t>
        </is>
      </c>
      <c r="F770" t="n">
        <v>652</v>
      </c>
    </row>
    <row r="771">
      <c r="A771" s="14" t="inlineStr">
        <is>
          <t>9.148.1</t>
        </is>
      </c>
      <c r="B771" t="inlineStr">
        <is>
          <t>Providing and fixing stainless steel (SS-304 grade) friction hinges to the side/ top hung uPVC windows, of...</t>
        </is>
      </c>
      <c r="C771" t="inlineStr">
        <is>
          <t>nos</t>
        </is>
      </c>
      <c r="D771" s="15" t="n">
        <v>299.9</v>
      </c>
      <c r="E771" t="inlineStr">
        <is>
          <t>09_Wood_and_PVC_Work</t>
        </is>
      </c>
      <c r="F771" t="n">
        <v>654</v>
      </c>
    </row>
    <row r="772">
      <c r="A772" s="14" t="inlineStr">
        <is>
          <t>9.148.2</t>
        </is>
      </c>
      <c r="B772" t="inlineStr">
        <is>
          <t>Providing and fixing stainless steel (SS-304 grade) friction hinges to the side/ top hung uPVC windows, of...</t>
        </is>
      </c>
      <c r="C772" t="inlineStr">
        <is>
          <t>nos</t>
        </is>
      </c>
      <c r="D772" s="15" t="n">
        <v>333.35</v>
      </c>
      <c r="E772" t="inlineStr">
        <is>
          <t>09_Wood_and_PVC_Work</t>
        </is>
      </c>
      <c r="F772" t="n">
        <v>654</v>
      </c>
    </row>
    <row r="773">
      <c r="A773" s="14" t="inlineStr">
        <is>
          <t>9.148.3</t>
        </is>
      </c>
      <c r="B773" t="inlineStr">
        <is>
          <t>Providing and fixing stainless steel (SS-304 grade) friction hinges to the side/ top hung uPVC windows, of...</t>
        </is>
      </c>
      <c r="C773" t="inlineStr">
        <is>
          <t>nos</t>
        </is>
      </c>
      <c r="D773" s="15" t="n">
        <v>353.4</v>
      </c>
      <c r="E773" t="inlineStr">
        <is>
          <t>09_Wood_and_PVC_Work</t>
        </is>
      </c>
      <c r="F773" t="n">
        <v>655</v>
      </c>
    </row>
    <row r="774">
      <c r="A774" s="14" t="inlineStr">
        <is>
          <t>9.148.4</t>
        </is>
      </c>
      <c r="B774" t="inlineStr">
        <is>
          <t>Providing and fixing stainless steel (SS-304 grade) friction hinges to the side/ top hung uPVC windows, of...</t>
        </is>
      </c>
      <c r="C774" t="inlineStr">
        <is>
          <t>nos</t>
        </is>
      </c>
      <c r="D774" s="15" t="n">
        <v>487.2</v>
      </c>
      <c r="E774" t="inlineStr">
        <is>
          <t>09_Wood_and_PVC_Work</t>
        </is>
      </c>
      <c r="F774" t="n">
        <v>655</v>
      </c>
    </row>
    <row r="775">
      <c r="A775" s="14" t="inlineStr">
        <is>
          <t>9.148.5</t>
        </is>
      </c>
      <c r="B775" t="inlineStr">
        <is>
          <t>Providing and fixing stainless steel (SS-304 grade) friction hinges to the side/ top hung uPVC windows, of...</t>
        </is>
      </c>
      <c r="C775" t="inlineStr">
        <is>
          <t>nos</t>
        </is>
      </c>
      <c r="D775" s="15" t="n">
        <v>513.95</v>
      </c>
      <c r="E775" t="inlineStr">
        <is>
          <t>09_Wood_and_PVC_Work</t>
        </is>
      </c>
      <c r="F775" t="n">
        <v>656</v>
      </c>
    </row>
    <row r="776">
      <c r="A776" s="14" t="inlineStr">
        <is>
          <t>9.149</t>
        </is>
      </c>
      <c r="B776" t="inlineStr">
        <is>
          <t>Providing and fixing casement handle made of zinc alloyed (white powder coated) for uPVC casement window wi...</t>
        </is>
      </c>
      <c r="C776" t="inlineStr">
        <is>
          <t>nos</t>
        </is>
      </c>
      <c r="D776" s="15" t="n">
        <v>187.75</v>
      </c>
      <c r="E776" t="inlineStr">
        <is>
          <t>09_Wood_and_PVC_Work</t>
        </is>
      </c>
      <c r="F776" t="n">
        <v>656</v>
      </c>
    </row>
    <row r="777">
      <c r="A777" s="14" t="inlineStr">
        <is>
          <t>9.150</t>
        </is>
      </c>
      <c r="B777" t="inlineStr">
        <is>
          <t>Providing and fixing zinc alloyed (white powder coated) touch lock for uPVC sliding window with necessary s...</t>
        </is>
      </c>
      <c r="C777" t="inlineStr">
        <is>
          <t>nos</t>
        </is>
      </c>
      <c r="D777" s="15" t="n">
        <v>154.35</v>
      </c>
      <c r="E777" t="inlineStr">
        <is>
          <t>09_Wood_and_PVC_Work</t>
        </is>
      </c>
      <c r="F777" t="n">
        <v>657</v>
      </c>
    </row>
    <row r="778">
      <c r="A778" s="14" t="inlineStr">
        <is>
          <t>9.151</t>
        </is>
      </c>
      <c r="B778" t="inlineStr">
        <is>
          <t>Providing and fixing steel roller for uPVC sliding window with necessary screws etc. complete</t>
        </is>
      </c>
      <c r="C778" t="inlineStr">
        <is>
          <t>nos</t>
        </is>
      </c>
      <c r="D778" s="15" t="n">
        <v>88.75</v>
      </c>
      <c r="E778" t="inlineStr">
        <is>
          <t>09_Wood_and_PVC_Work</t>
        </is>
      </c>
      <c r="F778" t="n">
        <v>657</v>
      </c>
    </row>
    <row r="779">
      <c r="A779" s="14" t="inlineStr">
        <is>
          <t>9.152</t>
        </is>
      </c>
      <c r="B779" t="inlineStr">
        <is>
          <t>Providing and fixing steel roller for uPVC sliding door with necessary screws etc. complete</t>
        </is>
      </c>
      <c r="C779" t="inlineStr">
        <is>
          <t>nos</t>
        </is>
      </c>
      <c r="D779" s="15" t="n">
        <v>140.95</v>
      </c>
      <c r="E779" t="inlineStr">
        <is>
          <t>09_Wood_and_PVC_Work</t>
        </is>
      </c>
      <c r="F779" t="n">
        <v>658</v>
      </c>
    </row>
    <row r="780">
      <c r="A780" s="14" t="inlineStr">
        <is>
          <t>9.153</t>
        </is>
      </c>
      <c r="B780" t="inlineStr">
        <is>
          <t>Providing and fixing steel (white power coated) crescent lock for uPVC sliding window/ door with necessary...</t>
        </is>
      </c>
      <c r="C780" t="inlineStr">
        <is>
          <t>nos</t>
        </is>
      </c>
      <c r="D780" s="15" t="n">
        <v>167.7</v>
      </c>
      <c r="E780" t="inlineStr">
        <is>
          <t>09_Wood_and_PVC_Work</t>
        </is>
      </c>
      <c r="F780" t="n">
        <v>658</v>
      </c>
    </row>
    <row r="781">
      <c r="A781" s="14" t="inlineStr">
        <is>
          <t>9.154</t>
        </is>
      </c>
      <c r="B781" t="inlineStr">
        <is>
          <t>Providing and fixing frame work for partitions/ wall lining etc. made of 50x50x1.6 mm hollow MS tube, place...</t>
        </is>
      </c>
      <c r="C781" t="inlineStr">
        <is>
          <t>kg</t>
        </is>
      </c>
      <c r="D781" s="15" t="n">
        <v>124.25</v>
      </c>
      <c r="E781" t="inlineStr">
        <is>
          <t>09_Wood_and_PVC_Work</t>
        </is>
      </c>
      <c r="F781" t="n">
        <v>659</v>
      </c>
    </row>
    <row r="782">
      <c r="A782" s="14" t="inlineStr">
        <is>
          <t>9.155</t>
        </is>
      </c>
      <c r="B782" t="inlineStr">
        <is>
          <t>Providing and fixing panelling or paneling and glazing in panelled or panelled and glazed shutters for door...</t>
        </is>
      </c>
      <c r="C782" t="inlineStr">
        <is>
          <t>sqm</t>
        </is>
      </c>
      <c r="D782" s="15" t="n">
        <v>1624.05</v>
      </c>
      <c r="E782" t="inlineStr">
        <is>
          <t>09_Wood_and_PVC_Work</t>
        </is>
      </c>
      <c r="F782" t="n">
        <v>660</v>
      </c>
    </row>
    <row r="783">
      <c r="A783" s="14" t="inlineStr">
        <is>
          <t>9.156.1</t>
        </is>
      </c>
      <c r="B783" t="inlineStr">
        <is>
          <t>Providing and fixing Pre -laminated medium density fibre board exterior grade (Grade-I) IS:14587:1998 marke...</t>
        </is>
      </c>
      <c r="C783" t="inlineStr">
        <is>
          <t>sqm</t>
        </is>
      </c>
      <c r="D783" s="15" t="n">
        <v>885.15</v>
      </c>
      <c r="E783" t="inlineStr">
        <is>
          <t>09_Wood_and_PVC_Work</t>
        </is>
      </c>
      <c r="F783" t="n">
        <v>660</v>
      </c>
    </row>
    <row r="784">
      <c r="A784" s="14" t="inlineStr">
        <is>
          <t>9.156.2</t>
        </is>
      </c>
      <c r="B784" t="inlineStr">
        <is>
          <t>Providing and fixing Pre -laminated medium density fibre board exterior grade (Grade-I) IS:14587:1998 marke...</t>
        </is>
      </c>
      <c r="C784" t="inlineStr">
        <is>
          <t>sqm</t>
        </is>
      </c>
      <c r="D784" s="15" t="n">
        <v>1080</v>
      </c>
      <c r="E784" t="inlineStr">
        <is>
          <t>09_Wood_and_PVC_Work</t>
        </is>
      </c>
      <c r="F784" t="n">
        <v>661</v>
      </c>
    </row>
    <row r="785">
      <c r="A785" s="14" t="inlineStr">
        <is>
          <t>9.157.1</t>
        </is>
      </c>
      <c r="B785" t="inlineStr">
        <is>
          <t>Providing and fixing Pre-laminated medium density fibre board IS: 14587:1998 marked, with one side decorati...</t>
        </is>
      </c>
      <c r="C785" t="inlineStr">
        <is>
          <t>sqm</t>
        </is>
      </c>
      <c r="D785" s="15" t="n">
        <v>1207.6</v>
      </c>
      <c r="E785" t="inlineStr">
        <is>
          <t>09_Wood_and_PVC_Work</t>
        </is>
      </c>
      <c r="F785" t="n">
        <v>662</v>
      </c>
    </row>
    <row r="786">
      <c r="A786" s="14" t="inlineStr">
        <is>
          <t>9.157.2</t>
        </is>
      </c>
      <c r="B786" t="inlineStr">
        <is>
          <t>Providing and fixing Pre-laminated medium density fibre board IS: 14587:1998 marked, with one side decorati...</t>
        </is>
      </c>
      <c r="C786" t="inlineStr">
        <is>
          <t>sqm</t>
        </is>
      </c>
      <c r="D786" s="15" t="n">
        <v>1626.05</v>
      </c>
      <c r="E786" t="inlineStr">
        <is>
          <t>09_Wood_and_PVC_Work</t>
        </is>
      </c>
      <c r="F786" t="n">
        <v>662</v>
      </c>
    </row>
    <row r="787">
      <c r="A787" s="14" t="inlineStr">
        <is>
          <t>9.158.1</t>
        </is>
      </c>
      <c r="B787" t="inlineStr">
        <is>
          <t>Providing and fixing in wall lining medium density fibre board IS: 14587:1998 marked, Pre-laminated one sid...</t>
        </is>
      </c>
      <c r="C787" t="inlineStr">
        <is>
          <t>sqm</t>
        </is>
      </c>
      <c r="D787" s="15" t="n">
        <v>1050.65</v>
      </c>
      <c r="E787" t="inlineStr">
        <is>
          <t>09_Wood_and_PVC_Work</t>
        </is>
      </c>
      <c r="F787" t="n">
        <v>663</v>
      </c>
    </row>
    <row r="788">
      <c r="A788" s="14" t="inlineStr">
        <is>
          <t>9.158.2</t>
        </is>
      </c>
      <c r="B788" t="inlineStr">
        <is>
          <t>Providing and fixing in wall lining medium density fibre board IS: 14587:1998 marked, Pre-laminated one sid...</t>
        </is>
      </c>
      <c r="C788" t="inlineStr">
        <is>
          <t>sqm</t>
        </is>
      </c>
      <c r="D788" s="15" t="n">
        <v>1249.35</v>
      </c>
      <c r="E788" t="inlineStr">
        <is>
          <t>09_Wood_and_PVC_Work</t>
        </is>
      </c>
      <c r="F788" t="n">
        <v>664</v>
      </c>
    </row>
    <row r="789">
      <c r="A789" s="14" t="inlineStr">
        <is>
          <t>9.158.3</t>
        </is>
      </c>
      <c r="B789" t="inlineStr">
        <is>
          <t>Providing and fixing in wall lining medium density fibre board IS: 14587:1998 marked, Pre-laminated one sid...</t>
        </is>
      </c>
      <c r="C789" t="inlineStr">
        <is>
          <t>sqm</t>
        </is>
      </c>
      <c r="D789" s="15" t="n">
        <v>1683.5</v>
      </c>
      <c r="E789" t="inlineStr">
        <is>
          <t>09_Wood_and_PVC_Work</t>
        </is>
      </c>
      <c r="F789" t="n">
        <v>665</v>
      </c>
    </row>
    <row r="790">
      <c r="A790" s="14" t="inlineStr">
        <is>
          <t>9.159</t>
        </is>
      </c>
      <c r="B790" t="inlineStr">
        <is>
          <t>Providing and fixing 25mm thick pre-laminated medium density fibre board exterior grade ( Grade-I) IS:14587...</t>
        </is>
      </c>
      <c r="C790" t="inlineStr">
        <is>
          <t>sqm</t>
        </is>
      </c>
      <c r="D790" s="15" t="n">
        <v>1816.75</v>
      </c>
      <c r="E790" t="inlineStr">
        <is>
          <t>09_Wood_and_PVC_Work</t>
        </is>
      </c>
      <c r="F790" t="n">
        <v>665</v>
      </c>
    </row>
    <row r="791">
      <c r="A791" s="14" t="inlineStr">
        <is>
          <t>9.160.1</t>
        </is>
      </c>
      <c r="B791" t="inlineStr">
        <is>
          <t>Providing and fixing skirting with Pre-laminated medium density fibre board exterior grade (Grade-I) confor...</t>
        </is>
      </c>
      <c r="C791" t="inlineStr">
        <is>
          <t>sqm</t>
        </is>
      </c>
      <c r="D791" s="15" t="n">
        <v>1843.15</v>
      </c>
      <c r="E791" t="inlineStr">
        <is>
          <t>09_Wood_and_PVC_Work</t>
        </is>
      </c>
      <c r="F791" t="n">
        <v>666</v>
      </c>
    </row>
    <row r="792">
      <c r="A792" s="14" t="inlineStr">
        <is>
          <t>9.160.2</t>
        </is>
      </c>
      <c r="B792" t="inlineStr">
        <is>
          <t>Providing and fixing skirting with Pre-laminated medium density fibre board exterior grade (Grade-I) confor...</t>
        </is>
      </c>
      <c r="C792" t="inlineStr">
        <is>
          <t>sqm</t>
        </is>
      </c>
      <c r="D792" s="15" t="n">
        <v>2277.3</v>
      </c>
      <c r="E792" t="inlineStr">
        <is>
          <t>09_Wood_and_PVC_Work</t>
        </is>
      </c>
      <c r="F792" t="n">
        <v>667</v>
      </c>
    </row>
    <row r="793">
      <c r="A793" s="14" t="inlineStr">
        <is>
          <t>9.161</t>
        </is>
      </c>
      <c r="B793" t="inlineStr">
        <is>
          <t>Providing and fixing fire resistant door frame of section 50 x 60 mm on horizontal side &amp; 35 x 60 mm on ver...</t>
        </is>
      </c>
      <c r="C793" t="inlineStr">
        <is>
          <t>metre</t>
        </is>
      </c>
      <c r="D793" s="15" t="n">
        <v>1512.95</v>
      </c>
      <c r="E793" t="inlineStr">
        <is>
          <t>09_Wood_and_PVC_Work</t>
        </is>
      </c>
      <c r="F793" t="n">
        <v>668</v>
      </c>
    </row>
    <row r="794">
      <c r="A794" s="14" t="inlineStr">
        <is>
          <t>9.162</t>
        </is>
      </c>
      <c r="B794" t="inlineStr">
        <is>
          <t>Providing and fixing 60 mm thick glazed fire resistant door shutters of 120 min Fire Rating confirming to I...</t>
        </is>
      </c>
      <c r="C794" t="inlineStr">
        <is>
          <t>sqm</t>
        </is>
      </c>
      <c r="D794" s="15" t="n">
        <v>8379.299999999999</v>
      </c>
      <c r="E794" t="inlineStr">
        <is>
          <t>09_Wood_and_PVC_Work</t>
        </is>
      </c>
      <c r="F794" t="n">
        <v>668</v>
      </c>
    </row>
    <row r="795">
      <c r="A795" s="14" t="inlineStr">
        <is>
          <t>9.163</t>
        </is>
      </c>
      <c r="B795" t="inlineStr">
        <is>
          <t>Providing and fixing non load bearing fixed frame for fire resistant glazed Partition for 120 minutes Fire...</t>
        </is>
      </c>
      <c r="C795" t="inlineStr">
        <is>
          <t>mtere</t>
        </is>
      </c>
      <c r="D795" s="15" t="n">
        <v>1512.95</v>
      </c>
      <c r="E795" t="inlineStr">
        <is>
          <t>09_Wood_and_PVC_Work</t>
        </is>
      </c>
      <c r="F795" t="n">
        <v>669</v>
      </c>
    </row>
    <row r="796">
      <c r="A796" s="14" t="inlineStr">
        <is>
          <t>9.164</t>
        </is>
      </c>
      <c r="B796" t="inlineStr">
        <is>
          <t>Providing and fixing glazing in fire resistant door shutters, fixed panels &amp; partitions etc., with G.I. bea...</t>
        </is>
      </c>
      <c r="C796" t="inlineStr">
        <is>
          <t>sqm</t>
        </is>
      </c>
      <c r="D796" s="15" t="n">
        <v>39395.3</v>
      </c>
      <c r="E796" t="inlineStr">
        <is>
          <t>09_Wood_and_PVC_Work</t>
        </is>
      </c>
      <c r="F796" t="n">
        <v>670</v>
      </c>
    </row>
    <row r="797">
      <c r="A797" s="14" t="inlineStr">
        <is>
          <t>9.165.1</t>
        </is>
      </c>
      <c r="B797" t="inlineStr">
        <is>
          <t>Providing and fixing bright /matt finished Stainless Steel handles of approved quality &amp; make with necessar...</t>
        </is>
      </c>
      <c r="C797" t="inlineStr">
        <is>
          <t>nos</t>
        </is>
      </c>
      <c r="D797" s="15" t="n">
        <v>98.75</v>
      </c>
      <c r="E797" t="inlineStr">
        <is>
          <t>09_Wood_and_PVC_Work</t>
        </is>
      </c>
      <c r="F797" t="n">
        <v>671</v>
      </c>
    </row>
    <row r="798">
      <c r="A798" s="14" t="inlineStr">
        <is>
          <t>9.165.2</t>
        </is>
      </c>
      <c r="B798" t="inlineStr">
        <is>
          <t>Providing and fixing bright /matt finished Stainless Steel handles of approved quality &amp; make with necessar...</t>
        </is>
      </c>
      <c r="C798" t="inlineStr">
        <is>
          <t>nos</t>
        </is>
      </c>
      <c r="D798" s="15" t="n">
        <v>74</v>
      </c>
      <c r="E798" t="inlineStr">
        <is>
          <t>09_Wood_and_PVC_Work</t>
        </is>
      </c>
      <c r="F798" t="n">
        <v>671</v>
      </c>
    </row>
    <row r="799">
      <c r="A799" s="14" t="inlineStr">
        <is>
          <t>9.165.3</t>
        </is>
      </c>
      <c r="B799" t="inlineStr">
        <is>
          <t>Providing and fixing bright /matt finished Stainless Steel handles of approved quality &amp; make with necessar...</t>
        </is>
      </c>
      <c r="C799" t="inlineStr">
        <is>
          <t>nos</t>
        </is>
      </c>
      <c r="D799" s="15" t="n">
        <v>47.2</v>
      </c>
      <c r="E799" t="inlineStr">
        <is>
          <t>09_Wood_and_PVC_Work</t>
        </is>
      </c>
      <c r="F799" t="n">
        <v>672</v>
      </c>
    </row>
    <row r="800">
      <c r="A800" s="14" t="inlineStr">
        <is>
          <t>10.1</t>
        </is>
      </c>
      <c r="B800" t="inlineStr">
        <is>
          <t>Structural steel work in single section, fixed with or without connecting plate, including cutting, hoistin...</t>
        </is>
      </c>
      <c r="C800" t="inlineStr">
        <is>
          <t>quintal</t>
        </is>
      </c>
      <c r="D800" s="15" t="n">
        <v>86.05</v>
      </c>
      <c r="E800" t="inlineStr">
        <is>
          <t>10_Steel_Work</t>
        </is>
      </c>
      <c r="F800" t="n">
        <v>676</v>
      </c>
    </row>
    <row r="801">
      <c r="A801" s="14" t="inlineStr">
        <is>
          <t>10.2</t>
        </is>
      </c>
      <c r="B801" t="inlineStr">
        <is>
          <t>Structural steel work riveted, bolted or welded in built up sections, trusses and framed work, including cu...</t>
        </is>
      </c>
      <c r="C801" t="inlineStr">
        <is>
          <t>quintal</t>
        </is>
      </c>
      <c r="D801" s="15" t="n">
        <v>101.75</v>
      </c>
      <c r="E801" t="inlineStr">
        <is>
          <t>10_Steel_Work</t>
        </is>
      </c>
      <c r="F801" t="n">
        <v>676</v>
      </c>
    </row>
    <row r="802">
      <c r="A802" s="14" t="inlineStr">
        <is>
          <t>10.3</t>
        </is>
      </c>
      <c r="B802" t="inlineStr">
        <is>
          <t>Providing and fixing in position collapsible steel shutters with vertical channels 20x10x2 mm and braced wi...</t>
        </is>
      </c>
      <c r="C802" t="inlineStr">
        <is>
          <t>sqm</t>
        </is>
      </c>
      <c r="D802" s="15" t="n">
        <v>8670.5</v>
      </c>
      <c r="E802" t="inlineStr">
        <is>
          <t>10_Steel_Work</t>
        </is>
      </c>
      <c r="F802" t="n">
        <v>678</v>
      </c>
    </row>
    <row r="803">
      <c r="A803" s="14" t="inlineStr">
        <is>
          <t>10.4</t>
        </is>
      </c>
      <c r="B803" t="inlineStr">
        <is>
          <t>Providing and fixing 1 mm thick M.S. sheet sliding-shutters, with frame and diagonal braces of 40x40x6 mm a...</t>
        </is>
      </c>
      <c r="C803" t="inlineStr">
        <is>
          <t>sqm</t>
        </is>
      </c>
      <c r="D803" s="15" t="n">
        <v>4992.05</v>
      </c>
      <c r="E803" t="inlineStr">
        <is>
          <t>10_Steel_Work</t>
        </is>
      </c>
      <c r="F803" t="n">
        <v>679</v>
      </c>
    </row>
    <row r="804">
      <c r="A804" s="14" t="inlineStr">
        <is>
          <t>10.5.1</t>
        </is>
      </c>
      <c r="B804" t="inlineStr">
        <is>
          <t>Providing and fixing 1mm thick M.S. sheet door with frame of 40x40x6 mm angle iron and 3 mm M.S. gusset pla...</t>
        </is>
      </c>
      <c r="C804" t="inlineStr">
        <is>
          <t>sqm</t>
        </is>
      </c>
      <c r="D804" s="15" t="n">
        <v>4428.15</v>
      </c>
      <c r="E804" t="inlineStr">
        <is>
          <t>10_Steel_Work</t>
        </is>
      </c>
      <c r="F804" t="n">
        <v>681</v>
      </c>
    </row>
    <row r="805">
      <c r="A805" s="14" t="inlineStr">
        <is>
          <t>10.5.2</t>
        </is>
      </c>
      <c r="B805" t="inlineStr">
        <is>
          <t>Providing and fixing 1mm thick M.S. sheet door with frame of 40x40x6 mm angle iron and 3 mm M.S. gusset pla...</t>
        </is>
      </c>
      <c r="C805" t="inlineStr">
        <is>
          <t>sqm</t>
        </is>
      </c>
      <c r="D805" s="15" t="n">
        <v>4278.15</v>
      </c>
      <c r="E805" t="inlineStr">
        <is>
          <t>10_Steel_Work</t>
        </is>
      </c>
      <c r="F805" t="n">
        <v>682</v>
      </c>
    </row>
    <row r="806">
      <c r="A806" s="14" t="inlineStr">
        <is>
          <t>10.6.1</t>
        </is>
      </c>
      <c r="B806" t="inlineStr">
        <is>
          <t>Supplying and fixing rolling shutters of approved make, made of required size M.S. laths, interlocked toget...</t>
        </is>
      </c>
      <c r="C806" t="inlineStr">
        <is>
          <t>sqm</t>
        </is>
      </c>
      <c r="D806" s="15" t="n">
        <v>2944.1</v>
      </c>
      <c r="E806" t="inlineStr">
        <is>
          <t>10_Steel_Work</t>
        </is>
      </c>
      <c r="F806" t="n">
        <v>684</v>
      </c>
    </row>
    <row r="807">
      <c r="A807" s="14" t="inlineStr">
        <is>
          <t>10.6.2</t>
        </is>
      </c>
      <c r="B807" t="inlineStr">
        <is>
          <t>Supplying and fixing rolling shutters of approved make, made of required size M.S. laths, interlocked toget...</t>
        </is>
      </c>
      <c r="C807" t="inlineStr">
        <is>
          <t>sqm</t>
        </is>
      </c>
      <c r="D807" s="15" t="n">
        <v>2803.65</v>
      </c>
      <c r="E807" t="inlineStr">
        <is>
          <t>10_Steel_Work</t>
        </is>
      </c>
      <c r="F807" t="n">
        <v>685</v>
      </c>
    </row>
    <row r="808">
      <c r="A808" s="14" t="inlineStr">
        <is>
          <t>10.6.3</t>
        </is>
      </c>
      <c r="B808" t="inlineStr">
        <is>
          <t>Supplying and fixing rolling shutters of approved make, made of required size M.S. laths, interlocked toget...</t>
        </is>
      </c>
      <c r="C808" t="inlineStr">
        <is>
          <t>sqm</t>
        </is>
      </c>
      <c r="D808" s="15" t="n">
        <v>2654.25</v>
      </c>
      <c r="E808" t="inlineStr">
        <is>
          <t>10_Steel_Work</t>
        </is>
      </c>
      <c r="F808" t="n">
        <v>685</v>
      </c>
    </row>
    <row r="809">
      <c r="A809" s="14" t="inlineStr">
        <is>
          <t>10.7</t>
        </is>
      </c>
      <c r="B809" t="inlineStr">
        <is>
          <t>Providing and fixing ball bearing for rolling shutters</t>
        </is>
      </c>
      <c r="C809" t="inlineStr">
        <is>
          <t>no</t>
        </is>
      </c>
      <c r="D809" s="15" t="n">
        <v>419.85</v>
      </c>
      <c r="E809" t="inlineStr">
        <is>
          <t>10_Steel_Work</t>
        </is>
      </c>
      <c r="F809" t="n">
        <v>686</v>
      </c>
    </row>
    <row r="810">
      <c r="A810" s="14" t="inlineStr">
        <is>
          <t>10.8.1</t>
        </is>
      </c>
      <c r="B810" t="inlineStr">
        <is>
          <t>Extra for providing mechanical device chain and crank operation for operating rolling shutters - Exceeding...</t>
        </is>
      </c>
      <c r="C810" t="inlineStr">
        <is>
          <t>sqm</t>
        </is>
      </c>
      <c r="D810" s="15" t="n">
        <v>1106.55</v>
      </c>
      <c r="E810" t="inlineStr">
        <is>
          <t>10_Steel_Work</t>
        </is>
      </c>
      <c r="F810" t="n">
        <v>686</v>
      </c>
    </row>
    <row r="811">
      <c r="A811" s="14" t="inlineStr">
        <is>
          <t>10.8.2</t>
        </is>
      </c>
      <c r="B811" t="inlineStr">
        <is>
          <t>Extra for providing mechanical device chain and crank operation for operating rolling shutters - Exceeding...</t>
        </is>
      </c>
      <c r="C811" t="inlineStr">
        <is>
          <t>sqm</t>
        </is>
      </c>
      <c r="D811" s="15" t="n">
        <v>1106.55</v>
      </c>
      <c r="E811" t="inlineStr">
        <is>
          <t>10_Steel_Work</t>
        </is>
      </c>
      <c r="F811" t="n">
        <v>687</v>
      </c>
    </row>
    <row r="812">
      <c r="A812" s="14" t="inlineStr">
        <is>
          <t>10.9</t>
        </is>
      </c>
      <c r="B812" t="inlineStr">
        <is>
          <t>Extra for providing grilled rolling shutters manufactured out of 8 mm dia M.S. bar instead of laths as per...</t>
        </is>
      </c>
      <c r="C812" t="inlineStr">
        <is>
          <t>sqm</t>
        </is>
      </c>
      <c r="D812" s="15" t="n">
        <v>668.95</v>
      </c>
      <c r="E812" t="inlineStr">
        <is>
          <t>10_Steel_Work</t>
        </is>
      </c>
      <c r="F812" t="n">
        <v>687</v>
      </c>
    </row>
    <row r="813">
      <c r="A813" s="14" t="inlineStr">
        <is>
          <t>10.10.1</t>
        </is>
      </c>
      <c r="B813" t="inlineStr">
        <is>
          <t>Fixing standard steel glazed doors, windows and ventilators in walls, including fixing of float glass panes...</t>
        </is>
      </c>
      <c r="C813" t="inlineStr">
        <is>
          <t>kg</t>
        </is>
      </c>
      <c r="D813" s="15" t="n">
        <v>63</v>
      </c>
      <c r="E813" t="inlineStr">
        <is>
          <t>10_Steel_Work</t>
        </is>
      </c>
      <c r="F813" t="n">
        <v>688</v>
      </c>
    </row>
    <row r="814">
      <c r="A814" s="14" t="inlineStr">
        <is>
          <t>10.10.2</t>
        </is>
      </c>
      <c r="B814" t="inlineStr">
        <is>
          <t>Fixing standard steel glazed doors, windows and ventilators in walls, including fixing of float glass panes...</t>
        </is>
      </c>
      <c r="C814" t="inlineStr">
        <is>
          <t>kg</t>
        </is>
      </c>
      <c r="D814" s="15" t="n">
        <v>31.65</v>
      </c>
      <c r="E814" t="inlineStr">
        <is>
          <t>10_Steel_Work</t>
        </is>
      </c>
      <c r="F814" t="n">
        <v>689</v>
      </c>
    </row>
    <row r="815">
      <c r="A815" s="14" t="inlineStr">
        <is>
          <t>10.11.1</t>
        </is>
      </c>
      <c r="B815" t="inlineStr">
        <is>
          <t>Providing and fixing factory made ISI marked steel glazed doors, windows and ventilators, side /top /centre...</t>
        </is>
      </c>
      <c r="C815" t="inlineStr">
        <is>
          <t>kg</t>
        </is>
      </c>
      <c r="D815" s="15" t="n">
        <v>166.5</v>
      </c>
      <c r="E815" t="inlineStr">
        <is>
          <t>10_Steel_Work</t>
        </is>
      </c>
      <c r="F815" t="n">
        <v>689</v>
      </c>
    </row>
    <row r="816">
      <c r="A816" s="14" t="inlineStr">
        <is>
          <t>10.11.2</t>
        </is>
      </c>
      <c r="B816" t="inlineStr">
        <is>
          <t>Providing and fixing factory made ISI marked steel glazed doors, windows and ventilators, side /top /centre...</t>
        </is>
      </c>
      <c r="C816" t="inlineStr">
        <is>
          <t>kg</t>
        </is>
      </c>
      <c r="D816" s="15" t="n">
        <v>106.05</v>
      </c>
      <c r="E816" t="inlineStr">
        <is>
          <t>10_Steel_Work</t>
        </is>
      </c>
      <c r="F816" t="n">
        <v>690</v>
      </c>
    </row>
    <row r="817">
      <c r="A817" s="14" t="inlineStr">
        <is>
          <t>10.12</t>
        </is>
      </c>
      <c r="B817" t="inlineStr">
        <is>
          <t>Extra for providing and fixing steel beading of size 10 x 10 x 1.6 mm (box type), approved shape and sectio...</t>
        </is>
      </c>
      <c r="C817" t="inlineStr">
        <is>
          <t>metre</t>
        </is>
      </c>
      <c r="D817" s="15" t="n">
        <v>45.4</v>
      </c>
      <c r="E817" t="inlineStr">
        <is>
          <t>10_Steel_Work</t>
        </is>
      </c>
      <c r="F817" t="n">
        <v>691</v>
      </c>
    </row>
    <row r="818">
      <c r="A818" s="14" t="inlineStr">
        <is>
          <t>10.13.1</t>
        </is>
      </c>
      <c r="B818" t="inlineStr">
        <is>
          <t>Providing and fixing T-iron frames for doors, windows and ventilators of mild steel Tee-sections, joints mi...</t>
        </is>
      </c>
      <c r="C818" t="inlineStr">
        <is>
          <t>kg</t>
        </is>
      </c>
      <c r="D818" s="15" t="n">
        <v>106.45</v>
      </c>
      <c r="E818" t="inlineStr">
        <is>
          <t>10_Steel_Work</t>
        </is>
      </c>
      <c r="F818" t="n">
        <v>692</v>
      </c>
    </row>
    <row r="819">
      <c r="A819" s="14" t="inlineStr">
        <is>
          <t>10.13.2</t>
        </is>
      </c>
      <c r="B819" t="inlineStr">
        <is>
          <t>Providing and fixing T-iron frames for doors, windows and ventilators of mild steel Tee-sections, joints mi...</t>
        </is>
      </c>
      <c r="C819" t="inlineStr">
        <is>
          <t>kg</t>
        </is>
      </c>
      <c r="D819" s="15" t="n">
        <v>101.65</v>
      </c>
      <c r="E819" t="inlineStr">
        <is>
          <t>10_Steel_Work</t>
        </is>
      </c>
      <c r="F819" t="n">
        <v>693</v>
      </c>
    </row>
    <row r="820">
      <c r="A820" s="14" t="inlineStr">
        <is>
          <t>10.14.1.1</t>
        </is>
      </c>
      <c r="B820" t="inlineStr">
        <is>
          <t>Providing and fixing pressed steel door frames conforming to IS: 4351, manufactured from commercial mild st...</t>
        </is>
      </c>
      <c r="C820" t="inlineStr">
        <is>
          <t>metres</t>
        </is>
      </c>
      <c r="D820" s="15" t="n">
        <v>417.6</v>
      </c>
      <c r="E820" t="inlineStr">
        <is>
          <t>10_Steel_Work</t>
        </is>
      </c>
      <c r="F820" t="n">
        <v>694</v>
      </c>
    </row>
    <row r="821">
      <c r="A821" s="14" t="inlineStr">
        <is>
          <t>10.14.1.2</t>
        </is>
      </c>
      <c r="B821" t="inlineStr">
        <is>
          <t>Providing and fixing pressed steel door frames conforming to IS: 4351, manufactured from commercial mild st...</t>
        </is>
      </c>
      <c r="C821" t="inlineStr">
        <is>
          <t>metres</t>
        </is>
      </c>
      <c r="D821" s="15" t="n">
        <v>406.9</v>
      </c>
      <c r="E821" t="inlineStr">
        <is>
          <t>10_Steel_Work</t>
        </is>
      </c>
      <c r="F821" t="n">
        <v>694</v>
      </c>
    </row>
    <row r="822">
      <c r="A822" s="14" t="inlineStr">
        <is>
          <t>10.14.2.1</t>
        </is>
      </c>
      <c r="B822" t="inlineStr">
        <is>
          <t>Providing and fixing pressed steel door frames conforming to IS: 4351, manufactured from commercial mild st...</t>
        </is>
      </c>
      <c r="C822" t="inlineStr">
        <is>
          <t>metres</t>
        </is>
      </c>
      <c r="D822" s="15" t="n">
        <v>444.35</v>
      </c>
      <c r="E822" t="inlineStr">
        <is>
          <t>10_Steel_Work</t>
        </is>
      </c>
      <c r="F822" t="n">
        <v>695</v>
      </c>
    </row>
    <row r="823">
      <c r="A823" s="14" t="inlineStr">
        <is>
          <t>10.14.2.2</t>
        </is>
      </c>
      <c r="B823" t="inlineStr">
        <is>
          <t>Providing and fixing pressed steel door frames conforming to IS: 4351, manufactured from commercial mild st...</t>
        </is>
      </c>
      <c r="C823" t="inlineStr">
        <is>
          <t>metres</t>
        </is>
      </c>
      <c r="D823" s="15" t="n">
        <v>433.65</v>
      </c>
      <c r="E823" t="inlineStr">
        <is>
          <t>10_Steel_Work</t>
        </is>
      </c>
      <c r="F823" t="n">
        <v>696</v>
      </c>
    </row>
    <row r="824">
      <c r="A824" s="14" t="inlineStr">
        <is>
          <t>10.14.3.1</t>
        </is>
      </c>
      <c r="B824" t="inlineStr">
        <is>
          <t>Providing and fixing pressed steel door frames conforming to IS: 4351, manufactured from commercial mild st...</t>
        </is>
      </c>
      <c r="C824" t="inlineStr">
        <is>
          <t>metres</t>
        </is>
      </c>
      <c r="D824" s="15" t="n">
        <v>484.5</v>
      </c>
      <c r="E824" t="inlineStr">
        <is>
          <t>10_Steel_Work</t>
        </is>
      </c>
      <c r="F824" t="n">
        <v>697</v>
      </c>
    </row>
    <row r="825">
      <c r="A825" s="14" t="inlineStr">
        <is>
          <t>10.14.3.2</t>
        </is>
      </c>
      <c r="B825" t="inlineStr">
        <is>
          <t>Providing and fixing pressed steel door frames conforming to IS: 4351, manufactured from commercial mild st...</t>
        </is>
      </c>
      <c r="C825" t="inlineStr">
        <is>
          <t>metres</t>
        </is>
      </c>
      <c r="D825" s="15" t="n">
        <v>473.8</v>
      </c>
      <c r="E825" t="inlineStr">
        <is>
          <t>10_Steel_Work</t>
        </is>
      </c>
      <c r="F825" t="n">
        <v>697</v>
      </c>
    </row>
    <row r="826">
      <c r="A826" s="14" t="inlineStr">
        <is>
          <t>10.15.1</t>
        </is>
      </c>
      <c r="B826" t="inlineStr">
        <is>
          <t>Providing and fixing M.S. Tubular frames for doors, windows, ventilators and cupboard with rectangular/ L-T...</t>
        </is>
      </c>
      <c r="C826" t="inlineStr">
        <is>
          <t>kg</t>
        </is>
      </c>
      <c r="D826" s="15" t="n">
        <v>137.3</v>
      </c>
      <c r="E826" t="inlineStr">
        <is>
          <t>10_Steel_Work</t>
        </is>
      </c>
      <c r="F826" t="n">
        <v>698</v>
      </c>
    </row>
    <row r="827">
      <c r="A827" s="14" t="inlineStr">
        <is>
          <t>10.15.2</t>
        </is>
      </c>
      <c r="B827" t="inlineStr">
        <is>
          <t>Providing and fixing M.S. Tubular frames for doors, windows, ventilators and cupboard with rectangular/ L-T...</t>
        </is>
      </c>
      <c r="C827" t="inlineStr">
        <is>
          <t>kg</t>
        </is>
      </c>
      <c r="D827" s="15" t="n">
        <v>125.5</v>
      </c>
      <c r="E827" t="inlineStr">
        <is>
          <t>10_Steel_Work</t>
        </is>
      </c>
      <c r="F827" t="n">
        <v>699</v>
      </c>
    </row>
    <row r="828">
      <c r="A828" s="14" t="inlineStr">
        <is>
          <t>10.16.1</t>
        </is>
      </c>
      <c r="B828" t="inlineStr">
        <is>
          <t>Steel work in built up tubular (round, square or rectangular hollow tubes etc.) trusses etc., including cut...</t>
        </is>
      </c>
      <c r="C828" t="inlineStr">
        <is>
          <t>kg</t>
        </is>
      </c>
      <c r="D828" s="15" t="n">
        <v>143.45</v>
      </c>
      <c r="E828" t="inlineStr">
        <is>
          <t>10_Steel_Work</t>
        </is>
      </c>
      <c r="F828" t="n">
        <v>700</v>
      </c>
    </row>
    <row r="829">
      <c r="A829" s="14" t="inlineStr">
        <is>
          <t>10.16.2</t>
        </is>
      </c>
      <c r="B829" t="inlineStr">
        <is>
          <t>Steel work in built up tubular (round, square or rectangular hollow tubes etc.) trusses etc., including cut...</t>
        </is>
      </c>
      <c r="C829" t="inlineStr">
        <is>
          <t>kg</t>
        </is>
      </c>
      <c r="D829" s="15" t="n">
        <v>157.5</v>
      </c>
      <c r="E829" t="inlineStr">
        <is>
          <t>10_Steel_Work</t>
        </is>
      </c>
      <c r="F829" t="n">
        <v>701</v>
      </c>
    </row>
    <row r="830">
      <c r="A830" s="14" t="inlineStr">
        <is>
          <t>10.16.3</t>
        </is>
      </c>
      <c r="B830" t="inlineStr">
        <is>
          <t>Steel work in built up tubular (round, square or rectangular hollow tubes etc.) trusses etc., including cut...</t>
        </is>
      </c>
      <c r="C830" t="inlineStr">
        <is>
          <t>kg</t>
        </is>
      </c>
      <c r="D830" s="15" t="n">
        <v>129.35</v>
      </c>
      <c r="E830" t="inlineStr">
        <is>
          <t>10_Steel_Work</t>
        </is>
      </c>
      <c r="F830" t="n">
        <v>702</v>
      </c>
    </row>
    <row r="831">
      <c r="A831" s="14" t="inlineStr">
        <is>
          <t>10.17</t>
        </is>
      </c>
      <c r="B831" t="inlineStr">
        <is>
          <t>Providing and fixing M.S. fan clamp type I or II of 16 mm dia M.S. bar, bent to shape with hooked ends in R...</t>
        </is>
      </c>
      <c r="C831" t="inlineStr">
        <is>
          <t>clamp</t>
        </is>
      </c>
      <c r="D831" s="15" t="n">
        <v>171.15</v>
      </c>
      <c r="E831" t="inlineStr">
        <is>
          <t>10_Steel_Work</t>
        </is>
      </c>
      <c r="F831" t="n">
        <v>704</v>
      </c>
    </row>
    <row r="832">
      <c r="A832" s="14" t="inlineStr">
        <is>
          <t>10.18</t>
        </is>
      </c>
      <c r="B832" t="inlineStr">
        <is>
          <t>Providing and fixing circular/ Hexagonal cast iron or M.S. sheet box for ceiling fan clamp, of internal dia...</t>
        </is>
      </c>
      <c r="C832" t="inlineStr">
        <is>
          <t>box</t>
        </is>
      </c>
      <c r="D832" s="15" t="n">
        <v>172.25</v>
      </c>
      <c r="E832" t="inlineStr">
        <is>
          <t>10_Steel_Work</t>
        </is>
      </c>
      <c r="F832" t="n">
        <v>704</v>
      </c>
    </row>
    <row r="833">
      <c r="A833" s="14" t="inlineStr">
        <is>
          <t>10.19</t>
        </is>
      </c>
      <c r="B833" t="inlineStr">
        <is>
          <t>Providing and fixing mild steel round holding down bolts with nuts and washer plates complete</t>
        </is>
      </c>
      <c r="C833" t="inlineStr">
        <is>
          <t>q</t>
        </is>
      </c>
      <c r="D833" s="15" t="n">
        <v>83.84999999999999</v>
      </c>
      <c r="E833" t="inlineStr">
        <is>
          <t>10_Steel_Work</t>
        </is>
      </c>
      <c r="F833" t="n">
        <v>705</v>
      </c>
    </row>
    <row r="834">
      <c r="A834" s="14" t="inlineStr">
        <is>
          <t>10.20</t>
        </is>
      </c>
      <c r="B834" t="inlineStr">
        <is>
          <t>Providing and fixing bolts including nuts and washers complete</t>
        </is>
      </c>
      <c r="C834" t="inlineStr">
        <is>
          <t>q</t>
        </is>
      </c>
      <c r="D834" s="15" t="n">
        <v>128.45</v>
      </c>
      <c r="E834" t="inlineStr">
        <is>
          <t>10_Steel_Work</t>
        </is>
      </c>
      <c r="F834" t="n">
        <v>705</v>
      </c>
    </row>
    <row r="835">
      <c r="A835" s="14" t="inlineStr">
        <is>
          <t>10.21</t>
        </is>
      </c>
      <c r="B835" t="inlineStr">
        <is>
          <t>Providing and fixing M.S. rivets of sizes in position</t>
        </is>
      </c>
      <c r="C835" t="inlineStr">
        <is>
          <t>q</t>
        </is>
      </c>
      <c r="D835" s="15" t="n">
        <v>220.4</v>
      </c>
      <c r="E835" t="inlineStr">
        <is>
          <t>10_Steel_Work</t>
        </is>
      </c>
      <c r="F835" t="n">
        <v>706</v>
      </c>
    </row>
    <row r="836">
      <c r="A836" s="14" t="inlineStr">
        <is>
          <t>10.22</t>
        </is>
      </c>
      <c r="B836" t="inlineStr">
        <is>
          <t>Welding by gas or electric plant including transportation of plant at site etc. complete</t>
        </is>
      </c>
      <c r="C836" t="inlineStr">
        <is>
          <t>nos</t>
        </is>
      </c>
      <c r="D836" s="15" t="n">
        <v>3.35</v>
      </c>
      <c r="E836" t="inlineStr">
        <is>
          <t>10_Steel_Work</t>
        </is>
      </c>
      <c r="F836" t="n">
        <v>706</v>
      </c>
    </row>
    <row r="837">
      <c r="A837" s="14" t="inlineStr">
        <is>
          <t>10.25.1</t>
        </is>
      </c>
      <c r="B837" t="inlineStr">
        <is>
          <t>Steel work welded in built up sections/ framed work, including cutting, hoisting, fixing in position and ap...</t>
        </is>
      </c>
      <c r="C837" t="inlineStr">
        <is>
          <t>quintal</t>
        </is>
      </c>
      <c r="D837" s="15" t="n">
        <v>93.65000000000001</v>
      </c>
      <c r="E837" t="inlineStr">
        <is>
          <t>10_Steel_Work</t>
        </is>
      </c>
      <c r="F837" t="n">
        <v>707</v>
      </c>
    </row>
    <row r="838">
      <c r="A838" s="14" t="inlineStr">
        <is>
          <t>10.25.2</t>
        </is>
      </c>
      <c r="B838" t="inlineStr">
        <is>
          <t>Steel work welded in built up sections/ framed work, including cutting, hoisting, fixing in position and ap...</t>
        </is>
      </c>
      <c r="C838" t="inlineStr">
        <is>
          <t>quintal</t>
        </is>
      </c>
      <c r="D838" s="15" t="n">
        <v>131</v>
      </c>
      <c r="E838" t="inlineStr">
        <is>
          <t>10_Steel_Work</t>
        </is>
      </c>
      <c r="F838" t="n">
        <v>708</v>
      </c>
    </row>
    <row r="839">
      <c r="A839" s="14" t="inlineStr">
        <is>
          <t>10.26.1</t>
        </is>
      </c>
      <c r="B839" t="inlineStr">
        <is>
          <t>Providing and fixing hand rail of approved size by welding etc. to steel ladder railing, balcony railing, s...</t>
        </is>
      </c>
      <c r="C839" t="inlineStr">
        <is>
          <t>kg</t>
        </is>
      </c>
      <c r="D839" s="15" t="n">
        <v>145.65</v>
      </c>
      <c r="E839" t="inlineStr">
        <is>
          <t>10_Steel_Work</t>
        </is>
      </c>
      <c r="F839" t="n">
        <v>709</v>
      </c>
    </row>
    <row r="840">
      <c r="A840" s="14" t="inlineStr">
        <is>
          <t>10.26.2</t>
        </is>
      </c>
      <c r="B840" t="inlineStr">
        <is>
          <t>Providing and fixing hand rail of approved size by welding etc. to steel ladder railing, balcony railing, s...</t>
        </is>
      </c>
      <c r="C840" t="inlineStr">
        <is>
          <t>kg</t>
        </is>
      </c>
      <c r="D840" s="15" t="n">
        <v>138.15</v>
      </c>
      <c r="E840" t="inlineStr">
        <is>
          <t>10_Steel_Work</t>
        </is>
      </c>
      <c r="F840" t="n">
        <v>710</v>
      </c>
    </row>
    <row r="841">
      <c r="A841" s="14" t="inlineStr">
        <is>
          <t>10.26.3</t>
        </is>
      </c>
      <c r="B841" t="inlineStr">
        <is>
          <t>Providing and fixing hand rail of approved size by welding etc. to steel ladder railing, balcony railing, s...</t>
        </is>
      </c>
      <c r="C841" t="inlineStr">
        <is>
          <t>kg</t>
        </is>
      </c>
      <c r="D841" s="15" t="n">
        <v>158</v>
      </c>
      <c r="E841" t="inlineStr">
        <is>
          <t>10_Steel_Work</t>
        </is>
      </c>
      <c r="F841" t="n">
        <v>711</v>
      </c>
    </row>
    <row r="842">
      <c r="A842" s="14" t="inlineStr">
        <is>
          <t>10.27.1</t>
        </is>
      </c>
      <c r="B842" t="inlineStr">
        <is>
          <t>Providing and fixing carbon steel galvanised ( minimum coating 5 micron) dash fastener of 10 mm dia double...</t>
        </is>
      </c>
      <c r="C842" t="inlineStr">
        <is>
          <t>nos</t>
        </is>
      </c>
      <c r="D842" s="15" t="n">
        <v>103.65</v>
      </c>
      <c r="E842" t="inlineStr">
        <is>
          <t>10_Steel_Work</t>
        </is>
      </c>
      <c r="F842" t="n">
        <v>712</v>
      </c>
    </row>
    <row r="843">
      <c r="A843" s="14" t="inlineStr">
        <is>
          <t>10.27.2</t>
        </is>
      </c>
      <c r="B843" t="inlineStr">
        <is>
          <t>Providing and fixing carbon steel galvanised ( minimum coating 5 micron) dash fastener of 10 mm dia double...</t>
        </is>
      </c>
      <c r="C843" t="inlineStr">
        <is>
          <t>nos</t>
        </is>
      </c>
      <c r="D843" s="15" t="n">
        <v>109</v>
      </c>
      <c r="E843" t="inlineStr">
        <is>
          <t>10_Steel_Work</t>
        </is>
      </c>
      <c r="F843" t="n">
        <v>712</v>
      </c>
    </row>
    <row r="844">
      <c r="A844" s="14" t="inlineStr">
        <is>
          <t>10.27.3</t>
        </is>
      </c>
      <c r="B844" t="inlineStr">
        <is>
          <t>Providing and fixing carbon steel galvanised ( minimum coating 5 micron) dash fastener of 10 mm dia double...</t>
        </is>
      </c>
      <c r="C844" t="inlineStr">
        <is>
          <t>nos</t>
        </is>
      </c>
      <c r="D844" s="15" t="n">
        <v>134.25</v>
      </c>
      <c r="E844" t="inlineStr">
        <is>
          <t>10_Steel_Work</t>
        </is>
      </c>
      <c r="F844" t="n">
        <v>713</v>
      </c>
    </row>
    <row r="845">
      <c r="A845" s="14" t="inlineStr">
        <is>
          <t>10.27.4</t>
        </is>
      </c>
      <c r="B845" t="inlineStr">
        <is>
          <t>Providing and fixing carbon steel galvanised ( minimum coating 5 micron) dash fastener of 10 mm dia double...</t>
        </is>
      </c>
      <c r="C845" t="inlineStr">
        <is>
          <t>nos</t>
        </is>
      </c>
      <c r="D845" s="15" t="n">
        <v>145.65</v>
      </c>
      <c r="E845" t="inlineStr">
        <is>
          <t>10_Steel_Work</t>
        </is>
      </c>
      <c r="F845" t="n">
        <v>713</v>
      </c>
    </row>
    <row r="846">
      <c r="A846" s="14" t="inlineStr">
        <is>
          <t>10.27.5</t>
        </is>
      </c>
      <c r="B846" t="inlineStr">
        <is>
          <t>Providing and fixing carbon steel galvanised ( minimum coating 5 micron) dash fastener of 10 mm dia double...</t>
        </is>
      </c>
      <c r="C846" t="inlineStr">
        <is>
          <t>nos</t>
        </is>
      </c>
      <c r="D846" s="15" t="n">
        <v>178.9</v>
      </c>
      <c r="E846" t="inlineStr">
        <is>
          <t>10_Steel_Work</t>
        </is>
      </c>
      <c r="F846" t="n">
        <v>714</v>
      </c>
    </row>
    <row r="847">
      <c r="A847" s="14" t="inlineStr">
        <is>
          <t>10.28</t>
        </is>
      </c>
      <c r="B847" t="inlineStr">
        <is>
          <t>Providing and fixing stainless steel ( Grade 304) railing made of Hollow tubes, channels, plates etc., incl...</t>
        </is>
      </c>
      <c r="C847" t="inlineStr">
        <is>
          <t>kg</t>
        </is>
      </c>
      <c r="D847" s="15" t="n">
        <v>575.45</v>
      </c>
      <c r="E847" t="inlineStr">
        <is>
          <t>10_Steel_Work</t>
        </is>
      </c>
      <c r="F847" t="n">
        <v>715</v>
      </c>
    </row>
    <row r="848">
      <c r="A848" s="14" t="inlineStr">
        <is>
          <t>10.29.1</t>
        </is>
      </c>
      <c r="B848" t="inlineStr">
        <is>
          <t>Providing &amp; fixing fly proof wire gauze to windows, clerestory windows &amp; doors with M.S. Flat 15x3 mm and n...</t>
        </is>
      </c>
      <c r="C848" t="inlineStr">
        <is>
          <t>sqm</t>
        </is>
      </c>
      <c r="D848" s="15" t="n">
        <v>709.3</v>
      </c>
      <c r="E848" t="inlineStr">
        <is>
          <t>10_Steel_Work</t>
        </is>
      </c>
      <c r="F848" t="n">
        <v>715</v>
      </c>
    </row>
    <row r="849">
      <c r="A849" s="14" t="inlineStr">
        <is>
          <t>10.29.2</t>
        </is>
      </c>
      <c r="B849" t="inlineStr">
        <is>
          <t>Providing &amp; fixing fly proof wire gauze to windows, clerestory windows &amp; doors with M.S. Flat 15x3 mm and n...</t>
        </is>
      </c>
      <c r="C849" t="inlineStr">
        <is>
          <t>sqm</t>
        </is>
      </c>
      <c r="D849" s="15" t="n">
        <v>929.55</v>
      </c>
      <c r="E849" t="inlineStr">
        <is>
          <t>10_Steel_Work</t>
        </is>
      </c>
      <c r="F849" t="n">
        <v>716</v>
      </c>
    </row>
    <row r="850">
      <c r="A850" s="14" t="inlineStr">
        <is>
          <t>10.30.1</t>
        </is>
      </c>
      <c r="B850" t="inlineStr">
        <is>
          <t>Providing &amp; fixing glass panes with putty and glazing clips in steel doors, windows, clerestory windows, al...</t>
        </is>
      </c>
      <c r="C850" t="inlineStr">
        <is>
          <t>sqm</t>
        </is>
      </c>
      <c r="D850" s="15" t="n">
        <v>900.55</v>
      </c>
      <c r="E850" t="inlineStr">
        <is>
          <t>10_Steel_Work</t>
        </is>
      </c>
      <c r="F850" t="n">
        <v>717</v>
      </c>
    </row>
    <row r="851">
      <c r="A851" s="14" t="inlineStr">
        <is>
          <t>10.30.2</t>
        </is>
      </c>
      <c r="B851" t="inlineStr">
        <is>
          <t>Providing &amp; fixing glass panes with putty and glazing clips in steel doors, windows, clerestory windows, al...</t>
        </is>
      </c>
      <c r="C851" t="inlineStr">
        <is>
          <t>sqm</t>
        </is>
      </c>
      <c r="D851" s="15" t="n">
        <v>1194.85</v>
      </c>
      <c r="E851" t="inlineStr">
        <is>
          <t>10_Steel_Work</t>
        </is>
      </c>
      <c r="F851" t="n">
        <v>718</v>
      </c>
    </row>
    <row r="852">
      <c r="A852" s="14" t="inlineStr">
        <is>
          <t>10.31</t>
        </is>
      </c>
      <c r="B852" t="inlineStr">
        <is>
          <t>Providing and fixing angle iron frames for doors, windows and ventilators of mild steel Angle sections of s...</t>
        </is>
      </c>
      <c r="C852" t="inlineStr">
        <is>
          <t>kg</t>
        </is>
      </c>
      <c r="D852" s="15" t="n">
        <v>96.2</v>
      </c>
      <c r="E852" t="inlineStr">
        <is>
          <t>10_Steel_Work</t>
        </is>
      </c>
      <c r="F852" t="n">
        <v>718</v>
      </c>
    </row>
    <row r="853">
      <c r="A853" s="14" t="inlineStr">
        <is>
          <t>11.1.1</t>
        </is>
      </c>
      <c r="B853" t="inlineStr">
        <is>
          <t>Brick on edge flooring with bricks of class designation 7.5 on a bed of 12 mm cement mortar, including fill...</t>
        </is>
      </c>
      <c r="C853" t="inlineStr">
        <is>
          <t>sqm</t>
        </is>
      </c>
      <c r="D853" s="15" t="n">
        <v>867.45</v>
      </c>
      <c r="E853" t="inlineStr">
        <is>
          <t>11_Flooring</t>
        </is>
      </c>
      <c r="F853" t="n">
        <v>722</v>
      </c>
    </row>
    <row r="854">
      <c r="A854" s="14" t="inlineStr">
        <is>
          <t>11.1.2</t>
        </is>
      </c>
      <c r="B854" t="inlineStr">
        <is>
          <t>Brick on edge flooring with bricks of class designation 7.5 on a bed of 12 mm cement mortar, including fill...</t>
        </is>
      </c>
      <c r="C854" t="inlineStr">
        <is>
          <t>sqm</t>
        </is>
      </c>
      <c r="D854" s="15" t="n">
        <v>829.45</v>
      </c>
      <c r="E854" t="inlineStr">
        <is>
          <t>11_Flooring</t>
        </is>
      </c>
      <c r="F854" t="n">
        <v>722</v>
      </c>
    </row>
    <row r="855">
      <c r="A855" s="14" t="inlineStr">
        <is>
          <t>11.2</t>
        </is>
      </c>
      <c r="B855" t="inlineStr">
        <is>
          <t>Dry brick on edge flooring in required pattern with bricks of class designation</t>
        </is>
      </c>
      <c r="C855" t="inlineStr">
        <is>
          <t>sqm</t>
        </is>
      </c>
      <c r="D855" s="15" t="n">
        <v>680.85</v>
      </c>
      <c r="E855" t="inlineStr">
        <is>
          <t>11_Flooring</t>
        </is>
      </c>
      <c r="F855" t="n">
        <v>723</v>
      </c>
    </row>
    <row r="856">
      <c r="A856" s="14" t="inlineStr">
        <is>
          <t>11.3.1</t>
        </is>
      </c>
      <c r="B856" t="inlineStr">
        <is>
          <t>Cement concrete flooring 1:2:4 (1 cement : 2 coarse sand : 4 graded stone aggregate) finished with a floati...</t>
        </is>
      </c>
      <c r="C856" t="inlineStr">
        <is>
          <t>sqm</t>
        </is>
      </c>
      <c r="D856" s="15" t="n">
        <v>498.35</v>
      </c>
      <c r="E856" t="inlineStr">
        <is>
          <t>11_Flooring</t>
        </is>
      </c>
      <c r="F856" t="n">
        <v>724</v>
      </c>
    </row>
    <row r="857">
      <c r="A857" s="14" t="inlineStr">
        <is>
          <t>11.4</t>
        </is>
      </c>
      <c r="B857" t="inlineStr">
        <is>
          <t>52 mm thick cement concrete flooring with concrete hardener topping, under layer 40 mm thick cement concret...</t>
        </is>
      </c>
      <c r="C857" t="inlineStr">
        <is>
          <t>sqm</t>
        </is>
      </c>
      <c r="D857" s="15" t="n">
        <v>787.5</v>
      </c>
      <c r="E857" t="inlineStr">
        <is>
          <t>11_Flooring</t>
        </is>
      </c>
      <c r="F857" t="n">
        <v>724</v>
      </c>
    </row>
    <row r="858">
      <c r="A858" s="14" t="inlineStr">
        <is>
          <t>11.5</t>
        </is>
      </c>
      <c r="B858" t="inlineStr">
        <is>
          <t>62 mm thick cement concrete flooring with concrete hardener topping, under layer 50 mm thick cement concret...</t>
        </is>
      </c>
      <c r="C858" t="inlineStr">
        <is>
          <t>sqm</t>
        </is>
      </c>
      <c r="D858" s="15" t="n">
        <v>854.3</v>
      </c>
      <c r="E858" t="inlineStr">
        <is>
          <t>11_Flooring</t>
        </is>
      </c>
      <c r="F858" t="n">
        <v>725</v>
      </c>
    </row>
    <row r="859">
      <c r="A859" s="14" t="inlineStr">
        <is>
          <t>11.6.1</t>
        </is>
      </c>
      <c r="B859" t="inlineStr">
        <is>
          <t>Cement plaster skirting up to 30 cm height, with cement mortar 1:3 (1 cement : 3 coarse sand), finished wit...</t>
        </is>
      </c>
      <c r="C859" t="inlineStr">
        <is>
          <t>sqm</t>
        </is>
      </c>
      <c r="D859" s="15" t="n">
        <v>521.15</v>
      </c>
      <c r="E859" t="inlineStr">
        <is>
          <t>11_Flooring</t>
        </is>
      </c>
      <c r="F859" t="n">
        <v>726</v>
      </c>
    </row>
    <row r="860">
      <c r="A860" s="14" t="inlineStr">
        <is>
          <t>11.7</t>
        </is>
      </c>
      <c r="B860" t="inlineStr">
        <is>
          <t>Cement concrete pavement with 1:2:4 (1 cement : 2 coarse sand : 4 graded stone aggregate 20 mm nominal size...</t>
        </is>
      </c>
      <c r="C860" t="inlineStr">
        <is>
          <t>cum</t>
        </is>
      </c>
      <c r="D860" s="15" t="n">
        <v>7335.1</v>
      </c>
      <c r="E860" t="inlineStr">
        <is>
          <t>11_Flooring</t>
        </is>
      </c>
      <c r="F860" t="n">
        <v>727</v>
      </c>
    </row>
    <row r="861">
      <c r="A861" s="14" t="inlineStr">
        <is>
          <t>11.8</t>
        </is>
      </c>
      <c r="B861" t="inlineStr">
        <is>
          <t>Extra for making chequers of approved pattern on cement concrete floors, steps, landing, pavements etc</t>
        </is>
      </c>
      <c r="C861" t="inlineStr">
        <is>
          <t>sqm</t>
        </is>
      </c>
      <c r="D861" s="15" t="n">
        <v>63.2</v>
      </c>
      <c r="E861" t="inlineStr">
        <is>
          <t>11_Flooring</t>
        </is>
      </c>
      <c r="F861" t="n">
        <v>727</v>
      </c>
    </row>
    <row r="862">
      <c r="A862" s="14" t="inlineStr">
        <is>
          <t>11.9.1</t>
        </is>
      </c>
      <c r="B862" t="inlineStr">
        <is>
          <t>40 mm thick marble chips flooring rubbed and polished to granolithic finish, under layer 34 mm thick cement...</t>
        </is>
      </c>
      <c r="C862" t="inlineStr">
        <is>
          <t>sqm</t>
        </is>
      </c>
      <c r="D862" s="15" t="n">
        <v>847</v>
      </c>
      <c r="E862" t="inlineStr">
        <is>
          <t>11_Flooring</t>
        </is>
      </c>
      <c r="F862" t="n">
        <v>728</v>
      </c>
    </row>
    <row r="863">
      <c r="A863" s="14" t="inlineStr">
        <is>
          <t>11.9.2</t>
        </is>
      </c>
      <c r="B863" t="inlineStr">
        <is>
          <t>40 mm thick marble chips flooring rubbed and polished to granolithic finish, under layer 34 mm thick cement...</t>
        </is>
      </c>
      <c r="C863" t="inlineStr">
        <is>
          <t>sqm</t>
        </is>
      </c>
      <c r="D863" s="15" t="n">
        <v>877.1</v>
      </c>
      <c r="E863" t="inlineStr">
        <is>
          <t>11_Flooring</t>
        </is>
      </c>
      <c r="F863" t="n">
        <v>729</v>
      </c>
    </row>
    <row r="864">
      <c r="A864" s="14" t="inlineStr">
        <is>
          <t>11.9.3</t>
        </is>
      </c>
      <c r="B864" t="inlineStr">
        <is>
          <t>40 mm thick marble chips flooring rubbed and polished to granolithic finish, under layer 34 mm thick cement...</t>
        </is>
      </c>
      <c r="C864" t="inlineStr">
        <is>
          <t>sqm</t>
        </is>
      </c>
      <c r="D864" s="15" t="n">
        <v>858.7</v>
      </c>
      <c r="E864" t="inlineStr">
        <is>
          <t>11_Flooring</t>
        </is>
      </c>
      <c r="F864" t="n">
        <v>730</v>
      </c>
    </row>
    <row r="865">
      <c r="A865" s="14" t="inlineStr">
        <is>
          <t>11.9.4</t>
        </is>
      </c>
      <c r="B865" t="inlineStr">
        <is>
          <t>40 mm thick marble chips flooring rubbed and polished to granolithic finish, under layer 34 mm thick cement...</t>
        </is>
      </c>
      <c r="C865" t="inlineStr">
        <is>
          <t>sqm</t>
        </is>
      </c>
      <c r="D865" s="15" t="n">
        <v>855.6</v>
      </c>
      <c r="E865" t="inlineStr">
        <is>
          <t>11_Flooring</t>
        </is>
      </c>
      <c r="F865" t="n">
        <v>730</v>
      </c>
    </row>
    <row r="866">
      <c r="A866" s="14" t="inlineStr">
        <is>
          <t>11.9.5</t>
        </is>
      </c>
      <c r="B866" t="inlineStr">
        <is>
          <t>40 mm thick marble chips flooring rubbed and polished to granolithic finish, under layer 34 mm thick cement...</t>
        </is>
      </c>
      <c r="C866" t="inlineStr">
        <is>
          <t>sqm</t>
        </is>
      </c>
      <c r="D866" s="15" t="n">
        <v>843.2</v>
      </c>
      <c r="E866" t="inlineStr">
        <is>
          <t>11_Flooring</t>
        </is>
      </c>
      <c r="F866" t="n">
        <v>731</v>
      </c>
    </row>
    <row r="867">
      <c r="A867" s="14" t="inlineStr">
        <is>
          <t>11.9.6</t>
        </is>
      </c>
      <c r="B867" t="inlineStr">
        <is>
          <t>40 mm thick marble chips flooring rubbed and polished to granolithic finish, under layer 34 mm thick cement...</t>
        </is>
      </c>
      <c r="C867" t="inlineStr">
        <is>
          <t>sqm</t>
        </is>
      </c>
      <c r="D867" s="15" t="n">
        <v>818.45</v>
      </c>
      <c r="E867" t="inlineStr">
        <is>
          <t>11_Flooring</t>
        </is>
      </c>
      <c r="F867" t="n">
        <v>732</v>
      </c>
    </row>
    <row r="868">
      <c r="A868" s="14" t="inlineStr">
        <is>
          <t>11.10.1</t>
        </is>
      </c>
      <c r="B868" t="inlineStr">
        <is>
          <t>40 mm thick marble chips flooring, rubbed and polished to granolithic finish, under layer 31 mm thick cemen...</t>
        </is>
      </c>
      <c r="C868" t="inlineStr">
        <is>
          <t>sqm</t>
        </is>
      </c>
      <c r="D868" s="15" t="n">
        <v>876.9</v>
      </c>
      <c r="E868" t="inlineStr">
        <is>
          <t>11_Flooring</t>
        </is>
      </c>
      <c r="F868" t="n">
        <v>732</v>
      </c>
    </row>
    <row r="869">
      <c r="A869" s="14" t="inlineStr">
        <is>
          <t>11.10.2</t>
        </is>
      </c>
      <c r="B869" t="inlineStr">
        <is>
          <t>40 mm thick marble chips flooring, rubbed and polished to granolithic finish, under layer 31 mm thick cemen...</t>
        </is>
      </c>
      <c r="C869" t="inlineStr">
        <is>
          <t>sqm</t>
        </is>
      </c>
      <c r="D869" s="15" t="n">
        <v>919.9</v>
      </c>
      <c r="E869" t="inlineStr">
        <is>
          <t>11_Flooring</t>
        </is>
      </c>
      <c r="F869" t="n">
        <v>733</v>
      </c>
    </row>
    <row r="870">
      <c r="A870" s="14" t="inlineStr">
        <is>
          <t>11.10.3</t>
        </is>
      </c>
      <c r="B870" t="inlineStr">
        <is>
          <t>40 mm thick marble chips flooring, rubbed and polished to granolithic finish, under layer 31 mm thick cemen...</t>
        </is>
      </c>
      <c r="C870" t="inlineStr">
        <is>
          <t>sqm</t>
        </is>
      </c>
      <c r="D870" s="15" t="n">
        <v>893.5</v>
      </c>
      <c r="E870" t="inlineStr">
        <is>
          <t>11_Flooring</t>
        </is>
      </c>
      <c r="F870" t="n">
        <v>734</v>
      </c>
    </row>
    <row r="871">
      <c r="A871" s="14" t="inlineStr">
        <is>
          <t>11.10.4</t>
        </is>
      </c>
      <c r="B871" t="inlineStr">
        <is>
          <t>40 mm thick marble chips flooring, rubbed and polished to granolithic finish, under layer 31 mm thick cemen...</t>
        </is>
      </c>
      <c r="C871" t="inlineStr">
        <is>
          <t>sqm</t>
        </is>
      </c>
      <c r="D871" s="15" t="n">
        <v>893.1</v>
      </c>
      <c r="E871" t="inlineStr">
        <is>
          <t>11_Flooring</t>
        </is>
      </c>
      <c r="F871" t="n">
        <v>735</v>
      </c>
    </row>
    <row r="872">
      <c r="A872" s="14" t="inlineStr">
        <is>
          <t>11.10.5</t>
        </is>
      </c>
      <c r="B872" t="inlineStr">
        <is>
          <t>40 mm thick marble chips flooring, rubbed and polished to granolithic finish, under layer 31 mm thick cemen...</t>
        </is>
      </c>
      <c r="C872" t="inlineStr">
        <is>
          <t>sqm</t>
        </is>
      </c>
      <c r="D872" s="15" t="n">
        <v>873.1</v>
      </c>
      <c r="E872" t="inlineStr">
        <is>
          <t>11_Flooring</t>
        </is>
      </c>
      <c r="F872" t="n">
        <v>735</v>
      </c>
    </row>
    <row r="873">
      <c r="A873" s="14" t="inlineStr">
        <is>
          <t>11.10.6</t>
        </is>
      </c>
      <c r="B873" t="inlineStr">
        <is>
          <t>40 mm thick marble chips flooring, rubbed and polished to granolithic finish, under layer 31 mm thick cemen...</t>
        </is>
      </c>
      <c r="C873" t="inlineStr">
        <is>
          <t>sqm</t>
        </is>
      </c>
      <c r="D873" s="15" t="n">
        <v>837.5</v>
      </c>
      <c r="E873" t="inlineStr">
        <is>
          <t>11_Flooring</t>
        </is>
      </c>
      <c r="F873" t="n">
        <v>736</v>
      </c>
    </row>
    <row r="874">
      <c r="A874" s="14" t="inlineStr">
        <is>
          <t>11.11.1</t>
        </is>
      </c>
      <c r="B874" t="inlineStr">
        <is>
          <t>40 mm thick marble chips flooring, rubbed and polished to granolithic finish, under layer 28 mm thick cemen...</t>
        </is>
      </c>
      <c r="C874" t="inlineStr">
        <is>
          <t>sqm</t>
        </is>
      </c>
      <c r="D874" s="15" t="n">
        <v>909.85</v>
      </c>
      <c r="E874" t="inlineStr">
        <is>
          <t>11_Flooring</t>
        </is>
      </c>
      <c r="F874" t="n">
        <v>737</v>
      </c>
    </row>
    <row r="875">
      <c r="A875" s="14" t="inlineStr">
        <is>
          <t>11.11.2</t>
        </is>
      </c>
      <c r="B875" t="inlineStr">
        <is>
          <t>40 mm thick marble chips flooring, rubbed and polished to granolithic finish, under layer 28 mm thick cemen...</t>
        </is>
      </c>
      <c r="C875" t="inlineStr">
        <is>
          <t>sqm</t>
        </is>
      </c>
      <c r="D875" s="15" t="n">
        <v>970.1</v>
      </c>
      <c r="E875" t="inlineStr">
        <is>
          <t>11_Flooring</t>
        </is>
      </c>
      <c r="F875" t="n">
        <v>738</v>
      </c>
    </row>
    <row r="876">
      <c r="A876" s="14" t="inlineStr">
        <is>
          <t>11.11.3</t>
        </is>
      </c>
      <c r="B876" t="inlineStr">
        <is>
          <t>40 mm thick marble chips flooring, rubbed and polished to granolithic finish, under layer 28 mm thick cemen...</t>
        </is>
      </c>
      <c r="C876" t="inlineStr">
        <is>
          <t>sqm</t>
        </is>
      </c>
      <c r="D876" s="15" t="n">
        <v>933.15</v>
      </c>
      <c r="E876" t="inlineStr">
        <is>
          <t>11_Flooring</t>
        </is>
      </c>
      <c r="F876" t="n">
        <v>739</v>
      </c>
    </row>
    <row r="877">
      <c r="A877" s="14" t="inlineStr">
        <is>
          <t>11.11.4</t>
        </is>
      </c>
      <c r="B877" t="inlineStr">
        <is>
          <t>40 mm thick marble chips flooring, rubbed and polished to granolithic finish, under layer 28 mm thick cemen...</t>
        </is>
      </c>
      <c r="C877" t="inlineStr">
        <is>
          <t>sqm</t>
        </is>
      </c>
      <c r="D877" s="15" t="n">
        <v>923.4</v>
      </c>
      <c r="E877" t="inlineStr">
        <is>
          <t>11_Flooring</t>
        </is>
      </c>
      <c r="F877" t="n">
        <v>740</v>
      </c>
    </row>
    <row r="878">
      <c r="A878" s="14" t="inlineStr">
        <is>
          <t>11.11.5</t>
        </is>
      </c>
      <c r="B878" t="inlineStr">
        <is>
          <t>40 mm thick marble chips flooring, rubbed and polished to granolithic finish, under layer 28 mm thick cemen...</t>
        </is>
      </c>
      <c r="C878" t="inlineStr">
        <is>
          <t>sqm</t>
        </is>
      </c>
      <c r="D878" s="15" t="n">
        <v>902.25</v>
      </c>
      <c r="E878" t="inlineStr">
        <is>
          <t>11_Flooring</t>
        </is>
      </c>
      <c r="F878" t="n">
        <v>741</v>
      </c>
    </row>
    <row r="879">
      <c r="A879" s="14" t="inlineStr">
        <is>
          <t>11.11.6</t>
        </is>
      </c>
      <c r="B879" t="inlineStr">
        <is>
          <t>40 mm thick marble chips flooring, rubbed and polished to granolithic finish, under layer 28 mm thick cemen...</t>
        </is>
      </c>
      <c r="C879" t="inlineStr">
        <is>
          <t>sqm</t>
        </is>
      </c>
      <c r="D879" s="15" t="n">
        <v>855.55</v>
      </c>
      <c r="E879" t="inlineStr">
        <is>
          <t>11_Flooring</t>
        </is>
      </c>
      <c r="F879" t="n">
        <v>741</v>
      </c>
    </row>
    <row r="880">
      <c r="A880" s="14" t="inlineStr">
        <is>
          <t>11.12.1.1</t>
        </is>
      </c>
      <c r="B880" t="inlineStr">
        <is>
          <t>Marble chips skirting up to 30 cm height, rubbed and polished to granolithic finish, top layer 6 mm thick w...</t>
        </is>
      </c>
      <c r="C880" t="inlineStr">
        <is>
          <t>sqm</t>
        </is>
      </c>
      <c r="D880" s="15" t="n">
        <v>1398.2</v>
      </c>
      <c r="E880" t="inlineStr">
        <is>
          <t>11_Flooring</t>
        </is>
      </c>
      <c r="F880" t="n">
        <v>742</v>
      </c>
    </row>
    <row r="881">
      <c r="A881" s="14" t="inlineStr">
        <is>
          <t>11.12.1.2</t>
        </is>
      </c>
      <c r="B881" t="inlineStr">
        <is>
          <t>Marble chips skirting up to 30 cm height, rubbed and polished to granolithic finish, top layer 6 mm thick w...</t>
        </is>
      </c>
      <c r="C881" t="inlineStr">
        <is>
          <t>sqm</t>
        </is>
      </c>
      <c r="D881" s="15" t="n">
        <v>1428.3</v>
      </c>
      <c r="E881" t="inlineStr">
        <is>
          <t>11_Flooring</t>
        </is>
      </c>
      <c r="F881" t="n">
        <v>743</v>
      </c>
    </row>
    <row r="882">
      <c r="A882" s="14" t="inlineStr">
        <is>
          <t>11.12.1.3</t>
        </is>
      </c>
      <c r="B882" t="inlineStr">
        <is>
          <t>Marble chips skirting up to 30 cm height, rubbed and polished to granolithic finish, top layer 6 mm thick w...</t>
        </is>
      </c>
      <c r="C882" t="inlineStr">
        <is>
          <t>sqm</t>
        </is>
      </c>
      <c r="D882" s="15" t="n">
        <v>1409.9</v>
      </c>
      <c r="E882" t="inlineStr">
        <is>
          <t>11_Flooring</t>
        </is>
      </c>
      <c r="F882" t="n">
        <v>744</v>
      </c>
    </row>
    <row r="883">
      <c r="A883" s="14" t="inlineStr">
        <is>
          <t>11.12.1.4</t>
        </is>
      </c>
      <c r="B883" t="inlineStr">
        <is>
          <t>Marble chips skirting up to 30 cm height, rubbed and polished to granolithic finish, top layer 6 mm thick w...</t>
        </is>
      </c>
      <c r="C883" t="inlineStr">
        <is>
          <t>sqm</t>
        </is>
      </c>
      <c r="D883" s="15" t="n">
        <v>1406.8</v>
      </c>
      <c r="E883" t="inlineStr">
        <is>
          <t>11_Flooring</t>
        </is>
      </c>
      <c r="F883" t="n">
        <v>745</v>
      </c>
    </row>
    <row r="884">
      <c r="A884" s="14" t="inlineStr">
        <is>
          <t>11.12.1.5</t>
        </is>
      </c>
      <c r="B884" t="inlineStr">
        <is>
          <t>Marble chips skirting up to 30 cm height, rubbed and polished to granolithic finish, top layer 6 mm thick w...</t>
        </is>
      </c>
      <c r="C884" t="inlineStr">
        <is>
          <t>sqm</t>
        </is>
      </c>
      <c r="D884" s="15" t="n">
        <v>1394.4</v>
      </c>
      <c r="E884" t="inlineStr">
        <is>
          <t>11_Flooring</t>
        </is>
      </c>
      <c r="F884" t="n">
        <v>745</v>
      </c>
    </row>
    <row r="885">
      <c r="A885" s="14" t="inlineStr">
        <is>
          <t>11.12.1.6</t>
        </is>
      </c>
      <c r="B885" t="inlineStr">
        <is>
          <t>Marble chips skirting up to 30 cm height, rubbed and polished to granolithic finish, top layer 6 mm thick w...</t>
        </is>
      </c>
      <c r="C885" t="inlineStr">
        <is>
          <t>sqm</t>
        </is>
      </c>
      <c r="D885" s="15" t="n">
        <v>1370.7</v>
      </c>
      <c r="E885" t="inlineStr">
        <is>
          <t>11_Flooring</t>
        </is>
      </c>
      <c r="F885" t="n">
        <v>746</v>
      </c>
    </row>
    <row r="886">
      <c r="A886" s="14" t="inlineStr">
        <is>
          <t>11.13.1</t>
        </is>
      </c>
      <c r="B886" t="inlineStr">
        <is>
          <t>Providing and fixing glass strips in joints of terrazo/ cement concrete floors - 40 mm wide and 4 mm thick</t>
        </is>
      </c>
      <c r="C886" t="inlineStr">
        <is>
          <t>metre</t>
        </is>
      </c>
      <c r="D886" s="15" t="n">
        <v>75.15000000000001</v>
      </c>
      <c r="E886" t="inlineStr">
        <is>
          <t>11_Flooring</t>
        </is>
      </c>
      <c r="F886" t="n">
        <v>747</v>
      </c>
    </row>
    <row r="887">
      <c r="A887" s="14" t="inlineStr">
        <is>
          <t>11.14</t>
        </is>
      </c>
      <c r="B887" t="inlineStr">
        <is>
          <t>Extra for laying terrazo flooring on staircase treads not exceeding 30 cm in width, including cost of formi...</t>
        </is>
      </c>
      <c r="C887" t="inlineStr">
        <is>
          <t>sqm</t>
        </is>
      </c>
      <c r="D887" s="15" t="n">
        <v>72.05</v>
      </c>
      <c r="E887" t="inlineStr">
        <is>
          <t>11_Flooring</t>
        </is>
      </c>
      <c r="F887" t="n">
        <v>747</v>
      </c>
    </row>
    <row r="888">
      <c r="A888" s="14" t="inlineStr">
        <is>
          <t>11.15.1</t>
        </is>
      </c>
      <c r="B888" t="inlineStr">
        <is>
          <t>Crazy marble stone flooring, including filling the gaps with light shade pigment with white cement marble p...</t>
        </is>
      </c>
      <c r="C888" t="inlineStr">
        <is>
          <t>sqm</t>
        </is>
      </c>
      <c r="D888" s="15" t="n">
        <v>1329.25</v>
      </c>
      <c r="E888" t="inlineStr">
        <is>
          <t>11_Flooring</t>
        </is>
      </c>
      <c r="F888" t="n">
        <v>748</v>
      </c>
    </row>
    <row r="889">
      <c r="A889" s="14" t="inlineStr">
        <is>
          <t>11.16.1</t>
        </is>
      </c>
      <c r="B889" t="inlineStr">
        <is>
          <t>Precast terrazo tiles 22 mm thick with graded marble chips of size upto 12 mm, laid in floors, and landings...</t>
        </is>
      </c>
      <c r="C889" t="inlineStr">
        <is>
          <t>sqm</t>
        </is>
      </c>
      <c r="D889" s="15" t="n">
        <v>1238.6</v>
      </c>
      <c r="E889" t="inlineStr">
        <is>
          <t>11_Flooring</t>
        </is>
      </c>
      <c r="F889" t="n">
        <v>749</v>
      </c>
    </row>
    <row r="890">
      <c r="A890" s="14" t="inlineStr">
        <is>
          <t>11.16.2</t>
        </is>
      </c>
      <c r="B890" t="inlineStr">
        <is>
          <t>Precast terrazo tiles 22 mm thick with graded marble chips of size upto 12 mm, laid in floors, and landings...</t>
        </is>
      </c>
      <c r="C890" t="inlineStr">
        <is>
          <t>sqm</t>
        </is>
      </c>
      <c r="D890" s="15" t="n">
        <v>1189.1</v>
      </c>
      <c r="E890" t="inlineStr">
        <is>
          <t>11_Flooring</t>
        </is>
      </c>
      <c r="F890" t="n">
        <v>750</v>
      </c>
    </row>
    <row r="891">
      <c r="A891" s="14" t="inlineStr">
        <is>
          <t>11.16.3</t>
        </is>
      </c>
      <c r="B891" t="inlineStr">
        <is>
          <t>Precast terrazo tiles 22 mm thick with graded marble chips of size upto 12 mm, laid in floors, and landings...</t>
        </is>
      </c>
      <c r="C891" t="inlineStr">
        <is>
          <t>sqm</t>
        </is>
      </c>
      <c r="D891" s="15" t="n">
        <v>1147</v>
      </c>
      <c r="E891" t="inlineStr">
        <is>
          <t>11_Flooring</t>
        </is>
      </c>
      <c r="F891" t="n">
        <v>750</v>
      </c>
    </row>
    <row r="892">
      <c r="A892" s="14" t="inlineStr">
        <is>
          <t>11.16.4</t>
        </is>
      </c>
      <c r="B892" t="inlineStr">
        <is>
          <t>Precast terrazo tiles 22 mm thick with graded marble chips of size upto 12 mm, laid in floors, and landings...</t>
        </is>
      </c>
      <c r="C892" t="inlineStr">
        <is>
          <t>sqm</t>
        </is>
      </c>
      <c r="D892" s="15" t="n">
        <v>1091.55</v>
      </c>
      <c r="E892" t="inlineStr">
        <is>
          <t>11_Flooring</t>
        </is>
      </c>
      <c r="F892" t="n">
        <v>751</v>
      </c>
    </row>
    <row r="893">
      <c r="A893" s="14" t="inlineStr">
        <is>
          <t>11.17</t>
        </is>
      </c>
      <c r="B893" t="inlineStr">
        <is>
          <t>Extra if terrazo tiles are laid in treads of steps not exceeding 30 cm in width</t>
        </is>
      </c>
      <c r="C893" t="inlineStr">
        <is>
          <t>sqm</t>
        </is>
      </c>
      <c r="D893" s="15" t="n">
        <v>90.05</v>
      </c>
      <c r="E893" t="inlineStr">
        <is>
          <t>11_Flooring</t>
        </is>
      </c>
      <c r="F893" t="n">
        <v>752</v>
      </c>
    </row>
    <row r="894">
      <c r="A894" s="14" t="inlineStr">
        <is>
          <t>11.18.1</t>
        </is>
      </c>
      <c r="B894" t="inlineStr">
        <is>
          <t>Precast terrazo tiles 22 mm thick with graded marble chips of sizes upto 12 mm, in skirting and risers of s...</t>
        </is>
      </c>
      <c r="C894" t="inlineStr">
        <is>
          <t>sqm</t>
        </is>
      </c>
      <c r="D894" s="15" t="n">
        <v>1865.4</v>
      </c>
      <c r="E894" t="inlineStr">
        <is>
          <t>11_Flooring</t>
        </is>
      </c>
      <c r="F894" t="n">
        <v>752</v>
      </c>
    </row>
    <row r="895">
      <c r="A895" s="14" t="inlineStr">
        <is>
          <t>11.18.2</t>
        </is>
      </c>
      <c r="B895" t="inlineStr">
        <is>
          <t>Precast terrazo tiles 22 mm thick with graded marble chips of sizes upto 12 mm, in skirting and risers of s...</t>
        </is>
      </c>
      <c r="C895" t="inlineStr">
        <is>
          <t>sqm</t>
        </is>
      </c>
      <c r="D895" s="15" t="n">
        <v>1805.85</v>
      </c>
      <c r="E895" t="inlineStr">
        <is>
          <t>11_Flooring</t>
        </is>
      </c>
      <c r="F895" t="n">
        <v>753</v>
      </c>
    </row>
    <row r="896">
      <c r="A896" s="14" t="inlineStr">
        <is>
          <t>11.18.3</t>
        </is>
      </c>
      <c r="B896" t="inlineStr">
        <is>
          <t>Precast terrazo tiles 22 mm thick with graded marble chips of sizes upto 12 mm, in skirting and risers of s...</t>
        </is>
      </c>
      <c r="C896" t="inlineStr">
        <is>
          <t>sqm</t>
        </is>
      </c>
      <c r="D896" s="15" t="n">
        <v>1757.45</v>
      </c>
      <c r="E896" t="inlineStr">
        <is>
          <t>11_Flooring</t>
        </is>
      </c>
      <c r="F896" t="n">
        <v>754</v>
      </c>
    </row>
    <row r="897">
      <c r="A897" s="14" t="inlineStr">
        <is>
          <t>11.18.4</t>
        </is>
      </c>
      <c r="B897" t="inlineStr">
        <is>
          <t>Precast terrazo tiles 22 mm thick with graded marble chips of sizes upto 12 mm, in skirting and risers of s...</t>
        </is>
      </c>
      <c r="C897" t="inlineStr">
        <is>
          <t>sqm</t>
        </is>
      </c>
      <c r="D897" s="15" t="n">
        <v>1687.55</v>
      </c>
      <c r="E897" t="inlineStr">
        <is>
          <t>11_Flooring</t>
        </is>
      </c>
      <c r="F897" t="n">
        <v>755</v>
      </c>
    </row>
    <row r="898">
      <c r="A898" s="14" t="inlineStr">
        <is>
          <t>11.19.1</t>
        </is>
      </c>
      <c r="B898" t="inlineStr">
        <is>
          <t>Chequered terrazo tiles 22 mm thick with graded marble chips of size up to 6 mm in floors, jointed with nea...</t>
        </is>
      </c>
      <c r="C898" t="inlineStr">
        <is>
          <t>sqm</t>
        </is>
      </c>
      <c r="D898" s="15" t="n">
        <v>1223.9</v>
      </c>
      <c r="E898" t="inlineStr">
        <is>
          <t>11_Flooring</t>
        </is>
      </c>
      <c r="F898" t="n">
        <v>755</v>
      </c>
    </row>
    <row r="899">
      <c r="A899" s="14" t="inlineStr">
        <is>
          <t>11.19.2</t>
        </is>
      </c>
      <c r="B899" t="inlineStr">
        <is>
          <t>Chequered terrazo tiles 22 mm thick with graded marble chips of size up to 6 mm in floors, jointed with nea...</t>
        </is>
      </c>
      <c r="C899" t="inlineStr">
        <is>
          <t>sqm</t>
        </is>
      </c>
      <c r="D899" s="15" t="n">
        <v>1240.6</v>
      </c>
      <c r="E899" t="inlineStr">
        <is>
          <t>11_Flooring</t>
        </is>
      </c>
      <c r="F899" t="n">
        <v>756</v>
      </c>
    </row>
    <row r="900">
      <c r="A900" s="14" t="inlineStr">
        <is>
          <t>11.19.3</t>
        </is>
      </c>
      <c r="B900" t="inlineStr">
        <is>
          <t>Chequered terrazo tiles 22 mm thick with graded marble chips of size up to 6 mm in floors, jointed with nea...</t>
        </is>
      </c>
      <c r="C900" t="inlineStr">
        <is>
          <t>sqm</t>
        </is>
      </c>
      <c r="D900" s="15" t="n">
        <v>1169.1</v>
      </c>
      <c r="E900" t="inlineStr">
        <is>
          <t>11_Flooring</t>
        </is>
      </c>
      <c r="F900" t="n">
        <v>757</v>
      </c>
    </row>
    <row r="901">
      <c r="A901" s="14" t="inlineStr">
        <is>
          <t>11.19.4</t>
        </is>
      </c>
      <c r="B901" t="inlineStr">
        <is>
          <t>Chequered terrazo tiles 22 mm thick with graded marble chips of size up to 6 mm in floors, jointed with nea...</t>
        </is>
      </c>
      <c r="C901" t="inlineStr">
        <is>
          <t>sqm</t>
        </is>
      </c>
      <c r="D901" s="15" t="n">
        <v>1113.8</v>
      </c>
      <c r="E901" t="inlineStr">
        <is>
          <t>11_Flooring</t>
        </is>
      </c>
      <c r="F901" t="n">
        <v>758</v>
      </c>
    </row>
    <row r="902">
      <c r="A902" s="14" t="inlineStr">
        <is>
          <t>11.20.1</t>
        </is>
      </c>
      <c r="B902" t="inlineStr">
        <is>
          <t>Chequerred precast cement concrete tiles 22 mm thick in footpath &amp; courtyard, jointed with neat cement slur...</t>
        </is>
      </c>
      <c r="C902" t="inlineStr">
        <is>
          <t>sqm</t>
        </is>
      </c>
      <c r="D902" s="15" t="n">
        <v>1221.65</v>
      </c>
      <c r="E902" t="inlineStr">
        <is>
          <t>11_Flooring</t>
        </is>
      </c>
      <c r="F902" t="n">
        <v>759</v>
      </c>
    </row>
    <row r="903">
      <c r="A903" s="14" t="inlineStr">
        <is>
          <t>11.20.2</t>
        </is>
      </c>
      <c r="B903" t="inlineStr">
        <is>
          <t>Chequerred precast cement concrete tiles 22 mm thick in footpath &amp; courtyard, jointed with neat cement slur...</t>
        </is>
      </c>
      <c r="C903" t="inlineStr">
        <is>
          <t>sqm</t>
        </is>
      </c>
      <c r="D903" s="15" t="n">
        <v>1104.25</v>
      </c>
      <c r="E903" t="inlineStr">
        <is>
          <t>11_Flooring</t>
        </is>
      </c>
      <c r="F903" t="n">
        <v>759</v>
      </c>
    </row>
    <row r="904">
      <c r="A904" s="14" t="inlineStr">
        <is>
          <t>11.20.3</t>
        </is>
      </c>
      <c r="B904" t="inlineStr">
        <is>
          <t>Chequerred precast cement concrete tiles 22 mm thick in footpath &amp; courtyard, jointed with neat cement slur...</t>
        </is>
      </c>
      <c r="C904" t="inlineStr">
        <is>
          <t>sqm</t>
        </is>
      </c>
      <c r="D904" s="15" t="n">
        <v>928</v>
      </c>
      <c r="E904" t="inlineStr">
        <is>
          <t>11_Flooring</t>
        </is>
      </c>
      <c r="F904" t="n">
        <v>760</v>
      </c>
    </row>
    <row r="905">
      <c r="A905" s="14" t="inlineStr">
        <is>
          <t>11.20.4</t>
        </is>
      </c>
      <c r="B905" t="inlineStr">
        <is>
          <t>Chequerred precast cement concrete tiles 22 mm thick in footpath &amp; courtyard, jointed with neat cement slur...</t>
        </is>
      </c>
      <c r="C905" t="inlineStr">
        <is>
          <t>sqm</t>
        </is>
      </c>
      <c r="D905" s="15" t="n">
        <v>872.55</v>
      </c>
      <c r="E905" t="inlineStr">
        <is>
          <t>11_Flooring</t>
        </is>
      </c>
      <c r="F905" t="n">
        <v>761</v>
      </c>
    </row>
    <row r="906">
      <c r="A906" s="14" t="inlineStr">
        <is>
          <t>11.21.1.1</t>
        </is>
      </c>
      <c r="B906" t="inlineStr">
        <is>
          <t>Providing and fixing 10 mm thick acid and/or alkali resistant tiles of approved make and colour using acid...</t>
        </is>
      </c>
      <c r="C906" t="inlineStr">
        <is>
          <t>sqm</t>
        </is>
      </c>
      <c r="D906" s="15" t="n">
        <v>1495</v>
      </c>
      <c r="E906" t="inlineStr">
        <is>
          <t>11_Flooring</t>
        </is>
      </c>
      <c r="F906" t="n">
        <v>762</v>
      </c>
    </row>
    <row r="907">
      <c r="A907" s="14" t="inlineStr">
        <is>
          <t>11.21.2.1</t>
        </is>
      </c>
      <c r="B907" t="inlineStr">
        <is>
          <t>Providing and fixing 10 mm thick acid and/or alkali resistant tiles of approved make and colour using acid...</t>
        </is>
      </c>
      <c r="C907" t="inlineStr">
        <is>
          <t>sqm</t>
        </is>
      </c>
      <c r="D907" s="15" t="n">
        <v>1607.7</v>
      </c>
      <c r="E907" t="inlineStr">
        <is>
          <t>11_Flooring</t>
        </is>
      </c>
      <c r="F907" t="n">
        <v>763</v>
      </c>
    </row>
    <row r="908">
      <c r="A908" s="14" t="inlineStr">
        <is>
          <t>11.22.1.1</t>
        </is>
      </c>
      <c r="B908" t="inlineStr">
        <is>
          <t>Tile work in skirting, risers of steps and dado up to 2 m height over 12 mm thick bed of cement mortar 1:3...</t>
        </is>
      </c>
      <c r="C908" t="inlineStr">
        <is>
          <t>sqm</t>
        </is>
      </c>
      <c r="D908" s="15" t="n">
        <v>1239.55</v>
      </c>
      <c r="E908" t="inlineStr">
        <is>
          <t>11_Flooring</t>
        </is>
      </c>
      <c r="F908" t="n">
        <v>764</v>
      </c>
    </row>
    <row r="909">
      <c r="A909" s="14" t="inlineStr">
        <is>
          <t>11.23.1</t>
        </is>
      </c>
      <c r="B909" t="inlineStr">
        <is>
          <t>Marble stone flooring with 18 mm thick marble stone, as per sample of marble approved by Engineer-in-charge...</t>
        </is>
      </c>
      <c r="C909" t="inlineStr">
        <is>
          <t>sqm</t>
        </is>
      </c>
      <c r="D909" s="15" t="n">
        <v>3237.8</v>
      </c>
      <c r="E909" t="inlineStr">
        <is>
          <t>11_Flooring</t>
        </is>
      </c>
      <c r="F909" t="n">
        <v>764</v>
      </c>
    </row>
    <row r="910">
      <c r="A910" s="14" t="inlineStr">
        <is>
          <t>11.23.2</t>
        </is>
      </c>
      <c r="B910" t="inlineStr">
        <is>
          <t>Marble stone flooring with 18 mm thick marble stone, as per sample of marble approved by Engineer-in-charge...</t>
        </is>
      </c>
      <c r="C910" t="inlineStr">
        <is>
          <t>sqm</t>
        </is>
      </c>
      <c r="D910" s="15" t="n">
        <v>1960.75</v>
      </c>
      <c r="E910" t="inlineStr">
        <is>
          <t>11_Flooring</t>
        </is>
      </c>
      <c r="F910" t="n">
        <v>765</v>
      </c>
    </row>
    <row r="911">
      <c r="A911" s="14" t="inlineStr">
        <is>
          <t>11.23.3</t>
        </is>
      </c>
      <c r="B911" t="inlineStr">
        <is>
          <t>Marble stone flooring with 18 mm thick marble stone, as per sample of marble approved by Engineer-in-charge...</t>
        </is>
      </c>
      <c r="C911" t="inlineStr">
        <is>
          <t>sqm</t>
        </is>
      </c>
      <c r="D911" s="15" t="n">
        <v>2730.05</v>
      </c>
      <c r="E911" t="inlineStr">
        <is>
          <t>11_Flooring</t>
        </is>
      </c>
      <c r="F911" t="n">
        <v>766</v>
      </c>
    </row>
    <row r="912">
      <c r="A912" s="14" t="inlineStr">
        <is>
          <t>11.23.4</t>
        </is>
      </c>
      <c r="B912" t="inlineStr">
        <is>
          <t>Marble stone flooring with 18 mm thick marble stone, as per sample of marble approved by Engineer-in-charge...</t>
        </is>
      </c>
      <c r="C912" t="inlineStr">
        <is>
          <t>sqm</t>
        </is>
      </c>
      <c r="D912" s="15" t="n">
        <v>2422.3</v>
      </c>
      <c r="E912" t="inlineStr">
        <is>
          <t>11_Flooring</t>
        </is>
      </c>
      <c r="F912" t="n">
        <v>767</v>
      </c>
    </row>
    <row r="913">
      <c r="A913" s="14" t="inlineStr">
        <is>
          <t>11.23.5</t>
        </is>
      </c>
      <c r="B913" t="inlineStr">
        <is>
          <t>Marble stone flooring with 18 mm thick marble stone, as per sample of marble approved by Engineer-in-charge...</t>
        </is>
      </c>
      <c r="C913" t="inlineStr">
        <is>
          <t>sqm</t>
        </is>
      </c>
      <c r="D913" s="15" t="n">
        <v>1991.5</v>
      </c>
      <c r="E913" t="inlineStr">
        <is>
          <t>11_Flooring</t>
        </is>
      </c>
      <c r="F913" t="n">
        <v>768</v>
      </c>
    </row>
    <row r="914">
      <c r="A914" s="14" t="inlineStr">
        <is>
          <t>11.23.6</t>
        </is>
      </c>
      <c r="B914" t="inlineStr">
        <is>
          <t>Marble stone flooring with 18 mm thick marble stone, as per sample of marble approved by Engineer-in-charge...</t>
        </is>
      </c>
      <c r="C914" t="inlineStr">
        <is>
          <t>sqm</t>
        </is>
      </c>
      <c r="D914" s="15" t="n">
        <v>2029.95</v>
      </c>
      <c r="E914" t="inlineStr">
        <is>
          <t>11_Flooring</t>
        </is>
      </c>
      <c r="F914" t="n">
        <v>768</v>
      </c>
    </row>
    <row r="915">
      <c r="A915" s="14" t="inlineStr">
        <is>
          <t>11.24</t>
        </is>
      </c>
      <c r="B915" t="inlineStr">
        <is>
          <t>Extra for pre finished nosing to treads of steps of marble stone</t>
        </is>
      </c>
      <c r="C915" t="inlineStr">
        <is>
          <t>metre</t>
        </is>
      </c>
      <c r="D915" s="15" t="n">
        <v>530.25</v>
      </c>
      <c r="E915" t="inlineStr">
        <is>
          <t>11_Flooring</t>
        </is>
      </c>
      <c r="F915" t="n">
        <v>769</v>
      </c>
    </row>
    <row r="916">
      <c r="A916" s="14" t="inlineStr">
        <is>
          <t>11.25</t>
        </is>
      </c>
      <c r="B916" t="inlineStr">
        <is>
          <t>Extra for marble stone flooring in treads of steps and risers using single length up to 2.00 metre</t>
        </is>
      </c>
      <c r="C916" t="inlineStr">
        <is>
          <t>sqm</t>
        </is>
      </c>
      <c r="D916" s="15" t="n">
        <v>622.75</v>
      </c>
      <c r="E916" t="inlineStr">
        <is>
          <t>11_Flooring</t>
        </is>
      </c>
      <c r="F916" t="n">
        <v>770</v>
      </c>
    </row>
    <row r="917">
      <c r="A917" s="14" t="inlineStr">
        <is>
          <t>11.26.1</t>
        </is>
      </c>
      <c r="B917" t="inlineStr">
        <is>
          <t>Kota stone slab flooring over 20 mm (average) thick base laid over and jointed with grey cement slurry mixe...</t>
        </is>
      </c>
      <c r="C917" t="inlineStr">
        <is>
          <t>sqm</t>
        </is>
      </c>
      <c r="D917" s="15" t="n">
        <v>1531.85</v>
      </c>
      <c r="E917" t="inlineStr">
        <is>
          <t>11_Flooring</t>
        </is>
      </c>
      <c r="F917" t="n">
        <v>770</v>
      </c>
    </row>
    <row r="918">
      <c r="A918" s="14" t="inlineStr">
        <is>
          <t>11.27</t>
        </is>
      </c>
      <c r="B918" t="inlineStr">
        <is>
          <t>Kota stone slabs 20 mm thick in risers of steps, skirting, dado and pillars laid on 12 mm (average) thick c...</t>
        </is>
      </c>
      <c r="C918" t="inlineStr">
        <is>
          <t>sqm</t>
        </is>
      </c>
      <c r="D918" s="15" t="n">
        <v>1810.05</v>
      </c>
      <c r="E918" t="inlineStr">
        <is>
          <t>11_Flooring</t>
        </is>
      </c>
      <c r="F918" t="n">
        <v>771</v>
      </c>
    </row>
    <row r="919">
      <c r="A919" s="14" t="inlineStr">
        <is>
          <t>11.28.1</t>
        </is>
      </c>
      <c r="B919" t="inlineStr">
        <is>
          <t>40 mm thick fine dressed stone flooring over 20 mm (average) thick base of cement mortar 1:5 (1 cement : 5...</t>
        </is>
      </c>
      <c r="C919" t="inlineStr">
        <is>
          <t>sqm</t>
        </is>
      </c>
      <c r="D919" s="15" t="n">
        <v>888.95</v>
      </c>
      <c r="E919" t="inlineStr">
        <is>
          <t>11_Flooring</t>
        </is>
      </c>
      <c r="F919" t="n">
        <v>772</v>
      </c>
    </row>
    <row r="920">
      <c r="A920" s="14" t="inlineStr">
        <is>
          <t>11.28.2</t>
        </is>
      </c>
      <c r="B920" t="inlineStr">
        <is>
          <t>40 mm thick fine dressed stone flooring over 20 mm (average) thick base of cement mortar 1:5 (1 cement : 5...</t>
        </is>
      </c>
      <c r="C920" t="inlineStr">
        <is>
          <t>sqm</t>
        </is>
      </c>
      <c r="D920" s="15" t="n">
        <v>888.95</v>
      </c>
      <c r="E920" t="inlineStr">
        <is>
          <t>11_Flooring</t>
        </is>
      </c>
      <c r="F920" t="n">
        <v>772</v>
      </c>
    </row>
    <row r="921">
      <c r="A921" s="14" t="inlineStr">
        <is>
          <t>11.29.1</t>
        </is>
      </c>
      <c r="B921" t="inlineStr">
        <is>
          <t>40 mm thick fine dressed stone flooring over 20 mm (average) thick base of cement mortar 1:5 (1 cement : 5...</t>
        </is>
      </c>
      <c r="C921" t="inlineStr">
        <is>
          <t>sqm</t>
        </is>
      </c>
      <c r="D921" s="15" t="n">
        <v>1074.55</v>
      </c>
      <c r="E921" t="inlineStr">
        <is>
          <t>11_Flooring</t>
        </is>
      </c>
      <c r="F921" t="n">
        <v>773</v>
      </c>
    </row>
    <row r="922">
      <c r="A922" s="14" t="inlineStr">
        <is>
          <t>11.29.2</t>
        </is>
      </c>
      <c r="B922" t="inlineStr">
        <is>
          <t>40 mm thick fine dressed stone flooring over 20 mm (average) thick base of cement mortar 1:5 (1 cement : 5...</t>
        </is>
      </c>
      <c r="C922" t="inlineStr">
        <is>
          <t>sqm</t>
        </is>
      </c>
      <c r="D922" s="15" t="n">
        <v>1074.55</v>
      </c>
      <c r="E922" t="inlineStr">
        <is>
          <t>11_Flooring</t>
        </is>
      </c>
      <c r="F922" t="n">
        <v>774</v>
      </c>
    </row>
    <row r="923">
      <c r="A923" s="14" t="inlineStr">
        <is>
          <t>11.30.1</t>
        </is>
      </c>
      <c r="B923" t="inlineStr">
        <is>
          <t>40 mm thick rubbed stone flooring over 20 mm (average) thick base of cement mortar 1:5 (1 cement : 5 coarse...</t>
        </is>
      </c>
      <c r="C923" t="inlineStr">
        <is>
          <t>sqm</t>
        </is>
      </c>
      <c r="D923" s="15" t="n">
        <v>1165.2</v>
      </c>
      <c r="E923" t="inlineStr">
        <is>
          <t>11_Flooring</t>
        </is>
      </c>
      <c r="F923" t="n">
        <v>775</v>
      </c>
    </row>
    <row r="924">
      <c r="A924" s="14" t="inlineStr">
        <is>
          <t>11.30.2</t>
        </is>
      </c>
      <c r="B924" t="inlineStr">
        <is>
          <t>40 mm thick rubbed stone flooring over 20 mm (average) thick base of cement mortar 1:5 (1 cement : 5 coarse...</t>
        </is>
      </c>
      <c r="C924" t="inlineStr">
        <is>
          <t>sqm</t>
        </is>
      </c>
      <c r="D924" s="15" t="n">
        <v>1165.2</v>
      </c>
      <c r="E924" t="inlineStr">
        <is>
          <t>11_Flooring</t>
        </is>
      </c>
      <c r="F924" t="n">
        <v>776</v>
      </c>
    </row>
    <row r="925">
      <c r="A925" s="14" t="inlineStr">
        <is>
          <t>11.31</t>
        </is>
      </c>
      <c r="B925" t="inlineStr">
        <is>
          <t>Extra for pre finished nosing in treads of steps of Kota stone/ sand stone slab</t>
        </is>
      </c>
      <c r="C925" t="inlineStr">
        <is>
          <t>metre</t>
        </is>
      </c>
      <c r="D925" s="15" t="n">
        <v>148.1</v>
      </c>
      <c r="E925" t="inlineStr">
        <is>
          <t>11_Flooring</t>
        </is>
      </c>
      <c r="F925" t="n">
        <v>777</v>
      </c>
    </row>
    <row r="926">
      <c r="A926" s="14" t="inlineStr">
        <is>
          <t>11.32</t>
        </is>
      </c>
      <c r="B926" t="inlineStr">
        <is>
          <t>Extra for Kota stone/ sand stone in treads of steps and risers using single length up to 1.05 metre</t>
        </is>
      </c>
      <c r="C926" t="inlineStr">
        <is>
          <t>sqm</t>
        </is>
      </c>
      <c r="D926" s="15" t="n">
        <v>33.1</v>
      </c>
      <c r="E926" t="inlineStr">
        <is>
          <t>11_Flooring</t>
        </is>
      </c>
      <c r="F926" t="n">
        <v>777</v>
      </c>
    </row>
    <row r="927">
      <c r="A927" s="14" t="inlineStr">
        <is>
          <t>11.33.1</t>
        </is>
      </c>
      <c r="B927" t="inlineStr">
        <is>
          <t>25 mm wooden planking, tongued and grooved in flooring, including fixing with iron screws complete with - S...</t>
        </is>
      </c>
      <c r="C927" t="inlineStr">
        <is>
          <t>sqm</t>
        </is>
      </c>
      <c r="D927" s="15" t="n">
        <v>4152.45</v>
      </c>
      <c r="E927" t="inlineStr">
        <is>
          <t>11_Flooring</t>
        </is>
      </c>
      <c r="F927" t="n">
        <v>778</v>
      </c>
    </row>
    <row r="928">
      <c r="A928" s="14" t="inlineStr">
        <is>
          <t>11.33.2</t>
        </is>
      </c>
      <c r="B928" t="inlineStr">
        <is>
          <t>25 mm wooden planking, tongued and grooved in flooring, including fixing with iron screws complete with - S...</t>
        </is>
      </c>
      <c r="C928" t="inlineStr">
        <is>
          <t>sqm</t>
        </is>
      </c>
      <c r="D928" s="15" t="n">
        <v>2759.1</v>
      </c>
      <c r="E928" t="inlineStr">
        <is>
          <t>11_Flooring</t>
        </is>
      </c>
      <c r="F928" t="n">
        <v>778</v>
      </c>
    </row>
    <row r="929">
      <c r="A929" s="14" t="inlineStr">
        <is>
          <t>11.34</t>
        </is>
      </c>
      <c r="B929" t="inlineStr">
        <is>
          <t>38 mm thick wood block flooring of first class teak wood laid over 25 mm thick leveling layer of cement con...</t>
        </is>
      </c>
      <c r="C929" t="inlineStr">
        <is>
          <t>sqm</t>
        </is>
      </c>
      <c r="D929" s="15" t="n">
        <v>9971.200000000001</v>
      </c>
      <c r="E929" t="inlineStr">
        <is>
          <t>11_Flooring</t>
        </is>
      </c>
      <c r="F929" t="n">
        <v>779</v>
      </c>
    </row>
    <row r="930">
      <c r="A930" s="14" t="inlineStr">
        <is>
          <t>11.35</t>
        </is>
      </c>
      <c r="B930" t="inlineStr">
        <is>
          <t>Providing and fixing M.S. angle 50x50x5 mm to act as nosing with lugs of M.S. flat 10x5 mm, 10 cm long, for...</t>
        </is>
      </c>
      <c r="C930" t="inlineStr">
        <is>
          <t>kg</t>
        </is>
      </c>
      <c r="D930" s="15" t="n">
        <v>132.25</v>
      </c>
      <c r="E930" t="inlineStr">
        <is>
          <t>11_Flooring</t>
        </is>
      </c>
      <c r="F930" t="n">
        <v>780</v>
      </c>
    </row>
    <row r="931">
      <c r="A931" s="14" t="inlineStr">
        <is>
          <t>11.37</t>
        </is>
      </c>
      <c r="B931" t="inlineStr">
        <is>
          <t>Providing and laying Ceramic glazed floor tiles of size 300x300 mm (thickness to be specified by the manufa...</t>
        </is>
      </c>
      <c r="C931" t="inlineStr">
        <is>
          <t>sqm</t>
        </is>
      </c>
      <c r="D931" s="15" t="n">
        <v>926.9</v>
      </c>
      <c r="E931" t="inlineStr">
        <is>
          <t>11_Flooring</t>
        </is>
      </c>
      <c r="F931" t="n">
        <v>781</v>
      </c>
    </row>
    <row r="932">
      <c r="A932" s="14" t="inlineStr">
        <is>
          <t>11.37A</t>
        </is>
      </c>
      <c r="B932" t="inlineStr">
        <is>
          <t>Providing and fixing 1st quality ceramic glazed floor tiles conforming to IS : 15622 (thickness to be speci...</t>
        </is>
      </c>
      <c r="C932" t="inlineStr">
        <is>
          <t>Sqm</t>
        </is>
      </c>
      <c r="D932" s="15" t="n">
        <v>927.9</v>
      </c>
      <c r="E932" t="inlineStr">
        <is>
          <t>11_Flooring</t>
        </is>
      </c>
      <c r="F932" t="n">
        <v>782</v>
      </c>
    </row>
    <row r="933">
      <c r="A933" s="14" t="inlineStr">
        <is>
          <t>11.38</t>
        </is>
      </c>
      <c r="B933" t="inlineStr">
        <is>
          <t>Providing and laying Ceramic glazed floor tiles of size 300x300 mm (thickness to be specified by the manufa...</t>
        </is>
      </c>
      <c r="C933" t="inlineStr">
        <is>
          <t>sqm</t>
        </is>
      </c>
      <c r="D933" s="15" t="n">
        <v>996.7</v>
      </c>
      <c r="E933" t="inlineStr">
        <is>
          <t>11_Flooring</t>
        </is>
      </c>
      <c r="F933" t="n">
        <v>783</v>
      </c>
    </row>
    <row r="934">
      <c r="A934" s="14" t="inlineStr">
        <is>
          <t>11.39</t>
        </is>
      </c>
      <c r="B934" t="inlineStr">
        <is>
          <t>Providing and laying rectified Glazed Ceramic floor tiles of size 300x300 mm or more (thickness to be speci...</t>
        </is>
      </c>
      <c r="C934" t="inlineStr">
        <is>
          <t>sqm</t>
        </is>
      </c>
      <c r="D934" s="15" t="n">
        <v>1088.4</v>
      </c>
      <c r="E934" t="inlineStr">
        <is>
          <t>11_Flooring</t>
        </is>
      </c>
      <c r="F934" t="n">
        <v>784</v>
      </c>
    </row>
    <row r="935">
      <c r="A935" s="14" t="inlineStr">
        <is>
          <t>11.40</t>
        </is>
      </c>
      <c r="B935" t="inlineStr">
        <is>
          <t>Providing and laying rectified Glazed Ceramic floor tiles of size 300x300 mm or more (thickness to be speci...</t>
        </is>
      </c>
      <c r="C935" t="inlineStr">
        <is>
          <t>sqm</t>
        </is>
      </c>
      <c r="D935" s="15" t="n">
        <v>1170.7</v>
      </c>
      <c r="E935" t="inlineStr">
        <is>
          <t>11_Flooring</t>
        </is>
      </c>
      <c r="F935" t="n">
        <v>785</v>
      </c>
    </row>
    <row r="936">
      <c r="A936" s="14" t="inlineStr">
        <is>
          <t>11.41.1</t>
        </is>
      </c>
      <c r="B936" t="inlineStr">
        <is>
          <t>Providing and laying vitrified floor tiles in different sizes (thickness to be specified by the manufacture...</t>
        </is>
      </c>
      <c r="C936" t="inlineStr">
        <is>
          <t>sqm</t>
        </is>
      </c>
      <c r="D936" s="15" t="n">
        <v>1267.8</v>
      </c>
      <c r="E936" t="inlineStr">
        <is>
          <t>11_Flooring</t>
        </is>
      </c>
      <c r="F936" t="n">
        <v>786</v>
      </c>
    </row>
    <row r="937">
      <c r="A937" s="14" t="inlineStr">
        <is>
          <t>11.41.2</t>
        </is>
      </c>
      <c r="B937" t="inlineStr">
        <is>
          <t>Providing and laying vitrified floor tiles in different sizes (thickness to be specified by the manufacture...</t>
        </is>
      </c>
      <c r="C937" t="inlineStr">
        <is>
          <t>sqm</t>
        </is>
      </c>
      <c r="D937" s="15" t="n">
        <v>1500.55</v>
      </c>
      <c r="E937" t="inlineStr">
        <is>
          <t>11_Flooring</t>
        </is>
      </c>
      <c r="F937" t="n">
        <v>786</v>
      </c>
    </row>
    <row r="938">
      <c r="A938" s="14" t="inlineStr">
        <is>
          <t>11.41.3</t>
        </is>
      </c>
      <c r="B938" t="inlineStr">
        <is>
          <t>Providing and laying vitrified floor tiles in different sizes (thickness to be specified by the manufacture...</t>
        </is>
      </c>
      <c r="C938" t="inlineStr">
        <is>
          <t>sqm</t>
        </is>
      </c>
      <c r="D938" s="15" t="n">
        <v>1758.7</v>
      </c>
      <c r="E938" t="inlineStr">
        <is>
          <t>11_Flooring</t>
        </is>
      </c>
      <c r="F938" t="n">
        <v>787</v>
      </c>
    </row>
    <row r="939">
      <c r="A939" s="14" t="inlineStr">
        <is>
          <t>11.41.4</t>
        </is>
      </c>
      <c r="B939" t="inlineStr">
        <is>
          <t>Providing and laying vitrified floor tiles in different sizes (thickness to be specified by the manufacture...</t>
        </is>
      </c>
      <c r="C939" t="inlineStr">
        <is>
          <t>sqm</t>
        </is>
      </c>
      <c r="D939" s="15" t="n">
        <v>2499.25</v>
      </c>
      <c r="E939" t="inlineStr">
        <is>
          <t>11_Flooring</t>
        </is>
      </c>
      <c r="F939" t="n">
        <v>788</v>
      </c>
    </row>
    <row r="940">
      <c r="A940" s="14" t="inlineStr">
        <is>
          <t>11.42</t>
        </is>
      </c>
      <c r="B940" t="inlineStr">
        <is>
          <t>Deduct for not using 20 mm thick cement mortar 1:4 (1 cement : 4 coarse sand) bedding in laying of floor ti...</t>
        </is>
      </c>
      <c r="C940" t="inlineStr">
        <is>
          <t>sqm</t>
        </is>
      </c>
      <c r="D940" s="15" t="n">
        <v>677.55</v>
      </c>
      <c r="E940" t="inlineStr">
        <is>
          <t>11_Flooring</t>
        </is>
      </c>
      <c r="F940" t="n">
        <v>788</v>
      </c>
    </row>
    <row r="941">
      <c r="A941" s="14" t="inlineStr">
        <is>
          <t>11.43</t>
        </is>
      </c>
      <c r="B941" t="inlineStr">
        <is>
          <t>Fixing glazed/ Ceramic/ Vitrified floor tiles with cement based high polymer modified quick-set tile adhesi...</t>
        </is>
      </c>
      <c r="C941" t="inlineStr">
        <is>
          <t>sqm</t>
        </is>
      </c>
      <c r="D941" s="15" t="n">
        <v>587.2</v>
      </c>
      <c r="E941" t="inlineStr">
        <is>
          <t>11_Flooring</t>
        </is>
      </c>
      <c r="F941" t="n">
        <v>789</v>
      </c>
    </row>
    <row r="942">
      <c r="A942" s="14" t="inlineStr">
        <is>
          <t>11.44</t>
        </is>
      </c>
      <c r="B942" t="inlineStr">
        <is>
          <t>Crazy ceramic tile flooring, with under layer 12 mm thick cement mortar 1:4 (1 cement: 4 coarse sand), with...</t>
        </is>
      </c>
      <c r="C942" t="inlineStr">
        <is>
          <t>sqm</t>
        </is>
      </c>
      <c r="D942" s="15" t="n">
        <v>735.65</v>
      </c>
      <c r="E942" t="inlineStr">
        <is>
          <t>11_Flooring</t>
        </is>
      </c>
      <c r="F942" t="n">
        <v>790</v>
      </c>
    </row>
    <row r="943">
      <c r="A943" s="14" t="inlineStr">
        <is>
          <t>11.45</t>
        </is>
      </c>
      <c r="B943" t="inlineStr">
        <is>
          <t>Providing and laying 500x500x40 mm thick Turf paver (Turfpave XD) on 150 mm thick sub grade of compacted be...</t>
        </is>
      </c>
      <c r="C943" t="inlineStr">
        <is>
          <t>sqm</t>
        </is>
      </c>
      <c r="D943" s="15" t="n">
        <v>1511.9</v>
      </c>
      <c r="E943" t="inlineStr">
        <is>
          <t>11_Flooring</t>
        </is>
      </c>
      <c r="F943" t="n">
        <v>791</v>
      </c>
    </row>
    <row r="944">
      <c r="A944" s="14" t="inlineStr">
        <is>
          <t>11.46.1</t>
        </is>
      </c>
      <c r="B944" t="inlineStr">
        <is>
          <t>Providing and laying Vitrified tiles in different sizes (thickness to be specified by manufacturer), with w...</t>
        </is>
      </c>
      <c r="C944" t="inlineStr">
        <is>
          <t>sqm</t>
        </is>
      </c>
      <c r="D944" s="15" t="n">
        <v>1313.1</v>
      </c>
      <c r="E944" t="inlineStr">
        <is>
          <t>11_Flooring</t>
        </is>
      </c>
      <c r="F944" t="n">
        <v>792</v>
      </c>
    </row>
    <row r="945">
      <c r="A945" s="14" t="inlineStr">
        <is>
          <t>11.46.2</t>
        </is>
      </c>
      <c r="B945" t="inlineStr">
        <is>
          <t>Providing and laying Vitrified tiles in different sizes (thickness to be specified by manufacturer), with w...</t>
        </is>
      </c>
      <c r="C945" t="inlineStr">
        <is>
          <t>sqm</t>
        </is>
      </c>
      <c r="D945" s="15" t="n">
        <v>1545.85</v>
      </c>
      <c r="E945" t="inlineStr">
        <is>
          <t>11_Flooring</t>
        </is>
      </c>
      <c r="F945" t="n">
        <v>792</v>
      </c>
    </row>
    <row r="946">
      <c r="A946" s="14" t="inlineStr">
        <is>
          <t>11.46.3</t>
        </is>
      </c>
      <c r="B946" t="inlineStr">
        <is>
          <t>Providing and laying Vitrified tiles in different sizes (thickness to be specified by manufacturer), with w...</t>
        </is>
      </c>
      <c r="C946" t="inlineStr">
        <is>
          <t>sqm</t>
        </is>
      </c>
      <c r="D946" s="15" t="n">
        <v>1806.8</v>
      </c>
      <c r="E946" t="inlineStr">
        <is>
          <t>11_Flooring</t>
        </is>
      </c>
      <c r="F946" t="n">
        <v>793</v>
      </c>
    </row>
    <row r="947">
      <c r="A947" s="14" t="inlineStr">
        <is>
          <t>11.46.4</t>
        </is>
      </c>
      <c r="B947" t="inlineStr">
        <is>
          <t>Providing and laying Vitrified tiles in different sizes (thickness to be specified by manufacturer), with w...</t>
        </is>
      </c>
      <c r="C947" t="inlineStr">
        <is>
          <t>sqm</t>
        </is>
      </c>
      <c r="D947" s="15" t="n">
        <v>2547.35</v>
      </c>
      <c r="E947" t="inlineStr">
        <is>
          <t>11_Flooring</t>
        </is>
      </c>
      <c r="F947" t="n">
        <v>794</v>
      </c>
    </row>
    <row r="948">
      <c r="A948" s="14" t="inlineStr">
        <is>
          <t>11.46A</t>
        </is>
      </c>
      <c r="B948" t="inlineStr">
        <is>
          <t>Providing and fixing glazed screen printed border tile 75mm wide having thickness 5mm, of approved quality...</t>
        </is>
      </c>
      <c r="C948" t="inlineStr">
        <is>
          <t>sqm</t>
        </is>
      </c>
      <c r="D948" s="15" t="n">
        <v>164.65</v>
      </c>
      <c r="E948" t="inlineStr">
        <is>
          <t>11_Flooring</t>
        </is>
      </c>
      <c r="F948" t="n">
        <v>795</v>
      </c>
    </row>
    <row r="949">
      <c r="A949" s="14" t="inlineStr">
        <is>
          <t>11.47.1</t>
        </is>
      </c>
      <c r="B949" t="inlineStr">
        <is>
          <t>Providing and laying Vitrified tiles in different sizes (thickness to be specified by the manufacturer), wi...</t>
        </is>
      </c>
      <c r="C949" t="inlineStr">
        <is>
          <t>sqm</t>
        </is>
      </c>
      <c r="D949" s="15" t="n">
        <v>1501.25</v>
      </c>
      <c r="E949" t="inlineStr">
        <is>
          <t>11_Flooring</t>
        </is>
      </c>
      <c r="F949" t="n">
        <v>795</v>
      </c>
    </row>
    <row r="950">
      <c r="A950" s="14" t="inlineStr">
        <is>
          <t>11.47.2</t>
        </is>
      </c>
      <c r="B950" t="inlineStr">
        <is>
          <t>Providing and laying Vitrified tiles in different sizes (thickness to be specified by the manufacturer), wi...</t>
        </is>
      </c>
      <c r="C950" t="inlineStr">
        <is>
          <t>sqm</t>
        </is>
      </c>
      <c r="D950" s="15" t="n">
        <v>1734</v>
      </c>
      <c r="E950" t="inlineStr">
        <is>
          <t>11_Flooring</t>
        </is>
      </c>
      <c r="F950" t="n">
        <v>796</v>
      </c>
    </row>
    <row r="951">
      <c r="A951" s="14" t="inlineStr">
        <is>
          <t>11.47.3</t>
        </is>
      </c>
      <c r="B951" t="inlineStr">
        <is>
          <t>Providing and laying Vitrified tiles in different sizes (thickness to be specified by the manufacturer), wi...</t>
        </is>
      </c>
      <c r="C951" t="inlineStr">
        <is>
          <t>sqm</t>
        </is>
      </c>
      <c r="D951" s="15" t="n">
        <v>1994.95</v>
      </c>
      <c r="E951" t="inlineStr">
        <is>
          <t>11_Flooring</t>
        </is>
      </c>
      <c r="F951" t="n">
        <v>797</v>
      </c>
    </row>
    <row r="952">
      <c r="A952" s="14" t="inlineStr">
        <is>
          <t>11.47.4</t>
        </is>
      </c>
      <c r="B952" t="inlineStr">
        <is>
          <t>Providing and laying Vitrified tiles in different sizes (thickness to be specified by the manufacturer), wi...</t>
        </is>
      </c>
      <c r="C952" t="inlineStr">
        <is>
          <t>sqm</t>
        </is>
      </c>
      <c r="D952" s="15" t="n">
        <v>2735.5</v>
      </c>
      <c r="E952" t="inlineStr">
        <is>
          <t>11_Flooring</t>
        </is>
      </c>
      <c r="F952" t="n">
        <v>797</v>
      </c>
    </row>
    <row r="953">
      <c r="A953" s="14" t="inlineStr">
        <is>
          <t>11.48.1</t>
        </is>
      </c>
      <c r="B953" t="inlineStr">
        <is>
          <t>Grouting the joints of flooring tiles having joints of 3 mm width, using epoxy grout mix of 0.70 kg of orga...</t>
        </is>
      </c>
      <c r="C953" t="inlineStr">
        <is>
          <t>sqm</t>
        </is>
      </c>
      <c r="D953" s="15" t="n">
        <v>291</v>
      </c>
      <c r="E953" t="inlineStr">
        <is>
          <t>11_Flooring</t>
        </is>
      </c>
      <c r="F953" t="n">
        <v>798</v>
      </c>
    </row>
    <row r="954">
      <c r="A954" s="14" t="inlineStr">
        <is>
          <t>11.48.2</t>
        </is>
      </c>
      <c r="B954" t="inlineStr">
        <is>
          <t>Grouting the joints of flooring tiles having joints of 3 mm width, using epoxy grout mix of 0.70 kg of orga...</t>
        </is>
      </c>
      <c r="C954" t="inlineStr">
        <is>
          <t>sqm</t>
        </is>
      </c>
      <c r="D954" s="15" t="n">
        <v>241.45</v>
      </c>
      <c r="E954" t="inlineStr">
        <is>
          <t>11_Flooring</t>
        </is>
      </c>
      <c r="F954" t="n">
        <v>798</v>
      </c>
    </row>
    <row r="955">
      <c r="A955" s="14" t="inlineStr">
        <is>
          <t>11.48.3</t>
        </is>
      </c>
      <c r="B955" t="inlineStr">
        <is>
          <t>Grouting the joints of flooring tiles having joints of 3 mm width, using epoxy grout mix of 0.70 kg of orga...</t>
        </is>
      </c>
      <c r="C955" t="inlineStr">
        <is>
          <t>sqm</t>
        </is>
      </c>
      <c r="D955" s="15" t="n">
        <v>191.85</v>
      </c>
      <c r="E955" t="inlineStr">
        <is>
          <t>11_Flooring</t>
        </is>
      </c>
      <c r="F955" t="n">
        <v>799</v>
      </c>
    </row>
    <row r="956">
      <c r="A956" s="14" t="inlineStr">
        <is>
          <t>11.48.4</t>
        </is>
      </c>
      <c r="B956" t="inlineStr">
        <is>
          <t>Grouting the joints of flooring tiles having joints of 3 mm width, using epoxy grout mix of 0.70 kg of orga...</t>
        </is>
      </c>
      <c r="C956" t="inlineStr">
        <is>
          <t>sqm</t>
        </is>
      </c>
      <c r="D956" s="15" t="n">
        <v>137.35</v>
      </c>
      <c r="E956" t="inlineStr">
        <is>
          <t>11_Flooring</t>
        </is>
      </c>
      <c r="F956" t="n">
        <v>799</v>
      </c>
    </row>
    <row r="957">
      <c r="A957" s="14" t="inlineStr">
        <is>
          <t>11.49.1</t>
        </is>
      </c>
      <c r="B957" t="inlineStr">
        <is>
          <t>Providing and laying Vitrified tiles in floor with different sizes (thickness to be specified by the manufa...</t>
        </is>
      </c>
      <c r="C957" t="inlineStr">
        <is>
          <t>sqm</t>
        </is>
      </c>
      <c r="D957" s="15" t="n">
        <v>1377.2</v>
      </c>
      <c r="E957" t="inlineStr">
        <is>
          <t>11_Flooring</t>
        </is>
      </c>
      <c r="F957" t="n">
        <v>800</v>
      </c>
    </row>
    <row r="958">
      <c r="A958" s="14" t="inlineStr">
        <is>
          <t>11.49.2</t>
        </is>
      </c>
      <c r="B958" t="inlineStr">
        <is>
          <t>Providing and laying Vitrified tiles in floor with different sizes (thickness to be specified by the manufa...</t>
        </is>
      </c>
      <c r="C958" t="inlineStr">
        <is>
          <t>sqm</t>
        </is>
      </c>
      <c r="D958" s="15" t="n">
        <v>1609.95</v>
      </c>
      <c r="E958" t="inlineStr">
        <is>
          <t>11_Flooring</t>
        </is>
      </c>
      <c r="F958" t="n">
        <v>801</v>
      </c>
    </row>
    <row r="959">
      <c r="A959" s="14" t="inlineStr">
        <is>
          <t>11.49.3</t>
        </is>
      </c>
      <c r="B959" t="inlineStr">
        <is>
          <t>Providing and laying Vitrified tiles in floor with different sizes (thickness to be specified by the manufa...</t>
        </is>
      </c>
      <c r="C959" t="inlineStr">
        <is>
          <t>sqm</t>
        </is>
      </c>
      <c r="D959" s="15" t="n">
        <v>1870.9</v>
      </c>
      <c r="E959" t="inlineStr">
        <is>
          <t>11_Flooring</t>
        </is>
      </c>
      <c r="F959" t="n">
        <v>801</v>
      </c>
    </row>
    <row r="960">
      <c r="A960" s="14" t="inlineStr">
        <is>
          <t>11.49.4</t>
        </is>
      </c>
      <c r="B960" t="inlineStr">
        <is>
          <t>Providing and laying Vitrified tiles in floor with different sizes (thickness to be specified by the manufa...</t>
        </is>
      </c>
      <c r="C960" t="inlineStr">
        <is>
          <t>sqm</t>
        </is>
      </c>
      <c r="D960" s="15" t="n">
        <v>2611.45</v>
      </c>
      <c r="E960" t="inlineStr">
        <is>
          <t>11_Flooring</t>
        </is>
      </c>
      <c r="F960" t="n">
        <v>802</v>
      </c>
    </row>
    <row r="961">
      <c r="A961" s="14" t="inlineStr">
        <is>
          <t>11.50</t>
        </is>
      </c>
      <c r="B961" t="inlineStr">
        <is>
          <t>Deduct for not grouting the joints with white cement and matching pigment in the items of fixing of vitrifi...</t>
        </is>
      </c>
      <c r="C961" t="inlineStr">
        <is>
          <t>sqm</t>
        </is>
      </c>
      <c r="D961" s="15" t="n">
        <v>11</v>
      </c>
      <c r="E961" t="inlineStr">
        <is>
          <t>11_Flooring</t>
        </is>
      </c>
      <c r="F961" t="n">
        <v>803</v>
      </c>
    </row>
    <row r="962">
      <c r="A962" s="14" t="inlineStr">
        <is>
          <t>11.51.1</t>
        </is>
      </c>
      <c r="B962" t="inlineStr">
        <is>
          <t>Providing and laying machine cut, mirror polished, Italian Marble stone flooring laid in required pattern i...</t>
        </is>
      </c>
      <c r="C962" t="inlineStr">
        <is>
          <t>sqm</t>
        </is>
      </c>
      <c r="D962" s="15" t="n">
        <v>5986.2</v>
      </c>
      <c r="E962" t="inlineStr">
        <is>
          <t>11_Flooring</t>
        </is>
      </c>
      <c r="F962" t="n">
        <v>803</v>
      </c>
    </row>
    <row r="963">
      <c r="A963" s="14" t="inlineStr">
        <is>
          <t>11.52.1</t>
        </is>
      </c>
      <c r="B963" t="inlineStr">
        <is>
          <t>Providing and laying machine cut, mirror polished Marble stone flooring, in required design (Simple geometr...</t>
        </is>
      </c>
      <c r="C963" t="inlineStr">
        <is>
          <t>sq.m</t>
        </is>
      </c>
      <c r="D963" s="15" t="n">
        <v>6276.05</v>
      </c>
      <c r="E963" t="inlineStr">
        <is>
          <t>11_Flooring</t>
        </is>
      </c>
      <c r="F963" t="n">
        <v>804</v>
      </c>
    </row>
    <row r="964">
      <c r="A964" s="14" t="inlineStr">
        <is>
          <t>11.53</t>
        </is>
      </c>
      <c r="B964" t="inlineStr">
        <is>
          <t>Providing and fixing Glass mossaic tiles on finished plain wall surface of size 20 mm x 20 mm x 4 mm in all...</t>
        </is>
      </c>
      <c r="C964" t="inlineStr">
        <is>
          <t>sqm</t>
        </is>
      </c>
      <c r="D964" s="15" t="n">
        <v>3250.35</v>
      </c>
      <c r="E964" t="inlineStr">
        <is>
          <t>11_Flooring</t>
        </is>
      </c>
      <c r="F964" t="n">
        <v>805</v>
      </c>
    </row>
    <row r="965">
      <c r="A965" s="14" t="inlineStr">
        <is>
          <t>11.54.1</t>
        </is>
      </c>
      <c r="B965" t="inlineStr">
        <is>
          <t>Providing and fixing removable raised/false access flooring with system and its components of approved make...</t>
        </is>
      </c>
      <c r="C965" t="inlineStr">
        <is>
          <t>sqm</t>
        </is>
      </c>
      <c r="D965" s="15" t="n">
        <v>5075.3</v>
      </c>
      <c r="E965" t="inlineStr">
        <is>
          <t>11_Flooring</t>
        </is>
      </c>
      <c r="F965" t="n">
        <v>807</v>
      </c>
    </row>
    <row r="966">
      <c r="A966" s="14" t="inlineStr">
        <is>
          <t>11.54.2</t>
        </is>
      </c>
      <c r="B966" t="inlineStr">
        <is>
          <t>Providing and fixing removable raised/false access flooring with system and its components of approved make...</t>
        </is>
      </c>
      <c r="C966" t="inlineStr">
        <is>
          <t>sqm</t>
        </is>
      </c>
      <c r="D966" s="15" t="n">
        <v>5364.3</v>
      </c>
      <c r="E966" t="inlineStr">
        <is>
          <t>11_Flooring</t>
        </is>
      </c>
      <c r="F966" t="n">
        <v>807</v>
      </c>
    </row>
    <row r="967">
      <c r="A967" s="14" t="inlineStr">
        <is>
          <t>11.55.1</t>
        </is>
      </c>
      <c r="B967" t="inlineStr">
        <is>
          <t>Providing and laying flamed finish Granite stone flooring in required design and patterns, in linear as wel...</t>
        </is>
      </c>
      <c r="C967" t="inlineStr">
        <is>
          <t>sqm</t>
        </is>
      </c>
      <c r="D967" s="15" t="n">
        <v>2476.45</v>
      </c>
      <c r="E967" t="inlineStr">
        <is>
          <t>11_Flooring</t>
        </is>
      </c>
      <c r="F967" t="n">
        <v>808</v>
      </c>
    </row>
    <row r="968">
      <c r="A968" s="14" t="inlineStr">
        <is>
          <t>11.56.1</t>
        </is>
      </c>
      <c r="B968" t="inlineStr">
        <is>
          <t>Providing and laying Polished Granite stone flooring in required design and patterns, in linear as well as...</t>
        </is>
      </c>
      <c r="C968" t="inlineStr">
        <is>
          <t>sqm</t>
        </is>
      </c>
      <c r="D968" s="15" t="n">
        <v>3526.6</v>
      </c>
      <c r="E968" t="inlineStr">
        <is>
          <t>11_Flooring</t>
        </is>
      </c>
      <c r="F968" t="n">
        <v>809</v>
      </c>
    </row>
    <row r="969">
      <c r="A969" s="14" t="inlineStr">
        <is>
          <t>12.1.1</t>
        </is>
      </c>
      <c r="B969" t="inlineStr">
        <is>
          <t>Providing corrugated G.S. sheet roofing including vertical / curved surface fixed with polymer coated J or...</t>
        </is>
      </c>
      <c r="C969" t="inlineStr">
        <is>
          <t>sqm</t>
        </is>
      </c>
      <c r="D969" s="15" t="n">
        <v>1234.25</v>
      </c>
      <c r="E969" t="inlineStr">
        <is>
          <t>12_Roofing</t>
        </is>
      </c>
      <c r="F969" t="n">
        <v>814</v>
      </c>
    </row>
    <row r="970">
      <c r="A970" s="14" t="inlineStr">
        <is>
          <t>12.1.2</t>
        </is>
      </c>
      <c r="B970" t="inlineStr">
        <is>
          <t>Providing corrugated G.S. sheet roofing including vertical / curved surface fixed with polymer coated J or...</t>
        </is>
      </c>
      <c r="C970" t="inlineStr">
        <is>
          <t>sqm</t>
        </is>
      </c>
      <c r="D970" s="15" t="n">
        <v>1061.8</v>
      </c>
      <c r="E970" t="inlineStr">
        <is>
          <t>12_Roofing</t>
        </is>
      </c>
      <c r="F970" t="n">
        <v>815</v>
      </c>
    </row>
    <row r="971">
      <c r="A971" s="14" t="inlineStr">
        <is>
          <t>12.1.3</t>
        </is>
      </c>
      <c r="B971" t="inlineStr">
        <is>
          <t>Providing corrugated G.S. sheet roofing including vertical / curved surface fixed with polymer coated J or...</t>
        </is>
      </c>
      <c r="C971" t="inlineStr">
        <is>
          <t>sqm</t>
        </is>
      </c>
      <c r="D971" s="15" t="n">
        <v>915</v>
      </c>
      <c r="E971" t="inlineStr">
        <is>
          <t>12_Roofing</t>
        </is>
      </c>
      <c r="F971" t="n">
        <v>817</v>
      </c>
    </row>
    <row r="972">
      <c r="A972" s="14" t="inlineStr">
        <is>
          <t>12.2.1</t>
        </is>
      </c>
      <c r="B972" t="inlineStr">
        <is>
          <t>Extra for straight cutting in C.G.S. sheet roofing for making opening of area exceeding 40 sq. decimeter fo...</t>
        </is>
      </c>
      <c r="C972" t="inlineStr">
        <is>
          <t>metres</t>
        </is>
      </c>
      <c r="D972" s="15" t="n">
        <v>86.7</v>
      </c>
      <c r="E972" t="inlineStr">
        <is>
          <t>12_Roofing</t>
        </is>
      </c>
      <c r="F972" t="n">
        <v>819</v>
      </c>
    </row>
    <row r="973">
      <c r="A973" s="14" t="inlineStr">
        <is>
          <t>12.2.2</t>
        </is>
      </c>
      <c r="B973" t="inlineStr">
        <is>
          <t>Extra for straight cutting in C.G.S. sheet roofing for making opening of area exceeding 40 sq. decimeter fo...</t>
        </is>
      </c>
      <c r="C973" t="inlineStr">
        <is>
          <t>metres</t>
        </is>
      </c>
      <c r="D973" s="15" t="n">
        <v>69.34999999999999</v>
      </c>
      <c r="E973" t="inlineStr">
        <is>
          <t>12_Roofing</t>
        </is>
      </c>
      <c r="F973" t="n">
        <v>819</v>
      </c>
    </row>
    <row r="974">
      <c r="A974" s="14" t="inlineStr">
        <is>
          <t>12.2.3</t>
        </is>
      </c>
      <c r="B974" t="inlineStr">
        <is>
          <t>Extra for straight cutting in C.G.S. sheet roofing for making opening of area exceeding 40 sq. decimeter fo...</t>
        </is>
      </c>
      <c r="C974" t="inlineStr">
        <is>
          <t>metres</t>
        </is>
      </c>
      <c r="D974" s="15" t="n">
        <v>69.34999999999999</v>
      </c>
      <c r="E974" t="inlineStr">
        <is>
          <t>12_Roofing</t>
        </is>
      </c>
      <c r="F974" t="n">
        <v>820</v>
      </c>
    </row>
    <row r="975">
      <c r="A975" s="14" t="inlineStr">
        <is>
          <t>12.3.1</t>
        </is>
      </c>
      <c r="B975" t="inlineStr">
        <is>
          <t>Extra for circular cutting in C.G.S. sheet roofing for making opening of area exceeding 40 sq. decimeter -...</t>
        </is>
      </c>
      <c r="C975" t="inlineStr">
        <is>
          <t>metres</t>
        </is>
      </c>
      <c r="D975" s="15" t="n">
        <v>494.2</v>
      </c>
      <c r="E975" t="inlineStr">
        <is>
          <t>12_Roofing</t>
        </is>
      </c>
      <c r="F975" t="n">
        <v>820</v>
      </c>
    </row>
    <row r="976">
      <c r="A976" s="14" t="inlineStr">
        <is>
          <t>12.3.2</t>
        </is>
      </c>
      <c r="B976" t="inlineStr">
        <is>
          <t>Extra for circular cutting in C.G.S. sheet roofing for making opening of area exceeding 40 sq. decimeter -...</t>
        </is>
      </c>
      <c r="C976" t="inlineStr">
        <is>
          <t>metres</t>
        </is>
      </c>
      <c r="D976" s="15" t="n">
        <v>394.75</v>
      </c>
      <c r="E976" t="inlineStr">
        <is>
          <t>12_Roofing</t>
        </is>
      </c>
      <c r="F976" t="n">
        <v>821</v>
      </c>
    </row>
    <row r="977">
      <c r="A977" s="14" t="inlineStr">
        <is>
          <t>12.3.3</t>
        </is>
      </c>
      <c r="B977" t="inlineStr">
        <is>
          <t>Extra for circular cutting in C.G.S. sheet roofing for making opening of area exceeding 40 sq. decimeter -...</t>
        </is>
      </c>
      <c r="C977" t="inlineStr">
        <is>
          <t>metres</t>
        </is>
      </c>
      <c r="D977" s="15" t="n">
        <v>394.75</v>
      </c>
      <c r="E977" t="inlineStr">
        <is>
          <t>12_Roofing</t>
        </is>
      </c>
      <c r="F977" t="n">
        <v>821</v>
      </c>
    </row>
    <row r="978">
      <c r="A978" s="14" t="inlineStr">
        <is>
          <t>12.4.1</t>
        </is>
      </c>
      <c r="B978" t="inlineStr">
        <is>
          <t>Providing ridges or hips of width 60 cm overall width plain G.S. sheet fixed with polymer coated J or L hoo...</t>
        </is>
      </c>
      <c r="C978" t="inlineStr">
        <is>
          <t>metres</t>
        </is>
      </c>
      <c r="D978" s="15" t="n">
        <v>781.4</v>
      </c>
      <c r="E978" t="inlineStr">
        <is>
          <t>12_Roofing</t>
        </is>
      </c>
      <c r="F978" t="n">
        <v>822</v>
      </c>
    </row>
    <row r="979">
      <c r="A979" s="14" t="inlineStr">
        <is>
          <t>12.4.2</t>
        </is>
      </c>
      <c r="B979" t="inlineStr">
        <is>
          <t>Providing ridges or hips of width 60 cm overall width plain G.S. sheet fixed with polymer coated J or L hoo...</t>
        </is>
      </c>
      <c r="C979" t="inlineStr">
        <is>
          <t>metres</t>
        </is>
      </c>
      <c r="D979" s="15" t="n">
        <v>710.15</v>
      </c>
      <c r="E979" t="inlineStr">
        <is>
          <t>12_Roofing</t>
        </is>
      </c>
      <c r="F979" t="n">
        <v>823</v>
      </c>
    </row>
    <row r="980">
      <c r="A980" s="14" t="inlineStr">
        <is>
          <t>12.5.1</t>
        </is>
      </c>
      <c r="B980" t="inlineStr">
        <is>
          <t>Providing valleys of 90 cm wide overall in plain G.S. sheet fixed with polymer coated J, or L hooks, bolts...</t>
        </is>
      </c>
      <c r="C980" t="inlineStr">
        <is>
          <t>metres</t>
        </is>
      </c>
      <c r="D980" s="15" t="n">
        <v>1324.7</v>
      </c>
      <c r="E980" t="inlineStr">
        <is>
          <t>12_Roofing</t>
        </is>
      </c>
      <c r="F980" t="n">
        <v>823</v>
      </c>
    </row>
    <row r="981">
      <c r="A981" s="14" t="inlineStr">
        <is>
          <t>12.6.1</t>
        </is>
      </c>
      <c r="B981" t="inlineStr">
        <is>
          <t>Providing and fixing of 40 cm overall width plain G.S. sheet fixed with polymer coated J or L hooks, bolts...</t>
        </is>
      </c>
      <c r="C981" t="inlineStr">
        <is>
          <t>metres</t>
        </is>
      </c>
      <c r="D981" s="15" t="n">
        <v>657.1</v>
      </c>
      <c r="E981" t="inlineStr">
        <is>
          <t>12_Roofing</t>
        </is>
      </c>
      <c r="F981" t="n">
        <v>824</v>
      </c>
    </row>
    <row r="982">
      <c r="A982" s="14" t="inlineStr">
        <is>
          <t>12.7.1</t>
        </is>
      </c>
      <c r="B982" t="inlineStr">
        <is>
          <t>Providing and fixing 15 cm wide, 45 cm overall semi-circular plain G.S. sheet gutter with iron brackets 40x...</t>
        </is>
      </c>
      <c r="C982" t="inlineStr">
        <is>
          <t>metres</t>
        </is>
      </c>
      <c r="D982" s="15" t="n">
        <v>765</v>
      </c>
      <c r="E982" t="inlineStr">
        <is>
          <t>12_Roofing</t>
        </is>
      </c>
      <c r="F982" t="n">
        <v>825</v>
      </c>
    </row>
    <row r="983">
      <c r="A983" s="14" t="inlineStr">
        <is>
          <t>12.7.2</t>
        </is>
      </c>
      <c r="B983" t="inlineStr">
        <is>
          <t>Providing and fixing 15 cm wide, 45 cm overall semi-circular plain G.S. sheet gutter with iron brackets 40x...</t>
        </is>
      </c>
      <c r="C983" t="inlineStr">
        <is>
          <t>metres</t>
        </is>
      </c>
      <c r="D983" s="15" t="n">
        <v>705.7</v>
      </c>
      <c r="E983" t="inlineStr">
        <is>
          <t>12_Roofing</t>
        </is>
      </c>
      <c r="F983" t="n">
        <v>826</v>
      </c>
    </row>
    <row r="984">
      <c r="A984" s="14" t="inlineStr">
        <is>
          <t>12.8</t>
        </is>
      </c>
      <c r="B984" t="inlineStr">
        <is>
          <t>Providing reinforced by organic fibres and/or inorganic synthetic fibres cement 6 mm thick corrugated sheet...</t>
        </is>
      </c>
      <c r="C984" t="inlineStr">
        <is>
          <t>sqm</t>
        </is>
      </c>
      <c r="D984" s="15" t="n">
        <v>453.25</v>
      </c>
      <c r="E984" t="inlineStr">
        <is>
          <t>12_Roofing</t>
        </is>
      </c>
      <c r="F984" t="n">
        <v>827</v>
      </c>
    </row>
    <row r="985">
      <c r="A985" s="14" t="inlineStr">
        <is>
          <t>12.9</t>
        </is>
      </c>
      <c r="B985" t="inlineStr">
        <is>
          <t>Extra for straight cutting in reinforced by organic fibres and/or inorganic synthetic fibres cement corruga...</t>
        </is>
      </c>
      <c r="C985" t="inlineStr">
        <is>
          <t>metres</t>
        </is>
      </c>
      <c r="D985" s="15" t="n">
        <v>69.34999999999999</v>
      </c>
      <c r="E985" t="inlineStr">
        <is>
          <t>12_Roofing</t>
        </is>
      </c>
      <c r="F985" t="n">
        <v>828</v>
      </c>
    </row>
    <row r="986">
      <c r="A986" s="14" t="inlineStr">
        <is>
          <t>12.10</t>
        </is>
      </c>
      <c r="B986" t="inlineStr">
        <is>
          <t>Extra for circular cutting in reinforced by organic fibres and/or inorganic synthetic fibres cement corruga...</t>
        </is>
      </c>
      <c r="C986" t="inlineStr">
        <is>
          <t>metres</t>
        </is>
      </c>
      <c r="D986" s="15" t="n">
        <v>191.6</v>
      </c>
      <c r="E986" t="inlineStr">
        <is>
          <t>12_Roofing</t>
        </is>
      </c>
      <c r="F986" t="n">
        <v>828</v>
      </c>
    </row>
    <row r="987">
      <c r="A987" s="14" t="inlineStr">
        <is>
          <t>12.11</t>
        </is>
      </c>
      <c r="B987" t="inlineStr">
        <is>
          <t>Extra for providing and fixing wind ties of 40x 6 mm flat iron section</t>
        </is>
      </c>
      <c r="C987" t="inlineStr">
        <is>
          <t>metres</t>
        </is>
      </c>
      <c r="D987" s="15" t="n">
        <v>151.1</v>
      </c>
      <c r="E987" t="inlineStr">
        <is>
          <t>12_Roofing</t>
        </is>
      </c>
      <c r="F987" t="n">
        <v>829</v>
      </c>
    </row>
    <row r="988">
      <c r="A988" s="14" t="inlineStr">
        <is>
          <t>12.12.1</t>
        </is>
      </c>
      <c r="B988" t="inlineStr">
        <is>
          <t>Providing and fixing ridges and hips in fibre cement reinforced by organic fibres and/or inorganic syntheti...</t>
        </is>
      </c>
      <c r="C988" t="inlineStr">
        <is>
          <t>metre</t>
        </is>
      </c>
      <c r="D988" s="15" t="n">
        <v>433.4</v>
      </c>
      <c r="E988" t="inlineStr">
        <is>
          <t>12_Roofing</t>
        </is>
      </c>
      <c r="F988" t="n">
        <v>829</v>
      </c>
    </row>
    <row r="989">
      <c r="A989" s="14" t="inlineStr">
        <is>
          <t>12.12.2</t>
        </is>
      </c>
      <c r="B989" t="inlineStr">
        <is>
          <t>Providing and fixing ridges and hips in fibre cement reinforced by organic fibres and/or inorganic syntheti...</t>
        </is>
      </c>
      <c r="C989" t="inlineStr">
        <is>
          <t>metre</t>
        </is>
      </c>
      <c r="D989" s="15" t="n">
        <v>433.4</v>
      </c>
      <c r="E989" t="inlineStr">
        <is>
          <t>12_Roofing</t>
        </is>
      </c>
      <c r="F989" t="n">
        <v>830</v>
      </c>
    </row>
    <row r="990">
      <c r="A990" s="14" t="inlineStr">
        <is>
          <t>12.12.3</t>
        </is>
      </c>
      <c r="B990" t="inlineStr">
        <is>
          <t>Providing and fixing ridges and hips in fibre cement reinforced by organic fibres and/or inorganic syntheti...</t>
        </is>
      </c>
      <c r="C990" t="inlineStr">
        <is>
          <t>metre</t>
        </is>
      </c>
      <c r="D990" s="15" t="n">
        <v>487.25</v>
      </c>
      <c r="E990" t="inlineStr">
        <is>
          <t>12_Roofing</t>
        </is>
      </c>
      <c r="F990" t="n">
        <v>831</v>
      </c>
    </row>
    <row r="991">
      <c r="A991" s="14" t="inlineStr">
        <is>
          <t>12.12.4</t>
        </is>
      </c>
      <c r="B991" t="inlineStr">
        <is>
          <t>Providing and fixing ridges and hips in fibre cement reinforced by organic fibres and/or inorganic syntheti...</t>
        </is>
      </c>
      <c r="C991" t="inlineStr">
        <is>
          <t>metre</t>
        </is>
      </c>
      <c r="D991" s="15" t="n">
        <v>432.5</v>
      </c>
      <c r="E991" t="inlineStr">
        <is>
          <t>12_Roofing</t>
        </is>
      </c>
      <c r="F991" t="n">
        <v>832</v>
      </c>
    </row>
    <row r="992">
      <c r="A992" s="14" t="inlineStr">
        <is>
          <t>12.13.1</t>
        </is>
      </c>
      <c r="B992" t="inlineStr">
        <is>
          <t>Providing and fixing fibre cement reinforced by organic fibres and/or inorganic synthetic fibres roofing ac...</t>
        </is>
      </c>
      <c r="C992" t="inlineStr">
        <is>
          <t>metre</t>
        </is>
      </c>
      <c r="D992" s="15" t="n">
        <v>358.75</v>
      </c>
      <c r="E992" t="inlineStr">
        <is>
          <t>12_Roofing</t>
        </is>
      </c>
      <c r="F992" t="n">
        <v>832</v>
      </c>
    </row>
    <row r="993">
      <c r="A993" s="14" t="inlineStr">
        <is>
          <t>12.13.2</t>
        </is>
      </c>
      <c r="B993" t="inlineStr">
        <is>
          <t>Providing and fixing fibre cement reinforced by organic fibres and/or inorganic synthetic fibres roofing ac...</t>
        </is>
      </c>
      <c r="C993" t="inlineStr">
        <is>
          <t>metres</t>
        </is>
      </c>
      <c r="D993" s="15" t="n">
        <v>290.6</v>
      </c>
      <c r="E993" t="inlineStr">
        <is>
          <t>12_Roofing</t>
        </is>
      </c>
      <c r="F993" t="n">
        <v>833</v>
      </c>
    </row>
    <row r="994">
      <c r="A994" s="14" t="inlineStr">
        <is>
          <t>12.13.3</t>
        </is>
      </c>
      <c r="B994" t="inlineStr">
        <is>
          <t>Providing and fixing fibre cement reinforced by organic fibres and/or inorganic synthetic fibres roofing ac...</t>
        </is>
      </c>
      <c r="C994" t="inlineStr">
        <is>
          <t>metres</t>
        </is>
      </c>
      <c r="D994" s="15" t="n">
        <v>486.7</v>
      </c>
      <c r="E994" t="inlineStr">
        <is>
          <t>12_Roofing</t>
        </is>
      </c>
      <c r="F994" t="n">
        <v>834</v>
      </c>
    </row>
    <row r="995">
      <c r="A995" s="14" t="inlineStr">
        <is>
          <t>12.13.4</t>
        </is>
      </c>
      <c r="B995" t="inlineStr">
        <is>
          <t>Providing and fixing fibre cement reinforced by organic fibres and/or inorganic synthetic fibres roofing ac...</t>
        </is>
      </c>
      <c r="C995" t="inlineStr">
        <is>
          <t>metre</t>
        </is>
      </c>
      <c r="D995" s="15" t="n">
        <v>529.05</v>
      </c>
      <c r="E995" t="inlineStr">
        <is>
          <t>12_Roofing</t>
        </is>
      </c>
      <c r="F995" t="n">
        <v>834</v>
      </c>
    </row>
    <row r="996">
      <c r="A996" s="14" t="inlineStr">
        <is>
          <t>12.13.5</t>
        </is>
      </c>
      <c r="B996" t="inlineStr">
        <is>
          <t>Providing and fixing fibre cement reinforced by organic fibres and/or inorganic synthetic fibres roofing ac...</t>
        </is>
      </c>
      <c r="C996" t="inlineStr">
        <is>
          <t>metre</t>
        </is>
      </c>
      <c r="D996" s="15" t="n">
        <v>625.6</v>
      </c>
      <c r="E996" t="inlineStr">
        <is>
          <t>12_Roofing</t>
        </is>
      </c>
      <c r="F996" t="n">
        <v>835</v>
      </c>
    </row>
    <row r="997">
      <c r="A997" s="14" t="inlineStr">
        <is>
          <t>12.13.6</t>
        </is>
      </c>
      <c r="B997" t="inlineStr">
        <is>
          <t>Providing and fixing fibre cement reinforced by organic fibres and/or inorganic synthetic fibres roofing ac...</t>
        </is>
      </c>
      <c r="C997" t="inlineStr">
        <is>
          <t>pair</t>
        </is>
      </c>
      <c r="D997" s="15" t="n">
        <v>260.65</v>
      </c>
      <c r="E997" t="inlineStr">
        <is>
          <t>12_Roofing</t>
        </is>
      </c>
      <c r="F997" t="n">
        <v>836</v>
      </c>
    </row>
    <row r="998">
      <c r="A998" s="14" t="inlineStr">
        <is>
          <t>12.13.7</t>
        </is>
      </c>
      <c r="B998" t="inlineStr">
        <is>
          <t>Providing and fixing fibre cement reinforced by organic fibres and/or inorganic synthetic fibres roofing ac...</t>
        </is>
      </c>
      <c r="C998" t="inlineStr">
        <is>
          <t>nos</t>
        </is>
      </c>
      <c r="D998" s="15" t="n">
        <v>871.6</v>
      </c>
      <c r="E998" t="inlineStr">
        <is>
          <t>12_Roofing</t>
        </is>
      </c>
      <c r="F998" t="n">
        <v>836</v>
      </c>
    </row>
    <row r="999">
      <c r="A999" s="14" t="inlineStr">
        <is>
          <t>12.13.8</t>
        </is>
      </c>
      <c r="B999" t="inlineStr">
        <is>
          <t>Providing and fixing fibre cement reinforced by organic fibres and/or inorganic synthetic fibres roofing ac...</t>
        </is>
      </c>
      <c r="C999" t="inlineStr">
        <is>
          <t>metres</t>
        </is>
      </c>
      <c r="D999" s="15" t="n">
        <v>455</v>
      </c>
      <c r="E999" t="inlineStr">
        <is>
          <t>12_Roofing</t>
        </is>
      </c>
      <c r="F999" t="n">
        <v>837</v>
      </c>
    </row>
    <row r="1000">
      <c r="A1000" s="14" t="inlineStr">
        <is>
          <t>12.14</t>
        </is>
      </c>
      <c r="B1000" t="inlineStr">
        <is>
          <t>Providing flat iron brackets 50x3 mm size with necessary bolts, nuts and washers etc. for fixing G.S. sheet...</t>
        </is>
      </c>
      <c r="C1000" t="inlineStr">
        <is>
          <t>metres</t>
        </is>
      </c>
      <c r="D1000" s="15" t="n">
        <v>70.90000000000001</v>
      </c>
      <c r="E1000" t="inlineStr">
        <is>
          <t>12_Roofing</t>
        </is>
      </c>
      <c r="F1000" t="n">
        <v>838</v>
      </c>
    </row>
    <row r="1001">
      <c r="A1001" s="14" t="inlineStr">
        <is>
          <t>12.15.1</t>
        </is>
      </c>
      <c r="B1001" t="inlineStr">
        <is>
          <t>Painting top of roofs with bitumen of approved quality @ 17kg per 10 sqm impregnated with a coat of coarse...</t>
        </is>
      </c>
      <c r="C1001" t="inlineStr">
        <is>
          <t>sqm</t>
        </is>
      </c>
      <c r="D1001" s="15" t="n">
        <v>126</v>
      </c>
      <c r="E1001" t="inlineStr">
        <is>
          <t>12_Roofing</t>
        </is>
      </c>
      <c r="F1001" t="n">
        <v>838</v>
      </c>
    </row>
    <row r="1002">
      <c r="A1002" s="14" t="inlineStr">
        <is>
          <t>12.16.1</t>
        </is>
      </c>
      <c r="B1002" t="inlineStr">
        <is>
          <t>10 cm thick (average) mud phaska of damped brick earth on roofs laid to slope consolidated and plastered wi...</t>
        </is>
      </c>
      <c r="C1002" t="inlineStr">
        <is>
          <t>sqm</t>
        </is>
      </c>
      <c r="D1002" s="15" t="n">
        <v>826.75</v>
      </c>
      <c r="E1002" t="inlineStr">
        <is>
          <t>12_Roofing</t>
        </is>
      </c>
      <c r="F1002" t="n">
        <v>839</v>
      </c>
    </row>
    <row r="1003">
      <c r="A1003" s="14" t="inlineStr">
        <is>
          <t>12.17.1</t>
        </is>
      </c>
      <c r="B1003" t="inlineStr">
        <is>
          <t>10cm thick (average) mud phaska of damped brick earth on roofs laid to slope consolidated and plastered wit...</t>
        </is>
      </c>
      <c r="C1003" t="inlineStr">
        <is>
          <t>sqm</t>
        </is>
      </c>
      <c r="D1003" s="15" t="n">
        <v>847.1</v>
      </c>
      <c r="E1003" t="inlineStr">
        <is>
          <t>12_Roofing</t>
        </is>
      </c>
      <c r="F1003" t="n">
        <v>840</v>
      </c>
    </row>
    <row r="1004">
      <c r="A1004" s="14" t="inlineStr">
        <is>
          <t>12.18</t>
        </is>
      </c>
      <c r="B1004" t="inlineStr">
        <is>
          <t>Extra for every additional 1 cm thickness of mud phaska</t>
        </is>
      </c>
      <c r="C1004" t="inlineStr">
        <is>
          <t>sqm</t>
        </is>
      </c>
      <c r="D1004" s="15" t="n">
        <v>18.6</v>
      </c>
      <c r="E1004" t="inlineStr">
        <is>
          <t>12_Roofing</t>
        </is>
      </c>
      <c r="F1004" t="n">
        <v>841</v>
      </c>
    </row>
    <row r="1005">
      <c r="A1005" s="14" t="inlineStr">
        <is>
          <t>12.19.1</t>
        </is>
      </c>
      <c r="B1005" t="inlineStr">
        <is>
          <t>Providing and laying brick tiles over mumty roofs, grouted with cement mortar 1:3 (1 cement : 3 fine sand)...</t>
        </is>
      </c>
      <c r="C1005" t="inlineStr">
        <is>
          <t>sqm</t>
        </is>
      </c>
      <c r="D1005" s="15" t="n">
        <v>514.4</v>
      </c>
      <c r="E1005" t="inlineStr">
        <is>
          <t>12_Roofing</t>
        </is>
      </c>
      <c r="F1005" t="n">
        <v>842</v>
      </c>
    </row>
    <row r="1006">
      <c r="A1006" s="14" t="inlineStr">
        <is>
          <t>12.20</t>
        </is>
      </c>
      <c r="B1006" t="inlineStr">
        <is>
          <t>Providing and laying pressed clay tiles (as per approved pattern 20 mm nominal thickness of approved size)...</t>
        </is>
      </c>
      <c r="C1006" t="inlineStr">
        <is>
          <t>sqm</t>
        </is>
      </c>
      <c r="D1006" s="15" t="n">
        <v>584.55</v>
      </c>
      <c r="E1006" t="inlineStr">
        <is>
          <t>12_Roofing</t>
        </is>
      </c>
      <c r="F1006" t="n">
        <v>842</v>
      </c>
    </row>
    <row r="1007">
      <c r="A1007" s="14" t="inlineStr">
        <is>
          <t>12.21.1</t>
        </is>
      </c>
      <c r="B1007" t="inlineStr">
        <is>
          <t>Providing gola 75x75 mm in cement concrete 1:2:4 (1 cement : 2 coarse sand : 4 stone aggregate 10 mm and do...</t>
        </is>
      </c>
      <c r="C1007" t="inlineStr">
        <is>
          <t>metre</t>
        </is>
      </c>
      <c r="D1007" s="15" t="n">
        <v>237.25</v>
      </c>
      <c r="E1007" t="inlineStr">
        <is>
          <t>12_Roofing</t>
        </is>
      </c>
      <c r="F1007" t="n">
        <v>843</v>
      </c>
    </row>
    <row r="1008">
      <c r="A1008" s="14" t="inlineStr">
        <is>
          <t>12.22</t>
        </is>
      </c>
      <c r="B1008" t="inlineStr">
        <is>
          <t>Making khurras 45x45 cm with average minimum thickness of 5 cm cement concrete 1:2:4 (1 cement : 2 coarse s...</t>
        </is>
      </c>
      <c r="C1008" t="inlineStr">
        <is>
          <t>no</t>
        </is>
      </c>
      <c r="D1008" s="15" t="n">
        <v>244.05</v>
      </c>
      <c r="E1008" t="inlineStr">
        <is>
          <t>12_Roofing</t>
        </is>
      </c>
      <c r="F1008" t="n">
        <v>844</v>
      </c>
    </row>
    <row r="1009">
      <c r="A1009" s="14" t="inlineStr">
        <is>
          <t>12.23.1.1</t>
        </is>
      </c>
      <c r="B1009" t="inlineStr">
        <is>
          <t>Providing sand stone slab for roofing and laying them in cement mortar 1 : 4 (1 cement : 4 coarse sand) ove...</t>
        </is>
      </c>
      <c r="C1009" t="inlineStr">
        <is>
          <t>sqm</t>
        </is>
      </c>
      <c r="D1009" s="15" t="n">
        <v>793.1</v>
      </c>
      <c r="E1009" t="inlineStr">
        <is>
          <t>12_Roofing</t>
        </is>
      </c>
      <c r="F1009" t="n">
        <v>845</v>
      </c>
    </row>
    <row r="1010">
      <c r="A1010" s="14" t="inlineStr">
        <is>
          <t>12.23.2.1</t>
        </is>
      </c>
      <c r="B1010" t="inlineStr">
        <is>
          <t>Providing sand stone slab for roofing and laying them in cement mortar 1 : 4 (1 cement : 4 coarse sand) ove...</t>
        </is>
      </c>
      <c r="C1010" t="inlineStr">
        <is>
          <t>sqm</t>
        </is>
      </c>
      <c r="D1010" s="15" t="n">
        <v>815.15</v>
      </c>
      <c r="E1010" t="inlineStr">
        <is>
          <t>12_Roofing</t>
        </is>
      </c>
      <c r="F1010" t="n">
        <v>846</v>
      </c>
    </row>
    <row r="1011">
      <c r="A1011" s="14" t="inlineStr">
        <is>
          <t>12.24.1.1</t>
        </is>
      </c>
      <c r="B1011" t="inlineStr">
        <is>
          <t>Providing and fixing insulating board ceiling of approved quality with necessary nails etc. complete (frame...</t>
        </is>
      </c>
      <c r="C1011" t="inlineStr">
        <is>
          <t>sqm</t>
        </is>
      </c>
      <c r="D1011" s="15" t="n">
        <v>733.75</v>
      </c>
      <c r="E1011" t="inlineStr">
        <is>
          <t>12_Roofing</t>
        </is>
      </c>
      <c r="F1011" t="n">
        <v>847</v>
      </c>
    </row>
    <row r="1012">
      <c r="A1012" s="14" t="inlineStr">
        <is>
          <t>12.24.2.1</t>
        </is>
      </c>
      <c r="B1012" t="inlineStr">
        <is>
          <t>Providing and fixing insulating board ceiling of approved quality with necessary nails etc. complete (frame...</t>
        </is>
      </c>
      <c r="C1012" t="inlineStr">
        <is>
          <t>sqm</t>
        </is>
      </c>
      <c r="D1012" s="15" t="n">
        <v>770.55</v>
      </c>
      <c r="E1012" t="inlineStr">
        <is>
          <t>12_Roofing</t>
        </is>
      </c>
      <c r="F1012" t="n">
        <v>848</v>
      </c>
    </row>
    <row r="1013">
      <c r="A1013" s="14" t="inlineStr">
        <is>
          <t>12.24.3.1</t>
        </is>
      </c>
      <c r="B1013" t="inlineStr">
        <is>
          <t>Providing and fixing insulating board ceiling of approved quality with necessary nails etc. complete (frame...</t>
        </is>
      </c>
      <c r="C1013" t="inlineStr">
        <is>
          <t>sqm</t>
        </is>
      </c>
      <c r="D1013" s="15" t="n">
        <v>895.65</v>
      </c>
      <c r="E1013" t="inlineStr">
        <is>
          <t>12_Roofing</t>
        </is>
      </c>
      <c r="F1013" t="n">
        <v>848</v>
      </c>
    </row>
    <row r="1014">
      <c r="A1014" s="14" t="inlineStr">
        <is>
          <t>12.25.1</t>
        </is>
      </c>
      <c r="B1014" t="inlineStr">
        <is>
          <t>Providing and fixing flat pressed 3 layer medium density particle board or graded particle board (Grade I)...</t>
        </is>
      </c>
      <c r="C1014" t="inlineStr">
        <is>
          <t>sqm</t>
        </is>
      </c>
      <c r="D1014" s="15" t="n">
        <v>847.85</v>
      </c>
      <c r="E1014" t="inlineStr">
        <is>
          <t>12_Roofing</t>
        </is>
      </c>
      <c r="F1014" t="n">
        <v>849</v>
      </c>
    </row>
    <row r="1015">
      <c r="A1015" s="14" t="inlineStr">
        <is>
          <t>12.26.1</t>
        </is>
      </c>
      <c r="B1015" t="inlineStr">
        <is>
          <t>Providing and fixing plain multipurpose cement board(Hight pressure steam cured) with suitable screws for c...</t>
        </is>
      </c>
      <c r="C1015" t="inlineStr">
        <is>
          <t>sqm</t>
        </is>
      </c>
      <c r="D1015" s="15" t="n">
        <v>733.05</v>
      </c>
      <c r="E1015" t="inlineStr">
        <is>
          <t>12_Roofing</t>
        </is>
      </c>
      <c r="F1015" t="n">
        <v>849</v>
      </c>
    </row>
    <row r="1016">
      <c r="A1016" s="14" t="inlineStr">
        <is>
          <t>12.26.2</t>
        </is>
      </c>
      <c r="B1016" t="inlineStr">
        <is>
          <t>Providing and fixing plain multipurpose cement board(Hight pressure steam cured) with suitable screws for c...</t>
        </is>
      </c>
      <c r="C1016" t="inlineStr">
        <is>
          <t>sqm</t>
        </is>
      </c>
      <c r="D1016" s="15" t="n">
        <v>711</v>
      </c>
      <c r="E1016" t="inlineStr">
        <is>
          <t>12_Roofing</t>
        </is>
      </c>
      <c r="F1016" t="n">
        <v>850</v>
      </c>
    </row>
    <row r="1017">
      <c r="A1017" s="14" t="inlineStr">
        <is>
          <t>12.27.1</t>
        </is>
      </c>
      <c r="B1017" t="inlineStr">
        <is>
          <t>Extra for Circular cutting including wastages in ceiling with - 2nd class teak wood planks 20 mm thick</t>
        </is>
      </c>
      <c r="C1017" t="inlineStr">
        <is>
          <t>metre</t>
        </is>
      </c>
      <c r="D1017" s="15" t="n">
        <v>603.05</v>
      </c>
      <c r="E1017" t="inlineStr">
        <is>
          <t>12_Roofing</t>
        </is>
      </c>
      <c r="F1017" t="n">
        <v>850</v>
      </c>
    </row>
    <row r="1018">
      <c r="A1018" s="14" t="inlineStr">
        <is>
          <t>12.27.2.1</t>
        </is>
      </c>
      <c r="B1018" t="inlineStr">
        <is>
          <t>Extra for Circular cutting including wastages in ceiling with - Natural colour insulating board - 12 mm thick</t>
        </is>
      </c>
      <c r="C1018" t="inlineStr">
        <is>
          <t>metre</t>
        </is>
      </c>
      <c r="D1018" s="15" t="n">
        <v>369.1</v>
      </c>
      <c r="E1018" t="inlineStr">
        <is>
          <t>12_Roofing</t>
        </is>
      </c>
      <c r="F1018" t="n">
        <v>851</v>
      </c>
    </row>
    <row r="1019">
      <c r="A1019" s="14" t="inlineStr">
        <is>
          <t>12.27.3.1</t>
        </is>
      </c>
      <c r="B1019" t="inlineStr">
        <is>
          <t>Extra for Circular cutting including wastages in ceiling with - White face insulating board - 12 mm thick</t>
        </is>
      </c>
      <c r="C1019" t="inlineStr">
        <is>
          <t>metre</t>
        </is>
      </c>
      <c r="D1019" s="15" t="n">
        <v>373.7</v>
      </c>
      <c r="E1019" t="inlineStr">
        <is>
          <t>12_Roofing</t>
        </is>
      </c>
      <c r="F1019" t="n">
        <v>852</v>
      </c>
    </row>
    <row r="1020">
      <c r="A1020" s="14" t="inlineStr">
        <is>
          <t>12.27.4.1</t>
        </is>
      </c>
      <c r="B1020" t="inlineStr">
        <is>
          <t>Extra for Circular cutting including wastages in ceiling with - Flame retardant face insulating board - 12...</t>
        </is>
      </c>
      <c r="C1020" t="inlineStr">
        <is>
          <t>metre</t>
        </is>
      </c>
      <c r="D1020" s="15" t="n">
        <v>389.25</v>
      </c>
      <c r="E1020" t="inlineStr">
        <is>
          <t>12_Roofing</t>
        </is>
      </c>
      <c r="F1020" t="n">
        <v>853</v>
      </c>
    </row>
    <row r="1021">
      <c r="A1021" s="14" t="inlineStr">
        <is>
          <t>12.27.5.1</t>
        </is>
      </c>
      <c r="B1021" t="inlineStr">
        <is>
          <t>Extra for Circular cutting including wastages in ceiling with - Standard quality hard board sheet - 3 mm thick</t>
        </is>
      </c>
      <c r="C1021" t="inlineStr">
        <is>
          <t>metre</t>
        </is>
      </c>
      <c r="D1021" s="15" t="n">
        <v>355.3</v>
      </c>
      <c r="E1021" t="inlineStr">
        <is>
          <t>12_Roofing</t>
        </is>
      </c>
      <c r="F1021" t="n">
        <v>853</v>
      </c>
    </row>
    <row r="1022">
      <c r="A1022" s="14" t="inlineStr">
        <is>
          <t>12.27.5.2</t>
        </is>
      </c>
      <c r="B1022" t="inlineStr">
        <is>
          <t>Extra for Circular cutting including wastages in ceiling with - Standard quality hard board sheet - 4.5 mm...</t>
        </is>
      </c>
      <c r="C1022" t="inlineStr">
        <is>
          <t>metre</t>
        </is>
      </c>
      <c r="D1022" s="15" t="n">
        <v>369.05</v>
      </c>
      <c r="E1022" t="inlineStr">
        <is>
          <t>12_Roofing</t>
        </is>
      </c>
      <c r="F1022" t="n">
        <v>854</v>
      </c>
    </row>
    <row r="1023">
      <c r="A1023" s="14" t="inlineStr">
        <is>
          <t>12.28</t>
        </is>
      </c>
      <c r="B1023" t="inlineStr">
        <is>
          <t>Extra for providing and fixing ceiling to curved surfaces in narrow widths</t>
        </is>
      </c>
      <c r="C1023" t="inlineStr">
        <is>
          <t>sqm</t>
        </is>
      </c>
      <c r="D1023" s="15" t="n">
        <v>338.9</v>
      </c>
      <c r="E1023" t="inlineStr">
        <is>
          <t>12_Roofing</t>
        </is>
      </c>
      <c r="F1023" t="n">
        <v>855</v>
      </c>
    </row>
    <row r="1024">
      <c r="A1024" s="14" t="inlineStr">
        <is>
          <t>12.31.1</t>
        </is>
      </c>
      <c r="B1024" t="inlineStr">
        <is>
          <t>Providing 10 mm thick plaster of Paris (gypsum anhydrous) ceiling up to a height of 5 m above floor level,...</t>
        </is>
      </c>
      <c r="C1024" t="inlineStr">
        <is>
          <t>sqm</t>
        </is>
      </c>
      <c r="D1024" s="15" t="n">
        <v>1324.05</v>
      </c>
      <c r="E1024" t="inlineStr">
        <is>
          <t>12_Roofing</t>
        </is>
      </c>
      <c r="F1024" t="n">
        <v>855</v>
      </c>
    </row>
    <row r="1025">
      <c r="A1025" s="14" t="inlineStr">
        <is>
          <t>12.31.2</t>
        </is>
      </c>
      <c r="B1025" t="inlineStr">
        <is>
          <t>Providing 10 mm thick plaster of Paris (gypsum anhydrous) ceiling up to a height of 5 m above floor level,...</t>
        </is>
      </c>
      <c r="C1025" t="inlineStr">
        <is>
          <t>sqm</t>
        </is>
      </c>
      <c r="D1025" s="15" t="n">
        <v>1584.15</v>
      </c>
      <c r="E1025" t="inlineStr">
        <is>
          <t>12_Roofing</t>
        </is>
      </c>
      <c r="F1025" t="n">
        <v>856</v>
      </c>
    </row>
    <row r="1026">
      <c r="A1026" s="14" t="inlineStr">
        <is>
          <t>12.32</t>
        </is>
      </c>
      <c r="B1026" t="inlineStr">
        <is>
          <t>Extra for sunk or raised mouldings in the plaster of Paris (Gypsum anhydrous) ceiling</t>
        </is>
      </c>
      <c r="C1026" t="inlineStr">
        <is>
          <t>sqm</t>
        </is>
      </c>
      <c r="D1026" s="15" t="n">
        <v>445.9</v>
      </c>
      <c r="E1026" t="inlineStr">
        <is>
          <t>12_Roofing</t>
        </is>
      </c>
      <c r="F1026" t="n">
        <v>857</v>
      </c>
    </row>
    <row r="1027">
      <c r="A1027" s="14" t="inlineStr">
        <is>
          <t>12.33</t>
        </is>
      </c>
      <c r="B1027" t="inlineStr">
        <is>
          <t>Extra for providing plaster of Paris (Gypsum anhydrous) ceiling above 5 metres height from floor level</t>
        </is>
      </c>
      <c r="C1027" t="inlineStr">
        <is>
          <t>sqm</t>
        </is>
      </c>
      <c r="D1027" s="15" t="n">
        <v>197.65</v>
      </c>
      <c r="E1027" t="inlineStr">
        <is>
          <t>12_Roofing</t>
        </is>
      </c>
      <c r="F1027" t="n">
        <v>858</v>
      </c>
    </row>
    <row r="1028">
      <c r="A1028" s="14" t="inlineStr">
        <is>
          <t>12.34</t>
        </is>
      </c>
      <c r="B1028" t="inlineStr">
        <is>
          <t>Providing fixing thermal insulation of ceiling (under deck insulation) with Resin Bonded Fibre glass wool c...</t>
        </is>
      </c>
      <c r="C1028" t="inlineStr">
        <is>
          <t>sqm</t>
        </is>
      </c>
      <c r="D1028" s="15" t="n">
        <v>580.25</v>
      </c>
      <c r="E1028" t="inlineStr">
        <is>
          <t>12_Roofing</t>
        </is>
      </c>
      <c r="F1028" t="n">
        <v>858</v>
      </c>
    </row>
    <row r="1029">
      <c r="A1029" s="14" t="inlineStr">
        <is>
          <t>12.35</t>
        </is>
      </c>
      <c r="B1029" t="inlineStr">
        <is>
          <t>Providing and fixing thermal insulation with Resin Bonded Fibre glass wool conforming to IS: 8183. Density...</t>
        </is>
      </c>
      <c r="C1029" t="inlineStr">
        <is>
          <t>sqm</t>
        </is>
      </c>
      <c r="D1029" s="15" t="n">
        <v>247.8</v>
      </c>
      <c r="E1029" t="inlineStr">
        <is>
          <t>12_Roofing</t>
        </is>
      </c>
      <c r="F1029" t="n">
        <v>859</v>
      </c>
    </row>
    <row r="1030">
      <c r="A1030" s="14" t="inlineStr">
        <is>
          <t>12.36.1</t>
        </is>
      </c>
      <c r="B1030" t="inlineStr">
        <is>
          <t>Thermal Insulation of roofing with Expanded polystyrene fixed with suitable adhesive to the false ceiling a...</t>
        </is>
      </c>
      <c r="C1030" t="inlineStr">
        <is>
          <t>sqm</t>
        </is>
      </c>
      <c r="D1030" s="15" t="n">
        <v>275.1</v>
      </c>
      <c r="E1030" t="inlineStr">
        <is>
          <t>12_Roofing</t>
        </is>
      </c>
      <c r="F1030" t="n">
        <v>859</v>
      </c>
    </row>
    <row r="1031">
      <c r="A1031" s="14" t="inlineStr">
        <is>
          <t>12.36.2</t>
        </is>
      </c>
      <c r="B1031" t="inlineStr">
        <is>
          <t>Thermal Insulation of roofing with Expanded polystyrene fixed with suitable adhesive to the false ceiling a...</t>
        </is>
      </c>
      <c r="C1031" t="inlineStr">
        <is>
          <t>sqm</t>
        </is>
      </c>
      <c r="D1031" s="15" t="n">
        <v>311.85</v>
      </c>
      <c r="E1031" t="inlineStr">
        <is>
          <t>12_Roofing</t>
        </is>
      </c>
      <c r="F1031" t="n">
        <v>860</v>
      </c>
    </row>
    <row r="1032">
      <c r="A1032" s="14" t="inlineStr">
        <is>
          <t>12.37.1</t>
        </is>
      </c>
      <c r="B1032" t="inlineStr">
        <is>
          <t>Providing and fixing 100 mm diameter and 60 cm long rain water spout in cement mortar 1:4 (1 cement : 4 fin...</t>
        </is>
      </c>
      <c r="C1032" t="inlineStr">
        <is>
          <t>spouts</t>
        </is>
      </c>
      <c r="D1032" s="15" t="n">
        <v>128.4</v>
      </c>
      <c r="E1032" t="inlineStr">
        <is>
          <t>12_Roofing</t>
        </is>
      </c>
      <c r="F1032" t="n">
        <v>861</v>
      </c>
    </row>
    <row r="1033">
      <c r="A1033" s="14" t="inlineStr">
        <is>
          <t>12.38.1</t>
        </is>
      </c>
      <c r="B1033" t="inlineStr">
        <is>
          <t>Providing and fixing M.S. holder bat clamps of approved design to C.I. or S.C.I. rain water pipes embedded...</t>
        </is>
      </c>
      <c r="C1033" t="inlineStr">
        <is>
          <t>bat</t>
        </is>
      </c>
      <c r="D1033" s="15" t="n">
        <v>287.45</v>
      </c>
      <c r="E1033" t="inlineStr">
        <is>
          <t>12_Roofing</t>
        </is>
      </c>
      <c r="F1033" t="n">
        <v>861</v>
      </c>
    </row>
    <row r="1034">
      <c r="A1034" s="14" t="inlineStr">
        <is>
          <t>12.38.2</t>
        </is>
      </c>
      <c r="B1034" t="inlineStr">
        <is>
          <t>Providing and fixing M.S. holder bat clamps of approved design to C.I. or S.C.I. rain water pipes embedded...</t>
        </is>
      </c>
      <c r="C1034" t="inlineStr">
        <is>
          <t>bat</t>
        </is>
      </c>
      <c r="D1034" s="15" t="n">
        <v>307.5</v>
      </c>
      <c r="E1034" t="inlineStr">
        <is>
          <t>12_Roofing</t>
        </is>
      </c>
      <c r="F1034" t="n">
        <v>862</v>
      </c>
    </row>
    <row r="1035">
      <c r="A1035" s="14" t="inlineStr">
        <is>
          <t>12.39.1</t>
        </is>
      </c>
      <c r="B1035" t="inlineStr">
        <is>
          <t>Providing lead caulked joints to sand cast iron rain water pipes and fittings - 100 mm dia Pipe</t>
        </is>
      </c>
      <c r="C1035" t="inlineStr">
        <is>
          <t>joint</t>
        </is>
      </c>
      <c r="D1035" s="15" t="n">
        <v>421.15</v>
      </c>
      <c r="E1035" t="inlineStr">
        <is>
          <t>12_Roofing</t>
        </is>
      </c>
      <c r="F1035" t="n">
        <v>863</v>
      </c>
    </row>
    <row r="1036">
      <c r="A1036" s="14" t="inlineStr">
        <is>
          <t>12.39.2</t>
        </is>
      </c>
      <c r="B1036" t="inlineStr">
        <is>
          <t>Providing lead caulked joints to sand cast iron rain water pipes and fittings - 150 mm dia Pipe</t>
        </is>
      </c>
      <c r="C1036" t="inlineStr">
        <is>
          <t>joint</t>
        </is>
      </c>
      <c r="D1036" s="15" t="n">
        <v>575.95</v>
      </c>
      <c r="E1036" t="inlineStr">
        <is>
          <t>12_Roofing</t>
        </is>
      </c>
      <c r="F1036" t="n">
        <v>864</v>
      </c>
    </row>
    <row r="1037">
      <c r="A1037" s="14" t="inlineStr">
        <is>
          <t>12.40.1.1</t>
        </is>
      </c>
      <c r="B1037" t="inlineStr">
        <is>
          <t>Providing, fixing and embedding sand cast iron accessories for rain water pipes in the masonry surrounded w...</t>
        </is>
      </c>
      <c r="C1037" t="inlineStr">
        <is>
          <t>nos</t>
        </is>
      </c>
      <c r="D1037" s="15" t="n">
        <v>428.25</v>
      </c>
      <c r="E1037" t="inlineStr">
        <is>
          <t>12_Roofing</t>
        </is>
      </c>
      <c r="F1037" t="n">
        <v>864</v>
      </c>
    </row>
    <row r="1038">
      <c r="A1038" s="14" t="inlineStr">
        <is>
          <t>12.41.1</t>
        </is>
      </c>
      <c r="B1038" t="inlineStr">
        <is>
          <t>Providing and fixing on wall face unplasticised Rigid PVC rain water pipes conforming to IS : 13592 Type A,...</t>
        </is>
      </c>
      <c r="C1038" t="inlineStr">
        <is>
          <t>metre</t>
        </is>
      </c>
      <c r="D1038" s="15" t="n">
        <v>201.1</v>
      </c>
      <c r="E1038" t="inlineStr">
        <is>
          <t>12_Roofing</t>
        </is>
      </c>
      <c r="F1038" t="n">
        <v>865</v>
      </c>
    </row>
    <row r="1039">
      <c r="A1039" s="14" t="inlineStr">
        <is>
          <t>12.41.2</t>
        </is>
      </c>
      <c r="B1039" t="inlineStr">
        <is>
          <t>Providing and fixing on wall face unplasticised Rigid PVC rain water pipes conforming to IS : 13592 Type A,...</t>
        </is>
      </c>
      <c r="C1039" t="inlineStr">
        <is>
          <t>metre</t>
        </is>
      </c>
      <c r="D1039" s="15" t="n">
        <v>305.05</v>
      </c>
      <c r="E1039" t="inlineStr">
        <is>
          <t>12_Roofing</t>
        </is>
      </c>
      <c r="F1039" t="n">
        <v>865</v>
      </c>
    </row>
    <row r="1040">
      <c r="A1040" s="14" t="inlineStr">
        <is>
          <t>12.42.1.1</t>
        </is>
      </c>
      <c r="B1040" t="inlineStr">
        <is>
          <t>Providing and fixing on wall face unplasticised - PVC moulded fittings/ accessories for unplasticised Rigid...</t>
        </is>
      </c>
      <c r="C1040" t="inlineStr">
        <is>
          <t>coupler</t>
        </is>
      </c>
      <c r="D1040" s="15" t="n">
        <v>77.84999999999999</v>
      </c>
      <c r="E1040" t="inlineStr">
        <is>
          <t>12_Roofing</t>
        </is>
      </c>
      <c r="F1040" t="n">
        <v>866</v>
      </c>
    </row>
    <row r="1041">
      <c r="A1041" s="14" t="inlineStr">
        <is>
          <t>12.42.1.2</t>
        </is>
      </c>
      <c r="B1041" t="inlineStr">
        <is>
          <t>Providing and fixing on wall face unplasticised - PVC moulded fittings/ accessories for unplasticised Rigid...</t>
        </is>
      </c>
      <c r="C1041" t="inlineStr">
        <is>
          <t>coupler</t>
        </is>
      </c>
      <c r="D1041" s="15" t="n">
        <v>117.8</v>
      </c>
      <c r="E1041" t="inlineStr">
        <is>
          <t>12_Roofing</t>
        </is>
      </c>
      <c r="F1041" t="n">
        <v>866</v>
      </c>
    </row>
    <row r="1042">
      <c r="A1042" s="14" t="inlineStr">
        <is>
          <t>12.42.2.1</t>
        </is>
      </c>
      <c r="B1042" t="inlineStr">
        <is>
          <t>Providing and fixing on wall face unplasticised - PVC moulded fittings/ accessories for unplasticised Rigid...</t>
        </is>
      </c>
      <c r="C1042" t="inlineStr">
        <is>
          <t>coupler</t>
        </is>
      </c>
      <c r="D1042" s="15" t="n">
        <v>77.84999999999999</v>
      </c>
      <c r="E1042" t="inlineStr">
        <is>
          <t>12_Roofing</t>
        </is>
      </c>
      <c r="F1042" t="n">
        <v>867</v>
      </c>
    </row>
    <row r="1043">
      <c r="A1043" s="14" t="inlineStr">
        <is>
          <t>12.42.2.2</t>
        </is>
      </c>
      <c r="B1043" t="inlineStr">
        <is>
          <t>Providing and fixing on wall face unplasticised - PVC moulded fittings/ accessories for unplasticised Rigid...</t>
        </is>
      </c>
      <c r="C1043" t="inlineStr">
        <is>
          <t>coupler</t>
        </is>
      </c>
      <c r="D1043" s="15" t="n">
        <v>108.45</v>
      </c>
      <c r="E1043" t="inlineStr">
        <is>
          <t>12_Roofing</t>
        </is>
      </c>
      <c r="F1043" t="n">
        <v>867</v>
      </c>
    </row>
    <row r="1044">
      <c r="A1044" s="14" t="inlineStr">
        <is>
          <t>12.42.3.1</t>
        </is>
      </c>
      <c r="B1044" t="inlineStr">
        <is>
          <t>Providing and fixing on wall face unplasticised - PVC moulded fittings/ accessories for unplasticised Rigid...</t>
        </is>
      </c>
      <c r="C1044" t="inlineStr">
        <is>
          <t>tee</t>
        </is>
      </c>
      <c r="D1044" s="15" t="n">
        <v>139.85</v>
      </c>
      <c r="E1044" t="inlineStr">
        <is>
          <t>12_Roofing</t>
        </is>
      </c>
      <c r="F1044" t="n">
        <v>868</v>
      </c>
    </row>
    <row r="1045">
      <c r="A1045" s="14" t="inlineStr">
        <is>
          <t>12.42.3.2</t>
        </is>
      </c>
      <c r="B1045" t="inlineStr">
        <is>
          <t>Providing and fixing on wall face unplasticised - PVC moulded fittings/ accessories for unplasticised Rigid...</t>
        </is>
      </c>
      <c r="C1045" t="inlineStr">
        <is>
          <t>tee</t>
        </is>
      </c>
      <c r="D1045" s="15" t="n">
        <v>203.3</v>
      </c>
      <c r="E1045" t="inlineStr">
        <is>
          <t>12_Roofing</t>
        </is>
      </c>
      <c r="F1045" t="n">
        <v>868</v>
      </c>
    </row>
    <row r="1046">
      <c r="A1046" s="14" t="inlineStr">
        <is>
          <t>12.42.4.1</t>
        </is>
      </c>
      <c r="B1046" t="inlineStr">
        <is>
          <t>Providing and fixing on wall face unplasticised - PVC moulded fittings/ accessories for unplasticised Rigid...</t>
        </is>
      </c>
      <c r="C1046" t="inlineStr">
        <is>
          <t>tee</t>
        </is>
      </c>
      <c r="D1046" s="15" t="n">
        <v>122.45</v>
      </c>
      <c r="E1046" t="inlineStr">
        <is>
          <t>12_Roofing</t>
        </is>
      </c>
      <c r="F1046" t="n">
        <v>869</v>
      </c>
    </row>
    <row r="1047">
      <c r="A1047" s="14" t="inlineStr">
        <is>
          <t>12.42.4.2</t>
        </is>
      </c>
      <c r="B1047" t="inlineStr">
        <is>
          <t>Providing and fixing on wall face unplasticised - PVC moulded fittings/ accessories for unplasticised Rigid...</t>
        </is>
      </c>
      <c r="C1047" t="inlineStr">
        <is>
          <t>tee</t>
        </is>
      </c>
      <c r="D1047" s="15" t="n">
        <v>188.55</v>
      </c>
      <c r="E1047" t="inlineStr">
        <is>
          <t>12_Roofing</t>
        </is>
      </c>
      <c r="F1047" t="n">
        <v>869</v>
      </c>
    </row>
    <row r="1048">
      <c r="A1048" s="14" t="inlineStr">
        <is>
          <t>12.42.5.1</t>
        </is>
      </c>
      <c r="B1048" t="inlineStr">
        <is>
          <t>Providing and fixing on wall face unplasticised - PVC moulded fittings/ accessories for unplasticised Rigid...</t>
        </is>
      </c>
      <c r="C1048" t="inlineStr">
        <is>
          <t>bend</t>
        </is>
      </c>
      <c r="D1048" s="15" t="n">
        <v>89.90000000000001</v>
      </c>
      <c r="E1048" t="inlineStr">
        <is>
          <t>12_Roofing</t>
        </is>
      </c>
      <c r="F1048" t="n">
        <v>870</v>
      </c>
    </row>
    <row r="1049">
      <c r="A1049" s="14" t="inlineStr">
        <is>
          <t>12.42.5.2</t>
        </is>
      </c>
      <c r="B1049" t="inlineStr">
        <is>
          <t>Providing and fixing on wall face unplasticised - PVC moulded fittings/ accessories for unplasticised Rigid...</t>
        </is>
      </c>
      <c r="C1049" t="inlineStr">
        <is>
          <t>bend</t>
        </is>
      </c>
      <c r="D1049" s="15" t="n">
        <v>129.85</v>
      </c>
      <c r="E1049" t="inlineStr">
        <is>
          <t>12_Roofing</t>
        </is>
      </c>
      <c r="F1049" t="n">
        <v>870</v>
      </c>
    </row>
    <row r="1050">
      <c r="A1050" s="14" t="inlineStr">
        <is>
          <t>12.42.6.1</t>
        </is>
      </c>
      <c r="B1050" t="inlineStr">
        <is>
          <t>Providing and fixing on wall face unplasticised - PVC moulded fittings/ accessories for unplasticised Rigid...</t>
        </is>
      </c>
      <c r="C1050" t="inlineStr">
        <is>
          <t>shoe</t>
        </is>
      </c>
      <c r="D1050" s="15" t="n">
        <v>79.2</v>
      </c>
      <c r="E1050" t="inlineStr">
        <is>
          <t>12_Roofing</t>
        </is>
      </c>
      <c r="F1050" t="n">
        <v>871</v>
      </c>
    </row>
    <row r="1051">
      <c r="A1051" s="14" t="inlineStr">
        <is>
          <t>12.42.6.2</t>
        </is>
      </c>
      <c r="B1051" t="inlineStr">
        <is>
          <t>Providing and fixing on wall face unplasticised - PVC moulded fittings/ accessories for unplasticised Rigid...</t>
        </is>
      </c>
      <c r="C1051" t="inlineStr">
        <is>
          <t>shoe</t>
        </is>
      </c>
      <c r="D1051" s="15" t="n">
        <v>113.8</v>
      </c>
      <c r="E1051" t="inlineStr">
        <is>
          <t>12_Roofing</t>
        </is>
      </c>
      <c r="F1051" t="n">
        <v>871</v>
      </c>
    </row>
    <row r="1052">
      <c r="A1052" s="14" t="inlineStr">
        <is>
          <t>12.43.1</t>
        </is>
      </c>
      <c r="B1052" t="inlineStr">
        <is>
          <t>Providing and fixing unplasticised -PVC pipe clips of approved design to unplasticised - PVC rain water pip...</t>
        </is>
      </c>
      <c r="C1052" t="inlineStr">
        <is>
          <t>nos</t>
        </is>
      </c>
      <c r="D1052" s="15" t="n">
        <v>290.15</v>
      </c>
      <c r="E1052" t="inlineStr">
        <is>
          <t>12_Roofing</t>
        </is>
      </c>
      <c r="F1052" t="n">
        <v>872</v>
      </c>
    </row>
    <row r="1053">
      <c r="A1053" s="14" t="inlineStr">
        <is>
          <t>12.43.2</t>
        </is>
      </c>
      <c r="B1053" t="inlineStr">
        <is>
          <t>Providing and fixing unplasticised -PVC pipe clips of approved design to unplasticised - PVC rain water pip...</t>
        </is>
      </c>
      <c r="C1053" t="inlineStr">
        <is>
          <t>nos</t>
        </is>
      </c>
      <c r="D1053" s="15" t="n">
        <v>288.8</v>
      </c>
      <c r="E1053" t="inlineStr">
        <is>
          <t>12_Roofing</t>
        </is>
      </c>
      <c r="F1053" t="n">
        <v>873</v>
      </c>
    </row>
    <row r="1054">
      <c r="A1054" s="14" t="inlineStr">
        <is>
          <t>12.44</t>
        </is>
      </c>
      <c r="B1054" t="inlineStr">
        <is>
          <t>Providing and fixing to the inlet mouth of rain water pipe cast iron grating 15 cm diameter and weighing no...</t>
        </is>
      </c>
      <c r="C1054" t="inlineStr">
        <is>
          <t>grating</t>
        </is>
      </c>
      <c r="D1054" s="15" t="n">
        <v>47.25</v>
      </c>
      <c r="E1054" t="inlineStr">
        <is>
          <t>12_Roofing</t>
        </is>
      </c>
      <c r="F1054" t="n">
        <v>873</v>
      </c>
    </row>
    <row r="1055">
      <c r="A1055" s="14" t="inlineStr">
        <is>
          <t>12.45.1</t>
        </is>
      </c>
      <c r="B1055" t="inlineStr">
        <is>
          <t>Providing and fixing false ceiling at all height including providing and fixing of frame work made of speci...</t>
        </is>
      </c>
      <c r="C1055" t="inlineStr">
        <is>
          <t>sqm</t>
        </is>
      </c>
      <c r="D1055" s="15" t="n">
        <v>1117.65</v>
      </c>
      <c r="E1055" t="inlineStr">
        <is>
          <t>12_Roofing</t>
        </is>
      </c>
      <c r="F1055" t="n">
        <v>874</v>
      </c>
    </row>
    <row r="1056">
      <c r="A1056" s="14" t="inlineStr">
        <is>
          <t>12.45.2</t>
        </is>
      </c>
      <c r="B1056" t="inlineStr">
        <is>
          <t>Providing and fixing false ceiling at all height including providing and fixing of frame work made of speci...</t>
        </is>
      </c>
      <c r="C1056" t="inlineStr">
        <is>
          <t>sqm</t>
        </is>
      </c>
      <c r="D1056" s="15" t="n">
        <v>1237.05</v>
      </c>
      <c r="E1056" t="inlineStr">
        <is>
          <t>12_Roofing</t>
        </is>
      </c>
      <c r="F1056" t="n">
        <v>875</v>
      </c>
    </row>
    <row r="1057">
      <c r="A1057" s="14" t="inlineStr">
        <is>
          <t>12.45.3</t>
        </is>
      </c>
      <c r="B1057" t="inlineStr">
        <is>
          <t>Providing and fixing false ceiling at all height including providing and fixing of frame work made of speci...</t>
        </is>
      </c>
      <c r="C1057" t="inlineStr">
        <is>
          <t>sqm</t>
        </is>
      </c>
      <c r="D1057" s="15" t="n">
        <v>1286.2</v>
      </c>
      <c r="E1057" t="inlineStr">
        <is>
          <t>12_Roofing</t>
        </is>
      </c>
      <c r="F1057" t="n">
        <v>876</v>
      </c>
    </row>
    <row r="1058">
      <c r="A1058" s="14" t="inlineStr">
        <is>
          <t>12.45.4</t>
        </is>
      </c>
      <c r="B1058" t="inlineStr">
        <is>
          <t>Providing and fixing false ceiling at all height including providing and fixing of frame work made of speci...</t>
        </is>
      </c>
      <c r="C1058" t="inlineStr">
        <is>
          <t>sqm</t>
        </is>
      </c>
      <c r="D1058" s="15" t="n">
        <v>1475.85</v>
      </c>
      <c r="E1058" t="inlineStr">
        <is>
          <t>12_Roofing</t>
        </is>
      </c>
      <c r="F1058" t="n">
        <v>877</v>
      </c>
    </row>
    <row r="1059">
      <c r="A1059" s="14" t="inlineStr">
        <is>
          <t>12.46</t>
        </is>
      </c>
      <c r="B1059" t="inlineStr">
        <is>
          <t>Providing and fixing to the inlet mouth of rain water pipe PTMT (an Engineering Thermoplastic) grating squa...</t>
        </is>
      </c>
      <c r="C1059" t="inlineStr">
        <is>
          <t>grating</t>
        </is>
      </c>
      <c r="D1059" s="15" t="n">
        <v>100.45</v>
      </c>
      <c r="E1059" t="inlineStr">
        <is>
          <t>12_Roofing</t>
        </is>
      </c>
      <c r="F1059" t="n">
        <v>878</v>
      </c>
    </row>
    <row r="1060">
      <c r="A1060" s="14" t="inlineStr">
        <is>
          <t>12.47.1</t>
        </is>
      </c>
      <c r="B1060" t="inlineStr">
        <is>
          <t>Providing &amp; fixing UV stabilised fiberglass reinforced plastic sheet roofing up to any pitch, including fix...</t>
        </is>
      </c>
      <c r="C1060" t="inlineStr">
        <is>
          <t>sqm</t>
        </is>
      </c>
      <c r="D1060" s="15" t="n">
        <v>1095.2</v>
      </c>
      <c r="E1060" t="inlineStr">
        <is>
          <t>12_Roofing</t>
        </is>
      </c>
      <c r="F1060" t="n">
        <v>879</v>
      </c>
    </row>
    <row r="1061">
      <c r="A1061" s="14" t="inlineStr">
        <is>
          <t>12.47.2</t>
        </is>
      </c>
      <c r="B1061" t="inlineStr">
        <is>
          <t>Providing &amp; fixing UV stabilised fiberglass reinforced plastic sheet roofing up to any pitch, including fix...</t>
        </is>
      </c>
      <c r="C1061" t="inlineStr">
        <is>
          <t>sqm</t>
        </is>
      </c>
      <c r="D1061" s="15" t="n">
        <v>999.35</v>
      </c>
      <c r="E1061" t="inlineStr">
        <is>
          <t>12_Roofing</t>
        </is>
      </c>
      <c r="F1061" t="n">
        <v>880</v>
      </c>
    </row>
    <row r="1062">
      <c r="A1062" s="14" t="inlineStr">
        <is>
          <t>12.48</t>
        </is>
      </c>
      <c r="B1062" t="inlineStr">
        <is>
          <t>Providing &amp; fixing on roof pressed clay tile (Mangalore tile) of 20 mm nominal thickness and of approved si...</t>
        </is>
      </c>
      <c r="C1062" t="inlineStr">
        <is>
          <t>sqm</t>
        </is>
      </c>
      <c r="D1062" s="15" t="n">
        <v>324.4</v>
      </c>
      <c r="E1062" t="inlineStr">
        <is>
          <t>12_Roofing</t>
        </is>
      </c>
      <c r="F1062" t="n">
        <v>880</v>
      </c>
    </row>
    <row r="1063">
      <c r="A1063" s="14" t="inlineStr">
        <is>
          <t>12.49</t>
        </is>
      </c>
      <c r="B1063" t="inlineStr">
        <is>
          <t>Providing &amp; laying on roof pressed clay tile ridge (Mangalore tile) of 20mm thickness and of approved patte...</t>
        </is>
      </c>
      <c r="C1063" t="inlineStr">
        <is>
          <t>metre</t>
        </is>
      </c>
      <c r="D1063" s="15" t="n">
        <v>72.2</v>
      </c>
      <c r="E1063" t="inlineStr">
        <is>
          <t>12_Roofing</t>
        </is>
      </c>
      <c r="F1063" t="n">
        <v>881</v>
      </c>
    </row>
    <row r="1064">
      <c r="A1064" s="14" t="inlineStr">
        <is>
          <t>12.50</t>
        </is>
      </c>
      <c r="B1064" t="inlineStr">
        <is>
          <t>Providing and fixing precoated galvanised iron profile sheets (size, shape and pitch of corrugation as appr...</t>
        </is>
      </c>
      <c r="C1064" t="inlineStr">
        <is>
          <t>sqm</t>
        </is>
      </c>
      <c r="D1064" s="15" t="n">
        <v>627.55</v>
      </c>
      <c r="E1064" t="inlineStr">
        <is>
          <t>12_Roofing</t>
        </is>
      </c>
      <c r="F1064" t="n">
        <v>881</v>
      </c>
    </row>
    <row r="1065">
      <c r="A1065" s="14" t="inlineStr">
        <is>
          <t>12.51.1</t>
        </is>
      </c>
      <c r="B1065" t="inlineStr">
        <is>
          <t>Providing and fixing precoated galvanised steel sheet roofing accessories 0.50 mm (+0.05 %) total coated th...</t>
        </is>
      </c>
      <c r="C1065" t="inlineStr">
        <is>
          <t>metre</t>
        </is>
      </c>
      <c r="D1065" s="15" t="n">
        <v>416.3</v>
      </c>
      <c r="E1065" t="inlineStr">
        <is>
          <t>12_Roofing</t>
        </is>
      </c>
      <c r="F1065" t="n">
        <v>882</v>
      </c>
    </row>
    <row r="1066">
      <c r="A1066" s="14" t="inlineStr">
        <is>
          <t>12.51.2</t>
        </is>
      </c>
      <c r="B1066" t="inlineStr">
        <is>
          <t>Providing and fixing precoated galvanised steel sheet roofing accessories 0.50 mm (+0.05 %) total coated th...</t>
        </is>
      </c>
      <c r="C1066" t="inlineStr">
        <is>
          <t>metre</t>
        </is>
      </c>
      <c r="D1066" s="15" t="n">
        <v>368.6</v>
      </c>
      <c r="E1066" t="inlineStr">
        <is>
          <t>12_Roofing</t>
        </is>
      </c>
      <c r="F1066" t="n">
        <v>883</v>
      </c>
    </row>
    <row r="1067">
      <c r="A1067" s="14" t="inlineStr">
        <is>
          <t>12.51.3</t>
        </is>
      </c>
      <c r="B1067" t="inlineStr">
        <is>
          <t>Providing and fixing precoated galvanised steel sheet roofing accessories 0.50 mm (+0.05 %) total coated th...</t>
        </is>
      </c>
      <c r="C1067" t="inlineStr">
        <is>
          <t>metre</t>
        </is>
      </c>
      <c r="D1067" s="15" t="n">
        <v>443.05</v>
      </c>
      <c r="E1067" t="inlineStr">
        <is>
          <t>12_Roofing</t>
        </is>
      </c>
      <c r="F1067" t="n">
        <v>884</v>
      </c>
    </row>
    <row r="1068">
      <c r="A1068" s="14" t="inlineStr">
        <is>
          <t>12.51.4</t>
        </is>
      </c>
      <c r="B1068" t="inlineStr">
        <is>
          <t>Providing and fixing precoated galvanised steel sheet roofing accessories 0.50 mm (+0.05 %) total coated th...</t>
        </is>
      </c>
      <c r="C1068" t="inlineStr">
        <is>
          <t>metre</t>
        </is>
      </c>
      <c r="D1068" s="15" t="n">
        <v>355.8</v>
      </c>
      <c r="E1068" t="inlineStr">
        <is>
          <t>12_Roofing</t>
        </is>
      </c>
      <c r="F1068" t="n">
        <v>884</v>
      </c>
    </row>
    <row r="1069">
      <c r="A1069" s="14" t="inlineStr">
        <is>
          <t>12.51.5</t>
        </is>
      </c>
      <c r="B1069" t="inlineStr">
        <is>
          <t>Providing and fixing precoated galvanised steel sheet roofing accessories 0.50 mm (+0.05 %) total coated th...</t>
        </is>
      </c>
      <c r="C1069" t="inlineStr">
        <is>
          <t>sqm</t>
        </is>
      </c>
      <c r="D1069" s="15" t="n">
        <v>408.95</v>
      </c>
      <c r="E1069" t="inlineStr">
        <is>
          <t>12_Roofing</t>
        </is>
      </c>
      <c r="F1069" t="n">
        <v>885</v>
      </c>
    </row>
    <row r="1070">
      <c r="A1070" s="14" t="inlineStr">
        <is>
          <t>12.51.6</t>
        </is>
      </c>
      <c r="B1070" t="inlineStr">
        <is>
          <t>Providing and fixing precoated galvanised steel sheet roofing accessories 0.50 mm (+0.05 %) total coated th...</t>
        </is>
      </c>
      <c r="C1070" t="inlineStr">
        <is>
          <t>metres</t>
        </is>
      </c>
      <c r="D1070" s="15" t="n">
        <v>1041.75</v>
      </c>
      <c r="E1070" t="inlineStr">
        <is>
          <t>12_Roofing</t>
        </is>
      </c>
      <c r="F1070" t="n">
        <v>885</v>
      </c>
    </row>
    <row r="1071">
      <c r="A1071" s="14" t="inlineStr">
        <is>
          <t>12.52.1</t>
        </is>
      </c>
      <c r="B1071" t="inlineStr">
        <is>
          <t>Providing and fixing tiled false ceiling of specified materials of size 595x595 mm in true horizontal level...</t>
        </is>
      </c>
      <c r="C1071" t="inlineStr">
        <is>
          <t>sqm</t>
        </is>
      </c>
      <c r="D1071" s="15" t="n">
        <v>1504.45</v>
      </c>
      <c r="E1071" t="inlineStr">
        <is>
          <t>12_Roofing</t>
        </is>
      </c>
      <c r="F1071" t="n">
        <v>887</v>
      </c>
    </row>
    <row r="1072">
      <c r="A1072" s="14" t="inlineStr">
        <is>
          <t>12.52.2</t>
        </is>
      </c>
      <c r="B1072" t="inlineStr">
        <is>
          <t>Providing and fixing tiled false ceiling of specified materials of size 595x595 mm in true horizontal level...</t>
        </is>
      </c>
      <c r="C1072" t="inlineStr">
        <is>
          <t>sqm</t>
        </is>
      </c>
      <c r="D1072" s="15" t="n">
        <v>1649.15</v>
      </c>
      <c r="E1072" t="inlineStr">
        <is>
          <t>12_Roofing</t>
        </is>
      </c>
      <c r="F1072" t="n">
        <v>888</v>
      </c>
    </row>
    <row r="1073">
      <c r="A1073" s="14" t="inlineStr">
        <is>
          <t>12.52.3</t>
        </is>
      </c>
      <c r="B1073" t="inlineStr">
        <is>
          <t>Providing and fixing tiled false ceiling of specified materials of size 595x595 mm in true horizontal level...</t>
        </is>
      </c>
      <c r="C1073" t="inlineStr">
        <is>
          <t>sqm</t>
        </is>
      </c>
      <c r="D1073" s="15" t="n">
        <v>1880.95</v>
      </c>
      <c r="E1073" t="inlineStr">
        <is>
          <t>12_Roofing</t>
        </is>
      </c>
      <c r="F1073" t="n">
        <v>889</v>
      </c>
    </row>
    <row r="1074">
      <c r="A1074" s="14" t="inlineStr">
        <is>
          <t>12.52.4</t>
        </is>
      </c>
      <c r="B1074" t="inlineStr">
        <is>
          <t>Providing and fixing tiled false ceiling of specified materials of size 595x595 mm in true horizontal level...</t>
        </is>
      </c>
      <c r="C1074" t="inlineStr">
        <is>
          <t>sqm</t>
        </is>
      </c>
      <c r="D1074" s="15" t="n">
        <v>1171.5</v>
      </c>
      <c r="E1074" t="inlineStr">
        <is>
          <t>12_Roofing</t>
        </is>
      </c>
      <c r="F1074" t="n">
        <v>890</v>
      </c>
    </row>
    <row r="1075">
      <c r="A1075" s="14" t="inlineStr">
        <is>
          <t>12.53</t>
        </is>
      </c>
      <c r="B1075" t="inlineStr">
        <is>
          <t>Providing and Fixing 15 mm thick densified tegular edged eco friendly light weight calcium silicate false c...</t>
        </is>
      </c>
      <c r="C1075" t="inlineStr">
        <is>
          <t>sqm</t>
        </is>
      </c>
      <c r="D1075" s="15" t="n">
        <v>1643.95</v>
      </c>
      <c r="E1075" t="inlineStr">
        <is>
          <t>12_Roofing</t>
        </is>
      </c>
      <c r="F1075" t="n">
        <v>891</v>
      </c>
    </row>
    <row r="1076">
      <c r="A1076" s="14" t="inlineStr">
        <is>
          <t>12.54.1</t>
        </is>
      </c>
      <c r="B1076" t="inlineStr">
        <is>
          <t>Providing and fixing Gl Clip in Metal Ceiling System of 600x600 mm module which includes providing and fixi...</t>
        </is>
      </c>
      <c r="C1076" t="inlineStr">
        <is>
          <t>sqm</t>
        </is>
      </c>
      <c r="D1076" s="15" t="n">
        <v>1734.1</v>
      </c>
      <c r="E1076" t="inlineStr">
        <is>
          <t>12_Roofing</t>
        </is>
      </c>
      <c r="F1076" t="n">
        <v>892</v>
      </c>
    </row>
    <row r="1077">
      <c r="A1077" s="14" t="inlineStr">
        <is>
          <t>12.54.2</t>
        </is>
      </c>
      <c r="B1077" t="inlineStr">
        <is>
          <t>Providing and fixing Gl Clip in Metal Ceiling System of 600x600 mm module which includes providing and fixi...</t>
        </is>
      </c>
      <c r="C1077" t="inlineStr">
        <is>
          <t>sqm</t>
        </is>
      </c>
      <c r="D1077" s="15" t="n">
        <v>1881.6</v>
      </c>
      <c r="E1077" t="inlineStr">
        <is>
          <t>12_Roofing</t>
        </is>
      </c>
      <c r="F1077" t="n">
        <v>893</v>
      </c>
    </row>
    <row r="1078">
      <c r="A1078" s="14" t="inlineStr">
        <is>
          <t>12.55</t>
        </is>
      </c>
      <c r="B1078" t="inlineStr">
        <is>
          <t>Providing and fixing Heat Resistant Terrace Tiles (300 mm x 300 mm x 20 mm) with SRI (solar refractive inde...</t>
        </is>
      </c>
      <c r="C1078" t="inlineStr">
        <is>
          <t>sqm</t>
        </is>
      </c>
      <c r="D1078" s="15" t="n">
        <v>1374.1</v>
      </c>
      <c r="E1078" t="inlineStr">
        <is>
          <t>12_Roofing</t>
        </is>
      </c>
      <c r="F1078" t="n">
        <v>894</v>
      </c>
    </row>
    <row r="1079">
      <c r="A1079" s="14" t="inlineStr">
        <is>
          <t>12.56</t>
        </is>
      </c>
      <c r="B1079" t="inlineStr">
        <is>
          <t>Providing and laying roof insulation with 40 mm thick impervious sprayed, closed cell free Rigid Polyuretha...</t>
        </is>
      </c>
      <c r="C1079" t="inlineStr">
        <is>
          <t>sqm</t>
        </is>
      </c>
      <c r="D1079" s="15" t="n">
        <v>1412.2</v>
      </c>
      <c r="E1079" t="inlineStr">
        <is>
          <t>12_Roofing</t>
        </is>
      </c>
      <c r="F1079" t="n">
        <v>895</v>
      </c>
    </row>
    <row r="1080">
      <c r="A1080" s="14" t="inlineStr">
        <is>
          <t>12.57</t>
        </is>
      </c>
      <c r="B1080" t="inlineStr">
        <is>
          <t>Providing and fixing thermal insulation with Resin Bonded Fibre glass wool conforming to IS: 8183 having de...</t>
        </is>
      </c>
      <c r="C1080" t="inlineStr">
        <is>
          <t>sqm</t>
        </is>
      </c>
      <c r="D1080" s="15" t="n">
        <v>316.4</v>
      </c>
      <c r="E1080" t="inlineStr">
        <is>
          <t>12_Roofing</t>
        </is>
      </c>
      <c r="F1080" t="n">
        <v>896</v>
      </c>
    </row>
    <row r="1081">
      <c r="A1081" s="14" t="inlineStr">
        <is>
          <t>12.58.1</t>
        </is>
      </c>
      <c r="B1081" t="inlineStr">
        <is>
          <t>Providing and fixing tiled false ceiling of specified materials of size 595x595 mm in true horizontal level...</t>
        </is>
      </c>
      <c r="C1081" t="inlineStr">
        <is>
          <t>sqm</t>
        </is>
      </c>
      <c r="D1081" s="15" t="n">
        <v>1759.75</v>
      </c>
      <c r="E1081" t="inlineStr">
        <is>
          <t>12_Roofing</t>
        </is>
      </c>
      <c r="F1081" t="n">
        <v>897</v>
      </c>
    </row>
    <row r="1082">
      <c r="A1082" s="14" t="inlineStr">
        <is>
          <t>12.59.1</t>
        </is>
      </c>
      <c r="B1082" t="inlineStr">
        <is>
          <t>Providing &amp; fixing false ceiling at all height including providing &amp; fixing of framework made of special se...</t>
        </is>
      </c>
      <c r="C1082" t="inlineStr">
        <is>
          <t>sqm</t>
        </is>
      </c>
      <c r="D1082" s="15" t="n">
        <v>1273.05</v>
      </c>
      <c r="E1082" t="inlineStr">
        <is>
          <t>12_Roofing</t>
        </is>
      </c>
      <c r="F1082" t="n">
        <v>898</v>
      </c>
    </row>
    <row r="1083">
      <c r="A1083" s="14" t="inlineStr">
        <is>
          <t>12.60</t>
        </is>
      </c>
      <c r="B1083" t="inlineStr">
        <is>
          <t>Providing and fixing thermal insulation of ceiling (under deck insulation) with Resin Bonded Rockwool confo...</t>
        </is>
      </c>
      <c r="C1083" t="inlineStr">
        <is>
          <t>sqm</t>
        </is>
      </c>
      <c r="D1083" s="15" t="n">
        <v>546.4</v>
      </c>
      <c r="E1083" t="inlineStr">
        <is>
          <t>12_Roofing</t>
        </is>
      </c>
      <c r="F1083" t="n">
        <v>900</v>
      </c>
    </row>
    <row r="1084">
      <c r="A1084" s="14" t="inlineStr">
        <is>
          <t>12.61</t>
        </is>
      </c>
      <c r="B1084" t="inlineStr">
        <is>
          <t>Providing and fixing thermal insulation with Resin bonded rock wool conforming to IS: 8183, density 48 kg/m...</t>
        </is>
      </c>
      <c r="C1084" t="inlineStr">
        <is>
          <t>sqm</t>
        </is>
      </c>
      <c r="D1084" s="15" t="n">
        <v>277.2</v>
      </c>
      <c r="E1084" t="inlineStr">
        <is>
          <t>12_Roofing</t>
        </is>
      </c>
      <c r="F1084" t="n">
        <v>900</v>
      </c>
    </row>
    <row r="1085">
      <c r="A1085" s="14" t="inlineStr">
        <is>
          <t>12.62</t>
        </is>
      </c>
      <c r="B1085" t="inlineStr">
        <is>
          <t>Providing and fixing thermal insulation with Resin Bonded rock wool conforming to IS: 8183, having density...</t>
        </is>
      </c>
      <c r="C1085" t="inlineStr">
        <is>
          <t>sqm</t>
        </is>
      </c>
      <c r="D1085" s="15" t="n">
        <v>282.55</v>
      </c>
      <c r="E1085" t="inlineStr">
        <is>
          <t>12_Roofing</t>
        </is>
      </c>
      <c r="F1085" t="n">
        <v>901</v>
      </c>
    </row>
    <row r="1086">
      <c r="A1086" s="14" t="inlineStr">
        <is>
          <t>12.63</t>
        </is>
      </c>
      <c r="B1086" t="inlineStr">
        <is>
          <t>Providing and applying two coats of High Albedo paint having minimum Solar Reflective Index (SRI) 108 (with...</t>
        </is>
      </c>
      <c r="C1086" t="inlineStr">
        <is>
          <t>sqm</t>
        </is>
      </c>
      <c r="D1086" s="15" t="n">
        <v>314.85</v>
      </c>
      <c r="E1086" t="inlineStr">
        <is>
          <t>12_Roofing</t>
        </is>
      </c>
      <c r="F1086" t="n">
        <v>902</v>
      </c>
    </row>
  </sheetData>
  <autoFilter ref="A3:F1086"/>
  <mergeCells count="1">
    <mergeCell ref="A1:F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 xmlns:r="http://schemas.openxmlformats.org/officeDocument/2006/relationships" ref="A34" r:id="rId31"/>
    <hyperlink xmlns:r="http://schemas.openxmlformats.org/officeDocument/2006/relationships" ref="A35" r:id="rId32"/>
    <hyperlink xmlns:r="http://schemas.openxmlformats.org/officeDocument/2006/relationships" ref="A36" r:id="rId33"/>
    <hyperlink xmlns:r="http://schemas.openxmlformats.org/officeDocument/2006/relationships" ref="A37" r:id="rId34"/>
    <hyperlink xmlns:r="http://schemas.openxmlformats.org/officeDocument/2006/relationships" ref="A38" r:id="rId35"/>
    <hyperlink xmlns:r="http://schemas.openxmlformats.org/officeDocument/2006/relationships" ref="A39" r:id="rId36"/>
    <hyperlink xmlns:r="http://schemas.openxmlformats.org/officeDocument/2006/relationships" ref="A40" r:id="rId37"/>
    <hyperlink xmlns:r="http://schemas.openxmlformats.org/officeDocument/2006/relationships" ref="A41" r:id="rId38"/>
    <hyperlink xmlns:r="http://schemas.openxmlformats.org/officeDocument/2006/relationships" ref="A42" r:id="rId39"/>
    <hyperlink xmlns:r="http://schemas.openxmlformats.org/officeDocument/2006/relationships" ref="A43" r:id="rId40"/>
    <hyperlink xmlns:r="http://schemas.openxmlformats.org/officeDocument/2006/relationships" ref="A44" r:id="rId41"/>
    <hyperlink xmlns:r="http://schemas.openxmlformats.org/officeDocument/2006/relationships" ref="A45" r:id="rId42"/>
    <hyperlink xmlns:r="http://schemas.openxmlformats.org/officeDocument/2006/relationships" ref="A46" r:id="rId43"/>
    <hyperlink xmlns:r="http://schemas.openxmlformats.org/officeDocument/2006/relationships" ref="A47" r:id="rId44"/>
    <hyperlink xmlns:r="http://schemas.openxmlformats.org/officeDocument/2006/relationships" ref="A48" r:id="rId45"/>
    <hyperlink xmlns:r="http://schemas.openxmlformats.org/officeDocument/2006/relationships" ref="A49" r:id="rId46"/>
    <hyperlink xmlns:r="http://schemas.openxmlformats.org/officeDocument/2006/relationships" ref="A50" r:id="rId47"/>
    <hyperlink xmlns:r="http://schemas.openxmlformats.org/officeDocument/2006/relationships" ref="A51" r:id="rId48"/>
    <hyperlink xmlns:r="http://schemas.openxmlformats.org/officeDocument/2006/relationships" ref="A52" r:id="rId49"/>
    <hyperlink xmlns:r="http://schemas.openxmlformats.org/officeDocument/2006/relationships" ref="A53" r:id="rId50"/>
    <hyperlink xmlns:r="http://schemas.openxmlformats.org/officeDocument/2006/relationships" ref="A54" r:id="rId51"/>
    <hyperlink xmlns:r="http://schemas.openxmlformats.org/officeDocument/2006/relationships" ref="A55" r:id="rId52"/>
    <hyperlink xmlns:r="http://schemas.openxmlformats.org/officeDocument/2006/relationships" ref="A56" r:id="rId53"/>
    <hyperlink xmlns:r="http://schemas.openxmlformats.org/officeDocument/2006/relationships" ref="A57" r:id="rId54"/>
    <hyperlink xmlns:r="http://schemas.openxmlformats.org/officeDocument/2006/relationships" ref="A58" r:id="rId55"/>
    <hyperlink xmlns:r="http://schemas.openxmlformats.org/officeDocument/2006/relationships" ref="A59" r:id="rId56"/>
    <hyperlink xmlns:r="http://schemas.openxmlformats.org/officeDocument/2006/relationships" ref="A60" r:id="rId57"/>
    <hyperlink xmlns:r="http://schemas.openxmlformats.org/officeDocument/2006/relationships" ref="A61" r:id="rId58"/>
    <hyperlink xmlns:r="http://schemas.openxmlformats.org/officeDocument/2006/relationships" ref="A62" r:id="rId59"/>
    <hyperlink xmlns:r="http://schemas.openxmlformats.org/officeDocument/2006/relationships" ref="A63" r:id="rId60"/>
    <hyperlink xmlns:r="http://schemas.openxmlformats.org/officeDocument/2006/relationships" ref="A64" r:id="rId61"/>
    <hyperlink xmlns:r="http://schemas.openxmlformats.org/officeDocument/2006/relationships" ref="A65" r:id="rId62"/>
    <hyperlink xmlns:r="http://schemas.openxmlformats.org/officeDocument/2006/relationships" ref="A66" r:id="rId63"/>
    <hyperlink xmlns:r="http://schemas.openxmlformats.org/officeDocument/2006/relationships" ref="A67" r:id="rId64"/>
    <hyperlink xmlns:r="http://schemas.openxmlformats.org/officeDocument/2006/relationships" ref="A68" r:id="rId65"/>
    <hyperlink xmlns:r="http://schemas.openxmlformats.org/officeDocument/2006/relationships" ref="A69" r:id="rId66"/>
    <hyperlink xmlns:r="http://schemas.openxmlformats.org/officeDocument/2006/relationships" ref="A70" r:id="rId67"/>
    <hyperlink xmlns:r="http://schemas.openxmlformats.org/officeDocument/2006/relationships" ref="A71" r:id="rId68"/>
    <hyperlink xmlns:r="http://schemas.openxmlformats.org/officeDocument/2006/relationships" ref="A72" r:id="rId69"/>
    <hyperlink xmlns:r="http://schemas.openxmlformats.org/officeDocument/2006/relationships" ref="A73" r:id="rId70"/>
    <hyperlink xmlns:r="http://schemas.openxmlformats.org/officeDocument/2006/relationships" ref="A74" r:id="rId71"/>
    <hyperlink xmlns:r="http://schemas.openxmlformats.org/officeDocument/2006/relationships" ref="A75" r:id="rId72"/>
    <hyperlink xmlns:r="http://schemas.openxmlformats.org/officeDocument/2006/relationships" ref="A76" r:id="rId73"/>
    <hyperlink xmlns:r="http://schemas.openxmlformats.org/officeDocument/2006/relationships" ref="A77" r:id="rId74"/>
    <hyperlink xmlns:r="http://schemas.openxmlformats.org/officeDocument/2006/relationships" ref="A78" r:id="rId75"/>
    <hyperlink xmlns:r="http://schemas.openxmlformats.org/officeDocument/2006/relationships" ref="A79" r:id="rId76"/>
    <hyperlink xmlns:r="http://schemas.openxmlformats.org/officeDocument/2006/relationships" ref="A80" r:id="rId77"/>
    <hyperlink xmlns:r="http://schemas.openxmlformats.org/officeDocument/2006/relationships" ref="A81" r:id="rId78"/>
    <hyperlink xmlns:r="http://schemas.openxmlformats.org/officeDocument/2006/relationships" ref="A82" r:id="rId79"/>
    <hyperlink xmlns:r="http://schemas.openxmlformats.org/officeDocument/2006/relationships" ref="A83" r:id="rId80"/>
    <hyperlink xmlns:r="http://schemas.openxmlformats.org/officeDocument/2006/relationships" ref="A84" r:id="rId81"/>
    <hyperlink xmlns:r="http://schemas.openxmlformats.org/officeDocument/2006/relationships" ref="A85" r:id="rId82"/>
    <hyperlink xmlns:r="http://schemas.openxmlformats.org/officeDocument/2006/relationships" ref="A86" r:id="rId83"/>
    <hyperlink xmlns:r="http://schemas.openxmlformats.org/officeDocument/2006/relationships" ref="A87" r:id="rId84"/>
    <hyperlink xmlns:r="http://schemas.openxmlformats.org/officeDocument/2006/relationships" ref="A88" r:id="rId85"/>
    <hyperlink xmlns:r="http://schemas.openxmlformats.org/officeDocument/2006/relationships" ref="A89" r:id="rId86"/>
    <hyperlink xmlns:r="http://schemas.openxmlformats.org/officeDocument/2006/relationships" ref="A90" r:id="rId87"/>
    <hyperlink xmlns:r="http://schemas.openxmlformats.org/officeDocument/2006/relationships" ref="A91" r:id="rId88"/>
    <hyperlink xmlns:r="http://schemas.openxmlformats.org/officeDocument/2006/relationships" ref="A92" r:id="rId89"/>
    <hyperlink xmlns:r="http://schemas.openxmlformats.org/officeDocument/2006/relationships" ref="A93" r:id="rId90"/>
    <hyperlink xmlns:r="http://schemas.openxmlformats.org/officeDocument/2006/relationships" ref="A94" r:id="rId91"/>
    <hyperlink xmlns:r="http://schemas.openxmlformats.org/officeDocument/2006/relationships" ref="A95" r:id="rId92"/>
    <hyperlink xmlns:r="http://schemas.openxmlformats.org/officeDocument/2006/relationships" ref="A96" r:id="rId93"/>
    <hyperlink xmlns:r="http://schemas.openxmlformats.org/officeDocument/2006/relationships" ref="A97" r:id="rId94"/>
    <hyperlink xmlns:r="http://schemas.openxmlformats.org/officeDocument/2006/relationships" ref="A98" r:id="rId95"/>
    <hyperlink xmlns:r="http://schemas.openxmlformats.org/officeDocument/2006/relationships" ref="A99" r:id="rId96"/>
    <hyperlink xmlns:r="http://schemas.openxmlformats.org/officeDocument/2006/relationships" ref="A100" r:id="rId97"/>
    <hyperlink xmlns:r="http://schemas.openxmlformats.org/officeDocument/2006/relationships" ref="A101" r:id="rId98"/>
    <hyperlink xmlns:r="http://schemas.openxmlformats.org/officeDocument/2006/relationships" ref="A102" r:id="rId99"/>
    <hyperlink xmlns:r="http://schemas.openxmlformats.org/officeDocument/2006/relationships" ref="A103" r:id="rId100"/>
    <hyperlink xmlns:r="http://schemas.openxmlformats.org/officeDocument/2006/relationships" ref="A104" r:id="rId101"/>
    <hyperlink xmlns:r="http://schemas.openxmlformats.org/officeDocument/2006/relationships" ref="A105" r:id="rId102"/>
    <hyperlink xmlns:r="http://schemas.openxmlformats.org/officeDocument/2006/relationships" ref="A106" r:id="rId103"/>
    <hyperlink xmlns:r="http://schemas.openxmlformats.org/officeDocument/2006/relationships" ref="A107" r:id="rId104"/>
    <hyperlink xmlns:r="http://schemas.openxmlformats.org/officeDocument/2006/relationships" ref="A108" r:id="rId105"/>
    <hyperlink xmlns:r="http://schemas.openxmlformats.org/officeDocument/2006/relationships" ref="A109" r:id="rId106"/>
    <hyperlink xmlns:r="http://schemas.openxmlformats.org/officeDocument/2006/relationships" ref="A110" r:id="rId107"/>
    <hyperlink xmlns:r="http://schemas.openxmlformats.org/officeDocument/2006/relationships" ref="A111" r:id="rId108"/>
    <hyperlink xmlns:r="http://schemas.openxmlformats.org/officeDocument/2006/relationships" ref="A112" r:id="rId109"/>
    <hyperlink xmlns:r="http://schemas.openxmlformats.org/officeDocument/2006/relationships" ref="A113" r:id="rId110"/>
    <hyperlink xmlns:r="http://schemas.openxmlformats.org/officeDocument/2006/relationships" ref="A114" r:id="rId111"/>
    <hyperlink xmlns:r="http://schemas.openxmlformats.org/officeDocument/2006/relationships" ref="A115" r:id="rId112"/>
    <hyperlink xmlns:r="http://schemas.openxmlformats.org/officeDocument/2006/relationships" ref="A116" r:id="rId113"/>
    <hyperlink xmlns:r="http://schemas.openxmlformats.org/officeDocument/2006/relationships" ref="A117" r:id="rId114"/>
    <hyperlink xmlns:r="http://schemas.openxmlformats.org/officeDocument/2006/relationships" ref="A118" r:id="rId115"/>
    <hyperlink xmlns:r="http://schemas.openxmlformats.org/officeDocument/2006/relationships" ref="A119" r:id="rId116"/>
    <hyperlink xmlns:r="http://schemas.openxmlformats.org/officeDocument/2006/relationships" ref="A120" r:id="rId117"/>
    <hyperlink xmlns:r="http://schemas.openxmlformats.org/officeDocument/2006/relationships" ref="A121" r:id="rId118"/>
    <hyperlink xmlns:r="http://schemas.openxmlformats.org/officeDocument/2006/relationships" ref="A122" r:id="rId119"/>
    <hyperlink xmlns:r="http://schemas.openxmlformats.org/officeDocument/2006/relationships" ref="A123" r:id="rId120"/>
    <hyperlink xmlns:r="http://schemas.openxmlformats.org/officeDocument/2006/relationships" ref="A124" r:id="rId121"/>
    <hyperlink xmlns:r="http://schemas.openxmlformats.org/officeDocument/2006/relationships" ref="A125" r:id="rId122"/>
    <hyperlink xmlns:r="http://schemas.openxmlformats.org/officeDocument/2006/relationships" ref="A126" r:id="rId123"/>
    <hyperlink xmlns:r="http://schemas.openxmlformats.org/officeDocument/2006/relationships" ref="A127" r:id="rId124"/>
    <hyperlink xmlns:r="http://schemas.openxmlformats.org/officeDocument/2006/relationships" ref="A128" r:id="rId125"/>
    <hyperlink xmlns:r="http://schemas.openxmlformats.org/officeDocument/2006/relationships" ref="A129" r:id="rId126"/>
    <hyperlink xmlns:r="http://schemas.openxmlformats.org/officeDocument/2006/relationships" ref="A130" r:id="rId127"/>
    <hyperlink xmlns:r="http://schemas.openxmlformats.org/officeDocument/2006/relationships" ref="A131" r:id="rId128"/>
    <hyperlink xmlns:r="http://schemas.openxmlformats.org/officeDocument/2006/relationships" ref="A132" r:id="rId129"/>
    <hyperlink xmlns:r="http://schemas.openxmlformats.org/officeDocument/2006/relationships" ref="A133" r:id="rId130"/>
    <hyperlink xmlns:r="http://schemas.openxmlformats.org/officeDocument/2006/relationships" ref="A134" r:id="rId131"/>
    <hyperlink xmlns:r="http://schemas.openxmlformats.org/officeDocument/2006/relationships" ref="A135" r:id="rId132"/>
    <hyperlink xmlns:r="http://schemas.openxmlformats.org/officeDocument/2006/relationships" ref="A136" r:id="rId133"/>
    <hyperlink xmlns:r="http://schemas.openxmlformats.org/officeDocument/2006/relationships" ref="A137" r:id="rId134"/>
    <hyperlink xmlns:r="http://schemas.openxmlformats.org/officeDocument/2006/relationships" ref="A138" r:id="rId135"/>
    <hyperlink xmlns:r="http://schemas.openxmlformats.org/officeDocument/2006/relationships" ref="A139" r:id="rId136"/>
    <hyperlink xmlns:r="http://schemas.openxmlformats.org/officeDocument/2006/relationships" ref="A140" r:id="rId137"/>
    <hyperlink xmlns:r="http://schemas.openxmlformats.org/officeDocument/2006/relationships" ref="A141" r:id="rId138"/>
    <hyperlink xmlns:r="http://schemas.openxmlformats.org/officeDocument/2006/relationships" ref="A142" r:id="rId139"/>
    <hyperlink xmlns:r="http://schemas.openxmlformats.org/officeDocument/2006/relationships" ref="A143" r:id="rId140"/>
    <hyperlink xmlns:r="http://schemas.openxmlformats.org/officeDocument/2006/relationships" ref="A144" r:id="rId141"/>
    <hyperlink xmlns:r="http://schemas.openxmlformats.org/officeDocument/2006/relationships" ref="A145" r:id="rId142"/>
    <hyperlink xmlns:r="http://schemas.openxmlformats.org/officeDocument/2006/relationships" ref="A146" r:id="rId143"/>
    <hyperlink xmlns:r="http://schemas.openxmlformats.org/officeDocument/2006/relationships" ref="A147" r:id="rId144"/>
    <hyperlink xmlns:r="http://schemas.openxmlformats.org/officeDocument/2006/relationships" ref="A148" r:id="rId145"/>
    <hyperlink xmlns:r="http://schemas.openxmlformats.org/officeDocument/2006/relationships" ref="A149" r:id="rId146"/>
    <hyperlink xmlns:r="http://schemas.openxmlformats.org/officeDocument/2006/relationships" ref="A150" r:id="rId147"/>
    <hyperlink xmlns:r="http://schemas.openxmlformats.org/officeDocument/2006/relationships" ref="A151" r:id="rId148"/>
    <hyperlink xmlns:r="http://schemas.openxmlformats.org/officeDocument/2006/relationships" ref="A152" r:id="rId149"/>
    <hyperlink xmlns:r="http://schemas.openxmlformats.org/officeDocument/2006/relationships" ref="A153" r:id="rId150"/>
    <hyperlink xmlns:r="http://schemas.openxmlformats.org/officeDocument/2006/relationships" ref="A154" r:id="rId151"/>
    <hyperlink xmlns:r="http://schemas.openxmlformats.org/officeDocument/2006/relationships" ref="A155" r:id="rId152"/>
    <hyperlink xmlns:r="http://schemas.openxmlformats.org/officeDocument/2006/relationships" ref="A156" r:id="rId153"/>
    <hyperlink xmlns:r="http://schemas.openxmlformats.org/officeDocument/2006/relationships" ref="A157" r:id="rId154"/>
    <hyperlink xmlns:r="http://schemas.openxmlformats.org/officeDocument/2006/relationships" ref="A158" r:id="rId155"/>
    <hyperlink xmlns:r="http://schemas.openxmlformats.org/officeDocument/2006/relationships" ref="A159" r:id="rId156"/>
    <hyperlink xmlns:r="http://schemas.openxmlformats.org/officeDocument/2006/relationships" ref="A160" r:id="rId157"/>
    <hyperlink xmlns:r="http://schemas.openxmlformats.org/officeDocument/2006/relationships" ref="A161" r:id="rId158"/>
    <hyperlink xmlns:r="http://schemas.openxmlformats.org/officeDocument/2006/relationships" ref="A162" r:id="rId159"/>
    <hyperlink xmlns:r="http://schemas.openxmlformats.org/officeDocument/2006/relationships" ref="A163" r:id="rId160"/>
    <hyperlink xmlns:r="http://schemas.openxmlformats.org/officeDocument/2006/relationships" ref="A164" r:id="rId161"/>
    <hyperlink xmlns:r="http://schemas.openxmlformats.org/officeDocument/2006/relationships" ref="A165" r:id="rId162"/>
    <hyperlink xmlns:r="http://schemas.openxmlformats.org/officeDocument/2006/relationships" ref="A166" r:id="rId163"/>
    <hyperlink xmlns:r="http://schemas.openxmlformats.org/officeDocument/2006/relationships" ref="A167" r:id="rId164"/>
    <hyperlink xmlns:r="http://schemas.openxmlformats.org/officeDocument/2006/relationships" ref="A168" r:id="rId165"/>
    <hyperlink xmlns:r="http://schemas.openxmlformats.org/officeDocument/2006/relationships" ref="A169" r:id="rId166"/>
    <hyperlink xmlns:r="http://schemas.openxmlformats.org/officeDocument/2006/relationships" ref="A170" r:id="rId167"/>
    <hyperlink xmlns:r="http://schemas.openxmlformats.org/officeDocument/2006/relationships" ref="A171" r:id="rId168"/>
    <hyperlink xmlns:r="http://schemas.openxmlformats.org/officeDocument/2006/relationships" ref="A172" r:id="rId169"/>
    <hyperlink xmlns:r="http://schemas.openxmlformats.org/officeDocument/2006/relationships" ref="A173" r:id="rId170"/>
    <hyperlink xmlns:r="http://schemas.openxmlformats.org/officeDocument/2006/relationships" ref="A174" r:id="rId171"/>
    <hyperlink xmlns:r="http://schemas.openxmlformats.org/officeDocument/2006/relationships" ref="A175" r:id="rId172"/>
    <hyperlink xmlns:r="http://schemas.openxmlformats.org/officeDocument/2006/relationships" ref="A176" r:id="rId173"/>
    <hyperlink xmlns:r="http://schemas.openxmlformats.org/officeDocument/2006/relationships" ref="A177" r:id="rId174"/>
    <hyperlink xmlns:r="http://schemas.openxmlformats.org/officeDocument/2006/relationships" ref="A178" r:id="rId175"/>
    <hyperlink xmlns:r="http://schemas.openxmlformats.org/officeDocument/2006/relationships" ref="A179" r:id="rId176"/>
    <hyperlink xmlns:r="http://schemas.openxmlformats.org/officeDocument/2006/relationships" ref="A180" r:id="rId177"/>
    <hyperlink xmlns:r="http://schemas.openxmlformats.org/officeDocument/2006/relationships" ref="A181" r:id="rId178"/>
    <hyperlink xmlns:r="http://schemas.openxmlformats.org/officeDocument/2006/relationships" ref="A182" r:id="rId179"/>
    <hyperlink xmlns:r="http://schemas.openxmlformats.org/officeDocument/2006/relationships" ref="A183" r:id="rId180"/>
    <hyperlink xmlns:r="http://schemas.openxmlformats.org/officeDocument/2006/relationships" ref="A184" r:id="rId181"/>
    <hyperlink xmlns:r="http://schemas.openxmlformats.org/officeDocument/2006/relationships" ref="A185" r:id="rId182"/>
    <hyperlink xmlns:r="http://schemas.openxmlformats.org/officeDocument/2006/relationships" ref="A186" r:id="rId183"/>
    <hyperlink xmlns:r="http://schemas.openxmlformats.org/officeDocument/2006/relationships" ref="A187" r:id="rId184"/>
    <hyperlink xmlns:r="http://schemas.openxmlformats.org/officeDocument/2006/relationships" ref="A188" r:id="rId185"/>
    <hyperlink xmlns:r="http://schemas.openxmlformats.org/officeDocument/2006/relationships" ref="A189" r:id="rId186"/>
    <hyperlink xmlns:r="http://schemas.openxmlformats.org/officeDocument/2006/relationships" ref="A190" r:id="rId187"/>
    <hyperlink xmlns:r="http://schemas.openxmlformats.org/officeDocument/2006/relationships" ref="A191" r:id="rId188"/>
    <hyperlink xmlns:r="http://schemas.openxmlformats.org/officeDocument/2006/relationships" ref="A192" r:id="rId189"/>
    <hyperlink xmlns:r="http://schemas.openxmlformats.org/officeDocument/2006/relationships" ref="A193" r:id="rId190"/>
    <hyperlink xmlns:r="http://schemas.openxmlformats.org/officeDocument/2006/relationships" ref="A194" r:id="rId191"/>
    <hyperlink xmlns:r="http://schemas.openxmlformats.org/officeDocument/2006/relationships" ref="A195" r:id="rId192"/>
    <hyperlink xmlns:r="http://schemas.openxmlformats.org/officeDocument/2006/relationships" ref="A196" r:id="rId193"/>
    <hyperlink xmlns:r="http://schemas.openxmlformats.org/officeDocument/2006/relationships" ref="A197" r:id="rId194"/>
    <hyperlink xmlns:r="http://schemas.openxmlformats.org/officeDocument/2006/relationships" ref="A198" r:id="rId195"/>
    <hyperlink xmlns:r="http://schemas.openxmlformats.org/officeDocument/2006/relationships" ref="A199" r:id="rId196"/>
    <hyperlink xmlns:r="http://schemas.openxmlformats.org/officeDocument/2006/relationships" ref="A200" r:id="rId197"/>
    <hyperlink xmlns:r="http://schemas.openxmlformats.org/officeDocument/2006/relationships" ref="A201" r:id="rId198"/>
    <hyperlink xmlns:r="http://schemas.openxmlformats.org/officeDocument/2006/relationships" ref="A202" r:id="rId199"/>
    <hyperlink xmlns:r="http://schemas.openxmlformats.org/officeDocument/2006/relationships" ref="A203" r:id="rId200"/>
    <hyperlink xmlns:r="http://schemas.openxmlformats.org/officeDocument/2006/relationships" ref="A204" r:id="rId201"/>
    <hyperlink xmlns:r="http://schemas.openxmlformats.org/officeDocument/2006/relationships" ref="A205" r:id="rId202"/>
    <hyperlink xmlns:r="http://schemas.openxmlformats.org/officeDocument/2006/relationships" ref="A206" r:id="rId203"/>
    <hyperlink xmlns:r="http://schemas.openxmlformats.org/officeDocument/2006/relationships" ref="A207" r:id="rId204"/>
    <hyperlink xmlns:r="http://schemas.openxmlformats.org/officeDocument/2006/relationships" ref="A208" r:id="rId205"/>
    <hyperlink xmlns:r="http://schemas.openxmlformats.org/officeDocument/2006/relationships" ref="A209" r:id="rId206"/>
    <hyperlink xmlns:r="http://schemas.openxmlformats.org/officeDocument/2006/relationships" ref="A210" r:id="rId207"/>
    <hyperlink xmlns:r="http://schemas.openxmlformats.org/officeDocument/2006/relationships" ref="A211" r:id="rId208"/>
    <hyperlink xmlns:r="http://schemas.openxmlformats.org/officeDocument/2006/relationships" ref="A212" r:id="rId209"/>
    <hyperlink xmlns:r="http://schemas.openxmlformats.org/officeDocument/2006/relationships" ref="A213" r:id="rId210"/>
    <hyperlink xmlns:r="http://schemas.openxmlformats.org/officeDocument/2006/relationships" ref="A214" r:id="rId211"/>
    <hyperlink xmlns:r="http://schemas.openxmlformats.org/officeDocument/2006/relationships" ref="A215" r:id="rId212"/>
    <hyperlink xmlns:r="http://schemas.openxmlformats.org/officeDocument/2006/relationships" ref="A216" r:id="rId213"/>
    <hyperlink xmlns:r="http://schemas.openxmlformats.org/officeDocument/2006/relationships" ref="A217" r:id="rId214"/>
    <hyperlink xmlns:r="http://schemas.openxmlformats.org/officeDocument/2006/relationships" ref="A218" r:id="rId215"/>
    <hyperlink xmlns:r="http://schemas.openxmlformats.org/officeDocument/2006/relationships" ref="A219" r:id="rId216"/>
    <hyperlink xmlns:r="http://schemas.openxmlformats.org/officeDocument/2006/relationships" ref="A220" r:id="rId217"/>
    <hyperlink xmlns:r="http://schemas.openxmlformats.org/officeDocument/2006/relationships" ref="A221" r:id="rId218"/>
    <hyperlink xmlns:r="http://schemas.openxmlformats.org/officeDocument/2006/relationships" ref="A222" r:id="rId219"/>
    <hyperlink xmlns:r="http://schemas.openxmlformats.org/officeDocument/2006/relationships" ref="A223" r:id="rId220"/>
    <hyperlink xmlns:r="http://schemas.openxmlformats.org/officeDocument/2006/relationships" ref="A224" r:id="rId221"/>
    <hyperlink xmlns:r="http://schemas.openxmlformats.org/officeDocument/2006/relationships" ref="A225" r:id="rId222"/>
    <hyperlink xmlns:r="http://schemas.openxmlformats.org/officeDocument/2006/relationships" ref="A226" r:id="rId223"/>
    <hyperlink xmlns:r="http://schemas.openxmlformats.org/officeDocument/2006/relationships" ref="A227" r:id="rId224"/>
    <hyperlink xmlns:r="http://schemas.openxmlformats.org/officeDocument/2006/relationships" ref="A228" r:id="rId225"/>
    <hyperlink xmlns:r="http://schemas.openxmlformats.org/officeDocument/2006/relationships" ref="A229" r:id="rId226"/>
    <hyperlink xmlns:r="http://schemas.openxmlformats.org/officeDocument/2006/relationships" ref="A230" r:id="rId227"/>
    <hyperlink xmlns:r="http://schemas.openxmlformats.org/officeDocument/2006/relationships" ref="A231" r:id="rId228"/>
    <hyperlink xmlns:r="http://schemas.openxmlformats.org/officeDocument/2006/relationships" ref="A232" r:id="rId229"/>
    <hyperlink xmlns:r="http://schemas.openxmlformats.org/officeDocument/2006/relationships" ref="A233" r:id="rId230"/>
    <hyperlink xmlns:r="http://schemas.openxmlformats.org/officeDocument/2006/relationships" ref="A234" r:id="rId231"/>
    <hyperlink xmlns:r="http://schemas.openxmlformats.org/officeDocument/2006/relationships" ref="A235" r:id="rId232"/>
    <hyperlink xmlns:r="http://schemas.openxmlformats.org/officeDocument/2006/relationships" ref="A236" r:id="rId233"/>
    <hyperlink xmlns:r="http://schemas.openxmlformats.org/officeDocument/2006/relationships" ref="A237" r:id="rId234"/>
    <hyperlink xmlns:r="http://schemas.openxmlformats.org/officeDocument/2006/relationships" ref="A238" r:id="rId235"/>
    <hyperlink xmlns:r="http://schemas.openxmlformats.org/officeDocument/2006/relationships" ref="A239" r:id="rId236"/>
    <hyperlink xmlns:r="http://schemas.openxmlformats.org/officeDocument/2006/relationships" ref="A240" r:id="rId237"/>
    <hyperlink xmlns:r="http://schemas.openxmlformats.org/officeDocument/2006/relationships" ref="A241" r:id="rId238"/>
    <hyperlink xmlns:r="http://schemas.openxmlformats.org/officeDocument/2006/relationships" ref="A242" r:id="rId239"/>
    <hyperlink xmlns:r="http://schemas.openxmlformats.org/officeDocument/2006/relationships" ref="A243" r:id="rId240"/>
    <hyperlink xmlns:r="http://schemas.openxmlformats.org/officeDocument/2006/relationships" ref="A244" r:id="rId241"/>
    <hyperlink xmlns:r="http://schemas.openxmlformats.org/officeDocument/2006/relationships" ref="A245" r:id="rId242"/>
    <hyperlink xmlns:r="http://schemas.openxmlformats.org/officeDocument/2006/relationships" ref="A246" r:id="rId243"/>
    <hyperlink xmlns:r="http://schemas.openxmlformats.org/officeDocument/2006/relationships" ref="A247" r:id="rId244"/>
    <hyperlink xmlns:r="http://schemas.openxmlformats.org/officeDocument/2006/relationships" ref="A248" r:id="rId245"/>
    <hyperlink xmlns:r="http://schemas.openxmlformats.org/officeDocument/2006/relationships" ref="A249" r:id="rId246"/>
    <hyperlink xmlns:r="http://schemas.openxmlformats.org/officeDocument/2006/relationships" ref="A250" r:id="rId247"/>
    <hyperlink xmlns:r="http://schemas.openxmlformats.org/officeDocument/2006/relationships" ref="A251" r:id="rId248"/>
    <hyperlink xmlns:r="http://schemas.openxmlformats.org/officeDocument/2006/relationships" ref="A252" r:id="rId249"/>
    <hyperlink xmlns:r="http://schemas.openxmlformats.org/officeDocument/2006/relationships" ref="A253" r:id="rId250"/>
    <hyperlink xmlns:r="http://schemas.openxmlformats.org/officeDocument/2006/relationships" ref="A254" r:id="rId251"/>
    <hyperlink xmlns:r="http://schemas.openxmlformats.org/officeDocument/2006/relationships" ref="A255" r:id="rId252"/>
    <hyperlink xmlns:r="http://schemas.openxmlformats.org/officeDocument/2006/relationships" ref="A256" r:id="rId253"/>
    <hyperlink xmlns:r="http://schemas.openxmlformats.org/officeDocument/2006/relationships" ref="A257" r:id="rId254"/>
    <hyperlink xmlns:r="http://schemas.openxmlformats.org/officeDocument/2006/relationships" ref="A258" r:id="rId255"/>
    <hyperlink xmlns:r="http://schemas.openxmlformats.org/officeDocument/2006/relationships" ref="A259" r:id="rId256"/>
    <hyperlink xmlns:r="http://schemas.openxmlformats.org/officeDocument/2006/relationships" ref="A260" r:id="rId257"/>
    <hyperlink xmlns:r="http://schemas.openxmlformats.org/officeDocument/2006/relationships" ref="A261" r:id="rId258"/>
    <hyperlink xmlns:r="http://schemas.openxmlformats.org/officeDocument/2006/relationships" ref="A262" r:id="rId259"/>
    <hyperlink xmlns:r="http://schemas.openxmlformats.org/officeDocument/2006/relationships" ref="A263" r:id="rId260"/>
    <hyperlink xmlns:r="http://schemas.openxmlformats.org/officeDocument/2006/relationships" ref="A264" r:id="rId261"/>
    <hyperlink xmlns:r="http://schemas.openxmlformats.org/officeDocument/2006/relationships" ref="A265" r:id="rId262"/>
    <hyperlink xmlns:r="http://schemas.openxmlformats.org/officeDocument/2006/relationships" ref="A266" r:id="rId263"/>
    <hyperlink xmlns:r="http://schemas.openxmlformats.org/officeDocument/2006/relationships" ref="A267" r:id="rId264"/>
    <hyperlink xmlns:r="http://schemas.openxmlformats.org/officeDocument/2006/relationships" ref="A268" r:id="rId265"/>
    <hyperlink xmlns:r="http://schemas.openxmlformats.org/officeDocument/2006/relationships" ref="A269" r:id="rId266"/>
    <hyperlink xmlns:r="http://schemas.openxmlformats.org/officeDocument/2006/relationships" ref="A270" r:id="rId267"/>
    <hyperlink xmlns:r="http://schemas.openxmlformats.org/officeDocument/2006/relationships" ref="A271" r:id="rId268"/>
    <hyperlink xmlns:r="http://schemas.openxmlformats.org/officeDocument/2006/relationships" ref="A272" r:id="rId269"/>
    <hyperlink xmlns:r="http://schemas.openxmlformats.org/officeDocument/2006/relationships" ref="A273" r:id="rId270"/>
    <hyperlink xmlns:r="http://schemas.openxmlformats.org/officeDocument/2006/relationships" ref="A274" r:id="rId271"/>
    <hyperlink xmlns:r="http://schemas.openxmlformats.org/officeDocument/2006/relationships" ref="A275" r:id="rId272"/>
    <hyperlink xmlns:r="http://schemas.openxmlformats.org/officeDocument/2006/relationships" ref="A276" r:id="rId273"/>
    <hyperlink xmlns:r="http://schemas.openxmlformats.org/officeDocument/2006/relationships" ref="A277" r:id="rId274"/>
    <hyperlink xmlns:r="http://schemas.openxmlformats.org/officeDocument/2006/relationships" ref="A278" r:id="rId275"/>
    <hyperlink xmlns:r="http://schemas.openxmlformats.org/officeDocument/2006/relationships" ref="A279" r:id="rId276"/>
    <hyperlink xmlns:r="http://schemas.openxmlformats.org/officeDocument/2006/relationships" ref="A280" r:id="rId277"/>
    <hyperlink xmlns:r="http://schemas.openxmlformats.org/officeDocument/2006/relationships" ref="A281" r:id="rId278"/>
    <hyperlink xmlns:r="http://schemas.openxmlformats.org/officeDocument/2006/relationships" ref="A282" r:id="rId279"/>
    <hyperlink xmlns:r="http://schemas.openxmlformats.org/officeDocument/2006/relationships" ref="A283" r:id="rId280"/>
    <hyperlink xmlns:r="http://schemas.openxmlformats.org/officeDocument/2006/relationships" ref="A284" r:id="rId281"/>
    <hyperlink xmlns:r="http://schemas.openxmlformats.org/officeDocument/2006/relationships" ref="A285" r:id="rId282"/>
    <hyperlink xmlns:r="http://schemas.openxmlformats.org/officeDocument/2006/relationships" ref="A286" r:id="rId283"/>
    <hyperlink xmlns:r="http://schemas.openxmlformats.org/officeDocument/2006/relationships" ref="A287" r:id="rId284"/>
    <hyperlink xmlns:r="http://schemas.openxmlformats.org/officeDocument/2006/relationships" ref="A288" r:id="rId285"/>
    <hyperlink xmlns:r="http://schemas.openxmlformats.org/officeDocument/2006/relationships" ref="A289" r:id="rId286"/>
    <hyperlink xmlns:r="http://schemas.openxmlformats.org/officeDocument/2006/relationships" ref="A290" r:id="rId287"/>
    <hyperlink xmlns:r="http://schemas.openxmlformats.org/officeDocument/2006/relationships" ref="A291" r:id="rId288"/>
    <hyperlink xmlns:r="http://schemas.openxmlformats.org/officeDocument/2006/relationships" ref="A292" r:id="rId289"/>
    <hyperlink xmlns:r="http://schemas.openxmlformats.org/officeDocument/2006/relationships" ref="A293" r:id="rId290"/>
    <hyperlink xmlns:r="http://schemas.openxmlformats.org/officeDocument/2006/relationships" ref="A294" r:id="rId291"/>
    <hyperlink xmlns:r="http://schemas.openxmlformats.org/officeDocument/2006/relationships" ref="A295" r:id="rId292"/>
    <hyperlink xmlns:r="http://schemas.openxmlformats.org/officeDocument/2006/relationships" ref="A296" r:id="rId293"/>
    <hyperlink xmlns:r="http://schemas.openxmlformats.org/officeDocument/2006/relationships" ref="A297" r:id="rId294"/>
    <hyperlink xmlns:r="http://schemas.openxmlformats.org/officeDocument/2006/relationships" ref="A298" r:id="rId295"/>
    <hyperlink xmlns:r="http://schemas.openxmlformats.org/officeDocument/2006/relationships" ref="A299" r:id="rId296"/>
    <hyperlink xmlns:r="http://schemas.openxmlformats.org/officeDocument/2006/relationships" ref="A300" r:id="rId297"/>
    <hyperlink xmlns:r="http://schemas.openxmlformats.org/officeDocument/2006/relationships" ref="A301" r:id="rId298"/>
    <hyperlink xmlns:r="http://schemas.openxmlformats.org/officeDocument/2006/relationships" ref="A302" r:id="rId299"/>
    <hyperlink xmlns:r="http://schemas.openxmlformats.org/officeDocument/2006/relationships" ref="A303" r:id="rId300"/>
    <hyperlink xmlns:r="http://schemas.openxmlformats.org/officeDocument/2006/relationships" ref="A304" r:id="rId301"/>
    <hyperlink xmlns:r="http://schemas.openxmlformats.org/officeDocument/2006/relationships" ref="A305" r:id="rId302"/>
    <hyperlink xmlns:r="http://schemas.openxmlformats.org/officeDocument/2006/relationships" ref="A306" r:id="rId303"/>
    <hyperlink xmlns:r="http://schemas.openxmlformats.org/officeDocument/2006/relationships" ref="A307" r:id="rId304"/>
    <hyperlink xmlns:r="http://schemas.openxmlformats.org/officeDocument/2006/relationships" ref="A308" r:id="rId305"/>
    <hyperlink xmlns:r="http://schemas.openxmlformats.org/officeDocument/2006/relationships" ref="A309" r:id="rId306"/>
    <hyperlink xmlns:r="http://schemas.openxmlformats.org/officeDocument/2006/relationships" ref="A310" r:id="rId307"/>
    <hyperlink xmlns:r="http://schemas.openxmlformats.org/officeDocument/2006/relationships" ref="A311" r:id="rId308"/>
    <hyperlink xmlns:r="http://schemas.openxmlformats.org/officeDocument/2006/relationships" ref="A312" r:id="rId309"/>
    <hyperlink xmlns:r="http://schemas.openxmlformats.org/officeDocument/2006/relationships" ref="A313" r:id="rId310"/>
    <hyperlink xmlns:r="http://schemas.openxmlformats.org/officeDocument/2006/relationships" ref="A314" r:id="rId311"/>
    <hyperlink xmlns:r="http://schemas.openxmlformats.org/officeDocument/2006/relationships" ref="A315" r:id="rId312"/>
    <hyperlink xmlns:r="http://schemas.openxmlformats.org/officeDocument/2006/relationships" ref="A316" r:id="rId313"/>
    <hyperlink xmlns:r="http://schemas.openxmlformats.org/officeDocument/2006/relationships" ref="A317" r:id="rId314"/>
    <hyperlink xmlns:r="http://schemas.openxmlformats.org/officeDocument/2006/relationships" ref="A318" r:id="rId315"/>
    <hyperlink xmlns:r="http://schemas.openxmlformats.org/officeDocument/2006/relationships" ref="A319" r:id="rId316"/>
    <hyperlink xmlns:r="http://schemas.openxmlformats.org/officeDocument/2006/relationships" ref="A320" r:id="rId317"/>
    <hyperlink xmlns:r="http://schemas.openxmlformats.org/officeDocument/2006/relationships" ref="A321" r:id="rId318"/>
    <hyperlink xmlns:r="http://schemas.openxmlformats.org/officeDocument/2006/relationships" ref="A322" r:id="rId319"/>
    <hyperlink xmlns:r="http://schemas.openxmlformats.org/officeDocument/2006/relationships" ref="A323" r:id="rId320"/>
    <hyperlink xmlns:r="http://schemas.openxmlformats.org/officeDocument/2006/relationships" ref="A324" r:id="rId321"/>
    <hyperlink xmlns:r="http://schemas.openxmlformats.org/officeDocument/2006/relationships" ref="A325" r:id="rId322"/>
    <hyperlink xmlns:r="http://schemas.openxmlformats.org/officeDocument/2006/relationships" ref="A326" r:id="rId323"/>
    <hyperlink xmlns:r="http://schemas.openxmlformats.org/officeDocument/2006/relationships" ref="A327" r:id="rId324"/>
    <hyperlink xmlns:r="http://schemas.openxmlformats.org/officeDocument/2006/relationships" ref="A328" r:id="rId325"/>
    <hyperlink xmlns:r="http://schemas.openxmlformats.org/officeDocument/2006/relationships" ref="A329" r:id="rId326"/>
    <hyperlink xmlns:r="http://schemas.openxmlformats.org/officeDocument/2006/relationships" ref="A330" r:id="rId327"/>
    <hyperlink xmlns:r="http://schemas.openxmlformats.org/officeDocument/2006/relationships" ref="A331" r:id="rId328"/>
    <hyperlink xmlns:r="http://schemas.openxmlformats.org/officeDocument/2006/relationships" ref="A332" r:id="rId329"/>
    <hyperlink xmlns:r="http://schemas.openxmlformats.org/officeDocument/2006/relationships" ref="A333" r:id="rId330"/>
    <hyperlink xmlns:r="http://schemas.openxmlformats.org/officeDocument/2006/relationships" ref="A334" r:id="rId331"/>
    <hyperlink xmlns:r="http://schemas.openxmlformats.org/officeDocument/2006/relationships" ref="A335" r:id="rId332"/>
    <hyperlink xmlns:r="http://schemas.openxmlformats.org/officeDocument/2006/relationships" ref="A336" r:id="rId333"/>
    <hyperlink xmlns:r="http://schemas.openxmlformats.org/officeDocument/2006/relationships" ref="A337" r:id="rId334"/>
    <hyperlink xmlns:r="http://schemas.openxmlformats.org/officeDocument/2006/relationships" ref="A338" r:id="rId335"/>
    <hyperlink xmlns:r="http://schemas.openxmlformats.org/officeDocument/2006/relationships" ref="A339" r:id="rId336"/>
    <hyperlink xmlns:r="http://schemas.openxmlformats.org/officeDocument/2006/relationships" ref="A340" r:id="rId337"/>
    <hyperlink xmlns:r="http://schemas.openxmlformats.org/officeDocument/2006/relationships" ref="A341" r:id="rId338"/>
    <hyperlink xmlns:r="http://schemas.openxmlformats.org/officeDocument/2006/relationships" ref="A342" r:id="rId339"/>
    <hyperlink xmlns:r="http://schemas.openxmlformats.org/officeDocument/2006/relationships" ref="A343" r:id="rId340"/>
    <hyperlink xmlns:r="http://schemas.openxmlformats.org/officeDocument/2006/relationships" ref="A344" r:id="rId341"/>
    <hyperlink xmlns:r="http://schemas.openxmlformats.org/officeDocument/2006/relationships" ref="A345" r:id="rId342"/>
    <hyperlink xmlns:r="http://schemas.openxmlformats.org/officeDocument/2006/relationships" ref="A346" r:id="rId343"/>
    <hyperlink xmlns:r="http://schemas.openxmlformats.org/officeDocument/2006/relationships" ref="A347" r:id="rId344"/>
    <hyperlink xmlns:r="http://schemas.openxmlformats.org/officeDocument/2006/relationships" ref="A348" r:id="rId345"/>
    <hyperlink xmlns:r="http://schemas.openxmlformats.org/officeDocument/2006/relationships" ref="A349" r:id="rId346"/>
    <hyperlink xmlns:r="http://schemas.openxmlformats.org/officeDocument/2006/relationships" ref="A350" r:id="rId347"/>
    <hyperlink xmlns:r="http://schemas.openxmlformats.org/officeDocument/2006/relationships" ref="A351" r:id="rId348"/>
    <hyperlink xmlns:r="http://schemas.openxmlformats.org/officeDocument/2006/relationships" ref="A352" r:id="rId349"/>
    <hyperlink xmlns:r="http://schemas.openxmlformats.org/officeDocument/2006/relationships" ref="A353" r:id="rId350"/>
    <hyperlink xmlns:r="http://schemas.openxmlformats.org/officeDocument/2006/relationships" ref="A354" r:id="rId351"/>
    <hyperlink xmlns:r="http://schemas.openxmlformats.org/officeDocument/2006/relationships" ref="A355" r:id="rId352"/>
    <hyperlink xmlns:r="http://schemas.openxmlformats.org/officeDocument/2006/relationships" ref="A356" r:id="rId353"/>
    <hyperlink xmlns:r="http://schemas.openxmlformats.org/officeDocument/2006/relationships" ref="A357" r:id="rId354"/>
    <hyperlink xmlns:r="http://schemas.openxmlformats.org/officeDocument/2006/relationships" ref="A358" r:id="rId355"/>
    <hyperlink xmlns:r="http://schemas.openxmlformats.org/officeDocument/2006/relationships" ref="A359" r:id="rId356"/>
    <hyperlink xmlns:r="http://schemas.openxmlformats.org/officeDocument/2006/relationships" ref="A360" r:id="rId357"/>
    <hyperlink xmlns:r="http://schemas.openxmlformats.org/officeDocument/2006/relationships" ref="A361" r:id="rId358"/>
    <hyperlink xmlns:r="http://schemas.openxmlformats.org/officeDocument/2006/relationships" ref="A362" r:id="rId359"/>
    <hyperlink xmlns:r="http://schemas.openxmlformats.org/officeDocument/2006/relationships" ref="A363" r:id="rId360"/>
    <hyperlink xmlns:r="http://schemas.openxmlformats.org/officeDocument/2006/relationships" ref="A364" r:id="rId361"/>
    <hyperlink xmlns:r="http://schemas.openxmlformats.org/officeDocument/2006/relationships" ref="A365" r:id="rId362"/>
    <hyperlink xmlns:r="http://schemas.openxmlformats.org/officeDocument/2006/relationships" ref="A366" r:id="rId363"/>
    <hyperlink xmlns:r="http://schemas.openxmlformats.org/officeDocument/2006/relationships" ref="A367" r:id="rId364"/>
    <hyperlink xmlns:r="http://schemas.openxmlformats.org/officeDocument/2006/relationships" ref="A368" r:id="rId365"/>
    <hyperlink xmlns:r="http://schemas.openxmlformats.org/officeDocument/2006/relationships" ref="A369" r:id="rId366"/>
    <hyperlink xmlns:r="http://schemas.openxmlformats.org/officeDocument/2006/relationships" ref="A370" r:id="rId367"/>
    <hyperlink xmlns:r="http://schemas.openxmlformats.org/officeDocument/2006/relationships" ref="A371" r:id="rId368"/>
    <hyperlink xmlns:r="http://schemas.openxmlformats.org/officeDocument/2006/relationships" ref="A372" r:id="rId369"/>
    <hyperlink xmlns:r="http://schemas.openxmlformats.org/officeDocument/2006/relationships" ref="A373" r:id="rId370"/>
    <hyperlink xmlns:r="http://schemas.openxmlformats.org/officeDocument/2006/relationships" ref="A374" r:id="rId371"/>
    <hyperlink xmlns:r="http://schemas.openxmlformats.org/officeDocument/2006/relationships" ref="A375" r:id="rId372"/>
    <hyperlink xmlns:r="http://schemas.openxmlformats.org/officeDocument/2006/relationships" ref="A376" r:id="rId373"/>
    <hyperlink xmlns:r="http://schemas.openxmlformats.org/officeDocument/2006/relationships" ref="A377" r:id="rId374"/>
    <hyperlink xmlns:r="http://schemas.openxmlformats.org/officeDocument/2006/relationships" ref="A378" r:id="rId375"/>
    <hyperlink xmlns:r="http://schemas.openxmlformats.org/officeDocument/2006/relationships" ref="A379" r:id="rId376"/>
    <hyperlink xmlns:r="http://schemas.openxmlformats.org/officeDocument/2006/relationships" ref="A380" r:id="rId377"/>
    <hyperlink xmlns:r="http://schemas.openxmlformats.org/officeDocument/2006/relationships" ref="A381" r:id="rId378"/>
    <hyperlink xmlns:r="http://schemas.openxmlformats.org/officeDocument/2006/relationships" ref="A382" r:id="rId379"/>
    <hyperlink xmlns:r="http://schemas.openxmlformats.org/officeDocument/2006/relationships" ref="A383" r:id="rId380"/>
    <hyperlink xmlns:r="http://schemas.openxmlformats.org/officeDocument/2006/relationships" ref="A384" r:id="rId381"/>
    <hyperlink xmlns:r="http://schemas.openxmlformats.org/officeDocument/2006/relationships" ref="A385" r:id="rId382"/>
    <hyperlink xmlns:r="http://schemas.openxmlformats.org/officeDocument/2006/relationships" ref="A386" r:id="rId383"/>
    <hyperlink xmlns:r="http://schemas.openxmlformats.org/officeDocument/2006/relationships" ref="A387" r:id="rId384"/>
    <hyperlink xmlns:r="http://schemas.openxmlformats.org/officeDocument/2006/relationships" ref="A388" r:id="rId385"/>
    <hyperlink xmlns:r="http://schemas.openxmlformats.org/officeDocument/2006/relationships" ref="A389" r:id="rId386"/>
    <hyperlink xmlns:r="http://schemas.openxmlformats.org/officeDocument/2006/relationships" ref="A390" r:id="rId387"/>
    <hyperlink xmlns:r="http://schemas.openxmlformats.org/officeDocument/2006/relationships" ref="A391" r:id="rId388"/>
    <hyperlink xmlns:r="http://schemas.openxmlformats.org/officeDocument/2006/relationships" ref="A392" r:id="rId389"/>
    <hyperlink xmlns:r="http://schemas.openxmlformats.org/officeDocument/2006/relationships" ref="A393" r:id="rId390"/>
    <hyperlink xmlns:r="http://schemas.openxmlformats.org/officeDocument/2006/relationships" ref="A394" r:id="rId391"/>
    <hyperlink xmlns:r="http://schemas.openxmlformats.org/officeDocument/2006/relationships" ref="A395" r:id="rId392"/>
    <hyperlink xmlns:r="http://schemas.openxmlformats.org/officeDocument/2006/relationships" ref="A396" r:id="rId393"/>
    <hyperlink xmlns:r="http://schemas.openxmlformats.org/officeDocument/2006/relationships" ref="A397" r:id="rId394"/>
    <hyperlink xmlns:r="http://schemas.openxmlformats.org/officeDocument/2006/relationships" ref="A398" r:id="rId395"/>
    <hyperlink xmlns:r="http://schemas.openxmlformats.org/officeDocument/2006/relationships" ref="A399" r:id="rId396"/>
    <hyperlink xmlns:r="http://schemas.openxmlformats.org/officeDocument/2006/relationships" ref="A400" r:id="rId397"/>
    <hyperlink xmlns:r="http://schemas.openxmlformats.org/officeDocument/2006/relationships" ref="A401" r:id="rId398"/>
    <hyperlink xmlns:r="http://schemas.openxmlformats.org/officeDocument/2006/relationships" ref="A402" r:id="rId399"/>
    <hyperlink xmlns:r="http://schemas.openxmlformats.org/officeDocument/2006/relationships" ref="A403" r:id="rId400"/>
    <hyperlink xmlns:r="http://schemas.openxmlformats.org/officeDocument/2006/relationships" ref="A404" r:id="rId401"/>
    <hyperlink xmlns:r="http://schemas.openxmlformats.org/officeDocument/2006/relationships" ref="A405" r:id="rId402"/>
    <hyperlink xmlns:r="http://schemas.openxmlformats.org/officeDocument/2006/relationships" ref="A406" r:id="rId403"/>
    <hyperlink xmlns:r="http://schemas.openxmlformats.org/officeDocument/2006/relationships" ref="A407" r:id="rId404"/>
    <hyperlink xmlns:r="http://schemas.openxmlformats.org/officeDocument/2006/relationships" ref="A408" r:id="rId405"/>
    <hyperlink xmlns:r="http://schemas.openxmlformats.org/officeDocument/2006/relationships" ref="A409" r:id="rId406"/>
    <hyperlink xmlns:r="http://schemas.openxmlformats.org/officeDocument/2006/relationships" ref="A410" r:id="rId407"/>
    <hyperlink xmlns:r="http://schemas.openxmlformats.org/officeDocument/2006/relationships" ref="A411" r:id="rId408"/>
    <hyperlink xmlns:r="http://schemas.openxmlformats.org/officeDocument/2006/relationships" ref="A412" r:id="rId409"/>
    <hyperlink xmlns:r="http://schemas.openxmlformats.org/officeDocument/2006/relationships" ref="A413" r:id="rId410"/>
    <hyperlink xmlns:r="http://schemas.openxmlformats.org/officeDocument/2006/relationships" ref="A414" r:id="rId411"/>
    <hyperlink xmlns:r="http://schemas.openxmlformats.org/officeDocument/2006/relationships" ref="A415" r:id="rId412"/>
    <hyperlink xmlns:r="http://schemas.openxmlformats.org/officeDocument/2006/relationships" ref="A416" r:id="rId413"/>
    <hyperlink xmlns:r="http://schemas.openxmlformats.org/officeDocument/2006/relationships" ref="A417" r:id="rId414"/>
    <hyperlink xmlns:r="http://schemas.openxmlformats.org/officeDocument/2006/relationships" ref="A418" r:id="rId415"/>
    <hyperlink xmlns:r="http://schemas.openxmlformats.org/officeDocument/2006/relationships" ref="A419" r:id="rId416"/>
    <hyperlink xmlns:r="http://schemas.openxmlformats.org/officeDocument/2006/relationships" ref="A420" r:id="rId417"/>
    <hyperlink xmlns:r="http://schemas.openxmlformats.org/officeDocument/2006/relationships" ref="A421" r:id="rId418"/>
    <hyperlink xmlns:r="http://schemas.openxmlformats.org/officeDocument/2006/relationships" ref="A422" r:id="rId419"/>
    <hyperlink xmlns:r="http://schemas.openxmlformats.org/officeDocument/2006/relationships" ref="A423" r:id="rId420"/>
    <hyperlink xmlns:r="http://schemas.openxmlformats.org/officeDocument/2006/relationships" ref="A424" r:id="rId421"/>
    <hyperlink xmlns:r="http://schemas.openxmlformats.org/officeDocument/2006/relationships" ref="A425" r:id="rId422"/>
    <hyperlink xmlns:r="http://schemas.openxmlformats.org/officeDocument/2006/relationships" ref="A426" r:id="rId423"/>
    <hyperlink xmlns:r="http://schemas.openxmlformats.org/officeDocument/2006/relationships" ref="A427" r:id="rId424"/>
    <hyperlink xmlns:r="http://schemas.openxmlformats.org/officeDocument/2006/relationships" ref="A428" r:id="rId425"/>
    <hyperlink xmlns:r="http://schemas.openxmlformats.org/officeDocument/2006/relationships" ref="A429" r:id="rId426"/>
    <hyperlink xmlns:r="http://schemas.openxmlformats.org/officeDocument/2006/relationships" ref="A430" r:id="rId427"/>
    <hyperlink xmlns:r="http://schemas.openxmlformats.org/officeDocument/2006/relationships" ref="A431" r:id="rId428"/>
    <hyperlink xmlns:r="http://schemas.openxmlformats.org/officeDocument/2006/relationships" ref="A432" r:id="rId429"/>
    <hyperlink xmlns:r="http://schemas.openxmlformats.org/officeDocument/2006/relationships" ref="A433" r:id="rId430"/>
    <hyperlink xmlns:r="http://schemas.openxmlformats.org/officeDocument/2006/relationships" ref="A434" r:id="rId431"/>
    <hyperlink xmlns:r="http://schemas.openxmlformats.org/officeDocument/2006/relationships" ref="A435" r:id="rId432"/>
    <hyperlink xmlns:r="http://schemas.openxmlformats.org/officeDocument/2006/relationships" ref="A436" r:id="rId433"/>
    <hyperlink xmlns:r="http://schemas.openxmlformats.org/officeDocument/2006/relationships" ref="A437" r:id="rId434"/>
    <hyperlink xmlns:r="http://schemas.openxmlformats.org/officeDocument/2006/relationships" ref="A438" r:id="rId435"/>
    <hyperlink xmlns:r="http://schemas.openxmlformats.org/officeDocument/2006/relationships" ref="A439" r:id="rId436"/>
    <hyperlink xmlns:r="http://schemas.openxmlformats.org/officeDocument/2006/relationships" ref="A440" r:id="rId437"/>
    <hyperlink xmlns:r="http://schemas.openxmlformats.org/officeDocument/2006/relationships" ref="A441" r:id="rId438"/>
    <hyperlink xmlns:r="http://schemas.openxmlformats.org/officeDocument/2006/relationships" ref="A442" r:id="rId439"/>
    <hyperlink xmlns:r="http://schemas.openxmlformats.org/officeDocument/2006/relationships" ref="A443" r:id="rId440"/>
    <hyperlink xmlns:r="http://schemas.openxmlformats.org/officeDocument/2006/relationships" ref="A444" r:id="rId441"/>
    <hyperlink xmlns:r="http://schemas.openxmlformats.org/officeDocument/2006/relationships" ref="A445" r:id="rId442"/>
    <hyperlink xmlns:r="http://schemas.openxmlformats.org/officeDocument/2006/relationships" ref="A446" r:id="rId443"/>
    <hyperlink xmlns:r="http://schemas.openxmlformats.org/officeDocument/2006/relationships" ref="A447" r:id="rId444"/>
    <hyperlink xmlns:r="http://schemas.openxmlformats.org/officeDocument/2006/relationships" ref="A448" r:id="rId445"/>
    <hyperlink xmlns:r="http://schemas.openxmlformats.org/officeDocument/2006/relationships" ref="A449" r:id="rId446"/>
    <hyperlink xmlns:r="http://schemas.openxmlformats.org/officeDocument/2006/relationships" ref="A450" r:id="rId447"/>
    <hyperlink xmlns:r="http://schemas.openxmlformats.org/officeDocument/2006/relationships" ref="A451" r:id="rId448"/>
    <hyperlink xmlns:r="http://schemas.openxmlformats.org/officeDocument/2006/relationships" ref="A452" r:id="rId449"/>
    <hyperlink xmlns:r="http://schemas.openxmlformats.org/officeDocument/2006/relationships" ref="A453" r:id="rId450"/>
    <hyperlink xmlns:r="http://schemas.openxmlformats.org/officeDocument/2006/relationships" ref="A454" r:id="rId451"/>
    <hyperlink xmlns:r="http://schemas.openxmlformats.org/officeDocument/2006/relationships" ref="A455" r:id="rId452"/>
    <hyperlink xmlns:r="http://schemas.openxmlformats.org/officeDocument/2006/relationships" ref="A456" r:id="rId453"/>
    <hyperlink xmlns:r="http://schemas.openxmlformats.org/officeDocument/2006/relationships" ref="A457" r:id="rId454"/>
    <hyperlink xmlns:r="http://schemas.openxmlformats.org/officeDocument/2006/relationships" ref="A458" r:id="rId455"/>
    <hyperlink xmlns:r="http://schemas.openxmlformats.org/officeDocument/2006/relationships" ref="A459" r:id="rId456"/>
    <hyperlink xmlns:r="http://schemas.openxmlformats.org/officeDocument/2006/relationships" ref="A460" r:id="rId457"/>
    <hyperlink xmlns:r="http://schemas.openxmlformats.org/officeDocument/2006/relationships" ref="A461" r:id="rId458"/>
    <hyperlink xmlns:r="http://schemas.openxmlformats.org/officeDocument/2006/relationships" ref="A462" r:id="rId459"/>
    <hyperlink xmlns:r="http://schemas.openxmlformats.org/officeDocument/2006/relationships" ref="A463" r:id="rId460"/>
    <hyperlink xmlns:r="http://schemas.openxmlformats.org/officeDocument/2006/relationships" ref="A464" r:id="rId461"/>
    <hyperlink xmlns:r="http://schemas.openxmlformats.org/officeDocument/2006/relationships" ref="A465" r:id="rId462"/>
    <hyperlink xmlns:r="http://schemas.openxmlformats.org/officeDocument/2006/relationships" ref="A466" r:id="rId463"/>
    <hyperlink xmlns:r="http://schemas.openxmlformats.org/officeDocument/2006/relationships" ref="A467" r:id="rId464"/>
    <hyperlink xmlns:r="http://schemas.openxmlformats.org/officeDocument/2006/relationships" ref="A468" r:id="rId465"/>
    <hyperlink xmlns:r="http://schemas.openxmlformats.org/officeDocument/2006/relationships" ref="A469" r:id="rId466"/>
    <hyperlink xmlns:r="http://schemas.openxmlformats.org/officeDocument/2006/relationships" ref="A470" r:id="rId467"/>
    <hyperlink xmlns:r="http://schemas.openxmlformats.org/officeDocument/2006/relationships" ref="A471" r:id="rId468"/>
    <hyperlink xmlns:r="http://schemas.openxmlformats.org/officeDocument/2006/relationships" ref="A472" r:id="rId469"/>
    <hyperlink xmlns:r="http://schemas.openxmlformats.org/officeDocument/2006/relationships" ref="A473" r:id="rId470"/>
    <hyperlink xmlns:r="http://schemas.openxmlformats.org/officeDocument/2006/relationships" ref="A474" r:id="rId471"/>
    <hyperlink xmlns:r="http://schemas.openxmlformats.org/officeDocument/2006/relationships" ref="A475" r:id="rId472"/>
    <hyperlink xmlns:r="http://schemas.openxmlformats.org/officeDocument/2006/relationships" ref="A476" r:id="rId473"/>
    <hyperlink xmlns:r="http://schemas.openxmlformats.org/officeDocument/2006/relationships" ref="A477" r:id="rId474"/>
    <hyperlink xmlns:r="http://schemas.openxmlformats.org/officeDocument/2006/relationships" ref="A478" r:id="rId475"/>
    <hyperlink xmlns:r="http://schemas.openxmlformats.org/officeDocument/2006/relationships" ref="A479" r:id="rId476"/>
    <hyperlink xmlns:r="http://schemas.openxmlformats.org/officeDocument/2006/relationships" ref="A480" r:id="rId477"/>
    <hyperlink xmlns:r="http://schemas.openxmlformats.org/officeDocument/2006/relationships" ref="A481" r:id="rId478"/>
    <hyperlink xmlns:r="http://schemas.openxmlformats.org/officeDocument/2006/relationships" ref="A482" r:id="rId479"/>
    <hyperlink xmlns:r="http://schemas.openxmlformats.org/officeDocument/2006/relationships" ref="A483" r:id="rId480"/>
    <hyperlink xmlns:r="http://schemas.openxmlformats.org/officeDocument/2006/relationships" ref="A484" r:id="rId481"/>
    <hyperlink xmlns:r="http://schemas.openxmlformats.org/officeDocument/2006/relationships" ref="A485" r:id="rId482"/>
    <hyperlink xmlns:r="http://schemas.openxmlformats.org/officeDocument/2006/relationships" ref="A486" r:id="rId483"/>
    <hyperlink xmlns:r="http://schemas.openxmlformats.org/officeDocument/2006/relationships" ref="A487" r:id="rId484"/>
    <hyperlink xmlns:r="http://schemas.openxmlformats.org/officeDocument/2006/relationships" ref="A488" r:id="rId485"/>
    <hyperlink xmlns:r="http://schemas.openxmlformats.org/officeDocument/2006/relationships" ref="A489" r:id="rId486"/>
    <hyperlink xmlns:r="http://schemas.openxmlformats.org/officeDocument/2006/relationships" ref="A490" r:id="rId487"/>
    <hyperlink xmlns:r="http://schemas.openxmlformats.org/officeDocument/2006/relationships" ref="A491" r:id="rId488"/>
    <hyperlink xmlns:r="http://schemas.openxmlformats.org/officeDocument/2006/relationships" ref="A492" r:id="rId489"/>
    <hyperlink xmlns:r="http://schemas.openxmlformats.org/officeDocument/2006/relationships" ref="A493" r:id="rId490"/>
    <hyperlink xmlns:r="http://schemas.openxmlformats.org/officeDocument/2006/relationships" ref="A494" r:id="rId491"/>
    <hyperlink xmlns:r="http://schemas.openxmlformats.org/officeDocument/2006/relationships" ref="A495" r:id="rId492"/>
    <hyperlink xmlns:r="http://schemas.openxmlformats.org/officeDocument/2006/relationships" ref="A496" r:id="rId493"/>
    <hyperlink xmlns:r="http://schemas.openxmlformats.org/officeDocument/2006/relationships" ref="A497" r:id="rId494"/>
    <hyperlink xmlns:r="http://schemas.openxmlformats.org/officeDocument/2006/relationships" ref="A498" r:id="rId495"/>
    <hyperlink xmlns:r="http://schemas.openxmlformats.org/officeDocument/2006/relationships" ref="A499" r:id="rId496"/>
    <hyperlink xmlns:r="http://schemas.openxmlformats.org/officeDocument/2006/relationships" ref="A500" r:id="rId497"/>
    <hyperlink xmlns:r="http://schemas.openxmlformats.org/officeDocument/2006/relationships" ref="A501" r:id="rId498"/>
    <hyperlink xmlns:r="http://schemas.openxmlformats.org/officeDocument/2006/relationships" ref="A502" r:id="rId499"/>
    <hyperlink xmlns:r="http://schemas.openxmlformats.org/officeDocument/2006/relationships" ref="A503" r:id="rId500"/>
    <hyperlink xmlns:r="http://schemas.openxmlformats.org/officeDocument/2006/relationships" ref="A504" r:id="rId501"/>
    <hyperlink xmlns:r="http://schemas.openxmlformats.org/officeDocument/2006/relationships" ref="A505" r:id="rId502"/>
    <hyperlink xmlns:r="http://schemas.openxmlformats.org/officeDocument/2006/relationships" ref="A506" r:id="rId503"/>
    <hyperlink xmlns:r="http://schemas.openxmlformats.org/officeDocument/2006/relationships" ref="A507" r:id="rId504"/>
    <hyperlink xmlns:r="http://schemas.openxmlformats.org/officeDocument/2006/relationships" ref="A508" r:id="rId505"/>
    <hyperlink xmlns:r="http://schemas.openxmlformats.org/officeDocument/2006/relationships" ref="A509" r:id="rId506"/>
    <hyperlink xmlns:r="http://schemas.openxmlformats.org/officeDocument/2006/relationships" ref="A510" r:id="rId507"/>
    <hyperlink xmlns:r="http://schemas.openxmlformats.org/officeDocument/2006/relationships" ref="A511" r:id="rId508"/>
    <hyperlink xmlns:r="http://schemas.openxmlformats.org/officeDocument/2006/relationships" ref="A512" r:id="rId509"/>
    <hyperlink xmlns:r="http://schemas.openxmlformats.org/officeDocument/2006/relationships" ref="A513" r:id="rId510"/>
    <hyperlink xmlns:r="http://schemas.openxmlformats.org/officeDocument/2006/relationships" ref="A514" r:id="rId511"/>
    <hyperlink xmlns:r="http://schemas.openxmlformats.org/officeDocument/2006/relationships" ref="A515" r:id="rId512"/>
    <hyperlink xmlns:r="http://schemas.openxmlformats.org/officeDocument/2006/relationships" ref="A516" r:id="rId513"/>
    <hyperlink xmlns:r="http://schemas.openxmlformats.org/officeDocument/2006/relationships" ref="A517" r:id="rId514"/>
    <hyperlink xmlns:r="http://schemas.openxmlformats.org/officeDocument/2006/relationships" ref="A518" r:id="rId515"/>
    <hyperlink xmlns:r="http://schemas.openxmlformats.org/officeDocument/2006/relationships" ref="A519" r:id="rId516"/>
    <hyperlink xmlns:r="http://schemas.openxmlformats.org/officeDocument/2006/relationships" ref="A520" r:id="rId517"/>
    <hyperlink xmlns:r="http://schemas.openxmlformats.org/officeDocument/2006/relationships" ref="A521" r:id="rId518"/>
    <hyperlink xmlns:r="http://schemas.openxmlformats.org/officeDocument/2006/relationships" ref="A522" r:id="rId519"/>
    <hyperlink xmlns:r="http://schemas.openxmlformats.org/officeDocument/2006/relationships" ref="A523" r:id="rId520"/>
    <hyperlink xmlns:r="http://schemas.openxmlformats.org/officeDocument/2006/relationships" ref="A524" r:id="rId521"/>
    <hyperlink xmlns:r="http://schemas.openxmlformats.org/officeDocument/2006/relationships" ref="A525" r:id="rId522"/>
    <hyperlink xmlns:r="http://schemas.openxmlformats.org/officeDocument/2006/relationships" ref="A526" r:id="rId523"/>
    <hyperlink xmlns:r="http://schemas.openxmlformats.org/officeDocument/2006/relationships" ref="A527" r:id="rId524"/>
    <hyperlink xmlns:r="http://schemas.openxmlformats.org/officeDocument/2006/relationships" ref="A528" r:id="rId525"/>
    <hyperlink xmlns:r="http://schemas.openxmlformats.org/officeDocument/2006/relationships" ref="A529" r:id="rId526"/>
    <hyperlink xmlns:r="http://schemas.openxmlformats.org/officeDocument/2006/relationships" ref="A530" r:id="rId527"/>
    <hyperlink xmlns:r="http://schemas.openxmlformats.org/officeDocument/2006/relationships" ref="A531" r:id="rId528"/>
    <hyperlink xmlns:r="http://schemas.openxmlformats.org/officeDocument/2006/relationships" ref="A532" r:id="rId529"/>
    <hyperlink xmlns:r="http://schemas.openxmlformats.org/officeDocument/2006/relationships" ref="A533" r:id="rId530"/>
    <hyperlink xmlns:r="http://schemas.openxmlformats.org/officeDocument/2006/relationships" ref="A534" r:id="rId531"/>
    <hyperlink xmlns:r="http://schemas.openxmlformats.org/officeDocument/2006/relationships" ref="A535" r:id="rId532"/>
    <hyperlink xmlns:r="http://schemas.openxmlformats.org/officeDocument/2006/relationships" ref="A536" r:id="rId533"/>
    <hyperlink xmlns:r="http://schemas.openxmlformats.org/officeDocument/2006/relationships" ref="A537" r:id="rId534"/>
    <hyperlink xmlns:r="http://schemas.openxmlformats.org/officeDocument/2006/relationships" ref="A538" r:id="rId535"/>
    <hyperlink xmlns:r="http://schemas.openxmlformats.org/officeDocument/2006/relationships" ref="A539" r:id="rId536"/>
    <hyperlink xmlns:r="http://schemas.openxmlformats.org/officeDocument/2006/relationships" ref="A540" r:id="rId537"/>
    <hyperlink xmlns:r="http://schemas.openxmlformats.org/officeDocument/2006/relationships" ref="A541" r:id="rId538"/>
    <hyperlink xmlns:r="http://schemas.openxmlformats.org/officeDocument/2006/relationships" ref="A542" r:id="rId539"/>
    <hyperlink xmlns:r="http://schemas.openxmlformats.org/officeDocument/2006/relationships" ref="A543" r:id="rId540"/>
    <hyperlink xmlns:r="http://schemas.openxmlformats.org/officeDocument/2006/relationships" ref="A544" r:id="rId541"/>
    <hyperlink xmlns:r="http://schemas.openxmlformats.org/officeDocument/2006/relationships" ref="A545" r:id="rId542"/>
    <hyperlink xmlns:r="http://schemas.openxmlformats.org/officeDocument/2006/relationships" ref="A546" r:id="rId543"/>
    <hyperlink xmlns:r="http://schemas.openxmlformats.org/officeDocument/2006/relationships" ref="A547" r:id="rId544"/>
    <hyperlink xmlns:r="http://schemas.openxmlformats.org/officeDocument/2006/relationships" ref="A548" r:id="rId545"/>
    <hyperlink xmlns:r="http://schemas.openxmlformats.org/officeDocument/2006/relationships" ref="A549" r:id="rId546"/>
    <hyperlink xmlns:r="http://schemas.openxmlformats.org/officeDocument/2006/relationships" ref="A550" r:id="rId547"/>
    <hyperlink xmlns:r="http://schemas.openxmlformats.org/officeDocument/2006/relationships" ref="A551" r:id="rId548"/>
    <hyperlink xmlns:r="http://schemas.openxmlformats.org/officeDocument/2006/relationships" ref="A552" r:id="rId549"/>
    <hyperlink xmlns:r="http://schemas.openxmlformats.org/officeDocument/2006/relationships" ref="A553" r:id="rId550"/>
    <hyperlink xmlns:r="http://schemas.openxmlformats.org/officeDocument/2006/relationships" ref="A554" r:id="rId551"/>
    <hyperlink xmlns:r="http://schemas.openxmlformats.org/officeDocument/2006/relationships" ref="A555" r:id="rId552"/>
    <hyperlink xmlns:r="http://schemas.openxmlformats.org/officeDocument/2006/relationships" ref="A556" r:id="rId553"/>
    <hyperlink xmlns:r="http://schemas.openxmlformats.org/officeDocument/2006/relationships" ref="A557" r:id="rId554"/>
    <hyperlink xmlns:r="http://schemas.openxmlformats.org/officeDocument/2006/relationships" ref="A558" r:id="rId555"/>
    <hyperlink xmlns:r="http://schemas.openxmlformats.org/officeDocument/2006/relationships" ref="A559" r:id="rId556"/>
    <hyperlink xmlns:r="http://schemas.openxmlformats.org/officeDocument/2006/relationships" ref="A560" r:id="rId557"/>
    <hyperlink xmlns:r="http://schemas.openxmlformats.org/officeDocument/2006/relationships" ref="A561" r:id="rId558"/>
    <hyperlink xmlns:r="http://schemas.openxmlformats.org/officeDocument/2006/relationships" ref="A562" r:id="rId559"/>
    <hyperlink xmlns:r="http://schemas.openxmlformats.org/officeDocument/2006/relationships" ref="A563" r:id="rId560"/>
    <hyperlink xmlns:r="http://schemas.openxmlformats.org/officeDocument/2006/relationships" ref="A564" r:id="rId561"/>
    <hyperlink xmlns:r="http://schemas.openxmlformats.org/officeDocument/2006/relationships" ref="A565" r:id="rId562"/>
    <hyperlink xmlns:r="http://schemas.openxmlformats.org/officeDocument/2006/relationships" ref="A566" r:id="rId563"/>
    <hyperlink xmlns:r="http://schemas.openxmlformats.org/officeDocument/2006/relationships" ref="A567" r:id="rId564"/>
    <hyperlink xmlns:r="http://schemas.openxmlformats.org/officeDocument/2006/relationships" ref="A568" r:id="rId565"/>
    <hyperlink xmlns:r="http://schemas.openxmlformats.org/officeDocument/2006/relationships" ref="A569" r:id="rId566"/>
    <hyperlink xmlns:r="http://schemas.openxmlformats.org/officeDocument/2006/relationships" ref="A570" r:id="rId567"/>
    <hyperlink xmlns:r="http://schemas.openxmlformats.org/officeDocument/2006/relationships" ref="A571" r:id="rId568"/>
    <hyperlink xmlns:r="http://schemas.openxmlformats.org/officeDocument/2006/relationships" ref="A572" r:id="rId569"/>
    <hyperlink xmlns:r="http://schemas.openxmlformats.org/officeDocument/2006/relationships" ref="A573" r:id="rId570"/>
    <hyperlink xmlns:r="http://schemas.openxmlformats.org/officeDocument/2006/relationships" ref="A574" r:id="rId571"/>
    <hyperlink xmlns:r="http://schemas.openxmlformats.org/officeDocument/2006/relationships" ref="A575" r:id="rId572"/>
    <hyperlink xmlns:r="http://schemas.openxmlformats.org/officeDocument/2006/relationships" ref="A576" r:id="rId573"/>
    <hyperlink xmlns:r="http://schemas.openxmlformats.org/officeDocument/2006/relationships" ref="A577" r:id="rId574"/>
    <hyperlink xmlns:r="http://schemas.openxmlformats.org/officeDocument/2006/relationships" ref="A578" r:id="rId575"/>
    <hyperlink xmlns:r="http://schemas.openxmlformats.org/officeDocument/2006/relationships" ref="A579" r:id="rId576"/>
    <hyperlink xmlns:r="http://schemas.openxmlformats.org/officeDocument/2006/relationships" ref="A580" r:id="rId577"/>
    <hyperlink xmlns:r="http://schemas.openxmlformats.org/officeDocument/2006/relationships" ref="A581" r:id="rId578"/>
    <hyperlink xmlns:r="http://schemas.openxmlformats.org/officeDocument/2006/relationships" ref="A582" r:id="rId579"/>
    <hyperlink xmlns:r="http://schemas.openxmlformats.org/officeDocument/2006/relationships" ref="A583" r:id="rId580"/>
    <hyperlink xmlns:r="http://schemas.openxmlformats.org/officeDocument/2006/relationships" ref="A584" r:id="rId581"/>
    <hyperlink xmlns:r="http://schemas.openxmlformats.org/officeDocument/2006/relationships" ref="A585" r:id="rId582"/>
    <hyperlink xmlns:r="http://schemas.openxmlformats.org/officeDocument/2006/relationships" ref="A586" r:id="rId583"/>
    <hyperlink xmlns:r="http://schemas.openxmlformats.org/officeDocument/2006/relationships" ref="A587" r:id="rId584"/>
    <hyperlink xmlns:r="http://schemas.openxmlformats.org/officeDocument/2006/relationships" ref="A588" r:id="rId585"/>
    <hyperlink xmlns:r="http://schemas.openxmlformats.org/officeDocument/2006/relationships" ref="A589" r:id="rId586"/>
    <hyperlink xmlns:r="http://schemas.openxmlformats.org/officeDocument/2006/relationships" ref="A590" r:id="rId587"/>
    <hyperlink xmlns:r="http://schemas.openxmlformats.org/officeDocument/2006/relationships" ref="A591" r:id="rId588"/>
    <hyperlink xmlns:r="http://schemas.openxmlformats.org/officeDocument/2006/relationships" ref="A592" r:id="rId589"/>
    <hyperlink xmlns:r="http://schemas.openxmlformats.org/officeDocument/2006/relationships" ref="A593" r:id="rId590"/>
    <hyperlink xmlns:r="http://schemas.openxmlformats.org/officeDocument/2006/relationships" ref="A594" r:id="rId591"/>
    <hyperlink xmlns:r="http://schemas.openxmlformats.org/officeDocument/2006/relationships" ref="A595" r:id="rId592"/>
    <hyperlink xmlns:r="http://schemas.openxmlformats.org/officeDocument/2006/relationships" ref="A596" r:id="rId593"/>
    <hyperlink xmlns:r="http://schemas.openxmlformats.org/officeDocument/2006/relationships" ref="A597" r:id="rId594"/>
    <hyperlink xmlns:r="http://schemas.openxmlformats.org/officeDocument/2006/relationships" ref="A598" r:id="rId595"/>
    <hyperlink xmlns:r="http://schemas.openxmlformats.org/officeDocument/2006/relationships" ref="A599" r:id="rId596"/>
    <hyperlink xmlns:r="http://schemas.openxmlformats.org/officeDocument/2006/relationships" ref="A600" r:id="rId597"/>
    <hyperlink xmlns:r="http://schemas.openxmlformats.org/officeDocument/2006/relationships" ref="A601" r:id="rId598"/>
    <hyperlink xmlns:r="http://schemas.openxmlformats.org/officeDocument/2006/relationships" ref="A602" r:id="rId599"/>
    <hyperlink xmlns:r="http://schemas.openxmlformats.org/officeDocument/2006/relationships" ref="A603" r:id="rId600"/>
    <hyperlink xmlns:r="http://schemas.openxmlformats.org/officeDocument/2006/relationships" ref="A604" r:id="rId601"/>
    <hyperlink xmlns:r="http://schemas.openxmlformats.org/officeDocument/2006/relationships" ref="A605" r:id="rId602"/>
    <hyperlink xmlns:r="http://schemas.openxmlformats.org/officeDocument/2006/relationships" ref="A606" r:id="rId603"/>
    <hyperlink xmlns:r="http://schemas.openxmlformats.org/officeDocument/2006/relationships" ref="A607" r:id="rId604"/>
    <hyperlink xmlns:r="http://schemas.openxmlformats.org/officeDocument/2006/relationships" ref="A608" r:id="rId605"/>
    <hyperlink xmlns:r="http://schemas.openxmlformats.org/officeDocument/2006/relationships" ref="A609" r:id="rId606"/>
    <hyperlink xmlns:r="http://schemas.openxmlformats.org/officeDocument/2006/relationships" ref="A610" r:id="rId607"/>
    <hyperlink xmlns:r="http://schemas.openxmlformats.org/officeDocument/2006/relationships" ref="A611" r:id="rId608"/>
    <hyperlink xmlns:r="http://schemas.openxmlformats.org/officeDocument/2006/relationships" ref="A612" r:id="rId609"/>
    <hyperlink xmlns:r="http://schemas.openxmlformats.org/officeDocument/2006/relationships" ref="A613" r:id="rId610"/>
    <hyperlink xmlns:r="http://schemas.openxmlformats.org/officeDocument/2006/relationships" ref="A614" r:id="rId611"/>
    <hyperlink xmlns:r="http://schemas.openxmlformats.org/officeDocument/2006/relationships" ref="A615" r:id="rId612"/>
    <hyperlink xmlns:r="http://schemas.openxmlformats.org/officeDocument/2006/relationships" ref="A616" r:id="rId613"/>
    <hyperlink xmlns:r="http://schemas.openxmlformats.org/officeDocument/2006/relationships" ref="A617" r:id="rId614"/>
    <hyperlink xmlns:r="http://schemas.openxmlformats.org/officeDocument/2006/relationships" ref="A618" r:id="rId615"/>
    <hyperlink xmlns:r="http://schemas.openxmlformats.org/officeDocument/2006/relationships" ref="A619" r:id="rId616"/>
    <hyperlink xmlns:r="http://schemas.openxmlformats.org/officeDocument/2006/relationships" ref="A620" r:id="rId617"/>
    <hyperlink xmlns:r="http://schemas.openxmlformats.org/officeDocument/2006/relationships" ref="A621" r:id="rId618"/>
    <hyperlink xmlns:r="http://schemas.openxmlformats.org/officeDocument/2006/relationships" ref="A622" r:id="rId619"/>
    <hyperlink xmlns:r="http://schemas.openxmlformats.org/officeDocument/2006/relationships" ref="A623" r:id="rId620"/>
    <hyperlink xmlns:r="http://schemas.openxmlformats.org/officeDocument/2006/relationships" ref="A624" r:id="rId621"/>
    <hyperlink xmlns:r="http://schemas.openxmlformats.org/officeDocument/2006/relationships" ref="A625" r:id="rId622"/>
    <hyperlink xmlns:r="http://schemas.openxmlformats.org/officeDocument/2006/relationships" ref="A626" r:id="rId623"/>
    <hyperlink xmlns:r="http://schemas.openxmlformats.org/officeDocument/2006/relationships" ref="A627" r:id="rId624"/>
    <hyperlink xmlns:r="http://schemas.openxmlformats.org/officeDocument/2006/relationships" ref="A628" r:id="rId625"/>
    <hyperlink xmlns:r="http://schemas.openxmlformats.org/officeDocument/2006/relationships" ref="A629" r:id="rId626"/>
    <hyperlink xmlns:r="http://schemas.openxmlformats.org/officeDocument/2006/relationships" ref="A630" r:id="rId627"/>
    <hyperlink xmlns:r="http://schemas.openxmlformats.org/officeDocument/2006/relationships" ref="A631" r:id="rId628"/>
    <hyperlink xmlns:r="http://schemas.openxmlformats.org/officeDocument/2006/relationships" ref="A632" r:id="rId629"/>
    <hyperlink xmlns:r="http://schemas.openxmlformats.org/officeDocument/2006/relationships" ref="A633" r:id="rId630"/>
    <hyperlink xmlns:r="http://schemas.openxmlformats.org/officeDocument/2006/relationships" ref="A634" r:id="rId631"/>
    <hyperlink xmlns:r="http://schemas.openxmlformats.org/officeDocument/2006/relationships" ref="A635" r:id="rId632"/>
    <hyperlink xmlns:r="http://schemas.openxmlformats.org/officeDocument/2006/relationships" ref="A636" r:id="rId633"/>
    <hyperlink xmlns:r="http://schemas.openxmlformats.org/officeDocument/2006/relationships" ref="A637" r:id="rId634"/>
    <hyperlink xmlns:r="http://schemas.openxmlformats.org/officeDocument/2006/relationships" ref="A638" r:id="rId635"/>
    <hyperlink xmlns:r="http://schemas.openxmlformats.org/officeDocument/2006/relationships" ref="A639" r:id="rId636"/>
    <hyperlink xmlns:r="http://schemas.openxmlformats.org/officeDocument/2006/relationships" ref="A640" r:id="rId637"/>
    <hyperlink xmlns:r="http://schemas.openxmlformats.org/officeDocument/2006/relationships" ref="A641" r:id="rId638"/>
    <hyperlink xmlns:r="http://schemas.openxmlformats.org/officeDocument/2006/relationships" ref="A642" r:id="rId639"/>
    <hyperlink xmlns:r="http://schemas.openxmlformats.org/officeDocument/2006/relationships" ref="A643" r:id="rId640"/>
    <hyperlink xmlns:r="http://schemas.openxmlformats.org/officeDocument/2006/relationships" ref="A644" r:id="rId641"/>
    <hyperlink xmlns:r="http://schemas.openxmlformats.org/officeDocument/2006/relationships" ref="A645" r:id="rId642"/>
    <hyperlink xmlns:r="http://schemas.openxmlformats.org/officeDocument/2006/relationships" ref="A646" r:id="rId643"/>
    <hyperlink xmlns:r="http://schemas.openxmlformats.org/officeDocument/2006/relationships" ref="A647" r:id="rId644"/>
    <hyperlink xmlns:r="http://schemas.openxmlformats.org/officeDocument/2006/relationships" ref="A648" r:id="rId645"/>
    <hyperlink xmlns:r="http://schemas.openxmlformats.org/officeDocument/2006/relationships" ref="A649" r:id="rId646"/>
    <hyperlink xmlns:r="http://schemas.openxmlformats.org/officeDocument/2006/relationships" ref="A650" r:id="rId647"/>
    <hyperlink xmlns:r="http://schemas.openxmlformats.org/officeDocument/2006/relationships" ref="A651" r:id="rId648"/>
    <hyperlink xmlns:r="http://schemas.openxmlformats.org/officeDocument/2006/relationships" ref="A652" r:id="rId649"/>
    <hyperlink xmlns:r="http://schemas.openxmlformats.org/officeDocument/2006/relationships" ref="A653" r:id="rId650"/>
    <hyperlink xmlns:r="http://schemas.openxmlformats.org/officeDocument/2006/relationships" ref="A654" r:id="rId651"/>
    <hyperlink xmlns:r="http://schemas.openxmlformats.org/officeDocument/2006/relationships" ref="A655" r:id="rId652"/>
    <hyperlink xmlns:r="http://schemas.openxmlformats.org/officeDocument/2006/relationships" ref="A656" r:id="rId653"/>
    <hyperlink xmlns:r="http://schemas.openxmlformats.org/officeDocument/2006/relationships" ref="A657" r:id="rId654"/>
    <hyperlink xmlns:r="http://schemas.openxmlformats.org/officeDocument/2006/relationships" ref="A658" r:id="rId655"/>
    <hyperlink xmlns:r="http://schemas.openxmlformats.org/officeDocument/2006/relationships" ref="A659" r:id="rId656"/>
    <hyperlink xmlns:r="http://schemas.openxmlformats.org/officeDocument/2006/relationships" ref="A660" r:id="rId657"/>
    <hyperlink xmlns:r="http://schemas.openxmlformats.org/officeDocument/2006/relationships" ref="A661" r:id="rId658"/>
    <hyperlink xmlns:r="http://schemas.openxmlformats.org/officeDocument/2006/relationships" ref="A662" r:id="rId659"/>
    <hyperlink xmlns:r="http://schemas.openxmlformats.org/officeDocument/2006/relationships" ref="A663" r:id="rId660"/>
    <hyperlink xmlns:r="http://schemas.openxmlformats.org/officeDocument/2006/relationships" ref="A664" r:id="rId661"/>
    <hyperlink xmlns:r="http://schemas.openxmlformats.org/officeDocument/2006/relationships" ref="A665" r:id="rId662"/>
    <hyperlink xmlns:r="http://schemas.openxmlformats.org/officeDocument/2006/relationships" ref="A666" r:id="rId663"/>
    <hyperlink xmlns:r="http://schemas.openxmlformats.org/officeDocument/2006/relationships" ref="A667" r:id="rId664"/>
    <hyperlink xmlns:r="http://schemas.openxmlformats.org/officeDocument/2006/relationships" ref="A668" r:id="rId665"/>
    <hyperlink xmlns:r="http://schemas.openxmlformats.org/officeDocument/2006/relationships" ref="A669" r:id="rId666"/>
    <hyperlink xmlns:r="http://schemas.openxmlformats.org/officeDocument/2006/relationships" ref="A670" r:id="rId667"/>
    <hyperlink xmlns:r="http://schemas.openxmlformats.org/officeDocument/2006/relationships" ref="A671" r:id="rId668"/>
    <hyperlink xmlns:r="http://schemas.openxmlformats.org/officeDocument/2006/relationships" ref="A672" r:id="rId669"/>
    <hyperlink xmlns:r="http://schemas.openxmlformats.org/officeDocument/2006/relationships" ref="A673" r:id="rId670"/>
    <hyperlink xmlns:r="http://schemas.openxmlformats.org/officeDocument/2006/relationships" ref="A674" r:id="rId671"/>
    <hyperlink xmlns:r="http://schemas.openxmlformats.org/officeDocument/2006/relationships" ref="A675" r:id="rId672"/>
    <hyperlink xmlns:r="http://schemas.openxmlformats.org/officeDocument/2006/relationships" ref="A676" r:id="rId673"/>
    <hyperlink xmlns:r="http://schemas.openxmlformats.org/officeDocument/2006/relationships" ref="A677" r:id="rId674"/>
    <hyperlink xmlns:r="http://schemas.openxmlformats.org/officeDocument/2006/relationships" ref="A678" r:id="rId675"/>
    <hyperlink xmlns:r="http://schemas.openxmlformats.org/officeDocument/2006/relationships" ref="A679" r:id="rId676"/>
    <hyperlink xmlns:r="http://schemas.openxmlformats.org/officeDocument/2006/relationships" ref="A680" r:id="rId677"/>
    <hyperlink xmlns:r="http://schemas.openxmlformats.org/officeDocument/2006/relationships" ref="A681" r:id="rId678"/>
    <hyperlink xmlns:r="http://schemas.openxmlformats.org/officeDocument/2006/relationships" ref="A682" r:id="rId679"/>
    <hyperlink xmlns:r="http://schemas.openxmlformats.org/officeDocument/2006/relationships" ref="A683" r:id="rId680"/>
    <hyperlink xmlns:r="http://schemas.openxmlformats.org/officeDocument/2006/relationships" ref="A684" r:id="rId681"/>
    <hyperlink xmlns:r="http://schemas.openxmlformats.org/officeDocument/2006/relationships" ref="A685" r:id="rId682"/>
    <hyperlink xmlns:r="http://schemas.openxmlformats.org/officeDocument/2006/relationships" ref="A686" r:id="rId683"/>
    <hyperlink xmlns:r="http://schemas.openxmlformats.org/officeDocument/2006/relationships" ref="A687" r:id="rId684"/>
    <hyperlink xmlns:r="http://schemas.openxmlformats.org/officeDocument/2006/relationships" ref="A688" r:id="rId685"/>
    <hyperlink xmlns:r="http://schemas.openxmlformats.org/officeDocument/2006/relationships" ref="A689" r:id="rId686"/>
    <hyperlink xmlns:r="http://schemas.openxmlformats.org/officeDocument/2006/relationships" ref="A690" r:id="rId687"/>
    <hyperlink xmlns:r="http://schemas.openxmlformats.org/officeDocument/2006/relationships" ref="A691" r:id="rId688"/>
    <hyperlink xmlns:r="http://schemas.openxmlformats.org/officeDocument/2006/relationships" ref="A692" r:id="rId689"/>
    <hyperlink xmlns:r="http://schemas.openxmlformats.org/officeDocument/2006/relationships" ref="A693" r:id="rId690"/>
    <hyperlink xmlns:r="http://schemas.openxmlformats.org/officeDocument/2006/relationships" ref="A694" r:id="rId691"/>
    <hyperlink xmlns:r="http://schemas.openxmlformats.org/officeDocument/2006/relationships" ref="A695" r:id="rId692"/>
    <hyperlink xmlns:r="http://schemas.openxmlformats.org/officeDocument/2006/relationships" ref="A696" r:id="rId693"/>
    <hyperlink xmlns:r="http://schemas.openxmlformats.org/officeDocument/2006/relationships" ref="A697" r:id="rId694"/>
    <hyperlink xmlns:r="http://schemas.openxmlformats.org/officeDocument/2006/relationships" ref="A698" r:id="rId695"/>
    <hyperlink xmlns:r="http://schemas.openxmlformats.org/officeDocument/2006/relationships" ref="A699" r:id="rId696"/>
    <hyperlink xmlns:r="http://schemas.openxmlformats.org/officeDocument/2006/relationships" ref="A700" r:id="rId697"/>
    <hyperlink xmlns:r="http://schemas.openxmlformats.org/officeDocument/2006/relationships" ref="A701" r:id="rId698"/>
    <hyperlink xmlns:r="http://schemas.openxmlformats.org/officeDocument/2006/relationships" ref="A702" r:id="rId699"/>
    <hyperlink xmlns:r="http://schemas.openxmlformats.org/officeDocument/2006/relationships" ref="A703" r:id="rId700"/>
    <hyperlink xmlns:r="http://schemas.openxmlformats.org/officeDocument/2006/relationships" ref="A704" r:id="rId701"/>
    <hyperlink xmlns:r="http://schemas.openxmlformats.org/officeDocument/2006/relationships" ref="A705" r:id="rId702"/>
    <hyperlink xmlns:r="http://schemas.openxmlformats.org/officeDocument/2006/relationships" ref="A706" r:id="rId703"/>
    <hyperlink xmlns:r="http://schemas.openxmlformats.org/officeDocument/2006/relationships" ref="A707" r:id="rId704"/>
    <hyperlink xmlns:r="http://schemas.openxmlformats.org/officeDocument/2006/relationships" ref="A708" r:id="rId705"/>
    <hyperlink xmlns:r="http://schemas.openxmlformats.org/officeDocument/2006/relationships" ref="A709" r:id="rId706"/>
    <hyperlink xmlns:r="http://schemas.openxmlformats.org/officeDocument/2006/relationships" ref="A710" r:id="rId707"/>
    <hyperlink xmlns:r="http://schemas.openxmlformats.org/officeDocument/2006/relationships" ref="A711" r:id="rId708"/>
    <hyperlink xmlns:r="http://schemas.openxmlformats.org/officeDocument/2006/relationships" ref="A712" r:id="rId709"/>
    <hyperlink xmlns:r="http://schemas.openxmlformats.org/officeDocument/2006/relationships" ref="A713" r:id="rId710"/>
    <hyperlink xmlns:r="http://schemas.openxmlformats.org/officeDocument/2006/relationships" ref="A714" r:id="rId711"/>
    <hyperlink xmlns:r="http://schemas.openxmlformats.org/officeDocument/2006/relationships" ref="A715" r:id="rId712"/>
    <hyperlink xmlns:r="http://schemas.openxmlformats.org/officeDocument/2006/relationships" ref="A716" r:id="rId713"/>
    <hyperlink xmlns:r="http://schemas.openxmlformats.org/officeDocument/2006/relationships" ref="A717" r:id="rId714"/>
    <hyperlink xmlns:r="http://schemas.openxmlformats.org/officeDocument/2006/relationships" ref="A718" r:id="rId715"/>
    <hyperlink xmlns:r="http://schemas.openxmlformats.org/officeDocument/2006/relationships" ref="A719" r:id="rId716"/>
    <hyperlink xmlns:r="http://schemas.openxmlformats.org/officeDocument/2006/relationships" ref="A720" r:id="rId717"/>
    <hyperlink xmlns:r="http://schemas.openxmlformats.org/officeDocument/2006/relationships" ref="A721" r:id="rId718"/>
    <hyperlink xmlns:r="http://schemas.openxmlformats.org/officeDocument/2006/relationships" ref="A722" r:id="rId719"/>
    <hyperlink xmlns:r="http://schemas.openxmlformats.org/officeDocument/2006/relationships" ref="A723" r:id="rId720"/>
    <hyperlink xmlns:r="http://schemas.openxmlformats.org/officeDocument/2006/relationships" ref="A724" r:id="rId721"/>
    <hyperlink xmlns:r="http://schemas.openxmlformats.org/officeDocument/2006/relationships" ref="A725" r:id="rId722"/>
    <hyperlink xmlns:r="http://schemas.openxmlformats.org/officeDocument/2006/relationships" ref="A726" r:id="rId723"/>
    <hyperlink xmlns:r="http://schemas.openxmlformats.org/officeDocument/2006/relationships" ref="A727" r:id="rId724"/>
    <hyperlink xmlns:r="http://schemas.openxmlformats.org/officeDocument/2006/relationships" ref="A728" r:id="rId725"/>
    <hyperlink xmlns:r="http://schemas.openxmlformats.org/officeDocument/2006/relationships" ref="A729" r:id="rId726"/>
    <hyperlink xmlns:r="http://schemas.openxmlformats.org/officeDocument/2006/relationships" ref="A730" r:id="rId727"/>
    <hyperlink xmlns:r="http://schemas.openxmlformats.org/officeDocument/2006/relationships" ref="A731" r:id="rId728"/>
    <hyperlink xmlns:r="http://schemas.openxmlformats.org/officeDocument/2006/relationships" ref="A732" r:id="rId729"/>
    <hyperlink xmlns:r="http://schemas.openxmlformats.org/officeDocument/2006/relationships" ref="A733" r:id="rId730"/>
    <hyperlink xmlns:r="http://schemas.openxmlformats.org/officeDocument/2006/relationships" ref="A734" r:id="rId731"/>
    <hyperlink xmlns:r="http://schemas.openxmlformats.org/officeDocument/2006/relationships" ref="A735" r:id="rId732"/>
    <hyperlink xmlns:r="http://schemas.openxmlformats.org/officeDocument/2006/relationships" ref="A736" r:id="rId733"/>
    <hyperlink xmlns:r="http://schemas.openxmlformats.org/officeDocument/2006/relationships" ref="A737" r:id="rId734"/>
    <hyperlink xmlns:r="http://schemas.openxmlformats.org/officeDocument/2006/relationships" ref="A738" r:id="rId735"/>
    <hyperlink xmlns:r="http://schemas.openxmlformats.org/officeDocument/2006/relationships" ref="A739" r:id="rId736"/>
    <hyperlink xmlns:r="http://schemas.openxmlformats.org/officeDocument/2006/relationships" ref="A740" r:id="rId737"/>
    <hyperlink xmlns:r="http://schemas.openxmlformats.org/officeDocument/2006/relationships" ref="A741" r:id="rId738"/>
    <hyperlink xmlns:r="http://schemas.openxmlformats.org/officeDocument/2006/relationships" ref="A742" r:id="rId739"/>
    <hyperlink xmlns:r="http://schemas.openxmlformats.org/officeDocument/2006/relationships" ref="A743" r:id="rId740"/>
    <hyperlink xmlns:r="http://schemas.openxmlformats.org/officeDocument/2006/relationships" ref="A744" r:id="rId741"/>
    <hyperlink xmlns:r="http://schemas.openxmlformats.org/officeDocument/2006/relationships" ref="A745" r:id="rId742"/>
    <hyperlink xmlns:r="http://schemas.openxmlformats.org/officeDocument/2006/relationships" ref="A746" r:id="rId743"/>
    <hyperlink xmlns:r="http://schemas.openxmlformats.org/officeDocument/2006/relationships" ref="A747" r:id="rId744"/>
    <hyperlink xmlns:r="http://schemas.openxmlformats.org/officeDocument/2006/relationships" ref="A748" r:id="rId745"/>
    <hyperlink xmlns:r="http://schemas.openxmlformats.org/officeDocument/2006/relationships" ref="A749" r:id="rId746"/>
    <hyperlink xmlns:r="http://schemas.openxmlformats.org/officeDocument/2006/relationships" ref="A750" r:id="rId747"/>
    <hyperlink xmlns:r="http://schemas.openxmlformats.org/officeDocument/2006/relationships" ref="A751" r:id="rId748"/>
    <hyperlink xmlns:r="http://schemas.openxmlformats.org/officeDocument/2006/relationships" ref="A752" r:id="rId749"/>
    <hyperlink xmlns:r="http://schemas.openxmlformats.org/officeDocument/2006/relationships" ref="A753" r:id="rId750"/>
    <hyperlink xmlns:r="http://schemas.openxmlformats.org/officeDocument/2006/relationships" ref="A754" r:id="rId751"/>
    <hyperlink xmlns:r="http://schemas.openxmlformats.org/officeDocument/2006/relationships" ref="A755" r:id="rId752"/>
    <hyperlink xmlns:r="http://schemas.openxmlformats.org/officeDocument/2006/relationships" ref="A756" r:id="rId753"/>
    <hyperlink xmlns:r="http://schemas.openxmlformats.org/officeDocument/2006/relationships" ref="A757" r:id="rId754"/>
    <hyperlink xmlns:r="http://schemas.openxmlformats.org/officeDocument/2006/relationships" ref="A758" r:id="rId755"/>
    <hyperlink xmlns:r="http://schemas.openxmlformats.org/officeDocument/2006/relationships" ref="A759" r:id="rId756"/>
    <hyperlink xmlns:r="http://schemas.openxmlformats.org/officeDocument/2006/relationships" ref="A760" r:id="rId757"/>
    <hyperlink xmlns:r="http://schemas.openxmlformats.org/officeDocument/2006/relationships" ref="A761" r:id="rId758"/>
    <hyperlink xmlns:r="http://schemas.openxmlformats.org/officeDocument/2006/relationships" ref="A762" r:id="rId759"/>
    <hyperlink xmlns:r="http://schemas.openxmlformats.org/officeDocument/2006/relationships" ref="A763" r:id="rId760"/>
    <hyperlink xmlns:r="http://schemas.openxmlformats.org/officeDocument/2006/relationships" ref="A764" r:id="rId761"/>
    <hyperlink xmlns:r="http://schemas.openxmlformats.org/officeDocument/2006/relationships" ref="A765" r:id="rId762"/>
    <hyperlink xmlns:r="http://schemas.openxmlformats.org/officeDocument/2006/relationships" ref="A766" r:id="rId763"/>
    <hyperlink xmlns:r="http://schemas.openxmlformats.org/officeDocument/2006/relationships" ref="A767" r:id="rId764"/>
    <hyperlink xmlns:r="http://schemas.openxmlformats.org/officeDocument/2006/relationships" ref="A768" r:id="rId765"/>
    <hyperlink xmlns:r="http://schemas.openxmlformats.org/officeDocument/2006/relationships" ref="A769" r:id="rId766"/>
    <hyperlink xmlns:r="http://schemas.openxmlformats.org/officeDocument/2006/relationships" ref="A770" r:id="rId767"/>
    <hyperlink xmlns:r="http://schemas.openxmlformats.org/officeDocument/2006/relationships" ref="A771" r:id="rId768"/>
    <hyperlink xmlns:r="http://schemas.openxmlformats.org/officeDocument/2006/relationships" ref="A772" r:id="rId769"/>
    <hyperlink xmlns:r="http://schemas.openxmlformats.org/officeDocument/2006/relationships" ref="A773" r:id="rId770"/>
    <hyperlink xmlns:r="http://schemas.openxmlformats.org/officeDocument/2006/relationships" ref="A774" r:id="rId771"/>
    <hyperlink xmlns:r="http://schemas.openxmlformats.org/officeDocument/2006/relationships" ref="A775" r:id="rId772"/>
    <hyperlink xmlns:r="http://schemas.openxmlformats.org/officeDocument/2006/relationships" ref="A776" r:id="rId773"/>
    <hyperlink xmlns:r="http://schemas.openxmlformats.org/officeDocument/2006/relationships" ref="A777" r:id="rId774"/>
    <hyperlink xmlns:r="http://schemas.openxmlformats.org/officeDocument/2006/relationships" ref="A778" r:id="rId775"/>
    <hyperlink xmlns:r="http://schemas.openxmlformats.org/officeDocument/2006/relationships" ref="A779" r:id="rId776"/>
    <hyperlink xmlns:r="http://schemas.openxmlformats.org/officeDocument/2006/relationships" ref="A780" r:id="rId777"/>
    <hyperlink xmlns:r="http://schemas.openxmlformats.org/officeDocument/2006/relationships" ref="A781" r:id="rId778"/>
    <hyperlink xmlns:r="http://schemas.openxmlformats.org/officeDocument/2006/relationships" ref="A782" r:id="rId779"/>
    <hyperlink xmlns:r="http://schemas.openxmlformats.org/officeDocument/2006/relationships" ref="A783" r:id="rId780"/>
    <hyperlink xmlns:r="http://schemas.openxmlformats.org/officeDocument/2006/relationships" ref="A784" r:id="rId781"/>
    <hyperlink xmlns:r="http://schemas.openxmlformats.org/officeDocument/2006/relationships" ref="A785" r:id="rId782"/>
    <hyperlink xmlns:r="http://schemas.openxmlformats.org/officeDocument/2006/relationships" ref="A786" r:id="rId783"/>
    <hyperlink xmlns:r="http://schemas.openxmlformats.org/officeDocument/2006/relationships" ref="A787" r:id="rId784"/>
    <hyperlink xmlns:r="http://schemas.openxmlformats.org/officeDocument/2006/relationships" ref="A788" r:id="rId785"/>
    <hyperlink xmlns:r="http://schemas.openxmlformats.org/officeDocument/2006/relationships" ref="A789" r:id="rId786"/>
    <hyperlink xmlns:r="http://schemas.openxmlformats.org/officeDocument/2006/relationships" ref="A790" r:id="rId787"/>
    <hyperlink xmlns:r="http://schemas.openxmlformats.org/officeDocument/2006/relationships" ref="A791" r:id="rId788"/>
    <hyperlink xmlns:r="http://schemas.openxmlformats.org/officeDocument/2006/relationships" ref="A792" r:id="rId789"/>
    <hyperlink xmlns:r="http://schemas.openxmlformats.org/officeDocument/2006/relationships" ref="A793" r:id="rId790"/>
    <hyperlink xmlns:r="http://schemas.openxmlformats.org/officeDocument/2006/relationships" ref="A794" r:id="rId791"/>
    <hyperlink xmlns:r="http://schemas.openxmlformats.org/officeDocument/2006/relationships" ref="A795" r:id="rId792"/>
    <hyperlink xmlns:r="http://schemas.openxmlformats.org/officeDocument/2006/relationships" ref="A796" r:id="rId793"/>
    <hyperlink xmlns:r="http://schemas.openxmlformats.org/officeDocument/2006/relationships" ref="A797" r:id="rId794"/>
    <hyperlink xmlns:r="http://schemas.openxmlformats.org/officeDocument/2006/relationships" ref="A798" r:id="rId795"/>
    <hyperlink xmlns:r="http://schemas.openxmlformats.org/officeDocument/2006/relationships" ref="A799" r:id="rId796"/>
    <hyperlink xmlns:r="http://schemas.openxmlformats.org/officeDocument/2006/relationships" ref="A800" r:id="rId797"/>
    <hyperlink xmlns:r="http://schemas.openxmlformats.org/officeDocument/2006/relationships" ref="A801" r:id="rId798"/>
    <hyperlink xmlns:r="http://schemas.openxmlformats.org/officeDocument/2006/relationships" ref="A802" r:id="rId799"/>
    <hyperlink xmlns:r="http://schemas.openxmlformats.org/officeDocument/2006/relationships" ref="A803" r:id="rId800"/>
    <hyperlink xmlns:r="http://schemas.openxmlformats.org/officeDocument/2006/relationships" ref="A804" r:id="rId801"/>
    <hyperlink xmlns:r="http://schemas.openxmlformats.org/officeDocument/2006/relationships" ref="A805" r:id="rId802"/>
    <hyperlink xmlns:r="http://schemas.openxmlformats.org/officeDocument/2006/relationships" ref="A806" r:id="rId803"/>
    <hyperlink xmlns:r="http://schemas.openxmlformats.org/officeDocument/2006/relationships" ref="A807" r:id="rId804"/>
    <hyperlink xmlns:r="http://schemas.openxmlformats.org/officeDocument/2006/relationships" ref="A808" r:id="rId805"/>
    <hyperlink xmlns:r="http://schemas.openxmlformats.org/officeDocument/2006/relationships" ref="A809" r:id="rId806"/>
    <hyperlink xmlns:r="http://schemas.openxmlformats.org/officeDocument/2006/relationships" ref="A810" r:id="rId807"/>
    <hyperlink xmlns:r="http://schemas.openxmlformats.org/officeDocument/2006/relationships" ref="A811" r:id="rId808"/>
    <hyperlink xmlns:r="http://schemas.openxmlformats.org/officeDocument/2006/relationships" ref="A812" r:id="rId809"/>
    <hyperlink xmlns:r="http://schemas.openxmlformats.org/officeDocument/2006/relationships" ref="A813" r:id="rId810"/>
    <hyperlink xmlns:r="http://schemas.openxmlformats.org/officeDocument/2006/relationships" ref="A814" r:id="rId811"/>
    <hyperlink xmlns:r="http://schemas.openxmlformats.org/officeDocument/2006/relationships" ref="A815" r:id="rId812"/>
    <hyperlink xmlns:r="http://schemas.openxmlformats.org/officeDocument/2006/relationships" ref="A816" r:id="rId813"/>
    <hyperlink xmlns:r="http://schemas.openxmlformats.org/officeDocument/2006/relationships" ref="A817" r:id="rId814"/>
    <hyperlink xmlns:r="http://schemas.openxmlformats.org/officeDocument/2006/relationships" ref="A818" r:id="rId815"/>
    <hyperlink xmlns:r="http://schemas.openxmlformats.org/officeDocument/2006/relationships" ref="A819" r:id="rId816"/>
    <hyperlink xmlns:r="http://schemas.openxmlformats.org/officeDocument/2006/relationships" ref="A820" r:id="rId817"/>
    <hyperlink xmlns:r="http://schemas.openxmlformats.org/officeDocument/2006/relationships" ref="A821" r:id="rId818"/>
    <hyperlink xmlns:r="http://schemas.openxmlformats.org/officeDocument/2006/relationships" ref="A822" r:id="rId819"/>
    <hyperlink xmlns:r="http://schemas.openxmlformats.org/officeDocument/2006/relationships" ref="A823" r:id="rId820"/>
    <hyperlink xmlns:r="http://schemas.openxmlformats.org/officeDocument/2006/relationships" ref="A824" r:id="rId821"/>
    <hyperlink xmlns:r="http://schemas.openxmlformats.org/officeDocument/2006/relationships" ref="A825" r:id="rId822"/>
    <hyperlink xmlns:r="http://schemas.openxmlformats.org/officeDocument/2006/relationships" ref="A826" r:id="rId823"/>
    <hyperlink xmlns:r="http://schemas.openxmlformats.org/officeDocument/2006/relationships" ref="A827" r:id="rId824"/>
    <hyperlink xmlns:r="http://schemas.openxmlformats.org/officeDocument/2006/relationships" ref="A828" r:id="rId825"/>
    <hyperlink xmlns:r="http://schemas.openxmlformats.org/officeDocument/2006/relationships" ref="A829" r:id="rId826"/>
    <hyperlink xmlns:r="http://schemas.openxmlformats.org/officeDocument/2006/relationships" ref="A830" r:id="rId827"/>
    <hyperlink xmlns:r="http://schemas.openxmlformats.org/officeDocument/2006/relationships" ref="A831" r:id="rId828"/>
    <hyperlink xmlns:r="http://schemas.openxmlformats.org/officeDocument/2006/relationships" ref="A832" r:id="rId829"/>
    <hyperlink xmlns:r="http://schemas.openxmlformats.org/officeDocument/2006/relationships" ref="A833" r:id="rId830"/>
    <hyperlink xmlns:r="http://schemas.openxmlformats.org/officeDocument/2006/relationships" ref="A834" r:id="rId831"/>
    <hyperlink xmlns:r="http://schemas.openxmlformats.org/officeDocument/2006/relationships" ref="A835" r:id="rId832"/>
    <hyperlink xmlns:r="http://schemas.openxmlformats.org/officeDocument/2006/relationships" ref="A836" r:id="rId833"/>
    <hyperlink xmlns:r="http://schemas.openxmlformats.org/officeDocument/2006/relationships" ref="A837" r:id="rId834"/>
    <hyperlink xmlns:r="http://schemas.openxmlformats.org/officeDocument/2006/relationships" ref="A838" r:id="rId835"/>
    <hyperlink xmlns:r="http://schemas.openxmlformats.org/officeDocument/2006/relationships" ref="A839" r:id="rId836"/>
    <hyperlink xmlns:r="http://schemas.openxmlformats.org/officeDocument/2006/relationships" ref="A840" r:id="rId837"/>
    <hyperlink xmlns:r="http://schemas.openxmlformats.org/officeDocument/2006/relationships" ref="A841" r:id="rId838"/>
    <hyperlink xmlns:r="http://schemas.openxmlformats.org/officeDocument/2006/relationships" ref="A842" r:id="rId839"/>
    <hyperlink xmlns:r="http://schemas.openxmlformats.org/officeDocument/2006/relationships" ref="A843" r:id="rId840"/>
    <hyperlink xmlns:r="http://schemas.openxmlformats.org/officeDocument/2006/relationships" ref="A844" r:id="rId841"/>
    <hyperlink xmlns:r="http://schemas.openxmlformats.org/officeDocument/2006/relationships" ref="A845" r:id="rId842"/>
    <hyperlink xmlns:r="http://schemas.openxmlformats.org/officeDocument/2006/relationships" ref="A846" r:id="rId843"/>
    <hyperlink xmlns:r="http://schemas.openxmlformats.org/officeDocument/2006/relationships" ref="A847" r:id="rId844"/>
    <hyperlink xmlns:r="http://schemas.openxmlformats.org/officeDocument/2006/relationships" ref="A848" r:id="rId845"/>
    <hyperlink xmlns:r="http://schemas.openxmlformats.org/officeDocument/2006/relationships" ref="A849" r:id="rId846"/>
    <hyperlink xmlns:r="http://schemas.openxmlformats.org/officeDocument/2006/relationships" ref="A850" r:id="rId847"/>
    <hyperlink xmlns:r="http://schemas.openxmlformats.org/officeDocument/2006/relationships" ref="A851" r:id="rId848"/>
    <hyperlink xmlns:r="http://schemas.openxmlformats.org/officeDocument/2006/relationships" ref="A852" r:id="rId849"/>
    <hyperlink xmlns:r="http://schemas.openxmlformats.org/officeDocument/2006/relationships" ref="A853" r:id="rId850"/>
    <hyperlink xmlns:r="http://schemas.openxmlformats.org/officeDocument/2006/relationships" ref="A854" r:id="rId851"/>
    <hyperlink xmlns:r="http://schemas.openxmlformats.org/officeDocument/2006/relationships" ref="A855" r:id="rId852"/>
    <hyperlink xmlns:r="http://schemas.openxmlformats.org/officeDocument/2006/relationships" ref="A856" r:id="rId853"/>
    <hyperlink xmlns:r="http://schemas.openxmlformats.org/officeDocument/2006/relationships" ref="A857" r:id="rId854"/>
    <hyperlink xmlns:r="http://schemas.openxmlformats.org/officeDocument/2006/relationships" ref="A858" r:id="rId855"/>
    <hyperlink xmlns:r="http://schemas.openxmlformats.org/officeDocument/2006/relationships" ref="A859" r:id="rId856"/>
    <hyperlink xmlns:r="http://schemas.openxmlformats.org/officeDocument/2006/relationships" ref="A860" r:id="rId857"/>
    <hyperlink xmlns:r="http://schemas.openxmlformats.org/officeDocument/2006/relationships" ref="A861" r:id="rId858"/>
    <hyperlink xmlns:r="http://schemas.openxmlformats.org/officeDocument/2006/relationships" ref="A862" r:id="rId859"/>
    <hyperlink xmlns:r="http://schemas.openxmlformats.org/officeDocument/2006/relationships" ref="A863" r:id="rId860"/>
    <hyperlink xmlns:r="http://schemas.openxmlformats.org/officeDocument/2006/relationships" ref="A864" r:id="rId861"/>
    <hyperlink xmlns:r="http://schemas.openxmlformats.org/officeDocument/2006/relationships" ref="A865" r:id="rId862"/>
    <hyperlink xmlns:r="http://schemas.openxmlformats.org/officeDocument/2006/relationships" ref="A866" r:id="rId863"/>
    <hyperlink xmlns:r="http://schemas.openxmlformats.org/officeDocument/2006/relationships" ref="A867" r:id="rId864"/>
    <hyperlink xmlns:r="http://schemas.openxmlformats.org/officeDocument/2006/relationships" ref="A868" r:id="rId865"/>
    <hyperlink xmlns:r="http://schemas.openxmlformats.org/officeDocument/2006/relationships" ref="A869" r:id="rId866"/>
    <hyperlink xmlns:r="http://schemas.openxmlformats.org/officeDocument/2006/relationships" ref="A870" r:id="rId867"/>
    <hyperlink xmlns:r="http://schemas.openxmlformats.org/officeDocument/2006/relationships" ref="A871" r:id="rId868"/>
    <hyperlink xmlns:r="http://schemas.openxmlformats.org/officeDocument/2006/relationships" ref="A872" r:id="rId869"/>
    <hyperlink xmlns:r="http://schemas.openxmlformats.org/officeDocument/2006/relationships" ref="A873" r:id="rId870"/>
    <hyperlink xmlns:r="http://schemas.openxmlformats.org/officeDocument/2006/relationships" ref="A874" r:id="rId871"/>
    <hyperlink xmlns:r="http://schemas.openxmlformats.org/officeDocument/2006/relationships" ref="A875" r:id="rId872"/>
    <hyperlink xmlns:r="http://schemas.openxmlformats.org/officeDocument/2006/relationships" ref="A876" r:id="rId873"/>
    <hyperlink xmlns:r="http://schemas.openxmlformats.org/officeDocument/2006/relationships" ref="A877" r:id="rId874"/>
    <hyperlink xmlns:r="http://schemas.openxmlformats.org/officeDocument/2006/relationships" ref="A878" r:id="rId875"/>
    <hyperlink xmlns:r="http://schemas.openxmlformats.org/officeDocument/2006/relationships" ref="A879" r:id="rId876"/>
    <hyperlink xmlns:r="http://schemas.openxmlformats.org/officeDocument/2006/relationships" ref="A880" r:id="rId877"/>
    <hyperlink xmlns:r="http://schemas.openxmlformats.org/officeDocument/2006/relationships" ref="A881" r:id="rId878"/>
    <hyperlink xmlns:r="http://schemas.openxmlformats.org/officeDocument/2006/relationships" ref="A882" r:id="rId879"/>
    <hyperlink xmlns:r="http://schemas.openxmlformats.org/officeDocument/2006/relationships" ref="A883" r:id="rId880"/>
    <hyperlink xmlns:r="http://schemas.openxmlformats.org/officeDocument/2006/relationships" ref="A884" r:id="rId881"/>
    <hyperlink xmlns:r="http://schemas.openxmlformats.org/officeDocument/2006/relationships" ref="A885" r:id="rId882"/>
    <hyperlink xmlns:r="http://schemas.openxmlformats.org/officeDocument/2006/relationships" ref="A886" r:id="rId883"/>
    <hyperlink xmlns:r="http://schemas.openxmlformats.org/officeDocument/2006/relationships" ref="A887" r:id="rId884"/>
    <hyperlink xmlns:r="http://schemas.openxmlformats.org/officeDocument/2006/relationships" ref="A888" r:id="rId885"/>
    <hyperlink xmlns:r="http://schemas.openxmlformats.org/officeDocument/2006/relationships" ref="A889" r:id="rId886"/>
    <hyperlink xmlns:r="http://schemas.openxmlformats.org/officeDocument/2006/relationships" ref="A890" r:id="rId887"/>
    <hyperlink xmlns:r="http://schemas.openxmlformats.org/officeDocument/2006/relationships" ref="A891" r:id="rId888"/>
    <hyperlink xmlns:r="http://schemas.openxmlformats.org/officeDocument/2006/relationships" ref="A892" r:id="rId889"/>
    <hyperlink xmlns:r="http://schemas.openxmlformats.org/officeDocument/2006/relationships" ref="A893" r:id="rId890"/>
    <hyperlink xmlns:r="http://schemas.openxmlformats.org/officeDocument/2006/relationships" ref="A894" r:id="rId891"/>
    <hyperlink xmlns:r="http://schemas.openxmlformats.org/officeDocument/2006/relationships" ref="A895" r:id="rId892"/>
    <hyperlink xmlns:r="http://schemas.openxmlformats.org/officeDocument/2006/relationships" ref="A896" r:id="rId893"/>
    <hyperlink xmlns:r="http://schemas.openxmlformats.org/officeDocument/2006/relationships" ref="A897" r:id="rId894"/>
    <hyperlink xmlns:r="http://schemas.openxmlformats.org/officeDocument/2006/relationships" ref="A898" r:id="rId895"/>
    <hyperlink xmlns:r="http://schemas.openxmlformats.org/officeDocument/2006/relationships" ref="A899" r:id="rId896"/>
    <hyperlink xmlns:r="http://schemas.openxmlformats.org/officeDocument/2006/relationships" ref="A900" r:id="rId897"/>
    <hyperlink xmlns:r="http://schemas.openxmlformats.org/officeDocument/2006/relationships" ref="A901" r:id="rId898"/>
    <hyperlink xmlns:r="http://schemas.openxmlformats.org/officeDocument/2006/relationships" ref="A902" r:id="rId899"/>
    <hyperlink xmlns:r="http://schemas.openxmlformats.org/officeDocument/2006/relationships" ref="A903" r:id="rId900"/>
    <hyperlink xmlns:r="http://schemas.openxmlformats.org/officeDocument/2006/relationships" ref="A904" r:id="rId901"/>
    <hyperlink xmlns:r="http://schemas.openxmlformats.org/officeDocument/2006/relationships" ref="A905" r:id="rId902"/>
    <hyperlink xmlns:r="http://schemas.openxmlformats.org/officeDocument/2006/relationships" ref="A906" r:id="rId903"/>
    <hyperlink xmlns:r="http://schemas.openxmlformats.org/officeDocument/2006/relationships" ref="A907" r:id="rId904"/>
    <hyperlink xmlns:r="http://schemas.openxmlformats.org/officeDocument/2006/relationships" ref="A908" r:id="rId905"/>
    <hyperlink xmlns:r="http://schemas.openxmlformats.org/officeDocument/2006/relationships" ref="A909" r:id="rId906"/>
    <hyperlink xmlns:r="http://schemas.openxmlformats.org/officeDocument/2006/relationships" ref="A910" r:id="rId907"/>
    <hyperlink xmlns:r="http://schemas.openxmlformats.org/officeDocument/2006/relationships" ref="A911" r:id="rId908"/>
    <hyperlink xmlns:r="http://schemas.openxmlformats.org/officeDocument/2006/relationships" ref="A912" r:id="rId909"/>
    <hyperlink xmlns:r="http://schemas.openxmlformats.org/officeDocument/2006/relationships" ref="A913" r:id="rId910"/>
    <hyperlink xmlns:r="http://schemas.openxmlformats.org/officeDocument/2006/relationships" ref="A914" r:id="rId911"/>
    <hyperlink xmlns:r="http://schemas.openxmlformats.org/officeDocument/2006/relationships" ref="A915" r:id="rId912"/>
    <hyperlink xmlns:r="http://schemas.openxmlformats.org/officeDocument/2006/relationships" ref="A916" r:id="rId913"/>
    <hyperlink xmlns:r="http://schemas.openxmlformats.org/officeDocument/2006/relationships" ref="A917" r:id="rId914"/>
    <hyperlink xmlns:r="http://schemas.openxmlformats.org/officeDocument/2006/relationships" ref="A918" r:id="rId915"/>
    <hyperlink xmlns:r="http://schemas.openxmlformats.org/officeDocument/2006/relationships" ref="A919" r:id="rId916"/>
    <hyperlink xmlns:r="http://schemas.openxmlformats.org/officeDocument/2006/relationships" ref="A920" r:id="rId917"/>
    <hyperlink xmlns:r="http://schemas.openxmlformats.org/officeDocument/2006/relationships" ref="A921" r:id="rId918"/>
    <hyperlink xmlns:r="http://schemas.openxmlformats.org/officeDocument/2006/relationships" ref="A922" r:id="rId919"/>
    <hyperlink xmlns:r="http://schemas.openxmlformats.org/officeDocument/2006/relationships" ref="A923" r:id="rId920"/>
    <hyperlink xmlns:r="http://schemas.openxmlformats.org/officeDocument/2006/relationships" ref="A924" r:id="rId921"/>
    <hyperlink xmlns:r="http://schemas.openxmlformats.org/officeDocument/2006/relationships" ref="A925" r:id="rId922"/>
    <hyperlink xmlns:r="http://schemas.openxmlformats.org/officeDocument/2006/relationships" ref="A926" r:id="rId923"/>
    <hyperlink xmlns:r="http://schemas.openxmlformats.org/officeDocument/2006/relationships" ref="A927" r:id="rId924"/>
    <hyperlink xmlns:r="http://schemas.openxmlformats.org/officeDocument/2006/relationships" ref="A928" r:id="rId925"/>
    <hyperlink xmlns:r="http://schemas.openxmlformats.org/officeDocument/2006/relationships" ref="A929" r:id="rId926"/>
    <hyperlink xmlns:r="http://schemas.openxmlformats.org/officeDocument/2006/relationships" ref="A930" r:id="rId927"/>
    <hyperlink xmlns:r="http://schemas.openxmlformats.org/officeDocument/2006/relationships" ref="A931" r:id="rId928"/>
    <hyperlink xmlns:r="http://schemas.openxmlformats.org/officeDocument/2006/relationships" ref="A932" r:id="rId929"/>
    <hyperlink xmlns:r="http://schemas.openxmlformats.org/officeDocument/2006/relationships" ref="A933" r:id="rId930"/>
    <hyperlink xmlns:r="http://schemas.openxmlformats.org/officeDocument/2006/relationships" ref="A934" r:id="rId931"/>
    <hyperlink xmlns:r="http://schemas.openxmlformats.org/officeDocument/2006/relationships" ref="A935" r:id="rId932"/>
    <hyperlink xmlns:r="http://schemas.openxmlformats.org/officeDocument/2006/relationships" ref="A936" r:id="rId933"/>
    <hyperlink xmlns:r="http://schemas.openxmlformats.org/officeDocument/2006/relationships" ref="A937" r:id="rId934"/>
    <hyperlink xmlns:r="http://schemas.openxmlformats.org/officeDocument/2006/relationships" ref="A938" r:id="rId935"/>
    <hyperlink xmlns:r="http://schemas.openxmlformats.org/officeDocument/2006/relationships" ref="A939" r:id="rId936"/>
    <hyperlink xmlns:r="http://schemas.openxmlformats.org/officeDocument/2006/relationships" ref="A940" r:id="rId937"/>
    <hyperlink xmlns:r="http://schemas.openxmlformats.org/officeDocument/2006/relationships" ref="A941" r:id="rId938"/>
    <hyperlink xmlns:r="http://schemas.openxmlformats.org/officeDocument/2006/relationships" ref="A942" r:id="rId939"/>
    <hyperlink xmlns:r="http://schemas.openxmlformats.org/officeDocument/2006/relationships" ref="A943" r:id="rId940"/>
    <hyperlink xmlns:r="http://schemas.openxmlformats.org/officeDocument/2006/relationships" ref="A944" r:id="rId941"/>
    <hyperlink xmlns:r="http://schemas.openxmlformats.org/officeDocument/2006/relationships" ref="A945" r:id="rId942"/>
    <hyperlink xmlns:r="http://schemas.openxmlformats.org/officeDocument/2006/relationships" ref="A946" r:id="rId943"/>
    <hyperlink xmlns:r="http://schemas.openxmlformats.org/officeDocument/2006/relationships" ref="A947" r:id="rId944"/>
    <hyperlink xmlns:r="http://schemas.openxmlformats.org/officeDocument/2006/relationships" ref="A948" r:id="rId945"/>
    <hyperlink xmlns:r="http://schemas.openxmlformats.org/officeDocument/2006/relationships" ref="A949" r:id="rId946"/>
    <hyperlink xmlns:r="http://schemas.openxmlformats.org/officeDocument/2006/relationships" ref="A950" r:id="rId947"/>
    <hyperlink xmlns:r="http://schemas.openxmlformats.org/officeDocument/2006/relationships" ref="A951" r:id="rId948"/>
    <hyperlink xmlns:r="http://schemas.openxmlformats.org/officeDocument/2006/relationships" ref="A952" r:id="rId949"/>
    <hyperlink xmlns:r="http://schemas.openxmlformats.org/officeDocument/2006/relationships" ref="A953" r:id="rId950"/>
    <hyperlink xmlns:r="http://schemas.openxmlformats.org/officeDocument/2006/relationships" ref="A954" r:id="rId951"/>
    <hyperlink xmlns:r="http://schemas.openxmlformats.org/officeDocument/2006/relationships" ref="A955" r:id="rId952"/>
    <hyperlink xmlns:r="http://schemas.openxmlformats.org/officeDocument/2006/relationships" ref="A956" r:id="rId953"/>
    <hyperlink xmlns:r="http://schemas.openxmlformats.org/officeDocument/2006/relationships" ref="A957" r:id="rId954"/>
    <hyperlink xmlns:r="http://schemas.openxmlformats.org/officeDocument/2006/relationships" ref="A958" r:id="rId955"/>
    <hyperlink xmlns:r="http://schemas.openxmlformats.org/officeDocument/2006/relationships" ref="A959" r:id="rId956"/>
    <hyperlink xmlns:r="http://schemas.openxmlformats.org/officeDocument/2006/relationships" ref="A960" r:id="rId957"/>
    <hyperlink xmlns:r="http://schemas.openxmlformats.org/officeDocument/2006/relationships" ref="A961" r:id="rId958"/>
    <hyperlink xmlns:r="http://schemas.openxmlformats.org/officeDocument/2006/relationships" ref="A962" r:id="rId959"/>
    <hyperlink xmlns:r="http://schemas.openxmlformats.org/officeDocument/2006/relationships" ref="A963" r:id="rId960"/>
    <hyperlink xmlns:r="http://schemas.openxmlformats.org/officeDocument/2006/relationships" ref="A964" r:id="rId961"/>
    <hyperlink xmlns:r="http://schemas.openxmlformats.org/officeDocument/2006/relationships" ref="A965" r:id="rId962"/>
    <hyperlink xmlns:r="http://schemas.openxmlformats.org/officeDocument/2006/relationships" ref="A966" r:id="rId963"/>
    <hyperlink xmlns:r="http://schemas.openxmlformats.org/officeDocument/2006/relationships" ref="A967" r:id="rId964"/>
    <hyperlink xmlns:r="http://schemas.openxmlformats.org/officeDocument/2006/relationships" ref="A968" r:id="rId965"/>
    <hyperlink xmlns:r="http://schemas.openxmlformats.org/officeDocument/2006/relationships" ref="A969" r:id="rId966"/>
    <hyperlink xmlns:r="http://schemas.openxmlformats.org/officeDocument/2006/relationships" ref="A970" r:id="rId967"/>
    <hyperlink xmlns:r="http://schemas.openxmlformats.org/officeDocument/2006/relationships" ref="A971" r:id="rId968"/>
    <hyperlink xmlns:r="http://schemas.openxmlformats.org/officeDocument/2006/relationships" ref="A972" r:id="rId969"/>
    <hyperlink xmlns:r="http://schemas.openxmlformats.org/officeDocument/2006/relationships" ref="A973" r:id="rId970"/>
    <hyperlink xmlns:r="http://schemas.openxmlformats.org/officeDocument/2006/relationships" ref="A974" r:id="rId971"/>
    <hyperlink xmlns:r="http://schemas.openxmlformats.org/officeDocument/2006/relationships" ref="A975" r:id="rId972"/>
    <hyperlink xmlns:r="http://schemas.openxmlformats.org/officeDocument/2006/relationships" ref="A976" r:id="rId973"/>
    <hyperlink xmlns:r="http://schemas.openxmlformats.org/officeDocument/2006/relationships" ref="A977" r:id="rId974"/>
    <hyperlink xmlns:r="http://schemas.openxmlformats.org/officeDocument/2006/relationships" ref="A978" r:id="rId975"/>
    <hyperlink xmlns:r="http://schemas.openxmlformats.org/officeDocument/2006/relationships" ref="A979" r:id="rId976"/>
    <hyperlink xmlns:r="http://schemas.openxmlformats.org/officeDocument/2006/relationships" ref="A980" r:id="rId977"/>
    <hyperlink xmlns:r="http://schemas.openxmlformats.org/officeDocument/2006/relationships" ref="A981" r:id="rId978"/>
    <hyperlink xmlns:r="http://schemas.openxmlformats.org/officeDocument/2006/relationships" ref="A982" r:id="rId979"/>
    <hyperlink xmlns:r="http://schemas.openxmlformats.org/officeDocument/2006/relationships" ref="A983" r:id="rId980"/>
    <hyperlink xmlns:r="http://schemas.openxmlformats.org/officeDocument/2006/relationships" ref="A984" r:id="rId981"/>
    <hyperlink xmlns:r="http://schemas.openxmlformats.org/officeDocument/2006/relationships" ref="A985" r:id="rId982"/>
    <hyperlink xmlns:r="http://schemas.openxmlformats.org/officeDocument/2006/relationships" ref="A986" r:id="rId983"/>
    <hyperlink xmlns:r="http://schemas.openxmlformats.org/officeDocument/2006/relationships" ref="A987" r:id="rId984"/>
    <hyperlink xmlns:r="http://schemas.openxmlformats.org/officeDocument/2006/relationships" ref="A988" r:id="rId985"/>
    <hyperlink xmlns:r="http://schemas.openxmlformats.org/officeDocument/2006/relationships" ref="A989" r:id="rId986"/>
    <hyperlink xmlns:r="http://schemas.openxmlformats.org/officeDocument/2006/relationships" ref="A990" r:id="rId987"/>
    <hyperlink xmlns:r="http://schemas.openxmlformats.org/officeDocument/2006/relationships" ref="A991" r:id="rId988"/>
    <hyperlink xmlns:r="http://schemas.openxmlformats.org/officeDocument/2006/relationships" ref="A992" r:id="rId989"/>
    <hyperlink xmlns:r="http://schemas.openxmlformats.org/officeDocument/2006/relationships" ref="A993" r:id="rId990"/>
    <hyperlink xmlns:r="http://schemas.openxmlformats.org/officeDocument/2006/relationships" ref="A994" r:id="rId991"/>
    <hyperlink xmlns:r="http://schemas.openxmlformats.org/officeDocument/2006/relationships" ref="A995" r:id="rId992"/>
    <hyperlink xmlns:r="http://schemas.openxmlformats.org/officeDocument/2006/relationships" ref="A996" r:id="rId993"/>
    <hyperlink xmlns:r="http://schemas.openxmlformats.org/officeDocument/2006/relationships" ref="A997" r:id="rId994"/>
    <hyperlink xmlns:r="http://schemas.openxmlformats.org/officeDocument/2006/relationships" ref="A998" r:id="rId995"/>
    <hyperlink xmlns:r="http://schemas.openxmlformats.org/officeDocument/2006/relationships" ref="A999" r:id="rId996"/>
    <hyperlink xmlns:r="http://schemas.openxmlformats.org/officeDocument/2006/relationships" ref="A1000" r:id="rId997"/>
    <hyperlink xmlns:r="http://schemas.openxmlformats.org/officeDocument/2006/relationships" ref="A1001" r:id="rId998"/>
    <hyperlink xmlns:r="http://schemas.openxmlformats.org/officeDocument/2006/relationships" ref="A1002" r:id="rId999"/>
    <hyperlink xmlns:r="http://schemas.openxmlformats.org/officeDocument/2006/relationships" ref="A1003" r:id="rId1000"/>
    <hyperlink xmlns:r="http://schemas.openxmlformats.org/officeDocument/2006/relationships" ref="A1004" r:id="rId1001"/>
    <hyperlink xmlns:r="http://schemas.openxmlformats.org/officeDocument/2006/relationships" ref="A1005" r:id="rId1002"/>
    <hyperlink xmlns:r="http://schemas.openxmlformats.org/officeDocument/2006/relationships" ref="A1006" r:id="rId1003"/>
    <hyperlink xmlns:r="http://schemas.openxmlformats.org/officeDocument/2006/relationships" ref="A1007" r:id="rId1004"/>
    <hyperlink xmlns:r="http://schemas.openxmlformats.org/officeDocument/2006/relationships" ref="A1008" r:id="rId1005"/>
    <hyperlink xmlns:r="http://schemas.openxmlformats.org/officeDocument/2006/relationships" ref="A1009" r:id="rId1006"/>
    <hyperlink xmlns:r="http://schemas.openxmlformats.org/officeDocument/2006/relationships" ref="A1010" r:id="rId1007"/>
    <hyperlink xmlns:r="http://schemas.openxmlformats.org/officeDocument/2006/relationships" ref="A1011" r:id="rId1008"/>
    <hyperlink xmlns:r="http://schemas.openxmlformats.org/officeDocument/2006/relationships" ref="A1012" r:id="rId1009"/>
    <hyperlink xmlns:r="http://schemas.openxmlformats.org/officeDocument/2006/relationships" ref="A1013" r:id="rId1010"/>
    <hyperlink xmlns:r="http://schemas.openxmlformats.org/officeDocument/2006/relationships" ref="A1014" r:id="rId1011"/>
    <hyperlink xmlns:r="http://schemas.openxmlformats.org/officeDocument/2006/relationships" ref="A1015" r:id="rId1012"/>
    <hyperlink xmlns:r="http://schemas.openxmlformats.org/officeDocument/2006/relationships" ref="A1016" r:id="rId1013"/>
    <hyperlink xmlns:r="http://schemas.openxmlformats.org/officeDocument/2006/relationships" ref="A1017" r:id="rId1014"/>
    <hyperlink xmlns:r="http://schemas.openxmlformats.org/officeDocument/2006/relationships" ref="A1018" r:id="rId1015"/>
    <hyperlink xmlns:r="http://schemas.openxmlformats.org/officeDocument/2006/relationships" ref="A1019" r:id="rId1016"/>
    <hyperlink xmlns:r="http://schemas.openxmlformats.org/officeDocument/2006/relationships" ref="A1020" r:id="rId1017"/>
    <hyperlink xmlns:r="http://schemas.openxmlformats.org/officeDocument/2006/relationships" ref="A1021" r:id="rId1018"/>
    <hyperlink xmlns:r="http://schemas.openxmlformats.org/officeDocument/2006/relationships" ref="A1022" r:id="rId1019"/>
    <hyperlink xmlns:r="http://schemas.openxmlformats.org/officeDocument/2006/relationships" ref="A1023" r:id="rId1020"/>
    <hyperlink xmlns:r="http://schemas.openxmlformats.org/officeDocument/2006/relationships" ref="A1024" r:id="rId1021"/>
    <hyperlink xmlns:r="http://schemas.openxmlformats.org/officeDocument/2006/relationships" ref="A1025" r:id="rId1022"/>
    <hyperlink xmlns:r="http://schemas.openxmlformats.org/officeDocument/2006/relationships" ref="A1026" r:id="rId1023"/>
    <hyperlink xmlns:r="http://schemas.openxmlformats.org/officeDocument/2006/relationships" ref="A1027" r:id="rId1024"/>
    <hyperlink xmlns:r="http://schemas.openxmlformats.org/officeDocument/2006/relationships" ref="A1028" r:id="rId1025"/>
    <hyperlink xmlns:r="http://schemas.openxmlformats.org/officeDocument/2006/relationships" ref="A1029" r:id="rId1026"/>
    <hyperlink xmlns:r="http://schemas.openxmlformats.org/officeDocument/2006/relationships" ref="A1030" r:id="rId1027"/>
    <hyperlink xmlns:r="http://schemas.openxmlformats.org/officeDocument/2006/relationships" ref="A1031" r:id="rId1028"/>
    <hyperlink xmlns:r="http://schemas.openxmlformats.org/officeDocument/2006/relationships" ref="A1032" r:id="rId1029"/>
    <hyperlink xmlns:r="http://schemas.openxmlformats.org/officeDocument/2006/relationships" ref="A1033" r:id="rId1030"/>
    <hyperlink xmlns:r="http://schemas.openxmlformats.org/officeDocument/2006/relationships" ref="A1034" r:id="rId1031"/>
    <hyperlink xmlns:r="http://schemas.openxmlformats.org/officeDocument/2006/relationships" ref="A1035" r:id="rId1032"/>
    <hyperlink xmlns:r="http://schemas.openxmlformats.org/officeDocument/2006/relationships" ref="A1036" r:id="rId1033"/>
    <hyperlink xmlns:r="http://schemas.openxmlformats.org/officeDocument/2006/relationships" ref="A1037" r:id="rId1034"/>
    <hyperlink xmlns:r="http://schemas.openxmlformats.org/officeDocument/2006/relationships" ref="A1038" r:id="rId1035"/>
    <hyperlink xmlns:r="http://schemas.openxmlformats.org/officeDocument/2006/relationships" ref="A1039" r:id="rId1036"/>
    <hyperlink xmlns:r="http://schemas.openxmlformats.org/officeDocument/2006/relationships" ref="A1040" r:id="rId1037"/>
    <hyperlink xmlns:r="http://schemas.openxmlformats.org/officeDocument/2006/relationships" ref="A1041" r:id="rId1038"/>
    <hyperlink xmlns:r="http://schemas.openxmlformats.org/officeDocument/2006/relationships" ref="A1042" r:id="rId1039"/>
    <hyperlink xmlns:r="http://schemas.openxmlformats.org/officeDocument/2006/relationships" ref="A1043" r:id="rId1040"/>
    <hyperlink xmlns:r="http://schemas.openxmlformats.org/officeDocument/2006/relationships" ref="A1044" r:id="rId1041"/>
    <hyperlink xmlns:r="http://schemas.openxmlformats.org/officeDocument/2006/relationships" ref="A1045" r:id="rId1042"/>
    <hyperlink xmlns:r="http://schemas.openxmlformats.org/officeDocument/2006/relationships" ref="A1046" r:id="rId1043"/>
    <hyperlink xmlns:r="http://schemas.openxmlformats.org/officeDocument/2006/relationships" ref="A1047" r:id="rId1044"/>
    <hyperlink xmlns:r="http://schemas.openxmlformats.org/officeDocument/2006/relationships" ref="A1048" r:id="rId1045"/>
    <hyperlink xmlns:r="http://schemas.openxmlformats.org/officeDocument/2006/relationships" ref="A1049" r:id="rId1046"/>
    <hyperlink xmlns:r="http://schemas.openxmlformats.org/officeDocument/2006/relationships" ref="A1050" r:id="rId1047"/>
    <hyperlink xmlns:r="http://schemas.openxmlformats.org/officeDocument/2006/relationships" ref="A1051" r:id="rId1048"/>
    <hyperlink xmlns:r="http://schemas.openxmlformats.org/officeDocument/2006/relationships" ref="A1052" r:id="rId1049"/>
    <hyperlink xmlns:r="http://schemas.openxmlformats.org/officeDocument/2006/relationships" ref="A1053" r:id="rId1050"/>
    <hyperlink xmlns:r="http://schemas.openxmlformats.org/officeDocument/2006/relationships" ref="A1054" r:id="rId1051"/>
    <hyperlink xmlns:r="http://schemas.openxmlformats.org/officeDocument/2006/relationships" ref="A1055" r:id="rId1052"/>
    <hyperlink xmlns:r="http://schemas.openxmlformats.org/officeDocument/2006/relationships" ref="A1056" r:id="rId1053"/>
    <hyperlink xmlns:r="http://schemas.openxmlformats.org/officeDocument/2006/relationships" ref="A1057" r:id="rId1054"/>
    <hyperlink xmlns:r="http://schemas.openxmlformats.org/officeDocument/2006/relationships" ref="A1058" r:id="rId1055"/>
    <hyperlink xmlns:r="http://schemas.openxmlformats.org/officeDocument/2006/relationships" ref="A1059" r:id="rId1056"/>
    <hyperlink xmlns:r="http://schemas.openxmlformats.org/officeDocument/2006/relationships" ref="A1060" r:id="rId1057"/>
    <hyperlink xmlns:r="http://schemas.openxmlformats.org/officeDocument/2006/relationships" ref="A1061" r:id="rId1058"/>
    <hyperlink xmlns:r="http://schemas.openxmlformats.org/officeDocument/2006/relationships" ref="A1062" r:id="rId1059"/>
    <hyperlink xmlns:r="http://schemas.openxmlformats.org/officeDocument/2006/relationships" ref="A1063" r:id="rId1060"/>
    <hyperlink xmlns:r="http://schemas.openxmlformats.org/officeDocument/2006/relationships" ref="A1064" r:id="rId1061"/>
    <hyperlink xmlns:r="http://schemas.openxmlformats.org/officeDocument/2006/relationships" ref="A1065" r:id="rId1062"/>
    <hyperlink xmlns:r="http://schemas.openxmlformats.org/officeDocument/2006/relationships" ref="A1066" r:id="rId1063"/>
    <hyperlink xmlns:r="http://schemas.openxmlformats.org/officeDocument/2006/relationships" ref="A1067" r:id="rId1064"/>
    <hyperlink xmlns:r="http://schemas.openxmlformats.org/officeDocument/2006/relationships" ref="A1068" r:id="rId1065"/>
    <hyperlink xmlns:r="http://schemas.openxmlformats.org/officeDocument/2006/relationships" ref="A1069" r:id="rId1066"/>
    <hyperlink xmlns:r="http://schemas.openxmlformats.org/officeDocument/2006/relationships" ref="A1070" r:id="rId1067"/>
    <hyperlink xmlns:r="http://schemas.openxmlformats.org/officeDocument/2006/relationships" ref="A1071" r:id="rId1068"/>
    <hyperlink xmlns:r="http://schemas.openxmlformats.org/officeDocument/2006/relationships" ref="A1072" r:id="rId1069"/>
    <hyperlink xmlns:r="http://schemas.openxmlformats.org/officeDocument/2006/relationships" ref="A1073" r:id="rId1070"/>
    <hyperlink xmlns:r="http://schemas.openxmlformats.org/officeDocument/2006/relationships" ref="A1074" r:id="rId1071"/>
    <hyperlink xmlns:r="http://schemas.openxmlformats.org/officeDocument/2006/relationships" ref="A1075" r:id="rId1072"/>
    <hyperlink xmlns:r="http://schemas.openxmlformats.org/officeDocument/2006/relationships" ref="A1076" r:id="rId1073"/>
    <hyperlink xmlns:r="http://schemas.openxmlformats.org/officeDocument/2006/relationships" ref="A1077" r:id="rId1074"/>
    <hyperlink xmlns:r="http://schemas.openxmlformats.org/officeDocument/2006/relationships" ref="A1078" r:id="rId1075"/>
    <hyperlink xmlns:r="http://schemas.openxmlformats.org/officeDocument/2006/relationships" ref="A1079" r:id="rId1076"/>
    <hyperlink xmlns:r="http://schemas.openxmlformats.org/officeDocument/2006/relationships" ref="A1080" r:id="rId1077"/>
    <hyperlink xmlns:r="http://schemas.openxmlformats.org/officeDocument/2006/relationships" ref="A1081" r:id="rId1078"/>
    <hyperlink xmlns:r="http://schemas.openxmlformats.org/officeDocument/2006/relationships" ref="A1082" r:id="rId1079"/>
    <hyperlink xmlns:r="http://schemas.openxmlformats.org/officeDocument/2006/relationships" ref="A1083" r:id="rId1080"/>
    <hyperlink xmlns:r="http://schemas.openxmlformats.org/officeDocument/2006/relationships" ref="A1084" r:id="rId1081"/>
    <hyperlink xmlns:r="http://schemas.openxmlformats.org/officeDocument/2006/relationships" ref="A1085" r:id="rId1082"/>
    <hyperlink xmlns:r="http://schemas.openxmlformats.org/officeDocument/2006/relationships" ref="A1086" r:id="rId108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01: CARRIAGE OF MATERIALS</t>
        </is>
      </c>
    </row>
    <row r="2" ht="28" customHeight="1">
      <c r="A2" s="16" t="inlineStr">
        <is>
          <t>5 priced items. Amount and Calculated W are live Excel formulas (Quantity x Rate, SUM); the printed W and SAY are the DAR's own figures. Edit any Quantity or Rate and the item's calculated W recalculates.</t>
        </is>
      </c>
    </row>
    <row r="4" ht="18.5" customHeight="1">
      <c r="A4" s="8" t="inlineStr">
        <is>
          <t>1.1</t>
        </is>
      </c>
      <c r="B4" s="17" t="inlineStr">
        <is>
          <t>By Mechanical Transport including loading, unloading and stacking: Code Name Unit Rate</t>
        </is>
      </c>
      <c r="C4" s="9" t="n"/>
      <c r="D4" s="9" t="n"/>
      <c r="E4" s="9" t="n"/>
      <c r="F4" s="9" t="n"/>
      <c r="G4" s="9" t="n"/>
    </row>
    <row r="5" ht="62" customHeight="1">
      <c r="A5" s="18" t="inlineStr">
        <is>
          <t>1.1.18</t>
        </is>
      </c>
      <c r="B5" s="19" t="inlineStr">
        <is>
          <t>Disposal of moorum/building rubbish/ malba/ similar unserviceable, dismantled or waste material by mechanical transport including loading, transporting, unloading to approved municipal dumping ground for lead upto 10 km for all lifts, complete as per directions of Engineer-in-charge. Note - item to be applicable in urban areas having directions for restricted hours for movement/ plying of load carrying motor vehicle of 3.5 cum or more.</t>
        </is>
      </c>
      <c r="C5" s="20" t="n"/>
      <c r="D5" s="20" t="n"/>
      <c r="E5" s="20" t="n"/>
      <c r="F5" s="20" t="n"/>
      <c r="G5" s="20" t="n"/>
    </row>
    <row r="6">
      <c r="A6" s="21" t="inlineStr">
        <is>
          <t>Details of cost for 3 trips   |   Source: CivilDAR_2019_Vol_1.pdf, page 80</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0084</t>
        </is>
      </c>
      <c r="B8" s="11" t="inlineStr">
        <is>
          <t>HIre charges of Diesel Truck - 9 tonne excluding diesel &amp; mobile oil</t>
        </is>
      </c>
      <c r="C8" s="22" t="inlineStr">
        <is>
          <t>day</t>
        </is>
      </c>
      <c r="D8" s="23" t="n">
        <v>1</v>
      </c>
      <c r="E8" s="24" t="n">
        <v>1500</v>
      </c>
      <c r="F8" s="24">
        <f>D8*E8</f>
        <v/>
      </c>
      <c r="G8" s="22" t="n"/>
    </row>
    <row r="9">
      <c r="A9" s="22" t="inlineStr">
        <is>
          <t>0114</t>
        </is>
      </c>
      <c r="B9" s="11" t="inlineStr">
        <is>
          <t>Beldar</t>
        </is>
      </c>
      <c r="C9" s="22" t="inlineStr">
        <is>
          <t>day</t>
        </is>
      </c>
      <c r="D9" s="23" t="n">
        <v>6</v>
      </c>
      <c r="E9" s="24" t="n">
        <v>558</v>
      </c>
      <c r="F9" s="24">
        <f>D9*E9</f>
        <v/>
      </c>
      <c r="G9" s="22" t="n"/>
    </row>
    <row r="10">
      <c r="A10" s="22" t="inlineStr">
        <is>
          <t>1235</t>
        </is>
      </c>
      <c r="B10" s="11" t="inlineStr">
        <is>
          <t>Diesel oil</t>
        </is>
      </c>
      <c r="C10" s="22" t="inlineStr">
        <is>
          <t>litre</t>
        </is>
      </c>
      <c r="D10" s="23" t="n">
        <v>12.88</v>
      </c>
      <c r="E10" s="24" t="n">
        <v>73.5</v>
      </c>
      <c r="F10" s="24">
        <f>D10*E10</f>
        <v/>
      </c>
      <c r="G10" s="22" t="n"/>
    </row>
    <row r="11">
      <c r="A11" s="22" t="inlineStr">
        <is>
          <t>5001</t>
        </is>
      </c>
      <c r="B11" s="11" t="inlineStr">
        <is>
          <t>Mobil oil (64km/140=0.46 liter)</t>
        </is>
      </c>
      <c r="C11" s="22" t="inlineStr">
        <is>
          <t>litre</t>
        </is>
      </c>
      <c r="D11" s="23" t="n">
        <v>0.46</v>
      </c>
      <c r="E11" s="24" t="n">
        <v>315</v>
      </c>
      <c r="F11" s="24">
        <f>D11*E11</f>
        <v/>
      </c>
      <c r="G11" s="22" t="n"/>
    </row>
    <row r="12">
      <c r="A12" s="8" t="inlineStr">
        <is>
          <t>Calculated W - SUM of the Amount column above</t>
        </is>
      </c>
      <c r="B12" s="9" t="n"/>
      <c r="C12" s="9" t="n"/>
      <c r="D12" s="9" t="n"/>
      <c r="E12" s="9" t="n"/>
      <c r="F12" s="25">
        <f>SUM(F8:F11)</f>
        <v/>
      </c>
      <c r="G12" s="9" t="n"/>
    </row>
    <row r="13">
      <c r="A13" s="26" t="inlineStr">
        <is>
          <t>W as printed in the DAR</t>
        </is>
      </c>
      <c r="B13" s="22" t="n"/>
      <c r="C13" s="22" t="n"/>
      <c r="D13" s="22" t="n"/>
      <c r="E13" s="22" t="n"/>
      <c r="F13" s="27" t="inlineStr">
        <is>
          <t>not printed</t>
        </is>
      </c>
      <c r="G13" s="28" t="inlineStr">
        <is>
          <t>This item prints no W (rate table or sub-analysis).</t>
        </is>
      </c>
    </row>
    <row r="14">
      <c r="A14" s="29" t="inlineStr">
        <is>
          <t>SAY (Rs.) - final DAR rate as printed (fixed value, not computed)</t>
        </is>
      </c>
      <c r="B14" s="30" t="n"/>
      <c r="C14" s="30" t="n"/>
      <c r="D14" s="30" t="n"/>
      <c r="E14" s="30" t="n"/>
      <c r="F14" s="31" t="n">
        <v>284.6</v>
      </c>
      <c r="G14" s="30" t="n"/>
    </row>
    <row r="16" ht="47.5" customHeight="1">
      <c r="A16" s="18" t="inlineStr">
        <is>
          <t>1.3</t>
        </is>
      </c>
      <c r="B16" s="19" t="inlineStr">
        <is>
          <t>Loading in or unloading cement from the railway wagons at siding and carrying the same from or into godowns adjacent to the siding, including stacking the same properly in rows upto any height as per direction of Engineer-in-charge, sweeping the wagons and screening the swept cement and filling in bags complete. Details of 23 tonnes of cement</t>
        </is>
      </c>
      <c r="C16" s="20" t="n"/>
      <c r="D16" s="20" t="n"/>
      <c r="E16" s="20" t="n"/>
      <c r="F16" s="20" t="n"/>
      <c r="G16" s="20" t="n"/>
    </row>
    <row r="17">
      <c r="A17" s="21" t="inlineStr">
        <is>
          <t>Details of cost for 23 tonne   |   Source: CivilDAR_2019_Vol_1.pdf, page 83</t>
        </is>
      </c>
    </row>
    <row r="18">
      <c r="A18" s="5" t="inlineStr">
        <is>
          <t>Code</t>
        </is>
      </c>
      <c r="B18" s="5" t="inlineStr">
        <is>
          <t>Description</t>
        </is>
      </c>
      <c r="C18" s="5" t="inlineStr">
        <is>
          <t>Unit</t>
        </is>
      </c>
      <c r="D18" s="5" t="inlineStr">
        <is>
          <t>Quantity</t>
        </is>
      </c>
      <c r="E18" s="5" t="inlineStr">
        <is>
          <t>Rate (Rs.)</t>
        </is>
      </c>
      <c r="F18" s="5" t="inlineStr">
        <is>
          <t>Amount (Rs.)</t>
        </is>
      </c>
      <c r="G18" s="5" t="inlineStr">
        <is>
          <t>Note</t>
        </is>
      </c>
    </row>
    <row r="19">
      <c r="A19" s="22" t="inlineStr">
        <is>
          <t>0114</t>
        </is>
      </c>
      <c r="B19" s="11" t="inlineStr">
        <is>
          <t>Beldar</t>
        </is>
      </c>
      <c r="C19" s="22" t="inlineStr">
        <is>
          <t>day</t>
        </is>
      </c>
      <c r="D19" s="23" t="n">
        <v>3.75</v>
      </c>
      <c r="E19" s="24" t="n">
        <v>558</v>
      </c>
      <c r="F19" s="24">
        <f>D19*E19</f>
        <v/>
      </c>
      <c r="G19" s="22" t="n"/>
    </row>
    <row r="20">
      <c r="A20" s="22" t="inlineStr">
        <is>
          <t>9999</t>
        </is>
      </c>
      <c r="B20" s="11" t="inlineStr">
        <is>
          <t>Sundries Add for sweeping the wagon, screening the swept cement and filling the same in bags</t>
        </is>
      </c>
      <c r="C20" s="22" t="inlineStr">
        <is>
          <t>L.S.</t>
        </is>
      </c>
      <c r="D20" s="23" t="n">
        <v>2.62</v>
      </c>
      <c r="E20" s="24" t="n">
        <v>2</v>
      </c>
      <c r="F20" s="24">
        <f>D20*E20</f>
        <v/>
      </c>
      <c r="G20" s="22" t="n"/>
    </row>
    <row r="21">
      <c r="A21" s="8" t="inlineStr">
        <is>
          <t>Calculated W - SUM of the Amount column above</t>
        </is>
      </c>
      <c r="B21" s="9" t="n"/>
      <c r="C21" s="9" t="n"/>
      <c r="D21" s="9" t="n"/>
      <c r="E21" s="9" t="n"/>
      <c r="F21" s="25">
        <f>SUM(F19:F20)</f>
        <v/>
      </c>
      <c r="G21" s="9" t="n"/>
    </row>
    <row r="22">
      <c r="A22" s="26" t="inlineStr">
        <is>
          <t>W as printed in the DAR</t>
        </is>
      </c>
      <c r="B22" s="22" t="n"/>
      <c r="C22" s="22" t="n"/>
      <c r="D22" s="22" t="n"/>
      <c r="E22" s="22" t="n"/>
      <c r="F22" s="27" t="inlineStr">
        <is>
          <t>not printed</t>
        </is>
      </c>
      <c r="G22" s="28" t="inlineStr">
        <is>
          <t>This item prints no W (rate table or sub-analysis).</t>
        </is>
      </c>
    </row>
    <row r="23">
      <c r="A23" s="29" t="inlineStr">
        <is>
          <t>SAY (Rs.) - final DAR rate as printed (fixed value, not computed)</t>
        </is>
      </c>
      <c r="B23" s="30" t="n"/>
      <c r="C23" s="30" t="n"/>
      <c r="D23" s="30" t="n"/>
      <c r="E23" s="30" t="n"/>
      <c r="F23" s="31" t="n">
        <v>104.9</v>
      </c>
      <c r="G23" s="30" t="n"/>
    </row>
    <row r="25" ht="18.5" customHeight="1">
      <c r="A25" s="8" t="inlineStr">
        <is>
          <t>1.4</t>
        </is>
      </c>
      <c r="B25" s="17" t="inlineStr">
        <is>
          <t>Loading in or unloading from the railway wagons as per direction of Engineer-in- charge :</t>
        </is>
      </c>
      <c r="C25" s="9" t="n"/>
      <c r="D25" s="9" t="n"/>
      <c r="E25" s="9" t="n"/>
      <c r="F25" s="9" t="n"/>
      <c r="G25" s="9" t="n"/>
    </row>
    <row r="26" ht="18.5" customHeight="1">
      <c r="A26" s="18" t="inlineStr">
        <is>
          <t>1.4.1</t>
        </is>
      </c>
      <c r="B26" s="19" t="inlineStr">
        <is>
          <t>Steel Details of 44 tonnes of steel</t>
        </is>
      </c>
      <c r="C26" s="20" t="n"/>
      <c r="D26" s="20" t="n"/>
      <c r="E26" s="20" t="n"/>
      <c r="F26" s="20" t="n"/>
      <c r="G26" s="20" t="n"/>
    </row>
    <row r="27">
      <c r="A27" s="21" t="inlineStr">
        <is>
          <t>Details of cost for 44 tonne   |   Source: CivilDAR_2019_Vol_1.pdf, page 83</t>
        </is>
      </c>
    </row>
    <row r="28">
      <c r="A28" s="5" t="inlineStr">
        <is>
          <t>Code</t>
        </is>
      </c>
      <c r="B28" s="5" t="inlineStr">
        <is>
          <t>Description</t>
        </is>
      </c>
      <c r="C28" s="5" t="inlineStr">
        <is>
          <t>Unit</t>
        </is>
      </c>
      <c r="D28" s="5" t="inlineStr">
        <is>
          <t>Quantity</t>
        </is>
      </c>
      <c r="E28" s="5" t="inlineStr">
        <is>
          <t>Rate (Rs.)</t>
        </is>
      </c>
      <c r="F28" s="5" t="inlineStr">
        <is>
          <t>Amount (Rs.)</t>
        </is>
      </c>
      <c r="G28" s="5" t="inlineStr">
        <is>
          <t>Note</t>
        </is>
      </c>
    </row>
    <row r="29">
      <c r="A29" s="22" t="inlineStr">
        <is>
          <t>0114</t>
        </is>
      </c>
      <c r="B29" s="11" t="inlineStr">
        <is>
          <t>Beldar</t>
        </is>
      </c>
      <c r="C29" s="22" t="inlineStr">
        <is>
          <t>day</t>
        </is>
      </c>
      <c r="D29" s="23" t="n">
        <v>10.66</v>
      </c>
      <c r="E29" s="24" t="n">
        <v>558</v>
      </c>
      <c r="F29" s="24">
        <f>D29*E29</f>
        <v/>
      </c>
      <c r="G29" s="22" t="n"/>
    </row>
    <row r="30">
      <c r="A30" s="8" t="inlineStr">
        <is>
          <t>Calculated W - SUM of the Amount column above</t>
        </is>
      </c>
      <c r="B30" s="9" t="n"/>
      <c r="C30" s="9" t="n"/>
      <c r="D30" s="9" t="n"/>
      <c r="E30" s="9" t="n"/>
      <c r="F30" s="25">
        <f>SUM(F29:F29)</f>
        <v/>
      </c>
      <c r="G30" s="9" t="n"/>
    </row>
    <row r="31">
      <c r="A31" s="26" t="inlineStr">
        <is>
          <t>W as printed in the DAR</t>
        </is>
      </c>
      <c r="B31" s="22" t="n"/>
      <c r="C31" s="22" t="n"/>
      <c r="D31" s="22" t="n"/>
      <c r="E31" s="22" t="n"/>
      <c r="F31" s="27" t="inlineStr">
        <is>
          <t>not printed</t>
        </is>
      </c>
      <c r="G31" s="28" t="inlineStr">
        <is>
          <t>This item prints no W (rate table or sub-analysis).</t>
        </is>
      </c>
    </row>
    <row r="32">
      <c r="A32" s="29" t="inlineStr">
        <is>
          <t>SAY (Rs.) - final DAR rate as printed (fixed value, not computed)</t>
        </is>
      </c>
      <c r="B32" s="30" t="n"/>
      <c r="C32" s="30" t="n"/>
      <c r="D32" s="30" t="n"/>
      <c r="E32" s="30" t="n"/>
      <c r="F32" s="31" t="n">
        <v>155.45</v>
      </c>
      <c r="G32" s="30" t="n"/>
    </row>
    <row r="34" ht="18.5" customHeight="1">
      <c r="A34" s="8" t="inlineStr">
        <is>
          <t>1.4</t>
        </is>
      </c>
      <c r="B34" s="17" t="inlineStr">
        <is>
          <t>Loading in or unloading from the railway wagons as per direction of Engineer-in- charge :</t>
        </is>
      </c>
      <c r="C34" s="9" t="n"/>
      <c r="D34" s="9" t="n"/>
      <c r="E34" s="9" t="n"/>
      <c r="F34" s="9" t="n"/>
      <c r="G34" s="9" t="n"/>
    </row>
    <row r="35" ht="18.5" customHeight="1">
      <c r="A35" s="18" t="inlineStr">
        <is>
          <t>1.4.2</t>
        </is>
      </c>
      <c r="B35" s="19" t="inlineStr">
        <is>
          <t>G.I., C.I., R.C.C. or C.C. pipes upto 500 mm dia and similar heavy materials</t>
        </is>
      </c>
      <c r="C35" s="20" t="n"/>
      <c r="D35" s="20" t="n"/>
      <c r="E35" s="20" t="n"/>
      <c r="F35" s="20" t="n"/>
      <c r="G35" s="20" t="n"/>
    </row>
    <row r="36">
      <c r="A36" s="21" t="inlineStr">
        <is>
          <t>Details of cost for 14 tonne   |   Source: CivilDAR_2019_Vol_1.pdf, page 83</t>
        </is>
      </c>
    </row>
    <row r="37">
      <c r="A37" s="5" t="inlineStr">
        <is>
          <t>Code</t>
        </is>
      </c>
      <c r="B37" s="5" t="inlineStr">
        <is>
          <t>Description</t>
        </is>
      </c>
      <c r="C37" s="5" t="inlineStr">
        <is>
          <t>Unit</t>
        </is>
      </c>
      <c r="D37" s="5" t="inlineStr">
        <is>
          <t>Quantity</t>
        </is>
      </c>
      <c r="E37" s="5" t="inlineStr">
        <is>
          <t>Rate (Rs.)</t>
        </is>
      </c>
      <c r="F37" s="5" t="inlineStr">
        <is>
          <t>Amount (Rs.)</t>
        </is>
      </c>
      <c r="G37" s="5" t="inlineStr">
        <is>
          <t>Note</t>
        </is>
      </c>
    </row>
    <row r="38">
      <c r="A38" s="22" t="inlineStr">
        <is>
          <t>0114</t>
        </is>
      </c>
      <c r="B38" s="11" t="inlineStr">
        <is>
          <t>Beldar</t>
        </is>
      </c>
      <c r="C38" s="22" t="inlineStr">
        <is>
          <t>day</t>
        </is>
      </c>
      <c r="D38" s="23" t="n">
        <v>2</v>
      </c>
      <c r="E38" s="24" t="n">
        <v>558</v>
      </c>
      <c r="F38" s="24">
        <f>D38*E38</f>
        <v/>
      </c>
      <c r="G38" s="22" t="n"/>
    </row>
    <row r="39">
      <c r="A39" s="22" t="inlineStr">
        <is>
          <t>9999</t>
        </is>
      </c>
      <c r="B39" s="11" t="inlineStr">
        <is>
          <t>Sundries</t>
        </is>
      </c>
      <c r="C39" s="22" t="inlineStr">
        <is>
          <t>L.S.</t>
        </is>
      </c>
      <c r="D39" s="23" t="n">
        <v>3.1</v>
      </c>
      <c r="E39" s="24" t="n">
        <v>2</v>
      </c>
      <c r="F39" s="24">
        <f>D39*E39</f>
        <v/>
      </c>
      <c r="G39" s="22" t="n"/>
    </row>
    <row r="40">
      <c r="A40" s="8" t="inlineStr">
        <is>
          <t>Calculated W - SUM of the Amount column above</t>
        </is>
      </c>
      <c r="B40" s="9" t="n"/>
      <c r="C40" s="9" t="n"/>
      <c r="D40" s="9" t="n"/>
      <c r="E40" s="9" t="n"/>
      <c r="F40" s="25">
        <f>SUM(F38:F39)</f>
        <v/>
      </c>
      <c r="G40" s="9" t="n"/>
    </row>
    <row r="41">
      <c r="A41" s="26" t="inlineStr">
        <is>
          <t>W as printed in the DAR</t>
        </is>
      </c>
      <c r="B41" s="22" t="n"/>
      <c r="C41" s="22" t="n"/>
      <c r="D41" s="22" t="n"/>
      <c r="E41" s="22" t="n"/>
      <c r="F41" s="27" t="inlineStr">
        <is>
          <t>not printed</t>
        </is>
      </c>
      <c r="G41" s="28" t="inlineStr">
        <is>
          <t>This item prints no W (rate table or sub-analysis).</t>
        </is>
      </c>
    </row>
    <row r="42">
      <c r="A42" s="29" t="inlineStr">
        <is>
          <t>SAY (Rs.) - final DAR rate as printed (fixed value, not computed)</t>
        </is>
      </c>
      <c r="B42" s="30" t="n"/>
      <c r="C42" s="30" t="n"/>
      <c r="D42" s="30" t="n"/>
      <c r="E42" s="30" t="n"/>
      <c r="F42" s="31" t="n">
        <v>92.2</v>
      </c>
      <c r="G42" s="30" t="n"/>
    </row>
    <row r="44" ht="18.5" customHeight="1">
      <c r="A44" s="8" t="inlineStr">
        <is>
          <t>1.4</t>
        </is>
      </c>
      <c r="B44" s="17" t="inlineStr">
        <is>
          <t>Loading in or unloading from the railway wagons as per direction of Engineer-in- charge :</t>
        </is>
      </c>
      <c r="C44" s="9" t="n"/>
      <c r="D44" s="9" t="n"/>
      <c r="E44" s="9" t="n"/>
      <c r="F44" s="9" t="n"/>
      <c r="G44" s="9" t="n"/>
    </row>
    <row r="45" ht="33" customHeight="1">
      <c r="A45" s="18" t="inlineStr">
        <is>
          <t>1.4.3</t>
        </is>
      </c>
      <c r="B45" s="19" t="inlineStr">
        <is>
          <t>1.4.3 Heavy materials where each piece or bundle, crate or case weighs more than one tonne and R.C.C., C.I. and concrete pipes above 500 mm dia.</t>
        </is>
      </c>
      <c r="C45" s="20" t="n"/>
      <c r="D45" s="20" t="n"/>
      <c r="E45" s="20" t="n"/>
      <c r="F45" s="20" t="n"/>
      <c r="G45" s="20" t="n"/>
    </row>
    <row r="46">
      <c r="A46" s="21" t="inlineStr">
        <is>
          <t>Details of cost for 14 tonne   |   Source: CivilDAR_2019_Vol_1.pdf, page 84</t>
        </is>
      </c>
    </row>
    <row r="47">
      <c r="A47" s="5" t="inlineStr">
        <is>
          <t>Code</t>
        </is>
      </c>
      <c r="B47" s="5" t="inlineStr">
        <is>
          <t>Description</t>
        </is>
      </c>
      <c r="C47" s="5" t="inlineStr">
        <is>
          <t>Unit</t>
        </is>
      </c>
      <c r="D47" s="5" t="inlineStr">
        <is>
          <t>Quantity</t>
        </is>
      </c>
      <c r="E47" s="5" t="inlineStr">
        <is>
          <t>Rate (Rs.)</t>
        </is>
      </c>
      <c r="F47" s="5" t="inlineStr">
        <is>
          <t>Amount (Rs.)</t>
        </is>
      </c>
      <c r="G47" s="5" t="inlineStr">
        <is>
          <t>Note</t>
        </is>
      </c>
    </row>
    <row r="48">
      <c r="A48" s="22" t="inlineStr">
        <is>
          <t>0114</t>
        </is>
      </c>
      <c r="B48" s="11" t="inlineStr">
        <is>
          <t>Beldar</t>
        </is>
      </c>
      <c r="C48" s="22" t="inlineStr">
        <is>
          <t>day</t>
        </is>
      </c>
      <c r="D48" s="23" t="n">
        <v>3.25</v>
      </c>
      <c r="E48" s="24" t="n">
        <v>558</v>
      </c>
      <c r="F48" s="24">
        <f>D48*E48</f>
        <v/>
      </c>
      <c r="G48" s="22" t="n"/>
    </row>
    <row r="49">
      <c r="A49" s="22" t="inlineStr">
        <is>
          <t>9999</t>
        </is>
      </c>
      <c r="B49" s="11" t="inlineStr">
        <is>
          <t>Extra for fixing crane including labour involved</t>
        </is>
      </c>
      <c r="C49" s="22" t="inlineStr">
        <is>
          <t>L.S.</t>
        </is>
      </c>
      <c r="D49" s="23" t="n">
        <v>91.15000000000001</v>
      </c>
      <c r="E49" s="24" t="n">
        <v>2</v>
      </c>
      <c r="F49" s="24">
        <f>D49*E49</f>
        <v/>
      </c>
      <c r="G49" s="22" t="n"/>
    </row>
    <row r="50">
      <c r="A50" s="22" t="inlineStr">
        <is>
          <t>9999</t>
        </is>
      </c>
      <c r="B50" s="11" t="inlineStr">
        <is>
          <t>Sundries</t>
        </is>
      </c>
      <c r="C50" s="22" t="inlineStr">
        <is>
          <t>L.S.</t>
        </is>
      </c>
      <c r="D50" s="23" t="n">
        <v>7.4</v>
      </c>
      <c r="E50" s="24" t="n">
        <v>2</v>
      </c>
      <c r="F50" s="24">
        <f>D50*E50</f>
        <v/>
      </c>
      <c r="G50" s="22" t="n"/>
    </row>
    <row r="51">
      <c r="A51" s="8" t="inlineStr">
        <is>
          <t>Calculated W - SUM of the Amount column above</t>
        </is>
      </c>
      <c r="B51" s="9" t="n"/>
      <c r="C51" s="9" t="n"/>
      <c r="D51" s="9" t="n"/>
      <c r="E51" s="9" t="n"/>
      <c r="F51" s="25">
        <f>SUM(F48:F50)</f>
        <v/>
      </c>
      <c r="G51" s="9" t="n"/>
    </row>
    <row r="52">
      <c r="A52" s="26" t="inlineStr">
        <is>
          <t>W as printed in the DAR</t>
        </is>
      </c>
      <c r="B52" s="22" t="n"/>
      <c r="C52" s="22" t="n"/>
      <c r="D52" s="22" t="n"/>
      <c r="E52" s="22" t="n"/>
      <c r="F52" s="27" t="inlineStr">
        <is>
          <t>not printed</t>
        </is>
      </c>
      <c r="G52" s="28" t="inlineStr">
        <is>
          <t>This item prints no W (rate table or sub-analysis).</t>
        </is>
      </c>
    </row>
    <row r="53">
      <c r="A53" s="29" t="inlineStr">
        <is>
          <t>SAY (Rs.) - final DAR rate as printed (fixed value, not computed)</t>
        </is>
      </c>
      <c r="B53" s="30" t="n"/>
      <c r="C53" s="30" t="n"/>
      <c r="D53" s="30" t="n"/>
      <c r="E53" s="30" t="n"/>
      <c r="F53" s="31" t="n">
        <v>165.15</v>
      </c>
      <c r="G53" s="30" t="n"/>
    </row>
  </sheetData>
  <mergeCells count="31">
    <mergeCell ref="A30:E30"/>
    <mergeCell ref="A17:G17"/>
    <mergeCell ref="A51:E51"/>
    <mergeCell ref="B44:G44"/>
    <mergeCell ref="B34:G34"/>
    <mergeCell ref="A41:E41"/>
    <mergeCell ref="A21:E21"/>
    <mergeCell ref="A36:G36"/>
    <mergeCell ref="A12:E12"/>
    <mergeCell ref="A1:G1"/>
    <mergeCell ref="B5:G5"/>
    <mergeCell ref="A6:G6"/>
    <mergeCell ref="A42:E42"/>
    <mergeCell ref="B45:G45"/>
    <mergeCell ref="B35:G35"/>
    <mergeCell ref="B4:G4"/>
    <mergeCell ref="A23:E23"/>
    <mergeCell ref="B26:G26"/>
    <mergeCell ref="A32:E32"/>
    <mergeCell ref="A14:E14"/>
    <mergeCell ref="A22:E22"/>
    <mergeCell ref="B25:G25"/>
    <mergeCell ref="A46:G46"/>
    <mergeCell ref="B16:G16"/>
    <mergeCell ref="A53:E53"/>
    <mergeCell ref="A27:G27"/>
    <mergeCell ref="A52:E52"/>
    <mergeCell ref="A2:G2"/>
    <mergeCell ref="A13:E13"/>
    <mergeCell ref="A31:E31"/>
    <mergeCell ref="A40:E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7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02: EARTH WORK</t>
        </is>
      </c>
    </row>
    <row r="2" ht="28" customHeight="1">
      <c r="A2" s="16" t="inlineStr">
        <is>
          <t>79 priced items. Amount and Calculated W are live Excel formulas (Quantity x Rate, SUM); the printed W and SAY are the DAR's own figures. Edit any Quantity or Rate and the item's calculated W recalculates.</t>
        </is>
      </c>
    </row>
    <row r="4" ht="33" customHeight="1">
      <c r="A4" s="8" t="inlineStr">
        <is>
          <t>2.1</t>
        </is>
      </c>
      <c r="B4" s="17" t="inlineStr">
        <is>
          <t>Earth work in surface excavation not exceeding 30 cm in depth but exceeding 1.5 m in width as well as 10 sqm on plan including getting out and disposal of excavated earth upto 50 m and lift upto 1.5 m, as directed by Engineer-in- Charge:</t>
        </is>
      </c>
      <c r="C4" s="9" t="n"/>
      <c r="D4" s="9" t="n"/>
      <c r="E4" s="9" t="n"/>
      <c r="F4" s="9" t="n"/>
      <c r="G4" s="9" t="n"/>
    </row>
    <row r="5" ht="18.5" customHeight="1">
      <c r="A5" s="18" t="inlineStr">
        <is>
          <t>2.1.1</t>
        </is>
      </c>
      <c r="B5" s="19" t="inlineStr">
        <is>
          <t>All kinds of soil</t>
        </is>
      </c>
      <c r="C5" s="20" t="n"/>
      <c r="D5" s="20" t="n"/>
      <c r="E5" s="20" t="n"/>
      <c r="F5" s="20" t="n"/>
      <c r="G5" s="20" t="n"/>
    </row>
    <row r="6">
      <c r="A6" s="21" t="inlineStr">
        <is>
          <t>Details of cost for 100 sqm   |   Hand-transcribed (provisional): not machine-checked against the PDF</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0114</t>
        </is>
      </c>
      <c r="B8" s="11" t="inlineStr">
        <is>
          <t>Beldar</t>
        </is>
      </c>
      <c r="C8" s="22" t="inlineStr">
        <is>
          <t>day</t>
        </is>
      </c>
      <c r="D8" s="23" t="n">
        <v>6.8</v>
      </c>
      <c r="E8" s="24" t="n">
        <v>558</v>
      </c>
      <c r="F8" s="24">
        <f>D8*E8</f>
        <v/>
      </c>
      <c r="G8" s="22" t="n"/>
    </row>
    <row r="9">
      <c r="A9" s="22" t="inlineStr">
        <is>
          <t>0115</t>
        </is>
      </c>
      <c r="B9" s="11" t="inlineStr">
        <is>
          <t>Coolie</t>
        </is>
      </c>
      <c r="C9" s="22" t="inlineStr">
        <is>
          <t>day</t>
        </is>
      </c>
      <c r="D9" s="23" t="n">
        <v>5.6</v>
      </c>
      <c r="E9" s="24" t="n">
        <v>558</v>
      </c>
      <c r="F9" s="24">
        <f>D9*E9</f>
        <v/>
      </c>
      <c r="G9" s="22" t="n"/>
    </row>
    <row r="10">
      <c r="A10" s="8" t="inlineStr">
        <is>
          <t>Calculated W - SUM of the Amount column above</t>
        </is>
      </c>
      <c r="B10" s="9" t="n"/>
      <c r="C10" s="9" t="n"/>
      <c r="D10" s="9" t="n"/>
      <c r="E10" s="9" t="n"/>
      <c r="F10" s="25">
        <f>SUM(F8:F9)</f>
        <v/>
      </c>
      <c r="G10" s="9" t="n"/>
    </row>
    <row r="11">
      <c r="A11" s="26" t="inlineStr">
        <is>
          <t>W as printed in the DAR</t>
        </is>
      </c>
      <c r="B11" s="22" t="n"/>
      <c r="C11" s="22" t="n"/>
      <c r="D11" s="22" t="n"/>
      <c r="E11" s="22" t="n"/>
      <c r="F11" s="27" t="n">
        <v>6919.2</v>
      </c>
      <c r="G11" s="22" t="n"/>
    </row>
    <row r="12">
      <c r="A12" s="26" t="inlineStr">
        <is>
          <t>Difference (calculated - printed)</t>
        </is>
      </c>
      <c r="B12" s="22" t="n"/>
      <c r="C12" s="22" t="n"/>
      <c r="D12" s="22" t="n"/>
      <c r="E12" s="22" t="n"/>
      <c r="F12" s="27">
        <f>F10-F11</f>
        <v/>
      </c>
      <c r="G12" s="22" t="n"/>
    </row>
    <row r="13">
      <c r="A13" s="29" t="inlineStr">
        <is>
          <t>SAY (Rs.) - final DAR rate as printed (fixed value, not computed)</t>
        </is>
      </c>
      <c r="B13" s="30" t="n"/>
      <c r="C13" s="30" t="n"/>
      <c r="D13" s="30" t="n"/>
      <c r="E13" s="30" t="n"/>
      <c r="F13" s="31" t="n">
        <v>92.55</v>
      </c>
      <c r="G13" s="30" t="n"/>
    </row>
    <row r="15" ht="62" customHeight="1">
      <c r="A15" s="8" t="inlineStr">
        <is>
          <t>2.2</t>
        </is>
      </c>
      <c r="B15" s="17"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t>
        </is>
      </c>
      <c r="C15" s="9" t="n"/>
      <c r="D15" s="9" t="n"/>
      <c r="E15" s="9" t="n"/>
      <c r="F15" s="9" t="n"/>
      <c r="G15" s="9" t="n"/>
    </row>
    <row r="16" ht="18.5" customHeight="1">
      <c r="A16" s="18" t="inlineStr">
        <is>
          <t>2.2.1</t>
        </is>
      </c>
      <c r="B16" s="19" t="inlineStr">
        <is>
          <t>All kinds of soil</t>
        </is>
      </c>
      <c r="C16" s="20" t="n"/>
      <c r="D16" s="20" t="n"/>
      <c r="E16" s="20" t="n"/>
      <c r="F16" s="20" t="n"/>
      <c r="G16" s="20" t="n"/>
    </row>
    <row r="17">
      <c r="A17" s="21" t="inlineStr">
        <is>
          <t>Details of cost for 10 cum   |   Hand-transcribed (provisional): not machine-checked against the PDF</t>
        </is>
      </c>
    </row>
    <row r="18">
      <c r="A18" s="5" t="inlineStr">
        <is>
          <t>Code</t>
        </is>
      </c>
      <c r="B18" s="5" t="inlineStr">
        <is>
          <t>Description</t>
        </is>
      </c>
      <c r="C18" s="5" t="inlineStr">
        <is>
          <t>Unit</t>
        </is>
      </c>
      <c r="D18" s="5" t="inlineStr">
        <is>
          <t>Quantity</t>
        </is>
      </c>
      <c r="E18" s="5" t="inlineStr">
        <is>
          <t>Rate (Rs.)</t>
        </is>
      </c>
      <c r="F18" s="5" t="inlineStr">
        <is>
          <t>Amount (Rs.)</t>
        </is>
      </c>
      <c r="G18" s="5" t="inlineStr">
        <is>
          <t>Note</t>
        </is>
      </c>
    </row>
    <row r="19">
      <c r="A19" s="22" t="inlineStr">
        <is>
          <t>0003</t>
        </is>
      </c>
      <c r="B19" s="11" t="inlineStr">
        <is>
          <t>Diesel Road Roller 8-10t (for compaction)</t>
        </is>
      </c>
      <c r="C19" s="22" t="inlineStr">
        <is>
          <t>day</t>
        </is>
      </c>
      <c r="D19" s="23" t="n">
        <v>0.008</v>
      </c>
      <c r="E19" s="24" t="n">
        <v>3000</v>
      </c>
      <c r="F19" s="24">
        <f>D19*E19</f>
        <v/>
      </c>
      <c r="G19" s="22" t="n"/>
    </row>
    <row r="20">
      <c r="A20" s="22" t="inlineStr">
        <is>
          <t>0114</t>
        </is>
      </c>
      <c r="B20" s="11" t="inlineStr">
        <is>
          <t>Beldar</t>
        </is>
      </c>
      <c r="C20" s="22" t="inlineStr">
        <is>
          <t>day</t>
        </is>
      </c>
      <c r="D20" s="23" t="n">
        <v>5.9</v>
      </c>
      <c r="E20" s="24" t="n">
        <v>558</v>
      </c>
      <c r="F20" s="24">
        <f>D20*E20</f>
        <v/>
      </c>
      <c r="G20" s="22" t="n"/>
    </row>
    <row r="21">
      <c r="A21" s="22" t="inlineStr">
        <is>
          <t>0115</t>
        </is>
      </c>
      <c r="B21" s="11" t="inlineStr">
        <is>
          <t>Coolie</t>
        </is>
      </c>
      <c r="C21" s="22" t="inlineStr">
        <is>
          <t>day</t>
        </is>
      </c>
      <c r="D21" s="23" t="n">
        <v>3.6</v>
      </c>
      <c r="E21" s="24" t="n">
        <v>558</v>
      </c>
      <c r="F21" s="24">
        <f>D21*E21</f>
        <v/>
      </c>
      <c r="G21" s="22" t="n"/>
    </row>
    <row r="22">
      <c r="A22" s="22" t="inlineStr">
        <is>
          <t>0101</t>
        </is>
      </c>
      <c r="B22" s="11" t="inlineStr">
        <is>
          <t>Bhisti</t>
        </is>
      </c>
      <c r="C22" s="22" t="inlineStr">
        <is>
          <t>day</t>
        </is>
      </c>
      <c r="D22" s="23" t="n">
        <v>0.4</v>
      </c>
      <c r="E22" s="24" t="n">
        <v>617</v>
      </c>
      <c r="F22" s="24">
        <f>D22*E22</f>
        <v/>
      </c>
      <c r="G22" s="22" t="n"/>
    </row>
    <row r="23">
      <c r="A23" s="22" t="inlineStr">
        <is>
          <t>0113</t>
        </is>
      </c>
      <c r="B23" s="11" t="inlineStr">
        <is>
          <t>Chowkidar</t>
        </is>
      </c>
      <c r="C23" s="22" t="inlineStr">
        <is>
          <t>day</t>
        </is>
      </c>
      <c r="D23" s="23" t="n">
        <v>0.008</v>
      </c>
      <c r="E23" s="24" t="n">
        <v>558</v>
      </c>
      <c r="F23" s="24">
        <f>D23*E23</f>
        <v/>
      </c>
      <c r="G23" s="22" t="n"/>
    </row>
    <row r="24">
      <c r="A24" s="22" t="inlineStr">
        <is>
          <t>9999</t>
        </is>
      </c>
      <c r="B24" s="11" t="inlineStr">
        <is>
          <t>Sundries</t>
        </is>
      </c>
      <c r="C24" s="22" t="inlineStr">
        <is>
          <t>LS</t>
        </is>
      </c>
      <c r="D24" s="23" t="n">
        <v>2.73</v>
      </c>
      <c r="E24" s="24" t="n">
        <v>2</v>
      </c>
      <c r="F24" s="24">
        <f>D24*E24</f>
        <v/>
      </c>
      <c r="G24" s="22" t="n"/>
    </row>
    <row r="25">
      <c r="A25" s="8" t="inlineStr">
        <is>
          <t>Calculated W - SUM of the Amount column above</t>
        </is>
      </c>
      <c r="B25" s="9" t="n"/>
      <c r="C25" s="9" t="n"/>
      <c r="D25" s="9" t="n"/>
      <c r="E25" s="9" t="n"/>
      <c r="F25" s="25">
        <f>SUM(F19:F24)</f>
        <v/>
      </c>
      <c r="G25" s="9" t="n"/>
    </row>
    <row r="26">
      <c r="A26" s="26" t="inlineStr">
        <is>
          <t>W as printed in the DAR</t>
        </is>
      </c>
      <c r="B26" s="22" t="n"/>
      <c r="C26" s="22" t="n"/>
      <c r="D26" s="22" t="n"/>
      <c r="E26" s="22" t="n"/>
      <c r="F26" s="27" t="n">
        <v>5581.72</v>
      </c>
      <c r="G26" s="22" t="n"/>
    </row>
    <row r="27">
      <c r="A27" s="26" t="inlineStr">
        <is>
          <t>Difference (calculated - printed)</t>
        </is>
      </c>
      <c r="B27" s="22" t="n"/>
      <c r="C27" s="22" t="n"/>
      <c r="D27" s="22" t="n"/>
      <c r="E27" s="22" t="n"/>
      <c r="F27" s="27">
        <f>F25-F26</f>
        <v/>
      </c>
      <c r="G27" s="22" t="n"/>
    </row>
    <row r="28">
      <c r="A28" s="29" t="inlineStr">
        <is>
          <t>SAY (Rs.) - final DAR rate as printed (fixed value, not computed)</t>
        </is>
      </c>
      <c r="B28" s="30" t="n"/>
      <c r="C28" s="30" t="n"/>
      <c r="D28" s="30" t="n"/>
      <c r="E28" s="30" t="n"/>
      <c r="F28" s="31" t="n">
        <v>746.8</v>
      </c>
      <c r="G28" s="30" t="n"/>
    </row>
    <row r="30" ht="47.5" customHeight="1">
      <c r="A30" s="8" t="inlineStr">
        <is>
          <t>2.3</t>
        </is>
      </c>
      <c r="B30" s="17"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t>
        </is>
      </c>
      <c r="C30" s="9" t="n"/>
      <c r="D30" s="9" t="n"/>
      <c r="E30" s="9" t="n"/>
      <c r="F30" s="9" t="n"/>
      <c r="G30" s="9" t="n"/>
    </row>
    <row r="31" ht="18.5" customHeight="1">
      <c r="A31" s="18" t="inlineStr">
        <is>
          <t>2.3.1</t>
        </is>
      </c>
      <c r="B31" s="19" t="inlineStr">
        <is>
          <t>All kinds of soil</t>
        </is>
      </c>
      <c r="C31" s="20" t="n"/>
      <c r="D31" s="20" t="n"/>
      <c r="E31" s="20" t="n"/>
      <c r="F31" s="20" t="n"/>
      <c r="G31" s="20" t="n"/>
    </row>
    <row r="32">
      <c r="A32" s="21" t="inlineStr">
        <is>
          <t>Details of cost for 10 cum   |   Hand-transcribed (provisional): not machine-checked against the PDF</t>
        </is>
      </c>
    </row>
    <row r="33">
      <c r="A33" s="5" t="inlineStr">
        <is>
          <t>Code</t>
        </is>
      </c>
      <c r="B33" s="5" t="inlineStr">
        <is>
          <t>Description</t>
        </is>
      </c>
      <c r="C33" s="5" t="inlineStr">
        <is>
          <t>Unit</t>
        </is>
      </c>
      <c r="D33" s="5" t="inlineStr">
        <is>
          <t>Quantity</t>
        </is>
      </c>
      <c r="E33" s="5" t="inlineStr">
        <is>
          <t>Rate (Rs.)</t>
        </is>
      </c>
      <c r="F33" s="5" t="inlineStr">
        <is>
          <t>Amount (Rs.)</t>
        </is>
      </c>
      <c r="G33" s="5" t="inlineStr">
        <is>
          <t>Note</t>
        </is>
      </c>
    </row>
    <row r="34">
      <c r="A34" s="22" t="inlineStr">
        <is>
          <t>0003</t>
        </is>
      </c>
      <c r="B34" s="11" t="inlineStr">
        <is>
          <t>Diesel Road Roller 8-10t</t>
        </is>
      </c>
      <c r="C34" s="22" t="inlineStr">
        <is>
          <t>day</t>
        </is>
      </c>
      <c r="D34" s="23" t="n">
        <v>0.008</v>
      </c>
      <c r="E34" s="24" t="n">
        <v>3000</v>
      </c>
      <c r="F34" s="24">
        <f>D34*E34</f>
        <v/>
      </c>
      <c r="G34" s="22" t="n"/>
    </row>
    <row r="35">
      <c r="A35" s="22" t="inlineStr">
        <is>
          <t>0114</t>
        </is>
      </c>
      <c r="B35" s="11" t="inlineStr">
        <is>
          <t>Beldar</t>
        </is>
      </c>
      <c r="C35" s="22" t="inlineStr">
        <is>
          <t>day</t>
        </is>
      </c>
      <c r="D35" s="23" t="n">
        <v>2.2</v>
      </c>
      <c r="E35" s="24" t="n">
        <v>558</v>
      </c>
      <c r="F35" s="24">
        <f>D35*E35</f>
        <v/>
      </c>
      <c r="G35" s="22" t="n"/>
    </row>
    <row r="36">
      <c r="A36" s="22" t="inlineStr">
        <is>
          <t>0115</t>
        </is>
      </c>
      <c r="B36" s="11" t="inlineStr">
        <is>
          <t>Coolie</t>
        </is>
      </c>
      <c r="C36" s="22" t="inlineStr">
        <is>
          <t>day</t>
        </is>
      </c>
      <c r="D36" s="23" t="n">
        <v>3.6</v>
      </c>
      <c r="E36" s="24" t="n">
        <v>558</v>
      </c>
      <c r="F36" s="24">
        <f>D36*E36</f>
        <v/>
      </c>
      <c r="G36" s="22" t="n"/>
    </row>
    <row r="37">
      <c r="A37" s="22" t="inlineStr">
        <is>
          <t>0101</t>
        </is>
      </c>
      <c r="B37" s="11" t="inlineStr">
        <is>
          <t>Bhisti</t>
        </is>
      </c>
      <c r="C37" s="22" t="inlineStr">
        <is>
          <t>day</t>
        </is>
      </c>
      <c r="D37" s="23" t="n">
        <v>0.4</v>
      </c>
      <c r="E37" s="24" t="n">
        <v>617</v>
      </c>
      <c r="F37" s="24">
        <f>D37*E37</f>
        <v/>
      </c>
      <c r="G37" s="22" t="n"/>
    </row>
    <row r="38">
      <c r="A38" s="22" t="inlineStr">
        <is>
          <t>0113</t>
        </is>
      </c>
      <c r="B38" s="11" t="inlineStr">
        <is>
          <t>Chowkidar</t>
        </is>
      </c>
      <c r="C38" s="22" t="inlineStr">
        <is>
          <t>day</t>
        </is>
      </c>
      <c r="D38" s="23" t="n">
        <v>0.008</v>
      </c>
      <c r="E38" s="24" t="n">
        <v>558</v>
      </c>
      <c r="F38" s="24">
        <f>D38*E38</f>
        <v/>
      </c>
      <c r="G38" s="22" t="n"/>
    </row>
    <row r="39">
      <c r="A39" s="22" t="inlineStr">
        <is>
          <t>9999</t>
        </is>
      </c>
      <c r="B39" s="11" t="inlineStr">
        <is>
          <t>Sundries</t>
        </is>
      </c>
      <c r="C39" s="22" t="inlineStr">
        <is>
          <t>LS</t>
        </is>
      </c>
      <c r="D39" s="23" t="n">
        <v>2.73</v>
      </c>
      <c r="E39" s="24" t="n">
        <v>2</v>
      </c>
      <c r="F39" s="24">
        <f>D39*E39</f>
        <v/>
      </c>
      <c r="G39" s="22" t="n"/>
    </row>
    <row r="40">
      <c r="A40" s="8" t="inlineStr">
        <is>
          <t>Calculated W - SUM of the Amount column above</t>
        </is>
      </c>
      <c r="B40" s="9" t="n"/>
      <c r="C40" s="9" t="n"/>
      <c r="D40" s="9" t="n"/>
      <c r="E40" s="9" t="n"/>
      <c r="F40" s="25">
        <f>SUM(F34:F39)</f>
        <v/>
      </c>
      <c r="G40" s="9" t="n"/>
    </row>
    <row r="41">
      <c r="A41" s="26" t="inlineStr">
        <is>
          <t>W as printed in the DAR</t>
        </is>
      </c>
      <c r="B41" s="22" t="n"/>
      <c r="C41" s="22" t="n"/>
      <c r="D41" s="22" t="n"/>
      <c r="E41" s="22" t="n"/>
      <c r="F41" s="27" t="n">
        <v>3517.12</v>
      </c>
      <c r="G41" s="22" t="n"/>
    </row>
    <row r="42">
      <c r="A42" s="26" t="inlineStr">
        <is>
          <t>Difference (calculated - printed)</t>
        </is>
      </c>
      <c r="B42" s="22" t="n"/>
      <c r="C42" s="22" t="n"/>
      <c r="D42" s="22" t="n"/>
      <c r="E42" s="22" t="n"/>
      <c r="F42" s="27">
        <f>F40-F41</f>
        <v/>
      </c>
      <c r="G42" s="22" t="n"/>
    </row>
    <row r="43">
      <c r="A43" s="29" t="inlineStr">
        <is>
          <t>SAY (Rs.) - final DAR rate as printed (fixed value, not computed)</t>
        </is>
      </c>
      <c r="B43" s="30" t="n"/>
      <c r="C43" s="30" t="n"/>
      <c r="D43" s="30" t="n"/>
      <c r="E43" s="30" t="n"/>
      <c r="F43" s="31" t="n">
        <v>470.55</v>
      </c>
      <c r="G43" s="30" t="n"/>
    </row>
    <row r="45" ht="33" customHeight="1">
      <c r="A45" s="18" t="inlineStr">
        <is>
          <t>2.4</t>
        </is>
      </c>
      <c r="B45" s="19" t="inlineStr">
        <is>
          <t>Deduct for not rolling with power roller of minimum 8 tonnes for banking excavated earth in layers not exceeding 20 cm in depth.</t>
        </is>
      </c>
      <c r="C45" s="20" t="n"/>
      <c r="D45" s="20" t="n"/>
      <c r="E45" s="20" t="n"/>
      <c r="F45" s="20" t="n"/>
      <c r="G45" s="20" t="n"/>
    </row>
    <row r="46">
      <c r="A46" s="21" t="inlineStr">
        <is>
          <t>Details of cost for 10 cum   |   Hand-transcribed (provisional): not machine-checked against the PDF</t>
        </is>
      </c>
    </row>
    <row r="47">
      <c r="A47" s="5" t="inlineStr">
        <is>
          <t>Code</t>
        </is>
      </c>
      <c r="B47" s="5" t="inlineStr">
        <is>
          <t>Description</t>
        </is>
      </c>
      <c r="C47" s="5" t="inlineStr">
        <is>
          <t>Unit</t>
        </is>
      </c>
      <c r="D47" s="5" t="inlineStr">
        <is>
          <t>Quantity</t>
        </is>
      </c>
      <c r="E47" s="5" t="inlineStr">
        <is>
          <t>Rate (Rs.)</t>
        </is>
      </c>
      <c r="F47" s="5" t="inlineStr">
        <is>
          <t>Amount (Rs.)</t>
        </is>
      </c>
      <c r="G47" s="5" t="inlineStr">
        <is>
          <t>Note</t>
        </is>
      </c>
    </row>
    <row r="48">
      <c r="A48" s="22" t="inlineStr">
        <is>
          <t>0003</t>
        </is>
      </c>
      <c r="B48" s="11" t="inlineStr">
        <is>
          <t>Diesel Road Roller 8-10t</t>
        </is>
      </c>
      <c r="C48" s="22" t="inlineStr">
        <is>
          <t>day</t>
        </is>
      </c>
      <c r="D48" s="23" t="n">
        <v>0.008</v>
      </c>
      <c r="E48" s="24" t="n">
        <v>3000</v>
      </c>
      <c r="F48" s="24">
        <f>D48*E48</f>
        <v/>
      </c>
      <c r="G48" s="22" t="n"/>
    </row>
    <row r="49">
      <c r="A49" s="22" t="inlineStr">
        <is>
          <t>0113</t>
        </is>
      </c>
      <c r="B49" s="11" t="inlineStr">
        <is>
          <t>Chowkidar</t>
        </is>
      </c>
      <c r="C49" s="22" t="inlineStr">
        <is>
          <t>day</t>
        </is>
      </c>
      <c r="D49" s="23" t="n">
        <v>0.008</v>
      </c>
      <c r="E49" s="24" t="n">
        <v>558</v>
      </c>
      <c r="F49" s="24">
        <f>D49*E49</f>
        <v/>
      </c>
      <c r="G49" s="22" t="n"/>
    </row>
    <row r="50">
      <c r="A50" s="22" t="inlineStr">
        <is>
          <t>9999</t>
        </is>
      </c>
      <c r="B50" s="11" t="inlineStr">
        <is>
          <t>Sundries</t>
        </is>
      </c>
      <c r="C50" s="22" t="inlineStr">
        <is>
          <t>LS</t>
        </is>
      </c>
      <c r="D50" s="23" t="n">
        <v>1.82</v>
      </c>
      <c r="E50" s="24" t="n">
        <v>2</v>
      </c>
      <c r="F50" s="24">
        <f>D50*E50</f>
        <v/>
      </c>
      <c r="G50" s="22" t="n"/>
    </row>
    <row r="51">
      <c r="A51" s="8" t="inlineStr">
        <is>
          <t>Calculated W - SUM of the Amount column above</t>
        </is>
      </c>
      <c r="B51" s="9" t="n"/>
      <c r="C51" s="9" t="n"/>
      <c r="D51" s="9" t="n"/>
      <c r="E51" s="9" t="n"/>
      <c r="F51" s="25">
        <f>SUM(F48:F50)</f>
        <v/>
      </c>
      <c r="G51" s="9" t="n"/>
    </row>
    <row r="52">
      <c r="A52" s="26" t="inlineStr">
        <is>
          <t>W as printed in the DAR</t>
        </is>
      </c>
      <c r="B52" s="22" t="n"/>
      <c r="C52" s="22" t="n"/>
      <c r="D52" s="22" t="n"/>
      <c r="E52" s="22" t="n"/>
      <c r="F52" s="27" t="n">
        <v>32.1</v>
      </c>
      <c r="G52" s="22" t="n"/>
    </row>
    <row r="53">
      <c r="A53" s="26" t="inlineStr">
        <is>
          <t>Difference (calculated - printed)</t>
        </is>
      </c>
      <c r="B53" s="22" t="n"/>
      <c r="C53" s="22" t="n"/>
      <c r="D53" s="22" t="n"/>
      <c r="E53" s="22" t="n"/>
      <c r="F53" s="27">
        <f>F51-F52</f>
        <v/>
      </c>
      <c r="G53" s="22" t="n"/>
    </row>
    <row r="54">
      <c r="A54" s="29" t="inlineStr">
        <is>
          <t>SAY (Rs.) - final DAR rate as printed (fixed value, not computed)</t>
        </is>
      </c>
      <c r="B54" s="30" t="n"/>
      <c r="C54" s="30" t="n"/>
      <c r="D54" s="30" t="n"/>
      <c r="E54" s="30" t="n"/>
      <c r="F54" s="31" t="n">
        <v>4.3</v>
      </c>
      <c r="G54" s="30" t="n"/>
    </row>
    <row r="56" ht="18.5" customHeight="1">
      <c r="A56" s="18" t="inlineStr">
        <is>
          <t>2.5</t>
        </is>
      </c>
      <c r="B56" s="19" t="inlineStr">
        <is>
          <t>Deduct for not watering the excavated earth for banking</t>
        </is>
      </c>
      <c r="C56" s="20" t="n"/>
      <c r="D56" s="20" t="n"/>
      <c r="E56" s="20" t="n"/>
      <c r="F56" s="20" t="n"/>
      <c r="G56" s="20" t="n"/>
    </row>
    <row r="57">
      <c r="A57" s="21" t="inlineStr">
        <is>
          <t>Details of cost for 10 cum   |   Hand-transcribed (provisional): not machine-checked against the PDF</t>
        </is>
      </c>
    </row>
    <row r="58">
      <c r="A58" s="5" t="inlineStr">
        <is>
          <t>Code</t>
        </is>
      </c>
      <c r="B58" s="5" t="inlineStr">
        <is>
          <t>Description</t>
        </is>
      </c>
      <c r="C58" s="5" t="inlineStr">
        <is>
          <t>Unit</t>
        </is>
      </c>
      <c r="D58" s="5" t="inlineStr">
        <is>
          <t>Quantity</t>
        </is>
      </c>
      <c r="E58" s="5" t="inlineStr">
        <is>
          <t>Rate (Rs.)</t>
        </is>
      </c>
      <c r="F58" s="5" t="inlineStr">
        <is>
          <t>Amount (Rs.)</t>
        </is>
      </c>
      <c r="G58" s="5" t="inlineStr">
        <is>
          <t>Note</t>
        </is>
      </c>
    </row>
    <row r="59">
      <c r="A59" s="22" t="inlineStr">
        <is>
          <t>0101</t>
        </is>
      </c>
      <c r="B59" s="11" t="inlineStr">
        <is>
          <t>Bhisti</t>
        </is>
      </c>
      <c r="C59" s="22" t="inlineStr">
        <is>
          <t>day</t>
        </is>
      </c>
      <c r="D59" s="23" t="n">
        <v>0.4</v>
      </c>
      <c r="E59" s="24" t="n">
        <v>617</v>
      </c>
      <c r="F59" s="24">
        <f>D59*E59</f>
        <v/>
      </c>
      <c r="G59" s="22" t="n"/>
    </row>
    <row r="60">
      <c r="A60" s="8" t="inlineStr">
        <is>
          <t>Calculated W - SUM of the Amount column above</t>
        </is>
      </c>
      <c r="B60" s="9" t="n"/>
      <c r="C60" s="9" t="n"/>
      <c r="D60" s="9" t="n"/>
      <c r="E60" s="9" t="n"/>
      <c r="F60" s="25">
        <f>SUM(F59:F59)</f>
        <v/>
      </c>
      <c r="G60" s="9" t="n"/>
    </row>
    <row r="61">
      <c r="A61" s="26" t="inlineStr">
        <is>
          <t>W as printed in the DAR</t>
        </is>
      </c>
      <c r="B61" s="22" t="n"/>
      <c r="C61" s="22" t="n"/>
      <c r="D61" s="22" t="n"/>
      <c r="E61" s="22" t="n"/>
      <c r="F61" s="27" t="n">
        <v>246.8</v>
      </c>
      <c r="G61" s="22" t="n"/>
    </row>
    <row r="62">
      <c r="A62" s="26" t="inlineStr">
        <is>
          <t>Difference (calculated - printed)</t>
        </is>
      </c>
      <c r="B62" s="22" t="n"/>
      <c r="C62" s="22" t="n"/>
      <c r="D62" s="22" t="n"/>
      <c r="E62" s="22" t="n"/>
      <c r="F62" s="27">
        <f>F60-F61</f>
        <v/>
      </c>
      <c r="G62" s="22" t="n"/>
    </row>
    <row r="63">
      <c r="A63" s="29" t="inlineStr">
        <is>
          <t>SAY (Rs.) - final DAR rate as printed (fixed value, not computed)</t>
        </is>
      </c>
      <c r="B63" s="30" t="n"/>
      <c r="C63" s="30" t="n"/>
      <c r="D63" s="30" t="n"/>
      <c r="E63" s="30" t="n"/>
      <c r="F63" s="31" t="n">
        <v>33</v>
      </c>
      <c r="G63" s="30" t="n"/>
    </row>
    <row r="65" ht="47.5" customHeight="1">
      <c r="A65" s="8" t="inlineStr">
        <is>
          <t>2.6</t>
        </is>
      </c>
      <c r="B65" s="1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C65" s="9" t="n"/>
      <c r="D65" s="9" t="n"/>
      <c r="E65" s="9" t="n"/>
      <c r="F65" s="9" t="n"/>
      <c r="G65" s="9" t="n"/>
    </row>
    <row r="66" ht="18.5" customHeight="1">
      <c r="A66" s="18" t="inlineStr">
        <is>
          <t>2.6.1</t>
        </is>
      </c>
      <c r="B66" s="19" t="inlineStr">
        <is>
          <t>All kinds of soil</t>
        </is>
      </c>
      <c r="C66" s="20" t="n"/>
      <c r="D66" s="20" t="n"/>
      <c r="E66" s="20" t="n"/>
      <c r="F66" s="20" t="n"/>
      <c r="G66" s="20" t="n"/>
    </row>
    <row r="67">
      <c r="A67" s="21" t="inlineStr">
        <is>
          <t>Details of cost for 10 cum   |   Hand-transcribed (provisional): not machine-checked against the PDF</t>
        </is>
      </c>
    </row>
    <row r="68">
      <c r="A68" s="5" t="inlineStr">
        <is>
          <t>Code</t>
        </is>
      </c>
      <c r="B68" s="5" t="inlineStr">
        <is>
          <t>Description</t>
        </is>
      </c>
      <c r="C68" s="5" t="inlineStr">
        <is>
          <t>Unit</t>
        </is>
      </c>
      <c r="D68" s="5" t="inlineStr">
        <is>
          <t>Quantity</t>
        </is>
      </c>
      <c r="E68" s="5" t="inlineStr">
        <is>
          <t>Rate (Rs.)</t>
        </is>
      </c>
      <c r="F68" s="5" t="inlineStr">
        <is>
          <t>Amount (Rs.)</t>
        </is>
      </c>
      <c r="G68" s="5" t="inlineStr">
        <is>
          <t>Note</t>
        </is>
      </c>
    </row>
    <row r="69">
      <c r="A69" s="22" t="inlineStr">
        <is>
          <t>0020</t>
        </is>
      </c>
      <c r="B69" s="11" t="inlineStr">
        <is>
          <t>Hydraulic Excavator 0.9 cum</t>
        </is>
      </c>
      <c r="C69" s="22" t="inlineStr">
        <is>
          <t>day</t>
        </is>
      </c>
      <c r="D69" s="23" t="n">
        <v>0.041</v>
      </c>
      <c r="E69" s="24" t="n">
        <v>7000</v>
      </c>
      <c r="F69" s="24">
        <f>D69*E69</f>
        <v/>
      </c>
      <c r="G69" s="22" t="n"/>
    </row>
    <row r="70">
      <c r="A70" s="22" t="inlineStr">
        <is>
          <t>0018</t>
        </is>
      </c>
      <c r="B70" s="11" t="inlineStr">
        <is>
          <t>Loader</t>
        </is>
      </c>
      <c r="C70" s="22" t="inlineStr">
        <is>
          <t>day</t>
        </is>
      </c>
      <c r="D70" s="23" t="n">
        <v>0.041</v>
      </c>
      <c r="E70" s="24" t="n">
        <v>5000</v>
      </c>
      <c r="F70" s="24">
        <f>D70*E70</f>
        <v/>
      </c>
      <c r="G70" s="22" t="n"/>
    </row>
    <row r="71">
      <c r="A71" s="22" t="inlineStr">
        <is>
          <t>0128</t>
        </is>
      </c>
      <c r="B71" s="11" t="inlineStr">
        <is>
          <t>Mate</t>
        </is>
      </c>
      <c r="C71" s="22" t="inlineStr">
        <is>
          <t>day</t>
        </is>
      </c>
      <c r="D71" s="23" t="n">
        <v>0.32</v>
      </c>
      <c r="E71" s="24" t="n">
        <v>617</v>
      </c>
      <c r="F71" s="24">
        <f>D71*E71</f>
        <v/>
      </c>
      <c r="G71" s="22" t="n"/>
    </row>
    <row r="72">
      <c r="A72" s="22" t="inlineStr">
        <is>
          <t>0115</t>
        </is>
      </c>
      <c r="B72" s="11" t="inlineStr">
        <is>
          <t>Coolie</t>
        </is>
      </c>
      <c r="C72" s="22" t="inlineStr">
        <is>
          <t>day</t>
        </is>
      </c>
      <c r="D72" s="23" t="n">
        <v>1.2</v>
      </c>
      <c r="E72" s="24" t="n">
        <v>558</v>
      </c>
      <c r="F72" s="24">
        <f>D72*E72</f>
        <v/>
      </c>
      <c r="G72" s="22" t="n"/>
    </row>
    <row r="73">
      <c r="A73" s="8" t="inlineStr">
        <is>
          <t>Calculated W - SUM of the Amount column above</t>
        </is>
      </c>
      <c r="B73" s="9" t="n"/>
      <c r="C73" s="9" t="n"/>
      <c r="D73" s="9" t="n"/>
      <c r="E73" s="9" t="n"/>
      <c r="F73" s="25">
        <f>SUM(F69:F72)</f>
        <v/>
      </c>
      <c r="G73" s="9" t="n"/>
    </row>
    <row r="74">
      <c r="A74" s="26" t="inlineStr">
        <is>
          <t>W as printed in the DAR</t>
        </is>
      </c>
      <c r="B74" s="22" t="n"/>
      <c r="C74" s="22" t="n"/>
      <c r="D74" s="22" t="n"/>
      <c r="E74" s="22" t="n"/>
      <c r="F74" s="27" t="n">
        <v>1359.04</v>
      </c>
      <c r="G74" s="22" t="n"/>
    </row>
    <row r="75">
      <c r="A75" s="26" t="inlineStr">
        <is>
          <t>Difference (calculated - printed)</t>
        </is>
      </c>
      <c r="B75" s="22" t="n"/>
      <c r="C75" s="22" t="n"/>
      <c r="D75" s="22" t="n"/>
      <c r="E75" s="22" t="n"/>
      <c r="F75" s="27">
        <f>F73-F74</f>
        <v/>
      </c>
      <c r="G75" s="22" t="n"/>
    </row>
    <row r="76">
      <c r="A76" s="29" t="inlineStr">
        <is>
          <t>SAY (Rs.) - final DAR rate as printed (fixed value, not computed)</t>
        </is>
      </c>
      <c r="B76" s="30" t="n"/>
      <c r="C76" s="30" t="n"/>
      <c r="D76" s="30" t="n"/>
      <c r="E76" s="30" t="n"/>
      <c r="F76" s="31" t="n">
        <v>181.85</v>
      </c>
      <c r="G76" s="30" t="n"/>
    </row>
    <row r="78" ht="47.5" customHeight="1">
      <c r="A78" s="8" t="inlineStr">
        <is>
          <t>2.7</t>
        </is>
      </c>
      <c r="B78" s="1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C78" s="9" t="n"/>
      <c r="D78" s="9" t="n"/>
      <c r="E78" s="9" t="n"/>
      <c r="F78" s="9" t="n"/>
      <c r="G78" s="9" t="n"/>
    </row>
    <row r="79" ht="18.5" customHeight="1">
      <c r="A79" s="18" t="inlineStr">
        <is>
          <t>2.7.1</t>
        </is>
      </c>
      <c r="B79" s="19" t="inlineStr">
        <is>
          <t>Ordinary rock</t>
        </is>
      </c>
      <c r="C79" s="20" t="n"/>
      <c r="D79" s="20" t="n"/>
      <c r="E79" s="20" t="n"/>
      <c r="F79" s="20" t="n"/>
      <c r="G79" s="20" t="n"/>
    </row>
    <row r="80">
      <c r="A80" s="21" t="inlineStr">
        <is>
          <t>Details of cost for 10 cum   |   Hand-transcribed (provisional): not machine-checked against the PDF</t>
        </is>
      </c>
    </row>
    <row r="81">
      <c r="A81" s="5" t="inlineStr">
        <is>
          <t>Code</t>
        </is>
      </c>
      <c r="B81" s="5" t="inlineStr">
        <is>
          <t>Description</t>
        </is>
      </c>
      <c r="C81" s="5" t="inlineStr">
        <is>
          <t>Unit</t>
        </is>
      </c>
      <c r="D81" s="5" t="inlineStr">
        <is>
          <t>Quantity</t>
        </is>
      </c>
      <c r="E81" s="5" t="inlineStr">
        <is>
          <t>Rate (Rs.)</t>
        </is>
      </c>
      <c r="F81" s="5" t="inlineStr">
        <is>
          <t>Amount (Rs.)</t>
        </is>
      </c>
      <c r="G81" s="5" t="inlineStr">
        <is>
          <t>Note</t>
        </is>
      </c>
    </row>
    <row r="82">
      <c r="A82" s="22" t="inlineStr">
        <is>
          <t>0020</t>
        </is>
      </c>
      <c r="B82" s="11" t="inlineStr">
        <is>
          <t>Hydraulic Excavator 0.9 cum</t>
        </is>
      </c>
      <c r="C82" s="22" t="inlineStr">
        <is>
          <t>day</t>
        </is>
      </c>
      <c r="D82" s="23" t="n">
        <v>0.063</v>
      </c>
      <c r="E82" s="24" t="n">
        <v>7000</v>
      </c>
      <c r="F82" s="24">
        <f>D82*E82</f>
        <v/>
      </c>
      <c r="G82" s="22" t="n"/>
    </row>
    <row r="83">
      <c r="A83" s="22" t="inlineStr">
        <is>
          <t>0017</t>
        </is>
      </c>
      <c r="B83" s="11" t="inlineStr">
        <is>
          <t>Tipper 6 cum</t>
        </is>
      </c>
      <c r="C83" s="22" t="inlineStr">
        <is>
          <t>day</t>
        </is>
      </c>
      <c r="D83" s="23" t="n">
        <v>0.063</v>
      </c>
      <c r="E83" s="24" t="n">
        <v>1700</v>
      </c>
      <c r="F83" s="24">
        <f>D83*E83</f>
        <v/>
      </c>
      <c r="G83" s="22" t="n"/>
    </row>
    <row r="84">
      <c r="A84" s="22" t="inlineStr">
        <is>
          <t>0132</t>
        </is>
      </c>
      <c r="B84" s="11" t="inlineStr">
        <is>
          <t>Rock Excavator</t>
        </is>
      </c>
      <c r="C84" s="22" t="inlineStr">
        <is>
          <t>day</t>
        </is>
      </c>
      <c r="D84" s="23" t="n">
        <v>0.705</v>
      </c>
      <c r="E84" s="24" t="n">
        <v>558</v>
      </c>
      <c r="F84" s="24">
        <f>D84*E84</f>
        <v/>
      </c>
      <c r="G84" s="22" t="n"/>
    </row>
    <row r="85">
      <c r="A85" s="22" t="inlineStr">
        <is>
          <t>0133</t>
        </is>
      </c>
      <c r="B85" s="11" t="inlineStr">
        <is>
          <t>Rock Breaker</t>
        </is>
      </c>
      <c r="C85" s="22" t="inlineStr">
        <is>
          <t>day</t>
        </is>
      </c>
      <c r="D85" s="23" t="n">
        <v>1.59</v>
      </c>
      <c r="E85" s="24" t="n">
        <v>558</v>
      </c>
      <c r="F85" s="24">
        <f>D85*E85</f>
        <v/>
      </c>
      <c r="G85" s="22" t="n"/>
    </row>
    <row r="86">
      <c r="A86" s="22" t="inlineStr">
        <is>
          <t>0134</t>
        </is>
      </c>
      <c r="B86" s="11" t="inlineStr">
        <is>
          <t>Rock Hole Driller</t>
        </is>
      </c>
      <c r="C86" s="22" t="inlineStr">
        <is>
          <t>day</t>
        </is>
      </c>
      <c r="D86" s="23" t="n">
        <v>0.355</v>
      </c>
      <c r="E86" s="24" t="n">
        <v>558</v>
      </c>
      <c r="F86" s="24">
        <f>D86*E86</f>
        <v/>
      </c>
      <c r="G86" s="22" t="n"/>
    </row>
    <row r="87">
      <c r="A87" s="22" t="inlineStr">
        <is>
          <t>0114</t>
        </is>
      </c>
      <c r="B87" s="11" t="inlineStr">
        <is>
          <t>Beldar</t>
        </is>
      </c>
      <c r="C87" s="22" t="inlineStr">
        <is>
          <t>day</t>
        </is>
      </c>
      <c r="D87" s="23" t="n">
        <v>0.5</v>
      </c>
      <c r="E87" s="24" t="n">
        <v>558</v>
      </c>
      <c r="F87" s="24">
        <f>D87*E87</f>
        <v/>
      </c>
      <c r="G87" s="22" t="n"/>
    </row>
    <row r="88">
      <c r="A88" s="22" t="inlineStr">
        <is>
          <t>0115</t>
        </is>
      </c>
      <c r="B88" s="11" t="inlineStr">
        <is>
          <t>Coolie</t>
        </is>
      </c>
      <c r="C88" s="22" t="inlineStr">
        <is>
          <t>day</t>
        </is>
      </c>
      <c r="D88" s="23" t="n">
        <v>0.55</v>
      </c>
      <c r="E88" s="24" t="n">
        <v>558</v>
      </c>
      <c r="F88" s="24">
        <f>D88*E88</f>
        <v/>
      </c>
      <c r="G88" s="22" t="n"/>
    </row>
    <row r="89">
      <c r="A89" s="22" t="inlineStr">
        <is>
          <t>9999</t>
        </is>
      </c>
      <c r="B89" s="11" t="inlineStr">
        <is>
          <t>Sundries (blasting materials)</t>
        </is>
      </c>
      <c r="C89" s="22" t="inlineStr">
        <is>
          <t>LS</t>
        </is>
      </c>
      <c r="D89" s="23" t="n">
        <v>10.79</v>
      </c>
      <c r="E89" s="24" t="n">
        <v>2</v>
      </c>
      <c r="F89" s="24">
        <f>D89*E89</f>
        <v/>
      </c>
      <c r="G89" s="22" t="n"/>
    </row>
    <row r="90">
      <c r="A90" s="8" t="inlineStr">
        <is>
          <t>Calculated W - SUM of the Amount column above</t>
        </is>
      </c>
      <c r="B90" s="9" t="n"/>
      <c r="C90" s="9" t="n"/>
      <c r="D90" s="9" t="n"/>
      <c r="E90" s="9" t="n"/>
      <c r="F90" s="25">
        <f>SUM(F82:F89)</f>
        <v/>
      </c>
      <c r="G90" s="9" t="n"/>
    </row>
    <row r="91">
      <c r="A91" s="26" t="inlineStr">
        <is>
          <t>W as printed in the DAR</t>
        </is>
      </c>
      <c r="B91" s="22" t="n"/>
      <c r="C91" s="22" t="n"/>
      <c r="D91" s="22" t="n"/>
      <c r="E91" s="22" t="n"/>
      <c r="F91" s="27" t="n">
        <v>2634.28</v>
      </c>
      <c r="G91" s="22" t="n"/>
    </row>
    <row r="92">
      <c r="A92" s="26" t="inlineStr">
        <is>
          <t>Difference (calculated - printed)</t>
        </is>
      </c>
      <c r="B92" s="22" t="n"/>
      <c r="C92" s="22" t="n"/>
      <c r="D92" s="22" t="n"/>
      <c r="E92" s="22" t="n"/>
      <c r="F92" s="27">
        <f>F90-F91</f>
        <v/>
      </c>
      <c r="G92" s="22" t="n"/>
    </row>
    <row r="93">
      <c r="A93" s="29" t="inlineStr">
        <is>
          <t>SAY (Rs.) - final DAR rate as printed (fixed value, not computed)</t>
        </is>
      </c>
      <c r="B93" s="30" t="n"/>
      <c r="C93" s="30" t="n"/>
      <c r="D93" s="30" t="n"/>
      <c r="E93" s="30" t="n"/>
      <c r="F93" s="31" t="n">
        <v>352.45</v>
      </c>
      <c r="G93" s="30" t="n"/>
    </row>
    <row r="95" ht="47.5" customHeight="1">
      <c r="A95" s="8" t="inlineStr">
        <is>
          <t>2.7</t>
        </is>
      </c>
      <c r="B95" s="1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C95" s="9" t="n"/>
      <c r="D95" s="9" t="n"/>
      <c r="E95" s="9" t="n"/>
      <c r="F95" s="9" t="n"/>
      <c r="G95" s="9" t="n"/>
    </row>
    <row r="96" ht="18.5" customHeight="1">
      <c r="A96" s="18" t="inlineStr">
        <is>
          <t>2.7.2</t>
        </is>
      </c>
      <c r="B96" s="19" t="inlineStr">
        <is>
          <t>Hard rock (requiring blasting)</t>
        </is>
      </c>
      <c r="C96" s="20" t="n"/>
      <c r="D96" s="20" t="n"/>
      <c r="E96" s="20" t="n"/>
      <c r="F96" s="20" t="n"/>
      <c r="G96" s="20" t="n"/>
    </row>
    <row r="97">
      <c r="A97" s="21" t="inlineStr">
        <is>
          <t>Details of cost for 10 cum   |   Hand-transcribed (provisional): not machine-checked against the PDF</t>
        </is>
      </c>
    </row>
    <row r="98">
      <c r="A98" s="5" t="inlineStr">
        <is>
          <t>Code</t>
        </is>
      </c>
      <c r="B98" s="5" t="inlineStr">
        <is>
          <t>Description</t>
        </is>
      </c>
      <c r="C98" s="5" t="inlineStr">
        <is>
          <t>Unit</t>
        </is>
      </c>
      <c r="D98" s="5" t="inlineStr">
        <is>
          <t>Quantity</t>
        </is>
      </c>
      <c r="E98" s="5" t="inlineStr">
        <is>
          <t>Rate (Rs.)</t>
        </is>
      </c>
      <c r="F98" s="5" t="inlineStr">
        <is>
          <t>Amount (Rs.)</t>
        </is>
      </c>
      <c r="G98" s="5" t="inlineStr">
        <is>
          <t>Note</t>
        </is>
      </c>
    </row>
    <row r="99">
      <c r="A99" s="22" t="inlineStr">
        <is>
          <t>0020</t>
        </is>
      </c>
      <c r="B99" s="11" t="inlineStr">
        <is>
          <t>Hydraulic Excavator 0.9 cum</t>
        </is>
      </c>
      <c r="C99" s="22" t="inlineStr">
        <is>
          <t>day</t>
        </is>
      </c>
      <c r="D99" s="23" t="n">
        <v>0.125</v>
      </c>
      <c r="E99" s="24" t="n">
        <v>7000</v>
      </c>
      <c r="F99" s="24">
        <f>D99*E99</f>
        <v/>
      </c>
      <c r="G99" s="22" t="n"/>
    </row>
    <row r="100">
      <c r="A100" s="22" t="inlineStr">
        <is>
          <t>0017</t>
        </is>
      </c>
      <c r="B100" s="11" t="inlineStr">
        <is>
          <t>Tipper 6 cum</t>
        </is>
      </c>
      <c r="C100" s="22" t="inlineStr">
        <is>
          <t>day</t>
        </is>
      </c>
      <c r="D100" s="23" t="n">
        <v>0.125</v>
      </c>
      <c r="E100" s="24" t="n">
        <v>1700</v>
      </c>
      <c r="F100" s="24">
        <f>D100*E100</f>
        <v/>
      </c>
      <c r="G100" s="22" t="n"/>
    </row>
    <row r="101">
      <c r="A101" s="22" t="inlineStr">
        <is>
          <t>0132</t>
        </is>
      </c>
      <c r="B101" s="11" t="inlineStr">
        <is>
          <t>Rock Excavator</t>
        </is>
      </c>
      <c r="C101" s="22" t="inlineStr">
        <is>
          <t>day</t>
        </is>
      </c>
      <c r="D101" s="23" t="n">
        <v>1.06</v>
      </c>
      <c r="E101" s="24" t="n">
        <v>558</v>
      </c>
      <c r="F101" s="24">
        <f>D101*E101</f>
        <v/>
      </c>
      <c r="G101" s="22" t="n"/>
    </row>
    <row r="102">
      <c r="A102" s="22" t="inlineStr">
        <is>
          <t>0133</t>
        </is>
      </c>
      <c r="B102" s="11" t="inlineStr">
        <is>
          <t>Rock Breaker</t>
        </is>
      </c>
      <c r="C102" s="22" t="inlineStr">
        <is>
          <t>day</t>
        </is>
      </c>
      <c r="D102" s="23" t="n">
        <v>2.825</v>
      </c>
      <c r="E102" s="24" t="n">
        <v>558</v>
      </c>
      <c r="F102" s="24">
        <f>D102*E102</f>
        <v/>
      </c>
      <c r="G102" s="22" t="n"/>
    </row>
    <row r="103">
      <c r="A103" s="22" t="inlineStr">
        <is>
          <t>0134</t>
        </is>
      </c>
      <c r="B103" s="11" t="inlineStr">
        <is>
          <t>Rock Hole Driller</t>
        </is>
      </c>
      <c r="C103" s="22" t="inlineStr">
        <is>
          <t>day</t>
        </is>
      </c>
      <c r="D103" s="23" t="n">
        <v>0.885</v>
      </c>
      <c r="E103" s="24" t="n">
        <v>558</v>
      </c>
      <c r="F103" s="24">
        <f>D103*E103</f>
        <v/>
      </c>
      <c r="G103" s="22" t="n"/>
    </row>
    <row r="104">
      <c r="A104" s="22" t="inlineStr">
        <is>
          <t>0114</t>
        </is>
      </c>
      <c r="B104" s="11" t="inlineStr">
        <is>
          <t>Beldar</t>
        </is>
      </c>
      <c r="C104" s="22" t="inlineStr">
        <is>
          <t>day</t>
        </is>
      </c>
      <c r="D104" s="23" t="n">
        <v>0.45</v>
      </c>
      <c r="E104" s="24" t="n">
        <v>558</v>
      </c>
      <c r="F104" s="24">
        <f>D104*E104</f>
        <v/>
      </c>
      <c r="G104" s="22" t="n"/>
    </row>
    <row r="105">
      <c r="A105" s="22" t="inlineStr">
        <is>
          <t>0115</t>
        </is>
      </c>
      <c r="B105" s="11" t="inlineStr">
        <is>
          <t>Coolie</t>
        </is>
      </c>
      <c r="C105" s="22" t="inlineStr">
        <is>
          <t>day</t>
        </is>
      </c>
      <c r="D105" s="23" t="n">
        <v>0.55</v>
      </c>
      <c r="E105" s="24" t="n">
        <v>558</v>
      </c>
      <c r="F105" s="24">
        <f>D105*E105</f>
        <v/>
      </c>
      <c r="G105" s="22" t="n"/>
    </row>
    <row r="106">
      <c r="A106" s="22" t="inlineStr"/>
      <c r="B106" s="11" t="inlineStr">
        <is>
          <t xml:space="preserve">Rate as per item </t>
        </is>
      </c>
      <c r="C106" s="22" t="inlineStr">
        <is>
          <t>kg</t>
        </is>
      </c>
      <c r="D106" s="23" t="n">
        <v>3.93</v>
      </c>
      <c r="E106" s="24" t="n">
        <v>40</v>
      </c>
      <c r="F106" s="24">
        <f>D106*E106</f>
        <v/>
      </c>
      <c r="G106" s="22" t="n"/>
    </row>
    <row r="107">
      <c r="A107" s="22" t="inlineStr"/>
      <c r="B107" s="11" t="inlineStr">
        <is>
          <t xml:space="preserve">Rate as per item </t>
        </is>
      </c>
      <c r="C107" s="22" t="inlineStr">
        <is>
          <t>each</t>
        </is>
      </c>
      <c r="D107" s="23" t="n">
        <v>4</v>
      </c>
      <c r="E107" s="24" t="n">
        <v>15</v>
      </c>
      <c r="F107" s="24">
        <f>D107*E107</f>
        <v/>
      </c>
      <c r="G107" s="22" t="n"/>
    </row>
    <row r="108">
      <c r="A108" s="22" t="inlineStr">
        <is>
          <t>9999</t>
        </is>
      </c>
      <c r="B108" s="11" t="inlineStr">
        <is>
          <t>Sundries</t>
        </is>
      </c>
      <c r="C108" s="22" t="inlineStr">
        <is>
          <t>LS</t>
        </is>
      </c>
      <c r="D108" s="23" t="n">
        <v>16.12</v>
      </c>
      <c r="E108" s="24" t="n">
        <v>2</v>
      </c>
      <c r="F108" s="24">
        <f>D108*E108</f>
        <v/>
      </c>
      <c r="G108" s="22" t="n"/>
    </row>
    <row r="109">
      <c r="A109" s="8" t="inlineStr">
        <is>
          <t>Calculated W - SUM of the Amount column above</t>
        </is>
      </c>
      <c r="B109" s="9" t="n"/>
      <c r="C109" s="9" t="n"/>
      <c r="D109" s="9" t="n"/>
      <c r="E109" s="9" t="n"/>
      <c r="F109" s="25">
        <f>SUM(F99:F108)</f>
        <v/>
      </c>
      <c r="G109" s="9" t="n"/>
    </row>
    <row r="110">
      <c r="A110" s="26" t="inlineStr">
        <is>
          <t>W as printed in the DAR</t>
        </is>
      </c>
      <c r="B110" s="22" t="n"/>
      <c r="C110" s="22" t="n"/>
      <c r="D110" s="22" t="n"/>
      <c r="E110" s="22" t="n"/>
      <c r="F110" s="27" t="n">
        <v>4556.6</v>
      </c>
      <c r="G110" s="22" t="n"/>
    </row>
    <row r="111">
      <c r="A111" s="26" t="inlineStr">
        <is>
          <t>Difference (calculated - printed)</t>
        </is>
      </c>
      <c r="B111" s="22" t="n"/>
      <c r="C111" s="22" t="n"/>
      <c r="D111" s="22" t="n"/>
      <c r="E111" s="22" t="n"/>
      <c r="F111" s="27">
        <f>F109-F110</f>
        <v/>
      </c>
      <c r="G111" s="22" t="n"/>
    </row>
    <row r="112">
      <c r="A112" s="29" t="inlineStr">
        <is>
          <t>SAY (Rs.) - final DAR rate as printed (fixed value, not computed)</t>
        </is>
      </c>
      <c r="B112" s="30" t="n"/>
      <c r="C112" s="30" t="n"/>
      <c r="D112" s="30" t="n"/>
      <c r="E112" s="30" t="n"/>
      <c r="F112" s="31" t="n">
        <v>609.65</v>
      </c>
      <c r="G112" s="30" t="n"/>
    </row>
    <row r="114" ht="47.5" customHeight="1">
      <c r="A114" s="8" t="inlineStr">
        <is>
          <t>2.7</t>
        </is>
      </c>
      <c r="B114" s="1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t>
        </is>
      </c>
      <c r="C114" s="9" t="n"/>
      <c r="D114" s="9" t="n"/>
      <c r="E114" s="9" t="n"/>
      <c r="F114" s="9" t="n"/>
      <c r="G114" s="9" t="n"/>
    </row>
    <row r="115" ht="18.5" customHeight="1">
      <c r="A115" s="18" t="inlineStr">
        <is>
          <t>2.7.3</t>
        </is>
      </c>
      <c r="B115" s="19" t="inlineStr">
        <is>
          <t>Hard rock (blasting prohibited)</t>
        </is>
      </c>
      <c r="C115" s="20" t="n"/>
      <c r="D115" s="20" t="n"/>
      <c r="E115" s="20" t="n"/>
      <c r="F115" s="20" t="n"/>
      <c r="G115" s="20" t="n"/>
    </row>
    <row r="116">
      <c r="A116" s="21" t="inlineStr">
        <is>
          <t>Details of cost for 10 cum   |   Hand-transcribed (provisional): not machine-checked against the PDF</t>
        </is>
      </c>
    </row>
    <row r="117">
      <c r="A117" s="5" t="inlineStr">
        <is>
          <t>Code</t>
        </is>
      </c>
      <c r="B117" s="5" t="inlineStr">
        <is>
          <t>Description</t>
        </is>
      </c>
      <c r="C117" s="5" t="inlineStr">
        <is>
          <t>Unit</t>
        </is>
      </c>
      <c r="D117" s="5" t="inlineStr">
        <is>
          <t>Quantity</t>
        </is>
      </c>
      <c r="E117" s="5" t="inlineStr">
        <is>
          <t>Rate (Rs.)</t>
        </is>
      </c>
      <c r="F117" s="5" t="inlineStr">
        <is>
          <t>Amount (Rs.)</t>
        </is>
      </c>
      <c r="G117" s="5" t="inlineStr">
        <is>
          <t>Note</t>
        </is>
      </c>
    </row>
    <row r="118">
      <c r="A118" s="22" t="inlineStr">
        <is>
          <t>0020</t>
        </is>
      </c>
      <c r="B118" s="11" t="inlineStr">
        <is>
          <t>Hydraulic Excavator 0.9 cum</t>
        </is>
      </c>
      <c r="C118" s="22" t="inlineStr">
        <is>
          <t>day</t>
        </is>
      </c>
      <c r="D118" s="23" t="n">
        <v>0.125</v>
      </c>
      <c r="E118" s="24" t="n">
        <v>7000</v>
      </c>
      <c r="F118" s="24">
        <f>D118*E118</f>
        <v/>
      </c>
      <c r="G118" s="22" t="n"/>
    </row>
    <row r="119">
      <c r="A119" s="22" t="inlineStr">
        <is>
          <t>0017</t>
        </is>
      </c>
      <c r="B119" s="11" t="inlineStr">
        <is>
          <t>Tipper 6 cum</t>
        </is>
      </c>
      <c r="C119" s="22" t="inlineStr">
        <is>
          <t>day</t>
        </is>
      </c>
      <c r="D119" s="23" t="n">
        <v>0.125</v>
      </c>
      <c r="E119" s="24" t="n">
        <v>1700</v>
      </c>
      <c r="F119" s="24">
        <f>D119*E119</f>
        <v/>
      </c>
      <c r="G119" s="22" t="n"/>
    </row>
    <row r="120">
      <c r="A120" s="22" t="inlineStr">
        <is>
          <t>0132</t>
        </is>
      </c>
      <c r="B120" s="11" t="inlineStr">
        <is>
          <t>Rock Excavator</t>
        </is>
      </c>
      <c r="C120" s="22" t="inlineStr">
        <is>
          <t>day</t>
        </is>
      </c>
      <c r="D120" s="23" t="n">
        <v>2.47</v>
      </c>
      <c r="E120" s="24" t="n">
        <v>558</v>
      </c>
      <c r="F120" s="24">
        <f>D120*E120</f>
        <v/>
      </c>
      <c r="G120" s="22" t="n"/>
    </row>
    <row r="121">
      <c r="A121" s="22" t="inlineStr">
        <is>
          <t>0133</t>
        </is>
      </c>
      <c r="B121" s="11" t="inlineStr">
        <is>
          <t>Rock Breaker</t>
        </is>
      </c>
      <c r="C121" s="22" t="inlineStr">
        <is>
          <t>day</t>
        </is>
      </c>
      <c r="D121" s="23" t="n">
        <v>6</v>
      </c>
      <c r="E121" s="24" t="n">
        <v>558</v>
      </c>
      <c r="F121" s="24">
        <f>D121*E121</f>
        <v/>
      </c>
      <c r="G121" s="22" t="n"/>
    </row>
    <row r="122">
      <c r="A122" s="22" t="inlineStr">
        <is>
          <t>0135</t>
        </is>
      </c>
      <c r="B122" s="11" t="inlineStr">
        <is>
          <t>Stone Chiseller</t>
        </is>
      </c>
      <c r="C122" s="22" t="inlineStr">
        <is>
          <t>day</t>
        </is>
      </c>
      <c r="D122" s="23" t="n">
        <v>1.06</v>
      </c>
      <c r="E122" s="24" t="n">
        <v>617</v>
      </c>
      <c r="F122" s="24">
        <f>D122*E122</f>
        <v/>
      </c>
      <c r="G122" s="22" t="n"/>
    </row>
    <row r="123">
      <c r="A123" s="22" t="inlineStr">
        <is>
          <t>0103</t>
        </is>
      </c>
      <c r="B123" s="11" t="inlineStr">
        <is>
          <t>Blacksmith 2nd class</t>
        </is>
      </c>
      <c r="C123" s="22" t="inlineStr">
        <is>
          <t>day</t>
        </is>
      </c>
      <c r="D123" s="23" t="n">
        <v>0.175</v>
      </c>
      <c r="E123" s="24" t="n">
        <v>679</v>
      </c>
      <c r="F123" s="24">
        <f>D123*E123</f>
        <v/>
      </c>
      <c r="G123" s="22" t="n"/>
    </row>
    <row r="124">
      <c r="A124" s="22" t="inlineStr">
        <is>
          <t>0114</t>
        </is>
      </c>
      <c r="B124" s="11" t="inlineStr">
        <is>
          <t>Beldar</t>
        </is>
      </c>
      <c r="C124" s="22" t="inlineStr">
        <is>
          <t>day</t>
        </is>
      </c>
      <c r="D124" s="23" t="n">
        <v>0.75</v>
      </c>
      <c r="E124" s="24" t="n">
        <v>558</v>
      </c>
      <c r="F124" s="24">
        <f>D124*E124</f>
        <v/>
      </c>
      <c r="G124" s="22" t="n"/>
    </row>
    <row r="125">
      <c r="A125" s="22" t="inlineStr">
        <is>
          <t>0115</t>
        </is>
      </c>
      <c r="B125" s="11" t="inlineStr">
        <is>
          <t>Coolie</t>
        </is>
      </c>
      <c r="C125" s="22" t="inlineStr">
        <is>
          <t>day</t>
        </is>
      </c>
      <c r="D125" s="23" t="n">
        <v>1</v>
      </c>
      <c r="E125" s="24" t="n">
        <v>558</v>
      </c>
      <c r="F125" s="24">
        <f>D125*E125</f>
        <v/>
      </c>
      <c r="G125" s="22" t="n"/>
    </row>
    <row r="126">
      <c r="A126" s="22" t="inlineStr">
        <is>
          <t>9999</t>
        </is>
      </c>
      <c r="B126" s="11" t="inlineStr">
        <is>
          <t>Sundries</t>
        </is>
      </c>
      <c r="C126" s="22" t="inlineStr">
        <is>
          <t>LS</t>
        </is>
      </c>
      <c r="D126" s="23" t="n">
        <v>16.12</v>
      </c>
      <c r="E126" s="24" t="n">
        <v>2</v>
      </c>
      <c r="F126" s="24">
        <f>D126*E126</f>
        <v/>
      </c>
      <c r="G126" s="22" t="n"/>
    </row>
    <row r="127">
      <c r="A127" s="8" t="inlineStr">
        <is>
          <t>Calculated W - SUM of the Amount column above</t>
        </is>
      </c>
      <c r="B127" s="9" t="n"/>
      <c r="C127" s="9" t="n"/>
      <c r="D127" s="9" t="n"/>
      <c r="E127" s="9" t="n"/>
      <c r="F127" s="25">
        <f>SUM(F118:F126)</f>
        <v/>
      </c>
      <c r="G127" s="9" t="n"/>
    </row>
    <row r="128">
      <c r="A128" s="26" t="inlineStr">
        <is>
          <t>W as printed in the DAR</t>
        </is>
      </c>
      <c r="B128" s="22" t="n"/>
      <c r="C128" s="22" t="n"/>
      <c r="D128" s="22" t="n"/>
      <c r="E128" s="22" t="n"/>
      <c r="F128" s="27" t="n">
        <v>7595.35</v>
      </c>
      <c r="G128" s="22" t="n"/>
    </row>
    <row r="129">
      <c r="A129" s="26" t="inlineStr">
        <is>
          <t>Difference (calculated - printed)</t>
        </is>
      </c>
      <c r="B129" s="22" t="n"/>
      <c r="C129" s="22" t="n"/>
      <c r="D129" s="22" t="n"/>
      <c r="E129" s="22" t="n"/>
      <c r="F129" s="27">
        <f>F127-F128</f>
        <v/>
      </c>
      <c r="G129" s="22" t="n"/>
    </row>
    <row r="130">
      <c r="A130" s="29" t="inlineStr">
        <is>
          <t>SAY (Rs.) - final DAR rate as printed (fixed value, not computed)</t>
        </is>
      </c>
      <c r="B130" s="30" t="n"/>
      <c r="C130" s="30" t="n"/>
      <c r="D130" s="30" t="n"/>
      <c r="E130" s="30" t="n"/>
      <c r="F130" s="31" t="n">
        <v>1016.2</v>
      </c>
      <c r="G130" s="30" t="n"/>
    </row>
    <row r="132" ht="47.5" customHeight="1">
      <c r="A132" s="8" t="inlineStr">
        <is>
          <t>2.8</t>
        </is>
      </c>
      <c r="B132" s="17"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t>
        </is>
      </c>
      <c r="C132" s="9" t="n"/>
      <c r="D132" s="9" t="n"/>
      <c r="E132" s="9" t="n"/>
      <c r="F132" s="9" t="n"/>
      <c r="G132" s="9" t="n"/>
    </row>
    <row r="133" ht="18.5" customHeight="1">
      <c r="A133" s="18" t="inlineStr">
        <is>
          <t>2.8.1</t>
        </is>
      </c>
      <c r="B133" s="19" t="inlineStr">
        <is>
          <t>All kinds of soil.</t>
        </is>
      </c>
      <c r="C133" s="20" t="n"/>
      <c r="D133" s="20" t="n"/>
      <c r="E133" s="20" t="n"/>
      <c r="F133" s="20" t="n"/>
      <c r="G133" s="20" t="n"/>
    </row>
    <row r="134">
      <c r="A134" s="21" t="inlineStr">
        <is>
          <t>Details of cost for 10 cum   |   Hand-transcribed (provisional): not machine-checked against the PDF</t>
        </is>
      </c>
    </row>
    <row r="135">
      <c r="A135" s="5" t="inlineStr">
        <is>
          <t>Code</t>
        </is>
      </c>
      <c r="B135" s="5" t="inlineStr">
        <is>
          <t>Description</t>
        </is>
      </c>
      <c r="C135" s="5" t="inlineStr">
        <is>
          <t>Unit</t>
        </is>
      </c>
      <c r="D135" s="5" t="inlineStr">
        <is>
          <t>Quantity</t>
        </is>
      </c>
      <c r="E135" s="5" t="inlineStr">
        <is>
          <t>Rate (Rs.)</t>
        </is>
      </c>
      <c r="F135" s="5" t="inlineStr">
        <is>
          <t>Amount (Rs.)</t>
        </is>
      </c>
      <c r="G135" s="5" t="inlineStr">
        <is>
          <t>Note</t>
        </is>
      </c>
    </row>
    <row r="136">
      <c r="A136" s="22" t="inlineStr">
        <is>
          <t>0020</t>
        </is>
      </c>
      <c r="B136" s="11" t="inlineStr">
        <is>
          <t>Hydraulic Excavator 0.9 cum</t>
        </is>
      </c>
      <c r="C136" s="22" t="inlineStr">
        <is>
          <t>day</t>
        </is>
      </c>
      <c r="D136" s="23" t="n">
        <v>0.04125</v>
      </c>
      <c r="E136" s="24" t="n">
        <v>7000</v>
      </c>
      <c r="F136" s="24">
        <f>D136*E136</f>
        <v/>
      </c>
      <c r="G136" s="22" t="n"/>
    </row>
    <row r="137">
      <c r="A137" s="22" t="inlineStr">
        <is>
          <t>0018</t>
        </is>
      </c>
      <c r="B137" s="11" t="inlineStr">
        <is>
          <t>Loader</t>
        </is>
      </c>
      <c r="C137" s="22" t="inlineStr">
        <is>
          <t>day</t>
        </is>
      </c>
      <c r="D137" s="23" t="n">
        <v>0.04125</v>
      </c>
      <c r="E137" s="24" t="n">
        <v>5000</v>
      </c>
      <c r="F137" s="24">
        <f>D137*E137</f>
        <v/>
      </c>
      <c r="G137" s="22" t="n"/>
    </row>
    <row r="138">
      <c r="A138" s="22" t="inlineStr">
        <is>
          <t>0128</t>
        </is>
      </c>
      <c r="B138" s="11" t="inlineStr">
        <is>
          <t>Mate</t>
        </is>
      </c>
      <c r="C138" s="22" t="inlineStr">
        <is>
          <t>day</t>
        </is>
      </c>
      <c r="D138" s="23" t="n">
        <v>0.4</v>
      </c>
      <c r="E138" s="24" t="n">
        <v>617</v>
      </c>
      <c r="F138" s="24">
        <f>D138*E138</f>
        <v/>
      </c>
      <c r="G138" s="22" t="n"/>
    </row>
    <row r="139">
      <c r="A139" s="22" t="inlineStr">
        <is>
          <t>0115</t>
        </is>
      </c>
      <c r="B139" s="11" t="inlineStr">
        <is>
          <t>Coolie</t>
        </is>
      </c>
      <c r="C139" s="22" t="inlineStr">
        <is>
          <t>day</t>
        </is>
      </c>
      <c r="D139" s="23" t="n">
        <v>2.05</v>
      </c>
      <c r="E139" s="24" t="n">
        <v>558</v>
      </c>
      <c r="F139" s="24">
        <f>D139*E139</f>
        <v/>
      </c>
      <c r="G139" s="22" t="n"/>
    </row>
    <row r="140">
      <c r="A140" s="8" t="inlineStr">
        <is>
          <t>Calculated W - SUM of the Amount column above</t>
        </is>
      </c>
      <c r="B140" s="9" t="n"/>
      <c r="C140" s="9" t="n"/>
      <c r="D140" s="9" t="n"/>
      <c r="E140" s="9" t="n"/>
      <c r="F140" s="25">
        <f>SUM(F136:F139)</f>
        <v/>
      </c>
      <c r="G140" s="9" t="n"/>
    </row>
    <row r="141">
      <c r="A141" s="26" t="inlineStr">
        <is>
          <t>W as printed in the DAR</t>
        </is>
      </c>
      <c r="B141" s="22" t="n"/>
      <c r="C141" s="22" t="n"/>
      <c r="D141" s="22" t="n"/>
      <c r="E141" s="22" t="n"/>
      <c r="F141" s="27" t="n">
        <v>1885.7</v>
      </c>
      <c r="G141" s="22" t="n"/>
    </row>
    <row r="142">
      <c r="A142" s="26" t="inlineStr">
        <is>
          <t>Difference (calculated - printed)</t>
        </is>
      </c>
      <c r="B142" s="22" t="n"/>
      <c r="C142" s="22" t="n"/>
      <c r="D142" s="22" t="n"/>
      <c r="E142" s="22" t="n"/>
      <c r="F142" s="27">
        <f>F140-F141</f>
        <v/>
      </c>
      <c r="G142" s="22" t="n"/>
    </row>
    <row r="143">
      <c r="A143" s="29" t="inlineStr">
        <is>
          <t>SAY (Rs.) - final DAR rate as printed (fixed value, not computed)</t>
        </is>
      </c>
      <c r="B143" s="30" t="n"/>
      <c r="C143" s="30" t="n"/>
      <c r="D143" s="30" t="n"/>
      <c r="E143" s="30" t="n"/>
      <c r="F143" s="31" t="n">
        <v>252.3</v>
      </c>
      <c r="G143" s="30" t="n"/>
    </row>
    <row r="145" ht="47.5" customHeight="1">
      <c r="A145" s="8" t="inlineStr">
        <is>
          <t>2.9</t>
        </is>
      </c>
      <c r="B145" s="17"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is>
      </c>
      <c r="C145" s="9" t="n"/>
      <c r="D145" s="9" t="n"/>
      <c r="E145" s="9" t="n"/>
      <c r="F145" s="9" t="n"/>
      <c r="G145" s="9" t="n"/>
    </row>
    <row r="146" ht="18.5" customHeight="1">
      <c r="A146" s="18" t="inlineStr">
        <is>
          <t>2.9.1</t>
        </is>
      </c>
      <c r="B146" s="19" t="inlineStr">
        <is>
          <t>Ordinary rock</t>
        </is>
      </c>
      <c r="C146" s="20" t="n"/>
      <c r="D146" s="20" t="n"/>
      <c r="E146" s="20" t="n"/>
      <c r="F146" s="20" t="n"/>
      <c r="G146" s="20" t="n"/>
    </row>
    <row r="147">
      <c r="A147" s="21" t="inlineStr">
        <is>
          <t>Details of cost for 10 cum   |   Hand-transcribed (provisional): not machine-checked against the PDF</t>
        </is>
      </c>
    </row>
    <row r="148">
      <c r="A148" s="5" t="inlineStr">
        <is>
          <t>Code</t>
        </is>
      </c>
      <c r="B148" s="5" t="inlineStr">
        <is>
          <t>Description</t>
        </is>
      </c>
      <c r="C148" s="5" t="inlineStr">
        <is>
          <t>Unit</t>
        </is>
      </c>
      <c r="D148" s="5" t="inlineStr">
        <is>
          <t>Quantity</t>
        </is>
      </c>
      <c r="E148" s="5" t="inlineStr">
        <is>
          <t>Rate (Rs.)</t>
        </is>
      </c>
      <c r="F148" s="5" t="inlineStr">
        <is>
          <t>Amount (Rs.)</t>
        </is>
      </c>
      <c r="G148" s="5" t="inlineStr">
        <is>
          <t>Note</t>
        </is>
      </c>
    </row>
    <row r="149">
      <c r="A149" s="22" t="inlineStr">
        <is>
          <t>0020</t>
        </is>
      </c>
      <c r="B149" s="11" t="inlineStr">
        <is>
          <t>Hydraulic Excavator 0.9 cum</t>
        </is>
      </c>
      <c r="C149" s="22" t="inlineStr">
        <is>
          <t>day</t>
        </is>
      </c>
      <c r="D149" s="23" t="n">
        <v>0.0625</v>
      </c>
      <c r="E149" s="24" t="n">
        <v>7000</v>
      </c>
      <c r="F149" s="24">
        <f>D149*E149</f>
        <v/>
      </c>
      <c r="G149" s="22" t="n"/>
    </row>
    <row r="150">
      <c r="A150" s="22" t="inlineStr">
        <is>
          <t>0017</t>
        </is>
      </c>
      <c r="B150" s="11" t="inlineStr">
        <is>
          <t>Tipper 6 cum</t>
        </is>
      </c>
      <c r="C150" s="22" t="inlineStr">
        <is>
          <t>day</t>
        </is>
      </c>
      <c r="D150" s="23" t="n">
        <v>0.0625</v>
      </c>
      <c r="E150" s="24" t="n">
        <v>1700</v>
      </c>
      <c r="F150" s="24">
        <f>D150*E150</f>
        <v/>
      </c>
      <c r="G150" s="22" t="n"/>
    </row>
    <row r="151">
      <c r="A151" s="22" t="inlineStr">
        <is>
          <t>0132</t>
        </is>
      </c>
      <c r="B151" s="11" t="inlineStr">
        <is>
          <t>Rock Excavator</t>
        </is>
      </c>
      <c r="C151" s="22" t="inlineStr">
        <is>
          <t>day</t>
        </is>
      </c>
      <c r="D151" s="23" t="n">
        <v>0.885</v>
      </c>
      <c r="E151" s="24" t="n">
        <v>558</v>
      </c>
      <c r="F151" s="24">
        <f>D151*E151</f>
        <v/>
      </c>
      <c r="G151" s="22" t="n"/>
    </row>
    <row r="152">
      <c r="A152" s="22" t="inlineStr">
        <is>
          <t>0133</t>
        </is>
      </c>
      <c r="B152" s="11" t="inlineStr">
        <is>
          <t>Rock Breaker</t>
        </is>
      </c>
      <c r="C152" s="22" t="inlineStr">
        <is>
          <t>day</t>
        </is>
      </c>
      <c r="D152" s="23" t="n">
        <v>1.765</v>
      </c>
      <c r="E152" s="24" t="n">
        <v>558</v>
      </c>
      <c r="F152" s="24">
        <f>D152*E152</f>
        <v/>
      </c>
      <c r="G152" s="22" t="n"/>
    </row>
    <row r="153">
      <c r="A153" s="22" t="inlineStr">
        <is>
          <t>0134</t>
        </is>
      </c>
      <c r="B153" s="11" t="inlineStr">
        <is>
          <t>Rock Hole Driller</t>
        </is>
      </c>
      <c r="C153" s="22" t="inlineStr">
        <is>
          <t>day</t>
        </is>
      </c>
      <c r="D153" s="23" t="n">
        <v>0.53</v>
      </c>
      <c r="E153" s="24" t="n">
        <v>558</v>
      </c>
      <c r="F153" s="24">
        <f>D153*E153</f>
        <v/>
      </c>
      <c r="G153" s="22" t="n"/>
    </row>
    <row r="154">
      <c r="A154" s="22" t="inlineStr">
        <is>
          <t>0114</t>
        </is>
      </c>
      <c r="B154" s="11" t="inlineStr">
        <is>
          <t>Beldar</t>
        </is>
      </c>
      <c r="C154" s="22" t="inlineStr">
        <is>
          <t>day</t>
        </is>
      </c>
      <c r="D154" s="23" t="n">
        <v>0.5</v>
      </c>
      <c r="E154" s="24" t="n">
        <v>558</v>
      </c>
      <c r="F154" s="24">
        <f>D154*E154</f>
        <v/>
      </c>
      <c r="G154" s="22" t="n"/>
    </row>
    <row r="155">
      <c r="A155" s="22" t="inlineStr">
        <is>
          <t>0115</t>
        </is>
      </c>
      <c r="B155" s="11" t="inlineStr">
        <is>
          <t>Coolie</t>
        </is>
      </c>
      <c r="C155" s="22" t="inlineStr">
        <is>
          <t>day</t>
        </is>
      </c>
      <c r="D155" s="23" t="n">
        <v>1.3</v>
      </c>
      <c r="E155" s="24" t="n">
        <v>558</v>
      </c>
      <c r="F155" s="24">
        <f>D155*E155</f>
        <v/>
      </c>
      <c r="G155" s="22" t="n"/>
    </row>
    <row r="156">
      <c r="A156" s="22" t="inlineStr">
        <is>
          <t>9999</t>
        </is>
      </c>
      <c r="B156" s="11" t="inlineStr">
        <is>
          <t>Sundries</t>
        </is>
      </c>
      <c r="C156" s="22" t="inlineStr">
        <is>
          <t>LS</t>
        </is>
      </c>
      <c r="D156" s="23" t="n">
        <v>13.52</v>
      </c>
      <c r="E156" s="24" t="n">
        <v>2</v>
      </c>
      <c r="F156" s="24">
        <f>D156*E156</f>
        <v/>
      </c>
      <c r="G156" s="22" t="n"/>
    </row>
    <row r="157">
      <c r="A157" s="8" t="inlineStr">
        <is>
          <t>Calculated W - SUM of the Amount column above</t>
        </is>
      </c>
      <c r="B157" s="9" t="n"/>
      <c r="C157" s="9" t="n"/>
      <c r="D157" s="9" t="n"/>
      <c r="E157" s="9" t="n"/>
      <c r="F157" s="25">
        <f>SUM(F149:F156)</f>
        <v/>
      </c>
      <c r="G157" s="9" t="n"/>
    </row>
    <row r="158">
      <c r="A158" s="26" t="inlineStr">
        <is>
          <t>W as printed in the DAR</t>
        </is>
      </c>
      <c r="B158" s="22" t="n"/>
      <c r="C158" s="22" t="n"/>
      <c r="D158" s="22" t="n"/>
      <c r="E158" s="22" t="n"/>
      <c r="F158" s="27" t="n">
        <v>3349.63</v>
      </c>
      <c r="G158" s="22" t="n"/>
    </row>
    <row r="159">
      <c r="A159" s="26" t="inlineStr">
        <is>
          <t>Difference (calculated - printed)</t>
        </is>
      </c>
      <c r="B159" s="22" t="n"/>
      <c r="C159" s="22" t="n"/>
      <c r="D159" s="22" t="n"/>
      <c r="E159" s="22" t="n"/>
      <c r="F159" s="27">
        <f>F157-F158</f>
        <v/>
      </c>
      <c r="G159" s="22" t="n"/>
    </row>
    <row r="160">
      <c r="A160" s="29" t="inlineStr">
        <is>
          <t>SAY (Rs.) - final DAR rate as printed (fixed value, not computed)</t>
        </is>
      </c>
      <c r="B160" s="30" t="n"/>
      <c r="C160" s="30" t="n"/>
      <c r="D160" s="30" t="n"/>
      <c r="E160" s="30" t="n"/>
      <c r="F160" s="31" t="n">
        <v>448.15</v>
      </c>
      <c r="G160" s="30" t="n"/>
    </row>
    <row r="162" ht="47.5" customHeight="1">
      <c r="A162" s="8" t="inlineStr">
        <is>
          <t>2.9</t>
        </is>
      </c>
      <c r="B162" s="17"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is>
      </c>
      <c r="C162" s="9" t="n"/>
      <c r="D162" s="9" t="n"/>
      <c r="E162" s="9" t="n"/>
      <c r="F162" s="9" t="n"/>
      <c r="G162" s="9" t="n"/>
    </row>
    <row r="163" ht="18.5" customHeight="1">
      <c r="A163" s="18" t="inlineStr">
        <is>
          <t>2.9.2</t>
        </is>
      </c>
      <c r="B163" s="19" t="inlineStr">
        <is>
          <t>Hard rock (requiring blasting)</t>
        </is>
      </c>
      <c r="C163" s="20" t="n"/>
      <c r="D163" s="20" t="n"/>
      <c r="E163" s="20" t="n"/>
      <c r="F163" s="20" t="n"/>
      <c r="G163" s="20" t="n"/>
    </row>
    <row r="164">
      <c r="A164" s="21" t="inlineStr">
        <is>
          <t>Details of cost for 10 cum   |   Hand-transcribed (provisional): not machine-checked against the PDF</t>
        </is>
      </c>
    </row>
    <row r="165">
      <c r="A165" s="5" t="inlineStr">
        <is>
          <t>Code</t>
        </is>
      </c>
      <c r="B165" s="5" t="inlineStr">
        <is>
          <t>Description</t>
        </is>
      </c>
      <c r="C165" s="5" t="inlineStr">
        <is>
          <t>Unit</t>
        </is>
      </c>
      <c r="D165" s="5" t="inlineStr">
        <is>
          <t>Quantity</t>
        </is>
      </c>
      <c r="E165" s="5" t="inlineStr">
        <is>
          <t>Rate (Rs.)</t>
        </is>
      </c>
      <c r="F165" s="5" t="inlineStr">
        <is>
          <t>Amount (Rs.)</t>
        </is>
      </c>
      <c r="G165" s="5" t="inlineStr">
        <is>
          <t>Note</t>
        </is>
      </c>
    </row>
    <row r="166">
      <c r="A166" s="22" t="inlineStr">
        <is>
          <t>0020</t>
        </is>
      </c>
      <c r="B166" s="11" t="inlineStr">
        <is>
          <t>Hydraulic Excavator 0.9 cum</t>
        </is>
      </c>
      <c r="C166" s="22" t="inlineStr">
        <is>
          <t>day</t>
        </is>
      </c>
      <c r="D166" s="23" t="n">
        <v>0.125</v>
      </c>
      <c r="E166" s="24" t="n">
        <v>7000</v>
      </c>
      <c r="F166" s="24">
        <f>D166*E166</f>
        <v/>
      </c>
      <c r="G166" s="22" t="n"/>
    </row>
    <row r="167">
      <c r="A167" s="22" t="inlineStr">
        <is>
          <t>0017</t>
        </is>
      </c>
      <c r="B167" s="11" t="inlineStr">
        <is>
          <t>Tipper 6 cum</t>
        </is>
      </c>
      <c r="C167" s="22" t="inlineStr">
        <is>
          <t>day</t>
        </is>
      </c>
      <c r="D167" s="23" t="n">
        <v>0.125</v>
      </c>
      <c r="E167" s="24" t="n">
        <v>1700</v>
      </c>
      <c r="F167" s="24">
        <f>D167*E167</f>
        <v/>
      </c>
      <c r="G167" s="22" t="n"/>
    </row>
    <row r="168">
      <c r="A168" s="22" t="inlineStr">
        <is>
          <t>0132</t>
        </is>
      </c>
      <c r="B168" s="11" t="inlineStr">
        <is>
          <t>Rock Excavator</t>
        </is>
      </c>
      <c r="C168" s="22" t="inlineStr">
        <is>
          <t>day</t>
        </is>
      </c>
      <c r="D168" s="23" t="n">
        <v>1.24</v>
      </c>
      <c r="E168" s="24" t="n">
        <v>558</v>
      </c>
      <c r="F168" s="24">
        <f>D168*E168</f>
        <v/>
      </c>
      <c r="G168" s="22" t="n"/>
    </row>
    <row r="169">
      <c r="A169" s="22" t="inlineStr">
        <is>
          <t>0133</t>
        </is>
      </c>
      <c r="B169" s="11" t="inlineStr">
        <is>
          <t>Rock Breaker</t>
        </is>
      </c>
      <c r="C169" s="22" t="inlineStr">
        <is>
          <t>day</t>
        </is>
      </c>
      <c r="D169" s="23" t="n">
        <v>3</v>
      </c>
      <c r="E169" s="24" t="n">
        <v>558</v>
      </c>
      <c r="F169" s="24">
        <f>D169*E169</f>
        <v/>
      </c>
      <c r="G169" s="22" t="n"/>
    </row>
    <row r="170">
      <c r="A170" s="22" t="inlineStr">
        <is>
          <t>0134</t>
        </is>
      </c>
      <c r="B170" s="11" t="inlineStr">
        <is>
          <t>Rock Hole Driller</t>
        </is>
      </c>
      <c r="C170" s="22" t="inlineStr">
        <is>
          <t>day</t>
        </is>
      </c>
      <c r="D170" s="23" t="n">
        <v>1.06</v>
      </c>
      <c r="E170" s="24" t="n">
        <v>558</v>
      </c>
      <c r="F170" s="24">
        <f>D170*E170</f>
        <v/>
      </c>
      <c r="G170" s="22" t="n"/>
    </row>
    <row r="171">
      <c r="A171" s="22" t="inlineStr">
        <is>
          <t>0114</t>
        </is>
      </c>
      <c r="B171" s="11" t="inlineStr">
        <is>
          <t>Beldar</t>
        </is>
      </c>
      <c r="C171" s="22" t="inlineStr">
        <is>
          <t>day</t>
        </is>
      </c>
      <c r="D171" s="23" t="n">
        <v>0.5</v>
      </c>
      <c r="E171" s="24" t="n">
        <v>558</v>
      </c>
      <c r="F171" s="24">
        <f>D171*E171</f>
        <v/>
      </c>
      <c r="G171" s="22" t="n"/>
    </row>
    <row r="172">
      <c r="A172" s="22" t="inlineStr">
        <is>
          <t>0115</t>
        </is>
      </c>
      <c r="B172" s="11" t="inlineStr">
        <is>
          <t>Coolie</t>
        </is>
      </c>
      <c r="C172" s="22" t="inlineStr">
        <is>
          <t>day</t>
        </is>
      </c>
      <c r="D172" s="23" t="n">
        <v>1.3</v>
      </c>
      <c r="E172" s="24" t="n">
        <v>558</v>
      </c>
      <c r="F172" s="24">
        <f>D172*E172</f>
        <v/>
      </c>
      <c r="G172" s="22" t="n"/>
    </row>
    <row r="173">
      <c r="A173" s="22" t="inlineStr"/>
      <c r="B173" s="11" t="inlineStr">
        <is>
          <t xml:space="preserve">Rate as per item </t>
        </is>
      </c>
      <c r="C173" s="22" t="inlineStr">
        <is>
          <t>kg</t>
        </is>
      </c>
      <c r="D173" s="23" t="n">
        <v>6.42</v>
      </c>
      <c r="E173" s="24" t="n">
        <v>40</v>
      </c>
      <c r="F173" s="24">
        <f>D173*E173</f>
        <v/>
      </c>
      <c r="G173" s="22" t="n"/>
    </row>
    <row r="174">
      <c r="A174" s="22" t="inlineStr"/>
      <c r="B174" s="11" t="inlineStr">
        <is>
          <t xml:space="preserve">Rate as per item </t>
        </is>
      </c>
      <c r="C174" s="22" t="inlineStr">
        <is>
          <t>each</t>
        </is>
      </c>
      <c r="D174" s="23" t="n">
        <v>7</v>
      </c>
      <c r="E174" s="24" t="n">
        <v>15</v>
      </c>
      <c r="F174" s="24">
        <f>D174*E174</f>
        <v/>
      </c>
      <c r="G174" s="22" t="n"/>
    </row>
    <row r="175">
      <c r="A175" s="22" t="inlineStr">
        <is>
          <t>9999</t>
        </is>
      </c>
      <c r="B175" s="11" t="inlineStr">
        <is>
          <t>Sundries</t>
        </is>
      </c>
      <c r="C175" s="22" t="inlineStr">
        <is>
          <t>LS</t>
        </is>
      </c>
      <c r="D175" s="23" t="n">
        <v>18.85</v>
      </c>
      <c r="E175" s="24" t="n">
        <v>2</v>
      </c>
      <c r="F175" s="24">
        <f>D175*E175</f>
        <v/>
      </c>
      <c r="G175" s="22" t="n"/>
    </row>
    <row r="176">
      <c r="A176" s="8" t="inlineStr">
        <is>
          <t>Calculated W - SUM of the Amount column above</t>
        </is>
      </c>
      <c r="B176" s="9" t="n"/>
      <c r="C176" s="9" t="n"/>
      <c r="D176" s="9" t="n"/>
      <c r="E176" s="9" t="n"/>
      <c r="F176" s="25">
        <f>SUM(F166:F175)</f>
        <v/>
      </c>
      <c r="G176" s="9" t="n"/>
    </row>
    <row r="177">
      <c r="A177" s="26" t="inlineStr">
        <is>
          <t>W as printed in the DAR</t>
        </is>
      </c>
      <c r="B177" s="22" t="n"/>
      <c r="C177" s="22" t="n"/>
      <c r="D177" s="22" t="n"/>
      <c r="E177" s="22" t="n"/>
      <c r="F177" s="27" t="n">
        <v>5448.8</v>
      </c>
      <c r="G177" s="22" t="n"/>
    </row>
    <row r="178">
      <c r="A178" s="26" t="inlineStr">
        <is>
          <t>Difference (calculated - printed)</t>
        </is>
      </c>
      <c r="B178" s="22" t="n"/>
      <c r="C178" s="22" t="n"/>
      <c r="D178" s="22" t="n"/>
      <c r="E178" s="22" t="n"/>
      <c r="F178" s="27">
        <f>F176-F177</f>
        <v/>
      </c>
      <c r="G178" s="22" t="n"/>
    </row>
    <row r="179">
      <c r="A179" s="29" t="inlineStr">
        <is>
          <t>SAY (Rs.) - final DAR rate as printed (fixed value, not computed)</t>
        </is>
      </c>
      <c r="B179" s="30" t="n"/>
      <c r="C179" s="30" t="n"/>
      <c r="D179" s="30" t="n"/>
      <c r="E179" s="30" t="n"/>
      <c r="F179" s="31" t="n">
        <v>729</v>
      </c>
      <c r="G179" s="30" t="n"/>
    </row>
    <row r="181" ht="47.5" customHeight="1">
      <c r="A181" s="8" t="inlineStr">
        <is>
          <t>2.9</t>
        </is>
      </c>
      <c r="B181" s="17"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is>
      </c>
      <c r="C181" s="9" t="n"/>
      <c r="D181" s="9" t="n"/>
      <c r="E181" s="9" t="n"/>
      <c r="F181" s="9" t="n"/>
      <c r="G181" s="9" t="n"/>
    </row>
    <row r="182" ht="18.5" customHeight="1">
      <c r="A182" s="18" t="inlineStr">
        <is>
          <t>2.9.3</t>
        </is>
      </c>
      <c r="B182" s="19" t="inlineStr">
        <is>
          <t>Hard rock (blasting prohibited)</t>
        </is>
      </c>
      <c r="C182" s="20" t="n"/>
      <c r="D182" s="20" t="n"/>
      <c r="E182" s="20" t="n"/>
      <c r="F182" s="20" t="n"/>
      <c r="G182" s="20" t="n"/>
    </row>
    <row r="183">
      <c r="A183" s="21" t="inlineStr">
        <is>
          <t>Details of cost for 10 cum   |   Hand-transcribed (provisional): not machine-checked against the PDF</t>
        </is>
      </c>
    </row>
    <row r="184">
      <c r="A184" s="5" t="inlineStr">
        <is>
          <t>Code</t>
        </is>
      </c>
      <c r="B184" s="5" t="inlineStr">
        <is>
          <t>Description</t>
        </is>
      </c>
      <c r="C184" s="5" t="inlineStr">
        <is>
          <t>Unit</t>
        </is>
      </c>
      <c r="D184" s="5" t="inlineStr">
        <is>
          <t>Quantity</t>
        </is>
      </c>
      <c r="E184" s="5" t="inlineStr">
        <is>
          <t>Rate (Rs.)</t>
        </is>
      </c>
      <c r="F184" s="5" t="inlineStr">
        <is>
          <t>Amount (Rs.)</t>
        </is>
      </c>
      <c r="G184" s="5" t="inlineStr">
        <is>
          <t>Note</t>
        </is>
      </c>
    </row>
    <row r="185">
      <c r="A185" s="22" t="inlineStr">
        <is>
          <t>0020</t>
        </is>
      </c>
      <c r="B185" s="11" t="inlineStr">
        <is>
          <t>Hydraulic Excavator 0.9 cum</t>
        </is>
      </c>
      <c r="C185" s="22" t="inlineStr">
        <is>
          <t>day</t>
        </is>
      </c>
      <c r="D185" s="23" t="n">
        <v>0.125</v>
      </c>
      <c r="E185" s="24" t="n">
        <v>7000</v>
      </c>
      <c r="F185" s="24">
        <f>D185*E185</f>
        <v/>
      </c>
      <c r="G185" s="22" t="n"/>
    </row>
    <row r="186">
      <c r="A186" s="22" t="inlineStr">
        <is>
          <t>0017</t>
        </is>
      </c>
      <c r="B186" s="11" t="inlineStr">
        <is>
          <t>Tipper 6 cum</t>
        </is>
      </c>
      <c r="C186" s="22" t="inlineStr">
        <is>
          <t>day</t>
        </is>
      </c>
      <c r="D186" s="23" t="n">
        <v>0.125</v>
      </c>
      <c r="E186" s="24" t="n">
        <v>1700</v>
      </c>
      <c r="F186" s="24">
        <f>D186*E186</f>
        <v/>
      </c>
      <c r="G186" s="22" t="n"/>
    </row>
    <row r="187">
      <c r="A187" s="22" t="inlineStr">
        <is>
          <t>0132</t>
        </is>
      </c>
      <c r="B187" s="11" t="inlineStr">
        <is>
          <t>Rock Excavator</t>
        </is>
      </c>
      <c r="C187" s="22" t="inlineStr">
        <is>
          <t>day</t>
        </is>
      </c>
      <c r="D187" s="23" t="n">
        <v>2.65</v>
      </c>
      <c r="E187" s="24" t="n">
        <v>558</v>
      </c>
      <c r="F187" s="24">
        <f>D187*E187</f>
        <v/>
      </c>
      <c r="G187" s="22" t="n"/>
    </row>
    <row r="188">
      <c r="A188" s="22" t="inlineStr">
        <is>
          <t>0133</t>
        </is>
      </c>
      <c r="B188" s="11" t="inlineStr">
        <is>
          <t>Rock Breaker</t>
        </is>
      </c>
      <c r="C188" s="22" t="inlineStr">
        <is>
          <t>day</t>
        </is>
      </c>
      <c r="D188" s="23" t="n">
        <v>6.175</v>
      </c>
      <c r="E188" s="24" t="n">
        <v>558</v>
      </c>
      <c r="F188" s="24">
        <f>D188*E188</f>
        <v/>
      </c>
      <c r="G188" s="22" t="n"/>
    </row>
    <row r="189">
      <c r="A189" s="22" t="inlineStr">
        <is>
          <t>0135</t>
        </is>
      </c>
      <c r="B189" s="11" t="inlineStr">
        <is>
          <t>Stone Chiseller</t>
        </is>
      </c>
      <c r="C189" s="22" t="inlineStr">
        <is>
          <t>day</t>
        </is>
      </c>
      <c r="D189" s="23" t="n">
        <v>1.06</v>
      </c>
      <c r="E189" s="24" t="n">
        <v>617</v>
      </c>
      <c r="F189" s="24">
        <f>D189*E189</f>
        <v/>
      </c>
      <c r="G189" s="22" t="n"/>
    </row>
    <row r="190">
      <c r="A190" s="22" t="inlineStr">
        <is>
          <t>0103</t>
        </is>
      </c>
      <c r="B190" s="11" t="inlineStr">
        <is>
          <t>Blacksmith 2nd class</t>
        </is>
      </c>
      <c r="C190" s="22" t="inlineStr">
        <is>
          <t>day</t>
        </is>
      </c>
      <c r="D190" s="23" t="n">
        <v>0.175</v>
      </c>
      <c r="E190" s="24" t="n">
        <v>679</v>
      </c>
      <c r="F190" s="24">
        <f>D190*E190</f>
        <v/>
      </c>
      <c r="G190" s="22" t="n"/>
    </row>
    <row r="191">
      <c r="A191" s="22" t="inlineStr">
        <is>
          <t>0114</t>
        </is>
      </c>
      <c r="B191" s="11" t="inlineStr">
        <is>
          <t>Beldar</t>
        </is>
      </c>
      <c r="C191" s="22" t="inlineStr">
        <is>
          <t>day</t>
        </is>
      </c>
      <c r="D191" s="23" t="n">
        <v>0.75</v>
      </c>
      <c r="E191" s="24" t="n">
        <v>558</v>
      </c>
      <c r="F191" s="24">
        <f>D191*E191</f>
        <v/>
      </c>
      <c r="G191" s="22" t="n"/>
    </row>
    <row r="192">
      <c r="A192" s="22" t="inlineStr">
        <is>
          <t>0115</t>
        </is>
      </c>
      <c r="B192" s="11" t="inlineStr">
        <is>
          <t>Coolie</t>
        </is>
      </c>
      <c r="C192" s="22" t="inlineStr">
        <is>
          <t>day</t>
        </is>
      </c>
      <c r="D192" s="23" t="n">
        <v>1.5</v>
      </c>
      <c r="E192" s="24" t="n">
        <v>558</v>
      </c>
      <c r="F192" s="24">
        <f>D192*E192</f>
        <v/>
      </c>
      <c r="G192" s="22" t="n"/>
    </row>
    <row r="193">
      <c r="A193" s="22" t="inlineStr">
        <is>
          <t>9999</t>
        </is>
      </c>
      <c r="B193" s="11" t="inlineStr">
        <is>
          <t>Sundries</t>
        </is>
      </c>
      <c r="C193" s="22" t="inlineStr">
        <is>
          <t>LS</t>
        </is>
      </c>
      <c r="D193" s="23" t="n">
        <v>17.94</v>
      </c>
      <c r="E193" s="24" t="n">
        <v>2</v>
      </c>
      <c r="F193" s="24">
        <f>D193*E193</f>
        <v/>
      </c>
      <c r="G193" s="22" t="n"/>
    </row>
    <row r="194">
      <c r="A194" s="8" t="inlineStr">
        <is>
          <t>Calculated W - SUM of the Amount column above</t>
        </is>
      </c>
      <c r="B194" s="9" t="n"/>
      <c r="C194" s="9" t="n"/>
      <c r="D194" s="9" t="n"/>
      <c r="E194" s="9" t="n"/>
      <c r="F194" s="25">
        <f>SUM(F185:F193)</f>
        <v/>
      </c>
      <c r="G194" s="9" t="n"/>
    </row>
    <row r="195">
      <c r="A195" s="26" t="inlineStr">
        <is>
          <t>W as printed in the DAR</t>
        </is>
      </c>
      <c r="B195" s="22" t="n"/>
      <c r="C195" s="22" t="n"/>
      <c r="D195" s="22" t="n"/>
      <c r="E195" s="22" t="n"/>
      <c r="F195" s="27" t="n">
        <v>8076.08</v>
      </c>
      <c r="G195" s="22" t="n"/>
    </row>
    <row r="196">
      <c r="A196" s="26" t="inlineStr">
        <is>
          <t>Difference (calculated - printed)</t>
        </is>
      </c>
      <c r="B196" s="22" t="n"/>
      <c r="C196" s="22" t="n"/>
      <c r="D196" s="22" t="n"/>
      <c r="E196" s="22" t="n"/>
      <c r="F196" s="27">
        <f>F194-F195</f>
        <v/>
      </c>
      <c r="G196" s="22" t="n"/>
    </row>
    <row r="197">
      <c r="A197" s="29" t="inlineStr">
        <is>
          <t>SAY (Rs.) - final DAR rate as printed (fixed value, not computed)</t>
        </is>
      </c>
      <c r="B197" s="30" t="n"/>
      <c r="C197" s="30" t="n"/>
      <c r="D197" s="30" t="n"/>
      <c r="E197" s="30" t="n"/>
      <c r="F197" s="31" t="n">
        <v>1080.55</v>
      </c>
      <c r="G197" s="30" t="n"/>
    </row>
    <row r="199" ht="62" customHeight="1">
      <c r="A199" s="8" t="inlineStr">
        <is>
          <t>2.10</t>
        </is>
      </c>
      <c r="B199" s="17"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t>
        </is>
      </c>
      <c r="C199" s="9" t="n"/>
      <c r="D199" s="9" t="n"/>
      <c r="E199" s="9" t="n"/>
      <c r="F199" s="9" t="n"/>
      <c r="G199" s="9" t="n"/>
    </row>
    <row r="200" ht="18.5" customHeight="1">
      <c r="A200" s="18" t="inlineStr">
        <is>
          <t>2.10.1.1</t>
        </is>
      </c>
      <c r="B200" s="19" t="inlineStr">
        <is>
          <t>All kinds of soil - Pipes, cables etc, not exceeding 80 mm dia.</t>
        </is>
      </c>
      <c r="C200" s="20" t="n"/>
      <c r="D200" s="20" t="n"/>
      <c r="E200" s="20" t="n"/>
      <c r="F200" s="20" t="n"/>
      <c r="G200" s="20" t="n"/>
    </row>
    <row r="201">
      <c r="A201" s="21" t="inlineStr">
        <is>
          <t>Details of cost for 180 metre   |   Hand-transcribed (provisional): not machine-checked against the PDF</t>
        </is>
      </c>
    </row>
    <row r="202">
      <c r="A202" s="5" t="inlineStr">
        <is>
          <t>Code</t>
        </is>
      </c>
      <c r="B202" s="5" t="inlineStr">
        <is>
          <t>Description</t>
        </is>
      </c>
      <c r="C202" s="5" t="inlineStr">
        <is>
          <t>Unit</t>
        </is>
      </c>
      <c r="D202" s="5" t="inlineStr">
        <is>
          <t>Quantity</t>
        </is>
      </c>
      <c r="E202" s="5" t="inlineStr">
        <is>
          <t>Rate (Rs.)</t>
        </is>
      </c>
      <c r="F202" s="5" t="inlineStr">
        <is>
          <t>Amount (Rs.)</t>
        </is>
      </c>
      <c r="G202" s="5" t="inlineStr">
        <is>
          <t>Note</t>
        </is>
      </c>
    </row>
    <row r="203">
      <c r="A203" s="22" t="inlineStr">
        <is>
          <t>REF#2.8.1</t>
        </is>
      </c>
      <c r="B203" s="11" t="inlineStr">
        <is>
          <t>Rate as per item REF#2.8.1</t>
        </is>
      </c>
      <c r="C203" s="22" t="inlineStr">
        <is>
          <t>cum</t>
        </is>
      </c>
      <c r="D203" s="23" t="n">
        <v>85.05</v>
      </c>
      <c r="E203" s="24" t="n">
        <v>252.3</v>
      </c>
      <c r="F203" s="24">
        <f>D203*E203</f>
        <v/>
      </c>
      <c r="G203" s="22" t="n"/>
    </row>
    <row r="204">
      <c r="A204" s="22" t="inlineStr">
        <is>
          <t>REF#2.25</t>
        </is>
      </c>
      <c r="B204" s="11" t="inlineStr">
        <is>
          <t>Rate as per item REF#2.25</t>
        </is>
      </c>
      <c r="C204" s="22" t="inlineStr">
        <is>
          <t>cum</t>
        </is>
      </c>
      <c r="D204" s="23" t="n">
        <v>85.05</v>
      </c>
      <c r="E204" s="24" t="n">
        <v>219.65</v>
      </c>
      <c r="F204" s="24">
        <f>D204*E204</f>
        <v/>
      </c>
      <c r="G204" s="22" t="n"/>
    </row>
    <row r="205">
      <c r="A205" s="8" t="inlineStr">
        <is>
          <t>Calculated W - SUM of the Amount column above</t>
        </is>
      </c>
      <c r="B205" s="9" t="n"/>
      <c r="C205" s="9" t="n"/>
      <c r="D205" s="9" t="n"/>
      <c r="E205" s="9" t="n"/>
      <c r="F205" s="25">
        <f>SUM(F203:F204)</f>
        <v/>
      </c>
      <c r="G205" s="9" t="n"/>
    </row>
    <row r="206">
      <c r="A206" s="26" t="inlineStr">
        <is>
          <t>W as printed in the DAR</t>
        </is>
      </c>
      <c r="B206" s="22" t="n"/>
      <c r="C206" s="22" t="n"/>
      <c r="D206" s="22" t="n"/>
      <c r="E206" s="22" t="n"/>
      <c r="F206" s="27" t="inlineStr">
        <is>
          <t>not printed</t>
        </is>
      </c>
      <c r="G206" s="28" t="inlineStr">
        <is>
          <t>This item prints no W (rate table or sub-analysis).</t>
        </is>
      </c>
    </row>
    <row r="207">
      <c r="A207" s="29" t="inlineStr">
        <is>
          <t>SAY (Rs.) - final DAR rate as printed (fixed value, not computed)</t>
        </is>
      </c>
      <c r="B207" s="30" t="n"/>
      <c r="C207" s="30" t="n"/>
      <c r="D207" s="30" t="n"/>
      <c r="E207" s="30" t="n"/>
      <c r="F207" s="31" t="n">
        <v>223</v>
      </c>
      <c r="G207" s="30" t="n"/>
    </row>
    <row r="209" ht="62" customHeight="1">
      <c r="A209" s="8" t="inlineStr">
        <is>
          <t>2.10</t>
        </is>
      </c>
      <c r="B209" s="17"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t>
        </is>
      </c>
      <c r="C209" s="9" t="n"/>
      <c r="D209" s="9" t="n"/>
      <c r="E209" s="9" t="n"/>
      <c r="F209" s="9" t="n"/>
      <c r="G209" s="9" t="n"/>
    </row>
    <row r="210" ht="18.5" customHeight="1">
      <c r="A210" s="18" t="inlineStr">
        <is>
          <t>2.10.1.2</t>
        </is>
      </c>
      <c r="B210" s="19" t="inlineStr">
        <is>
          <t>All kinds of soil - Pipes, cables etc. exceeding 80 mm dia. but not exceeding 300 mm dia</t>
        </is>
      </c>
      <c r="C210" s="20" t="n"/>
      <c r="D210" s="20" t="n"/>
      <c r="E210" s="20" t="n"/>
      <c r="F210" s="20" t="n"/>
      <c r="G210" s="20" t="n"/>
    </row>
    <row r="211">
      <c r="A211" s="21" t="inlineStr">
        <is>
          <t>Details of cost for 110 metre   |   Hand-transcribed (provisional): not machine-checked against the PDF</t>
        </is>
      </c>
    </row>
    <row r="212">
      <c r="A212" s="5" t="inlineStr">
        <is>
          <t>Code</t>
        </is>
      </c>
      <c r="B212" s="5" t="inlineStr">
        <is>
          <t>Description</t>
        </is>
      </c>
      <c r="C212" s="5" t="inlineStr">
        <is>
          <t>Unit</t>
        </is>
      </c>
      <c r="D212" s="5" t="inlineStr">
        <is>
          <t>Quantity</t>
        </is>
      </c>
      <c r="E212" s="5" t="inlineStr">
        <is>
          <t>Rate (Rs.)</t>
        </is>
      </c>
      <c r="F212" s="5" t="inlineStr">
        <is>
          <t>Amount (Rs.)</t>
        </is>
      </c>
      <c r="G212" s="5" t="inlineStr">
        <is>
          <t>Note</t>
        </is>
      </c>
    </row>
    <row r="213">
      <c r="A213" s="22" t="inlineStr">
        <is>
          <t>REF#2.8.1</t>
        </is>
      </c>
      <c r="B213" s="11" t="inlineStr">
        <is>
          <t>Rate as per item REF#2.8.1</t>
        </is>
      </c>
      <c r="C213" s="22" t="inlineStr">
        <is>
          <t>cum</t>
        </is>
      </c>
      <c r="D213" s="23" t="n">
        <v>84.89</v>
      </c>
      <c r="E213" s="24" t="n">
        <v>252.3</v>
      </c>
      <c r="F213" s="24">
        <f>D213*E213</f>
        <v/>
      </c>
      <c r="G213" s="22" t="n"/>
    </row>
    <row r="214">
      <c r="A214" s="22" t="inlineStr">
        <is>
          <t>REF#2.25</t>
        </is>
      </c>
      <c r="B214" s="11" t="inlineStr">
        <is>
          <t>Rate as per item REF#2.25</t>
        </is>
      </c>
      <c r="C214" s="22" t="inlineStr">
        <is>
          <t>cum</t>
        </is>
      </c>
      <c r="D214" s="23" t="n">
        <v>84.89</v>
      </c>
      <c r="E214" s="24" t="n">
        <v>219.65</v>
      </c>
      <c r="F214" s="24">
        <f>D214*E214</f>
        <v/>
      </c>
      <c r="G214" s="22" t="n"/>
    </row>
    <row r="215">
      <c r="A215" s="8" t="inlineStr">
        <is>
          <t>Calculated W - SUM of the Amount column above</t>
        </is>
      </c>
      <c r="B215" s="9" t="n"/>
      <c r="C215" s="9" t="n"/>
      <c r="D215" s="9" t="n"/>
      <c r="E215" s="9" t="n"/>
      <c r="F215" s="25">
        <f>SUM(F213:F214)</f>
        <v/>
      </c>
      <c r="G215" s="9" t="n"/>
    </row>
    <row r="216">
      <c r="A216" s="26" t="inlineStr">
        <is>
          <t>W as printed in the DAR</t>
        </is>
      </c>
      <c r="B216" s="22" t="n"/>
      <c r="C216" s="22" t="n"/>
      <c r="D216" s="22" t="n"/>
      <c r="E216" s="22" t="n"/>
      <c r="F216" s="27" t="inlineStr">
        <is>
          <t>not printed</t>
        </is>
      </c>
      <c r="G216" s="28" t="inlineStr">
        <is>
          <t>This item prints no W (rate table or sub-analysis).</t>
        </is>
      </c>
    </row>
    <row r="217">
      <c r="A217" s="29" t="inlineStr">
        <is>
          <t>SAY (Rs.) - final DAR rate as printed (fixed value, not computed)</t>
        </is>
      </c>
      <c r="B217" s="30" t="n"/>
      <c r="C217" s="30" t="n"/>
      <c r="D217" s="30" t="n"/>
      <c r="E217" s="30" t="n"/>
      <c r="F217" s="31" t="n">
        <v>364.2</v>
      </c>
      <c r="G217" s="30" t="n"/>
    </row>
    <row r="219" ht="62" customHeight="1">
      <c r="A219" s="8" t="inlineStr">
        <is>
          <t>2.10</t>
        </is>
      </c>
      <c r="B219" s="17"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t>
        </is>
      </c>
      <c r="C219" s="9" t="n"/>
      <c r="D219" s="9" t="n"/>
      <c r="E219" s="9" t="n"/>
      <c r="F219" s="9" t="n"/>
      <c r="G219" s="9" t="n"/>
    </row>
    <row r="220" ht="18.5" customHeight="1">
      <c r="A220" s="18" t="inlineStr">
        <is>
          <t>2.10.1.3</t>
        </is>
      </c>
      <c r="B220" s="19" t="inlineStr">
        <is>
          <t>All kinds of soil - Pipes, cables etc. exceeding 300 mm dia but not exceeding 600 mm</t>
        </is>
      </c>
      <c r="C220" s="20" t="n"/>
      <c r="D220" s="20" t="n"/>
      <c r="E220" s="20" t="n"/>
      <c r="F220" s="20" t="n"/>
      <c r="G220" s="20" t="n"/>
    </row>
    <row r="221">
      <c r="A221" s="21" t="inlineStr">
        <is>
          <t>Details of cost for 60 metre   |   Hand-transcribed (provisional): not machine-checked against the PDF</t>
        </is>
      </c>
    </row>
    <row r="222">
      <c r="A222" s="5" t="inlineStr">
        <is>
          <t>Code</t>
        </is>
      </c>
      <c r="B222" s="5" t="inlineStr">
        <is>
          <t>Description</t>
        </is>
      </c>
      <c r="C222" s="5" t="inlineStr">
        <is>
          <t>Unit</t>
        </is>
      </c>
      <c r="D222" s="5" t="inlineStr">
        <is>
          <t>Quantity</t>
        </is>
      </c>
      <c r="E222" s="5" t="inlineStr">
        <is>
          <t>Rate (Rs.)</t>
        </is>
      </c>
      <c r="F222" s="5" t="inlineStr">
        <is>
          <t>Amount (Rs.)</t>
        </is>
      </c>
      <c r="G222" s="5" t="inlineStr">
        <is>
          <t>Note</t>
        </is>
      </c>
    </row>
    <row r="223">
      <c r="A223" s="22" t="inlineStr">
        <is>
          <t>REF#2.8.1</t>
        </is>
      </c>
      <c r="B223" s="11" t="inlineStr">
        <is>
          <t>Rate as per item REF#2.8.1</t>
        </is>
      </c>
      <c r="C223" s="22" t="inlineStr">
        <is>
          <t>cum</t>
        </is>
      </c>
      <c r="D223" s="23" t="n">
        <v>72.29000000000001</v>
      </c>
      <c r="E223" s="24" t="n">
        <v>252.3</v>
      </c>
      <c r="F223" s="24">
        <f>D223*E223</f>
        <v/>
      </c>
      <c r="G223" s="22" t="n"/>
    </row>
    <row r="224">
      <c r="A224" s="22" t="inlineStr">
        <is>
          <t>REF#2.25</t>
        </is>
      </c>
      <c r="B224" s="11" t="inlineStr">
        <is>
          <t>Rate as per item REF#2.25</t>
        </is>
      </c>
      <c r="C224" s="22" t="inlineStr">
        <is>
          <t>cum</t>
        </is>
      </c>
      <c r="D224" s="23" t="n">
        <v>72.29000000000001</v>
      </c>
      <c r="E224" s="24" t="n">
        <v>219.65</v>
      </c>
      <c r="F224" s="24">
        <f>D224*E224</f>
        <v/>
      </c>
      <c r="G224" s="22" t="n"/>
    </row>
    <row r="225">
      <c r="A225" s="8" t="inlineStr">
        <is>
          <t>Calculated W - SUM of the Amount column above</t>
        </is>
      </c>
      <c r="B225" s="9" t="n"/>
      <c r="C225" s="9" t="n"/>
      <c r="D225" s="9" t="n"/>
      <c r="E225" s="9" t="n"/>
      <c r="F225" s="25">
        <f>SUM(F223:F224)</f>
        <v/>
      </c>
      <c r="G225" s="9" t="n"/>
    </row>
    <row r="226">
      <c r="A226" s="26" t="inlineStr">
        <is>
          <t>W as printed in the DAR</t>
        </is>
      </c>
      <c r="B226" s="22" t="n"/>
      <c r="C226" s="22" t="n"/>
      <c r="D226" s="22" t="n"/>
      <c r="E226" s="22" t="n"/>
      <c r="F226" s="27" t="inlineStr">
        <is>
          <t>not printed</t>
        </is>
      </c>
      <c r="G226" s="28" t="inlineStr">
        <is>
          <t>This item prints no W (rate table or sub-analysis).</t>
        </is>
      </c>
    </row>
    <row r="227">
      <c r="A227" s="29" t="inlineStr">
        <is>
          <t>SAY (Rs.) - final DAR rate as printed (fixed value, not computed)</t>
        </is>
      </c>
      <c r="B227" s="30" t="n"/>
      <c r="C227" s="30" t="n"/>
      <c r="D227" s="30" t="n"/>
      <c r="E227" s="30" t="n"/>
      <c r="F227" s="31" t="n">
        <v>568.6</v>
      </c>
      <c r="G227" s="30" t="n"/>
    </row>
    <row r="229" ht="33" customHeight="1">
      <c r="A229" s="18" t="inlineStr">
        <is>
          <t>2.11</t>
        </is>
      </c>
      <c r="B229" s="19" t="inlineStr">
        <is>
          <t>Extra for excavating trenches for pipes, cables etc. in all kinds of soil for depth exceeding 1.5 m, but not exceeding 3 m. (Rate is over corresponding basic item for depth upto 1.5 metre).</t>
        </is>
      </c>
      <c r="C229" s="20" t="n"/>
      <c r="D229" s="20" t="n"/>
      <c r="E229" s="20" t="n"/>
      <c r="F229" s="20" t="n"/>
      <c r="G229" s="20" t="n"/>
    </row>
    <row r="230">
      <c r="A230" s="21" t="inlineStr">
        <is>
          <t>Details of cost for 1 %   |   Hand-transcribed (provisional): not machine-checked against the PDF</t>
        </is>
      </c>
    </row>
    <row r="231">
      <c r="A231" s="32" t="inlineStr">
        <is>
          <t>Percentage-based item (no resource breakdown in the source document).</t>
        </is>
      </c>
      <c r="B231" s="22" t="n"/>
      <c r="C231" s="22" t="n"/>
      <c r="D231" s="22" t="n"/>
      <c r="E231" s="22" t="n"/>
      <c r="F231" s="33" t="n">
        <v>1.27</v>
      </c>
      <c r="G231" s="22" t="n"/>
    </row>
    <row r="233" ht="33" customHeight="1">
      <c r="A233" s="18" t="inlineStr">
        <is>
          <t>2.12</t>
        </is>
      </c>
      <c r="B233" s="19" t="inlineStr">
        <is>
          <t>Extra for excavating trenches for pipes, cables, etc, in all kinds of soil for depth exceeding 3 m in depth, but not exceeding 4.5 m. (Rate is over corresponding basic item for depth upto 1.5 metre.)</t>
        </is>
      </c>
      <c r="C233" s="20" t="n"/>
      <c r="D233" s="20" t="n"/>
      <c r="E233" s="20" t="n"/>
      <c r="F233" s="20" t="n"/>
      <c r="G233" s="20" t="n"/>
    </row>
    <row r="234">
      <c r="A234" s="21" t="inlineStr">
        <is>
          <t>Details of cost for 1 %   |   Hand-transcribed (provisional): not machine-checked against the PDF</t>
        </is>
      </c>
    </row>
    <row r="235">
      <c r="A235" s="32" t="inlineStr">
        <is>
          <t>Percentage-based item (no resource breakdown in the source document).</t>
        </is>
      </c>
      <c r="B235" s="22" t="n"/>
      <c r="C235" s="22" t="n"/>
      <c r="D235" s="22" t="n"/>
      <c r="E235" s="22" t="n"/>
      <c r="F235" s="33" t="n">
        <v>3.1495</v>
      </c>
      <c r="G235" s="22" t="n"/>
    </row>
    <row r="237" ht="62" customHeight="1">
      <c r="A237" s="8" t="inlineStr">
        <is>
          <t>2.13</t>
        </is>
      </c>
      <c r="B237"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37" s="9" t="n"/>
      <c r="D237" s="9" t="n"/>
      <c r="E237" s="9" t="n"/>
      <c r="F237" s="9" t="n"/>
      <c r="G237" s="9" t="n"/>
    </row>
    <row r="238" ht="18.5" customHeight="1">
      <c r="A238" s="18" t="inlineStr">
        <is>
          <t>2.13.1.1</t>
        </is>
      </c>
      <c r="B238" s="19" t="inlineStr">
        <is>
          <t>Ordinary rock : - Pipes, cables etc. not exceeding 80 mm dia</t>
        </is>
      </c>
      <c r="C238" s="20" t="n"/>
      <c r="D238" s="20" t="n"/>
      <c r="E238" s="20" t="n"/>
      <c r="F238" s="20" t="n"/>
      <c r="G238" s="20" t="n"/>
    </row>
    <row r="239">
      <c r="A239" s="21" t="inlineStr">
        <is>
          <t>Details of cost for 180 metre   |   Hand-transcribed (provisional): not machine-checked against the PDF</t>
        </is>
      </c>
    </row>
    <row r="240">
      <c r="A240" s="5" t="inlineStr">
        <is>
          <t>Code</t>
        </is>
      </c>
      <c r="B240" s="5" t="inlineStr">
        <is>
          <t>Description</t>
        </is>
      </c>
      <c r="C240" s="5" t="inlineStr">
        <is>
          <t>Unit</t>
        </is>
      </c>
      <c r="D240" s="5" t="inlineStr">
        <is>
          <t>Quantity</t>
        </is>
      </c>
      <c r="E240" s="5" t="inlineStr">
        <is>
          <t>Rate (Rs.)</t>
        </is>
      </c>
      <c r="F240" s="5" t="inlineStr">
        <is>
          <t>Amount (Rs.)</t>
        </is>
      </c>
      <c r="G240" s="5" t="inlineStr">
        <is>
          <t>Note</t>
        </is>
      </c>
    </row>
    <row r="241">
      <c r="A241" s="22" t="inlineStr">
        <is>
          <t>REF#2.9.1</t>
        </is>
      </c>
      <c r="B241" s="11" t="inlineStr">
        <is>
          <t>Rate as per item REF#2.9.1</t>
        </is>
      </c>
      <c r="C241" s="22" t="inlineStr">
        <is>
          <t>cum</t>
        </is>
      </c>
      <c r="D241" s="23" t="n">
        <v>85.05</v>
      </c>
      <c r="E241" s="24" t="n">
        <v>448.15</v>
      </c>
      <c r="F241" s="24">
        <f>D241*E241</f>
        <v/>
      </c>
      <c r="G241" s="22" t="n"/>
    </row>
    <row r="242">
      <c r="A242" s="22" t="inlineStr">
        <is>
          <t>REF#2.25</t>
        </is>
      </c>
      <c r="B242" s="11" t="inlineStr">
        <is>
          <t>Rate as per item REF#2.25</t>
        </is>
      </c>
      <c r="C242" s="22" t="inlineStr">
        <is>
          <t>cum</t>
        </is>
      </c>
      <c r="D242" s="23" t="n">
        <v>85.05</v>
      </c>
      <c r="E242" s="24" t="n">
        <v>219.65</v>
      </c>
      <c r="F242" s="24">
        <f>D242*E242</f>
        <v/>
      </c>
      <c r="G242" s="22" t="n"/>
    </row>
    <row r="243">
      <c r="A243" s="22" t="inlineStr">
        <is>
          <t>0114</t>
        </is>
      </c>
      <c r="B243" s="11" t="inlineStr">
        <is>
          <t>Beldar (extra for rock dressing)</t>
        </is>
      </c>
      <c r="C243" s="22" t="inlineStr">
        <is>
          <t>day</t>
        </is>
      </c>
      <c r="D243" s="23" t="n">
        <v>2</v>
      </c>
      <c r="E243" s="24" t="n">
        <v>558</v>
      </c>
      <c r="F243" s="24">
        <f>D243*E243</f>
        <v/>
      </c>
      <c r="G243" s="22" t="n"/>
    </row>
    <row r="244">
      <c r="A244" s="8" t="inlineStr">
        <is>
          <t>Calculated W - SUM of the Amount column above</t>
        </is>
      </c>
      <c r="B244" s="9" t="n"/>
      <c r="C244" s="9" t="n"/>
      <c r="D244" s="9" t="n"/>
      <c r="E244" s="9" t="n"/>
      <c r="F244" s="25">
        <f>SUM(F241:F243)</f>
        <v/>
      </c>
      <c r="G244" s="9" t="n"/>
    </row>
    <row r="245">
      <c r="A245" s="26" t="inlineStr">
        <is>
          <t>W as printed in the DAR</t>
        </is>
      </c>
      <c r="B245" s="22" t="n"/>
      <c r="C245" s="22" t="n"/>
      <c r="D245" s="22" t="n"/>
      <c r="E245" s="22" t="n"/>
      <c r="F245" s="27" t="inlineStr">
        <is>
          <t>not printed</t>
        </is>
      </c>
      <c r="G245" s="28" t="inlineStr">
        <is>
          <t>This item prints no W (rate table or sub-analysis).</t>
        </is>
      </c>
    </row>
    <row r="246">
      <c r="A246" s="29" t="inlineStr">
        <is>
          <t>SAY (Rs.) - final DAR rate as printed (fixed value, not computed)</t>
        </is>
      </c>
      <c r="B246" s="30" t="n"/>
      <c r="C246" s="30" t="n"/>
      <c r="D246" s="30" t="n"/>
      <c r="E246" s="30" t="n"/>
      <c r="F246" s="31" t="n">
        <v>323.85</v>
      </c>
      <c r="G246" s="30" t="n"/>
    </row>
    <row r="248" ht="62" customHeight="1">
      <c r="A248" s="8" t="inlineStr">
        <is>
          <t>2.13</t>
        </is>
      </c>
      <c r="B248"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48" s="9" t="n"/>
      <c r="D248" s="9" t="n"/>
      <c r="E248" s="9" t="n"/>
      <c r="F248" s="9" t="n"/>
      <c r="G248" s="9" t="n"/>
    </row>
    <row r="249" ht="18.5" customHeight="1">
      <c r="A249" s="18" t="inlineStr">
        <is>
          <t>2.13.1.2</t>
        </is>
      </c>
      <c r="B249" s="19" t="inlineStr">
        <is>
          <t>Ordinary rock : - Pipes, cables etc. exceeding 80 mm dia but not exceeding 300 mm dia</t>
        </is>
      </c>
      <c r="C249" s="20" t="n"/>
      <c r="D249" s="20" t="n"/>
      <c r="E249" s="20" t="n"/>
      <c r="F249" s="20" t="n"/>
      <c r="G249" s="20" t="n"/>
    </row>
    <row r="250">
      <c r="A250" s="21" t="inlineStr">
        <is>
          <t>Details of cost for 80 metre   |   Hand-transcribed (provisional): not machine-checked against the PDF</t>
        </is>
      </c>
    </row>
    <row r="251">
      <c r="A251" s="5" t="inlineStr">
        <is>
          <t>Code</t>
        </is>
      </c>
      <c r="B251" s="5" t="inlineStr">
        <is>
          <t>Description</t>
        </is>
      </c>
      <c r="C251" s="5" t="inlineStr">
        <is>
          <t>Unit</t>
        </is>
      </c>
      <c r="D251" s="5" t="inlineStr">
        <is>
          <t>Quantity</t>
        </is>
      </c>
      <c r="E251" s="5" t="inlineStr">
        <is>
          <t>Rate (Rs.)</t>
        </is>
      </c>
      <c r="F251" s="5" t="inlineStr">
        <is>
          <t>Amount (Rs.)</t>
        </is>
      </c>
      <c r="G251" s="5" t="inlineStr">
        <is>
          <t>Note</t>
        </is>
      </c>
    </row>
    <row r="252">
      <c r="A252" s="22" t="inlineStr">
        <is>
          <t>REF#2.9.1</t>
        </is>
      </c>
      <c r="B252" s="11" t="inlineStr">
        <is>
          <t>Rate as per item REF#2.9.1</t>
        </is>
      </c>
      <c r="C252" s="22" t="inlineStr">
        <is>
          <t>cum</t>
        </is>
      </c>
      <c r="D252" s="23" t="n">
        <v>93.59999999999999</v>
      </c>
      <c r="E252" s="24" t="n">
        <v>448.15</v>
      </c>
      <c r="F252" s="24">
        <f>D252*E252</f>
        <v/>
      </c>
      <c r="G252" s="22" t="n"/>
    </row>
    <row r="253">
      <c r="A253" s="22" t="inlineStr">
        <is>
          <t>REF#2.25</t>
        </is>
      </c>
      <c r="B253" s="11" t="inlineStr">
        <is>
          <t>Rate as per item REF#2.25</t>
        </is>
      </c>
      <c r="C253" s="22" t="inlineStr">
        <is>
          <t>cum</t>
        </is>
      </c>
      <c r="D253" s="23" t="n">
        <v>93.59999999999999</v>
      </c>
      <c r="E253" s="24" t="n">
        <v>219.65</v>
      </c>
      <c r="F253" s="24">
        <f>D253*E253</f>
        <v/>
      </c>
      <c r="G253" s="22" t="n"/>
    </row>
    <row r="254">
      <c r="A254" s="22" t="inlineStr">
        <is>
          <t>0114</t>
        </is>
      </c>
      <c r="B254" s="11" t="inlineStr">
        <is>
          <t>Beldar (extra dressing)</t>
        </is>
      </c>
      <c r="C254" s="22" t="inlineStr">
        <is>
          <t>day</t>
        </is>
      </c>
      <c r="D254" s="23" t="n">
        <v>2.2</v>
      </c>
      <c r="E254" s="24" t="n">
        <v>558</v>
      </c>
      <c r="F254" s="24">
        <f>D254*E254</f>
        <v/>
      </c>
      <c r="G254" s="22" t="n"/>
    </row>
    <row r="255">
      <c r="A255" s="8" t="inlineStr">
        <is>
          <t>Calculated W - SUM of the Amount column above</t>
        </is>
      </c>
      <c r="B255" s="9" t="n"/>
      <c r="C255" s="9" t="n"/>
      <c r="D255" s="9" t="n"/>
      <c r="E255" s="9" t="n"/>
      <c r="F255" s="25">
        <f>SUM(F252:F254)</f>
        <v/>
      </c>
      <c r="G255" s="9" t="n"/>
    </row>
    <row r="256">
      <c r="A256" s="26" t="inlineStr">
        <is>
          <t>W as printed in the DAR</t>
        </is>
      </c>
      <c r="B256" s="22" t="n"/>
      <c r="C256" s="22" t="n"/>
      <c r="D256" s="22" t="n"/>
      <c r="E256" s="22" t="n"/>
      <c r="F256" s="27" t="inlineStr">
        <is>
          <t>not printed</t>
        </is>
      </c>
      <c r="G256" s="28" t="inlineStr">
        <is>
          <t>This item prints no W (rate table or sub-analysis).</t>
        </is>
      </c>
    </row>
    <row r="257">
      <c r="A257" s="29" t="inlineStr">
        <is>
          <t>SAY (Rs.) - final DAR rate as printed (fixed value, not computed)</t>
        </is>
      </c>
      <c r="B257" s="30" t="n"/>
      <c r="C257" s="30" t="n"/>
      <c r="D257" s="30" t="n"/>
      <c r="E257" s="30" t="n"/>
      <c r="F257" s="31" t="n">
        <v>801.85</v>
      </c>
      <c r="G257" s="30" t="n"/>
    </row>
    <row r="259" ht="62" customHeight="1">
      <c r="A259" s="8" t="inlineStr">
        <is>
          <t>2.13</t>
        </is>
      </c>
      <c r="B259"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59" s="9" t="n"/>
      <c r="D259" s="9" t="n"/>
      <c r="E259" s="9" t="n"/>
      <c r="F259" s="9" t="n"/>
      <c r="G259" s="9" t="n"/>
    </row>
    <row r="260" ht="18.5" customHeight="1">
      <c r="A260" s="18" t="inlineStr">
        <is>
          <t>2.13.1.3</t>
        </is>
      </c>
      <c r="B260" s="19" t="inlineStr">
        <is>
          <t>Ordinary rock : - Pipes, cables exceeding 300 mm dia but not exceeding 600 mm dia</t>
        </is>
      </c>
      <c r="C260" s="20" t="n"/>
      <c r="D260" s="20" t="n"/>
      <c r="E260" s="20" t="n"/>
      <c r="F260" s="20" t="n"/>
      <c r="G260" s="20" t="n"/>
    </row>
    <row r="261">
      <c r="A261" s="21" t="inlineStr">
        <is>
          <t>Details of cost for 30 metre   |   Hand-transcribed (provisional): not machine-checked against the PDF</t>
        </is>
      </c>
    </row>
    <row r="262">
      <c r="A262" s="5" t="inlineStr">
        <is>
          <t>Code</t>
        </is>
      </c>
      <c r="B262" s="5" t="inlineStr">
        <is>
          <t>Description</t>
        </is>
      </c>
      <c r="C262" s="5" t="inlineStr">
        <is>
          <t>Unit</t>
        </is>
      </c>
      <c r="D262" s="5" t="inlineStr">
        <is>
          <t>Quantity</t>
        </is>
      </c>
      <c r="E262" s="5" t="inlineStr">
        <is>
          <t>Rate (Rs.)</t>
        </is>
      </c>
      <c r="F262" s="5" t="inlineStr">
        <is>
          <t>Amount (Rs.)</t>
        </is>
      </c>
      <c r="G262" s="5" t="inlineStr">
        <is>
          <t>Note</t>
        </is>
      </c>
    </row>
    <row r="263">
      <c r="A263" s="22" t="inlineStr">
        <is>
          <t>REF#2.9.1</t>
        </is>
      </c>
      <c r="B263" s="11" t="inlineStr">
        <is>
          <t>Rate as per item REF#2.9.1</t>
        </is>
      </c>
      <c r="C263" s="22" t="inlineStr">
        <is>
          <t>cum</t>
        </is>
      </c>
      <c r="D263" s="23" t="n">
        <v>40.399</v>
      </c>
      <c r="E263" s="24" t="n">
        <v>448.15</v>
      </c>
      <c r="F263" s="24">
        <f>D263*E263</f>
        <v/>
      </c>
      <c r="G263" s="22" t="n"/>
    </row>
    <row r="264">
      <c r="A264" s="22" t="inlineStr">
        <is>
          <t>REF#2.25</t>
        </is>
      </c>
      <c r="B264" s="11" t="inlineStr">
        <is>
          <t>Rate as per item REF#2.25</t>
        </is>
      </c>
      <c r="C264" s="22" t="inlineStr">
        <is>
          <t>cum</t>
        </is>
      </c>
      <c r="D264" s="23" t="n">
        <v>40.399</v>
      </c>
      <c r="E264" s="24" t="n">
        <v>219.65</v>
      </c>
      <c r="F264" s="24">
        <f>D264*E264</f>
        <v/>
      </c>
      <c r="G264" s="22" t="n"/>
    </row>
    <row r="265">
      <c r="A265" s="22" t="inlineStr">
        <is>
          <t>0114</t>
        </is>
      </c>
      <c r="B265" s="11" t="inlineStr">
        <is>
          <t>Beldar (extra dressing)</t>
        </is>
      </c>
      <c r="C265" s="22" t="inlineStr">
        <is>
          <t>day</t>
        </is>
      </c>
      <c r="D265" s="23" t="n">
        <v>0.9399999999999999</v>
      </c>
      <c r="E265" s="24" t="n">
        <v>558</v>
      </c>
      <c r="F265" s="24">
        <f>D265*E265</f>
        <v/>
      </c>
      <c r="G265" s="22" t="n"/>
    </row>
    <row r="266">
      <c r="A266" s="8" t="inlineStr">
        <is>
          <t>Calculated W - SUM of the Amount column above</t>
        </is>
      </c>
      <c r="B266" s="9" t="n"/>
      <c r="C266" s="9" t="n"/>
      <c r="D266" s="9" t="n"/>
      <c r="E266" s="9" t="n"/>
      <c r="F266" s="25">
        <f>SUM(F263:F265)</f>
        <v/>
      </c>
      <c r="G266" s="9" t="n"/>
    </row>
    <row r="267">
      <c r="A267" s="26" t="inlineStr">
        <is>
          <t>W as printed in the DAR</t>
        </is>
      </c>
      <c r="B267" s="22" t="n"/>
      <c r="C267" s="22" t="n"/>
      <c r="D267" s="22" t="n"/>
      <c r="E267" s="22" t="n"/>
      <c r="F267" s="27" t="inlineStr">
        <is>
          <t>not printed</t>
        </is>
      </c>
      <c r="G267" s="28" t="inlineStr">
        <is>
          <t>This item prints no W (rate table or sub-analysis).</t>
        </is>
      </c>
    </row>
    <row r="268">
      <c r="A268" s="29" t="inlineStr">
        <is>
          <t>SAY (Rs.) - final DAR rate as printed (fixed value, not computed)</t>
        </is>
      </c>
      <c r="B268" s="30" t="n"/>
      <c r="C268" s="30" t="n"/>
      <c r="D268" s="30" t="n"/>
      <c r="E268" s="30" t="n"/>
      <c r="F268" s="31" t="n">
        <v>922.65</v>
      </c>
      <c r="G268" s="30" t="n"/>
    </row>
    <row r="270" ht="62" customHeight="1">
      <c r="A270" s="8" t="inlineStr">
        <is>
          <t>2.13</t>
        </is>
      </c>
      <c r="B270"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70" s="9" t="n"/>
      <c r="D270" s="9" t="n"/>
      <c r="E270" s="9" t="n"/>
      <c r="F270" s="9" t="n"/>
      <c r="G270" s="9" t="n"/>
    </row>
    <row r="271" ht="18.5" customHeight="1">
      <c r="A271" s="18" t="inlineStr">
        <is>
          <t>2.13.2.1</t>
        </is>
      </c>
      <c r="B271" s="19" t="inlineStr">
        <is>
          <t>Hard rock (requiring blasting) - Pipes, cables etc. not exceeding 80 mm dia</t>
        </is>
      </c>
      <c r="C271" s="20" t="n"/>
      <c r="D271" s="20" t="n"/>
      <c r="E271" s="20" t="n"/>
      <c r="F271" s="20" t="n"/>
      <c r="G271" s="20" t="n"/>
    </row>
    <row r="272">
      <c r="A272" s="21" t="inlineStr">
        <is>
          <t>Details of cost for 180 metre   |   Hand-transcribed (provisional): not machine-checked against the PDF</t>
        </is>
      </c>
    </row>
    <row r="273">
      <c r="A273" s="5" t="inlineStr">
        <is>
          <t>Code</t>
        </is>
      </c>
      <c r="B273" s="5" t="inlineStr">
        <is>
          <t>Description</t>
        </is>
      </c>
      <c r="C273" s="5" t="inlineStr">
        <is>
          <t>Unit</t>
        </is>
      </c>
      <c r="D273" s="5" t="inlineStr">
        <is>
          <t>Quantity</t>
        </is>
      </c>
      <c r="E273" s="5" t="inlineStr">
        <is>
          <t>Rate (Rs.)</t>
        </is>
      </c>
      <c r="F273" s="5" t="inlineStr">
        <is>
          <t>Amount (Rs.)</t>
        </is>
      </c>
      <c r="G273" s="5" t="inlineStr">
        <is>
          <t>Note</t>
        </is>
      </c>
    </row>
    <row r="274">
      <c r="A274" s="22" t="inlineStr">
        <is>
          <t>REF#2.9.2</t>
        </is>
      </c>
      <c r="B274" s="11" t="inlineStr">
        <is>
          <t>Rate as per item REF#2.9.2</t>
        </is>
      </c>
      <c r="C274" s="22" t="inlineStr">
        <is>
          <t>cum</t>
        </is>
      </c>
      <c r="D274" s="23" t="n">
        <v>85.05</v>
      </c>
      <c r="E274" s="24" t="n">
        <v>729</v>
      </c>
      <c r="F274" s="24">
        <f>D274*E274</f>
        <v/>
      </c>
      <c r="G274" s="22" t="n"/>
    </row>
    <row r="275">
      <c r="A275" s="22" t="inlineStr">
        <is>
          <t>REF#2.25</t>
        </is>
      </c>
      <c r="B275" s="11" t="inlineStr">
        <is>
          <t>Rate as per item REF#2.25</t>
        </is>
      </c>
      <c r="C275" s="22" t="inlineStr">
        <is>
          <t>cum</t>
        </is>
      </c>
      <c r="D275" s="23" t="n">
        <v>85.05</v>
      </c>
      <c r="E275" s="24" t="n">
        <v>219.65</v>
      </c>
      <c r="F275" s="24">
        <f>D275*E275</f>
        <v/>
      </c>
      <c r="G275" s="22" t="n"/>
    </row>
    <row r="276">
      <c r="A276" s="22" t="inlineStr">
        <is>
          <t>0114</t>
        </is>
      </c>
      <c r="B276" s="11" t="inlineStr">
        <is>
          <t>Beldar (rock ramming)</t>
        </is>
      </c>
      <c r="C276" s="22" t="inlineStr">
        <is>
          <t>day</t>
        </is>
      </c>
      <c r="D276" s="23" t="n">
        <v>2.5</v>
      </c>
      <c r="E276" s="24" t="n">
        <v>558</v>
      </c>
      <c r="F276" s="24">
        <f>D276*E276</f>
        <v/>
      </c>
      <c r="G276" s="22" t="n"/>
    </row>
    <row r="277">
      <c r="A277" s="8" t="inlineStr">
        <is>
          <t>Calculated W - SUM of the Amount column above</t>
        </is>
      </c>
      <c r="B277" s="9" t="n"/>
      <c r="C277" s="9" t="n"/>
      <c r="D277" s="9" t="n"/>
      <c r="E277" s="9" t="n"/>
      <c r="F277" s="25">
        <f>SUM(F274:F276)</f>
        <v/>
      </c>
      <c r="G277" s="9" t="n"/>
    </row>
    <row r="278">
      <c r="A278" s="26" t="inlineStr">
        <is>
          <t>W as printed in the DAR</t>
        </is>
      </c>
      <c r="B278" s="22" t="n"/>
      <c r="C278" s="22" t="n"/>
      <c r="D278" s="22" t="n"/>
      <c r="E278" s="22" t="n"/>
      <c r="F278" s="27" t="inlineStr">
        <is>
          <t>not printed</t>
        </is>
      </c>
      <c r="G278" s="28" t="inlineStr">
        <is>
          <t>This item prints no W (rate table or sub-analysis).</t>
        </is>
      </c>
    </row>
    <row r="279">
      <c r="A279" s="29" t="inlineStr">
        <is>
          <t>SAY (Rs.) - final DAR rate as printed (fixed value, not computed)</t>
        </is>
      </c>
      <c r="B279" s="30" t="n"/>
      <c r="C279" s="30" t="n"/>
      <c r="D279" s="30" t="n"/>
      <c r="E279" s="30" t="n"/>
      <c r="F279" s="31" t="n">
        <v>458.6</v>
      </c>
      <c r="G279" s="30" t="n"/>
    </row>
    <row r="281" ht="62" customHeight="1">
      <c r="A281" s="8" t="inlineStr">
        <is>
          <t>2.13</t>
        </is>
      </c>
      <c r="B281"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81" s="9" t="n"/>
      <c r="D281" s="9" t="n"/>
      <c r="E281" s="9" t="n"/>
      <c r="F281" s="9" t="n"/>
      <c r="G281" s="9" t="n"/>
    </row>
    <row r="282" ht="18.5" customHeight="1">
      <c r="A282" s="18" t="inlineStr">
        <is>
          <t>2.13.2.2</t>
        </is>
      </c>
      <c r="B282" s="19" t="inlineStr">
        <is>
          <t>Hard rock (requiring blasting) - Pipes, cables etc. exceeding 80 mm dia but not exceeding 300 mm dia</t>
        </is>
      </c>
      <c r="C282" s="20" t="n"/>
      <c r="D282" s="20" t="n"/>
      <c r="E282" s="20" t="n"/>
      <c r="F282" s="20" t="n"/>
      <c r="G282" s="20" t="n"/>
    </row>
    <row r="283">
      <c r="A283" s="21" t="inlineStr">
        <is>
          <t>Details of cost for 80 metre   |   Hand-transcribed (provisional): not machine-checked against the PDF</t>
        </is>
      </c>
    </row>
    <row r="284">
      <c r="A284" s="5" t="inlineStr">
        <is>
          <t>Code</t>
        </is>
      </c>
      <c r="B284" s="5" t="inlineStr">
        <is>
          <t>Description</t>
        </is>
      </c>
      <c r="C284" s="5" t="inlineStr">
        <is>
          <t>Unit</t>
        </is>
      </c>
      <c r="D284" s="5" t="inlineStr">
        <is>
          <t>Quantity</t>
        </is>
      </c>
      <c r="E284" s="5" t="inlineStr">
        <is>
          <t>Rate (Rs.)</t>
        </is>
      </c>
      <c r="F284" s="5" t="inlineStr">
        <is>
          <t>Amount (Rs.)</t>
        </is>
      </c>
      <c r="G284" s="5" t="inlineStr">
        <is>
          <t>Note</t>
        </is>
      </c>
    </row>
    <row r="285">
      <c r="A285" s="22" t="inlineStr">
        <is>
          <t>REF#2.9.2</t>
        </is>
      </c>
      <c r="B285" s="11" t="inlineStr">
        <is>
          <t>Rate as per item REF#2.9.2</t>
        </is>
      </c>
      <c r="C285" s="22" t="inlineStr">
        <is>
          <t>cum</t>
        </is>
      </c>
      <c r="D285" s="23" t="n">
        <v>93.59999999999999</v>
      </c>
      <c r="E285" s="24" t="n">
        <v>729</v>
      </c>
      <c r="F285" s="24">
        <f>D285*E285</f>
        <v/>
      </c>
      <c r="G285" s="22" t="n"/>
    </row>
    <row r="286">
      <c r="A286" s="22" t="inlineStr">
        <is>
          <t>REF#2.25</t>
        </is>
      </c>
      <c r="B286" s="11" t="inlineStr">
        <is>
          <t>Rate as per item REF#2.25</t>
        </is>
      </c>
      <c r="C286" s="22" t="inlineStr">
        <is>
          <t>cum</t>
        </is>
      </c>
      <c r="D286" s="23" t="n">
        <v>93.59999999999999</v>
      </c>
      <c r="E286" s="24" t="n">
        <v>219.65</v>
      </c>
      <c r="F286" s="24">
        <f>D286*E286</f>
        <v/>
      </c>
      <c r="G286" s="22" t="n"/>
    </row>
    <row r="287">
      <c r="A287" s="22" t="inlineStr">
        <is>
          <t>0114</t>
        </is>
      </c>
      <c r="B287" s="11" t="inlineStr">
        <is>
          <t>Beldar (rock ramming)</t>
        </is>
      </c>
      <c r="C287" s="22" t="inlineStr">
        <is>
          <t>day</t>
        </is>
      </c>
      <c r="D287" s="23" t="n">
        <v>2.75</v>
      </c>
      <c r="E287" s="24" t="n">
        <v>558</v>
      </c>
      <c r="F287" s="24">
        <f>D287*E287</f>
        <v/>
      </c>
      <c r="G287" s="22" t="n"/>
    </row>
    <row r="288">
      <c r="A288" s="8" t="inlineStr">
        <is>
          <t>Calculated W - SUM of the Amount column above</t>
        </is>
      </c>
      <c r="B288" s="9" t="n"/>
      <c r="C288" s="9" t="n"/>
      <c r="D288" s="9" t="n"/>
      <c r="E288" s="9" t="n"/>
      <c r="F288" s="25">
        <f>SUM(F285:F287)</f>
        <v/>
      </c>
      <c r="G288" s="9" t="n"/>
    </row>
    <row r="289">
      <c r="A289" s="26" t="inlineStr">
        <is>
          <t>W as printed in the DAR</t>
        </is>
      </c>
      <c r="B289" s="22" t="n"/>
      <c r="C289" s="22" t="n"/>
      <c r="D289" s="22" t="n"/>
      <c r="E289" s="22" t="n"/>
      <c r="F289" s="27" t="inlineStr">
        <is>
          <t>not printed</t>
        </is>
      </c>
      <c r="G289" s="28" t="inlineStr">
        <is>
          <t>This item prints no W (rate table or sub-analysis).</t>
        </is>
      </c>
    </row>
    <row r="290">
      <c r="A290" s="29" t="inlineStr">
        <is>
          <t>SAY (Rs.) - final DAR rate as printed (fixed value, not computed)</t>
        </is>
      </c>
      <c r="B290" s="30" t="n"/>
      <c r="C290" s="30" t="n"/>
      <c r="D290" s="30" t="n"/>
      <c r="E290" s="30" t="n"/>
      <c r="F290" s="31" t="n">
        <v>1135.6</v>
      </c>
      <c r="G290" s="30" t="n"/>
    </row>
    <row r="292" ht="62" customHeight="1">
      <c r="A292" s="8" t="inlineStr">
        <is>
          <t>2.13</t>
        </is>
      </c>
      <c r="B292"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292" s="9" t="n"/>
      <c r="D292" s="9" t="n"/>
      <c r="E292" s="9" t="n"/>
      <c r="F292" s="9" t="n"/>
      <c r="G292" s="9" t="n"/>
    </row>
    <row r="293" ht="18.5" customHeight="1">
      <c r="A293" s="18" t="inlineStr">
        <is>
          <t>2.13.2.3</t>
        </is>
      </c>
      <c r="B293" s="19" t="inlineStr">
        <is>
          <t>Hard rock (requiring blasting) - Pipes, cables etc. exceeding 300 mm dia but not exceeding 600 mm dia</t>
        </is>
      </c>
      <c r="C293" s="20" t="n"/>
      <c r="D293" s="20" t="n"/>
      <c r="E293" s="20" t="n"/>
      <c r="F293" s="20" t="n"/>
      <c r="G293" s="20" t="n"/>
    </row>
    <row r="294">
      <c r="A294" s="21" t="inlineStr">
        <is>
          <t>Details of cost for 30 metre   |   Hand-transcribed (provisional): not machine-checked against the PDF</t>
        </is>
      </c>
    </row>
    <row r="295">
      <c r="A295" s="5" t="inlineStr">
        <is>
          <t>Code</t>
        </is>
      </c>
      <c r="B295" s="5" t="inlineStr">
        <is>
          <t>Description</t>
        </is>
      </c>
      <c r="C295" s="5" t="inlineStr">
        <is>
          <t>Unit</t>
        </is>
      </c>
      <c r="D295" s="5" t="inlineStr">
        <is>
          <t>Quantity</t>
        </is>
      </c>
      <c r="E295" s="5" t="inlineStr">
        <is>
          <t>Rate (Rs.)</t>
        </is>
      </c>
      <c r="F295" s="5" t="inlineStr">
        <is>
          <t>Amount (Rs.)</t>
        </is>
      </c>
      <c r="G295" s="5" t="inlineStr">
        <is>
          <t>Note</t>
        </is>
      </c>
    </row>
    <row r="296">
      <c r="A296" s="22" t="inlineStr">
        <is>
          <t>REF#2.9.2</t>
        </is>
      </c>
      <c r="B296" s="11" t="inlineStr">
        <is>
          <t>Rate as per item REF#2.9.2</t>
        </is>
      </c>
      <c r="C296" s="22" t="inlineStr">
        <is>
          <t>cum</t>
        </is>
      </c>
      <c r="D296" s="23" t="n">
        <v>40.399</v>
      </c>
      <c r="E296" s="24" t="n">
        <v>729</v>
      </c>
      <c r="F296" s="24">
        <f>D296*E296</f>
        <v/>
      </c>
      <c r="G296" s="22" t="n"/>
    </row>
    <row r="297">
      <c r="A297" s="22" t="inlineStr">
        <is>
          <t>REF#2.25</t>
        </is>
      </c>
      <c r="B297" s="11" t="inlineStr">
        <is>
          <t>Rate as per item REF#2.25</t>
        </is>
      </c>
      <c r="C297" s="22" t="inlineStr">
        <is>
          <t>cum</t>
        </is>
      </c>
      <c r="D297" s="23" t="n">
        <v>40.399</v>
      </c>
      <c r="E297" s="24" t="n">
        <v>219.65</v>
      </c>
      <c r="F297" s="24">
        <f>D297*E297</f>
        <v/>
      </c>
      <c r="G297" s="22" t="n"/>
    </row>
    <row r="298">
      <c r="A298" s="22" t="inlineStr">
        <is>
          <t>0114</t>
        </is>
      </c>
      <c r="B298" s="11" t="inlineStr">
        <is>
          <t>Beldar (rock ramming)</t>
        </is>
      </c>
      <c r="C298" s="22" t="inlineStr">
        <is>
          <t>day</t>
        </is>
      </c>
      <c r="D298" s="23" t="n">
        <v>1.17</v>
      </c>
      <c r="E298" s="24" t="n">
        <v>558</v>
      </c>
      <c r="F298" s="24">
        <f>D298*E298</f>
        <v/>
      </c>
      <c r="G298" s="22" t="n"/>
    </row>
    <row r="299">
      <c r="A299" s="8" t="inlineStr">
        <is>
          <t>Calculated W - SUM of the Amount column above</t>
        </is>
      </c>
      <c r="B299" s="9" t="n"/>
      <c r="C299" s="9" t="n"/>
      <c r="D299" s="9" t="n"/>
      <c r="E299" s="9" t="n"/>
      <c r="F299" s="25">
        <f>SUM(F296:F298)</f>
        <v/>
      </c>
      <c r="G299" s="9" t="n"/>
    </row>
    <row r="300">
      <c r="A300" s="26" t="inlineStr">
        <is>
          <t>W as printed in the DAR</t>
        </is>
      </c>
      <c r="B300" s="22" t="n"/>
      <c r="C300" s="22" t="n"/>
      <c r="D300" s="22" t="n"/>
      <c r="E300" s="22" t="n"/>
      <c r="F300" s="27" t="inlineStr">
        <is>
          <t>not printed</t>
        </is>
      </c>
      <c r="G300" s="28" t="inlineStr">
        <is>
          <t>This item prints no W (rate table or sub-analysis).</t>
        </is>
      </c>
    </row>
    <row r="301">
      <c r="A301" s="29" t="inlineStr">
        <is>
          <t>SAY (Rs.) - final DAR rate as printed (fixed value, not computed)</t>
        </is>
      </c>
      <c r="B301" s="30" t="n"/>
      <c r="C301" s="30" t="n"/>
      <c r="D301" s="30" t="n"/>
      <c r="E301" s="30" t="n"/>
      <c r="F301" s="31" t="n">
        <v>1306.6</v>
      </c>
      <c r="G301" s="30" t="n"/>
    </row>
    <row r="303" ht="62" customHeight="1">
      <c r="A303" s="8" t="inlineStr">
        <is>
          <t>2.13</t>
        </is>
      </c>
      <c r="B303"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303" s="9" t="n"/>
      <c r="D303" s="9" t="n"/>
      <c r="E303" s="9" t="n"/>
      <c r="F303" s="9" t="n"/>
      <c r="G303" s="9" t="n"/>
    </row>
    <row r="304" ht="18.5" customHeight="1">
      <c r="A304" s="18" t="inlineStr">
        <is>
          <t>2.13.3.1</t>
        </is>
      </c>
      <c r="B304" s="19" t="inlineStr">
        <is>
          <t>Hard rock (blasting prohibited) - Pipes, cables etc. not exceeding 80 mm dia</t>
        </is>
      </c>
      <c r="C304" s="20" t="n"/>
      <c r="D304" s="20" t="n"/>
      <c r="E304" s="20" t="n"/>
      <c r="F304" s="20" t="n"/>
      <c r="G304" s="20" t="n"/>
    </row>
    <row r="305">
      <c r="A305" s="21" t="inlineStr">
        <is>
          <t>Details of cost for 180 metre   |   Hand-transcribed (provisional): not machine-checked against the PDF</t>
        </is>
      </c>
    </row>
    <row r="306">
      <c r="A306" s="5" t="inlineStr">
        <is>
          <t>Code</t>
        </is>
      </c>
      <c r="B306" s="5" t="inlineStr">
        <is>
          <t>Description</t>
        </is>
      </c>
      <c r="C306" s="5" t="inlineStr">
        <is>
          <t>Unit</t>
        </is>
      </c>
      <c r="D306" s="5" t="inlineStr">
        <is>
          <t>Quantity</t>
        </is>
      </c>
      <c r="E306" s="5" t="inlineStr">
        <is>
          <t>Rate (Rs.)</t>
        </is>
      </c>
      <c r="F306" s="5" t="inlineStr">
        <is>
          <t>Amount (Rs.)</t>
        </is>
      </c>
      <c r="G306" s="5" t="inlineStr">
        <is>
          <t>Note</t>
        </is>
      </c>
    </row>
    <row r="307">
      <c r="A307" s="22" t="inlineStr">
        <is>
          <t>REF#2.9.3</t>
        </is>
      </c>
      <c r="B307" s="11" t="inlineStr">
        <is>
          <t>Rate as per item REF#2.9.3</t>
        </is>
      </c>
      <c r="C307" s="22" t="inlineStr">
        <is>
          <t>cum</t>
        </is>
      </c>
      <c r="D307" s="23" t="n">
        <v>85.05</v>
      </c>
      <c r="E307" s="24" t="n">
        <v>1080.55</v>
      </c>
      <c r="F307" s="24">
        <f>D307*E307</f>
        <v/>
      </c>
      <c r="G307" s="22" t="n"/>
    </row>
    <row r="308">
      <c r="A308" s="22" t="inlineStr">
        <is>
          <t>REF#2.25</t>
        </is>
      </c>
      <c r="B308" s="11" t="inlineStr">
        <is>
          <t>Rate as per item REF#2.25</t>
        </is>
      </c>
      <c r="C308" s="22" t="inlineStr">
        <is>
          <t>cum</t>
        </is>
      </c>
      <c r="D308" s="23" t="n">
        <v>85.05</v>
      </c>
      <c r="E308" s="24" t="n">
        <v>219.65</v>
      </c>
      <c r="F308" s="24">
        <f>D308*E308</f>
        <v/>
      </c>
      <c r="G308" s="22" t="n"/>
    </row>
    <row r="309">
      <c r="A309" s="22" t="inlineStr">
        <is>
          <t>0114</t>
        </is>
      </c>
      <c r="B309" s="11" t="inlineStr">
        <is>
          <t>Beldar (rock ramming)</t>
        </is>
      </c>
      <c r="C309" s="22" t="inlineStr">
        <is>
          <t>day</t>
        </is>
      </c>
      <c r="D309" s="23" t="n">
        <v>2.5</v>
      </c>
      <c r="E309" s="24" t="n">
        <v>558</v>
      </c>
      <c r="F309" s="24">
        <f>D309*E309</f>
        <v/>
      </c>
      <c r="G309" s="22" t="n"/>
    </row>
    <row r="310">
      <c r="A310" s="8" t="inlineStr">
        <is>
          <t>Calculated W - SUM of the Amount column above</t>
        </is>
      </c>
      <c r="B310" s="9" t="n"/>
      <c r="C310" s="9" t="n"/>
      <c r="D310" s="9" t="n"/>
      <c r="E310" s="9" t="n"/>
      <c r="F310" s="25">
        <f>SUM(F307:F309)</f>
        <v/>
      </c>
      <c r="G310" s="9" t="n"/>
    </row>
    <row r="311">
      <c r="A311" s="26" t="inlineStr">
        <is>
          <t>W as printed in the DAR</t>
        </is>
      </c>
      <c r="B311" s="22" t="n"/>
      <c r="C311" s="22" t="n"/>
      <c r="D311" s="22" t="n"/>
      <c r="E311" s="22" t="n"/>
      <c r="F311" s="27" t="inlineStr">
        <is>
          <t>not printed</t>
        </is>
      </c>
      <c r="G311" s="28" t="inlineStr">
        <is>
          <t>This item prints no W (rate table or sub-analysis).</t>
        </is>
      </c>
    </row>
    <row r="312">
      <c r="A312" s="29" t="inlineStr">
        <is>
          <t>SAY (Rs.) - final DAR rate as printed (fixed value, not computed)</t>
        </is>
      </c>
      <c r="B312" s="30" t="n"/>
      <c r="C312" s="30" t="n"/>
      <c r="D312" s="30" t="n"/>
      <c r="E312" s="30" t="n"/>
      <c r="F312" s="31" t="n">
        <v>624.7</v>
      </c>
      <c r="G312" s="30" t="n"/>
    </row>
    <row r="314" ht="62" customHeight="1">
      <c r="A314" s="8" t="inlineStr">
        <is>
          <t>2.13</t>
        </is>
      </c>
      <c r="B314"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314" s="9" t="n"/>
      <c r="D314" s="9" t="n"/>
      <c r="E314" s="9" t="n"/>
      <c r="F314" s="9" t="n"/>
      <c r="G314" s="9" t="n"/>
    </row>
    <row r="315" ht="18.5" customHeight="1">
      <c r="A315" s="18" t="inlineStr">
        <is>
          <t>2.13.3.2</t>
        </is>
      </c>
      <c r="B315" s="19" t="inlineStr">
        <is>
          <t>Hard rock (blasting prohibited) - Pipes, cables etc. exceeding 80 mm dia but not exceeding 300 mm dia</t>
        </is>
      </c>
      <c r="C315" s="20" t="n"/>
      <c r="D315" s="20" t="n"/>
      <c r="E315" s="20" t="n"/>
      <c r="F315" s="20" t="n"/>
      <c r="G315" s="20" t="n"/>
    </row>
    <row r="316">
      <c r="A316" s="21" t="inlineStr">
        <is>
          <t>Details of cost for 80 metre   |   Hand-transcribed (provisional): not machine-checked against the PDF</t>
        </is>
      </c>
    </row>
    <row r="317">
      <c r="A317" s="5" t="inlineStr">
        <is>
          <t>Code</t>
        </is>
      </c>
      <c r="B317" s="5" t="inlineStr">
        <is>
          <t>Description</t>
        </is>
      </c>
      <c r="C317" s="5" t="inlineStr">
        <is>
          <t>Unit</t>
        </is>
      </c>
      <c r="D317" s="5" t="inlineStr">
        <is>
          <t>Quantity</t>
        </is>
      </c>
      <c r="E317" s="5" t="inlineStr">
        <is>
          <t>Rate (Rs.)</t>
        </is>
      </c>
      <c r="F317" s="5" t="inlineStr">
        <is>
          <t>Amount (Rs.)</t>
        </is>
      </c>
      <c r="G317" s="5" t="inlineStr">
        <is>
          <t>Note</t>
        </is>
      </c>
    </row>
    <row r="318">
      <c r="A318" s="22" t="inlineStr">
        <is>
          <t>REF#2.9.3</t>
        </is>
      </c>
      <c r="B318" s="11" t="inlineStr">
        <is>
          <t>Rate as per item REF#2.9.3</t>
        </is>
      </c>
      <c r="C318" s="22" t="inlineStr">
        <is>
          <t>cum</t>
        </is>
      </c>
      <c r="D318" s="23" t="n">
        <v>93.59999999999999</v>
      </c>
      <c r="E318" s="24" t="n">
        <v>1080.55</v>
      </c>
      <c r="F318" s="24">
        <f>D318*E318</f>
        <v/>
      </c>
      <c r="G318" s="22" t="n"/>
    </row>
    <row r="319">
      <c r="A319" s="22" t="inlineStr">
        <is>
          <t>REF#2.25</t>
        </is>
      </c>
      <c r="B319" s="11" t="inlineStr">
        <is>
          <t>Rate as per item REF#2.25</t>
        </is>
      </c>
      <c r="C319" s="22" t="inlineStr">
        <is>
          <t>cum</t>
        </is>
      </c>
      <c r="D319" s="23" t="n">
        <v>93.59999999999999</v>
      </c>
      <c r="E319" s="24" t="n">
        <v>219.65</v>
      </c>
      <c r="F319" s="24">
        <f>D319*E319</f>
        <v/>
      </c>
      <c r="G319" s="22" t="n"/>
    </row>
    <row r="320">
      <c r="A320" s="22" t="inlineStr">
        <is>
          <t>0114</t>
        </is>
      </c>
      <c r="B320" s="11" t="inlineStr">
        <is>
          <t>Beldar (rock ramming)</t>
        </is>
      </c>
      <c r="C320" s="22" t="inlineStr">
        <is>
          <t>day</t>
        </is>
      </c>
      <c r="D320" s="23" t="n">
        <v>2.75</v>
      </c>
      <c r="E320" s="24" t="n">
        <v>558</v>
      </c>
      <c r="F320" s="24">
        <f>D320*E320</f>
        <v/>
      </c>
      <c r="G320" s="22" t="n"/>
    </row>
    <row r="321">
      <c r="A321" s="8" t="inlineStr">
        <is>
          <t>Calculated W - SUM of the Amount column above</t>
        </is>
      </c>
      <c r="B321" s="9" t="n"/>
      <c r="C321" s="9" t="n"/>
      <c r="D321" s="9" t="n"/>
      <c r="E321" s="9" t="n"/>
      <c r="F321" s="25">
        <f>SUM(F318:F320)</f>
        <v/>
      </c>
      <c r="G321" s="9" t="n"/>
    </row>
    <row r="322">
      <c r="A322" s="26" t="inlineStr">
        <is>
          <t>W as printed in the DAR</t>
        </is>
      </c>
      <c r="B322" s="22" t="n"/>
      <c r="C322" s="22" t="n"/>
      <c r="D322" s="22" t="n"/>
      <c r="E322" s="22" t="n"/>
      <c r="F322" s="27" t="inlineStr">
        <is>
          <t>not printed</t>
        </is>
      </c>
      <c r="G322" s="28" t="inlineStr">
        <is>
          <t>This item prints no W (rate table or sub-analysis).</t>
        </is>
      </c>
    </row>
    <row r="323">
      <c r="A323" s="29" t="inlineStr">
        <is>
          <t>SAY (Rs.) - final DAR rate as printed (fixed value, not computed)</t>
        </is>
      </c>
      <c r="B323" s="30" t="n"/>
      <c r="C323" s="30" t="n"/>
      <c r="D323" s="30" t="n"/>
      <c r="E323" s="30" t="n"/>
      <c r="F323" s="31" t="n">
        <v>1546.9</v>
      </c>
      <c r="G323" s="30" t="n"/>
    </row>
    <row r="325" ht="62" customHeight="1">
      <c r="A325" s="8" t="inlineStr">
        <is>
          <t>2.13</t>
        </is>
      </c>
      <c r="B325" s="17"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is>
      </c>
      <c r="C325" s="9" t="n"/>
      <c r="D325" s="9" t="n"/>
      <c r="E325" s="9" t="n"/>
      <c r="F325" s="9" t="n"/>
      <c r="G325" s="9" t="n"/>
    </row>
    <row r="326" ht="18.5" customHeight="1">
      <c r="A326" s="18" t="inlineStr">
        <is>
          <t>2.13.3.3</t>
        </is>
      </c>
      <c r="B326" s="19" t="inlineStr">
        <is>
          <t>Hard rock (blasting prohibited) - Pipes, cables etc. exceeding 300 mm dia but not exceeding 600 mm dia</t>
        </is>
      </c>
      <c r="C326" s="20" t="n"/>
      <c r="D326" s="20" t="n"/>
      <c r="E326" s="20" t="n"/>
      <c r="F326" s="20" t="n"/>
      <c r="G326" s="20" t="n"/>
    </row>
    <row r="327">
      <c r="A327" s="21" t="inlineStr">
        <is>
          <t>Details of cost for 30 metre   |   Hand-transcribed (provisional): not machine-checked against the PDF</t>
        </is>
      </c>
    </row>
    <row r="328">
      <c r="A328" s="5" t="inlineStr">
        <is>
          <t>Code</t>
        </is>
      </c>
      <c r="B328" s="5" t="inlineStr">
        <is>
          <t>Description</t>
        </is>
      </c>
      <c r="C328" s="5" t="inlineStr">
        <is>
          <t>Unit</t>
        </is>
      </c>
      <c r="D328" s="5" t="inlineStr">
        <is>
          <t>Quantity</t>
        </is>
      </c>
      <c r="E328" s="5" t="inlineStr">
        <is>
          <t>Rate (Rs.)</t>
        </is>
      </c>
      <c r="F328" s="5" t="inlineStr">
        <is>
          <t>Amount (Rs.)</t>
        </is>
      </c>
      <c r="G328" s="5" t="inlineStr">
        <is>
          <t>Note</t>
        </is>
      </c>
    </row>
    <row r="329">
      <c r="A329" s="22" t="inlineStr">
        <is>
          <t>REF#2.9.3</t>
        </is>
      </c>
      <c r="B329" s="11" t="inlineStr">
        <is>
          <t>Rate as per item REF#2.9.3</t>
        </is>
      </c>
      <c r="C329" s="22" t="inlineStr">
        <is>
          <t>cum</t>
        </is>
      </c>
      <c r="D329" s="23" t="n">
        <v>40.399</v>
      </c>
      <c r="E329" s="24" t="n">
        <v>1080.55</v>
      </c>
      <c r="F329" s="24">
        <f>D329*E329</f>
        <v/>
      </c>
      <c r="G329" s="22" t="n"/>
    </row>
    <row r="330">
      <c r="A330" s="22" t="inlineStr">
        <is>
          <t>REF#2.25</t>
        </is>
      </c>
      <c r="B330" s="11" t="inlineStr">
        <is>
          <t>Rate as per item REF#2.25</t>
        </is>
      </c>
      <c r="C330" s="22" t="inlineStr">
        <is>
          <t>cum</t>
        </is>
      </c>
      <c r="D330" s="23" t="n">
        <v>40.399</v>
      </c>
      <c r="E330" s="24" t="n">
        <v>219.65</v>
      </c>
      <c r="F330" s="24">
        <f>D330*E330</f>
        <v/>
      </c>
      <c r="G330" s="22" t="n"/>
    </row>
    <row r="331">
      <c r="A331" s="22" t="inlineStr">
        <is>
          <t>0114</t>
        </is>
      </c>
      <c r="B331" s="11" t="inlineStr">
        <is>
          <t>Beldar (rock ramming)</t>
        </is>
      </c>
      <c r="C331" s="22" t="inlineStr">
        <is>
          <t>day</t>
        </is>
      </c>
      <c r="D331" s="23" t="n">
        <v>1.17</v>
      </c>
      <c r="E331" s="24" t="n">
        <v>558</v>
      </c>
      <c r="F331" s="24">
        <f>D331*E331</f>
        <v/>
      </c>
      <c r="G331" s="22" t="n"/>
    </row>
    <row r="332">
      <c r="A332" s="8" t="inlineStr">
        <is>
          <t>Calculated W - SUM of the Amount column above</t>
        </is>
      </c>
      <c r="B332" s="9" t="n"/>
      <c r="C332" s="9" t="n"/>
      <c r="D332" s="9" t="n"/>
      <c r="E332" s="9" t="n"/>
      <c r="F332" s="25">
        <f>SUM(F329:F331)</f>
        <v/>
      </c>
      <c r="G332" s="9" t="n"/>
    </row>
    <row r="333">
      <c r="A333" s="26" t="inlineStr">
        <is>
          <t>W as printed in the DAR</t>
        </is>
      </c>
      <c r="B333" s="22" t="n"/>
      <c r="C333" s="22" t="n"/>
      <c r="D333" s="22" t="n"/>
      <c r="E333" s="22" t="n"/>
      <c r="F333" s="27" t="inlineStr">
        <is>
          <t>not printed</t>
        </is>
      </c>
      <c r="G333" s="28" t="inlineStr">
        <is>
          <t>This item prints no W (rate table or sub-analysis).</t>
        </is>
      </c>
    </row>
    <row r="334">
      <c r="A334" s="29" t="inlineStr">
        <is>
          <t>SAY (Rs.) - final DAR rate as printed (fixed value, not computed)</t>
        </is>
      </c>
      <c r="B334" s="30" t="n"/>
      <c r="C334" s="30" t="n"/>
      <c r="D334" s="30" t="n"/>
      <c r="E334" s="30" t="n"/>
      <c r="F334" s="31" t="n">
        <v>1780</v>
      </c>
      <c r="G334" s="30" t="n"/>
    </row>
    <row r="336" ht="33" customHeight="1">
      <c r="A336" s="18" t="inlineStr">
        <is>
          <t>2.14</t>
        </is>
      </c>
      <c r="B336" s="19" t="inlineStr">
        <is>
          <t>Extra for excavating trenches for pipes, cables, etc. in ordinary/hard rock exceeding 1.5 m in depth but not exceeding 3 m. (Rate is over corresponding basic item for depth upto 1.5 metre)</t>
        </is>
      </c>
      <c r="C336" s="20" t="n"/>
      <c r="D336" s="20" t="n"/>
      <c r="E336" s="20" t="n"/>
      <c r="F336" s="20" t="n"/>
      <c r="G336" s="20" t="n"/>
    </row>
    <row r="337">
      <c r="A337" s="21" t="inlineStr">
        <is>
          <t>Details of cost for 1 %   |   Hand-transcribed (provisional): not machine-checked against the PDF</t>
        </is>
      </c>
    </row>
    <row r="338">
      <c r="A338" s="32" t="inlineStr">
        <is>
          <t>Percentage-based item (no resource breakdown in the source document).</t>
        </is>
      </c>
      <c r="B338" s="22" t="n"/>
      <c r="C338" s="22" t="n"/>
      <c r="D338" s="22" t="n"/>
      <c r="E338" s="22" t="n"/>
      <c r="F338" s="33" t="n">
        <v>1.0375</v>
      </c>
      <c r="G338" s="22" t="n"/>
    </row>
    <row r="340" ht="33" customHeight="1">
      <c r="A340" s="18" t="inlineStr">
        <is>
          <t>2.15</t>
        </is>
      </c>
      <c r="B340" s="19" t="inlineStr">
        <is>
          <t>Extra for excavating trenches for pipes, cables, etc. in ordinary/hard rock exceeding 3m in depth but not exceeding 4.5 m. (Rate is over correspondingbasic item for depth upto 1.5 metre)</t>
        </is>
      </c>
      <c r="C340" s="20" t="n"/>
      <c r="D340" s="20" t="n"/>
      <c r="E340" s="20" t="n"/>
      <c r="F340" s="20" t="n"/>
      <c r="G340" s="20" t="n"/>
    </row>
    <row r="341">
      <c r="A341" s="21" t="inlineStr">
        <is>
          <t>Details of cost for 1 %   |   Hand-transcribed (provisional): not machine-checked against the PDF</t>
        </is>
      </c>
    </row>
    <row r="342">
      <c r="A342" s="32" t="inlineStr">
        <is>
          <t>Percentage-based item (no resource breakdown in the source document).</t>
        </is>
      </c>
      <c r="B342" s="22" t="n"/>
      <c r="C342" s="22" t="n"/>
      <c r="D342" s="22" t="n"/>
      <c r="E342" s="22" t="n"/>
      <c r="F342" s="33" t="n">
        <v>2.5615</v>
      </c>
      <c r="G342" s="22" t="n"/>
    </row>
    <row r="344" ht="33" customHeight="1">
      <c r="A344" s="8" t="inlineStr">
        <is>
          <t>2.16</t>
        </is>
      </c>
      <c r="B344" s="17" t="inlineStr">
        <is>
          <t>Close timbering in trenches including strutting, shoring and packing cavities (wherever required) complete. (Measurements to be taken of the face area timbered).</t>
        </is>
      </c>
      <c r="C344" s="9" t="n"/>
      <c r="D344" s="9" t="n"/>
      <c r="E344" s="9" t="n"/>
      <c r="F344" s="9" t="n"/>
      <c r="G344" s="9" t="n"/>
    </row>
    <row r="345" ht="18.5" customHeight="1">
      <c r="A345" s="18" t="inlineStr">
        <is>
          <t>2.16.1</t>
        </is>
      </c>
      <c r="B345" s="19" t="inlineStr">
        <is>
          <t>Depth not exceeding 1.5 m</t>
        </is>
      </c>
      <c r="C345" s="20" t="n"/>
      <c r="D345" s="20" t="n"/>
      <c r="E345" s="20" t="n"/>
      <c r="F345" s="20" t="n"/>
      <c r="G345" s="20" t="n"/>
    </row>
    <row r="346">
      <c r="A346" s="21" t="inlineStr">
        <is>
          <t>Details of cost for 90 sqm   |   Hand-transcribed (provisional): not machine-checked against the PDF</t>
        </is>
      </c>
    </row>
    <row r="347">
      <c r="A347" s="5" t="inlineStr">
        <is>
          <t>Code</t>
        </is>
      </c>
      <c r="B347" s="5" t="inlineStr">
        <is>
          <t>Description</t>
        </is>
      </c>
      <c r="C347" s="5" t="inlineStr">
        <is>
          <t>Unit</t>
        </is>
      </c>
      <c r="D347" s="5" t="inlineStr">
        <is>
          <t>Quantity</t>
        </is>
      </c>
      <c r="E347" s="5" t="inlineStr">
        <is>
          <t>Rate (Rs.)</t>
        </is>
      </c>
      <c r="F347" s="5" t="inlineStr">
        <is>
          <t>Amount (Rs.)</t>
        </is>
      </c>
      <c r="G347" s="5" t="inlineStr">
        <is>
          <t>Note</t>
        </is>
      </c>
    </row>
    <row r="348">
      <c r="A348" s="22" t="inlineStr">
        <is>
          <t>1198</t>
        </is>
      </c>
      <c r="B348" s="11" t="inlineStr">
        <is>
          <t>Second class kail wood in planks</t>
        </is>
      </c>
      <c r="C348" s="22" t="inlineStr">
        <is>
          <t>10 cudm</t>
        </is>
      </c>
      <c r="D348" s="23" t="n">
        <v>21.375</v>
      </c>
      <c r="E348" s="24" t="n">
        <v>260</v>
      </c>
      <c r="F348" s="24">
        <f>D348*E348</f>
        <v/>
      </c>
      <c r="G348" s="22" t="n"/>
    </row>
    <row r="349">
      <c r="A349" s="22" t="inlineStr">
        <is>
          <t>1197</t>
        </is>
      </c>
      <c r="B349" s="11" t="inlineStr">
        <is>
          <t>Second class kail wood in scantling</t>
        </is>
      </c>
      <c r="C349" s="22" t="inlineStr">
        <is>
          <t>10 cudm</t>
        </is>
      </c>
      <c r="D349" s="23" t="n">
        <v>7.5</v>
      </c>
      <c r="E349" s="24" t="n">
        <v>260</v>
      </c>
      <c r="F349" s="24">
        <f>D349*E349</f>
        <v/>
      </c>
      <c r="G349" s="22" t="n"/>
    </row>
    <row r="350">
      <c r="A350" s="22" t="inlineStr">
        <is>
          <t>0302</t>
        </is>
      </c>
      <c r="B350" s="11" t="inlineStr">
        <is>
          <t>Safeda ballies 125 mm diameter and 1.5m long</t>
        </is>
      </c>
      <c r="C350" s="22" t="inlineStr">
        <is>
          <t>metre</t>
        </is>
      </c>
      <c r="D350" s="23" t="n">
        <v>3.1875</v>
      </c>
      <c r="E350" s="24" t="n">
        <v>40</v>
      </c>
      <c r="F350" s="24">
        <f>D350*E350</f>
        <v/>
      </c>
      <c r="G350" s="22" t="n"/>
    </row>
    <row r="351">
      <c r="A351" s="22" t="inlineStr">
        <is>
          <t>2204</t>
        </is>
      </c>
      <c r="B351" s="11" t="inlineStr">
        <is>
          <t>Carriage of Timber</t>
        </is>
      </c>
      <c r="C351" s="22" t="inlineStr">
        <is>
          <t>cum</t>
        </is>
      </c>
      <c r="D351" s="23" t="n">
        <v>1.3125</v>
      </c>
      <c r="E351" s="24" t="n">
        <v>118.59</v>
      </c>
      <c r="F351" s="24">
        <f>D351*E351</f>
        <v/>
      </c>
      <c r="G351" s="22" t="n"/>
    </row>
    <row r="352">
      <c r="A352" s="22" t="inlineStr">
        <is>
          <t>0112</t>
        </is>
      </c>
      <c r="B352" s="11" t="inlineStr">
        <is>
          <t>Carpenter 2nd class</t>
        </is>
      </c>
      <c r="C352" s="22" t="inlineStr">
        <is>
          <t>day</t>
        </is>
      </c>
      <c r="D352" s="23" t="n">
        <v>0.5</v>
      </c>
      <c r="E352" s="24" t="n">
        <v>679</v>
      </c>
      <c r="F352" s="24">
        <f>D352*E352</f>
        <v/>
      </c>
      <c r="G352" s="22" t="n"/>
    </row>
    <row r="353">
      <c r="A353" s="22" t="inlineStr">
        <is>
          <t>0114</t>
        </is>
      </c>
      <c r="B353" s="11" t="inlineStr">
        <is>
          <t>Beldar</t>
        </is>
      </c>
      <c r="C353" s="22" t="inlineStr">
        <is>
          <t>day</t>
        </is>
      </c>
      <c r="D353" s="23" t="n">
        <v>1</v>
      </c>
      <c r="E353" s="24" t="n">
        <v>558</v>
      </c>
      <c r="F353" s="24">
        <f>D353*E353</f>
        <v/>
      </c>
      <c r="G353" s="22" t="n"/>
    </row>
    <row r="354">
      <c r="A354" s="22" t="inlineStr">
        <is>
          <t>9999</t>
        </is>
      </c>
      <c r="B354" s="11" t="inlineStr">
        <is>
          <t>Sundries</t>
        </is>
      </c>
      <c r="C354" s="22" t="inlineStr">
        <is>
          <t>LS</t>
        </is>
      </c>
      <c r="D354" s="23" t="n">
        <v>26.91</v>
      </c>
      <c r="E354" s="24" t="n">
        <v>2</v>
      </c>
      <c r="F354" s="24">
        <f>D354*E354</f>
        <v/>
      </c>
      <c r="G354" s="22" t="n"/>
    </row>
    <row r="355">
      <c r="A355" s="8" t="inlineStr">
        <is>
          <t>Calculated W - SUM of the Amount column above</t>
        </is>
      </c>
      <c r="B355" s="9" t="n"/>
      <c r="C355" s="9" t="n"/>
      <c r="D355" s="9" t="n"/>
      <c r="E355" s="9" t="n"/>
      <c r="F355" s="25">
        <f>SUM(F348:F354)</f>
        <v/>
      </c>
      <c r="G355" s="9" t="n"/>
    </row>
    <row r="356">
      <c r="A356" s="26" t="inlineStr">
        <is>
          <t>W as printed in the DAR</t>
        </is>
      </c>
      <c r="B356" s="22" t="n"/>
      <c r="C356" s="22" t="n"/>
      <c r="D356" s="22" t="n"/>
      <c r="E356" s="22" t="n"/>
      <c r="F356" s="27" t="n">
        <v>8741.969999999999</v>
      </c>
      <c r="G356" s="22" t="n"/>
    </row>
    <row r="357">
      <c r="A357" s="26" t="inlineStr">
        <is>
          <t>Difference (calculated - printed)</t>
        </is>
      </c>
      <c r="B357" s="22" t="n"/>
      <c r="C357" s="22" t="n"/>
      <c r="D357" s="22" t="n"/>
      <c r="E357" s="22" t="n"/>
      <c r="F357" s="27">
        <f>F355-F356</f>
        <v/>
      </c>
      <c r="G357" s="22" t="n"/>
    </row>
    <row r="358">
      <c r="A358" s="29" t="inlineStr">
        <is>
          <t>SAY (Rs.) - final DAR rate as printed (fixed value, not computed)</t>
        </is>
      </c>
      <c r="B358" s="30" t="n"/>
      <c r="C358" s="30" t="n"/>
      <c r="D358" s="30" t="n"/>
      <c r="E358" s="30" t="n"/>
      <c r="F358" s="31" t="n">
        <v>129.95</v>
      </c>
      <c r="G358" s="30" t="n"/>
    </row>
    <row r="360" ht="33" customHeight="1">
      <c r="A360" s="8" t="inlineStr">
        <is>
          <t>2.16</t>
        </is>
      </c>
      <c r="B360" s="17" t="inlineStr">
        <is>
          <t>Close timbering in trenches including strutting, shoring and packing cavities (wherever required) complete. (Measurements to be taken of the face area timbered).</t>
        </is>
      </c>
      <c r="C360" s="9" t="n"/>
      <c r="D360" s="9" t="n"/>
      <c r="E360" s="9" t="n"/>
      <c r="F360" s="9" t="n"/>
      <c r="G360" s="9" t="n"/>
    </row>
    <row r="361" ht="18.5" customHeight="1">
      <c r="A361" s="18" t="inlineStr">
        <is>
          <t>2.16.2</t>
        </is>
      </c>
      <c r="B361" s="19" t="inlineStr">
        <is>
          <t>Depth exceeding 1.5 m but not exceeding 3 m</t>
        </is>
      </c>
      <c r="C361" s="20" t="n"/>
      <c r="D361" s="20" t="n"/>
      <c r="E361" s="20" t="n"/>
      <c r="F361" s="20" t="n"/>
      <c r="G361" s="20" t="n"/>
    </row>
    <row r="362">
      <c r="A362" s="21" t="inlineStr">
        <is>
          <t>Details of cost for 90 sqm   |   Hand-transcribed (provisional): not machine-checked against the PDF</t>
        </is>
      </c>
    </row>
    <row r="363">
      <c r="A363" s="5" t="inlineStr">
        <is>
          <t>Code</t>
        </is>
      </c>
      <c r="B363" s="5" t="inlineStr">
        <is>
          <t>Description</t>
        </is>
      </c>
      <c r="C363" s="5" t="inlineStr">
        <is>
          <t>Unit</t>
        </is>
      </c>
      <c r="D363" s="5" t="inlineStr">
        <is>
          <t>Quantity</t>
        </is>
      </c>
      <c r="E363" s="5" t="inlineStr">
        <is>
          <t>Rate (Rs.)</t>
        </is>
      </c>
      <c r="F363" s="5" t="inlineStr">
        <is>
          <t>Amount (Rs.)</t>
        </is>
      </c>
      <c r="G363" s="5" t="inlineStr">
        <is>
          <t>Note</t>
        </is>
      </c>
    </row>
    <row r="364">
      <c r="A364" s="22" t="inlineStr">
        <is>
          <t>1198</t>
        </is>
      </c>
      <c r="B364" s="11" t="inlineStr">
        <is>
          <t>Second class kail wood in planks</t>
        </is>
      </c>
      <c r="C364" s="22" t="inlineStr">
        <is>
          <t>10 cudm</t>
        </is>
      </c>
      <c r="D364" s="23" t="n">
        <v>21.375</v>
      </c>
      <c r="E364" s="24" t="n">
        <v>260</v>
      </c>
      <c r="F364" s="24">
        <f>D364*E364</f>
        <v/>
      </c>
      <c r="G364" s="22" t="n"/>
    </row>
    <row r="365">
      <c r="A365" s="22" t="inlineStr">
        <is>
          <t>1197</t>
        </is>
      </c>
      <c r="B365" s="11" t="inlineStr">
        <is>
          <t>Second class kail wood in scantling</t>
        </is>
      </c>
      <c r="C365" s="22" t="inlineStr">
        <is>
          <t>10 cudm</t>
        </is>
      </c>
      <c r="D365" s="23" t="n">
        <v>7.5</v>
      </c>
      <c r="E365" s="24" t="n">
        <v>260</v>
      </c>
      <c r="F365" s="24">
        <f>D365*E365</f>
        <v/>
      </c>
      <c r="G365" s="22" t="n"/>
    </row>
    <row r="366">
      <c r="A366" s="22" t="inlineStr">
        <is>
          <t>0302</t>
        </is>
      </c>
      <c r="B366" s="11" t="inlineStr">
        <is>
          <t>Safeda ballies 125 mm diameter and 1.5m long</t>
        </is>
      </c>
      <c r="C366" s="22" t="inlineStr">
        <is>
          <t>metre</t>
        </is>
      </c>
      <c r="D366" s="23" t="n">
        <v>3.1875</v>
      </c>
      <c r="E366" s="24" t="n">
        <v>40</v>
      </c>
      <c r="F366" s="24">
        <f>D366*E366</f>
        <v/>
      </c>
      <c r="G366" s="22" t="n"/>
    </row>
    <row r="367">
      <c r="A367" s="22" t="inlineStr">
        <is>
          <t>2204</t>
        </is>
      </c>
      <c r="B367" s="11" t="inlineStr">
        <is>
          <t>Carriage of Timber</t>
        </is>
      </c>
      <c r="C367" s="22" t="inlineStr">
        <is>
          <t>cum</t>
        </is>
      </c>
      <c r="D367" s="23" t="n">
        <v>1.3125</v>
      </c>
      <c r="E367" s="24" t="n">
        <v>118.59</v>
      </c>
      <c r="F367" s="24">
        <f>D367*E367</f>
        <v/>
      </c>
      <c r="G367" s="22" t="n"/>
    </row>
    <row r="368">
      <c r="A368" s="22" t="inlineStr">
        <is>
          <t>0112</t>
        </is>
      </c>
      <c r="B368" s="11" t="inlineStr">
        <is>
          <t>Carpenter 2nd class</t>
        </is>
      </c>
      <c r="C368" s="22" t="inlineStr">
        <is>
          <t>day</t>
        </is>
      </c>
      <c r="D368" s="23" t="n">
        <v>0.75</v>
      </c>
      <c r="E368" s="24" t="n">
        <v>679</v>
      </c>
      <c r="F368" s="24">
        <f>D368*E368</f>
        <v/>
      </c>
      <c r="G368" s="22" t="n"/>
    </row>
    <row r="369">
      <c r="A369" s="22" t="inlineStr">
        <is>
          <t>0114</t>
        </is>
      </c>
      <c r="B369" s="11" t="inlineStr">
        <is>
          <t>Beldar</t>
        </is>
      </c>
      <c r="C369" s="22" t="inlineStr">
        <is>
          <t>day</t>
        </is>
      </c>
      <c r="D369" s="23" t="n">
        <v>2</v>
      </c>
      <c r="E369" s="24" t="n">
        <v>558</v>
      </c>
      <c r="F369" s="24">
        <f>D369*E369</f>
        <v/>
      </c>
      <c r="G369" s="22" t="n"/>
    </row>
    <row r="370">
      <c r="A370" s="22" t="inlineStr">
        <is>
          <t>9999</t>
        </is>
      </c>
      <c r="B370" s="11" t="inlineStr">
        <is>
          <t>Sundries</t>
        </is>
      </c>
      <c r="C370" s="22" t="inlineStr">
        <is>
          <t>LS</t>
        </is>
      </c>
      <c r="D370" s="23" t="n">
        <v>40.43</v>
      </c>
      <c r="E370" s="24" t="n">
        <v>2</v>
      </c>
      <c r="F370" s="24">
        <f>D370*E370</f>
        <v/>
      </c>
      <c r="G370" s="22" t="n"/>
    </row>
    <row r="371">
      <c r="A371" s="8" t="inlineStr">
        <is>
          <t>Calculated W - SUM of the Amount column above</t>
        </is>
      </c>
      <c r="B371" s="9" t="n"/>
      <c r="C371" s="9" t="n"/>
      <c r="D371" s="9" t="n"/>
      <c r="E371" s="9" t="n"/>
      <c r="F371" s="25">
        <f>SUM(F364:F370)</f>
        <v/>
      </c>
      <c r="G371" s="9" t="n"/>
    </row>
    <row r="372">
      <c r="A372" s="26" t="inlineStr">
        <is>
          <t>W as printed in the DAR</t>
        </is>
      </c>
      <c r="B372" s="22" t="n"/>
      <c r="C372" s="22" t="n"/>
      <c r="D372" s="22" t="n"/>
      <c r="E372" s="22" t="n"/>
      <c r="F372" s="27" t="n">
        <v>9496.76</v>
      </c>
      <c r="G372" s="22" t="n"/>
    </row>
    <row r="373">
      <c r="A373" s="26" t="inlineStr">
        <is>
          <t>Difference (calculated - printed)</t>
        </is>
      </c>
      <c r="B373" s="22" t="n"/>
      <c r="C373" s="22" t="n"/>
      <c r="D373" s="22" t="n"/>
      <c r="E373" s="22" t="n"/>
      <c r="F373" s="27">
        <f>F371-F372</f>
        <v/>
      </c>
      <c r="G373" s="22" t="n"/>
    </row>
    <row r="374">
      <c r="A374" s="29" t="inlineStr">
        <is>
          <t>SAY (Rs.) - final DAR rate as printed (fixed value, not computed)</t>
        </is>
      </c>
      <c r="B374" s="30" t="n"/>
      <c r="C374" s="30" t="n"/>
      <c r="D374" s="30" t="n"/>
      <c r="E374" s="30" t="n"/>
      <c r="F374" s="31" t="n">
        <v>141.2</v>
      </c>
      <c r="G374" s="30" t="n"/>
    </row>
    <row r="376" ht="33" customHeight="1">
      <c r="A376" s="8" t="inlineStr">
        <is>
          <t>2.16</t>
        </is>
      </c>
      <c r="B376" s="17" t="inlineStr">
        <is>
          <t>Close timbering in trenches including strutting, shoring and packing cavities (wherever required) complete. (Measurements to be taken of the face area timbered).</t>
        </is>
      </c>
      <c r="C376" s="9" t="n"/>
      <c r="D376" s="9" t="n"/>
      <c r="E376" s="9" t="n"/>
      <c r="F376" s="9" t="n"/>
      <c r="G376" s="9" t="n"/>
    </row>
    <row r="377" ht="18.5" customHeight="1">
      <c r="A377" s="18" t="inlineStr">
        <is>
          <t>2.16.3</t>
        </is>
      </c>
      <c r="B377" s="19" t="inlineStr">
        <is>
          <t>Depth exceeding 3 m but not exceeding 4.5 m</t>
        </is>
      </c>
      <c r="C377" s="20" t="n"/>
      <c r="D377" s="20" t="n"/>
      <c r="E377" s="20" t="n"/>
      <c r="F377" s="20" t="n"/>
      <c r="G377" s="20" t="n"/>
    </row>
    <row r="378">
      <c r="A378" s="21" t="inlineStr">
        <is>
          <t>Details of cost for 90 sqm   |   Hand-transcribed (provisional): not machine-checked against the PDF</t>
        </is>
      </c>
    </row>
    <row r="379">
      <c r="A379" s="5" t="inlineStr">
        <is>
          <t>Code</t>
        </is>
      </c>
      <c r="B379" s="5" t="inlineStr">
        <is>
          <t>Description</t>
        </is>
      </c>
      <c r="C379" s="5" t="inlineStr">
        <is>
          <t>Unit</t>
        </is>
      </c>
      <c r="D379" s="5" t="inlineStr">
        <is>
          <t>Quantity</t>
        </is>
      </c>
      <c r="E379" s="5" t="inlineStr">
        <is>
          <t>Rate (Rs.)</t>
        </is>
      </c>
      <c r="F379" s="5" t="inlineStr">
        <is>
          <t>Amount (Rs.)</t>
        </is>
      </c>
      <c r="G379" s="5" t="inlineStr">
        <is>
          <t>Note</t>
        </is>
      </c>
    </row>
    <row r="380">
      <c r="A380" s="22" t="inlineStr">
        <is>
          <t>1198</t>
        </is>
      </c>
      <c r="B380" s="11" t="inlineStr">
        <is>
          <t>Second class kail wood in planks</t>
        </is>
      </c>
      <c r="C380" s="22" t="inlineStr">
        <is>
          <t>10 cudm</t>
        </is>
      </c>
      <c r="D380" s="23" t="n">
        <v>21.375</v>
      </c>
      <c r="E380" s="24" t="n">
        <v>260</v>
      </c>
      <c r="F380" s="24">
        <f>D380*E380</f>
        <v/>
      </c>
      <c r="G380" s="22" t="n"/>
    </row>
    <row r="381">
      <c r="A381" s="22" t="inlineStr">
        <is>
          <t>1197</t>
        </is>
      </c>
      <c r="B381" s="11" t="inlineStr">
        <is>
          <t>Second class kail wood in scantling</t>
        </is>
      </c>
      <c r="C381" s="22" t="inlineStr">
        <is>
          <t>10 cudm</t>
        </is>
      </c>
      <c r="D381" s="23" t="n">
        <v>7.5</v>
      </c>
      <c r="E381" s="24" t="n">
        <v>260</v>
      </c>
      <c r="F381" s="24">
        <f>D381*E381</f>
        <v/>
      </c>
      <c r="G381" s="22" t="n"/>
    </row>
    <row r="382">
      <c r="A382" s="22" t="inlineStr">
        <is>
          <t>0302</t>
        </is>
      </c>
      <c r="B382" s="11" t="inlineStr">
        <is>
          <t>Safeda ballies 125 mm diameter and 1.5m long</t>
        </is>
      </c>
      <c r="C382" s="22" t="inlineStr">
        <is>
          <t>metre</t>
        </is>
      </c>
      <c r="D382" s="23" t="n">
        <v>3.1875</v>
      </c>
      <c r="E382" s="24" t="n">
        <v>40</v>
      </c>
      <c r="F382" s="24">
        <f>D382*E382</f>
        <v/>
      </c>
      <c r="G382" s="22" t="n"/>
    </row>
    <row r="383">
      <c r="A383" s="22" t="inlineStr">
        <is>
          <t>2204</t>
        </is>
      </c>
      <c r="B383" s="11" t="inlineStr">
        <is>
          <t>Carriage of Timber</t>
        </is>
      </c>
      <c r="C383" s="22" t="inlineStr">
        <is>
          <t>cum</t>
        </is>
      </c>
      <c r="D383" s="23" t="n">
        <v>1.3125</v>
      </c>
      <c r="E383" s="24" t="n">
        <v>118.59</v>
      </c>
      <c r="F383" s="24">
        <f>D383*E383</f>
        <v/>
      </c>
      <c r="G383" s="22" t="n"/>
    </row>
    <row r="384">
      <c r="A384" s="22" t="inlineStr">
        <is>
          <t>0112</t>
        </is>
      </c>
      <c r="B384" s="11" t="inlineStr">
        <is>
          <t>Carpenter 2nd class</t>
        </is>
      </c>
      <c r="C384" s="22" t="inlineStr">
        <is>
          <t>day</t>
        </is>
      </c>
      <c r="D384" s="23" t="n">
        <v>1.5</v>
      </c>
      <c r="E384" s="24" t="n">
        <v>679</v>
      </c>
      <c r="F384" s="24">
        <f>D384*E384</f>
        <v/>
      </c>
      <c r="G384" s="22" t="n"/>
    </row>
    <row r="385">
      <c r="A385" s="22" t="inlineStr">
        <is>
          <t>0114</t>
        </is>
      </c>
      <c r="B385" s="11" t="inlineStr">
        <is>
          <t>Beldar</t>
        </is>
      </c>
      <c r="C385" s="22" t="inlineStr">
        <is>
          <t>day</t>
        </is>
      </c>
      <c r="D385" s="23" t="n">
        <v>4</v>
      </c>
      <c r="E385" s="24" t="n">
        <v>558</v>
      </c>
      <c r="F385" s="24">
        <f>D385*E385</f>
        <v/>
      </c>
      <c r="G385" s="22" t="n"/>
    </row>
    <row r="386">
      <c r="A386" s="22" t="inlineStr">
        <is>
          <t>9999</t>
        </is>
      </c>
      <c r="B386" s="11" t="inlineStr">
        <is>
          <t>Sundries</t>
        </is>
      </c>
      <c r="C386" s="22" t="inlineStr">
        <is>
          <t>LS</t>
        </is>
      </c>
      <c r="D386" s="23" t="n">
        <v>80.73</v>
      </c>
      <c r="E386" s="24" t="n">
        <v>2</v>
      </c>
      <c r="F386" s="24">
        <f>D386*E386</f>
        <v/>
      </c>
      <c r="G386" s="22" t="n"/>
    </row>
    <row r="387">
      <c r="A387" s="8" t="inlineStr">
        <is>
          <t>Calculated W - SUM of the Amount column above</t>
        </is>
      </c>
      <c r="B387" s="9" t="n"/>
      <c r="C387" s="9" t="n"/>
      <c r="D387" s="9" t="n"/>
      <c r="E387" s="9" t="n"/>
      <c r="F387" s="25">
        <f>SUM(F380:F386)</f>
        <v/>
      </c>
      <c r="G387" s="9" t="n"/>
    </row>
    <row r="388">
      <c r="A388" s="26" t="inlineStr">
        <is>
          <t>W as printed in the DAR</t>
        </is>
      </c>
      <c r="B388" s="22" t="n"/>
      <c r="C388" s="22" t="n"/>
      <c r="D388" s="22" t="n"/>
      <c r="E388" s="22" t="n"/>
      <c r="F388" s="27" t="n">
        <v>11202.61</v>
      </c>
      <c r="G388" s="22" t="n"/>
    </row>
    <row r="389">
      <c r="A389" s="26" t="inlineStr">
        <is>
          <t>Difference (calculated - printed)</t>
        </is>
      </c>
      <c r="B389" s="22" t="n"/>
      <c r="C389" s="22" t="n"/>
      <c r="D389" s="22" t="n"/>
      <c r="E389" s="22" t="n"/>
      <c r="F389" s="27">
        <f>F387-F388</f>
        <v/>
      </c>
      <c r="G389" s="22" t="n"/>
    </row>
    <row r="390">
      <c r="A390" s="29" t="inlineStr">
        <is>
          <t>SAY (Rs.) - final DAR rate as printed (fixed value, not computed)</t>
        </is>
      </c>
      <c r="B390" s="30" t="n"/>
      <c r="C390" s="30" t="n"/>
      <c r="D390" s="30" t="n"/>
      <c r="E390" s="30" t="n"/>
      <c r="F390" s="31" t="n">
        <v>166.55</v>
      </c>
      <c r="G390" s="30" t="n"/>
    </row>
    <row r="392" ht="33" customHeight="1">
      <c r="A392" s="8" t="inlineStr">
        <is>
          <t>2.17</t>
        </is>
      </c>
      <c r="B392" s="17" t="inlineStr">
        <is>
          <t>Close timbering in case of shafts, wells, cesspits, manholes and the like including strutting, shoring and packing cavities (wherever required) etc. complete. (Measurements to be taken of the face area timbered).</t>
        </is>
      </c>
      <c r="C392" s="9" t="n"/>
      <c r="D392" s="9" t="n"/>
      <c r="E392" s="9" t="n"/>
      <c r="F392" s="9" t="n"/>
      <c r="G392" s="9" t="n"/>
    </row>
    <row r="393" ht="18.5" customHeight="1">
      <c r="A393" s="18" t="inlineStr">
        <is>
          <t>2.17.1</t>
        </is>
      </c>
      <c r="B393" s="19" t="inlineStr">
        <is>
          <t>Depth not exceeding 1.5 m</t>
        </is>
      </c>
      <c r="C393" s="20" t="n"/>
      <c r="D393" s="20" t="n"/>
      <c r="E393" s="20" t="n"/>
      <c r="F393" s="20" t="n"/>
      <c r="G393" s="20" t="n"/>
    </row>
    <row r="394">
      <c r="A394" s="21" t="inlineStr">
        <is>
          <t>Details of cost for 6.6 sqm   |   Hand-transcribed (provisional): not machine-checked against the PDF</t>
        </is>
      </c>
    </row>
    <row r="395">
      <c r="A395" s="5" t="inlineStr">
        <is>
          <t>Code</t>
        </is>
      </c>
      <c r="B395" s="5" t="inlineStr">
        <is>
          <t>Description</t>
        </is>
      </c>
      <c r="C395" s="5" t="inlineStr">
        <is>
          <t>Unit</t>
        </is>
      </c>
      <c r="D395" s="5" t="inlineStr">
        <is>
          <t>Quantity</t>
        </is>
      </c>
      <c r="E395" s="5" t="inlineStr">
        <is>
          <t>Rate (Rs.)</t>
        </is>
      </c>
      <c r="F395" s="5" t="inlineStr">
        <is>
          <t>Amount (Rs.)</t>
        </is>
      </c>
      <c r="G395" s="5" t="inlineStr">
        <is>
          <t>Note</t>
        </is>
      </c>
    </row>
    <row r="396">
      <c r="A396" s="22" t="inlineStr">
        <is>
          <t>1198</t>
        </is>
      </c>
      <c r="B396" s="11" t="inlineStr">
        <is>
          <t>Second class kail wood in planks</t>
        </is>
      </c>
      <c r="C396" s="22" t="inlineStr">
        <is>
          <t>10 cudm</t>
        </is>
      </c>
      <c r="D396" s="23" t="n">
        <v>1.56875</v>
      </c>
      <c r="E396" s="24" t="n">
        <v>260</v>
      </c>
      <c r="F396" s="24">
        <f>D396*E396</f>
        <v/>
      </c>
      <c r="G396" s="22" t="n"/>
    </row>
    <row r="397">
      <c r="A397" s="22" t="inlineStr">
        <is>
          <t>1197</t>
        </is>
      </c>
      <c r="B397" s="11" t="inlineStr">
        <is>
          <t>Second class kail wood in scantling</t>
        </is>
      </c>
      <c r="C397" s="22" t="inlineStr">
        <is>
          <t>10 cudm</t>
        </is>
      </c>
      <c r="D397" s="23" t="n">
        <v>0.5125</v>
      </c>
      <c r="E397" s="24" t="n">
        <v>260</v>
      </c>
      <c r="F397" s="24">
        <f>D397*E397</f>
        <v/>
      </c>
      <c r="G397" s="22" t="n"/>
    </row>
    <row r="398">
      <c r="A398" s="22" t="inlineStr">
        <is>
          <t>0302</t>
        </is>
      </c>
      <c r="B398" s="11" t="inlineStr">
        <is>
          <t>Safeda ballies 125 mm diameter and 1.5m long</t>
        </is>
      </c>
      <c r="C398" s="22" t="inlineStr">
        <is>
          <t>metre</t>
        </is>
      </c>
      <c r="D398" s="23" t="n">
        <v>0.4118</v>
      </c>
      <c r="E398" s="24" t="n">
        <v>40</v>
      </c>
      <c r="F398" s="24">
        <f>D398*E398</f>
        <v/>
      </c>
      <c r="G398" s="22" t="n"/>
    </row>
    <row r="399">
      <c r="A399" s="22" t="inlineStr">
        <is>
          <t>2204</t>
        </is>
      </c>
      <c r="B399" s="11" t="inlineStr">
        <is>
          <t>Carriage of Timber</t>
        </is>
      </c>
      <c r="C399" s="22" t="inlineStr">
        <is>
          <t>cum</t>
        </is>
      </c>
      <c r="D399" s="23" t="n">
        <v>0.1035</v>
      </c>
      <c r="E399" s="24" t="n">
        <v>118.59</v>
      </c>
      <c r="F399" s="24">
        <f>D399*E399</f>
        <v/>
      </c>
      <c r="G399" s="22" t="n"/>
    </row>
    <row r="400">
      <c r="A400" s="22" t="inlineStr">
        <is>
          <t>0112</t>
        </is>
      </c>
      <c r="B400" s="11" t="inlineStr">
        <is>
          <t>Carpenter 2nd class</t>
        </is>
      </c>
      <c r="C400" s="22" t="inlineStr">
        <is>
          <t>day</t>
        </is>
      </c>
      <c r="D400" s="23" t="n">
        <v>0.06</v>
      </c>
      <c r="E400" s="24" t="n">
        <v>679</v>
      </c>
      <c r="F400" s="24">
        <f>D400*E400</f>
        <v/>
      </c>
      <c r="G400" s="22" t="n"/>
    </row>
    <row r="401">
      <c r="A401" s="22" t="inlineStr">
        <is>
          <t>0114</t>
        </is>
      </c>
      <c r="B401" s="11" t="inlineStr">
        <is>
          <t>Beldar</t>
        </is>
      </c>
      <c r="C401" s="22" t="inlineStr">
        <is>
          <t>day</t>
        </is>
      </c>
      <c r="D401" s="23" t="n">
        <v>0.12</v>
      </c>
      <c r="E401" s="24" t="n">
        <v>558</v>
      </c>
      <c r="F401" s="24">
        <f>D401*E401</f>
        <v/>
      </c>
      <c r="G401" s="22" t="n"/>
    </row>
    <row r="402">
      <c r="A402" s="22" t="inlineStr">
        <is>
          <t>9999</t>
        </is>
      </c>
      <c r="B402" s="11" t="inlineStr">
        <is>
          <t>Sundries</t>
        </is>
      </c>
      <c r="C402" s="22" t="inlineStr">
        <is>
          <t>LS</t>
        </is>
      </c>
      <c r="D402" s="23" t="n">
        <v>2.73</v>
      </c>
      <c r="E402" s="24" t="n">
        <v>2</v>
      </c>
      <c r="F402" s="24">
        <f>D402*E402</f>
        <v/>
      </c>
      <c r="G402" s="22" t="n"/>
    </row>
    <row r="403">
      <c r="A403" s="8" t="inlineStr">
        <is>
          <t>Calculated W - SUM of the Amount column above</t>
        </is>
      </c>
      <c r="B403" s="9" t="n"/>
      <c r="C403" s="9" t="n"/>
      <c r="D403" s="9" t="n"/>
      <c r="E403" s="9" t="n"/>
      <c r="F403" s="25">
        <f>SUM(F396:F402)</f>
        <v/>
      </c>
      <c r="G403" s="9" t="n"/>
    </row>
    <row r="404">
      <c r="A404" s="26" t="inlineStr">
        <is>
          <t>W as printed in the DAR</t>
        </is>
      </c>
      <c r="B404" s="22" t="n"/>
      <c r="C404" s="22" t="n"/>
      <c r="D404" s="22" t="n"/>
      <c r="E404" s="22" t="n"/>
      <c r="F404" s="27" t="n">
        <v>683.03</v>
      </c>
      <c r="G404" s="22" t="n"/>
    </row>
    <row r="405">
      <c r="A405" s="26" t="inlineStr">
        <is>
          <t>Difference (calculated - printed)</t>
        </is>
      </c>
      <c r="B405" s="22" t="n"/>
      <c r="C405" s="22" t="n"/>
      <c r="D405" s="22" t="n"/>
      <c r="E405" s="22" t="n"/>
      <c r="F405" s="27">
        <f>F403-F404</f>
        <v/>
      </c>
      <c r="G405" s="22" t="n"/>
    </row>
    <row r="406">
      <c r="A406" s="29" t="inlineStr">
        <is>
          <t>SAY (Rs.) - final DAR rate as printed (fixed value, not computed)</t>
        </is>
      </c>
      <c r="B406" s="30" t="n"/>
      <c r="C406" s="30" t="n"/>
      <c r="D406" s="30" t="n"/>
      <c r="E406" s="30" t="n"/>
      <c r="F406" s="31" t="n">
        <v>138.45</v>
      </c>
      <c r="G406" s="30" t="n"/>
    </row>
    <row r="408" ht="33" customHeight="1">
      <c r="A408" s="8" t="inlineStr">
        <is>
          <t>2.17</t>
        </is>
      </c>
      <c r="B408" s="17" t="inlineStr">
        <is>
          <t>Close timbering in case of shafts, wells, cesspits, manholes and the like including strutting, shoring and packing cavities (wherever required) etc. complete. (Measurements to be taken of the face area timbered).</t>
        </is>
      </c>
      <c r="C408" s="9" t="n"/>
      <c r="D408" s="9" t="n"/>
      <c r="E408" s="9" t="n"/>
      <c r="F408" s="9" t="n"/>
      <c r="G408" s="9" t="n"/>
    </row>
    <row r="409" ht="18.5" customHeight="1">
      <c r="A409" s="18" t="inlineStr">
        <is>
          <t>2.17.2</t>
        </is>
      </c>
      <c r="B409" s="19" t="inlineStr">
        <is>
          <t>Depth exceeding 1.5 m but not exceeding 3 m</t>
        </is>
      </c>
      <c r="C409" s="20" t="n"/>
      <c r="D409" s="20" t="n"/>
      <c r="E409" s="20" t="n"/>
      <c r="F409" s="20" t="n"/>
      <c r="G409" s="20" t="n"/>
    </row>
    <row r="410">
      <c r="A410" s="21" t="inlineStr">
        <is>
          <t>Details of cost for 6.6 sqm   |   Hand-transcribed (provisional): not machine-checked against the PDF</t>
        </is>
      </c>
    </row>
    <row r="411">
      <c r="A411" s="5" t="inlineStr">
        <is>
          <t>Code</t>
        </is>
      </c>
      <c r="B411" s="5" t="inlineStr">
        <is>
          <t>Description</t>
        </is>
      </c>
      <c r="C411" s="5" t="inlineStr">
        <is>
          <t>Unit</t>
        </is>
      </c>
      <c r="D411" s="5" t="inlineStr">
        <is>
          <t>Quantity</t>
        </is>
      </c>
      <c r="E411" s="5" t="inlineStr">
        <is>
          <t>Rate (Rs.)</t>
        </is>
      </c>
      <c r="F411" s="5" t="inlineStr">
        <is>
          <t>Amount (Rs.)</t>
        </is>
      </c>
      <c r="G411" s="5" t="inlineStr">
        <is>
          <t>Note</t>
        </is>
      </c>
    </row>
    <row r="412">
      <c r="A412" s="22" t="inlineStr">
        <is>
          <t>1198</t>
        </is>
      </c>
      <c r="B412" s="11" t="inlineStr">
        <is>
          <t>Second class kail wood in planks</t>
        </is>
      </c>
      <c r="C412" s="22" t="inlineStr">
        <is>
          <t>10 cudm</t>
        </is>
      </c>
      <c r="D412" s="23" t="n">
        <v>1.56875</v>
      </c>
      <c r="E412" s="24" t="n">
        <v>260</v>
      </c>
      <c r="F412" s="24">
        <f>D412*E412</f>
        <v/>
      </c>
      <c r="G412" s="22" t="n"/>
    </row>
    <row r="413">
      <c r="A413" s="22" t="inlineStr">
        <is>
          <t>1197</t>
        </is>
      </c>
      <c r="B413" s="11" t="inlineStr">
        <is>
          <t>Second class kail wood in scantling</t>
        </is>
      </c>
      <c r="C413" s="22" t="inlineStr">
        <is>
          <t>10 cudm</t>
        </is>
      </c>
      <c r="D413" s="23" t="n">
        <v>0.5125</v>
      </c>
      <c r="E413" s="24" t="n">
        <v>260</v>
      </c>
      <c r="F413" s="24">
        <f>D413*E413</f>
        <v/>
      </c>
      <c r="G413" s="22" t="n"/>
    </row>
    <row r="414">
      <c r="A414" s="22" t="inlineStr">
        <is>
          <t>0302</t>
        </is>
      </c>
      <c r="B414" s="11" t="inlineStr">
        <is>
          <t>Safeda ballies 125 mm diameter and 1.5m long</t>
        </is>
      </c>
      <c r="C414" s="22" t="inlineStr">
        <is>
          <t>metre</t>
        </is>
      </c>
      <c r="D414" s="23" t="n">
        <v>0.4118</v>
      </c>
      <c r="E414" s="24" t="n">
        <v>40</v>
      </c>
      <c r="F414" s="24">
        <f>D414*E414</f>
        <v/>
      </c>
      <c r="G414" s="22" t="n"/>
    </row>
    <row r="415">
      <c r="A415" s="22" t="inlineStr">
        <is>
          <t>2204</t>
        </is>
      </c>
      <c r="B415" s="11" t="inlineStr">
        <is>
          <t>Carriage of Timber</t>
        </is>
      </c>
      <c r="C415" s="22" t="inlineStr">
        <is>
          <t>cum</t>
        </is>
      </c>
      <c r="D415" s="23" t="n">
        <v>0.1035</v>
      </c>
      <c r="E415" s="24" t="n">
        <v>118.59</v>
      </c>
      <c r="F415" s="24">
        <f>D415*E415</f>
        <v/>
      </c>
      <c r="G415" s="22" t="n"/>
    </row>
    <row r="416">
      <c r="A416" s="22" t="inlineStr">
        <is>
          <t>0112</t>
        </is>
      </c>
      <c r="B416" s="11" t="inlineStr">
        <is>
          <t>Carpenter 2nd class</t>
        </is>
      </c>
      <c r="C416" s="22" t="inlineStr">
        <is>
          <t>day</t>
        </is>
      </c>
      <c r="D416" s="23" t="n">
        <v>0.12</v>
      </c>
      <c r="E416" s="24" t="n">
        <v>679</v>
      </c>
      <c r="F416" s="24">
        <f>D416*E416</f>
        <v/>
      </c>
      <c r="G416" s="22" t="n"/>
    </row>
    <row r="417">
      <c r="A417" s="22" t="inlineStr">
        <is>
          <t>0114</t>
        </is>
      </c>
      <c r="B417" s="11" t="inlineStr">
        <is>
          <t>Beldar</t>
        </is>
      </c>
      <c r="C417" s="22" t="inlineStr">
        <is>
          <t>day</t>
        </is>
      </c>
      <c r="D417" s="23" t="n">
        <v>0.25</v>
      </c>
      <c r="E417" s="24" t="n">
        <v>558</v>
      </c>
      <c r="F417" s="24">
        <f>D417*E417</f>
        <v/>
      </c>
      <c r="G417" s="22" t="n"/>
    </row>
    <row r="418">
      <c r="A418" s="22" t="inlineStr">
        <is>
          <t>9999</t>
        </is>
      </c>
      <c r="B418" s="11" t="inlineStr">
        <is>
          <t>Sundries</t>
        </is>
      </c>
      <c r="C418" s="22" t="inlineStr">
        <is>
          <t>LS</t>
        </is>
      </c>
      <c r="D418" s="23" t="n">
        <v>5.46</v>
      </c>
      <c r="E418" s="24" t="n">
        <v>2</v>
      </c>
      <c r="F418" s="24">
        <f>D418*E418</f>
        <v/>
      </c>
      <c r="G418" s="22" t="n"/>
    </row>
    <row r="419">
      <c r="A419" s="8" t="inlineStr">
        <is>
          <t>Calculated W - SUM of the Amount column above</t>
        </is>
      </c>
      <c r="B419" s="9" t="n"/>
      <c r="C419" s="9" t="n"/>
      <c r="D419" s="9" t="n"/>
      <c r="E419" s="9" t="n"/>
      <c r="F419" s="25">
        <f>SUM(F412:F418)</f>
        <v/>
      </c>
      <c r="G419" s="9" t="n"/>
    </row>
    <row r="420">
      <c r="A420" s="26" t="inlineStr">
        <is>
          <t>W as printed in the DAR</t>
        </is>
      </c>
      <c r="B420" s="22" t="n"/>
      <c r="C420" s="22" t="n"/>
      <c r="D420" s="22" t="n"/>
      <c r="E420" s="22" t="n"/>
      <c r="F420" s="27" t="n">
        <v>801.77</v>
      </c>
      <c r="G420" s="22" t="n"/>
    </row>
    <row r="421">
      <c r="A421" s="26" t="inlineStr">
        <is>
          <t>Difference (calculated - printed)</t>
        </is>
      </c>
      <c r="B421" s="22" t="n"/>
      <c r="C421" s="22" t="n"/>
      <c r="D421" s="22" t="n"/>
      <c r="E421" s="22" t="n"/>
      <c r="F421" s="27">
        <f>F419-F420</f>
        <v/>
      </c>
      <c r="G421" s="22" t="n"/>
    </row>
    <row r="422">
      <c r="A422" s="29" t="inlineStr">
        <is>
          <t>SAY (Rs.) - final DAR rate as printed (fixed value, not computed)</t>
        </is>
      </c>
      <c r="B422" s="30" t="n"/>
      <c r="C422" s="30" t="n"/>
      <c r="D422" s="30" t="n"/>
      <c r="E422" s="30" t="n"/>
      <c r="F422" s="31" t="n">
        <v>162.55</v>
      </c>
      <c r="G422" s="30" t="n"/>
    </row>
    <row r="424" ht="33" customHeight="1">
      <c r="A424" s="8" t="inlineStr">
        <is>
          <t>2.17</t>
        </is>
      </c>
      <c r="B424" s="17" t="inlineStr">
        <is>
          <t>Close timbering in case of shafts, wells, cesspits, manholes and the like including strutting, shoring and packing cavities (wherever required) etc. complete. (Measurements to be taken of the face area timbered).</t>
        </is>
      </c>
      <c r="C424" s="9" t="n"/>
      <c r="D424" s="9" t="n"/>
      <c r="E424" s="9" t="n"/>
      <c r="F424" s="9" t="n"/>
      <c r="G424" s="9" t="n"/>
    </row>
    <row r="425" ht="18.5" customHeight="1">
      <c r="A425" s="18" t="inlineStr">
        <is>
          <t>2.17.3</t>
        </is>
      </c>
      <c r="B425" s="19" t="inlineStr">
        <is>
          <t>Depth exceeding 3 m but not exceeding 4.5 m</t>
        </is>
      </c>
      <c r="C425" s="20" t="n"/>
      <c r="D425" s="20" t="n"/>
      <c r="E425" s="20" t="n"/>
      <c r="F425" s="20" t="n"/>
      <c r="G425" s="20" t="n"/>
    </row>
    <row r="426">
      <c r="A426" s="21" t="inlineStr">
        <is>
          <t>Details of cost for 6.6 sqm   |   Hand-transcribed (provisional): not machine-checked against the PDF</t>
        </is>
      </c>
    </row>
    <row r="427">
      <c r="A427" s="5" t="inlineStr">
        <is>
          <t>Code</t>
        </is>
      </c>
      <c r="B427" s="5" t="inlineStr">
        <is>
          <t>Description</t>
        </is>
      </c>
      <c r="C427" s="5" t="inlineStr">
        <is>
          <t>Unit</t>
        </is>
      </c>
      <c r="D427" s="5" t="inlineStr">
        <is>
          <t>Quantity</t>
        </is>
      </c>
      <c r="E427" s="5" t="inlineStr">
        <is>
          <t>Rate (Rs.)</t>
        </is>
      </c>
      <c r="F427" s="5" t="inlineStr">
        <is>
          <t>Amount (Rs.)</t>
        </is>
      </c>
      <c r="G427" s="5" t="inlineStr">
        <is>
          <t>Note</t>
        </is>
      </c>
    </row>
    <row r="428">
      <c r="A428" s="22" t="inlineStr">
        <is>
          <t>1198</t>
        </is>
      </c>
      <c r="B428" s="11" t="inlineStr">
        <is>
          <t>Second class kail wood in planks</t>
        </is>
      </c>
      <c r="C428" s="22" t="inlineStr">
        <is>
          <t>10 cudm</t>
        </is>
      </c>
      <c r="D428" s="23" t="n">
        <v>1.56875</v>
      </c>
      <c r="E428" s="24" t="n">
        <v>260</v>
      </c>
      <c r="F428" s="24">
        <f>D428*E428</f>
        <v/>
      </c>
      <c r="G428" s="22" t="n"/>
    </row>
    <row r="429">
      <c r="A429" s="22" t="inlineStr">
        <is>
          <t>1197</t>
        </is>
      </c>
      <c r="B429" s="11" t="inlineStr">
        <is>
          <t>Second class kail wood in scantling</t>
        </is>
      </c>
      <c r="C429" s="22" t="inlineStr">
        <is>
          <t>10 cudm</t>
        </is>
      </c>
      <c r="D429" s="23" t="n">
        <v>0.5125</v>
      </c>
      <c r="E429" s="24" t="n">
        <v>260</v>
      </c>
      <c r="F429" s="24">
        <f>D429*E429</f>
        <v/>
      </c>
      <c r="G429" s="22" t="n"/>
    </row>
    <row r="430">
      <c r="A430" s="22" t="inlineStr">
        <is>
          <t>0302</t>
        </is>
      </c>
      <c r="B430" s="11" t="inlineStr">
        <is>
          <t>Safeda ballies 125 mm diameter and 1.5m long</t>
        </is>
      </c>
      <c r="C430" s="22" t="inlineStr">
        <is>
          <t>metre</t>
        </is>
      </c>
      <c r="D430" s="23" t="n">
        <v>0.4118</v>
      </c>
      <c r="E430" s="24" t="n">
        <v>40</v>
      </c>
      <c r="F430" s="24">
        <f>D430*E430</f>
        <v/>
      </c>
      <c r="G430" s="22" t="n"/>
    </row>
    <row r="431">
      <c r="A431" s="22" t="inlineStr">
        <is>
          <t>2204</t>
        </is>
      </c>
      <c r="B431" s="11" t="inlineStr">
        <is>
          <t>Carriage of Timber</t>
        </is>
      </c>
      <c r="C431" s="22" t="inlineStr">
        <is>
          <t>cum</t>
        </is>
      </c>
      <c r="D431" s="23" t="n">
        <v>0.1035</v>
      </c>
      <c r="E431" s="24" t="n">
        <v>118.59</v>
      </c>
      <c r="F431" s="24">
        <f>D431*E431</f>
        <v/>
      </c>
      <c r="G431" s="22" t="n"/>
    </row>
    <row r="432">
      <c r="A432" s="22" t="inlineStr">
        <is>
          <t>0112</t>
        </is>
      </c>
      <c r="B432" s="11" t="inlineStr">
        <is>
          <t>Carpenter 2nd class</t>
        </is>
      </c>
      <c r="C432" s="22" t="inlineStr">
        <is>
          <t>day</t>
        </is>
      </c>
      <c r="D432" s="23" t="n">
        <v>0.19</v>
      </c>
      <c r="E432" s="24" t="n">
        <v>679</v>
      </c>
      <c r="F432" s="24">
        <f>D432*E432</f>
        <v/>
      </c>
      <c r="G432" s="22" t="n"/>
    </row>
    <row r="433">
      <c r="A433" s="22" t="inlineStr">
        <is>
          <t>0114</t>
        </is>
      </c>
      <c r="B433" s="11" t="inlineStr">
        <is>
          <t>Beldar</t>
        </is>
      </c>
      <c r="C433" s="22" t="inlineStr">
        <is>
          <t>day</t>
        </is>
      </c>
      <c r="D433" s="23" t="n">
        <v>0.38</v>
      </c>
      <c r="E433" s="24" t="n">
        <v>558</v>
      </c>
      <c r="F433" s="24">
        <f>D433*E433</f>
        <v/>
      </c>
      <c r="G433" s="22" t="n"/>
    </row>
    <row r="434">
      <c r="A434" s="22" t="inlineStr">
        <is>
          <t>9999</t>
        </is>
      </c>
      <c r="B434" s="11" t="inlineStr">
        <is>
          <t>Sundries</t>
        </is>
      </c>
      <c r="C434" s="22" t="inlineStr">
        <is>
          <t>LS</t>
        </is>
      </c>
      <c r="D434" s="23" t="n">
        <v>8.06</v>
      </c>
      <c r="E434" s="24" t="n">
        <v>2</v>
      </c>
      <c r="F434" s="24">
        <f>D434*E434</f>
        <v/>
      </c>
      <c r="G434" s="22" t="n"/>
    </row>
    <row r="435">
      <c r="A435" s="8" t="inlineStr">
        <is>
          <t>Calculated W - SUM of the Amount column above</t>
        </is>
      </c>
      <c r="B435" s="9" t="n"/>
      <c r="C435" s="9" t="n"/>
      <c r="D435" s="9" t="n"/>
      <c r="E435" s="9" t="n"/>
      <c r="F435" s="25">
        <f>SUM(F428:F434)</f>
        <v/>
      </c>
      <c r="G435" s="9" t="n"/>
    </row>
    <row r="436">
      <c r="A436" s="26" t="inlineStr">
        <is>
          <t>W as printed in the DAR</t>
        </is>
      </c>
      <c r="B436" s="22" t="n"/>
      <c r="C436" s="22" t="n"/>
      <c r="D436" s="22" t="n"/>
      <c r="E436" s="22" t="n"/>
      <c r="F436" s="27" t="n">
        <v>927.04</v>
      </c>
      <c r="G436" s="22" t="n"/>
    </row>
    <row r="437">
      <c r="A437" s="26" t="inlineStr">
        <is>
          <t>Difference (calculated - printed)</t>
        </is>
      </c>
      <c r="B437" s="22" t="n"/>
      <c r="C437" s="22" t="n"/>
      <c r="D437" s="22" t="n"/>
      <c r="E437" s="22" t="n"/>
      <c r="F437" s="27">
        <f>F435-F436</f>
        <v/>
      </c>
      <c r="G437" s="22" t="n"/>
    </row>
    <row r="438">
      <c r="A438" s="29" t="inlineStr">
        <is>
          <t>SAY (Rs.) - final DAR rate as printed (fixed value, not computed)</t>
        </is>
      </c>
      <c r="B438" s="30" t="n"/>
      <c r="C438" s="30" t="n"/>
      <c r="D438" s="30" t="n"/>
      <c r="E438" s="30" t="n"/>
      <c r="F438" s="31" t="n">
        <v>187.95</v>
      </c>
      <c r="G438" s="30" t="n"/>
    </row>
    <row r="440" ht="33" customHeight="1">
      <c r="A440" s="8" t="inlineStr">
        <is>
          <t>2.18</t>
        </is>
      </c>
      <c r="B440" s="17" t="inlineStr">
        <is>
          <t>Close timbering over areas including strutting, shoring and packing cavities (wherever required) etc. complete. (Measurements to be taken of the face area timbered):</t>
        </is>
      </c>
      <c r="C440" s="9" t="n"/>
      <c r="D440" s="9" t="n"/>
      <c r="E440" s="9" t="n"/>
      <c r="F440" s="9" t="n"/>
      <c r="G440" s="9" t="n"/>
    </row>
    <row r="441" ht="18.5" customHeight="1">
      <c r="A441" s="18" t="inlineStr">
        <is>
          <t>2.18.1</t>
        </is>
      </c>
      <c r="B441" s="19" t="inlineStr">
        <is>
          <t>Depth not exceeding 1.5 m</t>
        </is>
      </c>
      <c r="C441" s="20" t="n"/>
      <c r="D441" s="20" t="n"/>
      <c r="E441" s="20" t="n"/>
      <c r="F441" s="20" t="n"/>
      <c r="G441" s="20" t="n"/>
    </row>
    <row r="442">
      <c r="A442" s="21" t="inlineStr">
        <is>
          <t>Details of cost for 45 sqm   |   Hand-transcribed (provisional): not machine-checked against the PDF</t>
        </is>
      </c>
    </row>
    <row r="443">
      <c r="A443" s="5" t="inlineStr">
        <is>
          <t>Code</t>
        </is>
      </c>
      <c r="B443" s="5" t="inlineStr">
        <is>
          <t>Description</t>
        </is>
      </c>
      <c r="C443" s="5" t="inlineStr">
        <is>
          <t>Unit</t>
        </is>
      </c>
      <c r="D443" s="5" t="inlineStr">
        <is>
          <t>Quantity</t>
        </is>
      </c>
      <c r="E443" s="5" t="inlineStr">
        <is>
          <t>Rate (Rs.)</t>
        </is>
      </c>
      <c r="F443" s="5" t="inlineStr">
        <is>
          <t>Amount (Rs.)</t>
        </is>
      </c>
      <c r="G443" s="5" t="inlineStr">
        <is>
          <t>Note</t>
        </is>
      </c>
    </row>
    <row r="444">
      <c r="A444" s="22" t="inlineStr">
        <is>
          <t>1198</t>
        </is>
      </c>
      <c r="B444" s="11" t="inlineStr">
        <is>
          <t>Second class kail wood in planks</t>
        </is>
      </c>
      <c r="C444" s="22" t="inlineStr">
        <is>
          <t>10 cudm</t>
        </is>
      </c>
      <c r="D444" s="23" t="n">
        <v>10.6875</v>
      </c>
      <c r="E444" s="24" t="n">
        <v>260</v>
      </c>
      <c r="F444" s="24">
        <f>D444*E444</f>
        <v/>
      </c>
      <c r="G444" s="22" t="n"/>
    </row>
    <row r="445">
      <c r="A445" s="22" t="inlineStr">
        <is>
          <t>1197</t>
        </is>
      </c>
      <c r="B445" s="11" t="inlineStr">
        <is>
          <t>Second class kail wood in scantling</t>
        </is>
      </c>
      <c r="C445" s="22" t="inlineStr">
        <is>
          <t>10 cudm</t>
        </is>
      </c>
      <c r="D445" s="23" t="n">
        <v>1.875</v>
      </c>
      <c r="E445" s="24" t="n">
        <v>260</v>
      </c>
      <c r="F445" s="24">
        <f>D445*E445</f>
        <v/>
      </c>
      <c r="G445" s="22" t="n"/>
    </row>
    <row r="446">
      <c r="A446" s="22" t="inlineStr">
        <is>
          <t>0302</t>
        </is>
      </c>
      <c r="B446" s="11" t="inlineStr">
        <is>
          <t>Safeda ballies 125 mm diameter and 1.5m long</t>
        </is>
      </c>
      <c r="C446" s="22" t="inlineStr">
        <is>
          <t>metre</t>
        </is>
      </c>
      <c r="D446" s="23" t="n">
        <v>1.59</v>
      </c>
      <c r="E446" s="24" t="n">
        <v>40</v>
      </c>
      <c r="F446" s="24">
        <f>D446*E446</f>
        <v/>
      </c>
      <c r="G446" s="22" t="n"/>
    </row>
    <row r="447">
      <c r="A447" s="22" t="inlineStr">
        <is>
          <t>2204</t>
        </is>
      </c>
      <c r="B447" s="11" t="inlineStr">
        <is>
          <t>Carriage of Timber</t>
        </is>
      </c>
      <c r="C447" s="22" t="inlineStr">
        <is>
          <t>cum</t>
        </is>
      </c>
      <c r="D447" s="23" t="n">
        <v>0.581</v>
      </c>
      <c r="E447" s="24" t="n">
        <v>118.59</v>
      </c>
      <c r="F447" s="24">
        <f>D447*E447</f>
        <v/>
      </c>
      <c r="G447" s="22" t="n"/>
    </row>
    <row r="448">
      <c r="A448" s="22" t="inlineStr">
        <is>
          <t>0112</t>
        </is>
      </c>
      <c r="B448" s="11" t="inlineStr">
        <is>
          <t>Carpenter 2nd class</t>
        </is>
      </c>
      <c r="C448" s="22" t="inlineStr">
        <is>
          <t>day</t>
        </is>
      </c>
      <c r="D448" s="23" t="n">
        <v>0.25</v>
      </c>
      <c r="E448" s="24" t="n">
        <v>679</v>
      </c>
      <c r="F448" s="24">
        <f>D448*E448</f>
        <v/>
      </c>
      <c r="G448" s="22" t="n"/>
    </row>
    <row r="449">
      <c r="A449" s="22" t="inlineStr">
        <is>
          <t>0114</t>
        </is>
      </c>
      <c r="B449" s="11" t="inlineStr">
        <is>
          <t>Beldar</t>
        </is>
      </c>
      <c r="C449" s="22" t="inlineStr">
        <is>
          <t>day</t>
        </is>
      </c>
      <c r="D449" s="23" t="n">
        <v>0.5</v>
      </c>
      <c r="E449" s="24" t="n">
        <v>558</v>
      </c>
      <c r="F449" s="24">
        <f>D449*E449</f>
        <v/>
      </c>
      <c r="G449" s="22" t="n"/>
    </row>
    <row r="450">
      <c r="A450" s="22" t="inlineStr">
        <is>
          <t>9999</t>
        </is>
      </c>
      <c r="B450" s="11" t="inlineStr">
        <is>
          <t>Sundries</t>
        </is>
      </c>
      <c r="C450" s="22" t="inlineStr">
        <is>
          <t>LS</t>
        </is>
      </c>
      <c r="D450" s="23" t="n">
        <v>31.46</v>
      </c>
      <c r="E450" s="24" t="n">
        <v>2</v>
      </c>
      <c r="F450" s="24">
        <f>D450*E450</f>
        <v/>
      </c>
      <c r="G450" s="22" t="n"/>
    </row>
    <row r="451">
      <c r="A451" s="8" t="inlineStr">
        <is>
          <t>Calculated W - SUM of the Amount column above</t>
        </is>
      </c>
      <c r="B451" s="9" t="n"/>
      <c r="C451" s="9" t="n"/>
      <c r="D451" s="9" t="n"/>
      <c r="E451" s="9" t="n"/>
      <c r="F451" s="25">
        <f>SUM(F444:F450)</f>
        <v/>
      </c>
      <c r="G451" s="9" t="n"/>
    </row>
    <row r="452">
      <c r="A452" s="26" t="inlineStr">
        <is>
          <t>W as printed in the DAR</t>
        </is>
      </c>
      <c r="B452" s="22" t="n"/>
      <c r="C452" s="22" t="n"/>
      <c r="D452" s="22" t="n"/>
      <c r="E452" s="22" t="n"/>
      <c r="F452" s="27" t="n">
        <v>3910.42</v>
      </c>
      <c r="G452" s="22" t="n"/>
    </row>
    <row r="453">
      <c r="A453" s="26" t="inlineStr">
        <is>
          <t>Difference (calculated - printed)</t>
        </is>
      </c>
      <c r="B453" s="22" t="n"/>
      <c r="C453" s="22" t="n"/>
      <c r="D453" s="22" t="n"/>
      <c r="E453" s="22" t="n"/>
      <c r="F453" s="27">
        <f>F451-F452</f>
        <v/>
      </c>
      <c r="G453" s="22" t="n"/>
    </row>
    <row r="454">
      <c r="A454" s="29" t="inlineStr">
        <is>
          <t>SAY (Rs.) - final DAR rate as printed (fixed value, not computed)</t>
        </is>
      </c>
      <c r="B454" s="30" t="n"/>
      <c r="C454" s="30" t="n"/>
      <c r="D454" s="30" t="n"/>
      <c r="E454" s="30" t="n"/>
      <c r="F454" s="31" t="n">
        <v>116.25</v>
      </c>
      <c r="G454" s="30" t="n"/>
    </row>
    <row r="456" ht="33" customHeight="1">
      <c r="A456" s="8" t="inlineStr">
        <is>
          <t>2.18</t>
        </is>
      </c>
      <c r="B456" s="17" t="inlineStr">
        <is>
          <t>Close timbering over areas including strutting, shoring and packing cavities (wherever required) etc. complete. (Measurements to be taken of the face area timbered):</t>
        </is>
      </c>
      <c r="C456" s="9" t="n"/>
      <c r="D456" s="9" t="n"/>
      <c r="E456" s="9" t="n"/>
      <c r="F456" s="9" t="n"/>
      <c r="G456" s="9" t="n"/>
    </row>
    <row r="457" ht="18.5" customHeight="1">
      <c r="A457" s="18" t="inlineStr">
        <is>
          <t>2.18.2</t>
        </is>
      </c>
      <c r="B457" s="19" t="inlineStr">
        <is>
          <t>Depth exceeding 1.5 m but not exceeding 3 m</t>
        </is>
      </c>
      <c r="C457" s="20" t="n"/>
      <c r="D457" s="20" t="n"/>
      <c r="E457" s="20" t="n"/>
      <c r="F457" s="20" t="n"/>
      <c r="G457" s="20" t="n"/>
    </row>
    <row r="458">
      <c r="A458" s="21" t="inlineStr">
        <is>
          <t>Details of cost for 45 sqm   |   Hand-transcribed (provisional): not machine-checked against the PDF</t>
        </is>
      </c>
    </row>
    <row r="459">
      <c r="A459" s="5" t="inlineStr">
        <is>
          <t>Code</t>
        </is>
      </c>
      <c r="B459" s="5" t="inlineStr">
        <is>
          <t>Description</t>
        </is>
      </c>
      <c r="C459" s="5" t="inlineStr">
        <is>
          <t>Unit</t>
        </is>
      </c>
      <c r="D459" s="5" t="inlineStr">
        <is>
          <t>Quantity</t>
        </is>
      </c>
      <c r="E459" s="5" t="inlineStr">
        <is>
          <t>Rate (Rs.)</t>
        </is>
      </c>
      <c r="F459" s="5" t="inlineStr">
        <is>
          <t>Amount (Rs.)</t>
        </is>
      </c>
      <c r="G459" s="5" t="inlineStr">
        <is>
          <t>Note</t>
        </is>
      </c>
    </row>
    <row r="460">
      <c r="A460" s="22" t="inlineStr">
        <is>
          <t>1198</t>
        </is>
      </c>
      <c r="B460" s="11" t="inlineStr">
        <is>
          <t>Second class kail wood in planks</t>
        </is>
      </c>
      <c r="C460" s="22" t="inlineStr">
        <is>
          <t>10 cudm</t>
        </is>
      </c>
      <c r="D460" s="23" t="n">
        <v>10.6875</v>
      </c>
      <c r="E460" s="24" t="n">
        <v>260</v>
      </c>
      <c r="F460" s="24">
        <f>D460*E460</f>
        <v/>
      </c>
      <c r="G460" s="22" t="n"/>
    </row>
    <row r="461">
      <c r="A461" s="22" t="inlineStr">
        <is>
          <t>1197</t>
        </is>
      </c>
      <c r="B461" s="11" t="inlineStr">
        <is>
          <t>Second class kail wood in scantling</t>
        </is>
      </c>
      <c r="C461" s="22" t="inlineStr">
        <is>
          <t>10 cudm</t>
        </is>
      </c>
      <c r="D461" s="23" t="n">
        <v>1.875</v>
      </c>
      <c r="E461" s="24" t="n">
        <v>260</v>
      </c>
      <c r="F461" s="24">
        <f>D461*E461</f>
        <v/>
      </c>
      <c r="G461" s="22" t="n"/>
    </row>
    <row r="462">
      <c r="A462" s="22" t="inlineStr">
        <is>
          <t>0302</t>
        </is>
      </c>
      <c r="B462" s="11" t="inlineStr">
        <is>
          <t>Safeda ballies 125 mm diameter and 1.5m long</t>
        </is>
      </c>
      <c r="C462" s="22" t="inlineStr">
        <is>
          <t>metre</t>
        </is>
      </c>
      <c r="D462" s="23" t="n">
        <v>1.59</v>
      </c>
      <c r="E462" s="24" t="n">
        <v>40</v>
      </c>
      <c r="F462" s="24">
        <f>D462*E462</f>
        <v/>
      </c>
      <c r="G462" s="22" t="n"/>
    </row>
    <row r="463">
      <c r="A463" s="22" t="inlineStr">
        <is>
          <t>2204</t>
        </is>
      </c>
      <c r="B463" s="11" t="inlineStr">
        <is>
          <t>Carriage of Timber</t>
        </is>
      </c>
      <c r="C463" s="22" t="inlineStr">
        <is>
          <t>cum</t>
        </is>
      </c>
      <c r="D463" s="23" t="n">
        <v>0.581</v>
      </c>
      <c r="E463" s="24" t="n">
        <v>118.59</v>
      </c>
      <c r="F463" s="24">
        <f>D463*E463</f>
        <v/>
      </c>
      <c r="G463" s="22" t="n"/>
    </row>
    <row r="464">
      <c r="A464" s="22" t="inlineStr">
        <is>
          <t>0112</t>
        </is>
      </c>
      <c r="B464" s="11" t="inlineStr">
        <is>
          <t>Carpenter 2nd class</t>
        </is>
      </c>
      <c r="C464" s="22" t="inlineStr">
        <is>
          <t>day</t>
        </is>
      </c>
      <c r="D464" s="23" t="n">
        <v>0.5</v>
      </c>
      <c r="E464" s="24" t="n">
        <v>679</v>
      </c>
      <c r="F464" s="24">
        <f>D464*E464</f>
        <v/>
      </c>
      <c r="G464" s="22" t="n"/>
    </row>
    <row r="465">
      <c r="A465" s="22" t="inlineStr">
        <is>
          <t>0114</t>
        </is>
      </c>
      <c r="B465" s="11" t="inlineStr">
        <is>
          <t>Beldar</t>
        </is>
      </c>
      <c r="C465" s="22" t="inlineStr">
        <is>
          <t>day</t>
        </is>
      </c>
      <c r="D465" s="23" t="n">
        <v>1</v>
      </c>
      <c r="E465" s="24" t="n">
        <v>558</v>
      </c>
      <c r="F465" s="24">
        <f>D465*E465</f>
        <v/>
      </c>
      <c r="G465" s="22" t="n"/>
    </row>
    <row r="466">
      <c r="A466" s="22" t="inlineStr">
        <is>
          <t>9999</t>
        </is>
      </c>
      <c r="B466" s="11" t="inlineStr">
        <is>
          <t>Sundries</t>
        </is>
      </c>
      <c r="C466" s="22" t="inlineStr">
        <is>
          <t>LS</t>
        </is>
      </c>
      <c r="D466" s="23" t="n">
        <v>34.06</v>
      </c>
      <c r="E466" s="24" t="n">
        <v>2</v>
      </c>
      <c r="F466" s="24">
        <f>D466*E466</f>
        <v/>
      </c>
      <c r="G466" s="22" t="n"/>
    </row>
    <row r="467">
      <c r="A467" s="8" t="inlineStr">
        <is>
          <t>Calculated W - SUM of the Amount column above</t>
        </is>
      </c>
      <c r="B467" s="9" t="n"/>
      <c r="C467" s="9" t="n"/>
      <c r="D467" s="9" t="n"/>
      <c r="E467" s="9" t="n"/>
      <c r="F467" s="25">
        <f>SUM(F460:F466)</f>
        <v/>
      </c>
      <c r="G467" s="9" t="n"/>
    </row>
    <row r="468">
      <c r="A468" s="26" t="inlineStr">
        <is>
          <t>W as printed in the DAR</t>
        </is>
      </c>
      <c r="B468" s="22" t="n"/>
      <c r="C468" s="22" t="n"/>
      <c r="D468" s="22" t="n"/>
      <c r="E468" s="22" t="n"/>
      <c r="F468" s="27" t="n">
        <v>4364.37</v>
      </c>
      <c r="G468" s="22" t="n"/>
    </row>
    <row r="469">
      <c r="A469" s="26" t="inlineStr">
        <is>
          <t>Difference (calculated - printed)</t>
        </is>
      </c>
      <c r="B469" s="22" t="n"/>
      <c r="C469" s="22" t="n"/>
      <c r="D469" s="22" t="n"/>
      <c r="E469" s="22" t="n"/>
      <c r="F469" s="27">
        <f>F467-F468</f>
        <v/>
      </c>
      <c r="G469" s="22" t="n"/>
    </row>
    <row r="470">
      <c r="A470" s="29" t="inlineStr">
        <is>
          <t>SAY (Rs.) - final DAR rate as printed (fixed value, not computed)</t>
        </is>
      </c>
      <c r="B470" s="30" t="n"/>
      <c r="C470" s="30" t="n"/>
      <c r="D470" s="30" t="n"/>
      <c r="E470" s="30" t="n"/>
      <c r="F470" s="31" t="n">
        <v>129.75</v>
      </c>
      <c r="G470" s="30" t="n"/>
    </row>
    <row r="472" ht="33" customHeight="1">
      <c r="A472" s="8" t="inlineStr">
        <is>
          <t>2.18</t>
        </is>
      </c>
      <c r="B472" s="17" t="inlineStr">
        <is>
          <t>Close timbering over areas including strutting, shoring and packing cavities (wherever required) etc. complete. (Measurements to be taken of the face area timbered):</t>
        </is>
      </c>
      <c r="C472" s="9" t="n"/>
      <c r="D472" s="9" t="n"/>
      <c r="E472" s="9" t="n"/>
      <c r="F472" s="9" t="n"/>
      <c r="G472" s="9" t="n"/>
    </row>
    <row r="473" ht="18.5" customHeight="1">
      <c r="A473" s="18" t="inlineStr">
        <is>
          <t>2.18.3</t>
        </is>
      </c>
      <c r="B473" s="19" t="inlineStr">
        <is>
          <t>Depth exceeding 3 m but not exceeding 4.5 m</t>
        </is>
      </c>
      <c r="C473" s="20" t="n"/>
      <c r="D473" s="20" t="n"/>
      <c r="E473" s="20" t="n"/>
      <c r="F473" s="20" t="n"/>
      <c r="G473" s="20" t="n"/>
    </row>
    <row r="474">
      <c r="A474" s="21" t="inlineStr">
        <is>
          <t>Details of cost for 45 sqm   |   Hand-transcribed (provisional): not machine-checked against the PDF</t>
        </is>
      </c>
    </row>
    <row r="475">
      <c r="A475" s="5" t="inlineStr">
        <is>
          <t>Code</t>
        </is>
      </c>
      <c r="B475" s="5" t="inlineStr">
        <is>
          <t>Description</t>
        </is>
      </c>
      <c r="C475" s="5" t="inlineStr">
        <is>
          <t>Unit</t>
        </is>
      </c>
      <c r="D475" s="5" t="inlineStr">
        <is>
          <t>Quantity</t>
        </is>
      </c>
      <c r="E475" s="5" t="inlineStr">
        <is>
          <t>Rate (Rs.)</t>
        </is>
      </c>
      <c r="F475" s="5" t="inlineStr">
        <is>
          <t>Amount (Rs.)</t>
        </is>
      </c>
      <c r="G475" s="5" t="inlineStr">
        <is>
          <t>Note</t>
        </is>
      </c>
    </row>
    <row r="476">
      <c r="A476" s="22" t="inlineStr">
        <is>
          <t>1198</t>
        </is>
      </c>
      <c r="B476" s="11" t="inlineStr">
        <is>
          <t>Second class kail wood in planks</t>
        </is>
      </c>
      <c r="C476" s="22" t="inlineStr">
        <is>
          <t>10 cudm</t>
        </is>
      </c>
      <c r="D476" s="23" t="n">
        <v>10.6875</v>
      </c>
      <c r="E476" s="24" t="n">
        <v>260</v>
      </c>
      <c r="F476" s="24">
        <f>D476*E476</f>
        <v/>
      </c>
      <c r="G476" s="22" t="n"/>
    </row>
    <row r="477">
      <c r="A477" s="22" t="inlineStr">
        <is>
          <t>1197</t>
        </is>
      </c>
      <c r="B477" s="11" t="inlineStr">
        <is>
          <t>Second class kail wood in scantling</t>
        </is>
      </c>
      <c r="C477" s="22" t="inlineStr">
        <is>
          <t>10 cudm</t>
        </is>
      </c>
      <c r="D477" s="23" t="n">
        <v>1.875</v>
      </c>
      <c r="E477" s="24" t="n">
        <v>260</v>
      </c>
      <c r="F477" s="24">
        <f>D477*E477</f>
        <v/>
      </c>
      <c r="G477" s="22" t="n"/>
    </row>
    <row r="478">
      <c r="A478" s="22" t="inlineStr">
        <is>
          <t>0302</t>
        </is>
      </c>
      <c r="B478" s="11" t="inlineStr">
        <is>
          <t>Safeda ballies 125 mm diameter and 1.5m long</t>
        </is>
      </c>
      <c r="C478" s="22" t="inlineStr">
        <is>
          <t>metre</t>
        </is>
      </c>
      <c r="D478" s="23" t="n">
        <v>1.59</v>
      </c>
      <c r="E478" s="24" t="n">
        <v>40</v>
      </c>
      <c r="F478" s="24">
        <f>D478*E478</f>
        <v/>
      </c>
      <c r="G478" s="22" t="n"/>
    </row>
    <row r="479">
      <c r="A479" s="22" t="inlineStr">
        <is>
          <t>2204</t>
        </is>
      </c>
      <c r="B479" s="11" t="inlineStr">
        <is>
          <t>Carriage of Timber</t>
        </is>
      </c>
      <c r="C479" s="22" t="inlineStr">
        <is>
          <t>cum</t>
        </is>
      </c>
      <c r="D479" s="23" t="n">
        <v>0.581</v>
      </c>
      <c r="E479" s="24" t="n">
        <v>118.59</v>
      </c>
      <c r="F479" s="24">
        <f>D479*E479</f>
        <v/>
      </c>
      <c r="G479" s="22" t="n"/>
    </row>
    <row r="480">
      <c r="A480" s="22" t="inlineStr">
        <is>
          <t>0112</t>
        </is>
      </c>
      <c r="B480" s="11" t="inlineStr">
        <is>
          <t>Carpenter 2nd class</t>
        </is>
      </c>
      <c r="C480" s="22" t="inlineStr">
        <is>
          <t>day</t>
        </is>
      </c>
      <c r="D480" s="23" t="n">
        <v>0.75</v>
      </c>
      <c r="E480" s="24" t="n">
        <v>679</v>
      </c>
      <c r="F480" s="24">
        <f>D480*E480</f>
        <v/>
      </c>
      <c r="G480" s="22" t="n"/>
    </row>
    <row r="481">
      <c r="A481" s="22" t="inlineStr">
        <is>
          <t>0114</t>
        </is>
      </c>
      <c r="B481" s="11" t="inlineStr">
        <is>
          <t>Beldar</t>
        </is>
      </c>
      <c r="C481" s="22" t="inlineStr">
        <is>
          <t>day</t>
        </is>
      </c>
      <c r="D481" s="23" t="n">
        <v>1.5</v>
      </c>
      <c r="E481" s="24" t="n">
        <v>558</v>
      </c>
      <c r="F481" s="24">
        <f>D481*E481</f>
        <v/>
      </c>
      <c r="G481" s="22" t="n"/>
    </row>
    <row r="482">
      <c r="A482" s="22" t="inlineStr">
        <is>
          <t>9999</t>
        </is>
      </c>
      <c r="B482" s="11" t="inlineStr">
        <is>
          <t>Sundries</t>
        </is>
      </c>
      <c r="C482" s="22" t="inlineStr">
        <is>
          <t>LS</t>
        </is>
      </c>
      <c r="D482" s="23" t="n">
        <v>47.58</v>
      </c>
      <c r="E482" s="24" t="n">
        <v>2</v>
      </c>
      <c r="F482" s="24">
        <f>D482*E482</f>
        <v/>
      </c>
      <c r="G482" s="22" t="n"/>
    </row>
    <row r="483">
      <c r="A483" s="8" t="inlineStr">
        <is>
          <t>Calculated W - SUM of the Amount column above</t>
        </is>
      </c>
      <c r="B483" s="9" t="n"/>
      <c r="C483" s="9" t="n"/>
      <c r="D483" s="9" t="n"/>
      <c r="E483" s="9" t="n"/>
      <c r="F483" s="25">
        <f>SUM(F476:F482)</f>
        <v/>
      </c>
      <c r="G483" s="9" t="n"/>
    </row>
    <row r="484">
      <c r="A484" s="26" t="inlineStr">
        <is>
          <t>W as printed in the DAR</t>
        </is>
      </c>
      <c r="B484" s="22" t="n"/>
      <c r="C484" s="22" t="n"/>
      <c r="D484" s="22" t="n"/>
      <c r="E484" s="22" t="n"/>
      <c r="F484" s="27" t="n">
        <v>4840.16</v>
      </c>
      <c r="G484" s="22" t="n"/>
    </row>
    <row r="485">
      <c r="A485" s="26" t="inlineStr">
        <is>
          <t>Difference (calculated - printed)</t>
        </is>
      </c>
      <c r="B485" s="22" t="n"/>
      <c r="C485" s="22" t="n"/>
      <c r="D485" s="22" t="n"/>
      <c r="E485" s="22" t="n"/>
      <c r="F485" s="27">
        <f>F483-F484</f>
        <v/>
      </c>
      <c r="G485" s="22" t="n"/>
    </row>
    <row r="486">
      <c r="A486" s="29" t="inlineStr">
        <is>
          <t>SAY (Rs.) - final DAR rate as printed (fixed value, not computed)</t>
        </is>
      </c>
      <c r="B486" s="30" t="n"/>
      <c r="C486" s="30" t="n"/>
      <c r="D486" s="30" t="n"/>
      <c r="E486" s="30" t="n"/>
      <c r="F486" s="31" t="n">
        <v>143.9</v>
      </c>
      <c r="G486" s="30" t="n"/>
    </row>
    <row r="488" ht="33" customHeight="1">
      <c r="A488" s="18" t="inlineStr">
        <is>
          <t>2.19</t>
        </is>
      </c>
      <c r="B488" s="19" t="inlineStr">
        <is>
          <t>Extra for planking, strutting and packing materials for cavities (in close timbering) if required to be left permanently in position. (Face area of timber permanently left to be measured).</t>
        </is>
      </c>
      <c r="C488" s="20" t="n"/>
      <c r="D488" s="20" t="n"/>
      <c r="E488" s="20" t="n"/>
      <c r="F488" s="20" t="n"/>
      <c r="G488" s="20" t="n"/>
    </row>
    <row r="489">
      <c r="A489" s="21" t="inlineStr">
        <is>
          <t>Details of cost for 90 sqm   |   Hand-transcribed (provisional): not machine-checked against the PDF</t>
        </is>
      </c>
    </row>
    <row r="490">
      <c r="A490" s="5" t="inlineStr">
        <is>
          <t>Code</t>
        </is>
      </c>
      <c r="B490" s="5" t="inlineStr">
        <is>
          <t>Description</t>
        </is>
      </c>
      <c r="C490" s="5" t="inlineStr">
        <is>
          <t>Unit</t>
        </is>
      </c>
      <c r="D490" s="5" t="inlineStr">
        <is>
          <t>Quantity</t>
        </is>
      </c>
      <c r="E490" s="5" t="inlineStr">
        <is>
          <t>Rate (Rs.)</t>
        </is>
      </c>
      <c r="F490" s="5" t="inlineStr">
        <is>
          <t>Amount (Rs.)</t>
        </is>
      </c>
      <c r="G490" s="5" t="inlineStr">
        <is>
          <t>Note</t>
        </is>
      </c>
    </row>
    <row r="491">
      <c r="A491" s="22" t="inlineStr">
        <is>
          <t>1198</t>
        </is>
      </c>
      <c r="B491" s="11" t="inlineStr">
        <is>
          <t>Second class kail wood in planks</t>
        </is>
      </c>
      <c r="C491" s="22" t="inlineStr">
        <is>
          <t>10 cudm</t>
        </is>
      </c>
      <c r="D491" s="23" t="n">
        <v>299.25</v>
      </c>
      <c r="E491" s="24" t="n">
        <v>260</v>
      </c>
      <c r="F491" s="24">
        <f>D491*E491</f>
        <v/>
      </c>
      <c r="G491" s="22" t="n"/>
    </row>
    <row r="492">
      <c r="A492" s="22" t="inlineStr">
        <is>
          <t>1197</t>
        </is>
      </c>
      <c r="B492" s="11" t="inlineStr">
        <is>
          <t>Second class kail wood in scantling</t>
        </is>
      </c>
      <c r="C492" s="22" t="inlineStr">
        <is>
          <t>10 cudm</t>
        </is>
      </c>
      <c r="D492" s="23" t="n">
        <v>105</v>
      </c>
      <c r="E492" s="24" t="n">
        <v>260</v>
      </c>
      <c r="F492" s="24">
        <f>D492*E492</f>
        <v/>
      </c>
      <c r="G492" s="22" t="n"/>
    </row>
    <row r="493">
      <c r="A493" s="22" t="inlineStr">
        <is>
          <t>0302</t>
        </is>
      </c>
      <c r="B493" s="11" t="inlineStr">
        <is>
          <t>Safeda ballies 125 mm diameter and 1.5m long</t>
        </is>
      </c>
      <c r="C493" s="22" t="inlineStr">
        <is>
          <t>metre</t>
        </is>
      </c>
      <c r="D493" s="23" t="n">
        <v>44.63</v>
      </c>
      <c r="E493" s="24" t="n">
        <v>40</v>
      </c>
      <c r="F493" s="24">
        <f>D493*E493</f>
        <v/>
      </c>
      <c r="G493" s="22" t="n"/>
    </row>
    <row r="494">
      <c r="A494" s="22" t="inlineStr">
        <is>
          <t>2204</t>
        </is>
      </c>
      <c r="B494" s="11" t="inlineStr">
        <is>
          <t>Carriage of Timber</t>
        </is>
      </c>
      <c r="C494" s="22" t="inlineStr">
        <is>
          <t>cum</t>
        </is>
      </c>
      <c r="D494" s="23" t="n">
        <v>2.675</v>
      </c>
      <c r="E494" s="24" t="n">
        <v>118.59</v>
      </c>
      <c r="F494" s="24">
        <f>D494*E494</f>
        <v/>
      </c>
      <c r="G494" s="22" t="n"/>
    </row>
    <row r="495">
      <c r="A495" s="8" t="inlineStr">
        <is>
          <t>Calculated W - SUM of the Amount column above</t>
        </is>
      </c>
      <c r="B495" s="9" t="n"/>
      <c r="C495" s="9" t="n"/>
      <c r="D495" s="9" t="n"/>
      <c r="E495" s="9" t="n"/>
      <c r="F495" s="25">
        <f>SUM(F491:F494)</f>
        <v/>
      </c>
      <c r="G495" s="9" t="n"/>
    </row>
    <row r="496">
      <c r="A496" s="26" t="inlineStr">
        <is>
          <t>W as printed in the DAR</t>
        </is>
      </c>
      <c r="B496" s="22" t="n"/>
      <c r="C496" s="22" t="n"/>
      <c r="D496" s="22" t="n"/>
      <c r="E496" s="22" t="n"/>
      <c r="F496" s="27" t="n">
        <v>107207.43</v>
      </c>
      <c r="G496" s="22" t="n"/>
    </row>
    <row r="497">
      <c r="A497" s="26" t="inlineStr">
        <is>
          <t>Difference (calculated - printed)</t>
        </is>
      </c>
      <c r="B497" s="22" t="n"/>
      <c r="C497" s="22" t="n"/>
      <c r="D497" s="22" t="n"/>
      <c r="E497" s="22" t="n"/>
      <c r="F497" s="27">
        <f>F495-F496</f>
        <v/>
      </c>
      <c r="G497" s="22" t="n"/>
    </row>
    <row r="498">
      <c r="A498" s="29" t="inlineStr">
        <is>
          <t>SAY (Rs.) - final DAR rate as printed (fixed value, not computed)</t>
        </is>
      </c>
      <c r="B498" s="30" t="n"/>
      <c r="C498" s="30" t="n"/>
      <c r="D498" s="30" t="n"/>
      <c r="E498" s="30" t="n"/>
      <c r="F498" s="31" t="n">
        <v>1596.5</v>
      </c>
      <c r="G498" s="30" t="n"/>
    </row>
    <row r="500" ht="18.5" customHeight="1">
      <c r="A500" s="8" t="inlineStr">
        <is>
          <t>2.20</t>
        </is>
      </c>
      <c r="B500" s="17" t="inlineStr">
        <is>
          <t>Open timbering in trenches including strutting and shoring complete (measurements to be taken of the face area timbered):</t>
        </is>
      </c>
      <c r="C500" s="9" t="n"/>
      <c r="D500" s="9" t="n"/>
      <c r="E500" s="9" t="n"/>
      <c r="F500" s="9" t="n"/>
      <c r="G500" s="9" t="n"/>
    </row>
    <row r="501" ht="18.5" customHeight="1">
      <c r="A501" s="18" t="inlineStr">
        <is>
          <t>2.20.1</t>
        </is>
      </c>
      <c r="B501" s="19" t="inlineStr">
        <is>
          <t>Depth not exceeding 1.5 m</t>
        </is>
      </c>
      <c r="C501" s="20" t="n"/>
      <c r="D501" s="20" t="n"/>
      <c r="E501" s="20" t="n"/>
      <c r="F501" s="20" t="n"/>
      <c r="G501" s="20" t="n"/>
    </row>
    <row r="502">
      <c r="A502" s="21" t="inlineStr">
        <is>
          <t>Details of cost for 90 sqm   |   Hand-transcribed (provisional): not machine-checked against the PDF</t>
        </is>
      </c>
    </row>
    <row r="503">
      <c r="A503" s="5" t="inlineStr">
        <is>
          <t>Code</t>
        </is>
      </c>
      <c r="B503" s="5" t="inlineStr">
        <is>
          <t>Description</t>
        </is>
      </c>
      <c r="C503" s="5" t="inlineStr">
        <is>
          <t>Unit</t>
        </is>
      </c>
      <c r="D503" s="5" t="inlineStr">
        <is>
          <t>Quantity</t>
        </is>
      </c>
      <c r="E503" s="5" t="inlineStr">
        <is>
          <t>Rate (Rs.)</t>
        </is>
      </c>
      <c r="F503" s="5" t="inlineStr">
        <is>
          <t>Amount (Rs.)</t>
        </is>
      </c>
      <c r="G503" s="5" t="inlineStr">
        <is>
          <t>Note</t>
        </is>
      </c>
    </row>
    <row r="504">
      <c r="A504" s="22" t="inlineStr">
        <is>
          <t>1198</t>
        </is>
      </c>
      <c r="B504" s="11" t="inlineStr">
        <is>
          <t>Second class kail wood in planks</t>
        </is>
      </c>
      <c r="C504" s="22" t="inlineStr">
        <is>
          <t>10 cudm</t>
        </is>
      </c>
      <c r="D504" s="23" t="n">
        <v>7.125</v>
      </c>
      <c r="E504" s="24" t="n">
        <v>260</v>
      </c>
      <c r="F504" s="24">
        <f>D504*E504</f>
        <v/>
      </c>
      <c r="G504" s="22" t="n"/>
    </row>
    <row r="505">
      <c r="A505" s="22" t="inlineStr">
        <is>
          <t>1197</t>
        </is>
      </c>
      <c r="B505" s="11" t="inlineStr">
        <is>
          <t>Second class kail wood in scantling</t>
        </is>
      </c>
      <c r="C505" s="22" t="inlineStr">
        <is>
          <t>10 cudm</t>
        </is>
      </c>
      <c r="D505" s="23" t="n">
        <v>7.5</v>
      </c>
      <c r="E505" s="24" t="n">
        <v>260</v>
      </c>
      <c r="F505" s="24">
        <f>D505*E505</f>
        <v/>
      </c>
      <c r="G505" s="22" t="n"/>
    </row>
    <row r="506">
      <c r="A506" s="22" t="inlineStr">
        <is>
          <t>0302</t>
        </is>
      </c>
      <c r="B506" s="11" t="inlineStr">
        <is>
          <t>Safeda ballies 125 mm diameter and 1.5m long</t>
        </is>
      </c>
      <c r="C506" s="22" t="inlineStr">
        <is>
          <t>metre</t>
        </is>
      </c>
      <c r="D506" s="23" t="n">
        <v>3.18</v>
      </c>
      <c r="E506" s="24" t="n">
        <v>40</v>
      </c>
      <c r="F506" s="24">
        <f>D506*E506</f>
        <v/>
      </c>
      <c r="G506" s="22" t="n"/>
    </row>
    <row r="507">
      <c r="A507" s="22" t="inlineStr">
        <is>
          <t>2204</t>
        </is>
      </c>
      <c r="B507" s="11" t="inlineStr">
        <is>
          <t>Carriage of Timber</t>
        </is>
      </c>
      <c r="C507" s="22" t="inlineStr">
        <is>
          <t>cum</t>
        </is>
      </c>
      <c r="D507" s="23" t="n">
        <v>0.74</v>
      </c>
      <c r="E507" s="24" t="n">
        <v>118.59</v>
      </c>
      <c r="F507" s="24">
        <f>D507*E507</f>
        <v/>
      </c>
      <c r="G507" s="22" t="n"/>
    </row>
    <row r="508">
      <c r="A508" s="22" t="inlineStr">
        <is>
          <t>0112</t>
        </is>
      </c>
      <c r="B508" s="11" t="inlineStr">
        <is>
          <t>Carpenter 2nd class</t>
        </is>
      </c>
      <c r="C508" s="22" t="inlineStr">
        <is>
          <t>day</t>
        </is>
      </c>
      <c r="D508" s="23" t="n">
        <v>0.25</v>
      </c>
      <c r="E508" s="24" t="n">
        <v>679</v>
      </c>
      <c r="F508" s="24">
        <f>D508*E508</f>
        <v/>
      </c>
      <c r="G508" s="22" t="n"/>
    </row>
    <row r="509">
      <c r="A509" s="22" t="inlineStr">
        <is>
          <t>0114</t>
        </is>
      </c>
      <c r="B509" s="11" t="inlineStr">
        <is>
          <t>Beldar</t>
        </is>
      </c>
      <c r="C509" s="22" t="inlineStr">
        <is>
          <t>day</t>
        </is>
      </c>
      <c r="D509" s="23" t="n">
        <v>0.5</v>
      </c>
      <c r="E509" s="24" t="n">
        <v>558</v>
      </c>
      <c r="F509" s="24">
        <f>D509*E509</f>
        <v/>
      </c>
      <c r="G509" s="22" t="n"/>
    </row>
    <row r="510">
      <c r="A510" s="22" t="inlineStr">
        <is>
          <t>9999</t>
        </is>
      </c>
      <c r="B510" s="11" t="inlineStr">
        <is>
          <t>Sundries</t>
        </is>
      </c>
      <c r="C510" s="22" t="inlineStr">
        <is>
          <t>LS</t>
        </is>
      </c>
      <c r="D510" s="23" t="n">
        <v>19.76</v>
      </c>
      <c r="E510" s="24" t="n">
        <v>2</v>
      </c>
      <c r="F510" s="24">
        <f>D510*E510</f>
        <v/>
      </c>
      <c r="G510" s="22" t="n"/>
    </row>
    <row r="511">
      <c r="A511" s="8" t="inlineStr">
        <is>
          <t>Calculated W - SUM of the Amount column above</t>
        </is>
      </c>
      <c r="B511" s="9" t="n"/>
      <c r="C511" s="9" t="n"/>
      <c r="D511" s="9" t="n"/>
      <c r="E511" s="9" t="n"/>
      <c r="F511" s="25">
        <f>SUM(F504:F510)</f>
        <v/>
      </c>
      <c r="G511" s="9" t="n"/>
    </row>
    <row r="512">
      <c r="A512" s="26" t="inlineStr">
        <is>
          <t>W as printed in the DAR</t>
        </is>
      </c>
      <c r="B512" s="22" t="n"/>
      <c r="C512" s="22" t="n"/>
      <c r="D512" s="22" t="n"/>
      <c r="E512" s="22" t="n"/>
      <c r="F512" s="27" t="n">
        <v>4505.73</v>
      </c>
      <c r="G512" s="22" t="n"/>
    </row>
    <row r="513">
      <c r="A513" s="26" t="inlineStr">
        <is>
          <t>Difference (calculated - printed)</t>
        </is>
      </c>
      <c r="B513" s="22" t="n"/>
      <c r="C513" s="22" t="n"/>
      <c r="D513" s="22" t="n"/>
      <c r="E513" s="22" t="n"/>
      <c r="F513" s="27">
        <f>F511-F512</f>
        <v/>
      </c>
      <c r="G513" s="22" t="n"/>
    </row>
    <row r="514">
      <c r="A514" s="29" t="inlineStr">
        <is>
          <t>SAY (Rs.) - final DAR rate as printed (fixed value, not computed)</t>
        </is>
      </c>
      <c r="B514" s="30" t="n"/>
      <c r="C514" s="30" t="n"/>
      <c r="D514" s="30" t="n"/>
      <c r="E514" s="30" t="n"/>
      <c r="F514" s="31" t="n">
        <v>67</v>
      </c>
      <c r="G514" s="30" t="n"/>
    </row>
    <row r="516" ht="18.5" customHeight="1">
      <c r="A516" s="8" t="inlineStr">
        <is>
          <t>2.20</t>
        </is>
      </c>
      <c r="B516" s="17" t="inlineStr">
        <is>
          <t>Open timbering in trenches including strutting and shoring complete (measurements to be taken of the face area timbered):</t>
        </is>
      </c>
      <c r="C516" s="9" t="n"/>
      <c r="D516" s="9" t="n"/>
      <c r="E516" s="9" t="n"/>
      <c r="F516" s="9" t="n"/>
      <c r="G516" s="9" t="n"/>
    </row>
    <row r="517" ht="18.5" customHeight="1">
      <c r="A517" s="18" t="inlineStr">
        <is>
          <t>2.20.2</t>
        </is>
      </c>
      <c r="B517" s="19" t="inlineStr">
        <is>
          <t>Depth exceeding 1.5 m but not exceeding 3 m</t>
        </is>
      </c>
      <c r="C517" s="20" t="n"/>
      <c r="D517" s="20" t="n"/>
      <c r="E517" s="20" t="n"/>
      <c r="F517" s="20" t="n"/>
      <c r="G517" s="20" t="n"/>
    </row>
    <row r="518">
      <c r="A518" s="21" t="inlineStr">
        <is>
          <t>Details of cost for 90 sqm   |   Hand-transcribed (provisional): not machine-checked against the PDF</t>
        </is>
      </c>
    </row>
    <row r="519">
      <c r="A519" s="5" t="inlineStr">
        <is>
          <t>Code</t>
        </is>
      </c>
      <c r="B519" s="5" t="inlineStr">
        <is>
          <t>Description</t>
        </is>
      </c>
      <c r="C519" s="5" t="inlineStr">
        <is>
          <t>Unit</t>
        </is>
      </c>
      <c r="D519" s="5" t="inlineStr">
        <is>
          <t>Quantity</t>
        </is>
      </c>
      <c r="E519" s="5" t="inlineStr">
        <is>
          <t>Rate (Rs.)</t>
        </is>
      </c>
      <c r="F519" s="5" t="inlineStr">
        <is>
          <t>Amount (Rs.)</t>
        </is>
      </c>
      <c r="G519" s="5" t="inlineStr">
        <is>
          <t>Note</t>
        </is>
      </c>
    </row>
    <row r="520">
      <c r="A520" s="22" t="inlineStr">
        <is>
          <t>1198</t>
        </is>
      </c>
      <c r="B520" s="11" t="inlineStr">
        <is>
          <t>Second class kail wood in planks</t>
        </is>
      </c>
      <c r="C520" s="22" t="inlineStr">
        <is>
          <t>10 cudm</t>
        </is>
      </c>
      <c r="D520" s="23" t="n">
        <v>7.125</v>
      </c>
      <c r="E520" s="24" t="n">
        <v>260</v>
      </c>
      <c r="F520" s="24">
        <f>D520*E520</f>
        <v/>
      </c>
      <c r="G520" s="22" t="n"/>
    </row>
    <row r="521">
      <c r="A521" s="22" t="inlineStr">
        <is>
          <t>1197</t>
        </is>
      </c>
      <c r="B521" s="11" t="inlineStr">
        <is>
          <t>Second class kail wood in scantling</t>
        </is>
      </c>
      <c r="C521" s="22" t="inlineStr">
        <is>
          <t>10 cudm</t>
        </is>
      </c>
      <c r="D521" s="23" t="n">
        <v>7.5</v>
      </c>
      <c r="E521" s="24" t="n">
        <v>260</v>
      </c>
      <c r="F521" s="24">
        <f>D521*E521</f>
        <v/>
      </c>
      <c r="G521" s="22" t="n"/>
    </row>
    <row r="522">
      <c r="A522" s="22" t="inlineStr">
        <is>
          <t>0302</t>
        </is>
      </c>
      <c r="B522" s="11" t="inlineStr">
        <is>
          <t>Safeda ballies 125 mm diameter and 1.5m long</t>
        </is>
      </c>
      <c r="C522" s="22" t="inlineStr">
        <is>
          <t>metre</t>
        </is>
      </c>
      <c r="D522" s="23" t="n">
        <v>3.18</v>
      </c>
      <c r="E522" s="24" t="n">
        <v>40</v>
      </c>
      <c r="F522" s="24">
        <f>D522*E522</f>
        <v/>
      </c>
      <c r="G522" s="22" t="n"/>
    </row>
    <row r="523">
      <c r="A523" s="22" t="inlineStr">
        <is>
          <t>2204</t>
        </is>
      </c>
      <c r="B523" s="11" t="inlineStr">
        <is>
          <t>Carriage of Timber</t>
        </is>
      </c>
      <c r="C523" s="22" t="inlineStr">
        <is>
          <t>cum</t>
        </is>
      </c>
      <c r="D523" s="23" t="n">
        <v>0.74</v>
      </c>
      <c r="E523" s="24" t="n">
        <v>118.59</v>
      </c>
      <c r="F523" s="24">
        <f>D523*E523</f>
        <v/>
      </c>
      <c r="G523" s="22" t="n"/>
    </row>
    <row r="524">
      <c r="A524" s="22" t="inlineStr">
        <is>
          <t>0112</t>
        </is>
      </c>
      <c r="B524" s="11" t="inlineStr">
        <is>
          <t>Carpenter 2nd class</t>
        </is>
      </c>
      <c r="C524" s="22" t="inlineStr">
        <is>
          <t>day</t>
        </is>
      </c>
      <c r="D524" s="23" t="n">
        <v>0.5</v>
      </c>
      <c r="E524" s="24" t="n">
        <v>679</v>
      </c>
      <c r="F524" s="24">
        <f>D524*E524</f>
        <v/>
      </c>
      <c r="G524" s="22" t="n"/>
    </row>
    <row r="525">
      <c r="A525" s="22" t="inlineStr">
        <is>
          <t>0114</t>
        </is>
      </c>
      <c r="B525" s="11" t="inlineStr">
        <is>
          <t>Beldar</t>
        </is>
      </c>
      <c r="C525" s="22" t="inlineStr">
        <is>
          <t>day</t>
        </is>
      </c>
      <c r="D525" s="23" t="n">
        <v>1</v>
      </c>
      <c r="E525" s="24" t="n">
        <v>558</v>
      </c>
      <c r="F525" s="24">
        <f>D525*E525</f>
        <v/>
      </c>
      <c r="G525" s="22" t="n"/>
    </row>
    <row r="526">
      <c r="A526" s="22" t="inlineStr">
        <is>
          <t>9999</t>
        </is>
      </c>
      <c r="B526" s="11" t="inlineStr">
        <is>
          <t>Sundries</t>
        </is>
      </c>
      <c r="C526" s="22" t="inlineStr">
        <is>
          <t>LS</t>
        </is>
      </c>
      <c r="D526" s="23" t="n">
        <v>33.15</v>
      </c>
      <c r="E526" s="24" t="n">
        <v>2</v>
      </c>
      <c r="F526" s="24">
        <f>D526*E526</f>
        <v/>
      </c>
      <c r="G526" s="22" t="n"/>
    </row>
    <row r="527">
      <c r="A527" s="8" t="inlineStr">
        <is>
          <t>Calculated W - SUM of the Amount column above</t>
        </is>
      </c>
      <c r="B527" s="9" t="n"/>
      <c r="C527" s="9" t="n"/>
      <c r="D527" s="9" t="n"/>
      <c r="E527" s="9" t="n"/>
      <c r="F527" s="25">
        <f>SUM(F520:F526)</f>
        <v/>
      </c>
      <c r="G527" s="9" t="n"/>
    </row>
    <row r="528">
      <c r="A528" s="26" t="inlineStr">
        <is>
          <t>W as printed in the DAR</t>
        </is>
      </c>
      <c r="B528" s="22" t="n"/>
      <c r="C528" s="22" t="n"/>
      <c r="D528" s="22" t="n"/>
      <c r="E528" s="22" t="n"/>
      <c r="F528" s="27" t="n">
        <v>4981.26</v>
      </c>
      <c r="G528" s="22" t="n"/>
    </row>
    <row r="529">
      <c r="A529" s="26" t="inlineStr">
        <is>
          <t>Difference (calculated - printed)</t>
        </is>
      </c>
      <c r="B529" s="22" t="n"/>
      <c r="C529" s="22" t="n"/>
      <c r="D529" s="22" t="n"/>
      <c r="E529" s="22" t="n"/>
      <c r="F529" s="27">
        <f>F527-F528</f>
        <v/>
      </c>
      <c r="G529" s="22" t="n"/>
    </row>
    <row r="530">
      <c r="A530" s="29" t="inlineStr">
        <is>
          <t>SAY (Rs.) - final DAR rate as printed (fixed value, not computed)</t>
        </is>
      </c>
      <c r="B530" s="30" t="n"/>
      <c r="C530" s="30" t="n"/>
      <c r="D530" s="30" t="n"/>
      <c r="E530" s="30" t="n"/>
      <c r="F530" s="31" t="n">
        <v>74.05</v>
      </c>
      <c r="G530" s="30" t="n"/>
    </row>
    <row r="532" ht="18.5" customHeight="1">
      <c r="A532" s="8" t="inlineStr">
        <is>
          <t>2.20</t>
        </is>
      </c>
      <c r="B532" s="17" t="inlineStr">
        <is>
          <t>Open timbering in trenches including strutting and shoring complete (measurements to be taken of the face area timbered):</t>
        </is>
      </c>
      <c r="C532" s="9" t="n"/>
      <c r="D532" s="9" t="n"/>
      <c r="E532" s="9" t="n"/>
      <c r="F532" s="9" t="n"/>
      <c r="G532" s="9" t="n"/>
    </row>
    <row r="533" ht="18.5" customHeight="1">
      <c r="A533" s="18" t="inlineStr">
        <is>
          <t>2.20.3</t>
        </is>
      </c>
      <c r="B533" s="19" t="inlineStr">
        <is>
          <t>Depth exceeding 3 m but not exceeding 4.5 m</t>
        </is>
      </c>
      <c r="C533" s="20" t="n"/>
      <c r="D533" s="20" t="n"/>
      <c r="E533" s="20" t="n"/>
      <c r="F533" s="20" t="n"/>
      <c r="G533" s="20" t="n"/>
    </row>
    <row r="534">
      <c r="A534" s="21" t="inlineStr">
        <is>
          <t>Details of cost for 90 sqm   |   Hand-transcribed (provisional): not machine-checked against the PDF</t>
        </is>
      </c>
    </row>
    <row r="535">
      <c r="A535" s="5" t="inlineStr">
        <is>
          <t>Code</t>
        </is>
      </c>
      <c r="B535" s="5" t="inlineStr">
        <is>
          <t>Description</t>
        </is>
      </c>
      <c r="C535" s="5" t="inlineStr">
        <is>
          <t>Unit</t>
        </is>
      </c>
      <c r="D535" s="5" t="inlineStr">
        <is>
          <t>Quantity</t>
        </is>
      </c>
      <c r="E535" s="5" t="inlineStr">
        <is>
          <t>Rate (Rs.)</t>
        </is>
      </c>
      <c r="F535" s="5" t="inlineStr">
        <is>
          <t>Amount (Rs.)</t>
        </is>
      </c>
      <c r="G535" s="5" t="inlineStr">
        <is>
          <t>Note</t>
        </is>
      </c>
    </row>
    <row r="536">
      <c r="A536" s="22" t="inlineStr">
        <is>
          <t>1198</t>
        </is>
      </c>
      <c r="B536" s="11" t="inlineStr">
        <is>
          <t>Second class kail wood in planks</t>
        </is>
      </c>
      <c r="C536" s="22" t="inlineStr">
        <is>
          <t>10 cudm</t>
        </is>
      </c>
      <c r="D536" s="23" t="n">
        <v>7.125</v>
      </c>
      <c r="E536" s="24" t="n">
        <v>260</v>
      </c>
      <c r="F536" s="24">
        <f>D536*E536</f>
        <v/>
      </c>
      <c r="G536" s="22" t="n"/>
    </row>
    <row r="537">
      <c r="A537" s="22" t="inlineStr">
        <is>
          <t>1197</t>
        </is>
      </c>
      <c r="B537" s="11" t="inlineStr">
        <is>
          <t>Second class kail wood in scantling</t>
        </is>
      </c>
      <c r="C537" s="22" t="inlineStr">
        <is>
          <t>10 cudm</t>
        </is>
      </c>
      <c r="D537" s="23" t="n">
        <v>7.5</v>
      </c>
      <c r="E537" s="24" t="n">
        <v>260</v>
      </c>
      <c r="F537" s="24">
        <f>D537*E537</f>
        <v/>
      </c>
      <c r="G537" s="22" t="n"/>
    </row>
    <row r="538">
      <c r="A538" s="22" t="inlineStr">
        <is>
          <t>0302</t>
        </is>
      </c>
      <c r="B538" s="11" t="inlineStr">
        <is>
          <t>Safeda ballies 125 mm diameter and 1.5m long</t>
        </is>
      </c>
      <c r="C538" s="22" t="inlineStr">
        <is>
          <t>metre</t>
        </is>
      </c>
      <c r="D538" s="23" t="n">
        <v>3.18</v>
      </c>
      <c r="E538" s="24" t="n">
        <v>40</v>
      </c>
      <c r="F538" s="24">
        <f>D538*E538</f>
        <v/>
      </c>
      <c r="G538" s="22" t="n"/>
    </row>
    <row r="539">
      <c r="A539" s="22" t="inlineStr">
        <is>
          <t>2204</t>
        </is>
      </c>
      <c r="B539" s="11" t="inlineStr">
        <is>
          <t>Carriage of Timber</t>
        </is>
      </c>
      <c r="C539" s="22" t="inlineStr">
        <is>
          <t>cum</t>
        </is>
      </c>
      <c r="D539" s="23" t="n">
        <v>0.74</v>
      </c>
      <c r="E539" s="24" t="n">
        <v>118.59</v>
      </c>
      <c r="F539" s="24">
        <f>D539*E539</f>
        <v/>
      </c>
      <c r="G539" s="22" t="n"/>
    </row>
    <row r="540">
      <c r="A540" s="22" t="inlineStr">
        <is>
          <t>0112</t>
        </is>
      </c>
      <c r="B540" s="11" t="inlineStr">
        <is>
          <t>Carpenter 2nd class</t>
        </is>
      </c>
      <c r="C540" s="22" t="inlineStr">
        <is>
          <t>day</t>
        </is>
      </c>
      <c r="D540" s="23" t="n">
        <v>1</v>
      </c>
      <c r="E540" s="24" t="n">
        <v>679</v>
      </c>
      <c r="F540" s="24">
        <f>D540*E540</f>
        <v/>
      </c>
      <c r="G540" s="22" t="n"/>
    </row>
    <row r="541">
      <c r="A541" s="22" t="inlineStr">
        <is>
          <t>0114</t>
        </is>
      </c>
      <c r="B541" s="11" t="inlineStr">
        <is>
          <t>Beldar</t>
        </is>
      </c>
      <c r="C541" s="22" t="inlineStr">
        <is>
          <t>day</t>
        </is>
      </c>
      <c r="D541" s="23" t="n">
        <v>1.75</v>
      </c>
      <c r="E541" s="24" t="n">
        <v>558</v>
      </c>
      <c r="F541" s="24">
        <f>D541*E541</f>
        <v/>
      </c>
      <c r="G541" s="22" t="n"/>
    </row>
    <row r="542">
      <c r="A542" s="22" t="inlineStr">
        <is>
          <t>9999</t>
        </is>
      </c>
      <c r="B542" s="11" t="inlineStr">
        <is>
          <t>Sundries</t>
        </is>
      </c>
      <c r="C542" s="22" t="inlineStr">
        <is>
          <t>LS</t>
        </is>
      </c>
      <c r="D542" s="23" t="n">
        <v>46.67</v>
      </c>
      <c r="E542" s="24" t="n">
        <v>2</v>
      </c>
      <c r="F542" s="24">
        <f>D542*E542</f>
        <v/>
      </c>
      <c r="G542" s="22" t="n"/>
    </row>
    <row r="543">
      <c r="A543" s="8" t="inlineStr">
        <is>
          <t>Calculated W - SUM of the Amount column above</t>
        </is>
      </c>
      <c r="B543" s="9" t="n"/>
      <c r="C543" s="9" t="n"/>
      <c r="D543" s="9" t="n"/>
      <c r="E543" s="9" t="n"/>
      <c r="F543" s="25">
        <f>SUM(F536:F542)</f>
        <v/>
      </c>
      <c r="G543" s="9" t="n"/>
    </row>
    <row r="544">
      <c r="A544" s="26" t="inlineStr">
        <is>
          <t>W as printed in the DAR</t>
        </is>
      </c>
      <c r="B544" s="22" t="n"/>
      <c r="C544" s="22" t="n"/>
      <c r="D544" s="22" t="n"/>
      <c r="E544" s="22" t="n"/>
      <c r="F544" s="27" t="n">
        <v>5766.3</v>
      </c>
      <c r="G544" s="22" t="n"/>
    </row>
    <row r="545">
      <c r="A545" s="26" t="inlineStr">
        <is>
          <t>Difference (calculated - printed)</t>
        </is>
      </c>
      <c r="B545" s="22" t="n"/>
      <c r="C545" s="22" t="n"/>
      <c r="D545" s="22" t="n"/>
      <c r="E545" s="22" t="n"/>
      <c r="F545" s="27">
        <f>F543-F544</f>
        <v/>
      </c>
      <c r="G545" s="22" t="n"/>
    </row>
    <row r="546">
      <c r="A546" s="29" t="inlineStr">
        <is>
          <t>SAY (Rs.) - final DAR rate as printed (fixed value, not computed)</t>
        </is>
      </c>
      <c r="B546" s="30" t="n"/>
      <c r="C546" s="30" t="n"/>
      <c r="D546" s="30" t="n"/>
      <c r="E546" s="30" t="n"/>
      <c r="F546" s="31" t="n">
        <v>85.7</v>
      </c>
      <c r="G546" s="30" t="n"/>
    </row>
    <row r="548" ht="33" customHeight="1">
      <c r="A548" s="8" t="inlineStr">
        <is>
          <t>2.21</t>
        </is>
      </c>
      <c r="B548" s="17" t="inlineStr">
        <is>
          <t>Open timbering in case of shafts, wells, cesspits, manholes and the like including strutting and shoring complete (Measurements to be taken of the face area timbered):</t>
        </is>
      </c>
      <c r="C548" s="9" t="n"/>
      <c r="D548" s="9" t="n"/>
      <c r="E548" s="9" t="n"/>
      <c r="F548" s="9" t="n"/>
      <c r="G548" s="9" t="n"/>
    </row>
    <row r="549" ht="18.5" customHeight="1">
      <c r="A549" s="18" t="inlineStr">
        <is>
          <t>2.21.1</t>
        </is>
      </c>
      <c r="B549" s="19" t="inlineStr">
        <is>
          <t>Depth not exceeding 1.5 m</t>
        </is>
      </c>
      <c r="C549" s="20" t="n"/>
      <c r="D549" s="20" t="n"/>
      <c r="E549" s="20" t="n"/>
      <c r="F549" s="20" t="n"/>
      <c r="G549" s="20" t="n"/>
    </row>
    <row r="550">
      <c r="A550" s="21" t="inlineStr">
        <is>
          <t>Details of cost for 6.6 sqm   |   Hand-transcribed (provisional): not machine-checked against the PDF</t>
        </is>
      </c>
    </row>
    <row r="551">
      <c r="A551" s="5" t="inlineStr">
        <is>
          <t>Code</t>
        </is>
      </c>
      <c r="B551" s="5" t="inlineStr">
        <is>
          <t>Description</t>
        </is>
      </c>
      <c r="C551" s="5" t="inlineStr">
        <is>
          <t>Unit</t>
        </is>
      </c>
      <c r="D551" s="5" t="inlineStr">
        <is>
          <t>Quantity</t>
        </is>
      </c>
      <c r="E551" s="5" t="inlineStr">
        <is>
          <t>Rate (Rs.)</t>
        </is>
      </c>
      <c r="F551" s="5" t="inlineStr">
        <is>
          <t>Amount (Rs.)</t>
        </is>
      </c>
      <c r="G551" s="5" t="inlineStr">
        <is>
          <t>Note</t>
        </is>
      </c>
    </row>
    <row r="552">
      <c r="A552" s="22" t="inlineStr">
        <is>
          <t>1198</t>
        </is>
      </c>
      <c r="B552" s="11" t="inlineStr">
        <is>
          <t>Second class kail wood in planks</t>
        </is>
      </c>
      <c r="C552" s="22" t="inlineStr">
        <is>
          <t>10 cudm</t>
        </is>
      </c>
      <c r="D552" s="23" t="n">
        <v>0.5375</v>
      </c>
      <c r="E552" s="24" t="n">
        <v>260</v>
      </c>
      <c r="F552" s="24">
        <f>D552*E552</f>
        <v/>
      </c>
      <c r="G552" s="22" t="n"/>
    </row>
    <row r="553">
      <c r="A553" s="22" t="inlineStr">
        <is>
          <t>1197</t>
        </is>
      </c>
      <c r="B553" s="11" t="inlineStr">
        <is>
          <t>Second class kail wood in scantling</t>
        </is>
      </c>
      <c r="C553" s="22" t="inlineStr">
        <is>
          <t>10 cudm</t>
        </is>
      </c>
      <c r="D553" s="23" t="n">
        <v>0.3</v>
      </c>
      <c r="E553" s="24" t="n">
        <v>260</v>
      </c>
      <c r="F553" s="24">
        <f>D553*E553</f>
        <v/>
      </c>
      <c r="G553" s="22" t="n"/>
    </row>
    <row r="554">
      <c r="A554" s="22" t="inlineStr">
        <is>
          <t>0302</t>
        </is>
      </c>
      <c r="B554" s="11" t="inlineStr">
        <is>
          <t>Safeda ballies 125 mm diameter and 1.5m long</t>
        </is>
      </c>
      <c r="C554" s="22" t="inlineStr">
        <is>
          <t>metre</t>
        </is>
      </c>
      <c r="D554" s="23" t="n">
        <v>0.4</v>
      </c>
      <c r="E554" s="24" t="n">
        <v>40</v>
      </c>
      <c r="F554" s="24">
        <f>D554*E554</f>
        <v/>
      </c>
      <c r="G554" s="22" t="n"/>
    </row>
    <row r="555">
      <c r="A555" s="22" t="inlineStr">
        <is>
          <t>2204</t>
        </is>
      </c>
      <c r="B555" s="11" t="inlineStr">
        <is>
          <t>Carriage of Timber</t>
        </is>
      </c>
      <c r="C555" s="22" t="inlineStr">
        <is>
          <t>cum</t>
        </is>
      </c>
      <c r="D555" s="23" t="n">
        <v>0.053</v>
      </c>
      <c r="E555" s="24" t="n">
        <v>118.59</v>
      </c>
      <c r="F555" s="24">
        <f>D555*E555</f>
        <v/>
      </c>
      <c r="G555" s="22" t="n"/>
    </row>
    <row r="556">
      <c r="A556" s="22" t="inlineStr">
        <is>
          <t>0112</t>
        </is>
      </c>
      <c r="B556" s="11" t="inlineStr">
        <is>
          <t>Carpenter 2nd class</t>
        </is>
      </c>
      <c r="C556" s="22" t="inlineStr">
        <is>
          <t>day</t>
        </is>
      </c>
      <c r="D556" s="23" t="n">
        <v>0.03</v>
      </c>
      <c r="E556" s="24" t="n">
        <v>679</v>
      </c>
      <c r="F556" s="24">
        <f>D556*E556</f>
        <v/>
      </c>
      <c r="G556" s="22" t="n"/>
    </row>
    <row r="557">
      <c r="A557" s="22" t="inlineStr">
        <is>
          <t>0114</t>
        </is>
      </c>
      <c r="B557" s="11" t="inlineStr">
        <is>
          <t>Beldar</t>
        </is>
      </c>
      <c r="C557" s="22" t="inlineStr">
        <is>
          <t>day</t>
        </is>
      </c>
      <c r="D557" s="23" t="n">
        <v>0.06</v>
      </c>
      <c r="E557" s="24" t="n">
        <v>558</v>
      </c>
      <c r="F557" s="24">
        <f>D557*E557</f>
        <v/>
      </c>
      <c r="G557" s="22" t="n"/>
    </row>
    <row r="558">
      <c r="A558" s="22" t="inlineStr">
        <is>
          <t>9999</t>
        </is>
      </c>
      <c r="B558" s="11" t="inlineStr">
        <is>
          <t>Sundries</t>
        </is>
      </c>
      <c r="C558" s="22" t="inlineStr">
        <is>
          <t>LS</t>
        </is>
      </c>
      <c r="D558" s="23" t="n">
        <v>1.82</v>
      </c>
      <c r="E558" s="24" t="n">
        <v>2</v>
      </c>
      <c r="F558" s="24">
        <f>D558*E558</f>
        <v/>
      </c>
      <c r="G558" s="22" t="n"/>
    </row>
    <row r="559">
      <c r="A559" s="8" t="inlineStr">
        <is>
          <t>Calculated W - SUM of the Amount column above</t>
        </is>
      </c>
      <c r="B559" s="9" t="n"/>
      <c r="C559" s="9" t="n"/>
      <c r="D559" s="9" t="n"/>
      <c r="E559" s="9" t="n"/>
      <c r="F559" s="25">
        <f>SUM(F552:F558)</f>
        <v/>
      </c>
      <c r="G559" s="9" t="n"/>
    </row>
    <row r="560">
      <c r="A560" s="26" t="inlineStr">
        <is>
          <t>W as printed in the DAR</t>
        </is>
      </c>
      <c r="B560" s="22" t="n"/>
      <c r="C560" s="22" t="n"/>
      <c r="D560" s="22" t="n"/>
      <c r="E560" s="22" t="n"/>
      <c r="F560" s="27" t="n">
        <v>297.53</v>
      </c>
      <c r="G560" s="22" t="n"/>
    </row>
    <row r="561">
      <c r="A561" s="26" t="inlineStr">
        <is>
          <t>Difference (calculated - printed)</t>
        </is>
      </c>
      <c r="B561" s="22" t="n"/>
      <c r="C561" s="22" t="n"/>
      <c r="D561" s="22" t="n"/>
      <c r="E561" s="22" t="n"/>
      <c r="F561" s="27">
        <f>F559-F560</f>
        <v/>
      </c>
      <c r="G561" s="22" t="n"/>
    </row>
    <row r="562">
      <c r="A562" s="29" t="inlineStr">
        <is>
          <t>SAY (Rs.) - final DAR rate as printed (fixed value, not computed)</t>
        </is>
      </c>
      <c r="B562" s="30" t="n"/>
      <c r="C562" s="30" t="n"/>
      <c r="D562" s="30" t="n"/>
      <c r="E562" s="30" t="n"/>
      <c r="F562" s="31" t="n">
        <v>60.3</v>
      </c>
      <c r="G562" s="30" t="n"/>
    </row>
    <row r="564" ht="33" customHeight="1">
      <c r="A564" s="8" t="inlineStr">
        <is>
          <t>2.21</t>
        </is>
      </c>
      <c r="B564" s="17" t="inlineStr">
        <is>
          <t>Open timbering in case of shafts, wells, cesspits, manholes and the like including strutting and shoring complete (Measurements to be taken of the face area timbered):</t>
        </is>
      </c>
      <c r="C564" s="9" t="n"/>
      <c r="D564" s="9" t="n"/>
      <c r="E564" s="9" t="n"/>
      <c r="F564" s="9" t="n"/>
      <c r="G564" s="9" t="n"/>
    </row>
    <row r="565" ht="18.5" customHeight="1">
      <c r="A565" s="18" t="inlineStr">
        <is>
          <t>2.21.2</t>
        </is>
      </c>
      <c r="B565" s="19" t="inlineStr">
        <is>
          <t>Depth exceeding 1.5 m but not exceeding 3 m</t>
        </is>
      </c>
      <c r="C565" s="20" t="n"/>
      <c r="D565" s="20" t="n"/>
      <c r="E565" s="20" t="n"/>
      <c r="F565" s="20" t="n"/>
      <c r="G565" s="20" t="n"/>
    </row>
    <row r="566">
      <c r="A566" s="21" t="inlineStr">
        <is>
          <t>Details of cost for 6.6 sqm   |   Hand-transcribed (provisional): not machine-checked against the PDF</t>
        </is>
      </c>
    </row>
    <row r="567">
      <c r="A567" s="5" t="inlineStr">
        <is>
          <t>Code</t>
        </is>
      </c>
      <c r="B567" s="5" t="inlineStr">
        <is>
          <t>Description</t>
        </is>
      </c>
      <c r="C567" s="5" t="inlineStr">
        <is>
          <t>Unit</t>
        </is>
      </c>
      <c r="D567" s="5" t="inlineStr">
        <is>
          <t>Quantity</t>
        </is>
      </c>
      <c r="E567" s="5" t="inlineStr">
        <is>
          <t>Rate (Rs.)</t>
        </is>
      </c>
      <c r="F567" s="5" t="inlineStr">
        <is>
          <t>Amount (Rs.)</t>
        </is>
      </c>
      <c r="G567" s="5" t="inlineStr">
        <is>
          <t>Note</t>
        </is>
      </c>
    </row>
    <row r="568">
      <c r="A568" s="22" t="inlineStr">
        <is>
          <t>1198</t>
        </is>
      </c>
      <c r="B568" s="11" t="inlineStr">
        <is>
          <t>Second class kail wood in planks</t>
        </is>
      </c>
      <c r="C568" s="22" t="inlineStr">
        <is>
          <t>10 cudm</t>
        </is>
      </c>
      <c r="D568" s="23" t="n">
        <v>0.5375</v>
      </c>
      <c r="E568" s="24" t="n">
        <v>260</v>
      </c>
      <c r="F568" s="24">
        <f>D568*E568</f>
        <v/>
      </c>
      <c r="G568" s="22" t="n"/>
    </row>
    <row r="569">
      <c r="A569" s="22" t="inlineStr">
        <is>
          <t>1197</t>
        </is>
      </c>
      <c r="B569" s="11" t="inlineStr">
        <is>
          <t>Second class kail wood in scantling</t>
        </is>
      </c>
      <c r="C569" s="22" t="inlineStr">
        <is>
          <t>10 cudm</t>
        </is>
      </c>
      <c r="D569" s="23" t="n">
        <v>0.3</v>
      </c>
      <c r="E569" s="24" t="n">
        <v>260</v>
      </c>
      <c r="F569" s="24">
        <f>D569*E569</f>
        <v/>
      </c>
      <c r="G569" s="22" t="n"/>
    </row>
    <row r="570">
      <c r="A570" s="22" t="inlineStr">
        <is>
          <t>0302</t>
        </is>
      </c>
      <c r="B570" s="11" t="inlineStr">
        <is>
          <t>Safeda ballies 125 mm diameter and 1.5m long</t>
        </is>
      </c>
      <c r="C570" s="22" t="inlineStr">
        <is>
          <t>metre</t>
        </is>
      </c>
      <c r="D570" s="23" t="n">
        <v>0.4</v>
      </c>
      <c r="E570" s="24" t="n">
        <v>40</v>
      </c>
      <c r="F570" s="24">
        <f>D570*E570</f>
        <v/>
      </c>
      <c r="G570" s="22" t="n"/>
    </row>
    <row r="571">
      <c r="A571" s="22" t="inlineStr">
        <is>
          <t>2204</t>
        </is>
      </c>
      <c r="B571" s="11" t="inlineStr">
        <is>
          <t>Carriage of Timber</t>
        </is>
      </c>
      <c r="C571" s="22" t="inlineStr">
        <is>
          <t>cum</t>
        </is>
      </c>
      <c r="D571" s="23" t="n">
        <v>0.053</v>
      </c>
      <c r="E571" s="24" t="n">
        <v>118.59</v>
      </c>
      <c r="F571" s="24">
        <f>D571*E571</f>
        <v/>
      </c>
      <c r="G571" s="22" t="n"/>
    </row>
    <row r="572">
      <c r="A572" s="22" t="inlineStr">
        <is>
          <t>0112</t>
        </is>
      </c>
      <c r="B572" s="11" t="inlineStr">
        <is>
          <t>Carpenter 2nd class</t>
        </is>
      </c>
      <c r="C572" s="22" t="inlineStr">
        <is>
          <t>day</t>
        </is>
      </c>
      <c r="D572" s="23" t="n">
        <v>0.06</v>
      </c>
      <c r="E572" s="24" t="n">
        <v>679</v>
      </c>
      <c r="F572" s="24">
        <f>D572*E572</f>
        <v/>
      </c>
      <c r="G572" s="22" t="n"/>
    </row>
    <row r="573">
      <c r="A573" s="22" t="inlineStr">
        <is>
          <t>0114</t>
        </is>
      </c>
      <c r="B573" s="11" t="inlineStr">
        <is>
          <t>Beldar</t>
        </is>
      </c>
      <c r="C573" s="22" t="inlineStr">
        <is>
          <t>day</t>
        </is>
      </c>
      <c r="D573" s="23" t="n">
        <v>0.12</v>
      </c>
      <c r="E573" s="24" t="n">
        <v>558</v>
      </c>
      <c r="F573" s="24">
        <f>D573*E573</f>
        <v/>
      </c>
      <c r="G573" s="22" t="n"/>
    </row>
    <row r="574">
      <c r="A574" s="22" t="inlineStr">
        <is>
          <t>9999</t>
        </is>
      </c>
      <c r="B574" s="11" t="inlineStr">
        <is>
          <t>Sundries</t>
        </is>
      </c>
      <c r="C574" s="22" t="inlineStr">
        <is>
          <t>LS</t>
        </is>
      </c>
      <c r="D574" s="23" t="n">
        <v>2.73</v>
      </c>
      <c r="E574" s="24" t="n">
        <v>2</v>
      </c>
      <c r="F574" s="24">
        <f>D574*E574</f>
        <v/>
      </c>
      <c r="G574" s="22" t="n"/>
    </row>
    <row r="575">
      <c r="A575" s="8" t="inlineStr">
        <is>
          <t>Calculated W - SUM of the Amount column above</t>
        </is>
      </c>
      <c r="B575" s="9" t="n"/>
      <c r="C575" s="9" t="n"/>
      <c r="D575" s="9" t="n"/>
      <c r="E575" s="9" t="n"/>
      <c r="F575" s="25">
        <f>SUM(F568:F574)</f>
        <v/>
      </c>
      <c r="G575" s="9" t="n"/>
    </row>
    <row r="576">
      <c r="A576" s="26" t="inlineStr">
        <is>
          <t>W as printed in the DAR</t>
        </is>
      </c>
      <c r="B576" s="22" t="n"/>
      <c r="C576" s="22" t="n"/>
      <c r="D576" s="22" t="n"/>
      <c r="E576" s="22" t="n"/>
      <c r="F576" s="27" t="n">
        <v>353.2</v>
      </c>
      <c r="G576" s="22" t="n"/>
    </row>
    <row r="577">
      <c r="A577" s="26" t="inlineStr">
        <is>
          <t>Difference (calculated - printed)</t>
        </is>
      </c>
      <c r="B577" s="22" t="n"/>
      <c r="C577" s="22" t="n"/>
      <c r="D577" s="22" t="n"/>
      <c r="E577" s="22" t="n"/>
      <c r="F577" s="27">
        <f>F575-F576</f>
        <v/>
      </c>
      <c r="G577" s="22" t="n"/>
    </row>
    <row r="578">
      <c r="A578" s="29" t="inlineStr">
        <is>
          <t>SAY (Rs.) - final DAR rate as printed (fixed value, not computed)</t>
        </is>
      </c>
      <c r="B578" s="30" t="n"/>
      <c r="C578" s="30" t="n"/>
      <c r="D578" s="30" t="n"/>
      <c r="E578" s="30" t="n"/>
      <c r="F578" s="31" t="n">
        <v>71.59999999999999</v>
      </c>
      <c r="G578" s="30" t="n"/>
    </row>
    <row r="580" ht="33" customHeight="1">
      <c r="A580" s="8" t="inlineStr">
        <is>
          <t>2.21</t>
        </is>
      </c>
      <c r="B580" s="17" t="inlineStr">
        <is>
          <t>Open timbering in case of shafts, wells, cesspits, manholes and the like including strutting and shoring complete (Measurements to be taken of the face area timbered):</t>
        </is>
      </c>
      <c r="C580" s="9" t="n"/>
      <c r="D580" s="9" t="n"/>
      <c r="E580" s="9" t="n"/>
      <c r="F580" s="9" t="n"/>
      <c r="G580" s="9" t="n"/>
    </row>
    <row r="581" ht="18.5" customHeight="1">
      <c r="A581" s="18" t="inlineStr">
        <is>
          <t>2.21.3</t>
        </is>
      </c>
      <c r="B581" s="19" t="inlineStr">
        <is>
          <t>Depth exceeding 3 m but not exceeding 4.5 m</t>
        </is>
      </c>
      <c r="C581" s="20" t="n"/>
      <c r="D581" s="20" t="n"/>
      <c r="E581" s="20" t="n"/>
      <c r="F581" s="20" t="n"/>
      <c r="G581" s="20" t="n"/>
    </row>
    <row r="582">
      <c r="A582" s="21" t="inlineStr">
        <is>
          <t>Details of cost for 6.6 sqm   |   Hand-transcribed (provisional): not machine-checked against the PDF</t>
        </is>
      </c>
    </row>
    <row r="583">
      <c r="A583" s="5" t="inlineStr">
        <is>
          <t>Code</t>
        </is>
      </c>
      <c r="B583" s="5" t="inlineStr">
        <is>
          <t>Description</t>
        </is>
      </c>
      <c r="C583" s="5" t="inlineStr">
        <is>
          <t>Unit</t>
        </is>
      </c>
      <c r="D583" s="5" t="inlineStr">
        <is>
          <t>Quantity</t>
        </is>
      </c>
      <c r="E583" s="5" t="inlineStr">
        <is>
          <t>Rate (Rs.)</t>
        </is>
      </c>
      <c r="F583" s="5" t="inlineStr">
        <is>
          <t>Amount (Rs.)</t>
        </is>
      </c>
      <c r="G583" s="5" t="inlineStr">
        <is>
          <t>Note</t>
        </is>
      </c>
    </row>
    <row r="584">
      <c r="A584" s="22" t="inlineStr">
        <is>
          <t>1198</t>
        </is>
      </c>
      <c r="B584" s="11" t="inlineStr">
        <is>
          <t>Second class kail wood in planks</t>
        </is>
      </c>
      <c r="C584" s="22" t="inlineStr">
        <is>
          <t>10 cudm</t>
        </is>
      </c>
      <c r="D584" s="23" t="n">
        <v>0.5375</v>
      </c>
      <c r="E584" s="24" t="n">
        <v>260</v>
      </c>
      <c r="F584" s="24">
        <f>D584*E584</f>
        <v/>
      </c>
      <c r="G584" s="22" t="n"/>
    </row>
    <row r="585">
      <c r="A585" s="22" t="inlineStr">
        <is>
          <t>1197</t>
        </is>
      </c>
      <c r="B585" s="11" t="inlineStr">
        <is>
          <t>Second class kail wood in scantling</t>
        </is>
      </c>
      <c r="C585" s="22" t="inlineStr">
        <is>
          <t>10 cudm</t>
        </is>
      </c>
      <c r="D585" s="23" t="n">
        <v>0.3</v>
      </c>
      <c r="E585" s="24" t="n">
        <v>260</v>
      </c>
      <c r="F585" s="24">
        <f>D585*E585</f>
        <v/>
      </c>
      <c r="G585" s="22" t="n"/>
    </row>
    <row r="586">
      <c r="A586" s="22" t="inlineStr">
        <is>
          <t>0302</t>
        </is>
      </c>
      <c r="B586" s="11" t="inlineStr">
        <is>
          <t>Safeda ballies 125 mm diameter and 1.5m long</t>
        </is>
      </c>
      <c r="C586" s="22" t="inlineStr">
        <is>
          <t>metre</t>
        </is>
      </c>
      <c r="D586" s="23" t="n">
        <v>0.4</v>
      </c>
      <c r="E586" s="24" t="n">
        <v>40</v>
      </c>
      <c r="F586" s="24">
        <f>D586*E586</f>
        <v/>
      </c>
      <c r="G586" s="22" t="n"/>
    </row>
    <row r="587">
      <c r="A587" s="22" t="inlineStr">
        <is>
          <t>2204</t>
        </is>
      </c>
      <c r="B587" s="11" t="inlineStr">
        <is>
          <t>Carriage of Timber</t>
        </is>
      </c>
      <c r="C587" s="22" t="inlineStr">
        <is>
          <t>cum</t>
        </is>
      </c>
      <c r="D587" s="23" t="n">
        <v>0.053</v>
      </c>
      <c r="E587" s="24" t="n">
        <v>118.59</v>
      </c>
      <c r="F587" s="24">
        <f>D587*E587</f>
        <v/>
      </c>
      <c r="G587" s="22" t="n"/>
    </row>
    <row r="588">
      <c r="A588" s="22" t="inlineStr">
        <is>
          <t>0112</t>
        </is>
      </c>
      <c r="B588" s="11" t="inlineStr">
        <is>
          <t>Carpenter 2nd class</t>
        </is>
      </c>
      <c r="C588" s="22" t="inlineStr">
        <is>
          <t>day</t>
        </is>
      </c>
      <c r="D588" s="23" t="n">
        <v>0.1</v>
      </c>
      <c r="E588" s="24" t="n">
        <v>679</v>
      </c>
      <c r="F588" s="24">
        <f>D588*E588</f>
        <v/>
      </c>
      <c r="G588" s="22" t="n"/>
    </row>
    <row r="589">
      <c r="A589" s="22" t="inlineStr">
        <is>
          <t>0114</t>
        </is>
      </c>
      <c r="B589" s="11" t="inlineStr">
        <is>
          <t>Beldar</t>
        </is>
      </c>
      <c r="C589" s="22" t="inlineStr">
        <is>
          <t>day</t>
        </is>
      </c>
      <c r="D589" s="23" t="n">
        <v>0.2</v>
      </c>
      <c r="E589" s="24" t="n">
        <v>558</v>
      </c>
      <c r="F589" s="24">
        <f>D589*E589</f>
        <v/>
      </c>
      <c r="G589" s="22" t="n"/>
    </row>
    <row r="590">
      <c r="A590" s="22" t="inlineStr">
        <is>
          <t>9999</t>
        </is>
      </c>
      <c r="B590" s="11" t="inlineStr">
        <is>
          <t>Sundries</t>
        </is>
      </c>
      <c r="C590" s="22" t="inlineStr">
        <is>
          <t>LS</t>
        </is>
      </c>
      <c r="D590" s="23" t="n">
        <v>3.64</v>
      </c>
      <c r="E590" s="24" t="n">
        <v>2</v>
      </c>
      <c r="F590" s="24">
        <f>D590*E590</f>
        <v/>
      </c>
      <c r="G590" s="22" t="n"/>
    </row>
    <row r="591">
      <c r="A591" s="8" t="inlineStr">
        <is>
          <t>Calculated W - SUM of the Amount column above</t>
        </is>
      </c>
      <c r="B591" s="9" t="n"/>
      <c r="C591" s="9" t="n"/>
      <c r="D591" s="9" t="n"/>
      <c r="E591" s="9" t="n"/>
      <c r="F591" s="25">
        <f>SUM(F584:F590)</f>
        <v/>
      </c>
      <c r="G591" s="9" t="n"/>
    </row>
    <row r="592">
      <c r="A592" s="26" t="inlineStr">
        <is>
          <t>W as printed in the DAR</t>
        </is>
      </c>
      <c r="B592" s="22" t="n"/>
      <c r="C592" s="22" t="n"/>
      <c r="D592" s="22" t="n"/>
      <c r="E592" s="22" t="n"/>
      <c r="F592" s="27" t="n">
        <v>426.82</v>
      </c>
      <c r="G592" s="22" t="n"/>
    </row>
    <row r="593">
      <c r="A593" s="26" t="inlineStr">
        <is>
          <t>Difference (calculated - printed)</t>
        </is>
      </c>
      <c r="B593" s="22" t="n"/>
      <c r="C593" s="22" t="n"/>
      <c r="D593" s="22" t="n"/>
      <c r="E593" s="22" t="n"/>
      <c r="F593" s="27">
        <f>F591-F592</f>
        <v/>
      </c>
      <c r="G593" s="22" t="n"/>
    </row>
    <row r="594">
      <c r="A594" s="29" t="inlineStr">
        <is>
          <t>SAY (Rs.) - final DAR rate as printed (fixed value, not computed)</t>
        </is>
      </c>
      <c r="B594" s="30" t="n"/>
      <c r="C594" s="30" t="n"/>
      <c r="D594" s="30" t="n"/>
      <c r="E594" s="30" t="n"/>
      <c r="F594" s="31" t="n">
        <v>86.5</v>
      </c>
      <c r="G594" s="30" t="n"/>
    </row>
    <row r="596" ht="18.5" customHeight="1">
      <c r="A596" s="8" t="inlineStr">
        <is>
          <t>2.22</t>
        </is>
      </c>
      <c r="B596" s="17" t="inlineStr">
        <is>
          <t>Open timbering over areas including strutting, shoring etc. complete. (Measurements to be taken of the face area timbered):</t>
        </is>
      </c>
      <c r="C596" s="9" t="n"/>
      <c r="D596" s="9" t="n"/>
      <c r="E596" s="9" t="n"/>
      <c r="F596" s="9" t="n"/>
      <c r="G596" s="9" t="n"/>
    </row>
    <row r="597" ht="18.5" customHeight="1">
      <c r="A597" s="18" t="inlineStr">
        <is>
          <t>2.22.1</t>
        </is>
      </c>
      <c r="B597" s="19" t="inlineStr">
        <is>
          <t>Depth not exceeding 1.5 m</t>
        </is>
      </c>
      <c r="C597" s="20" t="n"/>
      <c r="D597" s="20" t="n"/>
      <c r="E597" s="20" t="n"/>
      <c r="F597" s="20" t="n"/>
      <c r="G597" s="20" t="n"/>
    </row>
    <row r="598">
      <c r="A598" s="21" t="inlineStr">
        <is>
          <t>Details of cost for 45 sqm   |   Hand-transcribed (provisional): not machine-checked against the PDF</t>
        </is>
      </c>
    </row>
    <row r="599">
      <c r="A599" s="5" t="inlineStr">
        <is>
          <t>Code</t>
        </is>
      </c>
      <c r="B599" s="5" t="inlineStr">
        <is>
          <t>Description</t>
        </is>
      </c>
      <c r="C599" s="5" t="inlineStr">
        <is>
          <t>Unit</t>
        </is>
      </c>
      <c r="D599" s="5" t="inlineStr">
        <is>
          <t>Quantity</t>
        </is>
      </c>
      <c r="E599" s="5" t="inlineStr">
        <is>
          <t>Rate (Rs.)</t>
        </is>
      </c>
      <c r="F599" s="5" t="inlineStr">
        <is>
          <t>Amount (Rs.)</t>
        </is>
      </c>
      <c r="G599" s="5" t="inlineStr">
        <is>
          <t>Note</t>
        </is>
      </c>
    </row>
    <row r="600">
      <c r="A600" s="22" t="inlineStr">
        <is>
          <t>1198</t>
        </is>
      </c>
      <c r="B600" s="11" t="inlineStr">
        <is>
          <t>Second class kail wood in planks</t>
        </is>
      </c>
      <c r="C600" s="22" t="inlineStr">
        <is>
          <t>10 cudm</t>
        </is>
      </c>
      <c r="D600" s="23" t="n">
        <v>3.5625</v>
      </c>
      <c r="E600" s="24" t="n">
        <v>260</v>
      </c>
      <c r="F600" s="24">
        <f>D600*E600</f>
        <v/>
      </c>
      <c r="G600" s="22" t="n"/>
    </row>
    <row r="601">
      <c r="A601" s="22" t="inlineStr">
        <is>
          <t>0302</t>
        </is>
      </c>
      <c r="B601" s="11" t="inlineStr">
        <is>
          <t>Safeda ballies 125 mm diameter and 1.5m long</t>
        </is>
      </c>
      <c r="C601" s="22" t="inlineStr">
        <is>
          <t>metre</t>
        </is>
      </c>
      <c r="D601" s="23" t="n">
        <v>3.75</v>
      </c>
      <c r="E601" s="24" t="n">
        <v>40</v>
      </c>
      <c r="F601" s="24">
        <f>D601*E601</f>
        <v/>
      </c>
      <c r="G601" s="22" t="n"/>
    </row>
    <row r="602">
      <c r="A602" s="22" t="inlineStr">
        <is>
          <t>2204</t>
        </is>
      </c>
      <c r="B602" s="11" t="inlineStr">
        <is>
          <t>Carriage of Timber</t>
        </is>
      </c>
      <c r="C602" s="22" t="inlineStr">
        <is>
          <t>cum</t>
        </is>
      </c>
      <c r="D602" s="23" t="n">
        <v>0.3275</v>
      </c>
      <c r="E602" s="24" t="n">
        <v>118.59</v>
      </c>
      <c r="F602" s="24">
        <f>D602*E602</f>
        <v/>
      </c>
      <c r="G602" s="22" t="n"/>
    </row>
    <row r="603">
      <c r="A603" s="22" t="inlineStr">
        <is>
          <t>0112</t>
        </is>
      </c>
      <c r="B603" s="11" t="inlineStr">
        <is>
          <t>Carpenter 2nd class</t>
        </is>
      </c>
      <c r="C603" s="22" t="inlineStr">
        <is>
          <t>day</t>
        </is>
      </c>
      <c r="D603" s="23" t="n">
        <v>0.12</v>
      </c>
      <c r="E603" s="24" t="n">
        <v>679</v>
      </c>
      <c r="F603" s="24">
        <f>D603*E603</f>
        <v/>
      </c>
      <c r="G603" s="22" t="n"/>
    </row>
    <row r="604">
      <c r="A604" s="22" t="inlineStr">
        <is>
          <t>0114</t>
        </is>
      </c>
      <c r="B604" s="11" t="inlineStr">
        <is>
          <t>Beldar</t>
        </is>
      </c>
      <c r="C604" s="22" t="inlineStr">
        <is>
          <t>day</t>
        </is>
      </c>
      <c r="D604" s="23" t="n">
        <v>0.25</v>
      </c>
      <c r="E604" s="24" t="n">
        <v>558</v>
      </c>
      <c r="F604" s="24">
        <f>D604*E604</f>
        <v/>
      </c>
      <c r="G604" s="22" t="n"/>
    </row>
    <row r="605">
      <c r="A605" s="22" t="inlineStr">
        <is>
          <t>9999</t>
        </is>
      </c>
      <c r="B605" s="11" t="inlineStr">
        <is>
          <t>Sundries</t>
        </is>
      </c>
      <c r="C605" s="22" t="inlineStr">
        <is>
          <t>LS</t>
        </is>
      </c>
      <c r="D605" s="23" t="n">
        <v>19.76</v>
      </c>
      <c r="E605" s="24" t="n">
        <v>2</v>
      </c>
      <c r="F605" s="24">
        <f>D605*E605</f>
        <v/>
      </c>
      <c r="G605" s="22" t="n"/>
    </row>
    <row r="606">
      <c r="A606" s="8" t="inlineStr">
        <is>
          <t>Calculated W - SUM of the Amount column above</t>
        </is>
      </c>
      <c r="B606" s="9" t="n"/>
      <c r="C606" s="9" t="n"/>
      <c r="D606" s="9" t="n"/>
      <c r="E606" s="9" t="n"/>
      <c r="F606" s="25">
        <f>SUM(F600:F605)</f>
        <v/>
      </c>
      <c r="G606" s="9" t="n"/>
    </row>
    <row r="607">
      <c r="A607" s="26" t="inlineStr">
        <is>
          <t>W as printed in the DAR</t>
        </is>
      </c>
      <c r="B607" s="22" t="n"/>
      <c r="C607" s="22" t="n"/>
      <c r="D607" s="22" t="n"/>
      <c r="E607" s="22" t="n"/>
      <c r="F607" s="27" t="n">
        <v>1375.59</v>
      </c>
      <c r="G607" s="22" t="n"/>
    </row>
    <row r="608">
      <c r="A608" s="26" t="inlineStr">
        <is>
          <t>Difference (calculated - printed)</t>
        </is>
      </c>
      <c r="B608" s="22" t="n"/>
      <c r="C608" s="22" t="n"/>
      <c r="D608" s="22" t="n"/>
      <c r="E608" s="22" t="n"/>
      <c r="F608" s="27">
        <f>F606-F607</f>
        <v/>
      </c>
      <c r="G608" s="22" t="n"/>
    </row>
    <row r="609">
      <c r="A609" s="29" t="inlineStr">
        <is>
          <t>SAY (Rs.) - final DAR rate as printed (fixed value, not computed)</t>
        </is>
      </c>
      <c r="B609" s="30" t="n"/>
      <c r="C609" s="30" t="n"/>
      <c r="D609" s="30" t="n"/>
      <c r="E609" s="30" t="n"/>
      <c r="F609" s="31" t="n">
        <v>40.9</v>
      </c>
      <c r="G609" s="30" t="n"/>
    </row>
    <row r="611" ht="18.5" customHeight="1">
      <c r="A611" s="8" t="inlineStr">
        <is>
          <t>2.22</t>
        </is>
      </c>
      <c r="B611" s="17" t="inlineStr">
        <is>
          <t>Open timbering over areas including strutting, shoring etc. complete. (Measurements to be taken of the face area timbered):</t>
        </is>
      </c>
      <c r="C611" s="9" t="n"/>
      <c r="D611" s="9" t="n"/>
      <c r="E611" s="9" t="n"/>
      <c r="F611" s="9" t="n"/>
      <c r="G611" s="9" t="n"/>
    </row>
    <row r="612" ht="18.5" customHeight="1">
      <c r="A612" s="18" t="inlineStr">
        <is>
          <t>2.22.2</t>
        </is>
      </c>
      <c r="B612" s="19" t="inlineStr">
        <is>
          <t>Depth exceeding 1.5 m but not exceeding 3 m</t>
        </is>
      </c>
      <c r="C612" s="20" t="n"/>
      <c r="D612" s="20" t="n"/>
      <c r="E612" s="20" t="n"/>
      <c r="F612" s="20" t="n"/>
      <c r="G612" s="20" t="n"/>
    </row>
    <row r="613">
      <c r="A613" s="21" t="inlineStr">
        <is>
          <t>Details of cost for 45 sqm   |   Hand-transcribed (provisional): not machine-checked against the PDF</t>
        </is>
      </c>
    </row>
    <row r="614">
      <c r="A614" s="5" t="inlineStr">
        <is>
          <t>Code</t>
        </is>
      </c>
      <c r="B614" s="5" t="inlineStr">
        <is>
          <t>Description</t>
        </is>
      </c>
      <c r="C614" s="5" t="inlineStr">
        <is>
          <t>Unit</t>
        </is>
      </c>
      <c r="D614" s="5" t="inlineStr">
        <is>
          <t>Quantity</t>
        </is>
      </c>
      <c r="E614" s="5" t="inlineStr">
        <is>
          <t>Rate (Rs.)</t>
        </is>
      </c>
      <c r="F614" s="5" t="inlineStr">
        <is>
          <t>Amount (Rs.)</t>
        </is>
      </c>
      <c r="G614" s="5" t="inlineStr">
        <is>
          <t>Note</t>
        </is>
      </c>
    </row>
    <row r="615">
      <c r="A615" s="22" t="inlineStr">
        <is>
          <t>1198</t>
        </is>
      </c>
      <c r="B615" s="11" t="inlineStr">
        <is>
          <t>Second class kail wood in planks</t>
        </is>
      </c>
      <c r="C615" s="22" t="inlineStr">
        <is>
          <t>10 cudm</t>
        </is>
      </c>
      <c r="D615" s="23" t="n">
        <v>3.5625</v>
      </c>
      <c r="E615" s="24" t="n">
        <v>260</v>
      </c>
      <c r="F615" s="24">
        <f>D615*E615</f>
        <v/>
      </c>
      <c r="G615" s="22" t="n"/>
    </row>
    <row r="616">
      <c r="A616" s="22" t="inlineStr">
        <is>
          <t>0302</t>
        </is>
      </c>
      <c r="B616" s="11" t="inlineStr">
        <is>
          <t>Safeda ballies 125 mm diameter and 1.5m long</t>
        </is>
      </c>
      <c r="C616" s="22" t="inlineStr">
        <is>
          <t>metre</t>
        </is>
      </c>
      <c r="D616" s="23" t="n">
        <v>3.75</v>
      </c>
      <c r="E616" s="24" t="n">
        <v>40</v>
      </c>
      <c r="F616" s="24">
        <f>D616*E616</f>
        <v/>
      </c>
      <c r="G616" s="22" t="n"/>
    </row>
    <row r="617">
      <c r="A617" s="22" t="inlineStr">
        <is>
          <t>2204</t>
        </is>
      </c>
      <c r="B617" s="11" t="inlineStr">
        <is>
          <t>Carriage of Timber</t>
        </is>
      </c>
      <c r="C617" s="22" t="inlineStr">
        <is>
          <t>cum</t>
        </is>
      </c>
      <c r="D617" s="23" t="n">
        <v>0.3275</v>
      </c>
      <c r="E617" s="24" t="n">
        <v>118.59</v>
      </c>
      <c r="F617" s="24">
        <f>D617*E617</f>
        <v/>
      </c>
      <c r="G617" s="22" t="n"/>
    </row>
    <row r="618">
      <c r="A618" s="22" t="inlineStr">
        <is>
          <t>0112</t>
        </is>
      </c>
      <c r="B618" s="11" t="inlineStr">
        <is>
          <t>Carpenter 2nd class</t>
        </is>
      </c>
      <c r="C618" s="22" t="inlineStr">
        <is>
          <t>day</t>
        </is>
      </c>
      <c r="D618" s="23" t="n">
        <v>0.25</v>
      </c>
      <c r="E618" s="24" t="n">
        <v>679</v>
      </c>
      <c r="F618" s="24">
        <f>D618*E618</f>
        <v/>
      </c>
      <c r="G618" s="22" t="n"/>
    </row>
    <row r="619">
      <c r="A619" s="22" t="inlineStr">
        <is>
          <t>0114</t>
        </is>
      </c>
      <c r="B619" s="11" t="inlineStr">
        <is>
          <t>Beldar</t>
        </is>
      </c>
      <c r="C619" s="22" t="inlineStr">
        <is>
          <t>day</t>
        </is>
      </c>
      <c r="D619" s="23" t="n">
        <v>0.5</v>
      </c>
      <c r="E619" s="24" t="n">
        <v>558</v>
      </c>
      <c r="F619" s="24">
        <f>D619*E619</f>
        <v/>
      </c>
      <c r="G619" s="22" t="n"/>
    </row>
    <row r="620">
      <c r="A620" s="22" t="inlineStr">
        <is>
          <t>9999</t>
        </is>
      </c>
      <c r="B620" s="11" t="inlineStr">
        <is>
          <t>Sundries</t>
        </is>
      </c>
      <c r="C620" s="22" t="inlineStr">
        <is>
          <t>LS</t>
        </is>
      </c>
      <c r="D620" s="23" t="n">
        <v>33.15</v>
      </c>
      <c r="E620" s="24" t="n">
        <v>2</v>
      </c>
      <c r="F620" s="24">
        <f>D620*E620</f>
        <v/>
      </c>
      <c r="G620" s="22" t="n"/>
    </row>
    <row r="621">
      <c r="A621" s="8" t="inlineStr">
        <is>
          <t>Calculated W - SUM of the Amount column above</t>
        </is>
      </c>
      <c r="B621" s="9" t="n"/>
      <c r="C621" s="9" t="n"/>
      <c r="D621" s="9" t="n"/>
      <c r="E621" s="9" t="n"/>
      <c r="F621" s="25">
        <f>SUM(F615:F620)</f>
        <v/>
      </c>
      <c r="G621" s="9" t="n"/>
    </row>
    <row r="622">
      <c r="A622" s="26" t="inlineStr">
        <is>
          <t>W as printed in the DAR</t>
        </is>
      </c>
      <c r="B622" s="22" t="n"/>
      <c r="C622" s="22" t="n"/>
      <c r="D622" s="22" t="n"/>
      <c r="E622" s="22" t="n"/>
      <c r="F622" s="27" t="n">
        <v>1630.14</v>
      </c>
      <c r="G622" s="22" t="n"/>
    </row>
    <row r="623">
      <c r="A623" s="26" t="inlineStr">
        <is>
          <t>Difference (calculated - printed)</t>
        </is>
      </c>
      <c r="B623" s="22" t="n"/>
      <c r="C623" s="22" t="n"/>
      <c r="D623" s="22" t="n"/>
      <c r="E623" s="22" t="n"/>
      <c r="F623" s="27">
        <f>F621-F622</f>
        <v/>
      </c>
      <c r="G623" s="22" t="n"/>
    </row>
    <row r="624">
      <c r="A624" s="29" t="inlineStr">
        <is>
          <t>SAY (Rs.) - final DAR rate as printed (fixed value, not computed)</t>
        </is>
      </c>
      <c r="B624" s="30" t="n"/>
      <c r="C624" s="30" t="n"/>
      <c r="D624" s="30" t="n"/>
      <c r="E624" s="30" t="n"/>
      <c r="F624" s="31" t="n">
        <v>48.45</v>
      </c>
      <c r="G624" s="30" t="n"/>
    </row>
    <row r="626" ht="18.5" customHeight="1">
      <c r="A626" s="8" t="inlineStr">
        <is>
          <t>2.22</t>
        </is>
      </c>
      <c r="B626" s="17" t="inlineStr">
        <is>
          <t>Open timbering over areas including strutting, shoring etc. complete. (Measurements to be taken of the face area timbered):</t>
        </is>
      </c>
      <c r="C626" s="9" t="n"/>
      <c r="D626" s="9" t="n"/>
      <c r="E626" s="9" t="n"/>
      <c r="F626" s="9" t="n"/>
      <c r="G626" s="9" t="n"/>
    </row>
    <row r="627" ht="18.5" customHeight="1">
      <c r="A627" s="18" t="inlineStr">
        <is>
          <t>2.22.3</t>
        </is>
      </c>
      <c r="B627" s="19" t="inlineStr">
        <is>
          <t>Depth exceeding 3 m but not exceeding 4.5 m</t>
        </is>
      </c>
      <c r="C627" s="20" t="n"/>
      <c r="D627" s="20" t="n"/>
      <c r="E627" s="20" t="n"/>
      <c r="F627" s="20" t="n"/>
      <c r="G627" s="20" t="n"/>
    </row>
    <row r="628">
      <c r="A628" s="21" t="inlineStr">
        <is>
          <t>Details of cost for 45 sqm   |   Hand-transcribed (provisional): not machine-checked against the PDF</t>
        </is>
      </c>
    </row>
    <row r="629">
      <c r="A629" s="5" t="inlineStr">
        <is>
          <t>Code</t>
        </is>
      </c>
      <c r="B629" s="5" t="inlineStr">
        <is>
          <t>Description</t>
        </is>
      </c>
      <c r="C629" s="5" t="inlineStr">
        <is>
          <t>Unit</t>
        </is>
      </c>
      <c r="D629" s="5" t="inlineStr">
        <is>
          <t>Quantity</t>
        </is>
      </c>
      <c r="E629" s="5" t="inlineStr">
        <is>
          <t>Rate (Rs.)</t>
        </is>
      </c>
      <c r="F629" s="5" t="inlineStr">
        <is>
          <t>Amount (Rs.)</t>
        </is>
      </c>
      <c r="G629" s="5" t="inlineStr">
        <is>
          <t>Note</t>
        </is>
      </c>
    </row>
    <row r="630">
      <c r="A630" s="22" t="inlineStr">
        <is>
          <t>1198</t>
        </is>
      </c>
      <c r="B630" s="11" t="inlineStr">
        <is>
          <t>Second class kail wood in planks</t>
        </is>
      </c>
      <c r="C630" s="22" t="inlineStr">
        <is>
          <t>10 cudm</t>
        </is>
      </c>
      <c r="D630" s="23" t="n">
        <v>3.5625</v>
      </c>
      <c r="E630" s="24" t="n">
        <v>260</v>
      </c>
      <c r="F630" s="24">
        <f>D630*E630</f>
        <v/>
      </c>
      <c r="G630" s="22" t="n"/>
    </row>
    <row r="631">
      <c r="A631" s="22" t="inlineStr">
        <is>
          <t>0302</t>
        </is>
      </c>
      <c r="B631" s="11" t="inlineStr">
        <is>
          <t>Safeda ballies 125 mm diameter and 1.5m long</t>
        </is>
      </c>
      <c r="C631" s="22" t="inlineStr">
        <is>
          <t>metre</t>
        </is>
      </c>
      <c r="D631" s="23" t="n">
        <v>3.75</v>
      </c>
      <c r="E631" s="24" t="n">
        <v>40</v>
      </c>
      <c r="F631" s="24">
        <f>D631*E631</f>
        <v/>
      </c>
      <c r="G631" s="22" t="n"/>
    </row>
    <row r="632">
      <c r="A632" s="22" t="inlineStr">
        <is>
          <t>2204</t>
        </is>
      </c>
      <c r="B632" s="11" t="inlineStr">
        <is>
          <t>Carriage of Timber</t>
        </is>
      </c>
      <c r="C632" s="22" t="inlineStr">
        <is>
          <t>cum</t>
        </is>
      </c>
      <c r="D632" s="23" t="n">
        <v>0.3275</v>
      </c>
      <c r="E632" s="24" t="n">
        <v>118.59</v>
      </c>
      <c r="F632" s="24">
        <f>D632*E632</f>
        <v/>
      </c>
      <c r="G632" s="22" t="n"/>
    </row>
    <row r="633">
      <c r="A633" s="22" t="inlineStr">
        <is>
          <t>0112</t>
        </is>
      </c>
      <c r="B633" s="11" t="inlineStr">
        <is>
          <t>Carpenter 2nd class</t>
        </is>
      </c>
      <c r="C633" s="22" t="inlineStr">
        <is>
          <t>day</t>
        </is>
      </c>
      <c r="D633" s="23" t="n">
        <v>0.5</v>
      </c>
      <c r="E633" s="24" t="n">
        <v>679</v>
      </c>
      <c r="F633" s="24">
        <f>D633*E633</f>
        <v/>
      </c>
      <c r="G633" s="22" t="n"/>
    </row>
    <row r="634">
      <c r="A634" s="22" t="inlineStr">
        <is>
          <t>0114</t>
        </is>
      </c>
      <c r="B634" s="11" t="inlineStr">
        <is>
          <t>Beldar</t>
        </is>
      </c>
      <c r="C634" s="22" t="inlineStr">
        <is>
          <t>day</t>
        </is>
      </c>
      <c r="D634" s="23" t="n">
        <v>0.88</v>
      </c>
      <c r="E634" s="24" t="n">
        <v>558</v>
      </c>
      <c r="F634" s="24">
        <f>D634*E634</f>
        <v/>
      </c>
      <c r="G634" s="22" t="n"/>
    </row>
    <row r="635">
      <c r="A635" s="22" t="inlineStr">
        <is>
          <t>9999</t>
        </is>
      </c>
      <c r="B635" s="11" t="inlineStr">
        <is>
          <t>Sundries</t>
        </is>
      </c>
      <c r="C635" s="22" t="inlineStr">
        <is>
          <t>LS</t>
        </is>
      </c>
      <c r="D635" s="23" t="n">
        <v>47.58</v>
      </c>
      <c r="E635" s="24" t="n">
        <v>2</v>
      </c>
      <c r="F635" s="24">
        <f>D635*E635</f>
        <v/>
      </c>
      <c r="G635" s="22" t="n"/>
    </row>
    <row r="636">
      <c r="A636" s="8" t="inlineStr">
        <is>
          <t>Calculated W - SUM of the Amount column above</t>
        </is>
      </c>
      <c r="B636" s="9" t="n"/>
      <c r="C636" s="9" t="n"/>
      <c r="D636" s="9" t="n"/>
      <c r="E636" s="9" t="n"/>
      <c r="F636" s="25">
        <f>SUM(F630:F635)</f>
        <v/>
      </c>
      <c r="G636" s="9" t="n"/>
    </row>
    <row r="637">
      <c r="A637" s="26" t="inlineStr">
        <is>
          <t>W as printed in the DAR</t>
        </is>
      </c>
      <c r="B637" s="22" t="n"/>
      <c r="C637" s="22" t="n"/>
      <c r="D637" s="22" t="n"/>
      <c r="E637" s="22" t="n"/>
      <c r="F637" s="27" t="n">
        <v>2040.79</v>
      </c>
      <c r="G637" s="22" t="n"/>
    </row>
    <row r="638">
      <c r="A638" s="26" t="inlineStr">
        <is>
          <t>Difference (calculated - printed)</t>
        </is>
      </c>
      <c r="B638" s="22" t="n"/>
      <c r="C638" s="22" t="n"/>
      <c r="D638" s="22" t="n"/>
      <c r="E638" s="22" t="n"/>
      <c r="F638" s="27">
        <f>F636-F637</f>
        <v/>
      </c>
      <c r="G638" s="22" t="n"/>
    </row>
    <row r="639">
      <c r="A639" s="29" t="inlineStr">
        <is>
          <t>SAY (Rs.) - final DAR rate as printed (fixed value, not computed)</t>
        </is>
      </c>
      <c r="B639" s="30" t="n"/>
      <c r="C639" s="30" t="n"/>
      <c r="D639" s="30" t="n"/>
      <c r="E639" s="30" t="n"/>
      <c r="F639" s="31" t="n">
        <v>60.7</v>
      </c>
      <c r="G639" s="30" t="n"/>
    </row>
    <row r="641" ht="33" customHeight="1">
      <c r="A641" s="18" t="inlineStr">
        <is>
          <t>2.23</t>
        </is>
      </c>
      <c r="B641" s="19" t="inlineStr">
        <is>
          <t>Extra for planking and strutting in open timbering if required to be left permanently in position. (Face area of the timber permanently left to be measured).</t>
        </is>
      </c>
      <c r="C641" s="20" t="n"/>
      <c r="D641" s="20" t="n"/>
      <c r="E641" s="20" t="n"/>
      <c r="F641" s="20" t="n"/>
      <c r="G641" s="20" t="n"/>
    </row>
    <row r="642">
      <c r="A642" s="21" t="inlineStr">
        <is>
          <t>Details of cost for 90 sqm   |   Hand-transcribed (provisional): not machine-checked against the PDF</t>
        </is>
      </c>
    </row>
    <row r="643">
      <c r="A643" s="5" t="inlineStr">
        <is>
          <t>Code</t>
        </is>
      </c>
      <c r="B643" s="5" t="inlineStr">
        <is>
          <t>Description</t>
        </is>
      </c>
      <c r="C643" s="5" t="inlineStr">
        <is>
          <t>Unit</t>
        </is>
      </c>
      <c r="D643" s="5" t="inlineStr">
        <is>
          <t>Quantity</t>
        </is>
      </c>
      <c r="E643" s="5" t="inlineStr">
        <is>
          <t>Rate (Rs.)</t>
        </is>
      </c>
      <c r="F643" s="5" t="inlineStr">
        <is>
          <t>Amount (Rs.)</t>
        </is>
      </c>
      <c r="G643" s="5" t="inlineStr">
        <is>
          <t>Note</t>
        </is>
      </c>
    </row>
    <row r="644">
      <c r="A644" s="22" t="inlineStr">
        <is>
          <t>1198</t>
        </is>
      </c>
      <c r="B644" s="11" t="inlineStr">
        <is>
          <t>Second class kail wood in planks</t>
        </is>
      </c>
      <c r="C644" s="22" t="inlineStr">
        <is>
          <t>10 cudm</t>
        </is>
      </c>
      <c r="D644" s="23" t="n">
        <v>99.75</v>
      </c>
      <c r="E644" s="24" t="n">
        <v>260</v>
      </c>
      <c r="F644" s="24">
        <f>D644*E644</f>
        <v/>
      </c>
      <c r="G644" s="22" t="n"/>
    </row>
    <row r="645">
      <c r="A645" s="22" t="inlineStr">
        <is>
          <t>1197</t>
        </is>
      </c>
      <c r="B645" s="11" t="inlineStr">
        <is>
          <t>Second class kail wood in scantling</t>
        </is>
      </c>
      <c r="C645" s="22" t="inlineStr">
        <is>
          <t>10 cudm</t>
        </is>
      </c>
      <c r="D645" s="23" t="n">
        <v>105</v>
      </c>
      <c r="E645" s="24" t="n">
        <v>260</v>
      </c>
      <c r="F645" s="24">
        <f>D645*E645</f>
        <v/>
      </c>
      <c r="G645" s="22" t="n"/>
    </row>
    <row r="646">
      <c r="A646" s="22" t="inlineStr">
        <is>
          <t>0302</t>
        </is>
      </c>
      <c r="B646" s="11" t="inlineStr">
        <is>
          <t>Safeda ballies 125 mm diameter and 1.5m long</t>
        </is>
      </c>
      <c r="C646" s="22" t="inlineStr">
        <is>
          <t>metre</t>
        </is>
      </c>
      <c r="D646" s="23" t="n">
        <v>44.63</v>
      </c>
      <c r="E646" s="24" t="n">
        <v>40</v>
      </c>
      <c r="F646" s="24">
        <f>D646*E646</f>
        <v/>
      </c>
      <c r="G646" s="22" t="n"/>
    </row>
    <row r="647">
      <c r="A647" s="22" t="inlineStr">
        <is>
          <t>2204</t>
        </is>
      </c>
      <c r="B647" s="11" t="inlineStr">
        <is>
          <t>Carriage of Timber</t>
        </is>
      </c>
      <c r="C647" s="22" t="inlineStr">
        <is>
          <t>cum</t>
        </is>
      </c>
      <c r="D647" s="23" t="n">
        <v>1.485</v>
      </c>
      <c r="E647" s="24" t="n">
        <v>118.59</v>
      </c>
      <c r="F647" s="24">
        <f>D647*E647</f>
        <v/>
      </c>
      <c r="G647" s="22" t="n"/>
    </row>
    <row r="648">
      <c r="A648" s="8" t="inlineStr">
        <is>
          <t>Calculated W - SUM of the Amount column above</t>
        </is>
      </c>
      <c r="B648" s="9" t="n"/>
      <c r="C648" s="9" t="n"/>
      <c r="D648" s="9" t="n"/>
      <c r="E648" s="9" t="n"/>
      <c r="F648" s="25">
        <f>SUM(F644:F647)</f>
        <v/>
      </c>
      <c r="G648" s="9" t="n"/>
    </row>
    <row r="649">
      <c r="A649" s="26" t="inlineStr">
        <is>
          <t>W as printed in the DAR</t>
        </is>
      </c>
      <c r="B649" s="22" t="n"/>
      <c r="C649" s="22" t="n"/>
      <c r="D649" s="22" t="n"/>
      <c r="E649" s="22" t="n"/>
      <c r="F649" s="27" t="n">
        <v>55196.31</v>
      </c>
      <c r="G649" s="22" t="n"/>
    </row>
    <row r="650">
      <c r="A650" s="26" t="inlineStr">
        <is>
          <t>Difference (calculated - printed)</t>
        </is>
      </c>
      <c r="B650" s="22" t="n"/>
      <c r="C650" s="22" t="n"/>
      <c r="D650" s="22" t="n"/>
      <c r="E650" s="22" t="n"/>
      <c r="F650" s="27">
        <f>F648-F649</f>
        <v/>
      </c>
      <c r="G650" s="22" t="n"/>
    </row>
    <row r="651">
      <c r="A651" s="29" t="inlineStr">
        <is>
          <t>SAY (Rs.) - final DAR rate as printed (fixed value, not computed)</t>
        </is>
      </c>
      <c r="B651" s="30" t="n"/>
      <c r="C651" s="30" t="n"/>
      <c r="D651" s="30" t="n"/>
      <c r="E651" s="30" t="n"/>
      <c r="F651" s="31" t="n">
        <v>820.55</v>
      </c>
      <c r="G651" s="30" t="n"/>
    </row>
    <row r="653" ht="18.5" customHeight="1">
      <c r="A653" s="8" t="inlineStr">
        <is>
          <t>2.24</t>
        </is>
      </c>
      <c r="B653" s="17" t="inlineStr">
        <is>
          <t>Extra rates for quantities of works, executed:</t>
        </is>
      </c>
      <c r="C653" s="9" t="n"/>
      <c r="D653" s="9" t="n"/>
      <c r="E653" s="9" t="n"/>
      <c r="F653" s="9" t="n"/>
      <c r="G653" s="9" t="n"/>
    </row>
    <row r="654" ht="18.5" customHeight="1">
      <c r="A654" s="18" t="inlineStr">
        <is>
          <t>2.24.1</t>
        </is>
      </c>
      <c r="B654" s="19" t="inlineStr">
        <is>
          <t>In or under water and/or liquid mud, including pumping out water as required</t>
        </is>
      </c>
      <c r="C654" s="20" t="n"/>
      <c r="D654" s="20" t="n"/>
      <c r="E654" s="20" t="n"/>
      <c r="F654" s="20" t="n"/>
      <c r="G654" s="20" t="n"/>
    </row>
    <row r="655">
      <c r="A655" s="21" t="inlineStr">
        <is>
          <t>Details of cost for 1 %   |   Hand-transcribed (provisional): not machine-checked against the PDF</t>
        </is>
      </c>
    </row>
    <row r="656">
      <c r="A656" s="32" t="inlineStr">
        <is>
          <t>Percentage-based item (no resource breakdown in the source document).</t>
        </is>
      </c>
      <c r="B656" s="22" t="n"/>
      <c r="C656" s="22" t="n"/>
      <c r="D656" s="22" t="n"/>
      <c r="E656" s="22" t="n"/>
      <c r="F656" s="33" t="n">
        <v>0.2</v>
      </c>
      <c r="G656" s="22" t="n"/>
    </row>
    <row r="658" ht="18.5" customHeight="1">
      <c r="A658" s="8" t="inlineStr">
        <is>
          <t>2.24</t>
        </is>
      </c>
      <c r="B658" s="17" t="inlineStr">
        <is>
          <t>Extra rates for quantities of works, executed:</t>
        </is>
      </c>
      <c r="C658" s="9" t="n"/>
      <c r="D658" s="9" t="n"/>
      <c r="E658" s="9" t="n"/>
      <c r="F658" s="9" t="n"/>
      <c r="G658" s="9" t="n"/>
    </row>
    <row r="659" ht="18.5" customHeight="1">
      <c r="A659" s="18" t="inlineStr">
        <is>
          <t>2.24.2</t>
        </is>
      </c>
      <c r="B659" s="19" t="inlineStr">
        <is>
          <t>In or under foul position, including pumping out water as required</t>
        </is>
      </c>
      <c r="C659" s="20" t="n"/>
      <c r="D659" s="20" t="n"/>
      <c r="E659" s="20" t="n"/>
      <c r="F659" s="20" t="n"/>
      <c r="G659" s="20" t="n"/>
    </row>
    <row r="660">
      <c r="A660" s="21" t="inlineStr">
        <is>
          <t>Details of cost for 1 %   |   Hand-transcribed (provisional): not machine-checked against the PDF</t>
        </is>
      </c>
    </row>
    <row r="661">
      <c r="A661" s="32" t="inlineStr">
        <is>
          <t>Percentage-based item (no resource breakdown in the source document).</t>
        </is>
      </c>
      <c r="B661" s="22" t="n"/>
      <c r="C661" s="22" t="n"/>
      <c r="D661" s="22" t="n"/>
      <c r="E661" s="22" t="n"/>
      <c r="F661" s="33" t="n">
        <v>0.25</v>
      </c>
      <c r="G661" s="22" t="n"/>
    </row>
    <row r="663" ht="33" customHeight="1">
      <c r="A663" s="18" t="inlineStr">
        <is>
          <t>2.25</t>
        </is>
      </c>
      <c r="B663" s="19" t="inlineStr">
        <is>
          <t>Filling available excavated earth (excluding rock) in trenches, plinth, sides of foundations etc. in layers not exceeding 20cm in depth, consolidating each deposited layer by ramming and watering, lead up to 50 m and lift upto 1.5 m.</t>
        </is>
      </c>
      <c r="C663" s="20" t="n"/>
      <c r="D663" s="20" t="n"/>
      <c r="E663" s="20" t="n"/>
      <c r="F663" s="20" t="n"/>
      <c r="G663" s="20" t="n"/>
    </row>
    <row r="664">
      <c r="A664" s="21" t="inlineStr">
        <is>
          <t>Details of cost for 10 cum   |   Hand-transcribed (provisional): not machine-checked against the PDF</t>
        </is>
      </c>
    </row>
    <row r="665">
      <c r="A665" s="5" t="inlineStr">
        <is>
          <t>Code</t>
        </is>
      </c>
      <c r="B665" s="5" t="inlineStr">
        <is>
          <t>Description</t>
        </is>
      </c>
      <c r="C665" s="5" t="inlineStr">
        <is>
          <t>Unit</t>
        </is>
      </c>
      <c r="D665" s="5" t="inlineStr">
        <is>
          <t>Quantity</t>
        </is>
      </c>
      <c r="E665" s="5" t="inlineStr">
        <is>
          <t>Rate (Rs.)</t>
        </is>
      </c>
      <c r="F665" s="5" t="inlineStr">
        <is>
          <t>Amount (Rs.)</t>
        </is>
      </c>
      <c r="G665" s="5" t="inlineStr">
        <is>
          <t>Note</t>
        </is>
      </c>
    </row>
    <row r="666">
      <c r="A666" s="22" t="inlineStr">
        <is>
          <t>0128</t>
        </is>
      </c>
      <c r="B666" s="11" t="inlineStr">
        <is>
          <t>Mate</t>
        </is>
      </c>
      <c r="C666" s="22" t="inlineStr">
        <is>
          <t>day</t>
        </is>
      </c>
      <c r="D666" s="23" t="n">
        <v>0.2</v>
      </c>
      <c r="E666" s="24" t="n">
        <v>617</v>
      </c>
      <c r="F666" s="24">
        <f>D666*E666</f>
        <v/>
      </c>
      <c r="G666" s="22" t="n"/>
    </row>
    <row r="667">
      <c r="A667" s="22" t="inlineStr">
        <is>
          <t>0115</t>
        </is>
      </c>
      <c r="B667" s="11" t="inlineStr">
        <is>
          <t>Coolie</t>
        </is>
      </c>
      <c r="C667" s="22" t="inlineStr">
        <is>
          <t>day</t>
        </is>
      </c>
      <c r="D667" s="23" t="n">
        <v>2.5</v>
      </c>
      <c r="E667" s="24" t="n">
        <v>558</v>
      </c>
      <c r="F667" s="24">
        <f>D667*E667</f>
        <v/>
      </c>
      <c r="G667" s="22" t="n"/>
    </row>
    <row r="668">
      <c r="A668" s="22" t="inlineStr">
        <is>
          <t>0101</t>
        </is>
      </c>
      <c r="B668" s="11" t="inlineStr">
        <is>
          <t>Bhisti</t>
        </is>
      </c>
      <c r="C668" s="22" t="inlineStr">
        <is>
          <t>day</t>
        </is>
      </c>
      <c r="D668" s="23" t="n">
        <v>0.2</v>
      </c>
      <c r="E668" s="24" t="n">
        <v>617</v>
      </c>
      <c r="F668" s="24">
        <f>D668*E668</f>
        <v/>
      </c>
      <c r="G668" s="22" t="n"/>
    </row>
    <row r="669">
      <c r="A669" s="8" t="inlineStr">
        <is>
          <t>Calculated W - SUM of the Amount column above</t>
        </is>
      </c>
      <c r="B669" s="9" t="n"/>
      <c r="C669" s="9" t="n"/>
      <c r="D669" s="9" t="n"/>
      <c r="E669" s="9" t="n"/>
      <c r="F669" s="25">
        <f>SUM(F666:F668)</f>
        <v/>
      </c>
      <c r="G669" s="9" t="n"/>
    </row>
    <row r="670">
      <c r="A670" s="26" t="inlineStr">
        <is>
          <t>W as printed in the DAR</t>
        </is>
      </c>
      <c r="B670" s="22" t="n"/>
      <c r="C670" s="22" t="n"/>
      <c r="D670" s="22" t="n"/>
      <c r="E670" s="22" t="n"/>
      <c r="F670" s="27" t="n">
        <v>1641.8</v>
      </c>
      <c r="G670" s="22" t="n"/>
    </row>
    <row r="671">
      <c r="A671" s="26" t="inlineStr">
        <is>
          <t>Difference (calculated - printed)</t>
        </is>
      </c>
      <c r="B671" s="22" t="n"/>
      <c r="C671" s="22" t="n"/>
      <c r="D671" s="22" t="n"/>
      <c r="E671" s="22" t="n"/>
      <c r="F671" s="27">
        <f>F669-F670</f>
        <v/>
      </c>
      <c r="G671" s="22" t="n"/>
    </row>
    <row r="672">
      <c r="A672" s="29" t="inlineStr">
        <is>
          <t>SAY (Rs.) - final DAR rate as printed (fixed value, not computed)</t>
        </is>
      </c>
      <c r="B672" s="30" t="n"/>
      <c r="C672" s="30" t="n"/>
      <c r="D672" s="30" t="n"/>
      <c r="E672" s="30" t="n"/>
      <c r="F672" s="31" t="n">
        <v>219.65</v>
      </c>
      <c r="G672" s="30" t="n"/>
    </row>
    <row r="674" ht="33" customHeight="1">
      <c r="A674" s="18" t="inlineStr">
        <is>
          <t>2.25(a)</t>
        </is>
      </c>
      <c r="B674" s="19" t="inlineStr">
        <is>
          <t>Excavating, supplying and filling of local earth (including royalty) by mechanical transport upto a lead of 5km also including ramming and watering of the earth in layers not exceeding 20 cm in trenches, plinth, sides of foundation etc. complete.</t>
        </is>
      </c>
      <c r="C674" s="20" t="n"/>
      <c r="D674" s="20" t="n"/>
      <c r="E674" s="20" t="n"/>
      <c r="F674" s="20" t="n"/>
      <c r="G674" s="20" t="n"/>
    </row>
    <row r="675">
      <c r="A675" s="21" t="inlineStr">
        <is>
          <t>Details of cost for 10 cum   |   Hand-transcribed (provisional): not machine-checked against the PDF</t>
        </is>
      </c>
    </row>
    <row r="676">
      <c r="A676" s="5" t="inlineStr">
        <is>
          <t>Code</t>
        </is>
      </c>
      <c r="B676" s="5" t="inlineStr">
        <is>
          <t>Description</t>
        </is>
      </c>
      <c r="C676" s="5" t="inlineStr">
        <is>
          <t>Unit</t>
        </is>
      </c>
      <c r="D676" s="5" t="inlineStr">
        <is>
          <t>Quantity</t>
        </is>
      </c>
      <c r="E676" s="5" t="inlineStr">
        <is>
          <t>Rate (Rs.)</t>
        </is>
      </c>
      <c r="F676" s="5" t="inlineStr">
        <is>
          <t>Amount (Rs.)</t>
        </is>
      </c>
      <c r="G676" s="5" t="inlineStr">
        <is>
          <t>Note</t>
        </is>
      </c>
    </row>
    <row r="677">
      <c r="A677" s="22" t="inlineStr">
        <is>
          <t>REF 2.6.1</t>
        </is>
      </c>
      <c r="B677" s="11" t="inlineStr">
        <is>
          <t>Rate as per item REF 2.6.1</t>
        </is>
      </c>
      <c r="C677" s="22" t="inlineStr">
        <is>
          <t>cum</t>
        </is>
      </c>
      <c r="D677" s="23" t="n">
        <v>10</v>
      </c>
      <c r="E677" s="24" t="n">
        <v>181.85</v>
      </c>
      <c r="F677" s="24">
        <f>D677*E677</f>
        <v/>
      </c>
      <c r="G677" s="22" t="n"/>
    </row>
    <row r="678">
      <c r="A678" s="22" t="inlineStr">
        <is>
          <t>REF 1.2.2</t>
        </is>
      </c>
      <c r="B678" s="11" t="inlineStr">
        <is>
          <t>Rate as per item REF 1.2.2</t>
        </is>
      </c>
      <c r="C678" s="22" t="inlineStr">
        <is>
          <t>cum</t>
        </is>
      </c>
      <c r="D678" s="23" t="n">
        <v>-10</v>
      </c>
      <c r="E678" s="24" t="n">
        <v>175.78</v>
      </c>
      <c r="F678" s="24">
        <f>D678*E678</f>
        <v/>
      </c>
      <c r="G678" s="22" t="n"/>
    </row>
    <row r="679">
      <c r="A679" s="22" t="inlineStr">
        <is>
          <t>REF 1.1.2</t>
        </is>
      </c>
      <c r="B679" s="11" t="inlineStr">
        <is>
          <t>Rate as per item REF 1.1.2</t>
        </is>
      </c>
      <c r="C679" s="22" t="inlineStr">
        <is>
          <t>cum</t>
        </is>
      </c>
      <c r="D679" s="23" t="n">
        <v>10</v>
      </c>
      <c r="E679" s="24" t="n">
        <v>201.83</v>
      </c>
      <c r="F679" s="24">
        <f>D679*E679</f>
        <v/>
      </c>
      <c r="G679" s="22" t="n"/>
    </row>
    <row r="680">
      <c r="A680" s="22" t="inlineStr">
        <is>
          <t>0979</t>
        </is>
      </c>
      <c r="B680" s="11" t="inlineStr">
        <is>
          <t>Royalty on earth</t>
        </is>
      </c>
      <c r="C680" s="22" t="inlineStr">
        <is>
          <t>cum</t>
        </is>
      </c>
      <c r="D680" s="23" t="n">
        <v>10</v>
      </c>
      <c r="E680" s="24" t="n">
        <v>40</v>
      </c>
      <c r="F680" s="24">
        <f>D680*E680</f>
        <v/>
      </c>
      <c r="G680" s="22" t="n"/>
    </row>
    <row r="681">
      <c r="A681" s="22" t="inlineStr">
        <is>
          <t>0114</t>
        </is>
      </c>
      <c r="B681" s="11" t="inlineStr">
        <is>
          <t>Beldar</t>
        </is>
      </c>
      <c r="C681" s="22" t="inlineStr">
        <is>
          <t>day</t>
        </is>
      </c>
      <c r="D681" s="23" t="n">
        <v>0.45</v>
      </c>
      <c r="E681" s="24" t="n">
        <v>558</v>
      </c>
      <c r="F681" s="24">
        <f>D681*E681</f>
        <v/>
      </c>
      <c r="G681" s="22" t="n"/>
    </row>
    <row r="682">
      <c r="A682" s="22" t="inlineStr">
        <is>
          <t>0101</t>
        </is>
      </c>
      <c r="B682" s="11" t="inlineStr">
        <is>
          <t>Bhisti</t>
        </is>
      </c>
      <c r="C682" s="22" t="inlineStr">
        <is>
          <t>day</t>
        </is>
      </c>
      <c r="D682" s="23" t="n">
        <v>0.35</v>
      </c>
      <c r="E682" s="24" t="n">
        <v>617</v>
      </c>
      <c r="F682" s="24">
        <f>D682*E682</f>
        <v/>
      </c>
      <c r="G682" s="22" t="n"/>
    </row>
    <row r="683">
      <c r="A683" s="8" t="inlineStr">
        <is>
          <t>Calculated W - SUM of the Amount column above</t>
        </is>
      </c>
      <c r="B683" s="9" t="n"/>
      <c r="C683" s="9" t="n"/>
      <c r="D683" s="9" t="n"/>
      <c r="E683" s="9" t="n"/>
      <c r="F683" s="25">
        <f>SUM(F677:F682)</f>
        <v/>
      </c>
      <c r="G683" s="9" t="n"/>
    </row>
    <row r="684">
      <c r="A684" s="26" t="inlineStr">
        <is>
          <t>W as printed in the DAR</t>
        </is>
      </c>
      <c r="B684" s="22" t="n"/>
      <c r="C684" s="22" t="n"/>
      <c r="D684" s="22" t="n"/>
      <c r="E684" s="22" t="n"/>
      <c r="F684" s="27" t="inlineStr">
        <is>
          <t>not printed</t>
        </is>
      </c>
      <c r="G684" s="28" t="inlineStr">
        <is>
          <t>This item prints no W (rate table or sub-analysis).</t>
        </is>
      </c>
    </row>
    <row r="685">
      <c r="A685" s="29" t="inlineStr">
        <is>
          <t>SAY (Rs.) - final DAR rate as printed (fixed value, not computed)</t>
        </is>
      </c>
      <c r="B685" s="30" t="n"/>
      <c r="C685" s="30" t="n"/>
      <c r="D685" s="30" t="n"/>
      <c r="E685" s="30" t="n"/>
      <c r="F685" s="31" t="n">
        <v>323.9</v>
      </c>
      <c r="G685" s="30" t="n"/>
    </row>
    <row r="687" ht="18.5" customHeight="1">
      <c r="A687" s="8" t="inlineStr">
        <is>
          <t>2.26</t>
        </is>
      </c>
      <c r="B687" s="17" t="inlineStr">
        <is>
          <t>Extra for every additional lift of 1.5 m or part thereof in excavation / banking excavated or stacked materials.</t>
        </is>
      </c>
      <c r="C687" s="9" t="n"/>
      <c r="D687" s="9" t="n"/>
      <c r="E687" s="9" t="n"/>
      <c r="F687" s="9" t="n"/>
      <c r="G687" s="9" t="n"/>
    </row>
    <row r="688" ht="18.5" customHeight="1">
      <c r="A688" s="18" t="inlineStr">
        <is>
          <t>2.26.1</t>
        </is>
      </c>
      <c r="B688" s="19" t="inlineStr">
        <is>
          <t>All kinds of soil</t>
        </is>
      </c>
      <c r="C688" s="20" t="n"/>
      <c r="D688" s="20" t="n"/>
      <c r="E688" s="20" t="n"/>
      <c r="F688" s="20" t="n"/>
      <c r="G688" s="20" t="n"/>
    </row>
    <row r="689">
      <c r="A689" s="21" t="inlineStr">
        <is>
          <t>Details of cost for 10 cum   |   Hand-transcribed (provisional): not machine-checked against the PDF</t>
        </is>
      </c>
    </row>
    <row r="690">
      <c r="A690" s="5" t="inlineStr">
        <is>
          <t>Code</t>
        </is>
      </c>
      <c r="B690" s="5" t="inlineStr">
        <is>
          <t>Description</t>
        </is>
      </c>
      <c r="C690" s="5" t="inlineStr">
        <is>
          <t>Unit</t>
        </is>
      </c>
      <c r="D690" s="5" t="inlineStr">
        <is>
          <t>Quantity</t>
        </is>
      </c>
      <c r="E690" s="5" t="inlineStr">
        <is>
          <t>Rate (Rs.)</t>
        </is>
      </c>
      <c r="F690" s="5" t="inlineStr">
        <is>
          <t>Amount (Rs.)</t>
        </is>
      </c>
      <c r="G690" s="5" t="inlineStr">
        <is>
          <t>Note</t>
        </is>
      </c>
    </row>
    <row r="691">
      <c r="A691" s="22" t="inlineStr">
        <is>
          <t>0128</t>
        </is>
      </c>
      <c r="B691" s="11" t="inlineStr">
        <is>
          <t>Mate</t>
        </is>
      </c>
      <c r="C691" s="22" t="inlineStr">
        <is>
          <t>day</t>
        </is>
      </c>
      <c r="D691" s="23" t="n">
        <v>0.1</v>
      </c>
      <c r="E691" s="24" t="n">
        <v>617</v>
      </c>
      <c r="F691" s="24">
        <f>D691*E691</f>
        <v/>
      </c>
      <c r="G691" s="22" t="n"/>
    </row>
    <row r="692">
      <c r="A692" s="22" t="inlineStr">
        <is>
          <t>0114</t>
        </is>
      </c>
      <c r="B692" s="11" t="inlineStr">
        <is>
          <t>Beldar</t>
        </is>
      </c>
      <c r="C692" s="22" t="inlineStr">
        <is>
          <t>day</t>
        </is>
      </c>
      <c r="D692" s="23" t="n">
        <v>1.1</v>
      </c>
      <c r="E692" s="24" t="n">
        <v>558</v>
      </c>
      <c r="F692" s="24">
        <f>D692*E692</f>
        <v/>
      </c>
      <c r="G692" s="22" t="n"/>
    </row>
    <row r="693">
      <c r="A693" s="8" t="inlineStr">
        <is>
          <t>Calculated W - SUM of the Amount column above</t>
        </is>
      </c>
      <c r="B693" s="9" t="n"/>
      <c r="C693" s="9" t="n"/>
      <c r="D693" s="9" t="n"/>
      <c r="E693" s="9" t="n"/>
      <c r="F693" s="25">
        <f>SUM(F691:F692)</f>
        <v/>
      </c>
      <c r="G693" s="9" t="n"/>
    </row>
    <row r="694">
      <c r="A694" s="26" t="inlineStr">
        <is>
          <t>W as printed in the DAR</t>
        </is>
      </c>
      <c r="B694" s="22" t="n"/>
      <c r="C694" s="22" t="n"/>
      <c r="D694" s="22" t="n"/>
      <c r="E694" s="22" t="n"/>
      <c r="F694" s="27" t="n">
        <v>675.5</v>
      </c>
      <c r="G694" s="22" t="n"/>
    </row>
    <row r="695">
      <c r="A695" s="26" t="inlineStr">
        <is>
          <t>Difference (calculated - printed)</t>
        </is>
      </c>
      <c r="B695" s="22" t="n"/>
      <c r="C695" s="22" t="n"/>
      <c r="D695" s="22" t="n"/>
      <c r="E695" s="22" t="n"/>
      <c r="F695" s="27">
        <f>F693-F694</f>
        <v/>
      </c>
      <c r="G695" s="22" t="n"/>
    </row>
    <row r="696">
      <c r="A696" s="29" t="inlineStr">
        <is>
          <t>SAY (Rs.) - final DAR rate as printed (fixed value, not computed)</t>
        </is>
      </c>
      <c r="B696" s="30" t="n"/>
      <c r="C696" s="30" t="n"/>
      <c r="D696" s="30" t="n"/>
      <c r="E696" s="30" t="n"/>
      <c r="F696" s="31" t="n">
        <v>90.40000000000001</v>
      </c>
      <c r="G696" s="30" t="n"/>
    </row>
    <row r="698" ht="18.5" customHeight="1">
      <c r="A698" s="8" t="inlineStr">
        <is>
          <t>2.26</t>
        </is>
      </c>
      <c r="B698" s="17" t="inlineStr">
        <is>
          <t>Extra for every additional lift of 1.5 m or part thereof in excavation / banking excavated or stacked materials.</t>
        </is>
      </c>
      <c r="C698" s="9" t="n"/>
      <c r="D698" s="9" t="n"/>
      <c r="E698" s="9" t="n"/>
      <c r="F698" s="9" t="n"/>
      <c r="G698" s="9" t="n"/>
    </row>
    <row r="699" ht="18.5" customHeight="1">
      <c r="A699" s="18" t="inlineStr">
        <is>
          <t>2.26.2</t>
        </is>
      </c>
      <c r="B699" s="19" t="inlineStr">
        <is>
          <t>Ordinary or hard rock</t>
        </is>
      </c>
      <c r="C699" s="20" t="n"/>
      <c r="D699" s="20" t="n"/>
      <c r="E699" s="20" t="n"/>
      <c r="F699" s="20" t="n"/>
      <c r="G699" s="20" t="n"/>
    </row>
    <row r="700">
      <c r="A700" s="21" t="inlineStr">
        <is>
          <t>Details of cost for 10 cum   |   Hand-transcribed (provisional): not machine-checked against the PDF</t>
        </is>
      </c>
    </row>
    <row r="701">
      <c r="A701" s="5" t="inlineStr">
        <is>
          <t>Code</t>
        </is>
      </c>
      <c r="B701" s="5" t="inlineStr">
        <is>
          <t>Description</t>
        </is>
      </c>
      <c r="C701" s="5" t="inlineStr">
        <is>
          <t>Unit</t>
        </is>
      </c>
      <c r="D701" s="5" t="inlineStr">
        <is>
          <t>Quantity</t>
        </is>
      </c>
      <c r="E701" s="5" t="inlineStr">
        <is>
          <t>Rate (Rs.)</t>
        </is>
      </c>
      <c r="F701" s="5" t="inlineStr">
        <is>
          <t>Amount (Rs.)</t>
        </is>
      </c>
      <c r="G701" s="5" t="inlineStr">
        <is>
          <t>Note</t>
        </is>
      </c>
    </row>
    <row r="702">
      <c r="A702" s="22" t="inlineStr">
        <is>
          <t>0128</t>
        </is>
      </c>
      <c r="B702" s="11" t="inlineStr">
        <is>
          <t>Mate</t>
        </is>
      </c>
      <c r="C702" s="22" t="inlineStr">
        <is>
          <t>day</t>
        </is>
      </c>
      <c r="D702" s="23" t="n">
        <v>0.2</v>
      </c>
      <c r="E702" s="24" t="n">
        <v>617</v>
      </c>
      <c r="F702" s="24">
        <f>D702*E702</f>
        <v/>
      </c>
      <c r="G702" s="22" t="n"/>
    </row>
    <row r="703">
      <c r="A703" s="22" t="inlineStr">
        <is>
          <t>0114</t>
        </is>
      </c>
      <c r="B703" s="11" t="inlineStr">
        <is>
          <t>Beldar</t>
        </is>
      </c>
      <c r="C703" s="22" t="inlineStr">
        <is>
          <t>day</t>
        </is>
      </c>
      <c r="D703" s="23" t="n">
        <v>1.95</v>
      </c>
      <c r="E703" s="24" t="n">
        <v>558</v>
      </c>
      <c r="F703" s="24">
        <f>D703*E703</f>
        <v/>
      </c>
      <c r="G703" s="22" t="n"/>
    </row>
    <row r="704">
      <c r="A704" s="8" t="inlineStr">
        <is>
          <t>Calculated W - SUM of the Amount column above</t>
        </is>
      </c>
      <c r="B704" s="9" t="n"/>
      <c r="C704" s="9" t="n"/>
      <c r="D704" s="9" t="n"/>
      <c r="E704" s="9" t="n"/>
      <c r="F704" s="25">
        <f>SUM(F702:F703)</f>
        <v/>
      </c>
      <c r="G704" s="9" t="n"/>
    </row>
    <row r="705">
      <c r="A705" s="26" t="inlineStr">
        <is>
          <t>W as printed in the DAR</t>
        </is>
      </c>
      <c r="B705" s="22" t="n"/>
      <c r="C705" s="22" t="n"/>
      <c r="D705" s="22" t="n"/>
      <c r="E705" s="22" t="n"/>
      <c r="F705" s="27" t="n">
        <v>1211.5</v>
      </c>
      <c r="G705" s="22" t="n"/>
    </row>
    <row r="706">
      <c r="A706" s="26" t="inlineStr">
        <is>
          <t>Difference (calculated - printed)</t>
        </is>
      </c>
      <c r="B706" s="22" t="n"/>
      <c r="C706" s="22" t="n"/>
      <c r="D706" s="22" t="n"/>
      <c r="E706" s="22" t="n"/>
      <c r="F706" s="27">
        <f>F704-F705</f>
        <v/>
      </c>
      <c r="G706" s="22" t="n"/>
    </row>
    <row r="707">
      <c r="A707" s="29" t="inlineStr">
        <is>
          <t>SAY (Rs.) - final DAR rate as printed (fixed value, not computed)</t>
        </is>
      </c>
      <c r="B707" s="30" t="n"/>
      <c r="C707" s="30" t="n"/>
      <c r="D707" s="30" t="n"/>
      <c r="E707" s="30" t="n"/>
      <c r="F707" s="31" t="n">
        <v>162.1</v>
      </c>
      <c r="G707" s="30" t="n"/>
    </row>
    <row r="709" ht="18.5" customHeight="1">
      <c r="A709" s="18" t="inlineStr">
        <is>
          <t>2.27</t>
        </is>
      </c>
      <c r="B709" s="19" t="inlineStr">
        <is>
          <t>Supplying and filling in plinth with sand under floors, including watering, ramming, consolidating and dressing complete.</t>
        </is>
      </c>
      <c r="C709" s="20" t="n"/>
      <c r="D709" s="20" t="n"/>
      <c r="E709" s="20" t="n"/>
      <c r="F709" s="20" t="n"/>
      <c r="G709" s="20" t="n"/>
    </row>
    <row r="710">
      <c r="A710" s="21" t="inlineStr">
        <is>
          <t>Details of cost for 10 cum   |   Hand-transcribed (provisional): not machine-checked against the PDF</t>
        </is>
      </c>
    </row>
    <row r="711">
      <c r="A711" s="5" t="inlineStr">
        <is>
          <t>Code</t>
        </is>
      </c>
      <c r="B711" s="5" t="inlineStr">
        <is>
          <t>Description</t>
        </is>
      </c>
      <c r="C711" s="5" t="inlineStr">
        <is>
          <t>Unit</t>
        </is>
      </c>
      <c r="D711" s="5" t="inlineStr">
        <is>
          <t>Quantity</t>
        </is>
      </c>
      <c r="E711" s="5" t="inlineStr">
        <is>
          <t>Rate (Rs.)</t>
        </is>
      </c>
      <c r="F711" s="5" t="inlineStr">
        <is>
          <t>Amount (Rs.)</t>
        </is>
      </c>
      <c r="G711" s="5" t="inlineStr">
        <is>
          <t>Note</t>
        </is>
      </c>
    </row>
    <row r="712">
      <c r="A712" s="22" t="inlineStr">
        <is>
          <t>6501</t>
        </is>
      </c>
      <c r="B712" s="11" t="inlineStr">
        <is>
          <t>Sand Zone V</t>
        </is>
      </c>
      <c r="C712" s="22" t="inlineStr">
        <is>
          <t>cum</t>
        </is>
      </c>
      <c r="D712" s="23" t="n">
        <v>10</v>
      </c>
      <c r="E712" s="24" t="n">
        <v>1225</v>
      </c>
      <c r="F712" s="24">
        <f>D712*E712</f>
        <v/>
      </c>
      <c r="G712" s="22" t="n"/>
    </row>
    <row r="713">
      <c r="A713" s="22" t="inlineStr">
        <is>
          <t>2335</t>
        </is>
      </c>
      <c r="B713" s="11" t="inlineStr">
        <is>
          <t>Carriage of sand by road</t>
        </is>
      </c>
      <c r="C713" s="22" t="inlineStr">
        <is>
          <t>cum</t>
        </is>
      </c>
      <c r="D713" s="23" t="n">
        <v>10</v>
      </c>
      <c r="E713" s="24" t="n">
        <v>103.77</v>
      </c>
      <c r="F713" s="24">
        <f>D713*E713</f>
        <v/>
      </c>
      <c r="G713" s="22" t="n"/>
    </row>
    <row r="714">
      <c r="A714" s="22" t="inlineStr">
        <is>
          <t>0114</t>
        </is>
      </c>
      <c r="B714" s="11" t="inlineStr">
        <is>
          <t>Beldar</t>
        </is>
      </c>
      <c r="C714" s="22" t="inlineStr">
        <is>
          <t>day</t>
        </is>
      </c>
      <c r="D714" s="23" t="n">
        <v>0.89</v>
      </c>
      <c r="E714" s="24" t="n">
        <v>558</v>
      </c>
      <c r="F714" s="24">
        <f>D714*E714</f>
        <v/>
      </c>
      <c r="G714" s="22" t="n"/>
    </row>
    <row r="715">
      <c r="A715" s="22" t="inlineStr">
        <is>
          <t>0115</t>
        </is>
      </c>
      <c r="B715" s="11" t="inlineStr">
        <is>
          <t>Coolie</t>
        </is>
      </c>
      <c r="C715" s="22" t="inlineStr">
        <is>
          <t>day</t>
        </is>
      </c>
      <c r="D715" s="23" t="n">
        <v>1.07</v>
      </c>
      <c r="E715" s="24" t="n">
        <v>558</v>
      </c>
      <c r="F715" s="24">
        <f>D715*E715</f>
        <v/>
      </c>
      <c r="G715" s="22" t="n"/>
    </row>
    <row r="716">
      <c r="A716" s="22" t="inlineStr">
        <is>
          <t>0101</t>
        </is>
      </c>
      <c r="B716" s="11" t="inlineStr">
        <is>
          <t>Bhisti</t>
        </is>
      </c>
      <c r="C716" s="22" t="inlineStr">
        <is>
          <t>day</t>
        </is>
      </c>
      <c r="D716" s="23" t="n">
        <v>0.35</v>
      </c>
      <c r="E716" s="24" t="n">
        <v>617</v>
      </c>
      <c r="F716" s="24">
        <f>D716*E716</f>
        <v/>
      </c>
      <c r="G716" s="22" t="n"/>
    </row>
    <row r="717">
      <c r="A717" s="8" t="inlineStr">
        <is>
          <t>Calculated W - SUM of the Amount column above</t>
        </is>
      </c>
      <c r="B717" s="9" t="n"/>
      <c r="C717" s="9" t="n"/>
      <c r="D717" s="9" t="n"/>
      <c r="E717" s="9" t="n"/>
      <c r="F717" s="25">
        <f>SUM(F712:F716)</f>
        <v/>
      </c>
      <c r="G717" s="9" t="n"/>
    </row>
    <row r="718">
      <c r="A718" s="26" t="inlineStr">
        <is>
          <t>W as printed in the DAR</t>
        </is>
      </c>
      <c r="B718" s="22" t="n"/>
      <c r="C718" s="22" t="n"/>
      <c r="D718" s="22" t="n"/>
      <c r="E718" s="22" t="n"/>
      <c r="F718" s="27" t="n">
        <v>14597.33</v>
      </c>
      <c r="G718" s="22" t="n"/>
    </row>
    <row r="719">
      <c r="A719" s="26" t="inlineStr">
        <is>
          <t>Difference (calculated - printed)</t>
        </is>
      </c>
      <c r="B719" s="22" t="n"/>
      <c r="C719" s="22" t="n"/>
      <c r="D719" s="22" t="n"/>
      <c r="E719" s="22" t="n"/>
      <c r="F719" s="27">
        <f>F717-F718</f>
        <v/>
      </c>
      <c r="G719" s="22" t="n"/>
    </row>
    <row r="720">
      <c r="A720" s="29" t="inlineStr">
        <is>
          <t>SAY (Rs.) - final DAR rate as printed (fixed value, not computed)</t>
        </is>
      </c>
      <c r="B720" s="30" t="n"/>
      <c r="C720" s="30" t="n"/>
      <c r="D720" s="30" t="n"/>
      <c r="E720" s="30" t="n"/>
      <c r="F720" s="31" t="n">
        <v>1953.05</v>
      </c>
      <c r="G720" s="30" t="n"/>
    </row>
    <row r="722" ht="33" customHeight="1">
      <c r="A722" s="8" t="inlineStr">
        <is>
          <t>2.28</t>
        </is>
      </c>
      <c r="B722" s="17" t="inlineStr">
        <is>
          <t>Surface dressing of the ground including removing vegetation and in-equalities not exceeding 15 cm deep and disposal of rubbish, lead up to 50 m and lift up to 1.5 m.</t>
        </is>
      </c>
      <c r="C722" s="9" t="n"/>
      <c r="D722" s="9" t="n"/>
      <c r="E722" s="9" t="n"/>
      <c r="F722" s="9" t="n"/>
      <c r="G722" s="9" t="n"/>
    </row>
    <row r="723" ht="18.5" customHeight="1">
      <c r="A723" s="18" t="inlineStr">
        <is>
          <t>2.28.1</t>
        </is>
      </c>
      <c r="B723" s="19" t="inlineStr">
        <is>
          <t>All kinds of soil</t>
        </is>
      </c>
      <c r="C723" s="20" t="n"/>
      <c r="D723" s="20" t="n"/>
      <c r="E723" s="20" t="n"/>
      <c r="F723" s="20" t="n"/>
      <c r="G723" s="20" t="n"/>
    </row>
    <row r="724">
      <c r="A724" s="21" t="inlineStr">
        <is>
          <t>Details of cost for 100 sqm   |   Hand-transcribed (provisional): not machine-checked against the PDF</t>
        </is>
      </c>
    </row>
    <row r="725">
      <c r="A725" s="5" t="inlineStr">
        <is>
          <t>Code</t>
        </is>
      </c>
      <c r="B725" s="5" t="inlineStr">
        <is>
          <t>Description</t>
        </is>
      </c>
      <c r="C725" s="5" t="inlineStr">
        <is>
          <t>Unit</t>
        </is>
      </c>
      <c r="D725" s="5" t="inlineStr">
        <is>
          <t>Quantity</t>
        </is>
      </c>
      <c r="E725" s="5" t="inlineStr">
        <is>
          <t>Rate (Rs.)</t>
        </is>
      </c>
      <c r="F725" s="5" t="inlineStr">
        <is>
          <t>Amount (Rs.)</t>
        </is>
      </c>
      <c r="G725" s="5" t="inlineStr">
        <is>
          <t>Note</t>
        </is>
      </c>
    </row>
    <row r="726">
      <c r="A726" s="22" t="inlineStr">
        <is>
          <t>0114</t>
        </is>
      </c>
      <c r="B726" s="11" t="inlineStr">
        <is>
          <t>Beldar</t>
        </is>
      </c>
      <c r="C726" s="22" t="inlineStr">
        <is>
          <t>day</t>
        </is>
      </c>
      <c r="D726" s="23" t="n">
        <v>1.97</v>
      </c>
      <c r="E726" s="24" t="n">
        <v>558</v>
      </c>
      <c r="F726" s="24">
        <f>D726*E726</f>
        <v/>
      </c>
      <c r="G726" s="22" t="n"/>
    </row>
    <row r="727">
      <c r="A727" s="22" t="inlineStr">
        <is>
          <t>0115</t>
        </is>
      </c>
      <c r="B727" s="11" t="inlineStr">
        <is>
          <t>Coolie</t>
        </is>
      </c>
      <c r="C727" s="22" t="inlineStr">
        <is>
          <t>day</t>
        </is>
      </c>
      <c r="D727" s="23" t="n">
        <v>1.29</v>
      </c>
      <c r="E727" s="24" t="n">
        <v>558</v>
      </c>
      <c r="F727" s="24">
        <f>D727*E727</f>
        <v/>
      </c>
      <c r="G727" s="22" t="n"/>
    </row>
    <row r="728">
      <c r="A728" s="8" t="inlineStr">
        <is>
          <t>Calculated W - SUM of the Amount column above</t>
        </is>
      </c>
      <c r="B728" s="9" t="n"/>
      <c r="C728" s="9" t="n"/>
      <c r="D728" s="9" t="n"/>
      <c r="E728" s="9" t="n"/>
      <c r="F728" s="25">
        <f>SUM(F726:F727)</f>
        <v/>
      </c>
      <c r="G728" s="9" t="n"/>
    </row>
    <row r="729">
      <c r="A729" s="26" t="inlineStr">
        <is>
          <t>W as printed in the DAR</t>
        </is>
      </c>
      <c r="B729" s="22" t="n"/>
      <c r="C729" s="22" t="n"/>
      <c r="D729" s="22" t="n"/>
      <c r="E729" s="22" t="n"/>
      <c r="F729" s="27" t="n">
        <v>1819.08</v>
      </c>
      <c r="G729" s="22" t="n"/>
    </row>
    <row r="730">
      <c r="A730" s="26" t="inlineStr">
        <is>
          <t>Difference (calculated - printed)</t>
        </is>
      </c>
      <c r="B730" s="22" t="n"/>
      <c r="C730" s="22" t="n"/>
      <c r="D730" s="22" t="n"/>
      <c r="E730" s="22" t="n"/>
      <c r="F730" s="27">
        <f>F728-F729</f>
        <v/>
      </c>
      <c r="G730" s="22" t="n"/>
    </row>
    <row r="731">
      <c r="A731" s="29" t="inlineStr">
        <is>
          <t>SAY (Rs.) - final DAR rate as printed (fixed value, not computed)</t>
        </is>
      </c>
      <c r="B731" s="30" t="n"/>
      <c r="C731" s="30" t="n"/>
      <c r="D731" s="30" t="n"/>
      <c r="E731" s="30" t="n"/>
      <c r="F731" s="31" t="n">
        <v>24.35</v>
      </c>
      <c r="G731" s="30" t="n"/>
    </row>
    <row r="733" ht="33" customHeight="1">
      <c r="A733" s="8" t="inlineStr">
        <is>
          <t>2.28</t>
        </is>
      </c>
      <c r="B733" s="17" t="inlineStr">
        <is>
          <t>Surface dressing of the ground including removing vegetation and in-equalities not exceeding 15 cm deep and disposal of rubbish, lead up to 50 m and lift up to 1.5 m.</t>
        </is>
      </c>
      <c r="C733" s="9" t="n"/>
      <c r="D733" s="9" t="n"/>
      <c r="E733" s="9" t="n"/>
      <c r="F733" s="9" t="n"/>
      <c r="G733" s="9" t="n"/>
    </row>
    <row r="734" ht="18.5" customHeight="1">
      <c r="A734" s="18" t="inlineStr">
        <is>
          <t>2.28.2</t>
        </is>
      </c>
      <c r="B734" s="19" t="inlineStr">
        <is>
          <t>Hard soil</t>
        </is>
      </c>
      <c r="C734" s="20" t="n"/>
      <c r="D734" s="20" t="n"/>
      <c r="E734" s="20" t="n"/>
      <c r="F734" s="20" t="n"/>
      <c r="G734" s="20" t="n"/>
    </row>
    <row r="735">
      <c r="A735" s="21" t="inlineStr">
        <is>
          <t>Details of cost for 100 sqm   |   Hand-transcribed (provisional): not machine-checked against the PDF</t>
        </is>
      </c>
    </row>
    <row r="736">
      <c r="A736" s="5" t="inlineStr">
        <is>
          <t>Code</t>
        </is>
      </c>
      <c r="B736" s="5" t="inlineStr">
        <is>
          <t>Description</t>
        </is>
      </c>
      <c r="C736" s="5" t="inlineStr">
        <is>
          <t>Unit</t>
        </is>
      </c>
      <c r="D736" s="5" t="inlineStr">
        <is>
          <t>Quantity</t>
        </is>
      </c>
      <c r="E736" s="5" t="inlineStr">
        <is>
          <t>Rate (Rs.)</t>
        </is>
      </c>
      <c r="F736" s="5" t="inlineStr">
        <is>
          <t>Amount (Rs.)</t>
        </is>
      </c>
      <c r="G736" s="5" t="inlineStr">
        <is>
          <t>Note</t>
        </is>
      </c>
    </row>
    <row r="737">
      <c r="A737" s="22" t="inlineStr">
        <is>
          <t>0114</t>
        </is>
      </c>
      <c r="B737" s="11" t="inlineStr">
        <is>
          <t>Beldar</t>
        </is>
      </c>
      <c r="C737" s="22" t="inlineStr">
        <is>
          <t>day</t>
        </is>
      </c>
      <c r="D737" s="23" t="n">
        <v>2.5</v>
      </c>
      <c r="E737" s="24" t="n">
        <v>558</v>
      </c>
      <c r="F737" s="24">
        <f>D737*E737</f>
        <v/>
      </c>
      <c r="G737" s="22" t="n"/>
    </row>
    <row r="738">
      <c r="A738" s="22" t="inlineStr">
        <is>
          <t>0115</t>
        </is>
      </c>
      <c r="B738" s="11" t="inlineStr">
        <is>
          <t>Coolie</t>
        </is>
      </c>
      <c r="C738" s="22" t="inlineStr">
        <is>
          <t>day</t>
        </is>
      </c>
      <c r="D738" s="23" t="n">
        <v>1.6</v>
      </c>
      <c r="E738" s="24" t="n">
        <v>558</v>
      </c>
      <c r="F738" s="24">
        <f>D738*E738</f>
        <v/>
      </c>
      <c r="G738" s="22" t="n"/>
    </row>
    <row r="739">
      <c r="A739" s="8" t="inlineStr">
        <is>
          <t>Calculated W - SUM of the Amount column above</t>
        </is>
      </c>
      <c r="B739" s="9" t="n"/>
      <c r="C739" s="9" t="n"/>
      <c r="D739" s="9" t="n"/>
      <c r="E739" s="9" t="n"/>
      <c r="F739" s="25">
        <f>SUM(F737:F738)</f>
        <v/>
      </c>
      <c r="G739" s="9" t="n"/>
    </row>
    <row r="740">
      <c r="A740" s="26" t="inlineStr">
        <is>
          <t>W as printed in the DAR</t>
        </is>
      </c>
      <c r="B740" s="22" t="n"/>
      <c r="C740" s="22" t="n"/>
      <c r="D740" s="22" t="n"/>
      <c r="E740" s="22" t="n"/>
      <c r="F740" s="27" t="n">
        <v>2287.8</v>
      </c>
      <c r="G740" s="22" t="n"/>
    </row>
    <row r="741">
      <c r="A741" s="26" t="inlineStr">
        <is>
          <t>Difference (calculated - printed)</t>
        </is>
      </c>
      <c r="B741" s="22" t="n"/>
      <c r="C741" s="22" t="n"/>
      <c r="D741" s="22" t="n"/>
      <c r="E741" s="22" t="n"/>
      <c r="F741" s="27">
        <f>F739-F740</f>
        <v/>
      </c>
      <c r="G741" s="22" t="n"/>
    </row>
    <row r="742">
      <c r="A742" s="29" t="inlineStr">
        <is>
          <t>SAY (Rs.) - final DAR rate as printed (fixed value, not computed)</t>
        </is>
      </c>
      <c r="B742" s="30" t="n"/>
      <c r="C742" s="30" t="n"/>
      <c r="D742" s="30" t="n"/>
      <c r="E742" s="30" t="n"/>
      <c r="F742" s="31" t="n">
        <v>35.15</v>
      </c>
      <c r="G742" s="30" t="n"/>
    </row>
    <row r="744" ht="18.5" customHeight="1">
      <c r="A744" s="8" t="inlineStr">
        <is>
          <t>2.29</t>
        </is>
      </c>
      <c r="B744" s="17" t="inlineStr">
        <is>
          <t>Ploughing the existing ground to a depth of 15 cm to 25 cm and watering the same.</t>
        </is>
      </c>
      <c r="C744" s="9" t="n"/>
      <c r="D744" s="9" t="n"/>
      <c r="E744" s="9" t="n"/>
      <c r="F744" s="9" t="n"/>
      <c r="G744" s="9" t="n"/>
    </row>
    <row r="745" ht="18.5" customHeight="1">
      <c r="A745" s="18" t="inlineStr">
        <is>
          <t>2.29.1</t>
        </is>
      </c>
      <c r="B745" s="19" t="inlineStr">
        <is>
          <t>All kinds of soil</t>
        </is>
      </c>
      <c r="C745" s="20" t="n"/>
      <c r="D745" s="20" t="n"/>
      <c r="E745" s="20" t="n"/>
      <c r="F745" s="20" t="n"/>
      <c r="G745" s="20" t="n"/>
    </row>
    <row r="746">
      <c r="A746" s="21" t="inlineStr">
        <is>
          <t>Details of cost for 100 sqm   |   Hand-transcribed (provisional): not machine-checked against the PDF</t>
        </is>
      </c>
    </row>
    <row r="747">
      <c r="A747" s="5" t="inlineStr">
        <is>
          <t>Code</t>
        </is>
      </c>
      <c r="B747" s="5" t="inlineStr">
        <is>
          <t>Description</t>
        </is>
      </c>
      <c r="C747" s="5" t="inlineStr">
        <is>
          <t>Unit</t>
        </is>
      </c>
      <c r="D747" s="5" t="inlineStr">
        <is>
          <t>Quantity</t>
        </is>
      </c>
      <c r="E747" s="5" t="inlineStr">
        <is>
          <t>Rate (Rs.)</t>
        </is>
      </c>
      <c r="F747" s="5" t="inlineStr">
        <is>
          <t>Amount (Rs.)</t>
        </is>
      </c>
      <c r="G747" s="5" t="inlineStr">
        <is>
          <t>Note</t>
        </is>
      </c>
    </row>
    <row r="748">
      <c r="A748" s="22" t="inlineStr">
        <is>
          <t>0114</t>
        </is>
      </c>
      <c r="B748" s="11" t="inlineStr">
        <is>
          <t>Beldar</t>
        </is>
      </c>
      <c r="C748" s="22" t="inlineStr">
        <is>
          <t>day</t>
        </is>
      </c>
      <c r="D748" s="23" t="n">
        <v>2.75</v>
      </c>
      <c r="E748" s="24" t="n">
        <v>558</v>
      </c>
      <c r="F748" s="24">
        <f>D748*E748</f>
        <v/>
      </c>
      <c r="G748" s="22" t="n"/>
    </row>
    <row r="749">
      <c r="A749" s="22" t="inlineStr">
        <is>
          <t>0101</t>
        </is>
      </c>
      <c r="B749" s="11" t="inlineStr">
        <is>
          <t>Bhisti</t>
        </is>
      </c>
      <c r="C749" s="22" t="inlineStr">
        <is>
          <t>day</t>
        </is>
      </c>
      <c r="D749" s="23" t="n">
        <v>0.5</v>
      </c>
      <c r="E749" s="24" t="n">
        <v>617</v>
      </c>
      <c r="F749" s="24">
        <f>D749*E749</f>
        <v/>
      </c>
      <c r="G749" s="22" t="n"/>
    </row>
    <row r="750">
      <c r="A750" s="8" t="inlineStr">
        <is>
          <t>Calculated W - SUM of the Amount column above</t>
        </is>
      </c>
      <c r="B750" s="9" t="n"/>
      <c r="C750" s="9" t="n"/>
      <c r="D750" s="9" t="n"/>
      <c r="E750" s="9" t="n"/>
      <c r="F750" s="25">
        <f>SUM(F748:F749)</f>
        <v/>
      </c>
      <c r="G750" s="9" t="n"/>
    </row>
    <row r="751">
      <c r="A751" s="26" t="inlineStr">
        <is>
          <t>W as printed in the DAR</t>
        </is>
      </c>
      <c r="B751" s="22" t="n"/>
      <c r="C751" s="22" t="n"/>
      <c r="D751" s="22" t="n"/>
      <c r="E751" s="22" t="n"/>
      <c r="F751" s="27" t="n">
        <v>1843</v>
      </c>
      <c r="G751" s="22" t="n"/>
    </row>
    <row r="752">
      <c r="A752" s="26" t="inlineStr">
        <is>
          <t>Difference (calculated - printed)</t>
        </is>
      </c>
      <c r="B752" s="22" t="n"/>
      <c r="C752" s="22" t="n"/>
      <c r="D752" s="22" t="n"/>
      <c r="E752" s="22" t="n"/>
      <c r="F752" s="27">
        <f>F750-F751</f>
        <v/>
      </c>
      <c r="G752" s="22" t="n"/>
    </row>
    <row r="753">
      <c r="A753" s="29" t="inlineStr">
        <is>
          <t>SAY (Rs.) - final DAR rate as printed (fixed value, not computed)</t>
        </is>
      </c>
      <c r="B753" s="30" t="n"/>
      <c r="C753" s="30" t="n"/>
      <c r="D753" s="30" t="n"/>
      <c r="E753" s="30" t="n"/>
      <c r="F753" s="31" t="n">
        <v>24.65</v>
      </c>
      <c r="G753" s="30" t="n"/>
    </row>
    <row r="755" ht="18.5" customHeight="1">
      <c r="A755" s="8" t="inlineStr">
        <is>
          <t>2.29</t>
        </is>
      </c>
      <c r="B755" s="17" t="inlineStr">
        <is>
          <t>Ploughing the existing ground to a depth of 15 cm to 25 cm and watering the same.</t>
        </is>
      </c>
      <c r="C755" s="9" t="n"/>
      <c r="D755" s="9" t="n"/>
      <c r="E755" s="9" t="n"/>
      <c r="F755" s="9" t="n"/>
      <c r="G755" s="9" t="n"/>
    </row>
    <row r="756" ht="18.5" customHeight="1">
      <c r="A756" s="18" t="inlineStr">
        <is>
          <t>2.29.2</t>
        </is>
      </c>
      <c r="B756" s="19" t="inlineStr">
        <is>
          <t>Hard soil</t>
        </is>
      </c>
      <c r="C756" s="20" t="n"/>
      <c r="D756" s="20" t="n"/>
      <c r="E756" s="20" t="n"/>
      <c r="F756" s="20" t="n"/>
      <c r="G756" s="20" t="n"/>
    </row>
    <row r="757">
      <c r="A757" s="21" t="inlineStr">
        <is>
          <t>Details of cost for 100 sqm   |   Hand-transcribed (provisional): not machine-checked against the PDF</t>
        </is>
      </c>
    </row>
    <row r="758">
      <c r="A758" s="5" t="inlineStr">
        <is>
          <t>Code</t>
        </is>
      </c>
      <c r="B758" s="5" t="inlineStr">
        <is>
          <t>Description</t>
        </is>
      </c>
      <c r="C758" s="5" t="inlineStr">
        <is>
          <t>Unit</t>
        </is>
      </c>
      <c r="D758" s="5" t="inlineStr">
        <is>
          <t>Quantity</t>
        </is>
      </c>
      <c r="E758" s="5" t="inlineStr">
        <is>
          <t>Rate (Rs.)</t>
        </is>
      </c>
      <c r="F758" s="5" t="inlineStr">
        <is>
          <t>Amount (Rs.)</t>
        </is>
      </c>
      <c r="G758" s="5" t="inlineStr">
        <is>
          <t>Note</t>
        </is>
      </c>
    </row>
    <row r="759">
      <c r="A759" s="22" t="inlineStr">
        <is>
          <t>0114</t>
        </is>
      </c>
      <c r="B759" s="11" t="inlineStr">
        <is>
          <t>Beldar</t>
        </is>
      </c>
      <c r="C759" s="22" t="inlineStr">
        <is>
          <t>day</t>
        </is>
      </c>
      <c r="D759" s="23" t="n">
        <v>3.3</v>
      </c>
      <c r="E759" s="24" t="n">
        <v>558</v>
      </c>
      <c r="F759" s="24">
        <f>D759*E759</f>
        <v/>
      </c>
      <c r="G759" s="22" t="n"/>
    </row>
    <row r="760">
      <c r="A760" s="22" t="inlineStr">
        <is>
          <t>0101</t>
        </is>
      </c>
      <c r="B760" s="11" t="inlineStr">
        <is>
          <t>Bhisti</t>
        </is>
      </c>
      <c r="C760" s="22" t="inlineStr">
        <is>
          <t>day</t>
        </is>
      </c>
      <c r="D760" s="23" t="n">
        <v>0.6</v>
      </c>
      <c r="E760" s="24" t="n">
        <v>617</v>
      </c>
      <c r="F760" s="24">
        <f>D760*E760</f>
        <v/>
      </c>
      <c r="G760" s="22" t="n"/>
    </row>
    <row r="761">
      <c r="A761" s="8" t="inlineStr">
        <is>
          <t>Calculated W - SUM of the Amount column above</t>
        </is>
      </c>
      <c r="B761" s="9" t="n"/>
      <c r="C761" s="9" t="n"/>
      <c r="D761" s="9" t="n"/>
      <c r="E761" s="9" t="n"/>
      <c r="F761" s="25">
        <f>SUM(F759:F760)</f>
        <v/>
      </c>
      <c r="G761" s="9" t="n"/>
    </row>
    <row r="762">
      <c r="A762" s="26" t="inlineStr">
        <is>
          <t>W as printed in the DAR</t>
        </is>
      </c>
      <c r="B762" s="22" t="n"/>
      <c r="C762" s="22" t="n"/>
      <c r="D762" s="22" t="n"/>
      <c r="E762" s="22" t="n"/>
      <c r="F762" s="27" t="n">
        <v>2211.6</v>
      </c>
      <c r="G762" s="22" t="n"/>
    </row>
    <row r="763">
      <c r="A763" s="26" t="inlineStr">
        <is>
          <t>Difference (calculated - printed)</t>
        </is>
      </c>
      <c r="B763" s="22" t="n"/>
      <c r="C763" s="22" t="n"/>
      <c r="D763" s="22" t="n"/>
      <c r="E763" s="22" t="n"/>
      <c r="F763" s="27">
        <f>F761-F762</f>
        <v/>
      </c>
      <c r="G763" s="22" t="n"/>
    </row>
    <row r="764">
      <c r="A764" s="29" t="inlineStr">
        <is>
          <t>SAY (Rs.) - final DAR rate as printed (fixed value, not computed)</t>
        </is>
      </c>
      <c r="B764" s="30" t="n"/>
      <c r="C764" s="30" t="n"/>
      <c r="D764" s="30" t="n"/>
      <c r="E764" s="30" t="n"/>
      <c r="F764" s="31" t="n">
        <v>34.7</v>
      </c>
      <c r="G764" s="30" t="n"/>
    </row>
    <row r="766" ht="47.5" customHeight="1">
      <c r="A766" s="8" t="inlineStr">
        <is>
          <t>2.30</t>
        </is>
      </c>
      <c r="B766" s="1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is>
      </c>
      <c r="C766" s="9" t="n"/>
      <c r="D766" s="9" t="n"/>
      <c r="E766" s="9" t="n"/>
      <c r="F766" s="9" t="n"/>
      <c r="G766" s="9" t="n"/>
    </row>
    <row r="767" ht="18.5" customHeight="1">
      <c r="A767" s="18" t="inlineStr">
        <is>
          <t>2.30.1</t>
        </is>
      </c>
      <c r="B767" s="19" t="inlineStr">
        <is>
          <t>All kinds of soil</t>
        </is>
      </c>
      <c r="C767" s="20" t="n"/>
      <c r="D767" s="20" t="n"/>
      <c r="E767" s="20" t="n"/>
      <c r="F767" s="20" t="n"/>
      <c r="G767" s="20" t="n"/>
    </row>
    <row r="768">
      <c r="A768" s="21" t="inlineStr">
        <is>
          <t>Details of cost for 10 each   |   Hand-transcribed (provisional): not machine-checked against the PDF</t>
        </is>
      </c>
    </row>
    <row r="769">
      <c r="A769" s="5" t="inlineStr">
        <is>
          <t>Code</t>
        </is>
      </c>
      <c r="B769" s="5" t="inlineStr">
        <is>
          <t>Description</t>
        </is>
      </c>
      <c r="C769" s="5" t="inlineStr">
        <is>
          <t>Unit</t>
        </is>
      </c>
      <c r="D769" s="5" t="inlineStr">
        <is>
          <t>Quantity</t>
        </is>
      </c>
      <c r="E769" s="5" t="inlineStr">
        <is>
          <t>Rate (Rs.)</t>
        </is>
      </c>
      <c r="F769" s="5" t="inlineStr">
        <is>
          <t>Amount (Rs.)</t>
        </is>
      </c>
      <c r="G769" s="5" t="inlineStr">
        <is>
          <t>Note</t>
        </is>
      </c>
    </row>
    <row r="770">
      <c r="A770" s="22" t="inlineStr">
        <is>
          <t>REF 2.8.1</t>
        </is>
      </c>
      <c r="B770" s="11" t="inlineStr">
        <is>
          <t>Rate as per item REF 2.8.1</t>
        </is>
      </c>
      <c r="C770" s="22" t="inlineStr">
        <is>
          <t>cum</t>
        </is>
      </c>
      <c r="D770" s="23" t="n">
        <v>3</v>
      </c>
      <c r="E770" s="24" t="n">
        <v>252.3</v>
      </c>
      <c r="F770" s="24">
        <f>D770*E770</f>
        <v/>
      </c>
      <c r="G770" s="22" t="n"/>
    </row>
    <row r="771">
      <c r="A771" s="22" t="inlineStr">
        <is>
          <t>9999</t>
        </is>
      </c>
      <c r="B771" s="11" t="inlineStr">
        <is>
          <t>Sundries</t>
        </is>
      </c>
      <c r="C771" s="22" t="inlineStr">
        <is>
          <t>LS</t>
        </is>
      </c>
      <c r="D771" s="23" t="n">
        <v>13.52</v>
      </c>
      <c r="E771" s="24" t="n">
        <v>2</v>
      </c>
      <c r="F771" s="24">
        <f>D771*E771</f>
        <v/>
      </c>
      <c r="G771" s="22" t="n"/>
    </row>
    <row r="772">
      <c r="A772" s="8" t="inlineStr">
        <is>
          <t>Calculated W - SUM of the Amount column above</t>
        </is>
      </c>
      <c r="B772" s="9" t="n"/>
      <c r="C772" s="9" t="n"/>
      <c r="D772" s="9" t="n"/>
      <c r="E772" s="9" t="n"/>
      <c r="F772" s="25">
        <f>SUM(F770:F771)</f>
        <v/>
      </c>
      <c r="G772" s="9" t="n"/>
    </row>
    <row r="773">
      <c r="A773" s="26" t="inlineStr">
        <is>
          <t>W as printed in the DAR</t>
        </is>
      </c>
      <c r="B773" s="22" t="n"/>
      <c r="C773" s="22" t="n"/>
      <c r="D773" s="22" t="n"/>
      <c r="E773" s="22" t="n"/>
      <c r="F773" s="27" t="inlineStr">
        <is>
          <t>not printed</t>
        </is>
      </c>
      <c r="G773" s="28" t="inlineStr">
        <is>
          <t>This item prints no W (rate table or sub-analysis).</t>
        </is>
      </c>
    </row>
    <row r="774">
      <c r="A774" s="29" t="inlineStr">
        <is>
          <t>SAY (Rs.) - final DAR rate as printed (fixed value, not computed)</t>
        </is>
      </c>
      <c r="B774" s="30" t="n"/>
      <c r="C774" s="30" t="n"/>
      <c r="D774" s="30" t="n"/>
      <c r="E774" s="30" t="n"/>
      <c r="F774" s="31" t="n">
        <v>79.3</v>
      </c>
      <c r="G774" s="30" t="n"/>
    </row>
    <row r="776" ht="47.5" customHeight="1">
      <c r="A776" s="8" t="inlineStr">
        <is>
          <t>2.30</t>
        </is>
      </c>
      <c r="B776" s="1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is>
      </c>
      <c r="C776" s="9" t="n"/>
      <c r="D776" s="9" t="n"/>
      <c r="E776" s="9" t="n"/>
      <c r="F776" s="9" t="n"/>
      <c r="G776" s="9" t="n"/>
    </row>
    <row r="777" ht="18.5" customHeight="1">
      <c r="A777" s="18" t="inlineStr">
        <is>
          <t>2.30.2</t>
        </is>
      </c>
      <c r="B777" s="19" t="inlineStr">
        <is>
          <t>Ordinary rock</t>
        </is>
      </c>
      <c r="C777" s="20" t="n"/>
      <c r="D777" s="20" t="n"/>
      <c r="E777" s="20" t="n"/>
      <c r="F777" s="20" t="n"/>
      <c r="G777" s="20" t="n"/>
    </row>
    <row r="778">
      <c r="A778" s="21" t="inlineStr">
        <is>
          <t>Details of cost for 10 each   |   Hand-transcribed (provisional): not machine-checked against the PDF</t>
        </is>
      </c>
    </row>
    <row r="779">
      <c r="A779" s="5" t="inlineStr">
        <is>
          <t>Code</t>
        </is>
      </c>
      <c r="B779" s="5" t="inlineStr">
        <is>
          <t>Description</t>
        </is>
      </c>
      <c r="C779" s="5" t="inlineStr">
        <is>
          <t>Unit</t>
        </is>
      </c>
      <c r="D779" s="5" t="inlineStr">
        <is>
          <t>Quantity</t>
        </is>
      </c>
      <c r="E779" s="5" t="inlineStr">
        <is>
          <t>Rate (Rs.)</t>
        </is>
      </c>
      <c r="F779" s="5" t="inlineStr">
        <is>
          <t>Amount (Rs.)</t>
        </is>
      </c>
      <c r="G779" s="5" t="inlineStr">
        <is>
          <t>Note</t>
        </is>
      </c>
    </row>
    <row r="780">
      <c r="A780" s="22" t="inlineStr">
        <is>
          <t>REF 2.9.1</t>
        </is>
      </c>
      <c r="B780" s="11" t="inlineStr">
        <is>
          <t>Rate as per item REF 2.9.1</t>
        </is>
      </c>
      <c r="C780" s="22" t="inlineStr">
        <is>
          <t>cum</t>
        </is>
      </c>
      <c r="D780" s="23" t="n">
        <v>3</v>
      </c>
      <c r="E780" s="24" t="n">
        <v>448.15</v>
      </c>
      <c r="F780" s="24">
        <f>D780*E780</f>
        <v/>
      </c>
      <c r="G780" s="22" t="n"/>
    </row>
    <row r="781">
      <c r="A781" s="22" t="inlineStr">
        <is>
          <t>9999</t>
        </is>
      </c>
      <c r="B781" s="11" t="inlineStr">
        <is>
          <t>Sundries</t>
        </is>
      </c>
      <c r="C781" s="22" t="inlineStr">
        <is>
          <t>LS</t>
        </is>
      </c>
      <c r="D781" s="23" t="n">
        <v>13.52</v>
      </c>
      <c r="E781" s="24" t="n">
        <v>2</v>
      </c>
      <c r="F781" s="24">
        <f>D781*E781</f>
        <v/>
      </c>
      <c r="G781" s="22" t="n"/>
    </row>
    <row r="782">
      <c r="A782" s="8" t="inlineStr">
        <is>
          <t>Calculated W - SUM of the Amount column above</t>
        </is>
      </c>
      <c r="B782" s="9" t="n"/>
      <c r="C782" s="9" t="n"/>
      <c r="D782" s="9" t="n"/>
      <c r="E782" s="9" t="n"/>
      <c r="F782" s="25">
        <f>SUM(F780:F781)</f>
        <v/>
      </c>
      <c r="G782" s="9" t="n"/>
    </row>
    <row r="783">
      <c r="A783" s="26" t="inlineStr">
        <is>
          <t>W as printed in the DAR</t>
        </is>
      </c>
      <c r="B783" s="22" t="n"/>
      <c r="C783" s="22" t="n"/>
      <c r="D783" s="22" t="n"/>
      <c r="E783" s="22" t="n"/>
      <c r="F783" s="27" t="inlineStr">
        <is>
          <t>not printed</t>
        </is>
      </c>
      <c r="G783" s="28" t="inlineStr">
        <is>
          <t>This item prints no W (rate table or sub-analysis).</t>
        </is>
      </c>
    </row>
    <row r="784">
      <c r="A784" s="29" t="inlineStr">
        <is>
          <t>SAY (Rs.) - final DAR rate as printed (fixed value, not computed)</t>
        </is>
      </c>
      <c r="B784" s="30" t="n"/>
      <c r="C784" s="30" t="n"/>
      <c r="D784" s="30" t="n"/>
      <c r="E784" s="30" t="n"/>
      <c r="F784" s="31" t="n">
        <v>138.05</v>
      </c>
      <c r="G784" s="30" t="n"/>
    </row>
    <row r="786" ht="47.5" customHeight="1">
      <c r="A786" s="8" t="inlineStr">
        <is>
          <t>2.30</t>
        </is>
      </c>
      <c r="B786" s="1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is>
      </c>
      <c r="C786" s="9" t="n"/>
      <c r="D786" s="9" t="n"/>
      <c r="E786" s="9" t="n"/>
      <c r="F786" s="9" t="n"/>
      <c r="G786" s="9" t="n"/>
    </row>
    <row r="787" ht="18.5" customHeight="1">
      <c r="A787" s="18" t="inlineStr">
        <is>
          <t>2.30.3</t>
        </is>
      </c>
      <c r="B787" s="19" t="inlineStr">
        <is>
          <t>Hard rock (requiring blasting)</t>
        </is>
      </c>
      <c r="C787" s="20" t="n"/>
      <c r="D787" s="20" t="n"/>
      <c r="E787" s="20" t="n"/>
      <c r="F787" s="20" t="n"/>
      <c r="G787" s="20" t="n"/>
    </row>
    <row r="788">
      <c r="A788" s="21" t="inlineStr">
        <is>
          <t>Details of cost for 10 each   |   Hand-transcribed (provisional): not machine-checked against the PDF</t>
        </is>
      </c>
    </row>
    <row r="789">
      <c r="A789" s="5" t="inlineStr">
        <is>
          <t>Code</t>
        </is>
      </c>
      <c r="B789" s="5" t="inlineStr">
        <is>
          <t>Description</t>
        </is>
      </c>
      <c r="C789" s="5" t="inlineStr">
        <is>
          <t>Unit</t>
        </is>
      </c>
      <c r="D789" s="5" t="inlineStr">
        <is>
          <t>Quantity</t>
        </is>
      </c>
      <c r="E789" s="5" t="inlineStr">
        <is>
          <t>Rate (Rs.)</t>
        </is>
      </c>
      <c r="F789" s="5" t="inlineStr">
        <is>
          <t>Amount (Rs.)</t>
        </is>
      </c>
      <c r="G789" s="5" t="inlineStr">
        <is>
          <t>Note</t>
        </is>
      </c>
    </row>
    <row r="790">
      <c r="A790" s="22" t="inlineStr">
        <is>
          <t>REF 2.9.2</t>
        </is>
      </c>
      <c r="B790" s="11" t="inlineStr">
        <is>
          <t>Rate as per item REF 2.9.2</t>
        </is>
      </c>
      <c r="C790" s="22" t="inlineStr">
        <is>
          <t>cum</t>
        </is>
      </c>
      <c r="D790" s="23" t="n">
        <v>3</v>
      </c>
      <c r="E790" s="24" t="n">
        <v>729</v>
      </c>
      <c r="F790" s="24">
        <f>D790*E790</f>
        <v/>
      </c>
      <c r="G790" s="22" t="n"/>
    </row>
    <row r="791">
      <c r="A791" s="22" t="inlineStr">
        <is>
          <t>9999</t>
        </is>
      </c>
      <c r="B791" s="11" t="inlineStr">
        <is>
          <t>Sundries</t>
        </is>
      </c>
      <c r="C791" s="22" t="inlineStr">
        <is>
          <t>LS</t>
        </is>
      </c>
      <c r="D791" s="23" t="n">
        <v>13.52</v>
      </c>
      <c r="E791" s="24" t="n">
        <v>2</v>
      </c>
      <c r="F791" s="24">
        <f>D791*E791</f>
        <v/>
      </c>
      <c r="G791" s="22" t="n"/>
    </row>
    <row r="792">
      <c r="A792" s="8" t="inlineStr">
        <is>
          <t>Calculated W - SUM of the Amount column above</t>
        </is>
      </c>
      <c r="B792" s="9" t="n"/>
      <c r="C792" s="9" t="n"/>
      <c r="D792" s="9" t="n"/>
      <c r="E792" s="9" t="n"/>
      <c r="F792" s="25">
        <f>SUM(F790:F791)</f>
        <v/>
      </c>
      <c r="G792" s="9" t="n"/>
    </row>
    <row r="793">
      <c r="A793" s="26" t="inlineStr">
        <is>
          <t>W as printed in the DAR</t>
        </is>
      </c>
      <c r="B793" s="22" t="n"/>
      <c r="C793" s="22" t="n"/>
      <c r="D793" s="22" t="n"/>
      <c r="E793" s="22" t="n"/>
      <c r="F793" s="27" t="inlineStr">
        <is>
          <t>not printed</t>
        </is>
      </c>
      <c r="G793" s="28" t="inlineStr">
        <is>
          <t>This item prints no W (rate table or sub-analysis).</t>
        </is>
      </c>
    </row>
    <row r="794">
      <c r="A794" s="29" t="inlineStr">
        <is>
          <t>SAY (Rs.) - final DAR rate as printed (fixed value, not computed)</t>
        </is>
      </c>
      <c r="B794" s="30" t="n"/>
      <c r="C794" s="30" t="n"/>
      <c r="D794" s="30" t="n"/>
      <c r="E794" s="30" t="n"/>
      <c r="F794" s="31" t="n">
        <v>222.3</v>
      </c>
      <c r="G794" s="30" t="n"/>
    </row>
    <row r="796" ht="47.5" customHeight="1">
      <c r="A796" s="8" t="inlineStr">
        <is>
          <t>2.30</t>
        </is>
      </c>
      <c r="B796" s="1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is>
      </c>
      <c r="C796" s="9" t="n"/>
      <c r="D796" s="9" t="n"/>
      <c r="E796" s="9" t="n"/>
      <c r="F796" s="9" t="n"/>
      <c r="G796" s="9" t="n"/>
    </row>
    <row r="797" ht="18.5" customHeight="1">
      <c r="A797" s="18" t="inlineStr">
        <is>
          <t>2.30.4</t>
        </is>
      </c>
      <c r="B797" s="19" t="inlineStr">
        <is>
          <t>Hard rock (blasting prohibited)</t>
        </is>
      </c>
      <c r="C797" s="20" t="n"/>
      <c r="D797" s="20" t="n"/>
      <c r="E797" s="20" t="n"/>
      <c r="F797" s="20" t="n"/>
      <c r="G797" s="20" t="n"/>
    </row>
    <row r="798">
      <c r="A798" s="21" t="inlineStr">
        <is>
          <t>Details of cost for 10 each   |   Hand-transcribed (provisional): not machine-checked against the PDF</t>
        </is>
      </c>
    </row>
    <row r="799">
      <c r="A799" s="5" t="inlineStr">
        <is>
          <t>Code</t>
        </is>
      </c>
      <c r="B799" s="5" t="inlineStr">
        <is>
          <t>Description</t>
        </is>
      </c>
      <c r="C799" s="5" t="inlineStr">
        <is>
          <t>Unit</t>
        </is>
      </c>
      <c r="D799" s="5" t="inlineStr">
        <is>
          <t>Quantity</t>
        </is>
      </c>
      <c r="E799" s="5" t="inlineStr">
        <is>
          <t>Rate (Rs.)</t>
        </is>
      </c>
      <c r="F799" s="5" t="inlineStr">
        <is>
          <t>Amount (Rs.)</t>
        </is>
      </c>
      <c r="G799" s="5" t="inlineStr">
        <is>
          <t>Note</t>
        </is>
      </c>
    </row>
    <row r="800">
      <c r="A800" s="22" t="inlineStr">
        <is>
          <t>REF 2.9.3</t>
        </is>
      </c>
      <c r="B800" s="11" t="inlineStr">
        <is>
          <t>Rate as per item REF 2.9.3</t>
        </is>
      </c>
      <c r="C800" s="22" t="inlineStr">
        <is>
          <t>cum</t>
        </is>
      </c>
      <c r="D800" s="23" t="n">
        <v>3</v>
      </c>
      <c r="E800" s="24" t="n">
        <v>1080.55</v>
      </c>
      <c r="F800" s="24">
        <f>D800*E800</f>
        <v/>
      </c>
      <c r="G800" s="22" t="n"/>
    </row>
    <row r="801">
      <c r="A801" s="22" t="inlineStr">
        <is>
          <t>9999</t>
        </is>
      </c>
      <c r="B801" s="11" t="inlineStr">
        <is>
          <t>Sundries</t>
        </is>
      </c>
      <c r="C801" s="22" t="inlineStr">
        <is>
          <t>LS</t>
        </is>
      </c>
      <c r="D801" s="23" t="n">
        <v>13.52</v>
      </c>
      <c r="E801" s="24" t="n">
        <v>2</v>
      </c>
      <c r="F801" s="24">
        <f>D801*E801</f>
        <v/>
      </c>
      <c r="G801" s="22" t="n"/>
    </row>
    <row r="802">
      <c r="A802" s="8" t="inlineStr">
        <is>
          <t>Calculated W - SUM of the Amount column above</t>
        </is>
      </c>
      <c r="B802" s="9" t="n"/>
      <c r="C802" s="9" t="n"/>
      <c r="D802" s="9" t="n"/>
      <c r="E802" s="9" t="n"/>
      <c r="F802" s="25">
        <f>SUM(F800:F801)</f>
        <v/>
      </c>
      <c r="G802" s="9" t="n"/>
    </row>
    <row r="803">
      <c r="A803" s="26" t="inlineStr">
        <is>
          <t>W as printed in the DAR</t>
        </is>
      </c>
      <c r="B803" s="22" t="n"/>
      <c r="C803" s="22" t="n"/>
      <c r="D803" s="22" t="n"/>
      <c r="E803" s="22" t="n"/>
      <c r="F803" s="27" t="inlineStr">
        <is>
          <t>not printed</t>
        </is>
      </c>
      <c r="G803" s="28" t="inlineStr">
        <is>
          <t>This item prints no W (rate table or sub-analysis).</t>
        </is>
      </c>
    </row>
    <row r="804">
      <c r="A804" s="29" t="inlineStr">
        <is>
          <t>SAY (Rs.) - final DAR rate as printed (fixed value, not computed)</t>
        </is>
      </c>
      <c r="B804" s="30" t="n"/>
      <c r="C804" s="30" t="n"/>
      <c r="D804" s="30" t="n"/>
      <c r="E804" s="30" t="n"/>
      <c r="F804" s="31" t="n">
        <v>327.8</v>
      </c>
      <c r="G804" s="30" t="n"/>
    </row>
    <row r="806" ht="47.5" customHeight="1">
      <c r="A806" s="18" t="inlineStr">
        <is>
          <t>2.31</t>
        </is>
      </c>
      <c r="B806" s="19" t="inlineStr">
        <is>
          <t>Clearing jungle including uprooting of rank vegetation, grass, brush wood, trees and saplings of girth up to 30 cm measured at a height of 1 m above ground level and removal of rubbish up to a distance of 50 m outside the periphery of the area cleared.</t>
        </is>
      </c>
      <c r="C806" s="20" t="n"/>
      <c r="D806" s="20" t="n"/>
      <c r="E806" s="20" t="n"/>
      <c r="F806" s="20" t="n"/>
      <c r="G806" s="20" t="n"/>
    </row>
    <row r="807">
      <c r="A807" s="21" t="inlineStr">
        <is>
          <t>Details of cost for 100 sqm   |   Hand-transcribed (provisional): not machine-checked against the PDF</t>
        </is>
      </c>
    </row>
    <row r="808">
      <c r="A808" s="5" t="inlineStr">
        <is>
          <t>Code</t>
        </is>
      </c>
      <c r="B808" s="5" t="inlineStr">
        <is>
          <t>Description</t>
        </is>
      </c>
      <c r="C808" s="5" t="inlineStr">
        <is>
          <t>Unit</t>
        </is>
      </c>
      <c r="D808" s="5" t="inlineStr">
        <is>
          <t>Quantity</t>
        </is>
      </c>
      <c r="E808" s="5" t="inlineStr">
        <is>
          <t>Rate (Rs.)</t>
        </is>
      </c>
      <c r="F808" s="5" t="inlineStr">
        <is>
          <t>Amount (Rs.)</t>
        </is>
      </c>
      <c r="G808" s="5" t="inlineStr">
        <is>
          <t>Note</t>
        </is>
      </c>
    </row>
    <row r="809">
      <c r="A809" s="22" t="inlineStr">
        <is>
          <t>0114</t>
        </is>
      </c>
      <c r="B809" s="11" t="inlineStr">
        <is>
          <t>Beldar</t>
        </is>
      </c>
      <c r="C809" s="22" t="inlineStr">
        <is>
          <t>day</t>
        </is>
      </c>
      <c r="D809" s="23" t="n">
        <v>1.08</v>
      </c>
      <c r="E809" s="24" t="n">
        <v>558</v>
      </c>
      <c r="F809" s="24">
        <f>D809*E809</f>
        <v/>
      </c>
      <c r="G809" s="22" t="n"/>
    </row>
    <row r="810">
      <c r="A810" s="22" t="inlineStr">
        <is>
          <t>0115</t>
        </is>
      </c>
      <c r="B810" s="11" t="inlineStr">
        <is>
          <t>Coolie</t>
        </is>
      </c>
      <c r="C810" s="22" t="inlineStr">
        <is>
          <t>day</t>
        </is>
      </c>
      <c r="D810" s="23" t="n">
        <v>0.6</v>
      </c>
      <c r="E810" s="24" t="n">
        <v>558</v>
      </c>
      <c r="F810" s="24">
        <f>D810*E810</f>
        <v/>
      </c>
      <c r="G810" s="22" t="n"/>
    </row>
    <row r="811">
      <c r="A811" s="8" t="inlineStr">
        <is>
          <t>Calculated W - SUM of the Amount column above</t>
        </is>
      </c>
      <c r="B811" s="9" t="n"/>
      <c r="C811" s="9" t="n"/>
      <c r="D811" s="9" t="n"/>
      <c r="E811" s="9" t="n"/>
      <c r="F811" s="25">
        <f>SUM(F809:F810)</f>
        <v/>
      </c>
      <c r="G811" s="9" t="n"/>
    </row>
    <row r="812">
      <c r="A812" s="26" t="inlineStr">
        <is>
          <t>W as printed in the DAR</t>
        </is>
      </c>
      <c r="B812" s="22" t="n"/>
      <c r="C812" s="22" t="n"/>
      <c r="D812" s="22" t="n"/>
      <c r="E812" s="22" t="n"/>
      <c r="F812" s="27" t="n">
        <v>937.4400000000001</v>
      </c>
      <c r="G812" s="22" t="n"/>
    </row>
    <row r="813">
      <c r="A813" s="26" t="inlineStr">
        <is>
          <t>Difference (calculated - printed)</t>
        </is>
      </c>
      <c r="B813" s="22" t="n"/>
      <c r="C813" s="22" t="n"/>
      <c r="D813" s="22" t="n"/>
      <c r="E813" s="22" t="n"/>
      <c r="F813" s="27">
        <f>F811-F812</f>
        <v/>
      </c>
      <c r="G813" s="22" t="n"/>
    </row>
    <row r="814">
      <c r="A814" s="29" t="inlineStr">
        <is>
          <t>SAY (Rs.) - final DAR rate as printed (fixed value, not computed)</t>
        </is>
      </c>
      <c r="B814" s="30" t="n"/>
      <c r="C814" s="30" t="n"/>
      <c r="D814" s="30" t="n"/>
      <c r="E814" s="30" t="n"/>
      <c r="F814" s="31" t="n">
        <v>12.55</v>
      </c>
      <c r="G814" s="30" t="n"/>
    </row>
    <row r="816" ht="18.5" customHeight="1">
      <c r="A816" s="18" t="inlineStr">
        <is>
          <t>2.32</t>
        </is>
      </c>
      <c r="B816" s="19" t="inlineStr">
        <is>
          <t>Clearing grass and removal of the rubbish up to a distance of 50 m outside the periphery of the area cleared.</t>
        </is>
      </c>
      <c r="C816" s="20" t="n"/>
      <c r="D816" s="20" t="n"/>
      <c r="E816" s="20" t="n"/>
      <c r="F816" s="20" t="n"/>
      <c r="G816" s="20" t="n"/>
    </row>
    <row r="817">
      <c r="A817" s="21" t="inlineStr">
        <is>
          <t>Details of cost for 100 sqm   |   Hand-transcribed (provisional): not machine-checked against the PDF</t>
        </is>
      </c>
    </row>
    <row r="818">
      <c r="A818" s="5" t="inlineStr">
        <is>
          <t>Code</t>
        </is>
      </c>
      <c r="B818" s="5" t="inlineStr">
        <is>
          <t>Description</t>
        </is>
      </c>
      <c r="C818" s="5" t="inlineStr">
        <is>
          <t>Unit</t>
        </is>
      </c>
      <c r="D818" s="5" t="inlineStr">
        <is>
          <t>Quantity</t>
        </is>
      </c>
      <c r="E818" s="5" t="inlineStr">
        <is>
          <t>Rate (Rs.)</t>
        </is>
      </c>
      <c r="F818" s="5" t="inlineStr">
        <is>
          <t>Amount (Rs.)</t>
        </is>
      </c>
      <c r="G818" s="5" t="inlineStr">
        <is>
          <t>Note</t>
        </is>
      </c>
    </row>
    <row r="819">
      <c r="A819" s="22" t="inlineStr">
        <is>
          <t>0114</t>
        </is>
      </c>
      <c r="B819" s="11" t="inlineStr">
        <is>
          <t>Beldar</t>
        </is>
      </c>
      <c r="C819" s="22" t="inlineStr">
        <is>
          <t>day</t>
        </is>
      </c>
      <c r="D819" s="23" t="n">
        <v>0.6</v>
      </c>
      <c r="E819" s="24" t="n">
        <v>558</v>
      </c>
      <c r="F819" s="24">
        <f>D819*E819</f>
        <v/>
      </c>
      <c r="G819" s="22" t="n"/>
    </row>
    <row r="820">
      <c r="A820" s="22" t="inlineStr">
        <is>
          <t>0115</t>
        </is>
      </c>
      <c r="B820" s="11" t="inlineStr">
        <is>
          <t>Coolie</t>
        </is>
      </c>
      <c r="C820" s="22" t="inlineStr">
        <is>
          <t>day</t>
        </is>
      </c>
      <c r="D820" s="23" t="n">
        <v>0.25</v>
      </c>
      <c r="E820" s="24" t="n">
        <v>558</v>
      </c>
      <c r="F820" s="24">
        <f>D820*E820</f>
        <v/>
      </c>
      <c r="G820" s="22" t="n"/>
    </row>
    <row r="821">
      <c r="A821" s="22" t="inlineStr">
        <is>
          <t>9999</t>
        </is>
      </c>
      <c r="B821" s="11" t="inlineStr">
        <is>
          <t>Sundries</t>
        </is>
      </c>
      <c r="C821" s="22" t="inlineStr">
        <is>
          <t>LS</t>
        </is>
      </c>
      <c r="D821" s="23" t="n">
        <v>1.82</v>
      </c>
      <c r="E821" s="24" t="n">
        <v>2</v>
      </c>
      <c r="F821" s="24">
        <f>D821*E821</f>
        <v/>
      </c>
      <c r="G821" s="22" t="n"/>
    </row>
    <row r="822">
      <c r="A822" s="8" t="inlineStr">
        <is>
          <t>Calculated W - SUM of the Amount column above</t>
        </is>
      </c>
      <c r="B822" s="9" t="n"/>
      <c r="C822" s="9" t="n"/>
      <c r="D822" s="9" t="n"/>
      <c r="E822" s="9" t="n"/>
      <c r="F822" s="25">
        <f>SUM(F819:F821)</f>
        <v/>
      </c>
      <c r="G822" s="9" t="n"/>
    </row>
    <row r="823">
      <c r="A823" s="26" t="inlineStr">
        <is>
          <t>W as printed in the DAR</t>
        </is>
      </c>
      <c r="B823" s="22" t="n"/>
      <c r="C823" s="22" t="n"/>
      <c r="D823" s="22" t="n"/>
      <c r="E823" s="22" t="n"/>
      <c r="F823" s="27" t="n">
        <v>477.94</v>
      </c>
      <c r="G823" s="22" t="n"/>
    </row>
    <row r="824">
      <c r="A824" s="26" t="inlineStr">
        <is>
          <t>Difference (calculated - printed)</t>
        </is>
      </c>
      <c r="B824" s="22" t="n"/>
      <c r="C824" s="22" t="n"/>
      <c r="D824" s="22" t="n"/>
      <c r="E824" s="22" t="n"/>
      <c r="F824" s="27">
        <f>F822-F823</f>
        <v/>
      </c>
      <c r="G824" s="22" t="n"/>
    </row>
    <row r="825">
      <c r="A825" s="29" t="inlineStr">
        <is>
          <t>SAY (Rs.) - final DAR rate as printed (fixed value, not computed)</t>
        </is>
      </c>
      <c r="B825" s="30" t="n"/>
      <c r="C825" s="30" t="n"/>
      <c r="D825" s="30" t="n"/>
      <c r="E825" s="30" t="n"/>
      <c r="F825" s="31" t="n">
        <v>6.4</v>
      </c>
      <c r="G825" s="30" t="n"/>
    </row>
    <row r="827" ht="33" customHeight="1">
      <c r="A827" s="8" t="inlineStr">
        <is>
          <t>2.33</t>
        </is>
      </c>
      <c r="B827" s="17" t="inlineStr">
        <is>
          <t>Felling trees of the girth (measured at a height of 1 m above ground level), including cutting of trunks and branches, removing the roots and stacking of serviceable material and disposal of unserviceable material.</t>
        </is>
      </c>
      <c r="C827" s="9" t="n"/>
      <c r="D827" s="9" t="n"/>
      <c r="E827" s="9" t="n"/>
      <c r="F827" s="9" t="n"/>
      <c r="G827" s="9" t="n"/>
    </row>
    <row r="828" ht="18.5" customHeight="1">
      <c r="A828" s="18" t="inlineStr">
        <is>
          <t>2.33.1</t>
        </is>
      </c>
      <c r="B828" s="19" t="inlineStr">
        <is>
          <t>Beyond 30 cm girth upto and including 60 cm girth</t>
        </is>
      </c>
      <c r="C828" s="20" t="n"/>
      <c r="D828" s="20" t="n"/>
      <c r="E828" s="20" t="n"/>
      <c r="F828" s="20" t="n"/>
      <c r="G828" s="20" t="n"/>
    </row>
    <row r="829">
      <c r="A829" s="21" t="inlineStr">
        <is>
          <t>Details of cost for 1 each   |   Hand-transcribed (provisional): not machine-checked against the PDF</t>
        </is>
      </c>
    </row>
    <row r="830">
      <c r="A830" s="5" t="inlineStr">
        <is>
          <t>Code</t>
        </is>
      </c>
      <c r="B830" s="5" t="inlineStr">
        <is>
          <t>Description</t>
        </is>
      </c>
      <c r="C830" s="5" t="inlineStr">
        <is>
          <t>Unit</t>
        </is>
      </c>
      <c r="D830" s="5" t="inlineStr">
        <is>
          <t>Quantity</t>
        </is>
      </c>
      <c r="E830" s="5" t="inlineStr">
        <is>
          <t>Rate (Rs.)</t>
        </is>
      </c>
      <c r="F830" s="5" t="inlineStr">
        <is>
          <t>Amount (Rs.)</t>
        </is>
      </c>
      <c r="G830" s="5" t="inlineStr">
        <is>
          <t>Note</t>
        </is>
      </c>
    </row>
    <row r="831">
      <c r="A831" s="22" t="inlineStr">
        <is>
          <t>0114</t>
        </is>
      </c>
      <c r="B831" s="11" t="inlineStr">
        <is>
          <t>Beldar</t>
        </is>
      </c>
      <c r="C831" s="22" t="inlineStr">
        <is>
          <t>day</t>
        </is>
      </c>
      <c r="D831" s="23" t="n">
        <v>0.33</v>
      </c>
      <c r="E831" s="24" t="n">
        <v>558</v>
      </c>
      <c r="F831" s="24">
        <f>D831*E831</f>
        <v/>
      </c>
      <c r="G831" s="22" t="n"/>
    </row>
    <row r="832">
      <c r="A832" s="22" t="inlineStr">
        <is>
          <t>0115</t>
        </is>
      </c>
      <c r="B832" s="11" t="inlineStr">
        <is>
          <t>Coolie</t>
        </is>
      </c>
      <c r="C832" s="22" t="inlineStr">
        <is>
          <t>day</t>
        </is>
      </c>
      <c r="D832" s="23" t="n">
        <v>0.17</v>
      </c>
      <c r="E832" s="24" t="n">
        <v>558</v>
      </c>
      <c r="F832" s="24">
        <f>D832*E832</f>
        <v/>
      </c>
      <c r="G832" s="22" t="n"/>
    </row>
    <row r="833">
      <c r="A833" s="22" t="inlineStr">
        <is>
          <t>9999</t>
        </is>
      </c>
      <c r="B833" s="11" t="inlineStr">
        <is>
          <t>Sundries</t>
        </is>
      </c>
      <c r="C833" s="22" t="inlineStr">
        <is>
          <t>LS</t>
        </is>
      </c>
      <c r="D833" s="23" t="n">
        <v>2.73</v>
      </c>
      <c r="E833" s="24" t="n">
        <v>2</v>
      </c>
      <c r="F833" s="24">
        <f>D833*E833</f>
        <v/>
      </c>
      <c r="G833" s="22" t="n"/>
    </row>
    <row r="834">
      <c r="A834" s="8" t="inlineStr">
        <is>
          <t>Calculated W - SUM of the Amount column above</t>
        </is>
      </c>
      <c r="B834" s="9" t="n"/>
      <c r="C834" s="9" t="n"/>
      <c r="D834" s="9" t="n"/>
      <c r="E834" s="9" t="n"/>
      <c r="F834" s="25">
        <f>SUM(F831:F833)</f>
        <v/>
      </c>
      <c r="G834" s="9" t="n"/>
    </row>
    <row r="835">
      <c r="A835" s="26" t="inlineStr">
        <is>
          <t>W as printed in the DAR</t>
        </is>
      </c>
      <c r="B835" s="22" t="n"/>
      <c r="C835" s="22" t="n"/>
      <c r="D835" s="22" t="n"/>
      <c r="E835" s="22" t="n"/>
      <c r="F835" s="27" t="n">
        <v>284.46</v>
      </c>
      <c r="G835" s="22" t="n"/>
    </row>
    <row r="836">
      <c r="A836" s="26" t="inlineStr">
        <is>
          <t>Difference (calculated - printed)</t>
        </is>
      </c>
      <c r="B836" s="22" t="n"/>
      <c r="C836" s="22" t="n"/>
      <c r="D836" s="22" t="n"/>
      <c r="E836" s="22" t="n"/>
      <c r="F836" s="27">
        <f>F834-F835</f>
        <v/>
      </c>
      <c r="G836" s="22" t="n"/>
    </row>
    <row r="837">
      <c r="A837" s="29" t="inlineStr">
        <is>
          <t>SAY (Rs.) - final DAR rate as printed (fixed value, not computed)</t>
        </is>
      </c>
      <c r="B837" s="30" t="n"/>
      <c r="C837" s="30" t="n"/>
      <c r="D837" s="30" t="n"/>
      <c r="E837" s="30" t="n"/>
      <c r="F837" s="31" t="n">
        <v>380.6</v>
      </c>
      <c r="G837" s="30" t="n"/>
    </row>
    <row r="839" ht="33" customHeight="1">
      <c r="A839" s="8" t="inlineStr">
        <is>
          <t>2.33</t>
        </is>
      </c>
      <c r="B839" s="17" t="inlineStr">
        <is>
          <t>Felling trees of the girth (measured at a height of 1 m above ground level), including cutting of trunks and branches, removing the roots and stacking of serviceable material and disposal of unserviceable material.</t>
        </is>
      </c>
      <c r="C839" s="9" t="n"/>
      <c r="D839" s="9" t="n"/>
      <c r="E839" s="9" t="n"/>
      <c r="F839" s="9" t="n"/>
      <c r="G839" s="9" t="n"/>
    </row>
    <row r="840" ht="18.5" customHeight="1">
      <c r="A840" s="18" t="inlineStr">
        <is>
          <t>2.33.2</t>
        </is>
      </c>
      <c r="B840" s="19" t="inlineStr">
        <is>
          <t>Beyond 60 cm girth upto and including 120 cm girth</t>
        </is>
      </c>
      <c r="C840" s="20" t="n"/>
      <c r="D840" s="20" t="n"/>
      <c r="E840" s="20" t="n"/>
      <c r="F840" s="20" t="n"/>
      <c r="G840" s="20" t="n"/>
    </row>
    <row r="841">
      <c r="A841" s="21" t="inlineStr">
        <is>
          <t>Details of cost for 1 each   |   Hand-transcribed (provisional): not machine-checked against the PDF</t>
        </is>
      </c>
    </row>
    <row r="842">
      <c r="A842" s="5" t="inlineStr">
        <is>
          <t>Code</t>
        </is>
      </c>
      <c r="B842" s="5" t="inlineStr">
        <is>
          <t>Description</t>
        </is>
      </c>
      <c r="C842" s="5" t="inlineStr">
        <is>
          <t>Unit</t>
        </is>
      </c>
      <c r="D842" s="5" t="inlineStr">
        <is>
          <t>Quantity</t>
        </is>
      </c>
      <c r="E842" s="5" t="inlineStr">
        <is>
          <t>Rate (Rs.)</t>
        </is>
      </c>
      <c r="F842" s="5" t="inlineStr">
        <is>
          <t>Amount (Rs.)</t>
        </is>
      </c>
      <c r="G842" s="5" t="inlineStr">
        <is>
          <t>Note</t>
        </is>
      </c>
    </row>
    <row r="843">
      <c r="A843" s="22" t="inlineStr">
        <is>
          <t>0114</t>
        </is>
      </c>
      <c r="B843" s="11" t="inlineStr">
        <is>
          <t>Beldar</t>
        </is>
      </c>
      <c r="C843" s="22" t="inlineStr">
        <is>
          <t>day</t>
        </is>
      </c>
      <c r="D843" s="23" t="n">
        <v>1.5</v>
      </c>
      <c r="E843" s="24" t="n">
        <v>558</v>
      </c>
      <c r="F843" s="24">
        <f>D843*E843</f>
        <v/>
      </c>
      <c r="G843" s="22" t="n"/>
    </row>
    <row r="844">
      <c r="A844" s="22" t="inlineStr">
        <is>
          <t>0115</t>
        </is>
      </c>
      <c r="B844" s="11" t="inlineStr">
        <is>
          <t>Coolie</t>
        </is>
      </c>
      <c r="C844" s="22" t="inlineStr">
        <is>
          <t>day</t>
        </is>
      </c>
      <c r="D844" s="23" t="n">
        <v>0.75</v>
      </c>
      <c r="E844" s="24" t="n">
        <v>558</v>
      </c>
      <c r="F844" s="24">
        <f>D844*E844</f>
        <v/>
      </c>
      <c r="G844" s="22" t="n"/>
    </row>
    <row r="845">
      <c r="A845" s="22" t="inlineStr">
        <is>
          <t>9999</t>
        </is>
      </c>
      <c r="B845" s="11" t="inlineStr">
        <is>
          <t>Sundries</t>
        </is>
      </c>
      <c r="C845" s="22" t="inlineStr">
        <is>
          <t>LS</t>
        </is>
      </c>
      <c r="D845" s="23" t="n">
        <v>5.46</v>
      </c>
      <c r="E845" s="24" t="n">
        <v>2</v>
      </c>
      <c r="F845" s="24">
        <f>D845*E845</f>
        <v/>
      </c>
      <c r="G845" s="22" t="n"/>
    </row>
    <row r="846">
      <c r="A846" s="8" t="inlineStr">
        <is>
          <t>Calculated W - SUM of the Amount column above</t>
        </is>
      </c>
      <c r="B846" s="9" t="n"/>
      <c r="C846" s="9" t="n"/>
      <c r="D846" s="9" t="n"/>
      <c r="E846" s="9" t="n"/>
      <c r="F846" s="25">
        <f>SUM(F843:F845)</f>
        <v/>
      </c>
      <c r="G846" s="9" t="n"/>
    </row>
    <row r="847">
      <c r="A847" s="26" t="inlineStr">
        <is>
          <t>W as printed in the DAR</t>
        </is>
      </c>
      <c r="B847" s="22" t="n"/>
      <c r="C847" s="22" t="n"/>
      <c r="D847" s="22" t="n"/>
      <c r="E847" s="22" t="n"/>
      <c r="F847" s="27" t="n">
        <v>1266.42</v>
      </c>
      <c r="G847" s="22" t="n"/>
    </row>
    <row r="848">
      <c r="A848" s="26" t="inlineStr">
        <is>
          <t>Difference (calculated - printed)</t>
        </is>
      </c>
      <c r="B848" s="22" t="n"/>
      <c r="C848" s="22" t="n"/>
      <c r="D848" s="22" t="n"/>
      <c r="E848" s="22" t="n"/>
      <c r="F848" s="27">
        <f>F846-F847</f>
        <v/>
      </c>
      <c r="G848" s="22" t="n"/>
    </row>
    <row r="849">
      <c r="A849" s="29" t="inlineStr">
        <is>
          <t>SAY (Rs.) - final DAR rate as printed (fixed value, not computed)</t>
        </is>
      </c>
      <c r="B849" s="30" t="n"/>
      <c r="C849" s="30" t="n"/>
      <c r="D849" s="30" t="n"/>
      <c r="E849" s="30" t="n"/>
      <c r="F849" s="31" t="n">
        <v>1694.4</v>
      </c>
      <c r="G849" s="30" t="n"/>
    </row>
    <row r="851" ht="33" customHeight="1">
      <c r="A851" s="8" t="inlineStr">
        <is>
          <t>2.33</t>
        </is>
      </c>
      <c r="B851" s="17" t="inlineStr">
        <is>
          <t>Felling trees of the girth (measured at a height of 1 m above ground level), including cutting of trunks and branches, removing the roots and stacking of serviceable material and disposal of unserviceable material.</t>
        </is>
      </c>
      <c r="C851" s="9" t="n"/>
      <c r="D851" s="9" t="n"/>
      <c r="E851" s="9" t="n"/>
      <c r="F851" s="9" t="n"/>
      <c r="G851" s="9" t="n"/>
    </row>
    <row r="852" ht="18.5" customHeight="1">
      <c r="A852" s="18" t="inlineStr">
        <is>
          <t>2.33.3</t>
        </is>
      </c>
      <c r="B852" s="19" t="inlineStr">
        <is>
          <t>Beyond 120 cm girth upto and including 240 cm girth</t>
        </is>
      </c>
      <c r="C852" s="20" t="n"/>
      <c r="D852" s="20" t="n"/>
      <c r="E852" s="20" t="n"/>
      <c r="F852" s="20" t="n"/>
      <c r="G852" s="20" t="n"/>
    </row>
    <row r="853">
      <c r="A853" s="21" t="inlineStr">
        <is>
          <t>Details of cost for 1 each   |   Hand-transcribed (provisional): not machine-checked against the PDF</t>
        </is>
      </c>
    </row>
    <row r="854">
      <c r="A854" s="5" t="inlineStr">
        <is>
          <t>Code</t>
        </is>
      </c>
      <c r="B854" s="5" t="inlineStr">
        <is>
          <t>Description</t>
        </is>
      </c>
      <c r="C854" s="5" t="inlineStr">
        <is>
          <t>Unit</t>
        </is>
      </c>
      <c r="D854" s="5" t="inlineStr">
        <is>
          <t>Quantity</t>
        </is>
      </c>
      <c r="E854" s="5" t="inlineStr">
        <is>
          <t>Rate (Rs.)</t>
        </is>
      </c>
      <c r="F854" s="5" t="inlineStr">
        <is>
          <t>Amount (Rs.)</t>
        </is>
      </c>
      <c r="G854" s="5" t="inlineStr">
        <is>
          <t>Note</t>
        </is>
      </c>
    </row>
    <row r="855">
      <c r="A855" s="22" t="inlineStr">
        <is>
          <t>0114</t>
        </is>
      </c>
      <c r="B855" s="11" t="inlineStr">
        <is>
          <t>Beldar</t>
        </is>
      </c>
      <c r="C855" s="22" t="inlineStr">
        <is>
          <t>day</t>
        </is>
      </c>
      <c r="D855" s="23" t="n">
        <v>7</v>
      </c>
      <c r="E855" s="24" t="n">
        <v>558</v>
      </c>
      <c r="F855" s="24">
        <f>D855*E855</f>
        <v/>
      </c>
      <c r="G855" s="22" t="n"/>
    </row>
    <row r="856">
      <c r="A856" s="22" t="inlineStr">
        <is>
          <t>0115</t>
        </is>
      </c>
      <c r="B856" s="11" t="inlineStr">
        <is>
          <t>Coolie</t>
        </is>
      </c>
      <c r="C856" s="22" t="inlineStr">
        <is>
          <t>day</t>
        </is>
      </c>
      <c r="D856" s="23" t="n">
        <v>3.5</v>
      </c>
      <c r="E856" s="24" t="n">
        <v>558</v>
      </c>
      <c r="F856" s="24">
        <f>D856*E856</f>
        <v/>
      </c>
      <c r="G856" s="22" t="n"/>
    </row>
    <row r="857">
      <c r="A857" s="22" t="inlineStr">
        <is>
          <t>9999</t>
        </is>
      </c>
      <c r="B857" s="11" t="inlineStr">
        <is>
          <t>Sundries</t>
        </is>
      </c>
      <c r="C857" s="22" t="inlineStr">
        <is>
          <t>LS</t>
        </is>
      </c>
      <c r="D857" s="23" t="n">
        <v>8.06</v>
      </c>
      <c r="E857" s="24" t="n">
        <v>2</v>
      </c>
      <c r="F857" s="24">
        <f>D857*E857</f>
        <v/>
      </c>
      <c r="G857" s="22" t="n"/>
    </row>
    <row r="858">
      <c r="A858" s="8" t="inlineStr">
        <is>
          <t>Calculated W - SUM of the Amount column above</t>
        </is>
      </c>
      <c r="B858" s="9" t="n"/>
      <c r="C858" s="9" t="n"/>
      <c r="D858" s="9" t="n"/>
      <c r="E858" s="9" t="n"/>
      <c r="F858" s="25">
        <f>SUM(F855:F857)</f>
        <v/>
      </c>
      <c r="G858" s="9" t="n"/>
    </row>
    <row r="859">
      <c r="A859" s="26" t="inlineStr">
        <is>
          <t>W as printed in the DAR</t>
        </is>
      </c>
      <c r="B859" s="22" t="n"/>
      <c r="C859" s="22" t="n"/>
      <c r="D859" s="22" t="n"/>
      <c r="E859" s="22" t="n"/>
      <c r="F859" s="27" t="n">
        <v>5875.12</v>
      </c>
      <c r="G859" s="22" t="n"/>
    </row>
    <row r="860">
      <c r="A860" s="26" t="inlineStr">
        <is>
          <t>Difference (calculated - printed)</t>
        </is>
      </c>
      <c r="B860" s="22" t="n"/>
      <c r="C860" s="22" t="n"/>
      <c r="D860" s="22" t="n"/>
      <c r="E860" s="22" t="n"/>
      <c r="F860" s="27">
        <f>F858-F859</f>
        <v/>
      </c>
      <c r="G860" s="22" t="n"/>
    </row>
    <row r="861">
      <c r="A861" s="29" t="inlineStr">
        <is>
          <t>SAY (Rs.) - final DAR rate as printed (fixed value, not computed)</t>
        </is>
      </c>
      <c r="B861" s="30" t="n"/>
      <c r="C861" s="30" t="n"/>
      <c r="D861" s="30" t="n"/>
      <c r="E861" s="30" t="n"/>
      <c r="F861" s="31" t="n">
        <v>7860.55</v>
      </c>
      <c r="G861" s="30" t="n"/>
    </row>
    <row r="863" ht="33" customHeight="1">
      <c r="A863" s="8" t="inlineStr">
        <is>
          <t>2.33</t>
        </is>
      </c>
      <c r="B863" s="17" t="inlineStr">
        <is>
          <t>Felling trees of the girth (measured at a height of 1 m above ground level), including cutting of trunks and branches, removing the roots and stacking of serviceable material and disposal of unserviceable material.</t>
        </is>
      </c>
      <c r="C863" s="9" t="n"/>
      <c r="D863" s="9" t="n"/>
      <c r="E863" s="9" t="n"/>
      <c r="F863" s="9" t="n"/>
      <c r="G863" s="9" t="n"/>
    </row>
    <row r="864" ht="18.5" customHeight="1">
      <c r="A864" s="18" t="inlineStr">
        <is>
          <t>2.33.4</t>
        </is>
      </c>
      <c r="B864" s="19" t="inlineStr">
        <is>
          <t>Above 240 cm girth</t>
        </is>
      </c>
      <c r="C864" s="20" t="n"/>
      <c r="D864" s="20" t="n"/>
      <c r="E864" s="20" t="n"/>
      <c r="F864" s="20" t="n"/>
      <c r="G864" s="20" t="n"/>
    </row>
    <row r="865">
      <c r="A865" s="21" t="inlineStr">
        <is>
          <t>Details of cost for 1 each   |   Hand-transcribed (provisional): not machine-checked against the PDF</t>
        </is>
      </c>
    </row>
    <row r="866">
      <c r="A866" s="5" t="inlineStr">
        <is>
          <t>Code</t>
        </is>
      </c>
      <c r="B866" s="5" t="inlineStr">
        <is>
          <t>Description</t>
        </is>
      </c>
      <c r="C866" s="5" t="inlineStr">
        <is>
          <t>Unit</t>
        </is>
      </c>
      <c r="D866" s="5" t="inlineStr">
        <is>
          <t>Quantity</t>
        </is>
      </c>
      <c r="E866" s="5" t="inlineStr">
        <is>
          <t>Rate (Rs.)</t>
        </is>
      </c>
      <c r="F866" s="5" t="inlineStr">
        <is>
          <t>Amount (Rs.)</t>
        </is>
      </c>
      <c r="G866" s="5" t="inlineStr">
        <is>
          <t>Note</t>
        </is>
      </c>
    </row>
    <row r="867">
      <c r="A867" s="22" t="inlineStr">
        <is>
          <t>0114</t>
        </is>
      </c>
      <c r="B867" s="11" t="inlineStr">
        <is>
          <t>Beldar</t>
        </is>
      </c>
      <c r="C867" s="22" t="inlineStr">
        <is>
          <t>day</t>
        </is>
      </c>
      <c r="D867" s="23" t="n">
        <v>14</v>
      </c>
      <c r="E867" s="24" t="n">
        <v>558</v>
      </c>
      <c r="F867" s="24">
        <f>D867*E867</f>
        <v/>
      </c>
      <c r="G867" s="22" t="n"/>
    </row>
    <row r="868">
      <c r="A868" s="22" t="inlineStr">
        <is>
          <t>0115</t>
        </is>
      </c>
      <c r="B868" s="11" t="inlineStr">
        <is>
          <t>Coolie</t>
        </is>
      </c>
      <c r="C868" s="22" t="inlineStr">
        <is>
          <t>day</t>
        </is>
      </c>
      <c r="D868" s="23" t="n">
        <v>7</v>
      </c>
      <c r="E868" s="24" t="n">
        <v>558</v>
      </c>
      <c r="F868" s="24">
        <f>D868*E868</f>
        <v/>
      </c>
      <c r="G868" s="22" t="n"/>
    </row>
    <row r="869">
      <c r="A869" s="22" t="inlineStr">
        <is>
          <t>9999</t>
        </is>
      </c>
      <c r="B869" s="11" t="inlineStr">
        <is>
          <t>Sundries</t>
        </is>
      </c>
      <c r="C869" s="22" t="inlineStr">
        <is>
          <t>LS</t>
        </is>
      </c>
      <c r="D869" s="23" t="n">
        <v>26.91</v>
      </c>
      <c r="E869" s="24" t="n">
        <v>2</v>
      </c>
      <c r="F869" s="24">
        <f>D869*E869</f>
        <v/>
      </c>
      <c r="G869" s="22" t="n"/>
    </row>
    <row r="870">
      <c r="A870" s="8" t="inlineStr">
        <is>
          <t>Calculated W - SUM of the Amount column above</t>
        </is>
      </c>
      <c r="B870" s="9" t="n"/>
      <c r="C870" s="9" t="n"/>
      <c r="D870" s="9" t="n"/>
      <c r="E870" s="9" t="n"/>
      <c r="F870" s="25">
        <f>SUM(F867:F869)</f>
        <v/>
      </c>
      <c r="G870" s="9" t="n"/>
    </row>
    <row r="871">
      <c r="A871" s="26" t="inlineStr">
        <is>
          <t>W as printed in the DAR</t>
        </is>
      </c>
      <c r="B871" s="22" t="n"/>
      <c r="C871" s="22" t="n"/>
      <c r="D871" s="22" t="n"/>
      <c r="E871" s="22" t="n"/>
      <c r="F871" s="27" t="n">
        <v>11771.82</v>
      </c>
      <c r="G871" s="22" t="n"/>
    </row>
    <row r="872">
      <c r="A872" s="26" t="inlineStr">
        <is>
          <t>Difference (calculated - printed)</t>
        </is>
      </c>
      <c r="B872" s="22" t="n"/>
      <c r="C872" s="22" t="n"/>
      <c r="D872" s="22" t="n"/>
      <c r="E872" s="22" t="n"/>
      <c r="F872" s="27">
        <f>F870-F871</f>
        <v/>
      </c>
      <c r="G872" s="22" t="n"/>
    </row>
    <row r="873">
      <c r="A873" s="29" t="inlineStr">
        <is>
          <t>SAY (Rs.) - final DAR rate as printed (fixed value, not computed)</t>
        </is>
      </c>
      <c r="B873" s="30" t="n"/>
      <c r="C873" s="30" t="n"/>
      <c r="D873" s="30" t="n"/>
      <c r="E873" s="30" t="n"/>
      <c r="F873" s="31" t="n">
        <v>15749.95</v>
      </c>
      <c r="G873" s="30" t="n"/>
    </row>
    <row r="875" ht="18.5" customHeight="1">
      <c r="A875" s="8" t="inlineStr">
        <is>
          <t>2.34</t>
        </is>
      </c>
      <c r="B875" s="17" t="inlineStr">
        <is>
          <t>Supplying chemical emulsion in sealed containers including delivery as specified.</t>
        </is>
      </c>
      <c r="C875" s="9" t="n"/>
      <c r="D875" s="9" t="n"/>
      <c r="E875" s="9" t="n"/>
      <c r="F875" s="9" t="n"/>
      <c r="G875" s="9" t="n"/>
    </row>
    <row r="876" ht="18.5" customHeight="1">
      <c r="A876" s="18" t="inlineStr">
        <is>
          <t>2.34.1</t>
        </is>
      </c>
      <c r="B876" s="19" t="inlineStr">
        <is>
          <t>Chlorpyriphos/ Lindane emulsifiable concentrate of 20%</t>
        </is>
      </c>
      <c r="C876" s="20" t="n"/>
      <c r="D876" s="20" t="n"/>
      <c r="E876" s="20" t="n"/>
      <c r="F876" s="20" t="n"/>
      <c r="G876" s="20" t="n"/>
    </row>
    <row r="877">
      <c r="A877" s="21" t="inlineStr">
        <is>
          <t>Details of cost for 100 litre   |   Hand-transcribed (provisional): not machine-checked against the PDF</t>
        </is>
      </c>
    </row>
    <row r="878">
      <c r="A878" s="5" t="inlineStr">
        <is>
          <t>Code</t>
        </is>
      </c>
      <c r="B878" s="5" t="inlineStr">
        <is>
          <t>Description</t>
        </is>
      </c>
      <c r="C878" s="5" t="inlineStr">
        <is>
          <t>Unit</t>
        </is>
      </c>
      <c r="D878" s="5" t="inlineStr">
        <is>
          <t>Quantity</t>
        </is>
      </c>
      <c r="E878" s="5" t="inlineStr">
        <is>
          <t>Rate (Rs.)</t>
        </is>
      </c>
      <c r="F878" s="5" t="inlineStr">
        <is>
          <t>Amount (Rs.)</t>
        </is>
      </c>
      <c r="G878" s="5" t="inlineStr">
        <is>
          <t>Note</t>
        </is>
      </c>
    </row>
    <row r="879">
      <c r="A879" s="22" t="inlineStr">
        <is>
          <t>7022</t>
        </is>
      </c>
      <c r="B879" s="11" t="inlineStr">
        <is>
          <t>Chlorpyriphos 20% EC concentrate</t>
        </is>
      </c>
      <c r="C879" s="22" t="inlineStr">
        <is>
          <t>litre</t>
        </is>
      </c>
      <c r="D879" s="23" t="n">
        <v>100</v>
      </c>
      <c r="E879" s="24" t="n">
        <v>150</v>
      </c>
      <c r="F879" s="24">
        <f>D879*E879</f>
        <v/>
      </c>
      <c r="G879" s="22" t="n"/>
    </row>
    <row r="880">
      <c r="A880" s="22" t="inlineStr">
        <is>
          <t>2342</t>
        </is>
      </c>
      <c r="B880" s="11" t="inlineStr">
        <is>
          <t>Carriage of chemical</t>
        </is>
      </c>
      <c r="C880" s="22" t="inlineStr">
        <is>
          <t>quintal</t>
        </is>
      </c>
      <c r="D880" s="23" t="n">
        <v>1</v>
      </c>
      <c r="E880" s="24" t="n">
        <v>10.38</v>
      </c>
      <c r="F880" s="24">
        <f>D880*E880</f>
        <v/>
      </c>
      <c r="G880" s="22" t="n"/>
    </row>
    <row r="881">
      <c r="A881" s="8" t="inlineStr">
        <is>
          <t>Calculated W - SUM of the Amount column above</t>
        </is>
      </c>
      <c r="B881" s="9" t="n"/>
      <c r="C881" s="9" t="n"/>
      <c r="D881" s="9" t="n"/>
      <c r="E881" s="9" t="n"/>
      <c r="F881" s="25">
        <f>SUM(F879:F880)</f>
        <v/>
      </c>
      <c r="G881" s="9" t="n"/>
    </row>
    <row r="882">
      <c r="A882" s="26" t="inlineStr">
        <is>
          <t>W as printed in the DAR</t>
        </is>
      </c>
      <c r="B882" s="22" t="n"/>
      <c r="C882" s="22" t="n"/>
      <c r="D882" s="22" t="n"/>
      <c r="E882" s="22" t="n"/>
      <c r="F882" s="27" t="n">
        <v>15010.38</v>
      </c>
      <c r="G882" s="22" t="n"/>
    </row>
    <row r="883">
      <c r="A883" s="26" t="inlineStr">
        <is>
          <t>Difference (calculated - printed)</t>
        </is>
      </c>
      <c r="B883" s="22" t="n"/>
      <c r="C883" s="22" t="n"/>
      <c r="D883" s="22" t="n"/>
      <c r="E883" s="22" t="n"/>
      <c r="F883" s="27">
        <f>F881-F882</f>
        <v/>
      </c>
      <c r="G883" s="22" t="n"/>
    </row>
    <row r="884">
      <c r="A884" s="29" t="inlineStr">
        <is>
          <t>SAY (Rs.) - final DAR rate as printed (fixed value, not computed)</t>
        </is>
      </c>
      <c r="B884" s="30" t="n"/>
      <c r="C884" s="30" t="n"/>
      <c r="D884" s="30" t="n"/>
      <c r="E884" s="30" t="n"/>
      <c r="F884" s="31" t="n">
        <v>200.85</v>
      </c>
      <c r="G884" s="30" t="n"/>
    </row>
    <row r="886" ht="33" customHeight="1">
      <c r="A886" s="8" t="inlineStr">
        <is>
          <t>2.35</t>
        </is>
      </c>
      <c r="B886" s="17" t="inlineStr">
        <is>
          <t>Diluting and injecting chemical emulsion for POST-CONSTRUCTIONAL anti- termite treatment (excluding the cost of chemical emulsion) :</t>
        </is>
      </c>
      <c r="C886" s="9" t="n"/>
      <c r="D886" s="9" t="n"/>
      <c r="E886" s="9" t="n"/>
      <c r="F886" s="9" t="n"/>
      <c r="G886" s="9" t="n"/>
    </row>
    <row r="887" ht="47.5" customHeight="1">
      <c r="A887" s="18" t="inlineStr">
        <is>
          <t>2.35.1.1</t>
        </is>
      </c>
      <c r="B887" s="19" t="inlineStr">
        <is>
          <t>Along external wall where the apron is not provided using chemical emulsion @ 7.5 litres / sqm of the vertical surface of the substructure to a depth of 300mm including excavation channel along the wall &amp; rodding etc. complete: - With Chlorpyriphos/ Lindane E.C. 20% with 1% concentration</t>
        </is>
      </c>
      <c r="C887" s="20" t="n"/>
      <c r="D887" s="20" t="n"/>
      <c r="E887" s="20" t="n"/>
      <c r="F887" s="20" t="n"/>
      <c r="G887" s="20" t="n"/>
    </row>
    <row r="888">
      <c r="A888" s="21" t="inlineStr">
        <is>
          <t>Details of cost for 1 metre   |   Hand-transcribed (provisional): not machine-checked against the PDF</t>
        </is>
      </c>
    </row>
    <row r="889">
      <c r="A889" s="5" t="inlineStr">
        <is>
          <t>Code</t>
        </is>
      </c>
      <c r="B889" s="5" t="inlineStr">
        <is>
          <t>Description</t>
        </is>
      </c>
      <c r="C889" s="5" t="inlineStr">
        <is>
          <t>Unit</t>
        </is>
      </c>
      <c r="D889" s="5" t="inlineStr">
        <is>
          <t>Quantity</t>
        </is>
      </c>
      <c r="E889" s="5" t="inlineStr">
        <is>
          <t>Rate (Rs.)</t>
        </is>
      </c>
      <c r="F889" s="5" t="inlineStr">
        <is>
          <t>Amount (Rs.)</t>
        </is>
      </c>
      <c r="G889" s="5" t="inlineStr">
        <is>
          <t>Note</t>
        </is>
      </c>
    </row>
    <row r="890">
      <c r="A890" s="22" t="inlineStr">
        <is>
          <t>0114</t>
        </is>
      </c>
      <c r="B890" s="11" t="inlineStr">
        <is>
          <t>Beldar</t>
        </is>
      </c>
      <c r="C890" s="22" t="inlineStr">
        <is>
          <t>day</t>
        </is>
      </c>
      <c r="D890" s="23" t="n">
        <v>0.33</v>
      </c>
      <c r="E890" s="24" t="n">
        <v>558</v>
      </c>
      <c r="F890" s="24">
        <f>D890*E890</f>
        <v/>
      </c>
      <c r="G890" s="22" t="n"/>
    </row>
    <row r="891">
      <c r="A891" s="22" t="inlineStr">
        <is>
          <t>9999</t>
        </is>
      </c>
      <c r="B891" s="11" t="inlineStr">
        <is>
          <t>Sundries</t>
        </is>
      </c>
      <c r="C891" s="22" t="inlineStr">
        <is>
          <t>LS</t>
        </is>
      </c>
      <c r="D891" s="23" t="n">
        <v>13.52</v>
      </c>
      <c r="E891" s="24" t="n">
        <v>2</v>
      </c>
      <c r="F891" s="24">
        <f>D891*E891</f>
        <v/>
      </c>
      <c r="G891" s="22" t="n"/>
    </row>
    <row r="892">
      <c r="A892" s="8" t="inlineStr">
        <is>
          <t>Calculated W - SUM of the Amount column above</t>
        </is>
      </c>
      <c r="B892" s="9" t="n"/>
      <c r="C892" s="9" t="n"/>
      <c r="D892" s="9" t="n"/>
      <c r="E892" s="9" t="n"/>
      <c r="F892" s="25">
        <f>SUM(F890:F891)</f>
        <v/>
      </c>
      <c r="G892" s="9" t="n"/>
    </row>
    <row r="893">
      <c r="A893" s="26" t="inlineStr">
        <is>
          <t>W as printed in the DAR</t>
        </is>
      </c>
      <c r="B893" s="22" t="n"/>
      <c r="C893" s="22" t="n"/>
      <c r="D893" s="22" t="n"/>
      <c r="E893" s="22" t="n"/>
      <c r="F893" s="27" t="n">
        <v>211.18</v>
      </c>
      <c r="G893" s="22" t="n"/>
    </row>
    <row r="894">
      <c r="A894" s="26" t="inlineStr">
        <is>
          <t>Difference (calculated - printed)</t>
        </is>
      </c>
      <c r="B894" s="22" t="n"/>
      <c r="C894" s="22" t="n"/>
      <c r="D894" s="22" t="n"/>
      <c r="E894" s="22" t="n"/>
      <c r="F894" s="27">
        <f>F892-F893</f>
        <v/>
      </c>
      <c r="G894" s="22" t="n"/>
    </row>
    <row r="895">
      <c r="A895" s="29" t="inlineStr">
        <is>
          <t>SAY (Rs.) - final DAR rate as printed (fixed value, not computed)</t>
        </is>
      </c>
      <c r="B895" s="30" t="n"/>
      <c r="C895" s="30" t="n"/>
      <c r="D895" s="30" t="n"/>
      <c r="E895" s="30" t="n"/>
      <c r="F895" s="31" t="n">
        <v>28.25</v>
      </c>
      <c r="G895" s="30" t="n"/>
    </row>
    <row r="897" ht="33" customHeight="1">
      <c r="A897" s="8" t="inlineStr">
        <is>
          <t>2.35</t>
        </is>
      </c>
      <c r="B897" s="17" t="inlineStr">
        <is>
          <t>Diluting and injecting chemical emulsion for POST-CONSTRUCTIONAL anti- termite treatment (excluding the cost of chemical emulsion) :</t>
        </is>
      </c>
      <c r="C897" s="9" t="n"/>
      <c r="D897" s="9" t="n"/>
      <c r="E897" s="9" t="n"/>
      <c r="F897" s="9" t="n"/>
      <c r="G897" s="9" t="n"/>
    </row>
    <row r="898" ht="33" customHeight="1">
      <c r="A898" s="18" t="inlineStr">
        <is>
          <t>2.35.2.1</t>
        </is>
      </c>
      <c r="B898" s="19" t="inlineStr">
        <is>
          <t>Along the external wall below concrete or masonry apron using chemical emulsion @ 2.25 litres per linear metre including drilling and plugging holes etc.: - With Chlorpyriphos/ Lindane E.C. 20% with 1% concentration</t>
        </is>
      </c>
      <c r="C898" s="20" t="n"/>
      <c r="D898" s="20" t="n"/>
      <c r="E898" s="20" t="n"/>
      <c r="F898" s="20" t="n"/>
      <c r="G898" s="20" t="n"/>
    </row>
    <row r="899">
      <c r="A899" s="21" t="inlineStr">
        <is>
          <t>Details of cost for 1 metre   |   Hand-transcribed (provisional): not machine-checked against the PDF</t>
        </is>
      </c>
    </row>
    <row r="900">
      <c r="A900" s="5" t="inlineStr">
        <is>
          <t>Code</t>
        </is>
      </c>
      <c r="B900" s="5" t="inlineStr">
        <is>
          <t>Description</t>
        </is>
      </c>
      <c r="C900" s="5" t="inlineStr">
        <is>
          <t>Unit</t>
        </is>
      </c>
      <c r="D900" s="5" t="inlineStr">
        <is>
          <t>Quantity</t>
        </is>
      </c>
      <c r="E900" s="5" t="inlineStr">
        <is>
          <t>Rate (Rs.)</t>
        </is>
      </c>
      <c r="F900" s="5" t="inlineStr">
        <is>
          <t>Amount (Rs.)</t>
        </is>
      </c>
      <c r="G900" s="5" t="inlineStr">
        <is>
          <t>Note</t>
        </is>
      </c>
    </row>
    <row r="901">
      <c r="A901" s="22" t="inlineStr">
        <is>
          <t>0114</t>
        </is>
      </c>
      <c r="B901" s="11" t="inlineStr">
        <is>
          <t>Beldar</t>
        </is>
      </c>
      <c r="C901" s="22" t="inlineStr">
        <is>
          <t>day</t>
        </is>
      </c>
      <c r="D901" s="23" t="n">
        <v>0.4</v>
      </c>
      <c r="E901" s="24" t="n">
        <v>558</v>
      </c>
      <c r="F901" s="24">
        <f>D901*E901</f>
        <v/>
      </c>
      <c r="G901" s="22" t="n"/>
    </row>
    <row r="902">
      <c r="A902" s="22" t="inlineStr">
        <is>
          <t>9999</t>
        </is>
      </c>
      <c r="B902" s="11" t="inlineStr">
        <is>
          <t>Sundries</t>
        </is>
      </c>
      <c r="C902" s="22" t="inlineStr">
        <is>
          <t>LS</t>
        </is>
      </c>
      <c r="D902" s="23" t="n">
        <v>35.88</v>
      </c>
      <c r="E902" s="24" t="n">
        <v>2</v>
      </c>
      <c r="F902" s="24">
        <f>D902*E902</f>
        <v/>
      </c>
      <c r="G902" s="22" t="n"/>
    </row>
    <row r="903">
      <c r="A903" s="8" t="inlineStr">
        <is>
          <t>Calculated W - SUM of the Amount column above</t>
        </is>
      </c>
      <c r="B903" s="9" t="n"/>
      <c r="C903" s="9" t="n"/>
      <c r="D903" s="9" t="n"/>
      <c r="E903" s="9" t="n"/>
      <c r="F903" s="25">
        <f>SUM(F901:F902)</f>
        <v/>
      </c>
      <c r="G903" s="9" t="n"/>
    </row>
    <row r="904">
      <c r="A904" s="26" t="inlineStr">
        <is>
          <t>W as printed in the DAR</t>
        </is>
      </c>
      <c r="B904" s="22" t="n"/>
      <c r="C904" s="22" t="n"/>
      <c r="D904" s="22" t="n"/>
      <c r="E904" s="22" t="n"/>
      <c r="F904" s="27" t="n">
        <v>294.96</v>
      </c>
      <c r="G904" s="22" t="n"/>
    </row>
    <row r="905">
      <c r="A905" s="26" t="inlineStr">
        <is>
          <t>Difference (calculated - printed)</t>
        </is>
      </c>
      <c r="B905" s="22" t="n"/>
      <c r="C905" s="22" t="n"/>
      <c r="D905" s="22" t="n"/>
      <c r="E905" s="22" t="n"/>
      <c r="F905" s="27">
        <f>F903-F904</f>
        <v/>
      </c>
      <c r="G905" s="22" t="n"/>
    </row>
    <row r="906">
      <c r="A906" s="29" t="inlineStr">
        <is>
          <t>SAY (Rs.) - final DAR rate as printed (fixed value, not computed)</t>
        </is>
      </c>
      <c r="B906" s="30" t="n"/>
      <c r="C906" s="30" t="n"/>
      <c r="D906" s="30" t="n"/>
      <c r="E906" s="30" t="n"/>
      <c r="F906" s="31" t="n">
        <v>39.45</v>
      </c>
      <c r="G906" s="30" t="n"/>
    </row>
    <row r="908" ht="33" customHeight="1">
      <c r="A908" s="8" t="inlineStr">
        <is>
          <t>2.35</t>
        </is>
      </c>
      <c r="B908" s="17" t="inlineStr">
        <is>
          <t>Diluting and injecting chemical emulsion for POST-CONSTRUCTIONAL anti- termite treatment (excluding the cost of chemical emulsion) :</t>
        </is>
      </c>
      <c r="C908" s="9" t="n"/>
      <c r="D908" s="9" t="n"/>
      <c r="E908" s="9" t="n"/>
      <c r="F908" s="9" t="n"/>
      <c r="G908" s="9" t="n"/>
    </row>
    <row r="909" ht="47.5" customHeight="1">
      <c r="A909" s="18" t="inlineStr">
        <is>
          <t>2.35.3.1</t>
        </is>
      </c>
      <c r="B909" s="19" t="inlineStr">
        <is>
          <t>Treatment of soil under existing floors using chemical emulsion @ one litre per hole, 300 mm apart including drilling 12 mm diameter holes and plugging with cement mortar 1:2 (1 cement : 2 Coarse sand) to match the existing floor: - With Chlorpyriphos/Lindane E.C. 20% with 1% concentration</t>
        </is>
      </c>
      <c r="C909" s="20" t="n"/>
      <c r="D909" s="20" t="n"/>
      <c r="E909" s="20" t="n"/>
      <c r="F909" s="20" t="n"/>
      <c r="G909" s="20" t="n"/>
    </row>
    <row r="910">
      <c r="A910" s="21" t="inlineStr">
        <is>
          <t>Details of cost for 1 sqm   |   Hand-transcribed (provisional): not machine-checked against the PDF</t>
        </is>
      </c>
    </row>
    <row r="911">
      <c r="A911" s="5" t="inlineStr">
        <is>
          <t>Code</t>
        </is>
      </c>
      <c r="B911" s="5" t="inlineStr">
        <is>
          <t>Description</t>
        </is>
      </c>
      <c r="C911" s="5" t="inlineStr">
        <is>
          <t>Unit</t>
        </is>
      </c>
      <c r="D911" s="5" t="inlineStr">
        <is>
          <t>Quantity</t>
        </is>
      </c>
      <c r="E911" s="5" t="inlineStr">
        <is>
          <t>Rate (Rs.)</t>
        </is>
      </c>
      <c r="F911" s="5" t="inlineStr">
        <is>
          <t>Amount (Rs.)</t>
        </is>
      </c>
      <c r="G911" s="5" t="inlineStr">
        <is>
          <t>Note</t>
        </is>
      </c>
    </row>
    <row r="912">
      <c r="A912" s="22" t="inlineStr">
        <is>
          <t>0114</t>
        </is>
      </c>
      <c r="B912" s="11" t="inlineStr">
        <is>
          <t>Beldar</t>
        </is>
      </c>
      <c r="C912" s="22" t="inlineStr">
        <is>
          <t>day</t>
        </is>
      </c>
      <c r="D912" s="23" t="n">
        <v>2</v>
      </c>
      <c r="E912" s="24" t="n">
        <v>558</v>
      </c>
      <c r="F912" s="24">
        <f>D912*E912</f>
        <v/>
      </c>
      <c r="G912" s="22" t="n"/>
    </row>
    <row r="913">
      <c r="A913" s="22" t="inlineStr">
        <is>
          <t>0124</t>
        </is>
      </c>
      <c r="B913" s="11" t="inlineStr">
        <is>
          <t>Mason 2nd class</t>
        </is>
      </c>
      <c r="C913" s="22" t="inlineStr">
        <is>
          <t>day</t>
        </is>
      </c>
      <c r="D913" s="23" t="n">
        <v>0.5</v>
      </c>
      <c r="E913" s="24" t="n">
        <v>679</v>
      </c>
      <c r="F913" s="24">
        <f>D913*E913</f>
        <v/>
      </c>
      <c r="G913" s="22" t="n"/>
    </row>
    <row r="914">
      <c r="A914" s="22" t="inlineStr">
        <is>
          <t>9999</t>
        </is>
      </c>
      <c r="B914" s="11" t="inlineStr">
        <is>
          <t>Sundries</t>
        </is>
      </c>
      <c r="C914" s="22" t="inlineStr">
        <is>
          <t>LS</t>
        </is>
      </c>
      <c r="D914" s="23" t="n">
        <v>35.88</v>
      </c>
      <c r="E914" s="24" t="n">
        <v>2</v>
      </c>
      <c r="F914" s="24">
        <f>D914*E914</f>
        <v/>
      </c>
      <c r="G914" s="22" t="n"/>
    </row>
    <row r="915">
      <c r="A915" s="8" t="inlineStr">
        <is>
          <t>Calculated W - SUM of the Amount column above</t>
        </is>
      </c>
      <c r="B915" s="9" t="n"/>
      <c r="C915" s="9" t="n"/>
      <c r="D915" s="9" t="n"/>
      <c r="E915" s="9" t="n"/>
      <c r="F915" s="25">
        <f>SUM(F912:F914)</f>
        <v/>
      </c>
      <c r="G915" s="9" t="n"/>
    </row>
    <row r="916">
      <c r="A916" s="26" t="inlineStr">
        <is>
          <t>W as printed in the DAR</t>
        </is>
      </c>
      <c r="B916" s="22" t="n"/>
      <c r="C916" s="22" t="n"/>
      <c r="D916" s="22" t="n"/>
      <c r="E916" s="22" t="n"/>
      <c r="F916" s="27" t="n">
        <v>1527.26</v>
      </c>
      <c r="G916" s="22" t="n"/>
    </row>
    <row r="917">
      <c r="A917" s="26" t="inlineStr">
        <is>
          <t>Difference (calculated - printed)</t>
        </is>
      </c>
      <c r="B917" s="22" t="n"/>
      <c r="C917" s="22" t="n"/>
      <c r="D917" s="22" t="n"/>
      <c r="E917" s="22" t="n"/>
      <c r="F917" s="27">
        <f>F915-F916</f>
        <v/>
      </c>
      <c r="G917" s="22" t="n"/>
    </row>
    <row r="918">
      <c r="A918" s="29" t="inlineStr">
        <is>
          <t>SAY (Rs.) - final DAR rate as printed (fixed value, not computed)</t>
        </is>
      </c>
      <c r="B918" s="30" t="n"/>
      <c r="C918" s="30" t="n"/>
      <c r="D918" s="30" t="n"/>
      <c r="E918" s="30" t="n"/>
      <c r="F918" s="31" t="n">
        <v>227.05</v>
      </c>
      <c r="G918" s="30" t="n"/>
    </row>
    <row r="920" ht="33" customHeight="1">
      <c r="A920" s="8" t="inlineStr">
        <is>
          <t>2.35</t>
        </is>
      </c>
      <c r="B920" s="17" t="inlineStr">
        <is>
          <t>Diluting and injecting chemical emulsion for POST-CONSTRUCTIONAL anti- termite treatment (excluding the cost of chemical emulsion) :</t>
        </is>
      </c>
      <c r="C920" s="9" t="n"/>
      <c r="D920" s="9" t="n"/>
      <c r="E920" s="9" t="n"/>
      <c r="F920" s="9" t="n"/>
      <c r="G920" s="9" t="n"/>
    </row>
    <row r="921" ht="47.5" customHeight="1">
      <c r="A921" s="18" t="inlineStr">
        <is>
          <t>2.35.4.1</t>
        </is>
      </c>
      <c r="B921" s="19" t="inlineStr">
        <is>
          <t>Treatment of existing masonry using chemical emulsion @ one litre per hole at 300 mm interval including drilling holes at 45 degree and plugging them with cement mortar 1:2 (1 cement : 2 coarse sand) to the full depth of the hole: - With Chlorpyriphos/Lindane E.C. 20% with 1% concentration</t>
        </is>
      </c>
      <c r="C921" s="20" t="n"/>
      <c r="D921" s="20" t="n"/>
      <c r="E921" s="20" t="n"/>
      <c r="F921" s="20" t="n"/>
      <c r="G921" s="20" t="n"/>
    </row>
    <row r="922">
      <c r="A922" s="21" t="inlineStr">
        <is>
          <t>Details of cost for 1 metre   |   Hand-transcribed (provisional): not machine-checked against the PDF</t>
        </is>
      </c>
    </row>
    <row r="923">
      <c r="A923" s="5" t="inlineStr">
        <is>
          <t>Code</t>
        </is>
      </c>
      <c r="B923" s="5" t="inlineStr">
        <is>
          <t>Description</t>
        </is>
      </c>
      <c r="C923" s="5" t="inlineStr">
        <is>
          <t>Unit</t>
        </is>
      </c>
      <c r="D923" s="5" t="inlineStr">
        <is>
          <t>Quantity</t>
        </is>
      </c>
      <c r="E923" s="5" t="inlineStr">
        <is>
          <t>Rate (Rs.)</t>
        </is>
      </c>
      <c r="F923" s="5" t="inlineStr">
        <is>
          <t>Amount (Rs.)</t>
        </is>
      </c>
      <c r="G923" s="5" t="inlineStr">
        <is>
          <t>Note</t>
        </is>
      </c>
    </row>
    <row r="924">
      <c r="A924" s="22" t="inlineStr">
        <is>
          <t>0114</t>
        </is>
      </c>
      <c r="B924" s="11" t="inlineStr">
        <is>
          <t>Beldar</t>
        </is>
      </c>
      <c r="C924" s="22" t="inlineStr">
        <is>
          <t>day</t>
        </is>
      </c>
      <c r="D924" s="23" t="n">
        <v>0.3</v>
      </c>
      <c r="E924" s="24" t="n">
        <v>558</v>
      </c>
      <c r="F924" s="24">
        <f>D924*E924</f>
        <v/>
      </c>
      <c r="G924" s="22" t="n"/>
    </row>
    <row r="925">
      <c r="A925" s="22" t="inlineStr">
        <is>
          <t>0124</t>
        </is>
      </c>
      <c r="B925" s="11" t="inlineStr">
        <is>
          <t>Mason 2nd class</t>
        </is>
      </c>
      <c r="C925" s="22" t="inlineStr">
        <is>
          <t>day</t>
        </is>
      </c>
      <c r="D925" s="23" t="n">
        <v>0.05</v>
      </c>
      <c r="E925" s="24" t="n">
        <v>679</v>
      </c>
      <c r="F925" s="24">
        <f>D925*E925</f>
        <v/>
      </c>
      <c r="G925" s="22" t="n"/>
    </row>
    <row r="926">
      <c r="A926" s="22" t="inlineStr">
        <is>
          <t>9999</t>
        </is>
      </c>
      <c r="B926" s="11" t="inlineStr">
        <is>
          <t>Sundries</t>
        </is>
      </c>
      <c r="C926" s="22" t="inlineStr">
        <is>
          <t>LS</t>
        </is>
      </c>
      <c r="D926" s="23" t="n">
        <v>17.94</v>
      </c>
      <c r="E926" s="24" t="n">
        <v>2</v>
      </c>
      <c r="F926" s="24">
        <f>D926*E926</f>
        <v/>
      </c>
      <c r="G926" s="22" t="n"/>
    </row>
    <row r="927">
      <c r="A927" s="8" t="inlineStr">
        <is>
          <t>Calculated W - SUM of the Amount column above</t>
        </is>
      </c>
      <c r="B927" s="9" t="n"/>
      <c r="C927" s="9" t="n"/>
      <c r="D927" s="9" t="n"/>
      <c r="E927" s="9" t="n"/>
      <c r="F927" s="25">
        <f>SUM(F924:F926)</f>
        <v/>
      </c>
      <c r="G927" s="9" t="n"/>
    </row>
    <row r="928">
      <c r="A928" s="26" t="inlineStr">
        <is>
          <t>W as printed in the DAR</t>
        </is>
      </c>
      <c r="B928" s="22" t="n"/>
      <c r="C928" s="22" t="n"/>
      <c r="D928" s="22" t="n"/>
      <c r="E928" s="22" t="n"/>
      <c r="F928" s="27" t="n">
        <v>237.23</v>
      </c>
      <c r="G928" s="22" t="n"/>
    </row>
    <row r="929">
      <c r="A929" s="26" t="inlineStr">
        <is>
          <t>Difference (calculated - printed)</t>
        </is>
      </c>
      <c r="B929" s="22" t="n"/>
      <c r="C929" s="22" t="n"/>
      <c r="D929" s="22" t="n"/>
      <c r="E929" s="22" t="n"/>
      <c r="F929" s="27">
        <f>F927-F928</f>
        <v/>
      </c>
      <c r="G929" s="22" t="n"/>
    </row>
    <row r="930">
      <c r="A930" s="29" t="inlineStr">
        <is>
          <t>SAY (Rs.) - final DAR rate as printed (fixed value, not computed)</t>
        </is>
      </c>
      <c r="B930" s="30" t="n"/>
      <c r="C930" s="30" t="n"/>
      <c r="D930" s="30" t="n"/>
      <c r="E930" s="30" t="n"/>
      <c r="F930" s="31" t="n">
        <v>31.75</v>
      </c>
      <c r="G930" s="30" t="n"/>
    </row>
    <row r="932" ht="33" customHeight="1">
      <c r="A932" s="8" t="inlineStr">
        <is>
          <t>2.35</t>
        </is>
      </c>
      <c r="B932" s="17" t="inlineStr">
        <is>
          <t>Diluting and injecting chemical emulsion for POST-CONSTRUCTIONAL anti- termite treatment (excluding the cost of chemical emulsion) :</t>
        </is>
      </c>
      <c r="C932" s="9" t="n"/>
      <c r="D932" s="9" t="n"/>
      <c r="E932" s="9" t="n"/>
      <c r="F932" s="9" t="n"/>
      <c r="G932" s="9" t="n"/>
    </row>
    <row r="933" ht="47.5" customHeight="1">
      <c r="A933" s="18" t="inlineStr">
        <is>
          <t>2.35.5</t>
        </is>
      </c>
      <c r="B933" s="19" t="inlineStr">
        <is>
          <t>Treatment at points of contact of wood work by chemical emulsion Chlorpyriphos/Lindane (in oil or kerosene based solution) @ 0.5 litres per hole by drilling 6 mm dia holes at downward angle of 45 degree at 150 mm centre to centre and sealing the same.</t>
        </is>
      </c>
      <c r="C933" s="20" t="n"/>
      <c r="D933" s="20" t="n"/>
      <c r="E933" s="20" t="n"/>
      <c r="F933" s="20" t="n"/>
      <c r="G933" s="20" t="n"/>
    </row>
    <row r="934">
      <c r="A934" s="21" t="inlineStr">
        <is>
          <t>Details of cost for 1 metre   |   Hand-transcribed (provisional): not machine-checked against the PDF</t>
        </is>
      </c>
    </row>
    <row r="935">
      <c r="A935" s="5" t="inlineStr">
        <is>
          <t>Code</t>
        </is>
      </c>
      <c r="B935" s="5" t="inlineStr">
        <is>
          <t>Description</t>
        </is>
      </c>
      <c r="C935" s="5" t="inlineStr">
        <is>
          <t>Unit</t>
        </is>
      </c>
      <c r="D935" s="5" t="inlineStr">
        <is>
          <t>Quantity</t>
        </is>
      </c>
      <c r="E935" s="5" t="inlineStr">
        <is>
          <t>Rate (Rs.)</t>
        </is>
      </c>
      <c r="F935" s="5" t="inlineStr">
        <is>
          <t>Amount (Rs.)</t>
        </is>
      </c>
      <c r="G935" s="5" t="inlineStr">
        <is>
          <t>Note</t>
        </is>
      </c>
    </row>
    <row r="936">
      <c r="A936" s="22" t="inlineStr"/>
      <c r="B936" s="11" t="inlineStr">
        <is>
          <t xml:space="preserve">Rate as per item </t>
        </is>
      </c>
      <c r="C936" s="22" t="inlineStr">
        <is>
          <t>litre</t>
        </is>
      </c>
      <c r="D936" s="23" t="n">
        <v>32.3</v>
      </c>
      <c r="E936" s="24" t="n">
        <v>50</v>
      </c>
      <c r="F936" s="24">
        <f>D936*E936</f>
        <v/>
      </c>
      <c r="G936" s="22" t="n"/>
    </row>
    <row r="937">
      <c r="A937" s="22" t="inlineStr">
        <is>
          <t>0112</t>
        </is>
      </c>
      <c r="B937" s="11" t="inlineStr">
        <is>
          <t>Carpenter 2nd class</t>
        </is>
      </c>
      <c r="C937" s="22" t="inlineStr">
        <is>
          <t>day</t>
        </is>
      </c>
      <c r="D937" s="23" t="n">
        <v>0.2</v>
      </c>
      <c r="E937" s="24" t="n">
        <v>679</v>
      </c>
      <c r="F937" s="24">
        <f>D937*E937</f>
        <v/>
      </c>
      <c r="G937" s="22" t="n"/>
    </row>
    <row r="938">
      <c r="A938" s="22" t="inlineStr">
        <is>
          <t>0114</t>
        </is>
      </c>
      <c r="B938" s="11" t="inlineStr">
        <is>
          <t>Beldar</t>
        </is>
      </c>
      <c r="C938" s="22" t="inlineStr">
        <is>
          <t>day</t>
        </is>
      </c>
      <c r="D938" s="23" t="n">
        <v>0.2</v>
      </c>
      <c r="E938" s="24" t="n">
        <v>558</v>
      </c>
      <c r="F938" s="24">
        <f>D938*E938</f>
        <v/>
      </c>
      <c r="G938" s="22" t="n"/>
    </row>
    <row r="939">
      <c r="A939" s="22" t="inlineStr">
        <is>
          <t>9999</t>
        </is>
      </c>
      <c r="B939" s="11" t="inlineStr">
        <is>
          <t>Sundries</t>
        </is>
      </c>
      <c r="C939" s="22" t="inlineStr">
        <is>
          <t>LS</t>
        </is>
      </c>
      <c r="D939" s="23" t="n">
        <v>17.94</v>
      </c>
      <c r="E939" s="24" t="n">
        <v>2</v>
      </c>
      <c r="F939" s="24">
        <f>D939*E939</f>
        <v/>
      </c>
      <c r="G939" s="22" t="n"/>
    </row>
    <row r="940">
      <c r="A940" s="8" t="inlineStr">
        <is>
          <t>Calculated W - SUM of the Amount column above</t>
        </is>
      </c>
      <c r="B940" s="9" t="n"/>
      <c r="C940" s="9" t="n"/>
      <c r="D940" s="9" t="n"/>
      <c r="E940" s="9" t="n"/>
      <c r="F940" s="25">
        <f>SUM(F936:F939)</f>
        <v/>
      </c>
      <c r="G940" s="9" t="n"/>
    </row>
    <row r="941">
      <c r="A941" s="26" t="inlineStr">
        <is>
          <t>W as printed in the DAR</t>
        </is>
      </c>
      <c r="B941" s="22" t="n"/>
      <c r="C941" s="22" t="n"/>
      <c r="D941" s="22" t="n"/>
      <c r="E941" s="22" t="n"/>
      <c r="F941" s="27" t="n">
        <v>1898.28</v>
      </c>
      <c r="G941" s="22" t="n"/>
    </row>
    <row r="942">
      <c r="A942" s="26" t="inlineStr">
        <is>
          <t>Difference (calculated - printed)</t>
        </is>
      </c>
      <c r="B942" s="22" t="n"/>
      <c r="C942" s="22" t="n"/>
      <c r="D942" s="22" t="n"/>
      <c r="E942" s="22" t="n"/>
      <c r="F942" s="27">
        <f>F940-F941</f>
        <v/>
      </c>
      <c r="G942" s="22" t="n"/>
    </row>
    <row r="943">
      <c r="A943" s="29" t="inlineStr">
        <is>
          <t>SAY (Rs.) - final DAR rate as printed (fixed value, not computed)</t>
        </is>
      </c>
      <c r="B943" s="30" t="n"/>
      <c r="C943" s="30" t="n"/>
      <c r="D943" s="30" t="n"/>
      <c r="E943" s="30" t="n"/>
      <c r="F943" s="31" t="n">
        <v>254</v>
      </c>
      <c r="G943" s="30" t="n"/>
    </row>
    <row r="945" ht="18.5" customHeight="1">
      <c r="A945" s="18" t="inlineStr">
        <is>
          <t>2.36</t>
        </is>
      </c>
      <c r="B945" s="19" t="inlineStr">
        <is>
          <t>Extra for levelling &amp; neatly dressing of disposed soil completely as directed by Engineer-in-charge.</t>
        </is>
      </c>
      <c r="C945" s="20" t="n"/>
      <c r="D945" s="20" t="n"/>
      <c r="E945" s="20" t="n"/>
      <c r="F945" s="20" t="n"/>
      <c r="G945" s="20" t="n"/>
    </row>
    <row r="946">
      <c r="A946" s="21" t="inlineStr">
        <is>
          <t>Details of cost for 10 cum   |   Hand-transcribed (provisional): not machine-checked against the PDF</t>
        </is>
      </c>
    </row>
    <row r="947">
      <c r="A947" s="5" t="inlineStr">
        <is>
          <t>Code</t>
        </is>
      </c>
      <c r="B947" s="5" t="inlineStr">
        <is>
          <t>Description</t>
        </is>
      </c>
      <c r="C947" s="5" t="inlineStr">
        <is>
          <t>Unit</t>
        </is>
      </c>
      <c r="D947" s="5" t="inlineStr">
        <is>
          <t>Quantity</t>
        </is>
      </c>
      <c r="E947" s="5" t="inlineStr">
        <is>
          <t>Rate (Rs.)</t>
        </is>
      </c>
      <c r="F947" s="5" t="inlineStr">
        <is>
          <t>Amount (Rs.)</t>
        </is>
      </c>
      <c r="G947" s="5" t="inlineStr">
        <is>
          <t>Note</t>
        </is>
      </c>
    </row>
    <row r="948">
      <c r="A948" s="22" t="inlineStr">
        <is>
          <t>0128</t>
        </is>
      </c>
      <c r="B948" s="11" t="inlineStr">
        <is>
          <t>Mate</t>
        </is>
      </c>
      <c r="C948" s="22" t="inlineStr">
        <is>
          <t>day</t>
        </is>
      </c>
      <c r="D948" s="23" t="n">
        <v>0.08</v>
      </c>
      <c r="E948" s="24" t="n">
        <v>617</v>
      </c>
      <c r="F948" s="24">
        <f>D948*E948</f>
        <v/>
      </c>
      <c r="G948" s="22" t="n"/>
    </row>
    <row r="949">
      <c r="A949" s="22" t="inlineStr">
        <is>
          <t>0114</t>
        </is>
      </c>
      <c r="B949" s="11" t="inlineStr">
        <is>
          <t>Beldar/Coolie</t>
        </is>
      </c>
      <c r="C949" s="22" t="inlineStr">
        <is>
          <t>day</t>
        </is>
      </c>
      <c r="D949" s="23" t="n">
        <v>0.8</v>
      </c>
      <c r="E949" s="24" t="n">
        <v>558</v>
      </c>
      <c r="F949" s="24">
        <f>D949*E949</f>
        <v/>
      </c>
      <c r="G949" s="22" t="n"/>
    </row>
    <row r="950">
      <c r="A950" s="8" t="inlineStr">
        <is>
          <t>Calculated W - SUM of the Amount column above</t>
        </is>
      </c>
      <c r="B950" s="9" t="n"/>
      <c r="C950" s="9" t="n"/>
      <c r="D950" s="9" t="n"/>
      <c r="E950" s="9" t="n"/>
      <c r="F950" s="25">
        <f>SUM(F948:F949)</f>
        <v/>
      </c>
      <c r="G950" s="9" t="n"/>
    </row>
    <row r="951">
      <c r="A951" s="26" t="inlineStr">
        <is>
          <t>W as printed in the DAR</t>
        </is>
      </c>
      <c r="B951" s="22" t="n"/>
      <c r="C951" s="22" t="n"/>
      <c r="D951" s="22" t="n"/>
      <c r="E951" s="22" t="n"/>
      <c r="F951" s="27" t="n">
        <v>495.76</v>
      </c>
      <c r="G951" s="22" t="n"/>
    </row>
    <row r="952">
      <c r="A952" s="26" t="inlineStr">
        <is>
          <t>Difference (calculated - printed)</t>
        </is>
      </c>
      <c r="B952" s="22" t="n"/>
      <c r="C952" s="22" t="n"/>
      <c r="D952" s="22" t="n"/>
      <c r="E952" s="22" t="n"/>
      <c r="F952" s="27">
        <f>F950-F951</f>
        <v/>
      </c>
      <c r="G952" s="22" t="n"/>
    </row>
    <row r="953">
      <c r="A953" s="29" t="inlineStr">
        <is>
          <t>SAY (Rs.) - final DAR rate as printed (fixed value, not computed)</t>
        </is>
      </c>
      <c r="B953" s="30" t="n"/>
      <c r="C953" s="30" t="n"/>
      <c r="D953" s="30" t="n"/>
      <c r="E953" s="30" t="n"/>
      <c r="F953" s="31" t="n">
        <v>66.34999999999999</v>
      </c>
      <c r="G953" s="30" t="n"/>
    </row>
    <row r="955" ht="33" customHeight="1">
      <c r="A955" s="18" t="inlineStr">
        <is>
          <t>2.37</t>
        </is>
      </c>
      <c r="B955" s="19" t="inlineStr">
        <is>
          <t>Supply and stacking of Fly ash conforming to IRC-58 at site, including carriage, loading, unloading &amp; stacking up to any lead (measured stacks will be reduced by 20% for payment).</t>
        </is>
      </c>
      <c r="C955" s="20" t="n"/>
      <c r="D955" s="20" t="n"/>
      <c r="E955" s="20" t="n"/>
      <c r="F955" s="20" t="n"/>
      <c r="G955" s="20" t="n"/>
    </row>
    <row r="956">
      <c r="A956" s="21" t="inlineStr">
        <is>
          <t>Details of cost for 1 cum   |   Hand-transcribed (provisional): not machine-checked against the PDF</t>
        </is>
      </c>
    </row>
    <row r="957">
      <c r="A957" s="5" t="inlineStr">
        <is>
          <t>Code</t>
        </is>
      </c>
      <c r="B957" s="5" t="inlineStr">
        <is>
          <t>Description</t>
        </is>
      </c>
      <c r="C957" s="5" t="inlineStr">
        <is>
          <t>Unit</t>
        </is>
      </c>
      <c r="D957" s="5" t="inlineStr">
        <is>
          <t>Quantity</t>
        </is>
      </c>
      <c r="E957" s="5" t="inlineStr">
        <is>
          <t>Rate (Rs.)</t>
        </is>
      </c>
      <c r="F957" s="5" t="inlineStr">
        <is>
          <t>Amount (Rs.)</t>
        </is>
      </c>
      <c r="G957" s="5" t="inlineStr">
        <is>
          <t>Note</t>
        </is>
      </c>
    </row>
    <row r="958">
      <c r="A958" s="22" t="inlineStr">
        <is>
          <t>1980</t>
        </is>
      </c>
      <c r="B958" s="11" t="inlineStr">
        <is>
          <t>Fly ash</t>
        </is>
      </c>
      <c r="C958" s="22" t="inlineStr">
        <is>
          <t>cum</t>
        </is>
      </c>
      <c r="D958" s="23" t="n">
        <v>1</v>
      </c>
      <c r="E958" s="24" t="n">
        <v>10</v>
      </c>
      <c r="F958" s="24">
        <f>D958*E958</f>
        <v/>
      </c>
      <c r="G958" s="22" t="n"/>
    </row>
    <row r="959">
      <c r="A959" s="22" t="inlineStr">
        <is>
          <t>2262</t>
        </is>
      </c>
      <c r="B959" s="11" t="inlineStr">
        <is>
          <t>Carriage of fly ash</t>
        </is>
      </c>
      <c r="C959" s="22" t="inlineStr">
        <is>
          <t>cum</t>
        </is>
      </c>
      <c r="D959" s="23" t="n">
        <v>1</v>
      </c>
      <c r="E959" s="24" t="n">
        <v>103.77</v>
      </c>
      <c r="F959" s="24">
        <f>D959*E959</f>
        <v/>
      </c>
      <c r="G959" s="22" t="n"/>
    </row>
    <row r="960">
      <c r="A960" s="8" t="inlineStr">
        <is>
          <t>Calculated W - SUM of the Amount column above</t>
        </is>
      </c>
      <c r="B960" s="9" t="n"/>
      <c r="C960" s="9" t="n"/>
      <c r="D960" s="9" t="n"/>
      <c r="E960" s="9" t="n"/>
      <c r="F960" s="25">
        <f>SUM(F958:F959)</f>
        <v/>
      </c>
      <c r="G960" s="9" t="n"/>
    </row>
    <row r="961">
      <c r="A961" s="26" t="inlineStr">
        <is>
          <t>W as printed in the DAR</t>
        </is>
      </c>
      <c r="B961" s="22" t="n"/>
      <c r="C961" s="22" t="n"/>
      <c r="D961" s="22" t="n"/>
      <c r="E961" s="22" t="n"/>
      <c r="F961" s="27" t="n">
        <v>113.77</v>
      </c>
      <c r="G961" s="22" t="n"/>
    </row>
    <row r="962">
      <c r="A962" s="26" t="inlineStr">
        <is>
          <t>Difference (calculated - printed)</t>
        </is>
      </c>
      <c r="B962" s="22" t="n"/>
      <c r="C962" s="22" t="n"/>
      <c r="D962" s="22" t="n"/>
      <c r="E962" s="22" t="n"/>
      <c r="F962" s="27">
        <f>F960-F961</f>
        <v/>
      </c>
      <c r="G962" s="22" t="n"/>
    </row>
    <row r="963">
      <c r="A963" s="29" t="inlineStr">
        <is>
          <t>SAY (Rs.) - final DAR rate as printed (fixed value, not computed)</t>
        </is>
      </c>
      <c r="B963" s="30" t="n"/>
      <c r="C963" s="30" t="n"/>
      <c r="D963" s="30" t="n"/>
      <c r="E963" s="30" t="n"/>
      <c r="F963" s="31" t="n">
        <v>152.2</v>
      </c>
      <c r="G963" s="30" t="n"/>
    </row>
    <row r="965" ht="76.5" customHeight="1">
      <c r="A965" s="18" t="inlineStr">
        <is>
          <t>2.38</t>
        </is>
      </c>
      <c r="B965" s="19"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Engineer-in-charge, including compacting each layer by rolling/ramming and watering, all complete as per drawing and direction of Engineer-in-charge.</t>
        </is>
      </c>
      <c r="C965" s="20" t="n"/>
      <c r="D965" s="20" t="n"/>
      <c r="E965" s="20" t="n"/>
      <c r="F965" s="20" t="n"/>
      <c r="G965" s="20" t="n"/>
    </row>
    <row r="966">
      <c r="A966" s="21" t="inlineStr">
        <is>
          <t>Details of cost for 10 cum   |   Hand-transcribed (provisional): not machine-checked against the PDF</t>
        </is>
      </c>
    </row>
    <row r="967">
      <c r="A967" s="5" t="inlineStr">
        <is>
          <t>Code</t>
        </is>
      </c>
      <c r="B967" s="5" t="inlineStr">
        <is>
          <t>Description</t>
        </is>
      </c>
      <c r="C967" s="5" t="inlineStr">
        <is>
          <t>Unit</t>
        </is>
      </c>
      <c r="D967" s="5" t="inlineStr">
        <is>
          <t>Quantity</t>
        </is>
      </c>
      <c r="E967" s="5" t="inlineStr">
        <is>
          <t>Rate (Rs.)</t>
        </is>
      </c>
      <c r="F967" s="5" t="inlineStr">
        <is>
          <t>Amount (Rs.)</t>
        </is>
      </c>
      <c r="G967" s="5" t="inlineStr">
        <is>
          <t>Note</t>
        </is>
      </c>
    </row>
    <row r="968">
      <c r="A968" s="22" t="inlineStr">
        <is>
          <t>0128</t>
        </is>
      </c>
      <c r="B968" s="11" t="inlineStr">
        <is>
          <t>Mate</t>
        </is>
      </c>
      <c r="C968" s="22" t="inlineStr">
        <is>
          <t>day</t>
        </is>
      </c>
      <c r="D968" s="23" t="n">
        <v>0.2</v>
      </c>
      <c r="E968" s="24" t="n">
        <v>617</v>
      </c>
      <c r="F968" s="24">
        <f>D968*E968</f>
        <v/>
      </c>
      <c r="G968" s="22" t="n"/>
    </row>
    <row r="969">
      <c r="A969" s="22" t="inlineStr">
        <is>
          <t>0115</t>
        </is>
      </c>
      <c r="B969" s="11" t="inlineStr">
        <is>
          <t>Coolie</t>
        </is>
      </c>
      <c r="C969" s="22" t="inlineStr">
        <is>
          <t>day</t>
        </is>
      </c>
      <c r="D969" s="23" t="n">
        <v>2.5</v>
      </c>
      <c r="E969" s="24" t="n">
        <v>558</v>
      </c>
      <c r="F969" s="24">
        <f>D969*E969</f>
        <v/>
      </c>
      <c r="G969" s="22" t="n"/>
    </row>
    <row r="970">
      <c r="A970" s="22" t="inlineStr">
        <is>
          <t>0101</t>
        </is>
      </c>
      <c r="B970" s="11" t="inlineStr">
        <is>
          <t>Bhisti</t>
        </is>
      </c>
      <c r="C970" s="22" t="inlineStr">
        <is>
          <t>day</t>
        </is>
      </c>
      <c r="D970" s="23" t="n">
        <v>0.2</v>
      </c>
      <c r="E970" s="24" t="n">
        <v>617</v>
      </c>
      <c r="F970" s="24">
        <f>D970*E970</f>
        <v/>
      </c>
      <c r="G970" s="22" t="n"/>
    </row>
    <row r="971">
      <c r="A971" s="8" t="inlineStr">
        <is>
          <t>Calculated W - SUM of the Amount column above</t>
        </is>
      </c>
      <c r="B971" s="9" t="n"/>
      <c r="C971" s="9" t="n"/>
      <c r="D971" s="9" t="n"/>
      <c r="E971" s="9" t="n"/>
      <c r="F971" s="25">
        <f>SUM(F968:F970)</f>
        <v/>
      </c>
      <c r="G971" s="9" t="n"/>
    </row>
    <row r="972">
      <c r="A972" s="26" t="inlineStr">
        <is>
          <t>W as printed in the DAR</t>
        </is>
      </c>
      <c r="B972" s="22" t="n"/>
      <c r="C972" s="22" t="n"/>
      <c r="D972" s="22" t="n"/>
      <c r="E972" s="22" t="n"/>
      <c r="F972" s="27" t="n">
        <v>1641.8</v>
      </c>
      <c r="G972" s="22" t="n"/>
    </row>
    <row r="973">
      <c r="A973" s="26" t="inlineStr">
        <is>
          <t>Difference (calculated - printed)</t>
        </is>
      </c>
      <c r="B973" s="22" t="n"/>
      <c r="C973" s="22" t="n"/>
      <c r="D973" s="22" t="n"/>
      <c r="E973" s="22" t="n"/>
      <c r="F973" s="27">
        <f>F971-F972</f>
        <v/>
      </c>
      <c r="G973" s="22" t="n"/>
    </row>
    <row r="974">
      <c r="A974" s="29" t="inlineStr">
        <is>
          <t>SAY (Rs.) - final DAR rate as printed (fixed value, not computed)</t>
        </is>
      </c>
      <c r="B974" s="30" t="n"/>
      <c r="C974" s="30" t="n"/>
      <c r="D974" s="30" t="n"/>
      <c r="E974" s="30" t="n"/>
      <c r="F974" s="31" t="n">
        <v>219.65</v>
      </c>
      <c r="G974" s="30" t="n"/>
    </row>
  </sheetData>
  <mergeCells count="504">
    <mergeCell ref="B293:G293"/>
    <mergeCell ref="A489:G489"/>
    <mergeCell ref="A142:E142"/>
    <mergeCell ref="A700:G700"/>
    <mergeCell ref="A362:G362"/>
    <mergeCell ref="A829:G829"/>
    <mergeCell ref="B146:G146"/>
    <mergeCell ref="A871:E871"/>
    <mergeCell ref="A337:G337"/>
    <mergeCell ref="B65:G65"/>
    <mergeCell ref="A963:E963"/>
    <mergeCell ref="B909:G909"/>
    <mergeCell ref="B344:G344"/>
    <mergeCell ref="A729:E729"/>
    <mergeCell ref="A406:E406"/>
    <mergeCell ref="A704:E704"/>
    <mergeCell ref="A483:E483"/>
    <mergeCell ref="A793:E793"/>
    <mergeCell ref="B777:G777"/>
    <mergeCell ref="B886:G886"/>
    <mergeCell ref="A470:E470"/>
    <mergeCell ref="A426:G426"/>
    <mergeCell ref="A655:G655"/>
    <mergeCell ref="A43:E43"/>
    <mergeCell ref="A63:E63"/>
    <mergeCell ref="A941:E941"/>
    <mergeCell ref="B248:G248"/>
    <mergeCell ref="B441:G441"/>
    <mergeCell ref="A130:E130"/>
    <mergeCell ref="B533:G533"/>
    <mergeCell ref="A559:E559"/>
    <mergeCell ref="A546:E546"/>
    <mergeCell ref="A915:E915"/>
    <mergeCell ref="A496:E496"/>
    <mergeCell ref="B597:G597"/>
    <mergeCell ref="A561:E561"/>
    <mergeCell ref="B78:G78"/>
    <mergeCell ref="B249:G249"/>
    <mergeCell ref="A859:E859"/>
    <mergeCell ref="B376:G376"/>
    <mergeCell ref="B314:G314"/>
    <mergeCell ref="A846:E846"/>
    <mergeCell ref="A196:E196"/>
    <mergeCell ref="A256:E256"/>
    <mergeCell ref="A560:E560"/>
    <mergeCell ref="A498:E498"/>
    <mergeCell ref="B897:G897"/>
    <mergeCell ref="A419:E419"/>
    <mergeCell ref="B745:G745"/>
    <mergeCell ref="A717:E717"/>
    <mergeCell ref="A356:E356"/>
    <mergeCell ref="A1:G1"/>
    <mergeCell ref="A719:E719"/>
    <mergeCell ref="B325:G325"/>
    <mergeCell ref="A514:E514"/>
    <mergeCell ref="A80:G80"/>
    <mergeCell ref="A378:G378"/>
    <mergeCell ref="A451:E451"/>
    <mergeCell ref="A372:E372"/>
    <mergeCell ref="A814:E814"/>
    <mergeCell ref="B220:G220"/>
    <mergeCell ref="A730:E730"/>
    <mergeCell ref="A972:E972"/>
    <mergeCell ref="A40:E40"/>
    <mergeCell ref="A338:E338"/>
    <mergeCell ref="A672:E672"/>
    <mergeCell ref="A794:E794"/>
    <mergeCell ref="B887:G887"/>
    <mergeCell ref="A707:E707"/>
    <mergeCell ref="A511:E511"/>
    <mergeCell ref="A486:E486"/>
    <mergeCell ref="A550:G550"/>
    <mergeCell ref="A798:G798"/>
    <mergeCell ref="A836:E836"/>
    <mergeCell ref="B839:G839"/>
    <mergeCell ref="A502:G502"/>
    <mergeCell ref="B15:G15"/>
    <mergeCell ref="A158:E158"/>
    <mergeCell ref="B549:G549"/>
    <mergeCell ref="A562:E562"/>
    <mergeCell ref="B79:G79"/>
    <mergeCell ref="B663:G663"/>
    <mergeCell ref="A160:E160"/>
    <mergeCell ref="B315:G315"/>
    <mergeCell ref="A141:E141"/>
    <mergeCell ref="B744:G744"/>
    <mergeCell ref="A206:E206"/>
    <mergeCell ref="A420:E420"/>
    <mergeCell ref="A591:E591"/>
    <mergeCell ref="A960:E960"/>
    <mergeCell ref="A689:G689"/>
    <mergeCell ref="A849:E849"/>
    <mergeCell ref="A28:E28"/>
    <mergeCell ref="A435:E435"/>
    <mergeCell ref="A288:E288"/>
    <mergeCell ref="B210:G210"/>
    <mergeCell ref="A962:E962"/>
    <mergeCell ref="A877:G877"/>
    <mergeCell ref="A751:E751"/>
    <mergeCell ref="B852:G852"/>
    <mergeCell ref="A61:E61"/>
    <mergeCell ref="B933:G933"/>
    <mergeCell ref="A735:G735"/>
    <mergeCell ref="B270:G270"/>
    <mergeCell ref="A54:E54"/>
    <mergeCell ref="A753:E753"/>
    <mergeCell ref="B457:G457"/>
    <mergeCell ref="A41:E41"/>
    <mergeCell ref="A90:E90"/>
    <mergeCell ref="B699:G699"/>
    <mergeCell ref="A217:E217"/>
    <mergeCell ref="A388:E388"/>
    <mergeCell ref="A277:E277"/>
    <mergeCell ref="A752:E752"/>
    <mergeCell ref="B755:G755"/>
    <mergeCell ref="A575:E575"/>
    <mergeCell ref="B30:G30"/>
    <mergeCell ref="A27:E27"/>
    <mergeCell ref="B766:G766"/>
    <mergeCell ref="A804:E804"/>
    <mergeCell ref="A390:E390"/>
    <mergeCell ref="A512:E512"/>
    <mergeCell ref="A577:E577"/>
    <mergeCell ref="A973:E973"/>
    <mergeCell ref="A650:E650"/>
    <mergeCell ref="A305:G305"/>
    <mergeCell ref="A566:G566"/>
    <mergeCell ref="A893:E893"/>
    <mergeCell ref="B56:G56"/>
    <mergeCell ref="A764:E764"/>
    <mergeCell ref="A143:E143"/>
    <mergeCell ref="A739:E739"/>
    <mergeCell ref="B145:G145"/>
    <mergeCell ref="A530:E530"/>
    <mergeCell ref="B181:G181"/>
    <mergeCell ref="A207:E207"/>
    <mergeCell ref="A11:E11"/>
    <mergeCell ref="B921:G921"/>
    <mergeCell ref="B908:G908"/>
    <mergeCell ref="A741:E741"/>
    <mergeCell ref="A728:E728"/>
    <mergeCell ref="B687:G687"/>
    <mergeCell ref="B260:G260"/>
    <mergeCell ref="A792:E792"/>
    <mergeCell ref="A757:G757"/>
    <mergeCell ref="A458:G458"/>
    <mergeCell ref="A823:E823"/>
    <mergeCell ref="A179:E179"/>
    <mergeCell ref="A316:G316"/>
    <mergeCell ref="B271:G271"/>
    <mergeCell ref="A881:E881"/>
    <mergeCell ref="A46:G46"/>
    <mergeCell ref="B336:G336"/>
    <mergeCell ref="A91:E91"/>
    <mergeCell ref="A389:E389"/>
    <mergeCell ref="B876:G876"/>
    <mergeCell ref="B115:G115"/>
    <mergeCell ref="A454:E454"/>
    <mergeCell ref="B863:G863"/>
    <mergeCell ref="A696:E696"/>
    <mergeCell ref="B31:G31"/>
    <mergeCell ref="B473:G473"/>
    <mergeCell ref="A883:E883"/>
    <mergeCell ref="A299:E299"/>
    <mergeCell ref="B698:G698"/>
    <mergeCell ref="A93:E93"/>
    <mergeCell ref="A234:G234"/>
    <mergeCell ref="A157:E157"/>
    <mergeCell ref="A884:E884"/>
    <mergeCell ref="A613:G613"/>
    <mergeCell ref="A642:G642"/>
    <mergeCell ref="A75:E75"/>
    <mergeCell ref="A246:E246"/>
    <mergeCell ref="B776:G776"/>
    <mergeCell ref="A469:E469"/>
    <mergeCell ref="A773:E773"/>
    <mergeCell ref="A12:E12"/>
    <mergeCell ref="B787:G787"/>
    <mergeCell ref="A813:E813"/>
    <mergeCell ref="B840:G840"/>
    <mergeCell ref="A235:E235"/>
    <mergeCell ref="A321:E321"/>
    <mergeCell ref="A312:E312"/>
    <mergeCell ref="B851:G851"/>
    <mergeCell ref="A404:E404"/>
    <mergeCell ref="A323:E323"/>
    <mergeCell ref="A621:E621"/>
    <mergeCell ref="A239:G239"/>
    <mergeCell ref="A906:E906"/>
    <mergeCell ref="A289:E289"/>
    <mergeCell ref="A57:G57"/>
    <mergeCell ref="B548:G548"/>
    <mergeCell ref="A32:G32"/>
    <mergeCell ref="A97:G97"/>
    <mergeCell ref="A226:E226"/>
    <mergeCell ref="B408:G408"/>
    <mergeCell ref="A762:E762"/>
    <mergeCell ref="B472:G472"/>
    <mergeCell ref="A25:E25"/>
    <mergeCell ref="A528:E528"/>
    <mergeCell ref="B281:G281"/>
    <mergeCell ref="B501:G501"/>
    <mergeCell ref="A636:E636"/>
    <mergeCell ref="A250:G250"/>
    <mergeCell ref="A592:E592"/>
    <mergeCell ref="A763:E763"/>
    <mergeCell ref="A410:G410"/>
    <mergeCell ref="B200:G200"/>
    <mergeCell ref="B955:G955"/>
    <mergeCell ref="B292:G292"/>
    <mergeCell ref="B734:G734"/>
    <mergeCell ref="A112:E112"/>
    <mergeCell ref="A474:G474"/>
    <mergeCell ref="A13:E13"/>
    <mergeCell ref="B500:G500"/>
    <mergeCell ref="B932:G932"/>
    <mergeCell ref="A127:E127"/>
    <mergeCell ref="A904:E904"/>
    <mergeCell ref="A176:E176"/>
    <mergeCell ref="B828:G828"/>
    <mergeCell ref="A783:E783"/>
    <mergeCell ref="A648:E648"/>
    <mergeCell ref="A952:E952"/>
    <mergeCell ref="A257:E257"/>
    <mergeCell ref="B827:G827"/>
    <mergeCell ref="A51:E51"/>
    <mergeCell ref="A178:E178"/>
    <mergeCell ref="A134:G134"/>
    <mergeCell ref="A918:E918"/>
    <mergeCell ref="A905:E905"/>
    <mergeCell ref="A870:E870"/>
    <mergeCell ref="A922:G922"/>
    <mergeCell ref="A649:E649"/>
    <mergeCell ref="A624:E624"/>
    <mergeCell ref="A888:G888"/>
    <mergeCell ref="A930:E930"/>
    <mergeCell ref="A267:E267"/>
    <mergeCell ref="A438:E438"/>
    <mergeCell ref="A974:E974"/>
    <mergeCell ref="B816:G816"/>
    <mergeCell ref="B424:G424"/>
    <mergeCell ref="A244:E244"/>
    <mergeCell ref="B516:G516"/>
    <mergeCell ref="A164:G164"/>
    <mergeCell ref="B709:G709"/>
    <mergeCell ref="A342:E342"/>
    <mergeCell ref="A231:E231"/>
    <mergeCell ref="B945:G945"/>
    <mergeCell ref="A62:E62"/>
    <mergeCell ref="A333:E333"/>
    <mergeCell ref="B488:G488"/>
    <mergeCell ref="A529:E529"/>
    <mergeCell ref="A802:E802"/>
    <mergeCell ref="A10:E10"/>
    <mergeCell ref="B282:G282"/>
    <mergeCell ref="B580:G580"/>
    <mergeCell ref="A544:E544"/>
    <mergeCell ref="A593:E593"/>
    <mergeCell ref="B219:G219"/>
    <mergeCell ref="A245:E245"/>
    <mergeCell ref="B517:G517"/>
    <mergeCell ref="A927:E927"/>
    <mergeCell ref="A310:E310"/>
    <mergeCell ref="A608:E608"/>
    <mergeCell ref="A17:G17"/>
    <mergeCell ref="A853:G853"/>
    <mergeCell ref="A724:G724"/>
    <mergeCell ref="B898:G898"/>
    <mergeCell ref="A718:E718"/>
    <mergeCell ref="A128:E128"/>
    <mergeCell ref="A255:E255"/>
    <mergeCell ref="B360:G360"/>
    <mergeCell ref="A497:E497"/>
    <mergeCell ref="B658:G658"/>
    <mergeCell ref="A484:E484"/>
    <mergeCell ref="A720:E720"/>
    <mergeCell ref="A847:E847"/>
    <mergeCell ref="B722:G722"/>
    <mergeCell ref="B5:G5"/>
    <mergeCell ref="A129:E129"/>
    <mergeCell ref="A442:G442"/>
    <mergeCell ref="A784:E784"/>
    <mergeCell ref="B361:G361"/>
    <mergeCell ref="A194:E194"/>
    <mergeCell ref="B659:G659"/>
    <mergeCell ref="A664:G664"/>
    <mergeCell ref="A52:E52"/>
    <mergeCell ref="B326:G326"/>
    <mergeCell ref="A272:G272"/>
    <mergeCell ref="A946:G946"/>
    <mergeCell ref="A873:E873"/>
    <mergeCell ref="A860:E860"/>
    <mergeCell ref="A768:G768"/>
    <mergeCell ref="B425:G425"/>
    <mergeCell ref="B229:G229"/>
    <mergeCell ref="A835:E835"/>
    <mergeCell ref="A639:E639"/>
    <mergeCell ref="A731:E731"/>
    <mergeCell ref="A334:E334"/>
    <mergeCell ref="A576:E576"/>
    <mergeCell ref="A837:E837"/>
    <mergeCell ref="A812:E812"/>
    <mergeCell ref="A205:E205"/>
    <mergeCell ref="A261:G261"/>
    <mergeCell ref="B456:G456"/>
    <mergeCell ref="A670:E670"/>
    <mergeCell ref="A943:E943"/>
    <mergeCell ref="B237:G237"/>
    <mergeCell ref="B163:G163"/>
    <mergeCell ref="A183:G183"/>
    <mergeCell ref="B209:G209"/>
    <mergeCell ref="A910:G910"/>
    <mergeCell ref="A436:E436"/>
    <mergeCell ref="B238:G238"/>
    <mergeCell ref="A848:E848"/>
    <mergeCell ref="B674:G674"/>
    <mergeCell ref="B303:G303"/>
    <mergeCell ref="B965:G965"/>
    <mergeCell ref="A858:E858"/>
    <mergeCell ref="B440:G440"/>
    <mergeCell ref="B611:G611"/>
    <mergeCell ref="A73:E73"/>
    <mergeCell ref="A266:E266"/>
    <mergeCell ref="A437:E437"/>
    <mergeCell ref="B532:G532"/>
    <mergeCell ref="A60:E60"/>
    <mergeCell ref="A358:E358"/>
    <mergeCell ref="A147:G147"/>
    <mergeCell ref="B377:G377"/>
    <mergeCell ref="A197:E197"/>
    <mergeCell ref="A422:E422"/>
    <mergeCell ref="A966:G966"/>
    <mergeCell ref="A211:G211"/>
    <mergeCell ref="B756:G756"/>
    <mergeCell ref="A67:G67"/>
    <mergeCell ref="B627:G627"/>
    <mergeCell ref="B565:G565"/>
    <mergeCell ref="A578:E578"/>
    <mergeCell ref="B95:G95"/>
    <mergeCell ref="B393:G393"/>
    <mergeCell ref="B564:G564"/>
    <mergeCell ref="A6:G6"/>
    <mergeCell ref="A42:E42"/>
    <mergeCell ref="A940:E940"/>
    <mergeCell ref="A607:E607"/>
    <mergeCell ref="A865:G865"/>
    <mergeCell ref="B864:G864"/>
    <mergeCell ref="A215:E215"/>
    <mergeCell ref="A513:E513"/>
    <mergeCell ref="A684:E684"/>
    <mergeCell ref="A951:E951"/>
    <mergeCell ref="A373:E373"/>
    <mergeCell ref="A671:E671"/>
    <mergeCell ref="A882:E882"/>
    <mergeCell ref="A953:E953"/>
    <mergeCell ref="A598:G598"/>
    <mergeCell ref="A971:E971"/>
    <mergeCell ref="B688:G688"/>
    <mergeCell ref="A355:E355"/>
    <mergeCell ref="B304:G304"/>
    <mergeCell ref="A268:E268"/>
    <mergeCell ref="B733:G733"/>
    <mergeCell ref="A74:E74"/>
    <mergeCell ref="A346:G346"/>
    <mergeCell ref="A76:E76"/>
    <mergeCell ref="A374:E374"/>
    <mergeCell ref="A582:G582"/>
    <mergeCell ref="A803:E803"/>
    <mergeCell ref="A283:G283"/>
    <mergeCell ref="A895:E895"/>
    <mergeCell ref="A140:E140"/>
    <mergeCell ref="A311:E311"/>
    <mergeCell ref="A746:G746"/>
    <mergeCell ref="A817:G817"/>
    <mergeCell ref="A740:E740"/>
    <mergeCell ref="A661:E661"/>
    <mergeCell ref="A341:G341"/>
    <mergeCell ref="B96:G96"/>
    <mergeCell ref="A675:G675"/>
    <mergeCell ref="A742:E742"/>
    <mergeCell ref="B259:G259"/>
    <mergeCell ref="A92:E92"/>
    <mergeCell ref="A279:E279"/>
    <mergeCell ref="A928:E928"/>
    <mergeCell ref="A300:E300"/>
    <mergeCell ref="A216:E216"/>
    <mergeCell ref="A387:E387"/>
    <mergeCell ref="A452:E452"/>
    <mergeCell ref="A623:E623"/>
    <mergeCell ref="A694:E694"/>
    <mergeCell ref="B162:G162"/>
    <mergeCell ref="A750:E750"/>
    <mergeCell ref="A230:G230"/>
    <mergeCell ref="A453:E453"/>
    <mergeCell ref="A26:E26"/>
    <mergeCell ref="B806:G806"/>
    <mergeCell ref="A468:E468"/>
    <mergeCell ref="B45:G45"/>
    <mergeCell ref="A405:E405"/>
    <mergeCell ref="A872:E872"/>
    <mergeCell ref="A834:E834"/>
    <mergeCell ref="A961:E961"/>
    <mergeCell ref="B345:G345"/>
    <mergeCell ref="B612:G612"/>
    <mergeCell ref="A371:E371"/>
    <mergeCell ref="A807:G807"/>
    <mergeCell ref="A656:E656"/>
    <mergeCell ref="A705:E705"/>
    <mergeCell ref="A594:E594"/>
    <mergeCell ref="B920:G920"/>
    <mergeCell ref="A892:E892"/>
    <mergeCell ref="B409:G409"/>
    <mergeCell ref="A811:E811"/>
    <mergeCell ref="A903:E903"/>
    <mergeCell ref="A116:G116"/>
    <mergeCell ref="A660:G660"/>
    <mergeCell ref="A327:G327"/>
    <mergeCell ref="A669:E669"/>
    <mergeCell ref="B182:G182"/>
    <mergeCell ref="A518:G518"/>
    <mergeCell ref="B767:G767"/>
    <mergeCell ref="A301:E301"/>
    <mergeCell ref="A685:E685"/>
    <mergeCell ref="B340:G340"/>
    <mergeCell ref="B875:G875"/>
    <mergeCell ref="A628:G628"/>
    <mergeCell ref="B114:G114"/>
    <mergeCell ref="A695:E695"/>
    <mergeCell ref="B796:G796"/>
    <mergeCell ref="A651:E651"/>
    <mergeCell ref="A822:E822"/>
    <mergeCell ref="A159:E159"/>
    <mergeCell ref="A290:E290"/>
    <mergeCell ref="A693:E693"/>
    <mergeCell ref="A824:E824"/>
    <mergeCell ref="B66:G66"/>
    <mergeCell ref="A916:E916"/>
    <mergeCell ref="A332:E332"/>
    <mergeCell ref="A761:E761"/>
    <mergeCell ref="B132:G132"/>
    <mergeCell ref="B626:G626"/>
    <mergeCell ref="A110:E110"/>
    <mergeCell ref="B653:G653"/>
    <mergeCell ref="B392:G392"/>
    <mergeCell ref="A706:E706"/>
    <mergeCell ref="A606:E606"/>
    <mergeCell ref="A942:E942"/>
    <mergeCell ref="A485:E485"/>
    <mergeCell ref="A929:E929"/>
    <mergeCell ref="A956:G956"/>
    <mergeCell ref="A201:G201"/>
    <mergeCell ref="A683:E683"/>
    <mergeCell ref="A772:E772"/>
    <mergeCell ref="A278:E278"/>
    <mergeCell ref="B786:G786"/>
    <mergeCell ref="A221:G221"/>
    <mergeCell ref="A899:G899"/>
    <mergeCell ref="B16:G16"/>
    <mergeCell ref="B581:G581"/>
    <mergeCell ref="A394:G394"/>
    <mergeCell ref="A294:G294"/>
    <mergeCell ref="A934:G934"/>
    <mergeCell ref="A637:E637"/>
    <mergeCell ref="A2:G2"/>
    <mergeCell ref="A357:E357"/>
    <mergeCell ref="A403:E403"/>
    <mergeCell ref="B797:G797"/>
    <mergeCell ref="A894:E894"/>
    <mergeCell ref="A421:E421"/>
    <mergeCell ref="B641:G641"/>
    <mergeCell ref="A225:E225"/>
    <mergeCell ref="A467:E467"/>
    <mergeCell ref="A638:E638"/>
    <mergeCell ref="A527:E527"/>
    <mergeCell ref="A825:E825"/>
    <mergeCell ref="A861:E861"/>
    <mergeCell ref="A917:E917"/>
    <mergeCell ref="A227:E227"/>
    <mergeCell ref="A177:E177"/>
    <mergeCell ref="A534:G534"/>
    <mergeCell ref="A710:G710"/>
    <mergeCell ref="A841:G841"/>
    <mergeCell ref="B723:G723"/>
    <mergeCell ref="B133:G133"/>
    <mergeCell ref="A543:E543"/>
    <mergeCell ref="A778:G778"/>
    <mergeCell ref="A950:E950"/>
    <mergeCell ref="A195:E195"/>
    <mergeCell ref="A322:E322"/>
    <mergeCell ref="B654:G654"/>
    <mergeCell ref="B4:G4"/>
    <mergeCell ref="A545:E545"/>
    <mergeCell ref="B233:G233"/>
    <mergeCell ref="A53:E53"/>
    <mergeCell ref="B596:G596"/>
    <mergeCell ref="A109:E109"/>
    <mergeCell ref="A495:E495"/>
    <mergeCell ref="A622:E622"/>
    <mergeCell ref="B199:G199"/>
    <mergeCell ref="A609:E609"/>
    <mergeCell ref="A774:E774"/>
    <mergeCell ref="A111:E111"/>
    <mergeCell ref="A788:G788"/>
    <mergeCell ref="A782:E782"/>
  </mergeCells>
  <conditionalFormatting sqref="F12 F27 F42 F53 F62 F75 F92 F111 F129 F142 F159 F178 F196 F357 F373 F389 F405 F421 F437 F453 F469 F485 F497 F513 F529 F545 F561 F577 F593 F608 F623 F638 F650 F671 F695 F706 F719 F730 F741 F752 F763 F813 F824 F836 F848 F860 F872 F883 F894 F905 F917 F929 F942 F952 F962 F973">
    <cfRule type="cellIs" priority="1" operator="notBetween" dxfId="0">
      <formula>-0.05</formula>
      <formula>0.05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03: MORTARS</t>
        </is>
      </c>
    </row>
    <row r="2" ht="28" customHeight="1">
      <c r="A2" s="16" t="inlineStr">
        <is>
          <t>19 priced items. Amount and Calculated W are live Excel formulas (Quantity x Rate, SUM); the printed W and SAY are the DAR's own figures. Edit any Quantity or Rate and the item's calculated W recalculates.</t>
        </is>
      </c>
    </row>
    <row r="4" ht="18.5" customHeight="1">
      <c r="A4" s="18" t="inlineStr">
        <is>
          <t>3.1</t>
        </is>
      </c>
      <c r="B4" s="19" t="inlineStr">
        <is>
          <t>Cement mortar 1:1 (1 cement : 1 fine sand)</t>
        </is>
      </c>
      <c r="C4" s="20" t="n"/>
      <c r="D4" s="20" t="n"/>
      <c r="E4" s="20" t="n"/>
      <c r="F4" s="20" t="n"/>
      <c r="G4" s="20" t="n"/>
    </row>
    <row r="5">
      <c r="A5" s="21" t="inlineStr">
        <is>
          <t>Details of cost for 1 cum   |   Source: CivilDAR_2019_Vol_1.pdf, page 144</t>
        </is>
      </c>
    </row>
    <row r="6">
      <c r="A6" s="5" t="inlineStr">
        <is>
          <t>Code</t>
        </is>
      </c>
      <c r="B6" s="5" t="inlineStr">
        <is>
          <t>Description</t>
        </is>
      </c>
      <c r="C6" s="5" t="inlineStr">
        <is>
          <t>Unit</t>
        </is>
      </c>
      <c r="D6" s="5" t="inlineStr">
        <is>
          <t>Quantity</t>
        </is>
      </c>
      <c r="E6" s="5" t="inlineStr">
        <is>
          <t>Rate (Rs.)</t>
        </is>
      </c>
      <c r="F6" s="5" t="inlineStr">
        <is>
          <t>Amount (Rs.)</t>
        </is>
      </c>
      <c r="G6" s="5" t="inlineStr">
        <is>
          <t>Note</t>
        </is>
      </c>
    </row>
    <row r="7">
      <c r="A7" s="22" t="inlineStr">
        <is>
          <t>0367</t>
        </is>
      </c>
      <c r="B7" s="11" t="inlineStr">
        <is>
          <t>Portland Cement</t>
        </is>
      </c>
      <c r="C7" s="22" t="inlineStr">
        <is>
          <t>tonne</t>
        </is>
      </c>
      <c r="D7" s="23" t="n">
        <v>1.02</v>
      </c>
      <c r="E7" s="24" t="n">
        <v>4940</v>
      </c>
      <c r="F7" s="24">
        <f>D7*E7</f>
        <v/>
      </c>
      <c r="G7" s="22" t="n"/>
    </row>
    <row r="8">
      <c r="A8" s="22" t="inlineStr">
        <is>
          <t>2209</t>
        </is>
      </c>
      <c r="B8" s="11" t="inlineStr">
        <is>
          <t>Carriage of Cement</t>
        </is>
      </c>
      <c r="C8" s="22" t="inlineStr">
        <is>
          <t>tonne</t>
        </is>
      </c>
      <c r="D8" s="23" t="n">
        <v>1.02</v>
      </c>
      <c r="E8" s="24" t="n">
        <v>92.23999999999999</v>
      </c>
      <c r="F8" s="24">
        <f>D8*E8</f>
        <v/>
      </c>
      <c r="G8" s="22" t="n"/>
    </row>
    <row r="9">
      <c r="A9" s="22" t="inlineStr">
        <is>
          <t>0983</t>
        </is>
      </c>
      <c r="B9" s="11" t="inlineStr">
        <is>
          <t>Fine Sand (Zone IV)</t>
        </is>
      </c>
      <c r="C9" s="22" t="inlineStr">
        <is>
          <t>cum</t>
        </is>
      </c>
      <c r="D9" s="23" t="n">
        <v>0.7125</v>
      </c>
      <c r="E9" s="24" t="n">
        <v>900</v>
      </c>
      <c r="F9" s="24">
        <f>D9*E9</f>
        <v/>
      </c>
      <c r="G9" s="22" t="n"/>
    </row>
    <row r="10">
      <c r="A10" s="22" t="inlineStr">
        <is>
          <t>2261</t>
        </is>
      </c>
      <c r="B10" s="11" t="inlineStr">
        <is>
          <t>Carriage of Fine sand (1 part badarpur sand : 2 parts jamuna sand)</t>
        </is>
      </c>
      <c r="C10" s="22" t="inlineStr">
        <is>
          <t>cum</t>
        </is>
      </c>
      <c r="D10" s="23" t="n">
        <v>0.7125</v>
      </c>
      <c r="E10" s="24" t="n">
        <v>103.77</v>
      </c>
      <c r="F10" s="24">
        <f>D10*E10</f>
        <v/>
      </c>
      <c r="G10" s="22" t="n"/>
    </row>
    <row r="11">
      <c r="A11" s="22" t="inlineStr">
        <is>
          <t>0114</t>
        </is>
      </c>
      <c r="B11" s="11" t="inlineStr">
        <is>
          <t>Beldar</t>
        </is>
      </c>
      <c r="C11" s="22" t="inlineStr">
        <is>
          <t>day</t>
        </is>
      </c>
      <c r="D11" s="23" t="n">
        <v>0.75</v>
      </c>
      <c r="E11" s="24" t="n">
        <v>558</v>
      </c>
      <c r="F11" s="24">
        <f>D11*E11</f>
        <v/>
      </c>
      <c r="G11" s="22" t="n"/>
    </row>
    <row r="12">
      <c r="A12" s="22" t="inlineStr">
        <is>
          <t>0101</t>
        </is>
      </c>
      <c r="B12" s="11" t="inlineStr">
        <is>
          <t>Bhisti</t>
        </is>
      </c>
      <c r="C12" s="22" t="inlineStr">
        <is>
          <t>day</t>
        </is>
      </c>
      <c r="D12" s="23" t="n">
        <v>0.07000000000000001</v>
      </c>
      <c r="E12" s="24" t="n">
        <v>617</v>
      </c>
      <c r="F12" s="24">
        <f>D12*E12</f>
        <v/>
      </c>
      <c r="G12" s="22" t="n"/>
    </row>
    <row r="13">
      <c r="A13" s="22" t="inlineStr">
        <is>
          <t>9999</t>
        </is>
      </c>
      <c r="B13" s="11" t="inlineStr">
        <is>
          <t>Hire and running charges of mechanical mixer</t>
        </is>
      </c>
      <c r="C13" s="22" t="inlineStr">
        <is>
          <t>L.S.</t>
        </is>
      </c>
      <c r="D13" s="23" t="n">
        <v>26.9</v>
      </c>
      <c r="E13" s="24" t="n">
        <v>2</v>
      </c>
      <c r="F13" s="24">
        <f>D13*E13</f>
        <v/>
      </c>
      <c r="G13" s="22" t="n"/>
    </row>
    <row r="14">
      <c r="A14" s="22" t="inlineStr">
        <is>
          <t>9999</t>
        </is>
      </c>
      <c r="B14" s="11" t="inlineStr">
        <is>
          <t>Sundries</t>
        </is>
      </c>
      <c r="C14" s="22" t="inlineStr">
        <is>
          <t>L.S.</t>
        </is>
      </c>
      <c r="D14" s="23" t="n">
        <v>13.52</v>
      </c>
      <c r="E14" s="24" t="n">
        <v>2</v>
      </c>
      <c r="F14" s="24">
        <f>D14*E14</f>
        <v/>
      </c>
      <c r="G14" s="22" t="n"/>
    </row>
    <row r="15">
      <c r="A15" s="8" t="inlineStr">
        <is>
          <t>Calculated W - SUM of the Amount column above</t>
        </is>
      </c>
      <c r="B15" s="9" t="n"/>
      <c r="C15" s="9" t="n"/>
      <c r="D15" s="9" t="n"/>
      <c r="E15" s="9" t="n"/>
      <c r="F15" s="25">
        <f>SUM(F7:F14)</f>
        <v/>
      </c>
      <c r="G15" s="9" t="n"/>
    </row>
    <row r="16">
      <c r="A16" s="26" t="inlineStr">
        <is>
          <t>W as printed in the DAR</t>
        </is>
      </c>
      <c r="B16" s="22" t="n"/>
      <c r="C16" s="22" t="n"/>
      <c r="D16" s="22" t="n"/>
      <c r="E16" s="22" t="n"/>
      <c r="F16" s="27" t="inlineStr">
        <is>
          <t>not printed</t>
        </is>
      </c>
      <c r="G16" s="28" t="inlineStr">
        <is>
          <t>This item prints no W (rate table or sub-analysis).</t>
        </is>
      </c>
    </row>
    <row r="17">
      <c r="A17" s="29" t="inlineStr">
        <is>
          <t>SAY (Rs.) - final DAR rate as printed (fixed value, not computed)</t>
        </is>
      </c>
      <c r="B17" s="30" t="n"/>
      <c r="C17" s="30" t="n"/>
      <c r="D17" s="30" t="n"/>
      <c r="E17" s="30" t="n"/>
      <c r="F17" s="31" t="n">
        <v>6390.6</v>
      </c>
      <c r="G17" s="30" t="n"/>
    </row>
    <row r="19" ht="18.5" customHeight="1">
      <c r="A19" s="18" t="inlineStr">
        <is>
          <t>3.2</t>
        </is>
      </c>
      <c r="B19" s="19" t="inlineStr">
        <is>
          <t>Cement mortar 1:2 (1 cement : 2 fine sand).</t>
        </is>
      </c>
      <c r="C19" s="20" t="n"/>
      <c r="D19" s="20" t="n"/>
      <c r="E19" s="20" t="n"/>
      <c r="F19" s="20" t="n"/>
      <c r="G19" s="20" t="n"/>
    </row>
    <row r="20">
      <c r="A20" s="21" t="inlineStr">
        <is>
          <t>Details of cost for 1 cum   |   Source: CivilDAR_2019_Vol_1.pdf, page 144</t>
        </is>
      </c>
    </row>
    <row r="21">
      <c r="A21" s="5" t="inlineStr">
        <is>
          <t>Code</t>
        </is>
      </c>
      <c r="B21" s="5" t="inlineStr">
        <is>
          <t>Description</t>
        </is>
      </c>
      <c r="C21" s="5" t="inlineStr">
        <is>
          <t>Unit</t>
        </is>
      </c>
      <c r="D21" s="5" t="inlineStr">
        <is>
          <t>Quantity</t>
        </is>
      </c>
      <c r="E21" s="5" t="inlineStr">
        <is>
          <t>Rate (Rs.)</t>
        </is>
      </c>
      <c r="F21" s="5" t="inlineStr">
        <is>
          <t>Amount (Rs.)</t>
        </is>
      </c>
      <c r="G21" s="5" t="inlineStr">
        <is>
          <t>Note</t>
        </is>
      </c>
    </row>
    <row r="22">
      <c r="A22" s="22" t="inlineStr">
        <is>
          <t>0367</t>
        </is>
      </c>
      <c r="B22" s="11" t="inlineStr">
        <is>
          <t>Portland Cement</t>
        </is>
      </c>
      <c r="C22" s="22" t="inlineStr">
        <is>
          <t>tonne</t>
        </is>
      </c>
      <c r="D22" s="23" t="n">
        <v>0.68</v>
      </c>
      <c r="E22" s="24" t="n">
        <v>4940</v>
      </c>
      <c r="F22" s="24">
        <f>D22*E22</f>
        <v/>
      </c>
      <c r="G22" s="22" t="n"/>
    </row>
    <row r="23">
      <c r="A23" s="22" t="inlineStr">
        <is>
          <t>2209</t>
        </is>
      </c>
      <c r="B23" s="11" t="inlineStr">
        <is>
          <t>Carriage of Cement</t>
        </is>
      </c>
      <c r="C23" s="22" t="inlineStr">
        <is>
          <t>tonne</t>
        </is>
      </c>
      <c r="D23" s="23" t="n">
        <v>0.68</v>
      </c>
      <c r="E23" s="24" t="n">
        <v>92.23999999999999</v>
      </c>
      <c r="F23" s="24">
        <f>D23*E23</f>
        <v/>
      </c>
      <c r="G23" s="22" t="n"/>
    </row>
    <row r="24">
      <c r="A24" s="22" t="inlineStr">
        <is>
          <t>0983</t>
        </is>
      </c>
      <c r="B24" s="11" t="inlineStr">
        <is>
          <t>Fine sand (zone IV)</t>
        </is>
      </c>
      <c r="C24" s="22" t="inlineStr">
        <is>
          <t>cum</t>
        </is>
      </c>
      <c r="D24" s="23" t="n">
        <v>0.95</v>
      </c>
      <c r="E24" s="24" t="n">
        <v>900</v>
      </c>
      <c r="F24" s="24">
        <f>D24*E24</f>
        <v/>
      </c>
      <c r="G24" s="22" t="n"/>
    </row>
    <row r="25">
      <c r="A25" s="22" t="inlineStr">
        <is>
          <t>2261</t>
        </is>
      </c>
      <c r="B25" s="11" t="inlineStr">
        <is>
          <t>Carriage of Fine sand (1 part badarpur sand : 2 parts jamuna sand)</t>
        </is>
      </c>
      <c r="C25" s="22" t="inlineStr">
        <is>
          <t>cum</t>
        </is>
      </c>
      <c r="D25" s="23" t="n">
        <v>0.95</v>
      </c>
      <c r="E25" s="24" t="n">
        <v>103.77</v>
      </c>
      <c r="F25" s="24">
        <f>D25*E25</f>
        <v/>
      </c>
      <c r="G25" s="22" t="n"/>
    </row>
    <row r="26">
      <c r="A26" s="22" t="inlineStr">
        <is>
          <t>0114</t>
        </is>
      </c>
      <c r="B26" s="11" t="inlineStr">
        <is>
          <t>Beldar</t>
        </is>
      </c>
      <c r="C26" s="22" t="inlineStr">
        <is>
          <t>day</t>
        </is>
      </c>
      <c r="D26" s="23" t="n">
        <v>0.75</v>
      </c>
      <c r="E26" s="24" t="n">
        <v>558</v>
      </c>
      <c r="F26" s="24">
        <f>D26*E26</f>
        <v/>
      </c>
      <c r="G26" s="22" t="n"/>
    </row>
    <row r="27">
      <c r="A27" s="22" t="inlineStr">
        <is>
          <t>0101</t>
        </is>
      </c>
      <c r="B27" s="11" t="inlineStr">
        <is>
          <t>Bhisti</t>
        </is>
      </c>
      <c r="C27" s="22" t="inlineStr">
        <is>
          <t>day</t>
        </is>
      </c>
      <c r="D27" s="23" t="n">
        <v>0.07000000000000001</v>
      </c>
      <c r="E27" s="24" t="n">
        <v>617</v>
      </c>
      <c r="F27" s="24">
        <f>D27*E27</f>
        <v/>
      </c>
      <c r="G27" s="22" t="n"/>
    </row>
    <row r="28">
      <c r="A28" s="22" t="inlineStr">
        <is>
          <t>9999</t>
        </is>
      </c>
      <c r="B28" s="11" t="inlineStr">
        <is>
          <t>Hire and running charges of mechanical mixer</t>
        </is>
      </c>
      <c r="C28" s="22" t="inlineStr">
        <is>
          <t>L.S.</t>
        </is>
      </c>
      <c r="D28" s="23" t="n">
        <v>26.91</v>
      </c>
      <c r="E28" s="24" t="n">
        <v>2</v>
      </c>
      <c r="F28" s="24">
        <f>D28*E28</f>
        <v/>
      </c>
      <c r="G28" s="22" t="n"/>
    </row>
    <row r="29">
      <c r="A29" s="22" t="inlineStr">
        <is>
          <t>9999</t>
        </is>
      </c>
      <c r="B29" s="11" t="inlineStr">
        <is>
          <t>Sundries</t>
        </is>
      </c>
      <c r="C29" s="22" t="inlineStr">
        <is>
          <t>L.S.</t>
        </is>
      </c>
      <c r="D29" s="23" t="n">
        <v>13.52</v>
      </c>
      <c r="E29" s="24" t="n">
        <v>2</v>
      </c>
      <c r="F29" s="24">
        <f>D29*E29</f>
        <v/>
      </c>
      <c r="G29" s="22" t="n"/>
    </row>
    <row r="30">
      <c r="A30" s="8" t="inlineStr">
        <is>
          <t>Calculated W - SUM of the Amount column above</t>
        </is>
      </c>
      <c r="B30" s="9" t="n"/>
      <c r="C30" s="9" t="n"/>
      <c r="D30" s="9" t="n"/>
      <c r="E30" s="9" t="n"/>
      <c r="F30" s="25">
        <f>SUM(F22:F29)</f>
        <v/>
      </c>
      <c r="G30" s="9" t="n"/>
    </row>
    <row r="31">
      <c r="A31" s="26" t="inlineStr">
        <is>
          <t>W as printed in the DAR</t>
        </is>
      </c>
      <c r="B31" s="22" t="n"/>
      <c r="C31" s="22" t="n"/>
      <c r="D31" s="22" t="n"/>
      <c r="E31" s="22" t="n"/>
      <c r="F31" s="27" t="inlineStr">
        <is>
          <t>not printed</t>
        </is>
      </c>
      <c r="G31" s="28" t="inlineStr">
        <is>
          <t>This item prints no W (rate table or sub-analysis).</t>
        </is>
      </c>
    </row>
    <row r="32">
      <c r="A32" s="29" t="inlineStr">
        <is>
          <t>SAY (Rs.) - final DAR rate as printed (fixed value, not computed)</t>
        </is>
      </c>
      <c r="B32" s="30" t="n"/>
      <c r="C32" s="30" t="n"/>
      <c r="D32" s="30" t="n"/>
      <c r="E32" s="30" t="n"/>
      <c r="F32" s="31" t="n">
        <v>4918.05</v>
      </c>
      <c r="G32" s="30" t="n"/>
    </row>
    <row r="34" ht="18.5" customHeight="1">
      <c r="A34" s="18" t="inlineStr">
        <is>
          <t>3.3</t>
        </is>
      </c>
      <c r="B34" s="19" t="inlineStr">
        <is>
          <t>Cement mortar 1:3 (1 cement : 3 fine sand).</t>
        </is>
      </c>
      <c r="C34" s="20" t="n"/>
      <c r="D34" s="20" t="n"/>
      <c r="E34" s="20" t="n"/>
      <c r="F34" s="20" t="n"/>
      <c r="G34" s="20" t="n"/>
    </row>
    <row r="35">
      <c r="A35" s="21" t="inlineStr">
        <is>
          <t>Details of cost for 1 cum   |   Source: CivilDAR_2019_Vol_1.pdf, page 144</t>
        </is>
      </c>
    </row>
    <row r="36">
      <c r="A36" s="5" t="inlineStr">
        <is>
          <t>Code</t>
        </is>
      </c>
      <c r="B36" s="5" t="inlineStr">
        <is>
          <t>Description</t>
        </is>
      </c>
      <c r="C36" s="5" t="inlineStr">
        <is>
          <t>Unit</t>
        </is>
      </c>
      <c r="D36" s="5" t="inlineStr">
        <is>
          <t>Quantity</t>
        </is>
      </c>
      <c r="E36" s="5" t="inlineStr">
        <is>
          <t>Rate (Rs.)</t>
        </is>
      </c>
      <c r="F36" s="5" t="inlineStr">
        <is>
          <t>Amount (Rs.)</t>
        </is>
      </c>
      <c r="G36" s="5" t="inlineStr">
        <is>
          <t>Note</t>
        </is>
      </c>
    </row>
    <row r="37">
      <c r="A37" s="22" t="inlineStr">
        <is>
          <t>0367</t>
        </is>
      </c>
      <c r="B37" s="11" t="inlineStr">
        <is>
          <t>Portland Cement</t>
        </is>
      </c>
      <c r="C37" s="22" t="inlineStr">
        <is>
          <t>tonne</t>
        </is>
      </c>
      <c r="D37" s="23" t="n">
        <v>0.51</v>
      </c>
      <c r="E37" s="24" t="n">
        <v>4940</v>
      </c>
      <c r="F37" s="24">
        <f>D37*E37</f>
        <v/>
      </c>
      <c r="G37" s="22" t="n"/>
    </row>
    <row r="38">
      <c r="A38" s="22" t="inlineStr">
        <is>
          <t>2209</t>
        </is>
      </c>
      <c r="B38" s="11" t="inlineStr">
        <is>
          <t>Carriage of Cement</t>
        </is>
      </c>
      <c r="C38" s="22" t="inlineStr">
        <is>
          <t>tonne</t>
        </is>
      </c>
      <c r="D38" s="23" t="n">
        <v>0.51</v>
      </c>
      <c r="E38" s="24" t="n">
        <v>92.23999999999999</v>
      </c>
      <c r="F38" s="24">
        <f>D38*E38</f>
        <v/>
      </c>
      <c r="G38" s="22" t="n"/>
    </row>
    <row r="39">
      <c r="A39" s="22" t="inlineStr">
        <is>
          <t>0983</t>
        </is>
      </c>
      <c r="B39" s="11" t="inlineStr">
        <is>
          <t>Fine sand (zone IV)</t>
        </is>
      </c>
      <c r="C39" s="22" t="inlineStr">
        <is>
          <t>cum</t>
        </is>
      </c>
      <c r="D39" s="23" t="n">
        <v>1.07</v>
      </c>
      <c r="E39" s="24" t="n">
        <v>900</v>
      </c>
      <c r="F39" s="24">
        <f>D39*E39</f>
        <v/>
      </c>
      <c r="G39" s="22" t="n"/>
    </row>
    <row r="40">
      <c r="A40" s="22" t="inlineStr">
        <is>
          <t>2261</t>
        </is>
      </c>
      <c r="B40" s="11" t="inlineStr">
        <is>
          <t>Carriage of Fine sand (1 part badarpur sand : 2 parts jamuna sand)</t>
        </is>
      </c>
      <c r="C40" s="22" t="inlineStr">
        <is>
          <t>cum</t>
        </is>
      </c>
      <c r="D40" s="23" t="n">
        <v>1.07</v>
      </c>
      <c r="E40" s="24" t="n">
        <v>103.77</v>
      </c>
      <c r="F40" s="24">
        <f>D40*E40</f>
        <v/>
      </c>
      <c r="G40" s="22" t="n"/>
    </row>
    <row r="41">
      <c r="A41" s="22" t="inlineStr">
        <is>
          <t>0114</t>
        </is>
      </c>
      <c r="B41" s="11" t="inlineStr">
        <is>
          <t>Beldar</t>
        </is>
      </c>
      <c r="C41" s="22" t="inlineStr">
        <is>
          <t>day</t>
        </is>
      </c>
      <c r="D41" s="23" t="n">
        <v>0.75</v>
      </c>
      <c r="E41" s="24" t="n">
        <v>558</v>
      </c>
      <c r="F41" s="24">
        <f>D41*E41</f>
        <v/>
      </c>
      <c r="G41" s="22" t="n"/>
    </row>
    <row r="42">
      <c r="A42" s="22" t="inlineStr">
        <is>
          <t>0101</t>
        </is>
      </c>
      <c r="B42" s="11" t="inlineStr">
        <is>
          <t>Bhisti</t>
        </is>
      </c>
      <c r="C42" s="22" t="inlineStr">
        <is>
          <t>day</t>
        </is>
      </c>
      <c r="D42" s="23" t="n">
        <v>0.07000000000000001</v>
      </c>
      <c r="E42" s="24" t="n">
        <v>617</v>
      </c>
      <c r="F42" s="24">
        <f>D42*E42</f>
        <v/>
      </c>
      <c r="G42" s="22" t="n"/>
    </row>
    <row r="43">
      <c r="A43" s="22" t="inlineStr">
        <is>
          <t>9999</t>
        </is>
      </c>
      <c r="B43" s="11" t="inlineStr">
        <is>
          <t>Hire and running charges of mechanical mixer</t>
        </is>
      </c>
      <c r="C43" s="22" t="inlineStr">
        <is>
          <t>L.S.</t>
        </is>
      </c>
      <c r="D43" s="23" t="n">
        <v>26.91</v>
      </c>
      <c r="E43" s="24" t="n">
        <v>2</v>
      </c>
      <c r="F43" s="24">
        <f>D43*E43</f>
        <v/>
      </c>
      <c r="G43" s="22" t="n"/>
    </row>
    <row r="44">
      <c r="A44" s="22" t="inlineStr">
        <is>
          <t>9999</t>
        </is>
      </c>
      <c r="B44" s="11" t="inlineStr">
        <is>
          <t>Sundries</t>
        </is>
      </c>
      <c r="C44" s="22" t="inlineStr">
        <is>
          <t>L.S.</t>
        </is>
      </c>
      <c r="D44" s="23" t="n">
        <v>13.52</v>
      </c>
      <c r="E44" s="24" t="n">
        <v>2</v>
      </c>
      <c r="F44" s="24">
        <f>D44*E44</f>
        <v/>
      </c>
      <c r="G44" s="22" t="n"/>
    </row>
    <row r="45">
      <c r="A45" s="8" t="inlineStr">
        <is>
          <t>Calculated W - SUM of the Amount column above</t>
        </is>
      </c>
      <c r="B45" s="9" t="n"/>
      <c r="C45" s="9" t="n"/>
      <c r="D45" s="9" t="n"/>
      <c r="E45" s="9" t="n"/>
      <c r="F45" s="25">
        <f>SUM(F37:F44)</f>
        <v/>
      </c>
      <c r="G45" s="9" t="n"/>
    </row>
    <row r="46">
      <c r="A46" s="26" t="inlineStr">
        <is>
          <t>W as printed in the DAR</t>
        </is>
      </c>
      <c r="B46" s="22" t="n"/>
      <c r="C46" s="22" t="n"/>
      <c r="D46" s="22" t="n"/>
      <c r="E46" s="22" t="n"/>
      <c r="F46" s="27" t="inlineStr">
        <is>
          <t>not printed</t>
        </is>
      </c>
      <c r="G46" s="28" t="inlineStr">
        <is>
          <t>This item prints no W (rate table or sub-analysis).</t>
        </is>
      </c>
    </row>
    <row r="47">
      <c r="A47" s="29" t="inlineStr">
        <is>
          <t>SAY (Rs.) - final DAR rate as printed (fixed value, not computed)</t>
        </is>
      </c>
      <c r="B47" s="30" t="n"/>
      <c r="C47" s="30" t="n"/>
      <c r="D47" s="30" t="n"/>
      <c r="E47" s="30" t="n"/>
      <c r="F47" s="31" t="n">
        <v>4183.05</v>
      </c>
      <c r="G47" s="30" t="n"/>
    </row>
    <row r="49" ht="18.5" customHeight="1">
      <c r="A49" s="18" t="inlineStr">
        <is>
          <t>3.4</t>
        </is>
      </c>
      <c r="B49" s="19" t="inlineStr">
        <is>
          <t>Cement mortar 1:4 (1 cement : 4 fine sand).</t>
        </is>
      </c>
      <c r="C49" s="20" t="n"/>
      <c r="D49" s="20" t="n"/>
      <c r="E49" s="20" t="n"/>
      <c r="F49" s="20" t="n"/>
      <c r="G49" s="20" t="n"/>
    </row>
    <row r="50">
      <c r="A50" s="21" t="inlineStr">
        <is>
          <t>Details of cost for 1 cum   |   Source: CivilDAR_2019_Vol_1.pdf, page 145</t>
        </is>
      </c>
    </row>
    <row r="51">
      <c r="A51" s="5" t="inlineStr">
        <is>
          <t>Code</t>
        </is>
      </c>
      <c r="B51" s="5" t="inlineStr">
        <is>
          <t>Description</t>
        </is>
      </c>
      <c r="C51" s="5" t="inlineStr">
        <is>
          <t>Unit</t>
        </is>
      </c>
      <c r="D51" s="5" t="inlineStr">
        <is>
          <t>Quantity</t>
        </is>
      </c>
      <c r="E51" s="5" t="inlineStr">
        <is>
          <t>Rate (Rs.)</t>
        </is>
      </c>
      <c r="F51" s="5" t="inlineStr">
        <is>
          <t>Amount (Rs.)</t>
        </is>
      </c>
      <c r="G51" s="5" t="inlineStr">
        <is>
          <t>Note</t>
        </is>
      </c>
    </row>
    <row r="52">
      <c r="A52" s="22" t="inlineStr">
        <is>
          <t>0367</t>
        </is>
      </c>
      <c r="B52" s="11" t="inlineStr">
        <is>
          <t>Portland Cement</t>
        </is>
      </c>
      <c r="C52" s="22" t="inlineStr">
        <is>
          <t>tonne</t>
        </is>
      </c>
      <c r="D52" s="23" t="n">
        <v>0.38</v>
      </c>
      <c r="E52" s="24" t="n">
        <v>4940</v>
      </c>
      <c r="F52" s="24">
        <f>D52*E52</f>
        <v/>
      </c>
      <c r="G52" s="22" t="n"/>
    </row>
    <row r="53">
      <c r="A53" s="22" t="inlineStr">
        <is>
          <t>2209</t>
        </is>
      </c>
      <c r="B53" s="11" t="inlineStr">
        <is>
          <t>Carriage of Cement</t>
        </is>
      </c>
      <c r="C53" s="22" t="inlineStr">
        <is>
          <t>tonne</t>
        </is>
      </c>
      <c r="D53" s="23" t="n">
        <v>0.38</v>
      </c>
      <c r="E53" s="24" t="n">
        <v>92.23999999999999</v>
      </c>
      <c r="F53" s="24">
        <f>D53*E53</f>
        <v/>
      </c>
      <c r="G53" s="22" t="n"/>
    </row>
    <row r="54">
      <c r="A54" s="22" t="inlineStr">
        <is>
          <t>0983</t>
        </is>
      </c>
      <c r="B54" s="11" t="inlineStr">
        <is>
          <t>Fine sand (zone IV)</t>
        </is>
      </c>
      <c r="C54" s="22" t="inlineStr">
        <is>
          <t>cum</t>
        </is>
      </c>
      <c r="D54" s="23" t="n">
        <v>1.07</v>
      </c>
      <c r="E54" s="24" t="n">
        <v>900</v>
      </c>
      <c r="F54" s="24">
        <f>D54*E54</f>
        <v/>
      </c>
      <c r="G54" s="22" t="n"/>
    </row>
    <row r="55">
      <c r="A55" s="22" t="inlineStr">
        <is>
          <t>2261</t>
        </is>
      </c>
      <c r="B55" s="11" t="inlineStr">
        <is>
          <t>Carriage of Fine sand (1 part badarpur sand : 2 parts jamuna sand)</t>
        </is>
      </c>
      <c r="C55" s="22" t="inlineStr">
        <is>
          <t>cum</t>
        </is>
      </c>
      <c r="D55" s="23" t="n">
        <v>1.07</v>
      </c>
      <c r="E55" s="24" t="n">
        <v>103.77</v>
      </c>
      <c r="F55" s="24">
        <f>D55*E55</f>
        <v/>
      </c>
      <c r="G55" s="22" t="n"/>
    </row>
    <row r="56">
      <c r="A56" s="22" t="inlineStr">
        <is>
          <t>0114</t>
        </is>
      </c>
      <c r="B56" s="11" t="inlineStr">
        <is>
          <t>Beldar</t>
        </is>
      </c>
      <c r="C56" s="22" t="inlineStr">
        <is>
          <t>day</t>
        </is>
      </c>
      <c r="D56" s="23" t="n">
        <v>0.75</v>
      </c>
      <c r="E56" s="24" t="n">
        <v>558</v>
      </c>
      <c r="F56" s="24">
        <f>D56*E56</f>
        <v/>
      </c>
      <c r="G56" s="22" t="n"/>
    </row>
    <row r="57">
      <c r="A57" s="22" t="inlineStr">
        <is>
          <t>0101</t>
        </is>
      </c>
      <c r="B57" s="11" t="inlineStr">
        <is>
          <t>Bhisti</t>
        </is>
      </c>
      <c r="C57" s="22" t="inlineStr">
        <is>
          <t>day</t>
        </is>
      </c>
      <c r="D57" s="23" t="n">
        <v>0.07000000000000001</v>
      </c>
      <c r="E57" s="24" t="n">
        <v>617</v>
      </c>
      <c r="F57" s="24">
        <f>D57*E57</f>
        <v/>
      </c>
      <c r="G57" s="22" t="n"/>
    </row>
    <row r="58">
      <c r="A58" s="22" t="inlineStr">
        <is>
          <t>9999</t>
        </is>
      </c>
      <c r="B58" s="11" t="inlineStr">
        <is>
          <t>Hire and running charges of mechanical mixer</t>
        </is>
      </c>
      <c r="C58" s="22" t="inlineStr">
        <is>
          <t>L.S.</t>
        </is>
      </c>
      <c r="D58" s="23" t="n">
        <v>26.91</v>
      </c>
      <c r="E58" s="24" t="n">
        <v>2</v>
      </c>
      <c r="F58" s="24">
        <f>D58*E58</f>
        <v/>
      </c>
      <c r="G58" s="22" t="n"/>
    </row>
    <row r="59">
      <c r="A59" s="22" t="inlineStr">
        <is>
          <t>9999</t>
        </is>
      </c>
      <c r="B59" s="11" t="inlineStr">
        <is>
          <t>Sundries</t>
        </is>
      </c>
      <c r="C59" s="22" t="inlineStr">
        <is>
          <t>L.S.</t>
        </is>
      </c>
      <c r="D59" s="23" t="n">
        <v>13.52</v>
      </c>
      <c r="E59" s="24" t="n">
        <v>2</v>
      </c>
      <c r="F59" s="24">
        <f>D59*E59</f>
        <v/>
      </c>
      <c r="G59" s="22" t="n"/>
    </row>
    <row r="60">
      <c r="A60" s="8" t="inlineStr">
        <is>
          <t>Calculated W - SUM of the Amount column above</t>
        </is>
      </c>
      <c r="B60" s="9" t="n"/>
      <c r="C60" s="9" t="n"/>
      <c r="D60" s="9" t="n"/>
      <c r="E60" s="9" t="n"/>
      <c r="F60" s="25">
        <f>SUM(F52:F59)</f>
        <v/>
      </c>
      <c r="G60" s="9" t="n"/>
    </row>
    <row r="61">
      <c r="A61" s="26" t="inlineStr">
        <is>
          <t>W as printed in the DAR</t>
        </is>
      </c>
      <c r="B61" s="22" t="n"/>
      <c r="C61" s="22" t="n"/>
      <c r="D61" s="22" t="n"/>
      <c r="E61" s="22" t="n"/>
      <c r="F61" s="27" t="inlineStr">
        <is>
          <t>not printed</t>
        </is>
      </c>
      <c r="G61" s="28" t="inlineStr">
        <is>
          <t>This item prints no W (rate table or sub-analysis).</t>
        </is>
      </c>
    </row>
    <row r="62">
      <c r="A62" s="29" t="inlineStr">
        <is>
          <t>SAY (Rs.) - final DAR rate as printed (fixed value, not computed)</t>
        </is>
      </c>
      <c r="B62" s="30" t="n"/>
      <c r="C62" s="30" t="n"/>
      <c r="D62" s="30" t="n"/>
      <c r="E62" s="30" t="n"/>
      <c r="F62" s="31" t="n">
        <v>3528.85</v>
      </c>
      <c r="G62" s="30" t="n"/>
    </row>
    <row r="64" ht="18.5" customHeight="1">
      <c r="A64" s="18" t="inlineStr">
        <is>
          <t>3.5</t>
        </is>
      </c>
      <c r="B64" s="19" t="inlineStr">
        <is>
          <t>Cement mortar 1:5 (1 cement : 5 fine sand).</t>
        </is>
      </c>
      <c r="C64" s="20" t="n"/>
      <c r="D64" s="20" t="n"/>
      <c r="E64" s="20" t="n"/>
      <c r="F64" s="20" t="n"/>
      <c r="G64" s="20" t="n"/>
    </row>
    <row r="65">
      <c r="A65" s="21" t="inlineStr">
        <is>
          <t>Details of cost for 1 cum   |   Source: CivilDAR_2019_Vol_1.pdf, page 145</t>
        </is>
      </c>
    </row>
    <row r="66">
      <c r="A66" s="5" t="inlineStr">
        <is>
          <t>Code</t>
        </is>
      </c>
      <c r="B66" s="5" t="inlineStr">
        <is>
          <t>Description</t>
        </is>
      </c>
      <c r="C66" s="5" t="inlineStr">
        <is>
          <t>Unit</t>
        </is>
      </c>
      <c r="D66" s="5" t="inlineStr">
        <is>
          <t>Quantity</t>
        </is>
      </c>
      <c r="E66" s="5" t="inlineStr">
        <is>
          <t>Rate (Rs.)</t>
        </is>
      </c>
      <c r="F66" s="5" t="inlineStr">
        <is>
          <t>Amount (Rs.)</t>
        </is>
      </c>
      <c r="G66" s="5" t="inlineStr">
        <is>
          <t>Note</t>
        </is>
      </c>
    </row>
    <row r="67">
      <c r="A67" s="22" t="inlineStr">
        <is>
          <t>0367</t>
        </is>
      </c>
      <c r="B67" s="11" t="inlineStr">
        <is>
          <t>Portland Cement</t>
        </is>
      </c>
      <c r="C67" s="22" t="inlineStr">
        <is>
          <t>tonne</t>
        </is>
      </c>
      <c r="D67" s="23" t="n">
        <v>0.31</v>
      </c>
      <c r="E67" s="24" t="n">
        <v>4940</v>
      </c>
      <c r="F67" s="24">
        <f>D67*E67</f>
        <v/>
      </c>
      <c r="G67" s="22" t="n"/>
    </row>
    <row r="68">
      <c r="A68" s="22" t="inlineStr">
        <is>
          <t>2209</t>
        </is>
      </c>
      <c r="B68" s="11" t="inlineStr">
        <is>
          <t>Carriage of Cement</t>
        </is>
      </c>
      <c r="C68" s="22" t="inlineStr">
        <is>
          <t>tonne</t>
        </is>
      </c>
      <c r="D68" s="23" t="n">
        <v>0.31</v>
      </c>
      <c r="E68" s="24" t="n">
        <v>92.23999999999999</v>
      </c>
      <c r="F68" s="24">
        <f>D68*E68</f>
        <v/>
      </c>
      <c r="G68" s="22" t="n"/>
    </row>
    <row r="69">
      <c r="A69" s="22" t="inlineStr">
        <is>
          <t>0983</t>
        </is>
      </c>
      <c r="B69" s="11" t="inlineStr">
        <is>
          <t>Fine sand (zone IV)</t>
        </is>
      </c>
      <c r="C69" s="22" t="inlineStr">
        <is>
          <t>cum</t>
        </is>
      </c>
      <c r="D69" s="23" t="n">
        <v>1.07</v>
      </c>
      <c r="E69" s="24" t="n">
        <v>900</v>
      </c>
      <c r="F69" s="24">
        <f>D69*E69</f>
        <v/>
      </c>
      <c r="G69" s="22" t="n"/>
    </row>
    <row r="70">
      <c r="A70" s="22" t="inlineStr">
        <is>
          <t>2261</t>
        </is>
      </c>
      <c r="B70" s="11" t="inlineStr">
        <is>
          <t>Carriage of Fine sand (1 part badarpur sand : 2 parts jamuna sand)</t>
        </is>
      </c>
      <c r="C70" s="22" t="inlineStr">
        <is>
          <t>cum</t>
        </is>
      </c>
      <c r="D70" s="23" t="n">
        <v>1.07</v>
      </c>
      <c r="E70" s="24" t="n">
        <v>103.77</v>
      </c>
      <c r="F70" s="24">
        <f>D70*E70</f>
        <v/>
      </c>
      <c r="G70" s="22" t="n"/>
    </row>
    <row r="71">
      <c r="A71" s="22" t="inlineStr">
        <is>
          <t>0114</t>
        </is>
      </c>
      <c r="B71" s="11" t="inlineStr">
        <is>
          <t>Beldar</t>
        </is>
      </c>
      <c r="C71" s="22" t="inlineStr">
        <is>
          <t>day</t>
        </is>
      </c>
      <c r="D71" s="23" t="n">
        <v>0.75</v>
      </c>
      <c r="E71" s="24" t="n">
        <v>558</v>
      </c>
      <c r="F71" s="24">
        <f>D71*E71</f>
        <v/>
      </c>
      <c r="G71" s="22" t="n"/>
    </row>
    <row r="72">
      <c r="A72" s="22" t="inlineStr">
        <is>
          <t>0101</t>
        </is>
      </c>
      <c r="B72" s="11" t="inlineStr">
        <is>
          <t>Bhisti</t>
        </is>
      </c>
      <c r="C72" s="22" t="inlineStr">
        <is>
          <t>day</t>
        </is>
      </c>
      <c r="D72" s="23" t="n">
        <v>0.07000000000000001</v>
      </c>
      <c r="E72" s="24" t="n">
        <v>617</v>
      </c>
      <c r="F72" s="24">
        <f>D72*E72</f>
        <v/>
      </c>
      <c r="G72" s="22" t="n"/>
    </row>
    <row r="73">
      <c r="A73" s="22" t="inlineStr">
        <is>
          <t>9999</t>
        </is>
      </c>
      <c r="B73" s="11" t="inlineStr">
        <is>
          <t>Hire and running charges of mechanical mixer</t>
        </is>
      </c>
      <c r="C73" s="22" t="inlineStr">
        <is>
          <t>L.S.</t>
        </is>
      </c>
      <c r="D73" s="23" t="n">
        <v>26.91</v>
      </c>
      <c r="E73" s="24" t="n">
        <v>2</v>
      </c>
      <c r="F73" s="24">
        <f>D73*E73</f>
        <v/>
      </c>
      <c r="G73" s="22" t="n"/>
    </row>
    <row r="74">
      <c r="A74" s="22" t="inlineStr">
        <is>
          <t>9999</t>
        </is>
      </c>
      <c r="B74" s="11" t="inlineStr">
        <is>
          <t>Sundries</t>
        </is>
      </c>
      <c r="C74" s="22" t="inlineStr">
        <is>
          <t>L.S.</t>
        </is>
      </c>
      <c r="D74" s="23" t="n">
        <v>13.52</v>
      </c>
      <c r="E74" s="24" t="n">
        <v>2</v>
      </c>
      <c r="F74" s="24">
        <f>D74*E74</f>
        <v/>
      </c>
      <c r="G74" s="22" t="n"/>
    </row>
    <row r="75">
      <c r="A75" s="8" t="inlineStr">
        <is>
          <t>Calculated W - SUM of the Amount column above</t>
        </is>
      </c>
      <c r="B75" s="9" t="n"/>
      <c r="C75" s="9" t="n"/>
      <c r="D75" s="9" t="n"/>
      <c r="E75" s="9" t="n"/>
      <c r="F75" s="25">
        <f>SUM(F67:F74)</f>
        <v/>
      </c>
      <c r="G75" s="9" t="n"/>
    </row>
    <row r="76">
      <c r="A76" s="26" t="inlineStr">
        <is>
          <t>W as printed in the DAR</t>
        </is>
      </c>
      <c r="B76" s="22" t="n"/>
      <c r="C76" s="22" t="n"/>
      <c r="D76" s="22" t="n"/>
      <c r="E76" s="22" t="n"/>
      <c r="F76" s="27" t="inlineStr">
        <is>
          <t>not printed</t>
        </is>
      </c>
      <c r="G76" s="28" t="inlineStr">
        <is>
          <t>This item prints no W (rate table or sub-analysis).</t>
        </is>
      </c>
    </row>
    <row r="77">
      <c r="A77" s="29" t="inlineStr">
        <is>
          <t>SAY (Rs.) - final DAR rate as printed (fixed value, not computed)</t>
        </is>
      </c>
      <c r="B77" s="30" t="n"/>
      <c r="C77" s="30" t="n"/>
      <c r="D77" s="30" t="n"/>
      <c r="E77" s="30" t="n"/>
      <c r="F77" s="31" t="n">
        <v>3176.6</v>
      </c>
      <c r="G77" s="30" t="n"/>
    </row>
    <row r="79" ht="18.5" customHeight="1">
      <c r="A79" s="18" t="inlineStr">
        <is>
          <t>3.6</t>
        </is>
      </c>
      <c r="B79" s="19" t="inlineStr">
        <is>
          <t>Cement mortar 1:6 (1 cement : 6 fine sand).</t>
        </is>
      </c>
      <c r="C79" s="20" t="n"/>
      <c r="D79" s="20" t="n"/>
      <c r="E79" s="20" t="n"/>
      <c r="F79" s="20" t="n"/>
      <c r="G79" s="20" t="n"/>
    </row>
    <row r="80">
      <c r="A80" s="21" t="inlineStr">
        <is>
          <t>Details of cost for 1 cum   |   Source: CivilDAR_2019_Vol_1.pdf, page 146</t>
        </is>
      </c>
    </row>
    <row r="81">
      <c r="A81" s="5" t="inlineStr">
        <is>
          <t>Code</t>
        </is>
      </c>
      <c r="B81" s="5" t="inlineStr">
        <is>
          <t>Description</t>
        </is>
      </c>
      <c r="C81" s="5" t="inlineStr">
        <is>
          <t>Unit</t>
        </is>
      </c>
      <c r="D81" s="5" t="inlineStr">
        <is>
          <t>Quantity</t>
        </is>
      </c>
      <c r="E81" s="5" t="inlineStr">
        <is>
          <t>Rate (Rs.)</t>
        </is>
      </c>
      <c r="F81" s="5" t="inlineStr">
        <is>
          <t>Amount (Rs.)</t>
        </is>
      </c>
      <c r="G81" s="5" t="inlineStr">
        <is>
          <t>Note</t>
        </is>
      </c>
    </row>
    <row r="82">
      <c r="A82" s="22" t="inlineStr">
        <is>
          <t>0367</t>
        </is>
      </c>
      <c r="B82" s="11" t="inlineStr">
        <is>
          <t>Portland Cement</t>
        </is>
      </c>
      <c r="C82" s="22" t="inlineStr">
        <is>
          <t>tonne</t>
        </is>
      </c>
      <c r="D82" s="23" t="n">
        <v>0.25</v>
      </c>
      <c r="E82" s="24" t="n">
        <v>4940</v>
      </c>
      <c r="F82" s="24">
        <f>D82*E82</f>
        <v/>
      </c>
      <c r="G82" s="22" t="n"/>
    </row>
    <row r="83">
      <c r="A83" s="22" t="inlineStr">
        <is>
          <t>2209</t>
        </is>
      </c>
      <c r="B83" s="11" t="inlineStr">
        <is>
          <t>Carriage of Cement</t>
        </is>
      </c>
      <c r="C83" s="22" t="inlineStr">
        <is>
          <t>tonne</t>
        </is>
      </c>
      <c r="D83" s="23" t="n">
        <v>0.25</v>
      </c>
      <c r="E83" s="24" t="n">
        <v>92.23999999999999</v>
      </c>
      <c r="F83" s="24">
        <f>D83*E83</f>
        <v/>
      </c>
      <c r="G83" s="22" t="n"/>
    </row>
    <row r="84">
      <c r="A84" s="22" t="inlineStr">
        <is>
          <t>0983</t>
        </is>
      </c>
      <c r="B84" s="11" t="inlineStr">
        <is>
          <t>Fine sand (zone IV)</t>
        </is>
      </c>
      <c r="C84" s="22" t="inlineStr">
        <is>
          <t>cum</t>
        </is>
      </c>
      <c r="D84" s="23" t="n">
        <v>1.07</v>
      </c>
      <c r="E84" s="24" t="n">
        <v>900</v>
      </c>
      <c r="F84" s="24">
        <f>D84*E84</f>
        <v/>
      </c>
      <c r="G84" s="22" t="n"/>
    </row>
    <row r="85">
      <c r="A85" s="22" t="inlineStr">
        <is>
          <t>2261</t>
        </is>
      </c>
      <c r="B85" s="11" t="inlineStr">
        <is>
          <t>Carriage of Fine sand (1 part badarpur sand : 2 parts jamuna sand)</t>
        </is>
      </c>
      <c r="C85" s="22" t="inlineStr">
        <is>
          <t>cum</t>
        </is>
      </c>
      <c r="D85" s="23" t="n">
        <v>1.07</v>
      </c>
      <c r="E85" s="24" t="n">
        <v>103.77</v>
      </c>
      <c r="F85" s="24">
        <f>D85*E85</f>
        <v/>
      </c>
      <c r="G85" s="22" t="n"/>
    </row>
    <row r="86">
      <c r="A86" s="22" t="inlineStr">
        <is>
          <t>0114</t>
        </is>
      </c>
      <c r="B86" s="11" t="inlineStr">
        <is>
          <t>Beldar</t>
        </is>
      </c>
      <c r="C86" s="22" t="inlineStr">
        <is>
          <t>day</t>
        </is>
      </c>
      <c r="D86" s="23" t="n">
        <v>0.75</v>
      </c>
      <c r="E86" s="24" t="n">
        <v>558</v>
      </c>
      <c r="F86" s="24">
        <f>D86*E86</f>
        <v/>
      </c>
      <c r="G86" s="22" t="n"/>
    </row>
    <row r="87">
      <c r="A87" s="22" t="inlineStr">
        <is>
          <t>0101</t>
        </is>
      </c>
      <c r="B87" s="11" t="inlineStr">
        <is>
          <t>Bhisti</t>
        </is>
      </c>
      <c r="C87" s="22" t="inlineStr">
        <is>
          <t>day</t>
        </is>
      </c>
      <c r="D87" s="23" t="n">
        <v>0.07000000000000001</v>
      </c>
      <c r="E87" s="24" t="n">
        <v>617</v>
      </c>
      <c r="F87" s="24">
        <f>D87*E87</f>
        <v/>
      </c>
      <c r="G87" s="22" t="n"/>
    </row>
    <row r="88">
      <c r="A88" s="22" t="inlineStr">
        <is>
          <t>9999</t>
        </is>
      </c>
      <c r="B88" s="11" t="inlineStr">
        <is>
          <t>Hire and running charges of mechanical mixer</t>
        </is>
      </c>
      <c r="C88" s="22" t="inlineStr">
        <is>
          <t>L.S.</t>
        </is>
      </c>
      <c r="D88" s="23" t="n">
        <v>26.91</v>
      </c>
      <c r="E88" s="24" t="n">
        <v>2</v>
      </c>
      <c r="F88" s="24">
        <f>D88*E88</f>
        <v/>
      </c>
      <c r="G88" s="22" t="n"/>
    </row>
    <row r="89">
      <c r="A89" s="22" t="inlineStr">
        <is>
          <t>9999</t>
        </is>
      </c>
      <c r="B89" s="11" t="inlineStr">
        <is>
          <t>Sundries</t>
        </is>
      </c>
      <c r="C89" s="22" t="inlineStr">
        <is>
          <t>L.S.</t>
        </is>
      </c>
      <c r="D89" s="23" t="n">
        <v>13.52</v>
      </c>
      <c r="E89" s="24" t="n">
        <v>2</v>
      </c>
      <c r="F89" s="24">
        <f>D89*E89</f>
        <v/>
      </c>
      <c r="G89" s="22" t="n"/>
    </row>
    <row r="90">
      <c r="A90" s="8" t="inlineStr">
        <is>
          <t>Calculated W - SUM of the Amount column above</t>
        </is>
      </c>
      <c r="B90" s="9" t="n"/>
      <c r="C90" s="9" t="n"/>
      <c r="D90" s="9" t="n"/>
      <c r="E90" s="9" t="n"/>
      <c r="F90" s="25">
        <f>SUM(F82:F89)</f>
        <v/>
      </c>
      <c r="G90" s="9" t="n"/>
    </row>
    <row r="91">
      <c r="A91" s="26" t="inlineStr">
        <is>
          <t>W as printed in the DAR</t>
        </is>
      </c>
      <c r="B91" s="22" t="n"/>
      <c r="C91" s="22" t="n"/>
      <c r="D91" s="22" t="n"/>
      <c r="E91" s="22" t="n"/>
      <c r="F91" s="27" t="inlineStr">
        <is>
          <t>not printed</t>
        </is>
      </c>
      <c r="G91" s="28" t="inlineStr">
        <is>
          <t>This item prints no W (rate table or sub-analysis).</t>
        </is>
      </c>
    </row>
    <row r="92">
      <c r="A92" s="29" t="inlineStr">
        <is>
          <t>SAY (Rs.) - final DAR rate as printed (fixed value, not computed)</t>
        </is>
      </c>
      <c r="B92" s="30" t="n"/>
      <c r="C92" s="30" t="n"/>
      <c r="D92" s="30" t="n"/>
      <c r="E92" s="30" t="n"/>
      <c r="F92" s="31" t="n">
        <v>2874.65</v>
      </c>
      <c r="G92" s="30" t="n"/>
    </row>
    <row r="94" ht="18.5" customHeight="1">
      <c r="A94" s="18" t="inlineStr">
        <is>
          <t>3.7</t>
        </is>
      </c>
      <c r="B94" s="19" t="inlineStr">
        <is>
          <t>Cement mortar 1:2 (1 cement : 2 coarse sand).</t>
        </is>
      </c>
      <c r="C94" s="20" t="n"/>
      <c r="D94" s="20" t="n"/>
      <c r="E94" s="20" t="n"/>
      <c r="F94" s="20" t="n"/>
      <c r="G94" s="20" t="n"/>
    </row>
    <row r="95">
      <c r="A95" s="21" t="inlineStr">
        <is>
          <t>Details of cost for 1 cum   |   Source: CivilDAR_2019_Vol_1.pdf, page 146</t>
        </is>
      </c>
    </row>
    <row r="96">
      <c r="A96" s="5" t="inlineStr">
        <is>
          <t>Code</t>
        </is>
      </c>
      <c r="B96" s="5" t="inlineStr">
        <is>
          <t>Description</t>
        </is>
      </c>
      <c r="C96" s="5" t="inlineStr">
        <is>
          <t>Unit</t>
        </is>
      </c>
      <c r="D96" s="5" t="inlineStr">
        <is>
          <t>Quantity</t>
        </is>
      </c>
      <c r="E96" s="5" t="inlineStr">
        <is>
          <t>Rate (Rs.)</t>
        </is>
      </c>
      <c r="F96" s="5" t="inlineStr">
        <is>
          <t>Amount (Rs.)</t>
        </is>
      </c>
      <c r="G96" s="5" t="inlineStr">
        <is>
          <t>Note</t>
        </is>
      </c>
    </row>
    <row r="97">
      <c r="A97" s="22" t="inlineStr">
        <is>
          <t>0367</t>
        </is>
      </c>
      <c r="B97" s="11" t="inlineStr">
        <is>
          <t>Portland Cement</t>
        </is>
      </c>
      <c r="C97" s="22" t="inlineStr">
        <is>
          <t>tonne</t>
        </is>
      </c>
      <c r="D97" s="23" t="n">
        <v>0.68</v>
      </c>
      <c r="E97" s="24" t="n">
        <v>4940</v>
      </c>
      <c r="F97" s="24">
        <f>D97*E97</f>
        <v/>
      </c>
      <c r="G97" s="22" t="n"/>
    </row>
    <row r="98">
      <c r="A98" s="22" t="inlineStr">
        <is>
          <t>2209</t>
        </is>
      </c>
      <c r="B98" s="11" t="inlineStr">
        <is>
          <t>Carriage of Cement</t>
        </is>
      </c>
      <c r="C98" s="22" t="inlineStr">
        <is>
          <t>tonne</t>
        </is>
      </c>
      <c r="D98" s="23" t="n">
        <v>0.68</v>
      </c>
      <c r="E98" s="24" t="n">
        <v>92.23999999999999</v>
      </c>
      <c r="F98" s="24">
        <f>D98*E98</f>
        <v/>
      </c>
      <c r="G98" s="22" t="n"/>
    </row>
    <row r="99">
      <c r="A99" s="22" t="inlineStr">
        <is>
          <t>0982</t>
        </is>
      </c>
      <c r="B99" s="11" t="inlineStr">
        <is>
          <t>Coarse sand (zone III)</t>
        </is>
      </c>
      <c r="C99" s="22" t="inlineStr">
        <is>
          <t>cum</t>
        </is>
      </c>
      <c r="D99" s="23" t="n">
        <v>0.95</v>
      </c>
      <c r="E99" s="24" t="n">
        <v>1350</v>
      </c>
      <c r="F99" s="24">
        <f>D99*E99</f>
        <v/>
      </c>
      <c r="G99" s="22" t="n"/>
    </row>
    <row r="100">
      <c r="A100" s="22" t="inlineStr">
        <is>
          <t>2203</t>
        </is>
      </c>
      <c r="B100" s="11" t="inlineStr">
        <is>
          <t>Carriage of Coarse sand</t>
        </is>
      </c>
      <c r="C100" s="22" t="inlineStr">
        <is>
          <t>cum</t>
        </is>
      </c>
      <c r="D100" s="23" t="n">
        <v>0.95</v>
      </c>
      <c r="E100" s="24" t="n">
        <v>103.77</v>
      </c>
      <c r="F100" s="24">
        <f>D100*E100</f>
        <v/>
      </c>
      <c r="G100" s="22" t="n"/>
    </row>
    <row r="101">
      <c r="A101" s="22" t="inlineStr">
        <is>
          <t>0114</t>
        </is>
      </c>
      <c r="B101" s="11" t="inlineStr">
        <is>
          <t>Beldar</t>
        </is>
      </c>
      <c r="C101" s="22" t="inlineStr">
        <is>
          <t>day</t>
        </is>
      </c>
      <c r="D101" s="23" t="n">
        <v>0.75</v>
      </c>
      <c r="E101" s="24" t="n">
        <v>558</v>
      </c>
      <c r="F101" s="24">
        <f>D101*E101</f>
        <v/>
      </c>
      <c r="G101" s="22" t="n"/>
    </row>
    <row r="102">
      <c r="A102" s="22" t="inlineStr">
        <is>
          <t>0101</t>
        </is>
      </c>
      <c r="B102" s="11" t="inlineStr">
        <is>
          <t>Bhisti</t>
        </is>
      </c>
      <c r="C102" s="22" t="inlineStr">
        <is>
          <t>day</t>
        </is>
      </c>
      <c r="D102" s="23" t="n">
        <v>0.07000000000000001</v>
      </c>
      <c r="E102" s="24" t="n">
        <v>617</v>
      </c>
      <c r="F102" s="24">
        <f>D102*E102</f>
        <v/>
      </c>
      <c r="G102" s="22" t="n"/>
    </row>
    <row r="103">
      <c r="A103" s="22" t="inlineStr">
        <is>
          <t>9999</t>
        </is>
      </c>
      <c r="B103" s="11" t="inlineStr">
        <is>
          <t>Hire and running charges of mechanical mixer</t>
        </is>
      </c>
      <c r="C103" s="22" t="inlineStr">
        <is>
          <t>L.S.</t>
        </is>
      </c>
      <c r="D103" s="23" t="n">
        <v>26.91</v>
      </c>
      <c r="E103" s="24" t="n">
        <v>2</v>
      </c>
      <c r="F103" s="24">
        <f>D103*E103</f>
        <v/>
      </c>
      <c r="G103" s="22" t="n"/>
    </row>
    <row r="104">
      <c r="A104" s="22" t="inlineStr">
        <is>
          <t>9999</t>
        </is>
      </c>
      <c r="B104" s="11" t="inlineStr">
        <is>
          <t>Sundries</t>
        </is>
      </c>
      <c r="C104" s="22" t="inlineStr">
        <is>
          <t>L.S.</t>
        </is>
      </c>
      <c r="D104" s="23" t="n">
        <v>13.52</v>
      </c>
      <c r="E104" s="24" t="n">
        <v>2</v>
      </c>
      <c r="F104" s="24">
        <f>D104*E104</f>
        <v/>
      </c>
      <c r="G104" s="22" t="n"/>
    </row>
    <row r="105">
      <c r="A105" s="8" t="inlineStr">
        <is>
          <t>Calculated W - SUM of the Amount column above</t>
        </is>
      </c>
      <c r="B105" s="9" t="n"/>
      <c r="C105" s="9" t="n"/>
      <c r="D105" s="9" t="n"/>
      <c r="E105" s="9" t="n"/>
      <c r="F105" s="25">
        <f>SUM(F97:F104)</f>
        <v/>
      </c>
      <c r="G105" s="9" t="n"/>
    </row>
    <row r="106">
      <c r="A106" s="26" t="inlineStr">
        <is>
          <t>W as printed in the DAR</t>
        </is>
      </c>
      <c r="B106" s="22" t="n"/>
      <c r="C106" s="22" t="n"/>
      <c r="D106" s="22" t="n"/>
      <c r="E106" s="22" t="n"/>
      <c r="F106" s="27" t="inlineStr">
        <is>
          <t>not printed</t>
        </is>
      </c>
      <c r="G106" s="28" t="inlineStr">
        <is>
          <t>This item prints no W (rate table or sub-analysis).</t>
        </is>
      </c>
    </row>
    <row r="107">
      <c r="A107" s="29" t="inlineStr">
        <is>
          <t>SAY (Rs.) - final DAR rate as printed (fixed value, not computed)</t>
        </is>
      </c>
      <c r="B107" s="30" t="n"/>
      <c r="C107" s="30" t="n"/>
      <c r="D107" s="30" t="n"/>
      <c r="E107" s="30" t="n"/>
      <c r="F107" s="31" t="n">
        <v>5345.55</v>
      </c>
      <c r="G107" s="30" t="n"/>
    </row>
    <row r="109" ht="18.5" customHeight="1">
      <c r="A109" s="18" t="inlineStr">
        <is>
          <t>3.8</t>
        </is>
      </c>
      <c r="B109" s="19" t="inlineStr">
        <is>
          <t>Cement mortar 1:3 (1 cement : 3 coarse sand).</t>
        </is>
      </c>
      <c r="C109" s="20" t="n"/>
      <c r="D109" s="20" t="n"/>
      <c r="E109" s="20" t="n"/>
      <c r="F109" s="20" t="n"/>
      <c r="G109" s="20" t="n"/>
    </row>
    <row r="110">
      <c r="A110" s="21" t="inlineStr">
        <is>
          <t>Details of cost for 1 cum   |   Source: CivilDAR_2019_Vol_1.pdf, page 147</t>
        </is>
      </c>
    </row>
    <row r="111">
      <c r="A111" s="5" t="inlineStr">
        <is>
          <t>Code</t>
        </is>
      </c>
      <c r="B111" s="5" t="inlineStr">
        <is>
          <t>Description</t>
        </is>
      </c>
      <c r="C111" s="5" t="inlineStr">
        <is>
          <t>Unit</t>
        </is>
      </c>
      <c r="D111" s="5" t="inlineStr">
        <is>
          <t>Quantity</t>
        </is>
      </c>
      <c r="E111" s="5" t="inlineStr">
        <is>
          <t>Rate (Rs.)</t>
        </is>
      </c>
      <c r="F111" s="5" t="inlineStr">
        <is>
          <t>Amount (Rs.)</t>
        </is>
      </c>
      <c r="G111" s="5" t="inlineStr">
        <is>
          <t>Note</t>
        </is>
      </c>
    </row>
    <row r="112">
      <c r="A112" s="22" t="inlineStr">
        <is>
          <t>0367</t>
        </is>
      </c>
      <c r="B112" s="11" t="inlineStr">
        <is>
          <t>Portland Cement</t>
        </is>
      </c>
      <c r="C112" s="22" t="inlineStr">
        <is>
          <t>tonne</t>
        </is>
      </c>
      <c r="D112" s="23" t="n">
        <v>0.51</v>
      </c>
      <c r="E112" s="24" t="n">
        <v>4940</v>
      </c>
      <c r="F112" s="24">
        <f>D112*E112</f>
        <v/>
      </c>
      <c r="G112" s="22" t="n"/>
    </row>
    <row r="113">
      <c r="A113" s="22" t="inlineStr">
        <is>
          <t>2209</t>
        </is>
      </c>
      <c r="B113" s="11" t="inlineStr">
        <is>
          <t>Carriage of Cement</t>
        </is>
      </c>
      <c r="C113" s="22" t="inlineStr">
        <is>
          <t>tonne</t>
        </is>
      </c>
      <c r="D113" s="23" t="n">
        <v>0.51</v>
      </c>
      <c r="E113" s="24" t="n">
        <v>92.23999999999999</v>
      </c>
      <c r="F113" s="24">
        <f>D113*E113</f>
        <v/>
      </c>
      <c r="G113" s="22" t="n"/>
    </row>
    <row r="114">
      <c r="A114" s="22" t="inlineStr">
        <is>
          <t>0982</t>
        </is>
      </c>
      <c r="B114" s="11" t="inlineStr">
        <is>
          <t>Coarse sand (zone III)</t>
        </is>
      </c>
      <c r="C114" s="22" t="inlineStr">
        <is>
          <t>cum</t>
        </is>
      </c>
      <c r="D114" s="23" t="n">
        <v>1.07</v>
      </c>
      <c r="E114" s="24" t="n">
        <v>1350</v>
      </c>
      <c r="F114" s="24">
        <f>D114*E114</f>
        <v/>
      </c>
      <c r="G114" s="22" t="n"/>
    </row>
    <row r="115">
      <c r="A115" s="22" t="inlineStr">
        <is>
          <t>2203</t>
        </is>
      </c>
      <c r="B115" s="11" t="inlineStr">
        <is>
          <t>Carriage of Coarse sand</t>
        </is>
      </c>
      <c r="C115" s="22" t="inlineStr">
        <is>
          <t>cum</t>
        </is>
      </c>
      <c r="D115" s="23" t="n">
        <v>1.07</v>
      </c>
      <c r="E115" s="24" t="n">
        <v>103.77</v>
      </c>
      <c r="F115" s="24">
        <f>D115*E115</f>
        <v/>
      </c>
      <c r="G115" s="22" t="n"/>
    </row>
    <row r="116">
      <c r="A116" s="22" t="inlineStr">
        <is>
          <t>0114</t>
        </is>
      </c>
      <c r="B116" s="11" t="inlineStr">
        <is>
          <t>Beldar</t>
        </is>
      </c>
      <c r="C116" s="22" t="inlineStr">
        <is>
          <t>day</t>
        </is>
      </c>
      <c r="D116" s="23" t="n">
        <v>0.75</v>
      </c>
      <c r="E116" s="24" t="n">
        <v>558</v>
      </c>
      <c r="F116" s="24">
        <f>D116*E116</f>
        <v/>
      </c>
      <c r="G116" s="22" t="n"/>
    </row>
    <row r="117">
      <c r="A117" s="22" t="inlineStr">
        <is>
          <t>0101</t>
        </is>
      </c>
      <c r="B117" s="11" t="inlineStr">
        <is>
          <t>Bhisti</t>
        </is>
      </c>
      <c r="C117" s="22" t="inlineStr">
        <is>
          <t>day</t>
        </is>
      </c>
      <c r="D117" s="23" t="n">
        <v>0.07000000000000001</v>
      </c>
      <c r="E117" s="24" t="n">
        <v>617</v>
      </c>
      <c r="F117" s="24">
        <f>D117*E117</f>
        <v/>
      </c>
      <c r="G117" s="22" t="n"/>
    </row>
    <row r="118">
      <c r="A118" s="22" t="inlineStr">
        <is>
          <t>9999</t>
        </is>
      </c>
      <c r="B118" s="11" t="inlineStr">
        <is>
          <t>Hire and running charges of mechanical mixer</t>
        </is>
      </c>
      <c r="C118" s="22" t="inlineStr">
        <is>
          <t>L.S.</t>
        </is>
      </c>
      <c r="D118" s="23" t="n">
        <v>26.91</v>
      </c>
      <c r="E118" s="24" t="n">
        <v>2</v>
      </c>
      <c r="F118" s="24">
        <f>D118*E118</f>
        <v/>
      </c>
      <c r="G118" s="22" t="n"/>
    </row>
    <row r="119">
      <c r="A119" s="22" t="inlineStr">
        <is>
          <t>9999</t>
        </is>
      </c>
      <c r="B119" s="11" t="inlineStr">
        <is>
          <t>Sundries</t>
        </is>
      </c>
      <c r="C119" s="22" t="inlineStr">
        <is>
          <t>L.S.</t>
        </is>
      </c>
      <c r="D119" s="23" t="n">
        <v>13.52</v>
      </c>
      <c r="E119" s="24" t="n">
        <v>2</v>
      </c>
      <c r="F119" s="24">
        <f>D119*E119</f>
        <v/>
      </c>
      <c r="G119" s="22" t="n"/>
    </row>
    <row r="120">
      <c r="A120" s="8" t="inlineStr">
        <is>
          <t>Calculated W - SUM of the Amount column above</t>
        </is>
      </c>
      <c r="B120" s="9" t="n"/>
      <c r="C120" s="9" t="n"/>
      <c r="D120" s="9" t="n"/>
      <c r="E120" s="9" t="n"/>
      <c r="F120" s="25">
        <f>SUM(F112:F119)</f>
        <v/>
      </c>
      <c r="G120" s="9" t="n"/>
    </row>
    <row r="121">
      <c r="A121" s="26" t="inlineStr">
        <is>
          <t>W as printed in the DAR</t>
        </is>
      </c>
      <c r="B121" s="22" t="n"/>
      <c r="C121" s="22" t="n"/>
      <c r="D121" s="22" t="n"/>
      <c r="E121" s="22" t="n"/>
      <c r="F121" s="27" t="inlineStr">
        <is>
          <t>not printed</t>
        </is>
      </c>
      <c r="G121" s="28" t="inlineStr">
        <is>
          <t>This item prints no W (rate table or sub-analysis).</t>
        </is>
      </c>
    </row>
    <row r="122">
      <c r="A122" s="29" t="inlineStr">
        <is>
          <t>SAY (Rs.) - final DAR rate as printed (fixed value, not computed)</t>
        </is>
      </c>
      <c r="B122" s="30" t="n"/>
      <c r="C122" s="30" t="n"/>
      <c r="D122" s="30" t="n"/>
      <c r="E122" s="30" t="n"/>
      <c r="F122" s="31" t="n">
        <v>4664.55</v>
      </c>
      <c r="G122" s="30" t="n"/>
    </row>
    <row r="124" ht="18.5" customHeight="1">
      <c r="A124" s="18" t="inlineStr">
        <is>
          <t>3.9</t>
        </is>
      </c>
      <c r="B124" s="19" t="inlineStr">
        <is>
          <t>Cement mortar 1:4 (1 cement : 4 coarse sand).</t>
        </is>
      </c>
      <c r="C124" s="20" t="n"/>
      <c r="D124" s="20" t="n"/>
      <c r="E124" s="20" t="n"/>
      <c r="F124" s="20" t="n"/>
      <c r="G124" s="20" t="n"/>
    </row>
    <row r="125">
      <c r="A125" s="21" t="inlineStr">
        <is>
          <t>Details of cost for 1 cum   |   Source: CivilDAR_2019_Vol_1.pdf, page 147</t>
        </is>
      </c>
    </row>
    <row r="126">
      <c r="A126" s="5" t="inlineStr">
        <is>
          <t>Code</t>
        </is>
      </c>
      <c r="B126" s="5" t="inlineStr">
        <is>
          <t>Description</t>
        </is>
      </c>
      <c r="C126" s="5" t="inlineStr">
        <is>
          <t>Unit</t>
        </is>
      </c>
      <c r="D126" s="5" t="inlineStr">
        <is>
          <t>Quantity</t>
        </is>
      </c>
      <c r="E126" s="5" t="inlineStr">
        <is>
          <t>Rate (Rs.)</t>
        </is>
      </c>
      <c r="F126" s="5" t="inlineStr">
        <is>
          <t>Amount (Rs.)</t>
        </is>
      </c>
      <c r="G126" s="5" t="inlineStr">
        <is>
          <t>Note</t>
        </is>
      </c>
    </row>
    <row r="127">
      <c r="A127" s="22" t="inlineStr">
        <is>
          <t>0367</t>
        </is>
      </c>
      <c r="B127" s="11" t="inlineStr">
        <is>
          <t>Portland Cement</t>
        </is>
      </c>
      <c r="C127" s="22" t="inlineStr">
        <is>
          <t>tonne</t>
        </is>
      </c>
      <c r="D127" s="23" t="n">
        <v>0.38</v>
      </c>
      <c r="E127" s="24" t="n">
        <v>4940</v>
      </c>
      <c r="F127" s="24">
        <f>D127*E127</f>
        <v/>
      </c>
      <c r="G127" s="22" t="n"/>
    </row>
    <row r="128">
      <c r="A128" s="22" t="inlineStr">
        <is>
          <t>2209</t>
        </is>
      </c>
      <c r="B128" s="11" t="inlineStr">
        <is>
          <t>Carriage of Cement</t>
        </is>
      </c>
      <c r="C128" s="22" t="inlineStr">
        <is>
          <t>tonne</t>
        </is>
      </c>
      <c r="D128" s="23" t="n">
        <v>0.38</v>
      </c>
      <c r="E128" s="24" t="n">
        <v>92.23999999999999</v>
      </c>
      <c r="F128" s="24">
        <f>D128*E128</f>
        <v/>
      </c>
      <c r="G128" s="22" t="n"/>
    </row>
    <row r="129">
      <c r="A129" s="22" t="inlineStr">
        <is>
          <t>0982</t>
        </is>
      </c>
      <c r="B129" s="11" t="inlineStr">
        <is>
          <t>Coarse sand (zone III)</t>
        </is>
      </c>
      <c r="C129" s="22" t="inlineStr">
        <is>
          <t>cum</t>
        </is>
      </c>
      <c r="D129" s="23" t="n">
        <v>1.07</v>
      </c>
      <c r="E129" s="24" t="n">
        <v>1350</v>
      </c>
      <c r="F129" s="24">
        <f>D129*E129</f>
        <v/>
      </c>
      <c r="G129" s="22" t="n"/>
    </row>
    <row r="130">
      <c r="A130" s="22" t="inlineStr">
        <is>
          <t>2203</t>
        </is>
      </c>
      <c r="B130" s="11" t="inlineStr">
        <is>
          <t>Carriage of Coarse sand</t>
        </is>
      </c>
      <c r="C130" s="22" t="inlineStr">
        <is>
          <t>cum</t>
        </is>
      </c>
      <c r="D130" s="23" t="n">
        <v>1.07</v>
      </c>
      <c r="E130" s="24" t="n">
        <v>103.77</v>
      </c>
      <c r="F130" s="24">
        <f>D130*E130</f>
        <v/>
      </c>
      <c r="G130" s="22" t="n"/>
    </row>
    <row r="131">
      <c r="A131" s="22" t="inlineStr">
        <is>
          <t>0114</t>
        </is>
      </c>
      <c r="B131" s="11" t="inlineStr">
        <is>
          <t>Beldar</t>
        </is>
      </c>
      <c r="C131" s="22" t="inlineStr">
        <is>
          <t>day</t>
        </is>
      </c>
      <c r="D131" s="23" t="n">
        <v>0.75</v>
      </c>
      <c r="E131" s="24" t="n">
        <v>558</v>
      </c>
      <c r="F131" s="24">
        <f>D131*E131</f>
        <v/>
      </c>
      <c r="G131" s="22" t="n"/>
    </row>
    <row r="132">
      <c r="A132" s="22" t="inlineStr">
        <is>
          <t>0101</t>
        </is>
      </c>
      <c r="B132" s="11" t="inlineStr">
        <is>
          <t>Bhisti</t>
        </is>
      </c>
      <c r="C132" s="22" t="inlineStr">
        <is>
          <t>day</t>
        </is>
      </c>
      <c r="D132" s="23" t="n">
        <v>0.07000000000000001</v>
      </c>
      <c r="E132" s="24" t="n">
        <v>617</v>
      </c>
      <c r="F132" s="24">
        <f>D132*E132</f>
        <v/>
      </c>
      <c r="G132" s="22" t="n"/>
    </row>
    <row r="133">
      <c r="A133" s="22" t="inlineStr">
        <is>
          <t>9999</t>
        </is>
      </c>
      <c r="B133" s="11" t="inlineStr">
        <is>
          <t>Hire and running charges of mechanical mixer</t>
        </is>
      </c>
      <c r="C133" s="22" t="inlineStr">
        <is>
          <t>L.S.</t>
        </is>
      </c>
      <c r="D133" s="23" t="n">
        <v>26.91</v>
      </c>
      <c r="E133" s="24" t="n">
        <v>2</v>
      </c>
      <c r="F133" s="24">
        <f>D133*E133</f>
        <v/>
      </c>
      <c r="G133" s="22" t="n"/>
    </row>
    <row r="134">
      <c r="A134" s="22" t="inlineStr">
        <is>
          <t>9999</t>
        </is>
      </c>
      <c r="B134" s="11" t="inlineStr">
        <is>
          <t>Sundries</t>
        </is>
      </c>
      <c r="C134" s="22" t="inlineStr">
        <is>
          <t>L.S.</t>
        </is>
      </c>
      <c r="D134" s="23" t="n">
        <v>13.52</v>
      </c>
      <c r="E134" s="24" t="n">
        <v>2</v>
      </c>
      <c r="F134" s="24">
        <f>D134*E134</f>
        <v/>
      </c>
      <c r="G134" s="22" t="n"/>
    </row>
    <row r="135">
      <c r="A135" s="8" t="inlineStr">
        <is>
          <t>Calculated W - SUM of the Amount column above</t>
        </is>
      </c>
      <c r="B135" s="9" t="n"/>
      <c r="C135" s="9" t="n"/>
      <c r="D135" s="9" t="n"/>
      <c r="E135" s="9" t="n"/>
      <c r="F135" s="25">
        <f>SUM(F127:F134)</f>
        <v/>
      </c>
      <c r="G135" s="9" t="n"/>
    </row>
    <row r="136">
      <c r="A136" s="26" t="inlineStr">
        <is>
          <t>W as printed in the DAR</t>
        </is>
      </c>
      <c r="B136" s="22" t="n"/>
      <c r="C136" s="22" t="n"/>
      <c r="D136" s="22" t="n"/>
      <c r="E136" s="22" t="n"/>
      <c r="F136" s="27" t="inlineStr">
        <is>
          <t>not printed</t>
        </is>
      </c>
      <c r="G136" s="28" t="inlineStr">
        <is>
          <t>This item prints no W (rate table or sub-analysis).</t>
        </is>
      </c>
    </row>
    <row r="137">
      <c r="A137" s="29" t="inlineStr">
        <is>
          <t>SAY (Rs.) - final DAR rate as printed (fixed value, not computed)</t>
        </is>
      </c>
      <c r="B137" s="30" t="n"/>
      <c r="C137" s="30" t="n"/>
      <c r="D137" s="30" t="n"/>
      <c r="E137" s="30" t="n"/>
      <c r="F137" s="31" t="n">
        <v>4010.35</v>
      </c>
      <c r="G137" s="30" t="n"/>
    </row>
    <row r="139" ht="18.5" customHeight="1">
      <c r="A139" s="18" t="inlineStr">
        <is>
          <t>3.10</t>
        </is>
      </c>
      <c r="B139" s="19" t="inlineStr">
        <is>
          <t>Cement mortar 1:5 (1 cement : 5 coarse sand).</t>
        </is>
      </c>
      <c r="C139" s="20" t="n"/>
      <c r="D139" s="20" t="n"/>
      <c r="E139" s="20" t="n"/>
      <c r="F139" s="20" t="n"/>
      <c r="G139" s="20" t="n"/>
    </row>
    <row r="140">
      <c r="A140" s="21" t="inlineStr">
        <is>
          <t>Details of cost for 1 cum   |   Source: CivilDAR_2019_Vol_1.pdf, page 147</t>
        </is>
      </c>
    </row>
    <row r="141">
      <c r="A141" s="5" t="inlineStr">
        <is>
          <t>Code</t>
        </is>
      </c>
      <c r="B141" s="5" t="inlineStr">
        <is>
          <t>Description</t>
        </is>
      </c>
      <c r="C141" s="5" t="inlineStr">
        <is>
          <t>Unit</t>
        </is>
      </c>
      <c r="D141" s="5" t="inlineStr">
        <is>
          <t>Quantity</t>
        </is>
      </c>
      <c r="E141" s="5" t="inlineStr">
        <is>
          <t>Rate (Rs.)</t>
        </is>
      </c>
      <c r="F141" s="5" t="inlineStr">
        <is>
          <t>Amount (Rs.)</t>
        </is>
      </c>
      <c r="G141" s="5" t="inlineStr">
        <is>
          <t>Note</t>
        </is>
      </c>
    </row>
    <row r="142">
      <c r="A142" s="22" t="inlineStr">
        <is>
          <t>0367</t>
        </is>
      </c>
      <c r="B142" s="11" t="inlineStr">
        <is>
          <t>Portland Cement</t>
        </is>
      </c>
      <c r="C142" s="22" t="inlineStr">
        <is>
          <t>tonne</t>
        </is>
      </c>
      <c r="D142" s="23" t="n">
        <v>0.31</v>
      </c>
      <c r="E142" s="24" t="n">
        <v>4940</v>
      </c>
      <c r="F142" s="24">
        <f>D142*E142</f>
        <v/>
      </c>
      <c r="G142" s="22" t="n"/>
    </row>
    <row r="143">
      <c r="A143" s="22" t="inlineStr">
        <is>
          <t>2209</t>
        </is>
      </c>
      <c r="B143" s="11" t="inlineStr">
        <is>
          <t>Carriage of Cement</t>
        </is>
      </c>
      <c r="C143" s="22" t="inlineStr">
        <is>
          <t>tonne</t>
        </is>
      </c>
      <c r="D143" s="23" t="n">
        <v>0.31</v>
      </c>
      <c r="E143" s="24" t="n">
        <v>92.23999999999999</v>
      </c>
      <c r="F143" s="24">
        <f>D143*E143</f>
        <v/>
      </c>
      <c r="G143" s="22" t="n"/>
    </row>
    <row r="144">
      <c r="A144" s="22" t="inlineStr">
        <is>
          <t>0982</t>
        </is>
      </c>
      <c r="B144" s="11" t="inlineStr">
        <is>
          <t>Coarse sand (zone III)</t>
        </is>
      </c>
      <c r="C144" s="22" t="inlineStr">
        <is>
          <t>cum</t>
        </is>
      </c>
      <c r="D144" s="23" t="n">
        <v>1.07</v>
      </c>
      <c r="E144" s="24" t="n">
        <v>1350</v>
      </c>
      <c r="F144" s="24">
        <f>D144*E144</f>
        <v/>
      </c>
      <c r="G144" s="22" t="n"/>
    </row>
    <row r="145">
      <c r="A145" s="22" t="inlineStr">
        <is>
          <t>2203</t>
        </is>
      </c>
      <c r="B145" s="11" t="inlineStr">
        <is>
          <t>Carriage of Coarse sand</t>
        </is>
      </c>
      <c r="C145" s="22" t="inlineStr">
        <is>
          <t>cum</t>
        </is>
      </c>
      <c r="D145" s="23" t="n">
        <v>1.07</v>
      </c>
      <c r="E145" s="24" t="n">
        <v>103.77</v>
      </c>
      <c r="F145" s="24">
        <f>D145*E145</f>
        <v/>
      </c>
      <c r="G145" s="22" t="n"/>
    </row>
    <row r="146">
      <c r="A146" s="22" t="inlineStr">
        <is>
          <t>0114</t>
        </is>
      </c>
      <c r="B146" s="11" t="inlineStr">
        <is>
          <t>Beldar</t>
        </is>
      </c>
      <c r="C146" s="22" t="inlineStr">
        <is>
          <t>day</t>
        </is>
      </c>
      <c r="D146" s="23" t="n">
        <v>0.75</v>
      </c>
      <c r="E146" s="24" t="n">
        <v>558</v>
      </c>
      <c r="F146" s="24">
        <f>D146*E146</f>
        <v/>
      </c>
      <c r="G146" s="22" t="n"/>
    </row>
    <row r="147">
      <c r="A147" s="22" t="inlineStr">
        <is>
          <t>0101</t>
        </is>
      </c>
      <c r="B147" s="11" t="inlineStr">
        <is>
          <t>Bhisti</t>
        </is>
      </c>
      <c r="C147" s="22" t="inlineStr">
        <is>
          <t>day</t>
        </is>
      </c>
      <c r="D147" s="23" t="n">
        <v>0.07000000000000001</v>
      </c>
      <c r="E147" s="24" t="n">
        <v>617</v>
      </c>
      <c r="F147" s="24">
        <f>D147*E147</f>
        <v/>
      </c>
      <c r="G147" s="22" t="n"/>
    </row>
    <row r="148">
      <c r="A148" s="22" t="inlineStr">
        <is>
          <t>9999</t>
        </is>
      </c>
      <c r="B148" s="11" t="inlineStr">
        <is>
          <t>Hire and running charges of mechanical mixer</t>
        </is>
      </c>
      <c r="C148" s="22" t="inlineStr">
        <is>
          <t>L.S.</t>
        </is>
      </c>
      <c r="D148" s="23" t="n">
        <v>26.91</v>
      </c>
      <c r="E148" s="24" t="n">
        <v>2</v>
      </c>
      <c r="F148" s="24">
        <f>D148*E148</f>
        <v/>
      </c>
      <c r="G148" s="22" t="n"/>
    </row>
    <row r="149">
      <c r="A149" s="22" t="inlineStr">
        <is>
          <t>9999</t>
        </is>
      </c>
      <c r="B149" s="11" t="inlineStr">
        <is>
          <t>Sundries</t>
        </is>
      </c>
      <c r="C149" s="22" t="inlineStr">
        <is>
          <t>L.S.</t>
        </is>
      </c>
      <c r="D149" s="23" t="n">
        <v>13.52</v>
      </c>
      <c r="E149" s="24" t="n">
        <v>2</v>
      </c>
      <c r="F149" s="24">
        <f>D149*E149</f>
        <v/>
      </c>
      <c r="G149" s="22" t="n"/>
    </row>
    <row r="150">
      <c r="A150" s="8" t="inlineStr">
        <is>
          <t>Calculated W - SUM of the Amount column above</t>
        </is>
      </c>
      <c r="B150" s="9" t="n"/>
      <c r="C150" s="9" t="n"/>
      <c r="D150" s="9" t="n"/>
      <c r="E150" s="9" t="n"/>
      <c r="F150" s="25">
        <f>SUM(F142:F149)</f>
        <v/>
      </c>
      <c r="G150" s="9" t="n"/>
    </row>
    <row r="151">
      <c r="A151" s="26" t="inlineStr">
        <is>
          <t>W as printed in the DAR</t>
        </is>
      </c>
      <c r="B151" s="22" t="n"/>
      <c r="C151" s="22" t="n"/>
      <c r="D151" s="22" t="n"/>
      <c r="E151" s="22" t="n"/>
      <c r="F151" s="27" t="inlineStr">
        <is>
          <t>not printed</t>
        </is>
      </c>
      <c r="G151" s="28" t="inlineStr">
        <is>
          <t>This item prints no W (rate table or sub-analysis).</t>
        </is>
      </c>
    </row>
    <row r="152">
      <c r="A152" s="29" t="inlineStr">
        <is>
          <t>SAY (Rs.) - final DAR rate as printed (fixed value, not computed)</t>
        </is>
      </c>
      <c r="B152" s="30" t="n"/>
      <c r="C152" s="30" t="n"/>
      <c r="D152" s="30" t="n"/>
      <c r="E152" s="30" t="n"/>
      <c r="F152" s="31" t="n">
        <v>3658.1</v>
      </c>
      <c r="G152" s="30" t="n"/>
    </row>
    <row r="154" ht="18.5" customHeight="1">
      <c r="A154" s="18" t="inlineStr">
        <is>
          <t>3.11</t>
        </is>
      </c>
      <c r="B154" s="19" t="inlineStr">
        <is>
          <t>Cement mortar 1:6 (1 cement : 6 coarse sand).</t>
        </is>
      </c>
      <c r="C154" s="20" t="n"/>
      <c r="D154" s="20" t="n"/>
      <c r="E154" s="20" t="n"/>
      <c r="F154" s="20" t="n"/>
      <c r="G154" s="20" t="n"/>
    </row>
    <row r="155">
      <c r="A155" s="21" t="inlineStr">
        <is>
          <t>Details of cost for 1 cum   |   Source: CivilDAR_2019_Vol_1.pdf, page 148</t>
        </is>
      </c>
    </row>
    <row r="156">
      <c r="A156" s="5" t="inlineStr">
        <is>
          <t>Code</t>
        </is>
      </c>
      <c r="B156" s="5" t="inlineStr">
        <is>
          <t>Description</t>
        </is>
      </c>
      <c r="C156" s="5" t="inlineStr">
        <is>
          <t>Unit</t>
        </is>
      </c>
      <c r="D156" s="5" t="inlineStr">
        <is>
          <t>Quantity</t>
        </is>
      </c>
      <c r="E156" s="5" t="inlineStr">
        <is>
          <t>Rate (Rs.)</t>
        </is>
      </c>
      <c r="F156" s="5" t="inlineStr">
        <is>
          <t>Amount (Rs.)</t>
        </is>
      </c>
      <c r="G156" s="5" t="inlineStr">
        <is>
          <t>Note</t>
        </is>
      </c>
    </row>
    <row r="157">
      <c r="A157" s="22" t="inlineStr">
        <is>
          <t>0367</t>
        </is>
      </c>
      <c r="B157" s="11" t="inlineStr">
        <is>
          <t>Portland Cement</t>
        </is>
      </c>
      <c r="C157" s="22" t="inlineStr">
        <is>
          <t>tonne</t>
        </is>
      </c>
      <c r="D157" s="23" t="n">
        <v>0.25</v>
      </c>
      <c r="E157" s="24" t="n">
        <v>4940</v>
      </c>
      <c r="F157" s="24">
        <f>D157*E157</f>
        <v/>
      </c>
      <c r="G157" s="22" t="n"/>
    </row>
    <row r="158">
      <c r="A158" s="22" t="inlineStr">
        <is>
          <t>2209</t>
        </is>
      </c>
      <c r="B158" s="11" t="inlineStr">
        <is>
          <t>Carriage of Cement</t>
        </is>
      </c>
      <c r="C158" s="22" t="inlineStr">
        <is>
          <t>tonne</t>
        </is>
      </c>
      <c r="D158" s="23" t="n">
        <v>0.25</v>
      </c>
      <c r="E158" s="24" t="n">
        <v>92.23999999999999</v>
      </c>
      <c r="F158" s="24">
        <f>D158*E158</f>
        <v/>
      </c>
      <c r="G158" s="22" t="n"/>
    </row>
    <row r="159">
      <c r="A159" s="22" t="inlineStr">
        <is>
          <t>0982</t>
        </is>
      </c>
      <c r="B159" s="11" t="inlineStr">
        <is>
          <t>Coarse sand (zone III)</t>
        </is>
      </c>
      <c r="C159" s="22" t="inlineStr">
        <is>
          <t>cum</t>
        </is>
      </c>
      <c r="D159" s="23" t="n">
        <v>1.07</v>
      </c>
      <c r="E159" s="24" t="n">
        <v>1350</v>
      </c>
      <c r="F159" s="24">
        <f>D159*E159</f>
        <v/>
      </c>
      <c r="G159" s="22" t="n"/>
    </row>
    <row r="160">
      <c r="A160" s="22" t="inlineStr">
        <is>
          <t>2203</t>
        </is>
      </c>
      <c r="B160" s="11" t="inlineStr">
        <is>
          <t>Carriage of Coarse sand</t>
        </is>
      </c>
      <c r="C160" s="22" t="inlineStr">
        <is>
          <t>cum</t>
        </is>
      </c>
      <c r="D160" s="23" t="n">
        <v>1.07</v>
      </c>
      <c r="E160" s="24" t="n">
        <v>103.77</v>
      </c>
      <c r="F160" s="24">
        <f>D160*E160</f>
        <v/>
      </c>
      <c r="G160" s="22" t="n"/>
    </row>
    <row r="161">
      <c r="A161" s="22" t="inlineStr">
        <is>
          <t>0114</t>
        </is>
      </c>
      <c r="B161" s="11" t="inlineStr">
        <is>
          <t>Beldar</t>
        </is>
      </c>
      <c r="C161" s="22" t="inlineStr">
        <is>
          <t>day</t>
        </is>
      </c>
      <c r="D161" s="23" t="n">
        <v>0.75</v>
      </c>
      <c r="E161" s="24" t="n">
        <v>558</v>
      </c>
      <c r="F161" s="24">
        <f>D161*E161</f>
        <v/>
      </c>
      <c r="G161" s="22" t="n"/>
    </row>
    <row r="162">
      <c r="A162" s="22" t="inlineStr">
        <is>
          <t>0101</t>
        </is>
      </c>
      <c r="B162" s="11" t="inlineStr">
        <is>
          <t>Bhisti</t>
        </is>
      </c>
      <c r="C162" s="22" t="inlineStr">
        <is>
          <t>day</t>
        </is>
      </c>
      <c r="D162" s="23" t="n">
        <v>0.07000000000000001</v>
      </c>
      <c r="E162" s="24" t="n">
        <v>617</v>
      </c>
      <c r="F162" s="24">
        <f>D162*E162</f>
        <v/>
      </c>
      <c r="G162" s="22" t="n"/>
    </row>
    <row r="163">
      <c r="A163" s="22" t="inlineStr">
        <is>
          <t>9999</t>
        </is>
      </c>
      <c r="B163" s="11" t="inlineStr">
        <is>
          <t>Hire and running charges of mechanical mixer</t>
        </is>
      </c>
      <c r="C163" s="22" t="inlineStr">
        <is>
          <t>L.S.</t>
        </is>
      </c>
      <c r="D163" s="23" t="n">
        <v>26.91</v>
      </c>
      <c r="E163" s="24" t="n">
        <v>2</v>
      </c>
      <c r="F163" s="24">
        <f>D163*E163</f>
        <v/>
      </c>
      <c r="G163" s="22" t="n"/>
    </row>
    <row r="164">
      <c r="A164" s="22" t="inlineStr">
        <is>
          <t>9999</t>
        </is>
      </c>
      <c r="B164" s="11" t="inlineStr">
        <is>
          <t>Sundries</t>
        </is>
      </c>
      <c r="C164" s="22" t="inlineStr">
        <is>
          <t>L.S.</t>
        </is>
      </c>
      <c r="D164" s="23" t="n">
        <v>13.52</v>
      </c>
      <c r="E164" s="24" t="n">
        <v>2</v>
      </c>
      <c r="F164" s="24">
        <f>D164*E164</f>
        <v/>
      </c>
      <c r="G164" s="22" t="n"/>
    </row>
    <row r="165">
      <c r="A165" s="8" t="inlineStr">
        <is>
          <t>Calculated W - SUM of the Amount column above</t>
        </is>
      </c>
      <c r="B165" s="9" t="n"/>
      <c r="C165" s="9" t="n"/>
      <c r="D165" s="9" t="n"/>
      <c r="E165" s="9" t="n"/>
      <c r="F165" s="25">
        <f>SUM(F157:F164)</f>
        <v/>
      </c>
      <c r="G165" s="9" t="n"/>
    </row>
    <row r="166">
      <c r="A166" s="26" t="inlineStr">
        <is>
          <t>W as printed in the DAR</t>
        </is>
      </c>
      <c r="B166" s="22" t="n"/>
      <c r="C166" s="22" t="n"/>
      <c r="D166" s="22" t="n"/>
      <c r="E166" s="22" t="n"/>
      <c r="F166" s="27" t="inlineStr">
        <is>
          <t>not printed</t>
        </is>
      </c>
      <c r="G166" s="28" t="inlineStr">
        <is>
          <t>This item prints no W (rate table or sub-analysis).</t>
        </is>
      </c>
    </row>
    <row r="167">
      <c r="A167" s="29" t="inlineStr">
        <is>
          <t>SAY (Rs.) - final DAR rate as printed (fixed value, not computed)</t>
        </is>
      </c>
      <c r="B167" s="30" t="n"/>
      <c r="C167" s="30" t="n"/>
      <c r="D167" s="30" t="n"/>
      <c r="E167" s="30" t="n"/>
      <c r="F167" s="31" t="n">
        <v>3356.15</v>
      </c>
      <c r="G167" s="30" t="n"/>
    </row>
    <row r="169" ht="18.5" customHeight="1">
      <c r="A169" s="18" t="inlineStr">
        <is>
          <t>3.12</t>
        </is>
      </c>
      <c r="B169" s="19" t="inlineStr">
        <is>
          <t>Cement mortar 1:2 (1 cement : 2 stone dust).</t>
        </is>
      </c>
      <c r="C169" s="20" t="n"/>
      <c r="D169" s="20" t="n"/>
      <c r="E169" s="20" t="n"/>
      <c r="F169" s="20" t="n"/>
      <c r="G169" s="20" t="n"/>
    </row>
    <row r="170">
      <c r="A170" s="21" t="inlineStr">
        <is>
          <t>Details of cost for 1 cum   |   Source: CivilDAR_2019_Vol_1.pdf, page 148</t>
        </is>
      </c>
    </row>
    <row r="171">
      <c r="A171" s="5" t="inlineStr">
        <is>
          <t>Code</t>
        </is>
      </c>
      <c r="B171" s="5" t="inlineStr">
        <is>
          <t>Description</t>
        </is>
      </c>
      <c r="C171" s="5" t="inlineStr">
        <is>
          <t>Unit</t>
        </is>
      </c>
      <c r="D171" s="5" t="inlineStr">
        <is>
          <t>Quantity</t>
        </is>
      </c>
      <c r="E171" s="5" t="inlineStr">
        <is>
          <t>Rate (Rs.)</t>
        </is>
      </c>
      <c r="F171" s="5" t="inlineStr">
        <is>
          <t>Amount (Rs.)</t>
        </is>
      </c>
      <c r="G171" s="5" t="inlineStr">
        <is>
          <t>Note</t>
        </is>
      </c>
    </row>
    <row r="172">
      <c r="A172" s="22" t="inlineStr">
        <is>
          <t>0367</t>
        </is>
      </c>
      <c r="B172" s="11" t="inlineStr">
        <is>
          <t>Portland Cement</t>
        </is>
      </c>
      <c r="C172" s="22" t="inlineStr">
        <is>
          <t>tonne</t>
        </is>
      </c>
      <c r="D172" s="23" t="n">
        <v>0.68</v>
      </c>
      <c r="E172" s="24" t="n">
        <v>4940</v>
      </c>
      <c r="F172" s="24">
        <f>D172*E172</f>
        <v/>
      </c>
      <c r="G172" s="22" t="n"/>
    </row>
    <row r="173">
      <c r="A173" s="22" t="inlineStr">
        <is>
          <t>2209</t>
        </is>
      </c>
      <c r="B173" s="11" t="inlineStr">
        <is>
          <t>Carriage of Cement</t>
        </is>
      </c>
      <c r="C173" s="22" t="inlineStr">
        <is>
          <t>tonne</t>
        </is>
      </c>
      <c r="D173" s="23" t="n">
        <v>0.68</v>
      </c>
      <c r="E173" s="24" t="n">
        <v>92.23999999999999</v>
      </c>
      <c r="F173" s="24">
        <f>D173*E173</f>
        <v/>
      </c>
      <c r="G173" s="22" t="n"/>
    </row>
    <row r="174">
      <c r="A174" s="22" t="inlineStr">
        <is>
          <t>1159</t>
        </is>
      </c>
      <c r="B174" s="11" t="inlineStr">
        <is>
          <t>Stone dust</t>
        </is>
      </c>
      <c r="C174" s="22" t="inlineStr">
        <is>
          <t>cum</t>
        </is>
      </c>
      <c r="D174" s="23" t="n">
        <v>0.95</v>
      </c>
      <c r="E174" s="24" t="n">
        <v>1100</v>
      </c>
      <c r="F174" s="24">
        <f>D174*E174</f>
        <v/>
      </c>
      <c r="G174" s="22" t="n"/>
    </row>
    <row r="175">
      <c r="A175" s="22" t="inlineStr">
        <is>
          <t>2267</t>
        </is>
      </c>
      <c r="B175" s="11" t="inlineStr">
        <is>
          <t>Carriage of Stone dust</t>
        </is>
      </c>
      <c r="C175" s="22" t="inlineStr">
        <is>
          <t>cum</t>
        </is>
      </c>
      <c r="D175" s="23" t="n">
        <v>0.95</v>
      </c>
      <c r="E175" s="24" t="n">
        <v>103.77</v>
      </c>
      <c r="F175" s="24">
        <f>D175*E175</f>
        <v/>
      </c>
      <c r="G175" s="22" t="n"/>
    </row>
    <row r="176">
      <c r="A176" s="22" t="inlineStr">
        <is>
          <t>0114</t>
        </is>
      </c>
      <c r="B176" s="11" t="inlineStr">
        <is>
          <t>Beldar</t>
        </is>
      </c>
      <c r="C176" s="22" t="inlineStr">
        <is>
          <t>day</t>
        </is>
      </c>
      <c r="D176" s="23" t="n">
        <v>0.75</v>
      </c>
      <c r="E176" s="24" t="n">
        <v>558</v>
      </c>
      <c r="F176" s="24">
        <f>D176*E176</f>
        <v/>
      </c>
      <c r="G176" s="22" t="n"/>
    </row>
    <row r="177">
      <c r="A177" s="22" t="inlineStr">
        <is>
          <t>0101</t>
        </is>
      </c>
      <c r="B177" s="11" t="inlineStr">
        <is>
          <t>Bhisti</t>
        </is>
      </c>
      <c r="C177" s="22" t="inlineStr">
        <is>
          <t>day</t>
        </is>
      </c>
      <c r="D177" s="23" t="n">
        <v>0.07000000000000001</v>
      </c>
      <c r="E177" s="24" t="n">
        <v>617</v>
      </c>
      <c r="F177" s="24">
        <f>D177*E177</f>
        <v/>
      </c>
      <c r="G177" s="22" t="n"/>
    </row>
    <row r="178">
      <c r="A178" s="22" t="inlineStr">
        <is>
          <t>9999</t>
        </is>
      </c>
      <c r="B178" s="11" t="inlineStr">
        <is>
          <t>Hire and running charges of mechanical mixer</t>
        </is>
      </c>
      <c r="C178" s="22" t="inlineStr">
        <is>
          <t>L.S.</t>
        </is>
      </c>
      <c r="D178" s="23" t="n">
        <v>26.91</v>
      </c>
      <c r="E178" s="24" t="n">
        <v>2</v>
      </c>
      <c r="F178" s="24">
        <f>D178*E178</f>
        <v/>
      </c>
      <c r="G178" s="22" t="n"/>
    </row>
    <row r="179">
      <c r="A179" s="22" t="inlineStr">
        <is>
          <t>9999</t>
        </is>
      </c>
      <c r="B179" s="11" t="inlineStr">
        <is>
          <t>Sundries</t>
        </is>
      </c>
      <c r="C179" s="22" t="inlineStr">
        <is>
          <t>L.S.</t>
        </is>
      </c>
      <c r="D179" s="23" t="n">
        <v>13.52</v>
      </c>
      <c r="E179" s="24" t="n">
        <v>2</v>
      </c>
      <c r="F179" s="24">
        <f>D179*E179</f>
        <v/>
      </c>
      <c r="G179" s="22" t="n"/>
    </row>
    <row r="180">
      <c r="A180" s="8" t="inlineStr">
        <is>
          <t>Calculated W - SUM of the Amount column above</t>
        </is>
      </c>
      <c r="B180" s="9" t="n"/>
      <c r="C180" s="9" t="n"/>
      <c r="D180" s="9" t="n"/>
      <c r="E180" s="9" t="n"/>
      <c r="F180" s="25">
        <f>SUM(F172:F179)</f>
        <v/>
      </c>
      <c r="G180" s="9" t="n"/>
    </row>
    <row r="181">
      <c r="A181" s="26" t="inlineStr">
        <is>
          <t>W as printed in the DAR</t>
        </is>
      </c>
      <c r="B181" s="22" t="n"/>
      <c r="C181" s="22" t="n"/>
      <c r="D181" s="22" t="n"/>
      <c r="E181" s="22" t="n"/>
      <c r="F181" s="27" t="inlineStr">
        <is>
          <t>not printed</t>
        </is>
      </c>
      <c r="G181" s="28" t="inlineStr">
        <is>
          <t>This item prints no W (rate table or sub-analysis).</t>
        </is>
      </c>
    </row>
    <row r="182">
      <c r="A182" s="29" t="inlineStr">
        <is>
          <t>SAY (Rs.) - final DAR rate as printed (fixed value, not computed)</t>
        </is>
      </c>
      <c r="B182" s="30" t="n"/>
      <c r="C182" s="30" t="n"/>
      <c r="D182" s="30" t="n"/>
      <c r="E182" s="30" t="n"/>
      <c r="F182" s="31" t="n">
        <v>5108.05</v>
      </c>
      <c r="G182" s="30" t="n"/>
    </row>
    <row r="184" ht="18.5" customHeight="1">
      <c r="A184" s="18" t="inlineStr">
        <is>
          <t>3.13</t>
        </is>
      </c>
      <c r="B184" s="19" t="inlineStr">
        <is>
          <t>Cement mortar 1:2 (1 cement : 2 marble dust).</t>
        </is>
      </c>
      <c r="C184" s="20" t="n"/>
      <c r="D184" s="20" t="n"/>
      <c r="E184" s="20" t="n"/>
      <c r="F184" s="20" t="n"/>
      <c r="G184" s="20" t="n"/>
    </row>
    <row r="185">
      <c r="A185" s="21" t="inlineStr">
        <is>
          <t>Details of cost for 1 cum   |   Source: CivilDAR_2019_Vol_1.pdf, page 149</t>
        </is>
      </c>
    </row>
    <row r="186">
      <c r="A186" s="5" t="inlineStr">
        <is>
          <t>Code</t>
        </is>
      </c>
      <c r="B186" s="5" t="inlineStr">
        <is>
          <t>Description</t>
        </is>
      </c>
      <c r="C186" s="5" t="inlineStr">
        <is>
          <t>Unit</t>
        </is>
      </c>
      <c r="D186" s="5" t="inlineStr">
        <is>
          <t>Quantity</t>
        </is>
      </c>
      <c r="E186" s="5" t="inlineStr">
        <is>
          <t>Rate (Rs.)</t>
        </is>
      </c>
      <c r="F186" s="5" t="inlineStr">
        <is>
          <t>Amount (Rs.)</t>
        </is>
      </c>
      <c r="G186" s="5" t="inlineStr">
        <is>
          <t>Note</t>
        </is>
      </c>
    </row>
    <row r="187">
      <c r="A187" s="22" t="inlineStr">
        <is>
          <t>0367</t>
        </is>
      </c>
      <c r="B187" s="11" t="inlineStr">
        <is>
          <t>Portland Cement</t>
        </is>
      </c>
      <c r="C187" s="22" t="inlineStr">
        <is>
          <t>tonne</t>
        </is>
      </c>
      <c r="D187" s="23" t="n">
        <v>0.68</v>
      </c>
      <c r="E187" s="24" t="n">
        <v>4940</v>
      </c>
      <c r="F187" s="24">
        <f>D187*E187</f>
        <v/>
      </c>
      <c r="G187" s="22" t="n"/>
    </row>
    <row r="188">
      <c r="A188" s="22" t="inlineStr">
        <is>
          <t>2209</t>
        </is>
      </c>
      <c r="B188" s="11" t="inlineStr">
        <is>
          <t>Carriage of Cement</t>
        </is>
      </c>
      <c r="C188" s="22" t="inlineStr">
        <is>
          <t>tonne</t>
        </is>
      </c>
      <c r="D188" s="23" t="n">
        <v>0.68</v>
      </c>
      <c r="E188" s="24" t="n">
        <v>92.23999999999999</v>
      </c>
      <c r="F188" s="24">
        <f>D188*E188</f>
        <v/>
      </c>
      <c r="G188" s="22" t="n"/>
    </row>
    <row r="189">
      <c r="A189" s="22" t="inlineStr">
        <is>
          <t>0784</t>
        </is>
      </c>
      <c r="B189" s="11" t="inlineStr">
        <is>
          <t>Marble dust/ powder</t>
        </is>
      </c>
      <c r="C189" s="22" t="inlineStr">
        <is>
          <t>cum</t>
        </is>
      </c>
      <c r="D189" s="23" t="n">
        <v>0.95</v>
      </c>
      <c r="E189" s="24" t="n">
        <v>1130</v>
      </c>
      <c r="F189" s="24">
        <f>D189*E189</f>
        <v/>
      </c>
      <c r="G189" s="22" t="n"/>
    </row>
    <row r="190">
      <c r="A190" s="22" t="inlineStr">
        <is>
          <t>2268</t>
        </is>
      </c>
      <c r="B190" s="11" t="inlineStr">
        <is>
          <t>Carriage of Marble dust and marble chips</t>
        </is>
      </c>
      <c r="C190" s="22" t="inlineStr">
        <is>
          <t>cum</t>
        </is>
      </c>
      <c r="D190" s="23" t="n">
        <v>0.95</v>
      </c>
      <c r="E190" s="24" t="n">
        <v>103.77</v>
      </c>
      <c r="F190" s="24">
        <f>D190*E190</f>
        <v/>
      </c>
      <c r="G190" s="22" t="n"/>
    </row>
    <row r="191">
      <c r="A191" s="22" t="inlineStr">
        <is>
          <t>0114</t>
        </is>
      </c>
      <c r="B191" s="11" t="inlineStr">
        <is>
          <t>Beldar</t>
        </is>
      </c>
      <c r="C191" s="22" t="inlineStr">
        <is>
          <t>day</t>
        </is>
      </c>
      <c r="D191" s="23" t="n">
        <v>0.75</v>
      </c>
      <c r="E191" s="24" t="n">
        <v>558</v>
      </c>
      <c r="F191" s="24">
        <f>D191*E191</f>
        <v/>
      </c>
      <c r="G191" s="22" t="n"/>
    </row>
    <row r="192">
      <c r="A192" s="22" t="inlineStr">
        <is>
          <t>0101</t>
        </is>
      </c>
      <c r="B192" s="11" t="inlineStr">
        <is>
          <t>Bhisti</t>
        </is>
      </c>
      <c r="C192" s="22" t="inlineStr">
        <is>
          <t>day</t>
        </is>
      </c>
      <c r="D192" s="23" t="n">
        <v>0.07000000000000001</v>
      </c>
      <c r="E192" s="24" t="n">
        <v>617</v>
      </c>
      <c r="F192" s="24">
        <f>D192*E192</f>
        <v/>
      </c>
      <c r="G192" s="22" t="n"/>
    </row>
    <row r="193">
      <c r="A193" s="22" t="inlineStr">
        <is>
          <t>9999</t>
        </is>
      </c>
      <c r="B193" s="11" t="inlineStr">
        <is>
          <t>Hire and running charges of mechanical mixer</t>
        </is>
      </c>
      <c r="C193" s="22" t="inlineStr">
        <is>
          <t>L.S.</t>
        </is>
      </c>
      <c r="D193" s="23" t="n">
        <v>26.91</v>
      </c>
      <c r="E193" s="24" t="n">
        <v>2</v>
      </c>
      <c r="F193" s="24">
        <f>D193*E193</f>
        <v/>
      </c>
      <c r="G193" s="22" t="n"/>
    </row>
    <row r="194">
      <c r="A194" s="22" t="inlineStr">
        <is>
          <t>9999</t>
        </is>
      </c>
      <c r="B194" s="11" t="inlineStr">
        <is>
          <t>Sundries</t>
        </is>
      </c>
      <c r="C194" s="22" t="inlineStr">
        <is>
          <t>L.S.</t>
        </is>
      </c>
      <c r="D194" s="23" t="n">
        <v>13.52</v>
      </c>
      <c r="E194" s="24" t="n">
        <v>2</v>
      </c>
      <c r="F194" s="24">
        <f>D194*E194</f>
        <v/>
      </c>
      <c r="G194" s="22" t="n"/>
    </row>
    <row r="195">
      <c r="A195" s="8" t="inlineStr">
        <is>
          <t>Calculated W - SUM of the Amount column above</t>
        </is>
      </c>
      <c r="B195" s="9" t="n"/>
      <c r="C195" s="9" t="n"/>
      <c r="D195" s="9" t="n"/>
      <c r="E195" s="9" t="n"/>
      <c r="F195" s="25">
        <f>SUM(F187:F194)</f>
        <v/>
      </c>
      <c r="G195" s="9" t="n"/>
    </row>
    <row r="196">
      <c r="A196" s="26" t="inlineStr">
        <is>
          <t>W as printed in the DAR</t>
        </is>
      </c>
      <c r="B196" s="22" t="n"/>
      <c r="C196" s="22" t="n"/>
      <c r="D196" s="22" t="n"/>
      <c r="E196" s="22" t="n"/>
      <c r="F196" s="27" t="inlineStr">
        <is>
          <t>not printed</t>
        </is>
      </c>
      <c r="G196" s="28" t="inlineStr">
        <is>
          <t>This item prints no W (rate table or sub-analysis).</t>
        </is>
      </c>
    </row>
    <row r="197">
      <c r="A197" s="29" t="inlineStr">
        <is>
          <t>SAY (Rs.) - final DAR rate as printed (fixed value, not computed)</t>
        </is>
      </c>
      <c r="B197" s="30" t="n"/>
      <c r="C197" s="30" t="n"/>
      <c r="D197" s="30" t="n"/>
      <c r="E197" s="30" t="n"/>
      <c r="F197" s="31" t="n">
        <v>5136.55</v>
      </c>
      <c r="G197" s="30" t="n"/>
    </row>
    <row r="199" ht="18.5" customHeight="1">
      <c r="A199" s="18" t="inlineStr">
        <is>
          <t>3.14</t>
        </is>
      </c>
      <c r="B199" s="19" t="inlineStr">
        <is>
          <t>Cement mortar 1:5 (1 cement : 5 marble dust).</t>
        </is>
      </c>
      <c r="C199" s="20" t="n"/>
      <c r="D199" s="20" t="n"/>
      <c r="E199" s="20" t="n"/>
      <c r="F199" s="20" t="n"/>
      <c r="G199" s="20" t="n"/>
    </row>
    <row r="200">
      <c r="A200" s="21" t="inlineStr">
        <is>
          <t>Details of cost for 1 cum   |   Source: CivilDAR_2019_Vol_1.pdf, page 149</t>
        </is>
      </c>
    </row>
    <row r="201">
      <c r="A201" s="5" t="inlineStr">
        <is>
          <t>Code</t>
        </is>
      </c>
      <c r="B201" s="5" t="inlineStr">
        <is>
          <t>Description</t>
        </is>
      </c>
      <c r="C201" s="5" t="inlineStr">
        <is>
          <t>Unit</t>
        </is>
      </c>
      <c r="D201" s="5" t="inlineStr">
        <is>
          <t>Quantity</t>
        </is>
      </c>
      <c r="E201" s="5" t="inlineStr">
        <is>
          <t>Rate (Rs.)</t>
        </is>
      </c>
      <c r="F201" s="5" t="inlineStr">
        <is>
          <t>Amount (Rs.)</t>
        </is>
      </c>
      <c r="G201" s="5" t="inlineStr">
        <is>
          <t>Note</t>
        </is>
      </c>
    </row>
    <row r="202">
      <c r="A202" s="22" t="inlineStr">
        <is>
          <t>0367</t>
        </is>
      </c>
      <c r="B202" s="11" t="inlineStr">
        <is>
          <t>Portland Cement</t>
        </is>
      </c>
      <c r="C202" s="22" t="inlineStr">
        <is>
          <t>tonne</t>
        </is>
      </c>
      <c r="D202" s="23" t="n">
        <v>0.31</v>
      </c>
      <c r="E202" s="24" t="n">
        <v>4940</v>
      </c>
      <c r="F202" s="24">
        <f>D202*E202</f>
        <v/>
      </c>
      <c r="G202" s="22" t="n"/>
    </row>
    <row r="203">
      <c r="A203" s="22" t="inlineStr">
        <is>
          <t>2209</t>
        </is>
      </c>
      <c r="B203" s="11" t="inlineStr">
        <is>
          <t>Carriage of Cement</t>
        </is>
      </c>
      <c r="C203" s="22" t="inlineStr">
        <is>
          <t>tonne</t>
        </is>
      </c>
      <c r="D203" s="23" t="n">
        <v>0.31</v>
      </c>
      <c r="E203" s="24" t="n">
        <v>92.23999999999999</v>
      </c>
      <c r="F203" s="24">
        <f>D203*E203</f>
        <v/>
      </c>
      <c r="G203" s="22" t="n"/>
    </row>
    <row r="204">
      <c r="A204" s="22" t="inlineStr">
        <is>
          <t>0784</t>
        </is>
      </c>
      <c r="B204" s="11" t="inlineStr">
        <is>
          <t>Marble dust/ powder</t>
        </is>
      </c>
      <c r="C204" s="22" t="inlineStr">
        <is>
          <t>cum</t>
        </is>
      </c>
      <c r="D204" s="23" t="n">
        <v>1.07</v>
      </c>
      <c r="E204" s="24" t="n">
        <v>1130</v>
      </c>
      <c r="F204" s="24">
        <f>D204*E204</f>
        <v/>
      </c>
      <c r="G204" s="22" t="n"/>
    </row>
    <row r="205">
      <c r="A205" s="22" t="inlineStr">
        <is>
          <t>2268</t>
        </is>
      </c>
      <c r="B205" s="11" t="inlineStr">
        <is>
          <t>Carriage of Marble dust and marble chips</t>
        </is>
      </c>
      <c r="C205" s="22" t="inlineStr">
        <is>
          <t>cum</t>
        </is>
      </c>
      <c r="D205" s="23" t="n">
        <v>1.07</v>
      </c>
      <c r="E205" s="24" t="n">
        <v>103.77</v>
      </c>
      <c r="F205" s="24">
        <f>D205*E205</f>
        <v/>
      </c>
      <c r="G205" s="22" t="n"/>
    </row>
    <row r="206">
      <c r="A206" s="22" t="inlineStr">
        <is>
          <t>0114</t>
        </is>
      </c>
      <c r="B206" s="11" t="inlineStr">
        <is>
          <t>Beldar</t>
        </is>
      </c>
      <c r="C206" s="22" t="inlineStr">
        <is>
          <t>day</t>
        </is>
      </c>
      <c r="D206" s="23" t="n">
        <v>0.75</v>
      </c>
      <c r="E206" s="24" t="n">
        <v>558</v>
      </c>
      <c r="F206" s="24">
        <f>D206*E206</f>
        <v/>
      </c>
      <c r="G206" s="22" t="n"/>
    </row>
    <row r="207">
      <c r="A207" s="22" t="inlineStr">
        <is>
          <t>0101</t>
        </is>
      </c>
      <c r="B207" s="11" t="inlineStr">
        <is>
          <t>Bhisti</t>
        </is>
      </c>
      <c r="C207" s="22" t="inlineStr">
        <is>
          <t>day</t>
        </is>
      </c>
      <c r="D207" s="23" t="n">
        <v>0.07000000000000001</v>
      </c>
      <c r="E207" s="24" t="n">
        <v>617</v>
      </c>
      <c r="F207" s="24">
        <f>D207*E207</f>
        <v/>
      </c>
      <c r="G207" s="22" t="n"/>
    </row>
    <row r="208">
      <c r="A208" s="22" t="inlineStr">
        <is>
          <t>9999</t>
        </is>
      </c>
      <c r="B208" s="11" t="inlineStr">
        <is>
          <t>Hire and running charges of mechanical mixer</t>
        </is>
      </c>
      <c r="C208" s="22" t="inlineStr">
        <is>
          <t>L.S.</t>
        </is>
      </c>
      <c r="D208" s="23" t="n">
        <v>26.91</v>
      </c>
      <c r="E208" s="24" t="n">
        <v>2</v>
      </c>
      <c r="F208" s="24">
        <f>D208*E208</f>
        <v/>
      </c>
      <c r="G208" s="22" t="n"/>
    </row>
    <row r="209">
      <c r="A209" s="22" t="inlineStr">
        <is>
          <t>9999</t>
        </is>
      </c>
      <c r="B209" s="11" t="inlineStr">
        <is>
          <t>Sundries</t>
        </is>
      </c>
      <c r="C209" s="22" t="inlineStr">
        <is>
          <t>L.S.</t>
        </is>
      </c>
      <c r="D209" s="23" t="n">
        <v>13.52</v>
      </c>
      <c r="E209" s="24" t="n">
        <v>2</v>
      </c>
      <c r="F209" s="24">
        <f>D209*E209</f>
        <v/>
      </c>
      <c r="G209" s="22" t="n"/>
    </row>
    <row r="210">
      <c r="A210" s="8" t="inlineStr">
        <is>
          <t>Calculated W - SUM of the Amount column above</t>
        </is>
      </c>
      <c r="B210" s="9" t="n"/>
      <c r="C210" s="9" t="n"/>
      <c r="D210" s="9" t="n"/>
      <c r="E210" s="9" t="n"/>
      <c r="F210" s="25">
        <f>SUM(F202:F209)</f>
        <v/>
      </c>
      <c r="G210" s="9" t="n"/>
    </row>
    <row r="211">
      <c r="A211" s="26" t="inlineStr">
        <is>
          <t>W as printed in the DAR</t>
        </is>
      </c>
      <c r="B211" s="22" t="n"/>
      <c r="C211" s="22" t="n"/>
      <c r="D211" s="22" t="n"/>
      <c r="E211" s="22" t="n"/>
      <c r="F211" s="27" t="inlineStr">
        <is>
          <t>not printed</t>
        </is>
      </c>
      <c r="G211" s="28" t="inlineStr">
        <is>
          <t>This item prints no W (rate table or sub-analysis).</t>
        </is>
      </c>
    </row>
    <row r="212">
      <c r="A212" s="29" t="inlineStr">
        <is>
          <t>SAY (Rs.) - final DAR rate as printed (fixed value, not computed)</t>
        </is>
      </c>
      <c r="B212" s="30" t="n"/>
      <c r="C212" s="30" t="n"/>
      <c r="D212" s="30" t="n"/>
      <c r="E212" s="30" t="n"/>
      <c r="F212" s="31" t="n">
        <v>3422.7</v>
      </c>
      <c r="G212" s="30" t="n"/>
    </row>
    <row r="214" ht="18.5" customHeight="1">
      <c r="A214" s="18" t="inlineStr">
        <is>
          <t>3.15</t>
        </is>
      </c>
      <c r="B214" s="19" t="inlineStr">
        <is>
          <t>White cement mortar 1:2 (1 white cement : 2 marble dust).</t>
        </is>
      </c>
      <c r="C214" s="20" t="n"/>
      <c r="D214" s="20" t="n"/>
      <c r="E214" s="20" t="n"/>
      <c r="F214" s="20" t="n"/>
      <c r="G214" s="20" t="n"/>
    </row>
    <row r="215">
      <c r="A215" s="21" t="inlineStr">
        <is>
          <t>Details of cost for 1 cum   |   Source: CivilDAR_2019_Vol_1.pdf, page 150</t>
        </is>
      </c>
    </row>
    <row r="216">
      <c r="A216" s="5" t="inlineStr">
        <is>
          <t>Code</t>
        </is>
      </c>
      <c r="B216" s="5" t="inlineStr">
        <is>
          <t>Description</t>
        </is>
      </c>
      <c r="C216" s="5" t="inlineStr">
        <is>
          <t>Unit</t>
        </is>
      </c>
      <c r="D216" s="5" t="inlineStr">
        <is>
          <t>Quantity</t>
        </is>
      </c>
      <c r="E216" s="5" t="inlineStr">
        <is>
          <t>Rate (Rs.)</t>
        </is>
      </c>
      <c r="F216" s="5" t="inlineStr">
        <is>
          <t>Amount (Rs.)</t>
        </is>
      </c>
      <c r="G216" s="5" t="inlineStr">
        <is>
          <t>Note</t>
        </is>
      </c>
    </row>
    <row r="217">
      <c r="A217" s="22" t="inlineStr">
        <is>
          <t>0368</t>
        </is>
      </c>
      <c r="B217" s="11" t="inlineStr">
        <is>
          <t>White Cement</t>
        </is>
      </c>
      <c r="C217" s="22" t="inlineStr">
        <is>
          <t>tonne</t>
        </is>
      </c>
      <c r="D217" s="23" t="n">
        <v>0.68</v>
      </c>
      <c r="E217" s="24" t="n">
        <v>11200</v>
      </c>
      <c r="F217" s="24">
        <f>D217*E217</f>
        <v/>
      </c>
      <c r="G217" s="22" t="n"/>
    </row>
    <row r="218">
      <c r="A218" s="22" t="inlineStr">
        <is>
          <t>2209</t>
        </is>
      </c>
      <c r="B218" s="11" t="inlineStr">
        <is>
          <t>Carriage of Cement</t>
        </is>
      </c>
      <c r="C218" s="22" t="inlineStr">
        <is>
          <t>tonne</t>
        </is>
      </c>
      <c r="D218" s="23" t="n">
        <v>0.68</v>
      </c>
      <c r="E218" s="24" t="n">
        <v>92.23999999999999</v>
      </c>
      <c r="F218" s="24">
        <f>D218*E218</f>
        <v/>
      </c>
      <c r="G218" s="22" t="n"/>
    </row>
    <row r="219">
      <c r="A219" s="22" t="inlineStr">
        <is>
          <t>0784</t>
        </is>
      </c>
      <c r="B219" s="11" t="inlineStr">
        <is>
          <t>Marble dust/ powder</t>
        </is>
      </c>
      <c r="C219" s="22" t="inlineStr">
        <is>
          <t>cum</t>
        </is>
      </c>
      <c r="D219" s="23" t="n">
        <v>0.95</v>
      </c>
      <c r="E219" s="24" t="n">
        <v>1130</v>
      </c>
      <c r="F219" s="24">
        <f>D219*E219</f>
        <v/>
      </c>
      <c r="G219" s="22" t="n"/>
    </row>
    <row r="220">
      <c r="A220" s="22" t="inlineStr">
        <is>
          <t>2268</t>
        </is>
      </c>
      <c r="B220" s="11" t="inlineStr">
        <is>
          <t>Carriage of Marble dust and marble chips</t>
        </is>
      </c>
      <c r="C220" s="22" t="inlineStr">
        <is>
          <t>cum</t>
        </is>
      </c>
      <c r="D220" s="23" t="n">
        <v>0.95</v>
      </c>
      <c r="E220" s="24" t="n">
        <v>103.77</v>
      </c>
      <c r="F220" s="24">
        <f>D220*E220</f>
        <v/>
      </c>
      <c r="G220" s="22" t="n"/>
    </row>
    <row r="221">
      <c r="A221" s="22" t="inlineStr">
        <is>
          <t>0114</t>
        </is>
      </c>
      <c r="B221" s="11" t="inlineStr">
        <is>
          <t>Beldar</t>
        </is>
      </c>
      <c r="C221" s="22" t="inlineStr">
        <is>
          <t>day</t>
        </is>
      </c>
      <c r="D221" s="23" t="n">
        <v>0.75</v>
      </c>
      <c r="E221" s="24" t="n">
        <v>558</v>
      </c>
      <c r="F221" s="24">
        <f>D221*E221</f>
        <v/>
      </c>
      <c r="G221" s="22" t="n"/>
    </row>
    <row r="222">
      <c r="A222" s="22" t="inlineStr">
        <is>
          <t>0101</t>
        </is>
      </c>
      <c r="B222" s="11" t="inlineStr">
        <is>
          <t>Bhisti</t>
        </is>
      </c>
      <c r="C222" s="22" t="inlineStr">
        <is>
          <t>day</t>
        </is>
      </c>
      <c r="D222" s="23" t="n">
        <v>0.07000000000000001</v>
      </c>
      <c r="E222" s="24" t="n">
        <v>617</v>
      </c>
      <c r="F222" s="24">
        <f>D222*E222</f>
        <v/>
      </c>
      <c r="G222" s="22" t="n"/>
    </row>
    <row r="223">
      <c r="A223" s="22" t="inlineStr">
        <is>
          <t>9999</t>
        </is>
      </c>
      <c r="B223" s="11" t="inlineStr">
        <is>
          <t>Hire and running charges of mechanical mixer</t>
        </is>
      </c>
      <c r="C223" s="22" t="inlineStr">
        <is>
          <t>L.S.</t>
        </is>
      </c>
      <c r="D223" s="23" t="n">
        <v>26.91</v>
      </c>
      <c r="E223" s="24" t="n">
        <v>2</v>
      </c>
      <c r="F223" s="24">
        <f>D223*E223</f>
        <v/>
      </c>
      <c r="G223" s="22" t="n"/>
    </row>
    <row r="224">
      <c r="A224" s="22" t="inlineStr">
        <is>
          <t>9999</t>
        </is>
      </c>
      <c r="B224" s="11" t="inlineStr">
        <is>
          <t>Sundries</t>
        </is>
      </c>
      <c r="C224" s="22" t="inlineStr">
        <is>
          <t>L.S.</t>
        </is>
      </c>
      <c r="D224" s="23" t="n">
        <v>13.52</v>
      </c>
      <c r="E224" s="24" t="n">
        <v>2</v>
      </c>
      <c r="F224" s="24">
        <f>D224*E224</f>
        <v/>
      </c>
      <c r="G224" s="22" t="n"/>
    </row>
    <row r="225">
      <c r="A225" s="8" t="inlineStr">
        <is>
          <t>Calculated W - SUM of the Amount column above</t>
        </is>
      </c>
      <c r="B225" s="9" t="n"/>
      <c r="C225" s="9" t="n"/>
      <c r="D225" s="9" t="n"/>
      <c r="E225" s="9" t="n"/>
      <c r="F225" s="25">
        <f>SUM(F217:F224)</f>
        <v/>
      </c>
      <c r="G225" s="9" t="n"/>
    </row>
    <row r="226">
      <c r="A226" s="26" t="inlineStr">
        <is>
          <t>W as printed in the DAR</t>
        </is>
      </c>
      <c r="B226" s="22" t="n"/>
      <c r="C226" s="22" t="n"/>
      <c r="D226" s="22" t="n"/>
      <c r="E226" s="22" t="n"/>
      <c r="F226" s="27" t="inlineStr">
        <is>
          <t>not printed</t>
        </is>
      </c>
      <c r="G226" s="28" t="inlineStr">
        <is>
          <t>This item prints no W (rate table or sub-analysis).</t>
        </is>
      </c>
    </row>
    <row r="227">
      <c r="A227" s="29" t="inlineStr">
        <is>
          <t>SAY (Rs.) - final DAR rate as printed (fixed value, not computed)</t>
        </is>
      </c>
      <c r="B227" s="30" t="n"/>
      <c r="C227" s="30" t="n"/>
      <c r="D227" s="30" t="n"/>
      <c r="E227" s="30" t="n"/>
      <c r="F227" s="31" t="n">
        <v>9393.35</v>
      </c>
      <c r="G227" s="30" t="n"/>
    </row>
    <row r="229" ht="18.5" customHeight="1">
      <c r="A229" s="18" t="inlineStr">
        <is>
          <t>3.16</t>
        </is>
      </c>
      <c r="B229" s="19" t="inlineStr">
        <is>
          <t>White cement mortar 1:3 (1 white cement : 3 marble dust).</t>
        </is>
      </c>
      <c r="C229" s="20" t="n"/>
      <c r="D229" s="20" t="n"/>
      <c r="E229" s="20" t="n"/>
      <c r="F229" s="20" t="n"/>
      <c r="G229" s="20" t="n"/>
    </row>
    <row r="230">
      <c r="A230" s="21" t="inlineStr">
        <is>
          <t>Details of cost for 1 cum   |   Source: CivilDAR_2019_Vol_1.pdf, page 150</t>
        </is>
      </c>
    </row>
    <row r="231">
      <c r="A231" s="5" t="inlineStr">
        <is>
          <t>Code</t>
        </is>
      </c>
      <c r="B231" s="5" t="inlineStr">
        <is>
          <t>Description</t>
        </is>
      </c>
      <c r="C231" s="5" t="inlineStr">
        <is>
          <t>Unit</t>
        </is>
      </c>
      <c r="D231" s="5" t="inlineStr">
        <is>
          <t>Quantity</t>
        </is>
      </c>
      <c r="E231" s="5" t="inlineStr">
        <is>
          <t>Rate (Rs.)</t>
        </is>
      </c>
      <c r="F231" s="5" t="inlineStr">
        <is>
          <t>Amount (Rs.)</t>
        </is>
      </c>
      <c r="G231" s="5" t="inlineStr">
        <is>
          <t>Note</t>
        </is>
      </c>
    </row>
    <row r="232">
      <c r="A232" s="22" t="inlineStr">
        <is>
          <t>0368</t>
        </is>
      </c>
      <c r="B232" s="11" t="inlineStr">
        <is>
          <t>White Cement</t>
        </is>
      </c>
      <c r="C232" s="22" t="inlineStr">
        <is>
          <t>tonne</t>
        </is>
      </c>
      <c r="D232" s="23" t="n">
        <v>0.51</v>
      </c>
      <c r="E232" s="24" t="n">
        <v>11200</v>
      </c>
      <c r="F232" s="24">
        <f>D232*E232</f>
        <v/>
      </c>
      <c r="G232" s="22" t="n"/>
    </row>
    <row r="233">
      <c r="A233" s="22" t="inlineStr">
        <is>
          <t>2209</t>
        </is>
      </c>
      <c r="B233" s="11" t="inlineStr">
        <is>
          <t>Carriage of Cement</t>
        </is>
      </c>
      <c r="C233" s="22" t="inlineStr">
        <is>
          <t>tonne</t>
        </is>
      </c>
      <c r="D233" s="23" t="n">
        <v>0.51</v>
      </c>
      <c r="E233" s="24" t="n">
        <v>92.23999999999999</v>
      </c>
      <c r="F233" s="24">
        <f>D233*E233</f>
        <v/>
      </c>
      <c r="G233" s="22" t="n"/>
    </row>
    <row r="234">
      <c r="A234" s="22" t="inlineStr">
        <is>
          <t>0784</t>
        </is>
      </c>
      <c r="B234" s="11" t="inlineStr">
        <is>
          <t>Marble dust/ powder</t>
        </is>
      </c>
      <c r="C234" s="22" t="inlineStr">
        <is>
          <t>cum</t>
        </is>
      </c>
      <c r="D234" s="23" t="n">
        <v>1.07</v>
      </c>
      <c r="E234" s="24" t="n">
        <v>1130</v>
      </c>
      <c r="F234" s="24">
        <f>D234*E234</f>
        <v/>
      </c>
      <c r="G234" s="22" t="n"/>
    </row>
    <row r="235">
      <c r="A235" s="22" t="inlineStr">
        <is>
          <t>2268</t>
        </is>
      </c>
      <c r="B235" s="11" t="inlineStr">
        <is>
          <t>Carriage of Marble dust and marble chips</t>
        </is>
      </c>
      <c r="C235" s="22" t="inlineStr">
        <is>
          <t>cum</t>
        </is>
      </c>
      <c r="D235" s="23" t="n">
        <v>1.07</v>
      </c>
      <c r="E235" s="24" t="n">
        <v>103.77</v>
      </c>
      <c r="F235" s="24">
        <f>D235*E235</f>
        <v/>
      </c>
      <c r="G235" s="22" t="n"/>
    </row>
    <row r="236">
      <c r="A236" s="22" t="inlineStr">
        <is>
          <t>0114</t>
        </is>
      </c>
      <c r="B236" s="11" t="inlineStr">
        <is>
          <t>Beldar</t>
        </is>
      </c>
      <c r="C236" s="22" t="inlineStr">
        <is>
          <t>day</t>
        </is>
      </c>
      <c r="D236" s="23" t="n">
        <v>0.75</v>
      </c>
      <c r="E236" s="24" t="n">
        <v>558</v>
      </c>
      <c r="F236" s="24">
        <f>D236*E236</f>
        <v/>
      </c>
      <c r="G236" s="22" t="n"/>
    </row>
    <row r="237">
      <c r="A237" s="22" t="inlineStr">
        <is>
          <t>0101</t>
        </is>
      </c>
      <c r="B237" s="11" t="inlineStr">
        <is>
          <t>Bhisti</t>
        </is>
      </c>
      <c r="C237" s="22" t="inlineStr">
        <is>
          <t>day</t>
        </is>
      </c>
      <c r="D237" s="23" t="n">
        <v>0.07000000000000001</v>
      </c>
      <c r="E237" s="24" t="n">
        <v>617</v>
      </c>
      <c r="F237" s="24">
        <f>D237*E237</f>
        <v/>
      </c>
      <c r="G237" s="22" t="n"/>
    </row>
    <row r="238">
      <c r="A238" s="22" t="inlineStr">
        <is>
          <t>9999</t>
        </is>
      </c>
      <c r="B238" s="11" t="inlineStr">
        <is>
          <t>Hire and running charges of mechanical mixer</t>
        </is>
      </c>
      <c r="C238" s="22" t="inlineStr">
        <is>
          <t>L.S.</t>
        </is>
      </c>
      <c r="D238" s="23" t="n">
        <v>26.91</v>
      </c>
      <c r="E238" s="24" t="n">
        <v>2</v>
      </c>
      <c r="F238" s="24">
        <f>D238*E238</f>
        <v/>
      </c>
      <c r="G238" s="22" t="n"/>
    </row>
    <row r="239">
      <c r="A239" s="22" t="inlineStr">
        <is>
          <t>9999</t>
        </is>
      </c>
      <c r="B239" s="11" t="inlineStr">
        <is>
          <t>Sundries</t>
        </is>
      </c>
      <c r="C239" s="22" t="inlineStr">
        <is>
          <t>L.S.</t>
        </is>
      </c>
      <c r="D239" s="23" t="n">
        <v>13.52</v>
      </c>
      <c r="E239" s="24" t="n">
        <v>2</v>
      </c>
      <c r="F239" s="24">
        <f>D239*E239</f>
        <v/>
      </c>
      <c r="G239" s="22" t="n"/>
    </row>
    <row r="240">
      <c r="A240" s="8" t="inlineStr">
        <is>
          <t>Calculated W - SUM of the Amount column above</t>
        </is>
      </c>
      <c r="B240" s="9" t="n"/>
      <c r="C240" s="9" t="n"/>
      <c r="D240" s="9" t="n"/>
      <c r="E240" s="9" t="n"/>
      <c r="F240" s="25">
        <f>SUM(F232:F239)</f>
        <v/>
      </c>
      <c r="G240" s="9" t="n"/>
    </row>
    <row r="241">
      <c r="A241" s="26" t="inlineStr">
        <is>
          <t>W as printed in the DAR</t>
        </is>
      </c>
      <c r="B241" s="22" t="n"/>
      <c r="C241" s="22" t="n"/>
      <c r="D241" s="22" t="n"/>
      <c r="E241" s="22" t="n"/>
      <c r="F241" s="27" t="inlineStr">
        <is>
          <t>not printed</t>
        </is>
      </c>
      <c r="G241" s="28" t="inlineStr">
        <is>
          <t>This item prints no W (rate table or sub-analysis).</t>
        </is>
      </c>
    </row>
    <row r="242">
      <c r="A242" s="29" t="inlineStr">
        <is>
          <t>SAY (Rs.) - final DAR rate as printed (fixed value, not computed)</t>
        </is>
      </c>
      <c r="B242" s="30" t="n"/>
      <c r="C242" s="30" t="n"/>
      <c r="D242" s="30" t="n"/>
      <c r="E242" s="30" t="n"/>
      <c r="F242" s="31" t="n">
        <v>7621.75</v>
      </c>
      <c r="G242" s="30" t="n"/>
    </row>
    <row r="244" ht="18.5" customHeight="1">
      <c r="A244" s="18" t="inlineStr">
        <is>
          <t>3.17</t>
        </is>
      </c>
      <c r="B244" s="19" t="inlineStr">
        <is>
          <t>White cement mortar 1:5 (1 white cement : 5 marble dust).</t>
        </is>
      </c>
      <c r="C244" s="20" t="n"/>
      <c r="D244" s="20" t="n"/>
      <c r="E244" s="20" t="n"/>
      <c r="F244" s="20" t="n"/>
      <c r="G244" s="20" t="n"/>
    </row>
    <row r="245">
      <c r="A245" s="21" t="inlineStr">
        <is>
          <t>Details of cost for 1 cum   |   Source: CivilDAR_2019_Vol_1.pdf, page 150</t>
        </is>
      </c>
    </row>
    <row r="246">
      <c r="A246" s="5" t="inlineStr">
        <is>
          <t>Code</t>
        </is>
      </c>
      <c r="B246" s="5" t="inlineStr">
        <is>
          <t>Description</t>
        </is>
      </c>
      <c r="C246" s="5" t="inlineStr">
        <is>
          <t>Unit</t>
        </is>
      </c>
      <c r="D246" s="5" t="inlineStr">
        <is>
          <t>Quantity</t>
        </is>
      </c>
      <c r="E246" s="5" t="inlineStr">
        <is>
          <t>Rate (Rs.)</t>
        </is>
      </c>
      <c r="F246" s="5" t="inlineStr">
        <is>
          <t>Amount (Rs.)</t>
        </is>
      </c>
      <c r="G246" s="5" t="inlineStr">
        <is>
          <t>Note</t>
        </is>
      </c>
    </row>
    <row r="247">
      <c r="A247" s="22" t="inlineStr">
        <is>
          <t>0368</t>
        </is>
      </c>
      <c r="B247" s="11" t="inlineStr">
        <is>
          <t>White Cement</t>
        </is>
      </c>
      <c r="C247" s="22" t="inlineStr">
        <is>
          <t>tonne</t>
        </is>
      </c>
      <c r="D247" s="23" t="n">
        <v>0.31</v>
      </c>
      <c r="E247" s="24" t="n">
        <v>11200</v>
      </c>
      <c r="F247" s="24">
        <f>D247*E247</f>
        <v/>
      </c>
      <c r="G247" s="22" t="n"/>
    </row>
    <row r="248">
      <c r="A248" s="22" t="inlineStr">
        <is>
          <t>2209</t>
        </is>
      </c>
      <c r="B248" s="11" t="inlineStr">
        <is>
          <t>Carriage of Cement</t>
        </is>
      </c>
      <c r="C248" s="22" t="inlineStr">
        <is>
          <t>tonne</t>
        </is>
      </c>
      <c r="D248" s="23" t="n">
        <v>0.31</v>
      </c>
      <c r="E248" s="24" t="n">
        <v>92.23999999999999</v>
      </c>
      <c r="F248" s="24">
        <f>D248*E248</f>
        <v/>
      </c>
      <c r="G248" s="22" t="n"/>
    </row>
    <row r="249">
      <c r="A249" s="22" t="inlineStr">
        <is>
          <t>0784</t>
        </is>
      </c>
      <c r="B249" s="11" t="inlineStr">
        <is>
          <t>Marble dust/ powder</t>
        </is>
      </c>
      <c r="C249" s="22" t="inlineStr">
        <is>
          <t>cum</t>
        </is>
      </c>
      <c r="D249" s="23" t="n">
        <v>1.07</v>
      </c>
      <c r="E249" s="24" t="n">
        <v>1130</v>
      </c>
      <c r="F249" s="24">
        <f>D249*E249</f>
        <v/>
      </c>
      <c r="G249" s="22" t="n"/>
    </row>
    <row r="250">
      <c r="A250" s="22" t="inlineStr">
        <is>
          <t>2268</t>
        </is>
      </c>
      <c r="B250" s="11" t="inlineStr">
        <is>
          <t>Carriage of Marble dust and marble chips</t>
        </is>
      </c>
      <c r="C250" s="22" t="inlineStr">
        <is>
          <t>cum</t>
        </is>
      </c>
      <c r="D250" s="23" t="n">
        <v>1.07</v>
      </c>
      <c r="E250" s="24" t="n">
        <v>103.77</v>
      </c>
      <c r="F250" s="24">
        <f>D250*E250</f>
        <v/>
      </c>
      <c r="G250" s="22" t="n"/>
    </row>
    <row r="251">
      <c r="A251" s="22" t="inlineStr">
        <is>
          <t>0114</t>
        </is>
      </c>
      <c r="B251" s="11" t="inlineStr">
        <is>
          <t>Beldar</t>
        </is>
      </c>
      <c r="C251" s="22" t="inlineStr">
        <is>
          <t>day</t>
        </is>
      </c>
      <c r="D251" s="23" t="n">
        <v>0.75</v>
      </c>
      <c r="E251" s="24" t="n">
        <v>558</v>
      </c>
      <c r="F251" s="24">
        <f>D251*E251</f>
        <v/>
      </c>
      <c r="G251" s="22" t="n"/>
    </row>
    <row r="252">
      <c r="A252" s="22" t="inlineStr">
        <is>
          <t>0101</t>
        </is>
      </c>
      <c r="B252" s="11" t="inlineStr">
        <is>
          <t>Bhisti</t>
        </is>
      </c>
      <c r="C252" s="22" t="inlineStr">
        <is>
          <t>day</t>
        </is>
      </c>
      <c r="D252" s="23" t="n">
        <v>0.07000000000000001</v>
      </c>
      <c r="E252" s="24" t="n">
        <v>617</v>
      </c>
      <c r="F252" s="24">
        <f>D252*E252</f>
        <v/>
      </c>
      <c r="G252" s="22" t="n"/>
    </row>
    <row r="253">
      <c r="A253" s="22" t="inlineStr">
        <is>
          <t>9999</t>
        </is>
      </c>
      <c r="B253" s="11" t="inlineStr">
        <is>
          <t>Hire and running charges of mechanical mixer</t>
        </is>
      </c>
      <c r="C253" s="22" t="inlineStr">
        <is>
          <t>L.S.</t>
        </is>
      </c>
      <c r="D253" s="23" t="n">
        <v>26.91</v>
      </c>
      <c r="E253" s="24" t="n">
        <v>2</v>
      </c>
      <c r="F253" s="24">
        <f>D253*E253</f>
        <v/>
      </c>
      <c r="G253" s="22" t="n"/>
    </row>
    <row r="254">
      <c r="A254" s="22" t="inlineStr">
        <is>
          <t>9999</t>
        </is>
      </c>
      <c r="B254" s="11" t="inlineStr">
        <is>
          <t>Sundries</t>
        </is>
      </c>
      <c r="C254" s="22" t="inlineStr">
        <is>
          <t>L.S.</t>
        </is>
      </c>
      <c r="D254" s="23" t="n">
        <v>13.52</v>
      </c>
      <c r="E254" s="24" t="n">
        <v>2</v>
      </c>
      <c r="F254" s="24">
        <f>D254*E254</f>
        <v/>
      </c>
      <c r="G254" s="22" t="n"/>
    </row>
    <row r="255">
      <c r="A255" s="8" t="inlineStr">
        <is>
          <t>Calculated W - SUM of the Amount column above</t>
        </is>
      </c>
      <c r="B255" s="9" t="n"/>
      <c r="C255" s="9" t="n"/>
      <c r="D255" s="9" t="n"/>
      <c r="E255" s="9" t="n"/>
      <c r="F255" s="25">
        <f>SUM(F247:F254)</f>
        <v/>
      </c>
      <c r="G255" s="9" t="n"/>
    </row>
    <row r="256">
      <c r="A256" s="26" t="inlineStr">
        <is>
          <t>W as printed in the DAR</t>
        </is>
      </c>
      <c r="B256" s="22" t="n"/>
      <c r="C256" s="22" t="n"/>
      <c r="D256" s="22" t="n"/>
      <c r="E256" s="22" t="n"/>
      <c r="F256" s="27" t="inlineStr">
        <is>
          <t>not printed</t>
        </is>
      </c>
      <c r="G256" s="28" t="inlineStr">
        <is>
          <t>This item prints no W (rate table or sub-analysis).</t>
        </is>
      </c>
    </row>
    <row r="257">
      <c r="A257" s="29" t="inlineStr">
        <is>
          <t>SAY (Rs.) - final DAR rate as printed (fixed value, not computed)</t>
        </is>
      </c>
      <c r="B257" s="30" t="n"/>
      <c r="C257" s="30" t="n"/>
      <c r="D257" s="30" t="n"/>
      <c r="E257" s="30" t="n"/>
      <c r="F257" s="31" t="n">
        <v>5363.3</v>
      </c>
      <c r="G257" s="30" t="n"/>
    </row>
    <row r="259" ht="18.5" customHeight="1">
      <c r="A259" s="18" t="inlineStr">
        <is>
          <t>3.18</t>
        </is>
      </c>
      <c r="B259" s="19" t="inlineStr">
        <is>
          <t>Mud mortar</t>
        </is>
      </c>
      <c r="C259" s="20" t="n"/>
      <c r="D259" s="20" t="n"/>
      <c r="E259" s="20" t="n"/>
      <c r="F259" s="20" t="n"/>
      <c r="G259" s="20" t="n"/>
    </row>
    <row r="260">
      <c r="A260" s="21" t="inlineStr">
        <is>
          <t>Details of cost for 1 nos   |   Source: CivilDAR_2019_Vol_1.pdf, page 151</t>
        </is>
      </c>
    </row>
    <row r="261">
      <c r="A261" s="5" t="inlineStr">
        <is>
          <t>Code</t>
        </is>
      </c>
      <c r="B261" s="5" t="inlineStr">
        <is>
          <t>Description</t>
        </is>
      </c>
      <c r="C261" s="5" t="inlineStr">
        <is>
          <t>Unit</t>
        </is>
      </c>
      <c r="D261" s="5" t="inlineStr">
        <is>
          <t>Quantity</t>
        </is>
      </c>
      <c r="E261" s="5" t="inlineStr">
        <is>
          <t>Rate (Rs.)</t>
        </is>
      </c>
      <c r="F261" s="5" t="inlineStr">
        <is>
          <t>Amount (Rs.)</t>
        </is>
      </c>
      <c r="G261" s="5" t="inlineStr">
        <is>
          <t>Note</t>
        </is>
      </c>
    </row>
    <row r="262">
      <c r="A262" s="22" t="inlineStr">
        <is>
          <t>0811</t>
        </is>
      </c>
      <c r="B262" s="11" t="inlineStr">
        <is>
          <t>Mud (dry)</t>
        </is>
      </c>
      <c r="C262" s="22" t="inlineStr">
        <is>
          <t>cum</t>
        </is>
      </c>
      <c r="D262" s="23" t="n">
        <v>1.08</v>
      </c>
      <c r="E262" s="24" t="n">
        <v>165</v>
      </c>
      <c r="F262" s="24">
        <f>D262*E262</f>
        <v/>
      </c>
      <c r="G262" s="22" t="n"/>
    </row>
    <row r="263">
      <c r="A263" s="22" t="inlineStr">
        <is>
          <t>0114</t>
        </is>
      </c>
      <c r="B263" s="11" t="inlineStr">
        <is>
          <t>Beldar</t>
        </is>
      </c>
      <c r="C263" s="22" t="inlineStr">
        <is>
          <t>day</t>
        </is>
      </c>
      <c r="D263" s="23" t="n">
        <v>0.63</v>
      </c>
      <c r="E263" s="24" t="n">
        <v>558</v>
      </c>
      <c r="F263" s="24">
        <f>D263*E263</f>
        <v/>
      </c>
      <c r="G263" s="22" t="n"/>
    </row>
    <row r="264">
      <c r="A264" s="22" t="inlineStr">
        <is>
          <t>0101</t>
        </is>
      </c>
      <c r="B264" s="11" t="inlineStr">
        <is>
          <t>Bhisti</t>
        </is>
      </c>
      <c r="C264" s="22" t="inlineStr">
        <is>
          <t>day</t>
        </is>
      </c>
      <c r="D264" s="23" t="n">
        <v>0.315</v>
      </c>
      <c r="E264" s="24" t="n">
        <v>617</v>
      </c>
      <c r="F264" s="24">
        <f>D264*E264</f>
        <v/>
      </c>
      <c r="G264" s="22" t="n"/>
    </row>
    <row r="265">
      <c r="A265" s="22" t="inlineStr">
        <is>
          <t>9999</t>
        </is>
      </c>
      <c r="B265" s="11" t="inlineStr">
        <is>
          <t>Sundries</t>
        </is>
      </c>
      <c r="C265" s="22" t="inlineStr">
        <is>
          <t>L.S.</t>
        </is>
      </c>
      <c r="D265" s="23" t="n">
        <v>6.45</v>
      </c>
      <c r="E265" s="24" t="n">
        <v>2</v>
      </c>
      <c r="F265" s="24">
        <f>D265*E265</f>
        <v/>
      </c>
      <c r="G265" s="22" t="n"/>
    </row>
    <row r="266">
      <c r="A266" s="8" t="inlineStr">
        <is>
          <t>Calculated W - SUM of the Amount column above</t>
        </is>
      </c>
      <c r="B266" s="9" t="n"/>
      <c r="C266" s="9" t="n"/>
      <c r="D266" s="9" t="n"/>
      <c r="E266" s="9" t="n"/>
      <c r="F266" s="25">
        <f>SUM(F262:F265)</f>
        <v/>
      </c>
      <c r="G266" s="9" t="n"/>
    </row>
    <row r="267">
      <c r="A267" s="26" t="inlineStr">
        <is>
          <t>W as printed in the DAR</t>
        </is>
      </c>
      <c r="B267" s="22" t="n"/>
      <c r="C267" s="22" t="n"/>
      <c r="D267" s="22" t="n"/>
      <c r="E267" s="22" t="n"/>
      <c r="F267" s="27" t="inlineStr">
        <is>
          <t>not printed</t>
        </is>
      </c>
      <c r="G267" s="28" t="inlineStr">
        <is>
          <t>This item prints no W (rate table or sub-analysis).</t>
        </is>
      </c>
    </row>
    <row r="268">
      <c r="A268" s="29" t="inlineStr">
        <is>
          <t>SAY (Rs.) - final DAR rate as printed (fixed value, not computed)</t>
        </is>
      </c>
      <c r="B268" s="30" t="n"/>
      <c r="C268" s="30" t="n"/>
      <c r="D268" s="30" t="n"/>
      <c r="E268" s="30" t="n"/>
      <c r="F268" s="31" t="n">
        <v>737</v>
      </c>
      <c r="G268" s="30" t="n"/>
    </row>
    <row r="270" ht="18.5" customHeight="1">
      <c r="A270" s="18" t="inlineStr">
        <is>
          <t>3.19</t>
        </is>
      </c>
      <c r="B270" s="19" t="inlineStr">
        <is>
          <t>Mortar in lime, surkhi (50% red and 50% light yellow) and marble dust 1:1.5:0.5</t>
        </is>
      </c>
      <c r="C270" s="20" t="n"/>
      <c r="D270" s="20" t="n"/>
      <c r="E270" s="20" t="n"/>
      <c r="F270" s="20" t="n"/>
      <c r="G270" s="20" t="n"/>
    </row>
    <row r="271">
      <c r="A271" s="21" t="inlineStr">
        <is>
          <t>Details of cost for 1 cum   |   Source: CivilDAR_2019_Vol_1.pdf, page 151</t>
        </is>
      </c>
    </row>
    <row r="272">
      <c r="A272" s="5" t="inlineStr">
        <is>
          <t>Code</t>
        </is>
      </c>
      <c r="B272" s="5" t="inlineStr">
        <is>
          <t>Description</t>
        </is>
      </c>
      <c r="C272" s="5" t="inlineStr">
        <is>
          <t>Unit</t>
        </is>
      </c>
      <c r="D272" s="5" t="inlineStr">
        <is>
          <t>Quantity</t>
        </is>
      </c>
      <c r="E272" s="5" t="inlineStr">
        <is>
          <t>Rate (Rs.)</t>
        </is>
      </c>
      <c r="F272" s="5" t="inlineStr">
        <is>
          <t>Amount (Rs.)</t>
        </is>
      </c>
      <c r="G272" s="5" t="inlineStr">
        <is>
          <t>Note</t>
        </is>
      </c>
    </row>
    <row r="273">
      <c r="A273" s="22" t="inlineStr">
        <is>
          <t>1182</t>
        </is>
      </c>
      <c r="B273" s="11" t="inlineStr">
        <is>
          <t>Surkhi</t>
        </is>
      </c>
      <c r="C273" s="22" t="inlineStr">
        <is>
          <t>cum</t>
        </is>
      </c>
      <c r="D273" s="23" t="n">
        <v>0.7125</v>
      </c>
      <c r="E273" s="24" t="n">
        <v>700</v>
      </c>
      <c r="F273" s="24">
        <f>D273*E273</f>
        <v/>
      </c>
      <c r="G273" s="22" t="n"/>
    </row>
    <row r="274">
      <c r="A274" s="22" t="inlineStr">
        <is>
          <t>0773</t>
        </is>
      </c>
      <c r="B274" s="11" t="inlineStr">
        <is>
          <t>Unslaked lime</t>
        </is>
      </c>
      <c r="C274" s="22" t="inlineStr">
        <is>
          <t>quintal</t>
        </is>
      </c>
      <c r="D274" s="23" t="n">
        <v>3.01</v>
      </c>
      <c r="E274" s="24" t="n">
        <v>300</v>
      </c>
      <c r="F274" s="24">
        <f>D274*E274</f>
        <v/>
      </c>
      <c r="G274" s="22" t="n"/>
    </row>
    <row r="275">
      <c r="A275" s="22" t="inlineStr">
        <is>
          <t>0784</t>
        </is>
      </c>
      <c r="B275" s="11" t="inlineStr">
        <is>
          <t>Marble dust/ powder</t>
        </is>
      </c>
      <c r="C275" s="22" t="inlineStr">
        <is>
          <t>cum</t>
        </is>
      </c>
      <c r="D275" s="23" t="n">
        <v>0.24</v>
      </c>
      <c r="E275" s="24" t="n">
        <v>1130</v>
      </c>
      <c r="F275" s="24">
        <f>D275*E275</f>
        <v/>
      </c>
      <c r="G275" s="22" t="n"/>
    </row>
    <row r="276">
      <c r="A276" s="22" t="inlineStr">
        <is>
          <t>2268</t>
        </is>
      </c>
      <c r="B276" s="11" t="inlineStr">
        <is>
          <t>Marble dust and/or marble chips</t>
        </is>
      </c>
      <c r="C276" s="22" t="inlineStr">
        <is>
          <t>cum</t>
        </is>
      </c>
      <c r="D276" s="23" t="n">
        <v>0.24</v>
      </c>
      <c r="E276" s="24" t="n">
        <v>103.77</v>
      </c>
      <c r="F276" s="24">
        <f>D276*E276</f>
        <v/>
      </c>
      <c r="G276" s="22" t="n"/>
    </row>
    <row r="277">
      <c r="A277" s="22" t="inlineStr">
        <is>
          <t>2208</t>
        </is>
      </c>
      <c r="B277" s="11" t="inlineStr">
        <is>
          <t>Carriage of Lime</t>
        </is>
      </c>
      <c r="C277" s="22" t="inlineStr">
        <is>
          <t>cum</t>
        </is>
      </c>
      <c r="D277" s="23" t="n">
        <v>3.01</v>
      </c>
      <c r="E277" s="24" t="n">
        <v>103.77</v>
      </c>
      <c r="F277" s="24">
        <f>D277*E277</f>
        <v/>
      </c>
      <c r="G277" s="22" t="n"/>
    </row>
    <row r="278">
      <c r="A278" s="22" t="inlineStr">
        <is>
          <t>0114</t>
        </is>
      </c>
      <c r="B278" s="11" t="inlineStr">
        <is>
          <t>Beldar</t>
        </is>
      </c>
      <c r="C278" s="22" t="inlineStr">
        <is>
          <t>day</t>
        </is>
      </c>
      <c r="D278" s="23" t="n">
        <v>0.9</v>
      </c>
      <c r="E278" s="24" t="n">
        <v>558</v>
      </c>
      <c r="F278" s="24">
        <f>D278*E278</f>
        <v/>
      </c>
      <c r="G278" s="22" t="n"/>
    </row>
    <row r="279">
      <c r="A279" s="22" t="inlineStr">
        <is>
          <t>0101</t>
        </is>
      </c>
      <c r="B279" s="11" t="inlineStr">
        <is>
          <t>Bhisti</t>
        </is>
      </c>
      <c r="C279" s="22" t="inlineStr">
        <is>
          <t>day</t>
        </is>
      </c>
      <c r="D279" s="23" t="n">
        <v>0.45</v>
      </c>
      <c r="E279" s="24" t="n">
        <v>617</v>
      </c>
      <c r="F279" s="24">
        <f>D279*E279</f>
        <v/>
      </c>
      <c r="G279" s="22" t="n"/>
    </row>
    <row r="280">
      <c r="A280" s="22" t="inlineStr">
        <is>
          <t>9999</t>
        </is>
      </c>
      <c r="B280" s="11" t="inlineStr">
        <is>
          <t>As cost for running and upkeep of mortar mill</t>
        </is>
      </c>
      <c r="C280" s="22" t="inlineStr">
        <is>
          <t>L.S.</t>
        </is>
      </c>
      <c r="D280" s="23" t="n">
        <v>10.35</v>
      </c>
      <c r="E280" s="24" t="n">
        <v>2</v>
      </c>
      <c r="F280" s="24">
        <f>D280*E280</f>
        <v/>
      </c>
      <c r="G280" s="22" t="n"/>
    </row>
    <row r="281">
      <c r="A281" s="22" t="inlineStr">
        <is>
          <t>9999</t>
        </is>
      </c>
      <c r="B281" s="11" t="inlineStr">
        <is>
          <t>Sundries</t>
        </is>
      </c>
      <c r="C281" s="22" t="inlineStr">
        <is>
          <t>L.S.</t>
        </is>
      </c>
      <c r="D281" s="23" t="n">
        <v>5.2</v>
      </c>
      <c r="E281" s="24" t="n">
        <v>2</v>
      </c>
      <c r="F281" s="24">
        <f>D281*E281</f>
        <v/>
      </c>
      <c r="G281" s="22" t="n"/>
    </row>
    <row r="282">
      <c r="A282" s="8" t="inlineStr">
        <is>
          <t>Calculated W - SUM of the Amount column above</t>
        </is>
      </c>
      <c r="B282" s="9" t="n"/>
      <c r="C282" s="9" t="n"/>
      <c r="D282" s="9" t="n"/>
      <c r="E282" s="9" t="n"/>
      <c r="F282" s="25">
        <f>SUM(F273:F281)</f>
        <v/>
      </c>
      <c r="G282" s="9" t="n"/>
    </row>
    <row r="283">
      <c r="A283" s="26" t="inlineStr">
        <is>
          <t>W as printed in the DAR</t>
        </is>
      </c>
      <c r="B283" s="22" t="n"/>
      <c r="C283" s="22" t="n"/>
      <c r="D283" s="22" t="n"/>
      <c r="E283" s="22" t="n"/>
      <c r="F283" s="27" t="inlineStr">
        <is>
          <t>not printed</t>
        </is>
      </c>
      <c r="G283" s="28" t="inlineStr">
        <is>
          <t>This item prints no W (rate table or sub-analysis).</t>
        </is>
      </c>
    </row>
    <row r="284">
      <c r="A284" s="29" t="inlineStr">
        <is>
          <t>SAY (Rs.) - final DAR rate as printed (fixed value, not computed)</t>
        </is>
      </c>
      <c r="B284" s="30" t="n"/>
      <c r="C284" s="30" t="n"/>
      <c r="D284" s="30" t="n"/>
      <c r="E284" s="30" t="n"/>
      <c r="F284" s="31" t="n">
        <v>2821.15</v>
      </c>
      <c r="G284" s="30" t="n"/>
    </row>
  </sheetData>
  <mergeCells count="97">
    <mergeCell ref="A166:E166"/>
    <mergeCell ref="A140:G140"/>
    <mergeCell ref="A35:G35"/>
    <mergeCell ref="A182:E182"/>
    <mergeCell ref="A45:E45"/>
    <mergeCell ref="A230:G230"/>
    <mergeCell ref="A245:G245"/>
    <mergeCell ref="A255:E255"/>
    <mergeCell ref="A137:E137"/>
    <mergeCell ref="A46:E46"/>
    <mergeCell ref="A282:E282"/>
    <mergeCell ref="B139:G139"/>
    <mergeCell ref="A136:E136"/>
    <mergeCell ref="A105:E105"/>
    <mergeCell ref="A210:E210"/>
    <mergeCell ref="A271:G271"/>
    <mergeCell ref="A181:E181"/>
    <mergeCell ref="B109:G109"/>
    <mergeCell ref="A91:E91"/>
    <mergeCell ref="A165:E165"/>
    <mergeCell ref="A77:E77"/>
    <mergeCell ref="B244:G244"/>
    <mergeCell ref="B229:G229"/>
    <mergeCell ref="A284:E284"/>
    <mergeCell ref="A155:G155"/>
    <mergeCell ref="A196:E196"/>
    <mergeCell ref="A256:E256"/>
    <mergeCell ref="B49:G49"/>
    <mergeCell ref="A75:E75"/>
    <mergeCell ref="B64:G64"/>
    <mergeCell ref="A120:E120"/>
    <mergeCell ref="A1:G1"/>
    <mergeCell ref="B154:G154"/>
    <mergeCell ref="A32:E32"/>
    <mergeCell ref="A65:G65"/>
    <mergeCell ref="A106:E106"/>
    <mergeCell ref="A80:G80"/>
    <mergeCell ref="A95:G95"/>
    <mergeCell ref="A31:E31"/>
    <mergeCell ref="A211:E211"/>
    <mergeCell ref="A5:G5"/>
    <mergeCell ref="A185:G185"/>
    <mergeCell ref="A226:E226"/>
    <mergeCell ref="A266:E266"/>
    <mergeCell ref="A60:E60"/>
    <mergeCell ref="A200:G200"/>
    <mergeCell ref="A170:G170"/>
    <mergeCell ref="A197:E197"/>
    <mergeCell ref="A16:E16"/>
    <mergeCell ref="A260:G260"/>
    <mergeCell ref="A110:G110"/>
    <mergeCell ref="B169:G169"/>
    <mergeCell ref="B79:G79"/>
    <mergeCell ref="A151:E151"/>
    <mergeCell ref="A47:E47"/>
    <mergeCell ref="A135:E135"/>
    <mergeCell ref="A150:E150"/>
    <mergeCell ref="A122:E122"/>
    <mergeCell ref="A50:G50"/>
    <mergeCell ref="A152:E152"/>
    <mergeCell ref="B184:G184"/>
    <mergeCell ref="A121:E121"/>
    <mergeCell ref="A2:G2"/>
    <mergeCell ref="B214:G214"/>
    <mergeCell ref="A167:E167"/>
    <mergeCell ref="A30:E30"/>
    <mergeCell ref="A15:E15"/>
    <mergeCell ref="A215:G215"/>
    <mergeCell ref="A257:E257"/>
    <mergeCell ref="A225:E225"/>
    <mergeCell ref="A20:G20"/>
    <mergeCell ref="A107:E107"/>
    <mergeCell ref="A125:G125"/>
    <mergeCell ref="A61:E61"/>
    <mergeCell ref="A241:E241"/>
    <mergeCell ref="B19:G19"/>
    <mergeCell ref="B34:G34"/>
    <mergeCell ref="A227:E227"/>
    <mergeCell ref="B270:G270"/>
    <mergeCell ref="A90:E90"/>
    <mergeCell ref="A212:E212"/>
    <mergeCell ref="A268:E268"/>
    <mergeCell ref="A283:E283"/>
    <mergeCell ref="B124:G124"/>
    <mergeCell ref="A267:E267"/>
    <mergeCell ref="A242:E242"/>
    <mergeCell ref="B94:G94"/>
    <mergeCell ref="A195:E195"/>
    <mergeCell ref="A76:E76"/>
    <mergeCell ref="B4:G4"/>
    <mergeCell ref="A17:E17"/>
    <mergeCell ref="A180:E180"/>
    <mergeCell ref="A62:E62"/>
    <mergeCell ref="A240:E240"/>
    <mergeCell ref="B199:G199"/>
    <mergeCell ref="B259:G259"/>
    <mergeCell ref="A92:E9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2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04: CONCRETE WORK</t>
        </is>
      </c>
    </row>
    <row r="2" ht="28" customHeight="1">
      <c r="A2" s="16" t="inlineStr">
        <is>
          <t>40 priced items. Amount and Calculated W are live Excel formulas (Quantity x Rate, SUM); the printed W and SAY are the DAR's own figures. Edit any Quantity or Rate and the item's calculated W recalculates.</t>
        </is>
      </c>
    </row>
    <row r="4" ht="33" customHeight="1">
      <c r="A4" s="8" t="inlineStr">
        <is>
          <t>4.1</t>
        </is>
      </c>
      <c r="B4" s="17" t="inlineStr">
        <is>
          <t>Providing and laying in position cement concrete of specified grade excluding the cost of centering and shuttering - All work up to plinth level :</t>
        </is>
      </c>
      <c r="C4" s="9" t="n"/>
      <c r="D4" s="9" t="n"/>
      <c r="E4" s="9" t="n"/>
      <c r="F4" s="9" t="n"/>
      <c r="G4" s="9" t="n"/>
    </row>
    <row r="5" ht="18.5" customHeight="1">
      <c r="A5" s="18" t="inlineStr">
        <is>
          <t>4.1.2</t>
        </is>
      </c>
      <c r="B5" s="19" t="inlineStr">
        <is>
          <t>1:1½:3 (1 Cement: 1½ coarse sand (zone-III) : 3 graded stone aggregate 20 mm nominal size)</t>
        </is>
      </c>
      <c r="C5" s="20" t="n"/>
      <c r="D5" s="20" t="n"/>
      <c r="E5" s="20" t="n"/>
      <c r="F5" s="20" t="n"/>
      <c r="G5" s="20" t="n"/>
    </row>
    <row r="6">
      <c r="A6" s="21" t="inlineStr">
        <is>
          <t>Details of cost for 1 cum   |   Source: CivilDAR_2019_Vol_1.pdf, page 154</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0295</t>
        </is>
      </c>
      <c r="B8" s="11" t="inlineStr">
        <is>
          <t>Stone Aggregate (Single size) : 20 mm nominal size</t>
        </is>
      </c>
      <c r="C8" s="22" t="inlineStr">
        <is>
          <t>cum</t>
        </is>
      </c>
      <c r="D8" s="23" t="n">
        <v>0.57</v>
      </c>
      <c r="E8" s="24" t="n">
        <v>1350</v>
      </c>
      <c r="F8" s="24">
        <f>D8*E8</f>
        <v/>
      </c>
      <c r="G8" s="22" t="n"/>
    </row>
    <row r="9">
      <c r="A9" s="22" t="inlineStr">
        <is>
          <t>0297</t>
        </is>
      </c>
      <c r="B9" s="11" t="inlineStr">
        <is>
          <t>Stone Aggregate (Single size) : 10 mm nominal size</t>
        </is>
      </c>
      <c r="C9" s="22" t="inlineStr">
        <is>
          <t>cum</t>
        </is>
      </c>
      <c r="D9" s="23" t="n">
        <v>0.28</v>
      </c>
      <c r="E9" s="24" t="n">
        <v>1350</v>
      </c>
      <c r="F9" s="24">
        <f>D9*E9</f>
        <v/>
      </c>
      <c r="G9" s="22" t="n"/>
    </row>
    <row r="10">
      <c r="A10" s="22" t="inlineStr">
        <is>
          <t>2202</t>
        </is>
      </c>
      <c r="B10" s="11" t="inlineStr">
        <is>
          <t>Carriage of Stone aggregate below 40 mm nominal size</t>
        </is>
      </c>
      <c r="C10" s="22" t="inlineStr">
        <is>
          <t>cum</t>
        </is>
      </c>
      <c r="D10" s="23" t="n">
        <v>0.85</v>
      </c>
      <c r="E10" s="24" t="n">
        <v>103.77</v>
      </c>
      <c r="F10" s="24">
        <f>D10*E10</f>
        <v/>
      </c>
      <c r="G10" s="22" t="n"/>
    </row>
    <row r="11">
      <c r="A11" s="22" t="inlineStr">
        <is>
          <t>0982</t>
        </is>
      </c>
      <c r="B11" s="11" t="inlineStr">
        <is>
          <t>Coarse sand (zone III)</t>
        </is>
      </c>
      <c r="C11" s="22" t="inlineStr">
        <is>
          <t>cum</t>
        </is>
      </c>
      <c r="D11" s="23" t="n">
        <v>0.425</v>
      </c>
      <c r="E11" s="24" t="n">
        <v>1350</v>
      </c>
      <c r="F11" s="24">
        <f>D11*E11</f>
        <v/>
      </c>
      <c r="G11" s="22" t="n"/>
    </row>
    <row r="12">
      <c r="A12" s="22" t="inlineStr">
        <is>
          <t>2203</t>
        </is>
      </c>
      <c r="B12" s="11" t="inlineStr">
        <is>
          <t>Carriage of Coarse sand</t>
        </is>
      </c>
      <c r="C12" s="22" t="inlineStr">
        <is>
          <t>cum</t>
        </is>
      </c>
      <c r="D12" s="23" t="n">
        <v>0.425</v>
      </c>
      <c r="E12" s="24" t="n">
        <v>103.77</v>
      </c>
      <c r="F12" s="24">
        <f>D12*E12</f>
        <v/>
      </c>
      <c r="G12" s="22" t="n"/>
    </row>
    <row r="13">
      <c r="A13" s="22" t="inlineStr">
        <is>
          <t>0367</t>
        </is>
      </c>
      <c r="B13" s="11" t="inlineStr">
        <is>
          <t>Portland Cement (0.2833 cum)</t>
        </is>
      </c>
      <c r="C13" s="22" t="inlineStr">
        <is>
          <t>tonne</t>
        </is>
      </c>
      <c r="D13" s="23" t="n">
        <v>0.4</v>
      </c>
      <c r="E13" s="24" t="n">
        <v>4940</v>
      </c>
      <c r="F13" s="24">
        <f>D13*E13</f>
        <v/>
      </c>
      <c r="G13" s="22" t="n"/>
    </row>
    <row r="14">
      <c r="A14" s="22" t="inlineStr">
        <is>
          <t>2209</t>
        </is>
      </c>
      <c r="B14" s="11" t="inlineStr">
        <is>
          <t>Carriage of Cement</t>
        </is>
      </c>
      <c r="C14" s="22" t="inlineStr">
        <is>
          <t>tonne</t>
        </is>
      </c>
      <c r="D14" s="23" t="n">
        <v>0.4</v>
      </c>
      <c r="E14" s="24" t="n">
        <v>92.23999999999999</v>
      </c>
      <c r="F14" s="24">
        <f>D14*E14</f>
        <v/>
      </c>
      <c r="G14" s="22" t="n"/>
    </row>
    <row r="15">
      <c r="A15" s="22" t="inlineStr">
        <is>
          <t>0155</t>
        </is>
      </c>
      <c r="B15" s="11" t="inlineStr">
        <is>
          <t>Mason (average)</t>
        </is>
      </c>
      <c r="C15" s="22" t="inlineStr">
        <is>
          <t>day</t>
        </is>
      </c>
      <c r="D15" s="23" t="n">
        <v>0.1</v>
      </c>
      <c r="E15" s="24" t="n">
        <v>709</v>
      </c>
      <c r="F15" s="24">
        <f>D15*E15</f>
        <v/>
      </c>
      <c r="G15" s="22" t="n"/>
    </row>
    <row r="16">
      <c r="A16" s="22" t="inlineStr">
        <is>
          <t>0114</t>
        </is>
      </c>
      <c r="B16" s="11" t="inlineStr">
        <is>
          <t>Beldar</t>
        </is>
      </c>
      <c r="C16" s="22" t="inlineStr">
        <is>
          <t>day</t>
        </is>
      </c>
      <c r="D16" s="23" t="n">
        <v>1.63</v>
      </c>
      <c r="E16" s="24" t="n">
        <v>558</v>
      </c>
      <c r="F16" s="24">
        <f>D16*E16</f>
        <v/>
      </c>
      <c r="G16" s="22" t="n"/>
    </row>
    <row r="17">
      <c r="A17" s="22" t="inlineStr">
        <is>
          <t>0101</t>
        </is>
      </c>
      <c r="B17" s="11" t="inlineStr">
        <is>
          <t>Bhisti</t>
        </is>
      </c>
      <c r="C17" s="22" t="inlineStr">
        <is>
          <t>day</t>
        </is>
      </c>
      <c r="D17" s="23" t="n">
        <v>0.7</v>
      </c>
      <c r="E17" s="24" t="n">
        <v>617</v>
      </c>
      <c r="F17" s="24">
        <f>D17*E17</f>
        <v/>
      </c>
      <c r="G17" s="22" t="n"/>
    </row>
    <row r="18">
      <c r="A18" s="22" t="inlineStr">
        <is>
          <t>0002</t>
        </is>
      </c>
      <c r="B18" s="11" t="inlineStr">
        <is>
          <t>Hire charges of Concrete Mixer 0.25 to 0.40 cum with hooper</t>
        </is>
      </c>
      <c r="C18" s="22" t="inlineStr">
        <is>
          <t>day</t>
        </is>
      </c>
      <c r="D18" s="23" t="n">
        <v>0.07000000000000001</v>
      </c>
      <c r="E18" s="24" t="n">
        <v>800</v>
      </c>
      <c r="F18" s="24">
        <f>D18*E18</f>
        <v/>
      </c>
      <c r="G18" s="22" t="n"/>
    </row>
    <row r="19">
      <c r="A19" s="22" t="inlineStr">
        <is>
          <t>0012</t>
        </is>
      </c>
      <c r="B19" s="11" t="inlineStr">
        <is>
          <t>Vibrator(Needle type 40mm)</t>
        </is>
      </c>
      <c r="C19" s="22" t="inlineStr">
        <is>
          <t>day</t>
        </is>
      </c>
      <c r="D19" s="23" t="n">
        <v>0.07000000000000001</v>
      </c>
      <c r="E19" s="24" t="n">
        <v>370</v>
      </c>
      <c r="F19" s="24">
        <f>D19*E19</f>
        <v/>
      </c>
      <c r="G19" s="22" t="n"/>
    </row>
    <row r="20">
      <c r="A20" s="22" t="inlineStr">
        <is>
          <t>9999</t>
        </is>
      </c>
      <c r="B20" s="11" t="inlineStr">
        <is>
          <t>Sundries</t>
        </is>
      </c>
      <c r="C20" s="22" t="inlineStr">
        <is>
          <t>L.S.</t>
        </is>
      </c>
      <c r="D20" s="23" t="n">
        <v>14.3</v>
      </c>
      <c r="E20" s="24" t="n">
        <v>2</v>
      </c>
      <c r="F20" s="24">
        <f>D20*E20</f>
        <v/>
      </c>
      <c r="G20" s="22" t="n"/>
    </row>
    <row r="21">
      <c r="A21" s="8" t="inlineStr">
        <is>
          <t>Calculated W - SUM of the Amount column above</t>
        </is>
      </c>
      <c r="B21" s="9" t="n"/>
      <c r="C21" s="9" t="n"/>
      <c r="D21" s="9" t="n"/>
      <c r="E21" s="9" t="n"/>
      <c r="F21" s="25">
        <f>SUM(F8:F20)</f>
        <v/>
      </c>
      <c r="G21" s="9" t="n"/>
    </row>
    <row r="22">
      <c r="A22" s="26" t="inlineStr">
        <is>
          <t>W as printed in the DAR</t>
        </is>
      </c>
      <c r="B22" s="22" t="n"/>
      <c r="C22" s="22" t="n"/>
      <c r="D22" s="22" t="n"/>
      <c r="E22" s="22" t="n"/>
      <c r="F22" s="27" t="n">
        <v>5389.29</v>
      </c>
      <c r="G22" s="22" t="n"/>
    </row>
    <row r="23">
      <c r="A23" s="26" t="inlineStr">
        <is>
          <t>Difference (calculated - printed)</t>
        </is>
      </c>
      <c r="B23" s="22" t="n"/>
      <c r="C23" s="22" t="n"/>
      <c r="D23" s="22" t="n"/>
      <c r="E23" s="22" t="n"/>
      <c r="F23" s="27">
        <f>F21-F22</f>
        <v/>
      </c>
      <c r="G23" s="22" t="n"/>
    </row>
    <row r="24">
      <c r="A24" s="29" t="inlineStr">
        <is>
          <t>SAY (Rs.) - final DAR rate as printed (fixed value, not computed)</t>
        </is>
      </c>
      <c r="B24" s="30" t="n"/>
      <c r="C24" s="30" t="n"/>
      <c r="D24" s="30" t="n"/>
      <c r="E24" s="30" t="n"/>
      <c r="F24" s="31" t="n">
        <v>7210.55</v>
      </c>
      <c r="G24" s="30" t="n"/>
    </row>
    <row r="26" ht="33" customHeight="1">
      <c r="A26" s="8" t="inlineStr">
        <is>
          <t>4.1</t>
        </is>
      </c>
      <c r="B26" s="17" t="inlineStr">
        <is>
          <t>Providing and laying in position cement concrete of specified grade excluding the cost of centering and shuttering - All work up to plinth level :</t>
        </is>
      </c>
      <c r="C26" s="9" t="n"/>
      <c r="D26" s="9" t="n"/>
      <c r="E26" s="9" t="n"/>
      <c r="F26" s="9" t="n"/>
      <c r="G26" s="9" t="n"/>
    </row>
    <row r="27" ht="18.5" customHeight="1">
      <c r="A27" s="18" t="inlineStr">
        <is>
          <t>4.1.3</t>
        </is>
      </c>
      <c r="B27" s="19" t="inlineStr">
        <is>
          <t>1:2:4 (1 cement : 2 coarse sand (zone-III) : 4 graded stone aggregate 20 mm nominal size)</t>
        </is>
      </c>
      <c r="C27" s="20" t="n"/>
      <c r="D27" s="20" t="n"/>
      <c r="E27" s="20" t="n"/>
      <c r="F27" s="20" t="n"/>
      <c r="G27" s="20" t="n"/>
    </row>
    <row r="28">
      <c r="A28" s="21" t="inlineStr">
        <is>
          <t>Details of cost for 1 cum   |   Source: CivilDAR_2019_Vol_1.pdf, page 154</t>
        </is>
      </c>
    </row>
    <row r="29">
      <c r="A29" s="5" t="inlineStr">
        <is>
          <t>Code</t>
        </is>
      </c>
      <c r="B29" s="5" t="inlineStr">
        <is>
          <t>Description</t>
        </is>
      </c>
      <c r="C29" s="5" t="inlineStr">
        <is>
          <t>Unit</t>
        </is>
      </c>
      <c r="D29" s="5" t="inlineStr">
        <is>
          <t>Quantity</t>
        </is>
      </c>
      <c r="E29" s="5" t="inlineStr">
        <is>
          <t>Rate (Rs.)</t>
        </is>
      </c>
      <c r="F29" s="5" t="inlineStr">
        <is>
          <t>Amount (Rs.)</t>
        </is>
      </c>
      <c r="G29" s="5" t="inlineStr">
        <is>
          <t>Note</t>
        </is>
      </c>
    </row>
    <row r="30">
      <c r="A30" s="22" t="inlineStr">
        <is>
          <t>0295</t>
        </is>
      </c>
      <c r="B30" s="11" t="inlineStr">
        <is>
          <t>Stone Aggregate (Single size) : 20 mm nominal size</t>
        </is>
      </c>
      <c r="C30" s="22" t="inlineStr">
        <is>
          <t>cum</t>
        </is>
      </c>
      <c r="D30" s="23" t="n">
        <v>0.67</v>
      </c>
      <c r="E30" s="24" t="n">
        <v>1350</v>
      </c>
      <c r="F30" s="24">
        <f>D30*E30</f>
        <v/>
      </c>
      <c r="G30" s="22" t="n"/>
    </row>
    <row r="31">
      <c r="A31" s="22" t="inlineStr">
        <is>
          <t>0297</t>
        </is>
      </c>
      <c r="B31" s="11" t="inlineStr">
        <is>
          <t>Stone Aggregate (Single size) : 10 mm nominal size</t>
        </is>
      </c>
      <c r="C31" s="22" t="inlineStr">
        <is>
          <t>cum</t>
        </is>
      </c>
      <c r="D31" s="23" t="n">
        <v>0.22</v>
      </c>
      <c r="E31" s="24" t="n">
        <v>1350</v>
      </c>
      <c r="F31" s="24">
        <f>D31*E31</f>
        <v/>
      </c>
      <c r="G31" s="22" t="n"/>
    </row>
    <row r="32">
      <c r="A32" s="22" t="inlineStr">
        <is>
          <t>2202</t>
        </is>
      </c>
      <c r="B32" s="11" t="inlineStr">
        <is>
          <t>Carriage of Stone aggregate below 40 mm nominal size</t>
        </is>
      </c>
      <c r="C32" s="22" t="inlineStr">
        <is>
          <t>cum</t>
        </is>
      </c>
      <c r="D32" s="23" t="n">
        <v>0.89</v>
      </c>
      <c r="E32" s="24" t="n">
        <v>103.77</v>
      </c>
      <c r="F32" s="24">
        <f>D32*E32</f>
        <v/>
      </c>
      <c r="G32" s="22" t="n"/>
    </row>
    <row r="33">
      <c r="A33" s="22" t="inlineStr">
        <is>
          <t>0982</t>
        </is>
      </c>
      <c r="B33" s="11" t="inlineStr">
        <is>
          <t>Coarse sand (zone III)</t>
        </is>
      </c>
      <c r="C33" s="22" t="inlineStr">
        <is>
          <t>cum</t>
        </is>
      </c>
      <c r="D33" s="23" t="n">
        <v>0.445</v>
      </c>
      <c r="E33" s="24" t="n">
        <v>1350</v>
      </c>
      <c r="F33" s="24">
        <f>D33*E33</f>
        <v/>
      </c>
      <c r="G33" s="22" t="n"/>
    </row>
    <row r="34">
      <c r="A34" s="22" t="inlineStr">
        <is>
          <t>2203</t>
        </is>
      </c>
      <c r="B34" s="11" t="inlineStr">
        <is>
          <t>Carriage of Coarse sand</t>
        </is>
      </c>
      <c r="C34" s="22" t="inlineStr">
        <is>
          <t>cum</t>
        </is>
      </c>
      <c r="D34" s="23" t="n">
        <v>0.445</v>
      </c>
      <c r="E34" s="24" t="n">
        <v>103.77</v>
      </c>
      <c r="F34" s="24">
        <f>D34*E34</f>
        <v/>
      </c>
      <c r="G34" s="22" t="n"/>
    </row>
    <row r="35">
      <c r="A35" s="22" t="inlineStr">
        <is>
          <t>0367</t>
        </is>
      </c>
      <c r="B35" s="11" t="inlineStr">
        <is>
          <t>Portland Cement (0.2225 cum)</t>
        </is>
      </c>
      <c r="C35" s="22" t="inlineStr">
        <is>
          <t>tonne</t>
        </is>
      </c>
      <c r="D35" s="23" t="n">
        <v>0.32</v>
      </c>
      <c r="E35" s="24" t="n">
        <v>4940</v>
      </c>
      <c r="F35" s="24">
        <f>D35*E35</f>
        <v/>
      </c>
      <c r="G35" s="22" t="n"/>
    </row>
    <row r="36">
      <c r="A36" s="22" t="inlineStr">
        <is>
          <t>2209</t>
        </is>
      </c>
      <c r="B36" s="11" t="inlineStr">
        <is>
          <t>Carriage of Cement</t>
        </is>
      </c>
      <c r="C36" s="22" t="inlineStr">
        <is>
          <t>tonne</t>
        </is>
      </c>
      <c r="D36" s="23" t="n">
        <v>0.32</v>
      </c>
      <c r="E36" s="24" t="n">
        <v>92.23999999999999</v>
      </c>
      <c r="F36" s="24">
        <f>D36*E36</f>
        <v/>
      </c>
      <c r="G36" s="22" t="n"/>
    </row>
    <row r="37">
      <c r="A37" s="22" t="inlineStr">
        <is>
          <t>0155</t>
        </is>
      </c>
      <c r="B37" s="11" t="inlineStr">
        <is>
          <t>Mason (average)</t>
        </is>
      </c>
      <c r="C37" s="22" t="inlineStr">
        <is>
          <t>day</t>
        </is>
      </c>
      <c r="D37" s="23" t="n">
        <v>0.1</v>
      </c>
      <c r="E37" s="24" t="n">
        <v>709</v>
      </c>
      <c r="F37" s="24">
        <f>D37*E37</f>
        <v/>
      </c>
      <c r="G37" s="22" t="n"/>
    </row>
    <row r="38">
      <c r="A38" s="22" t="inlineStr">
        <is>
          <t>0114</t>
        </is>
      </c>
      <c r="B38" s="11" t="inlineStr">
        <is>
          <t>Beldar</t>
        </is>
      </c>
      <c r="C38" s="22" t="inlineStr">
        <is>
          <t>day</t>
        </is>
      </c>
      <c r="D38" s="23" t="n">
        <v>1.63</v>
      </c>
      <c r="E38" s="24" t="n">
        <v>558</v>
      </c>
      <c r="F38" s="24">
        <f>D38*E38</f>
        <v/>
      </c>
      <c r="G38" s="22" t="n"/>
    </row>
    <row r="39">
      <c r="A39" s="22" t="inlineStr">
        <is>
          <t>0101</t>
        </is>
      </c>
      <c r="B39" s="11" t="inlineStr">
        <is>
          <t>Bhisti</t>
        </is>
      </c>
      <c r="C39" s="22" t="inlineStr">
        <is>
          <t>day</t>
        </is>
      </c>
      <c r="D39" s="23" t="n">
        <v>0.7</v>
      </c>
      <c r="E39" s="24" t="n">
        <v>617</v>
      </c>
      <c r="F39" s="24">
        <f>D39*E39</f>
        <v/>
      </c>
      <c r="G39" s="22" t="n"/>
    </row>
    <row r="40">
      <c r="A40" s="22" t="inlineStr">
        <is>
          <t>0002</t>
        </is>
      </c>
      <c r="B40" s="11" t="inlineStr">
        <is>
          <t>Hire charges of Concrete Mixer 0.25 to 0.40 cum with hooper</t>
        </is>
      </c>
      <c r="C40" s="22" t="inlineStr">
        <is>
          <t>day</t>
        </is>
      </c>
      <c r="D40" s="23" t="n">
        <v>0.07000000000000001</v>
      </c>
      <c r="E40" s="24" t="n">
        <v>800</v>
      </c>
      <c r="F40" s="24">
        <f>D40*E40</f>
        <v/>
      </c>
      <c r="G40" s="22" t="n"/>
    </row>
    <row r="41">
      <c r="A41" s="22" t="inlineStr">
        <is>
          <t>0012</t>
        </is>
      </c>
      <c r="B41" s="11" t="inlineStr">
        <is>
          <t>Vibrator(Needle type 40mm)</t>
        </is>
      </c>
      <c r="C41" s="22" t="inlineStr">
        <is>
          <t>day</t>
        </is>
      </c>
      <c r="D41" s="23" t="n">
        <v>0.07000000000000001</v>
      </c>
      <c r="E41" s="24" t="n">
        <v>370</v>
      </c>
      <c r="F41" s="24">
        <f>D41*E41</f>
        <v/>
      </c>
      <c r="G41" s="22" t="n"/>
    </row>
    <row r="42">
      <c r="A42" s="22" t="inlineStr">
        <is>
          <t>9999</t>
        </is>
      </c>
      <c r="B42" s="11" t="inlineStr">
        <is>
          <t>Sundries</t>
        </is>
      </c>
      <c r="C42" s="22" t="inlineStr">
        <is>
          <t>L.S.</t>
        </is>
      </c>
      <c r="D42" s="23" t="n">
        <v>14.3</v>
      </c>
      <c r="E42" s="24" t="n">
        <v>2</v>
      </c>
      <c r="F42" s="24">
        <f>D42*E42</f>
        <v/>
      </c>
      <c r="G42" s="22" t="n"/>
    </row>
    <row r="43">
      <c r="A43" s="8" t="inlineStr">
        <is>
          <t>Calculated W - SUM of the Amount column above</t>
        </is>
      </c>
      <c r="B43" s="9" t="n"/>
      <c r="C43" s="9" t="n"/>
      <c r="D43" s="9" t="n"/>
      <c r="E43" s="9" t="n"/>
      <c r="F43" s="25">
        <f>SUM(F30:F42)</f>
        <v/>
      </c>
      <c r="G43" s="9" t="n"/>
    </row>
    <row r="44">
      <c r="A44" s="26" t="inlineStr">
        <is>
          <t>W as printed in the DAR</t>
        </is>
      </c>
      <c r="B44" s="22" t="n"/>
      <c r="C44" s="22" t="n"/>
      <c r="D44" s="22" t="n"/>
      <c r="E44" s="22" t="n"/>
      <c r="F44" s="27" t="n">
        <v>5073.94</v>
      </c>
      <c r="G44" s="22" t="n"/>
    </row>
    <row r="45">
      <c r="A45" s="26" t="inlineStr">
        <is>
          <t>Difference (calculated - printed)</t>
        </is>
      </c>
      <c r="B45" s="22" t="n"/>
      <c r="C45" s="22" t="n"/>
      <c r="D45" s="22" t="n"/>
      <c r="E45" s="22" t="n"/>
      <c r="F45" s="27">
        <f>F43-F44</f>
        <v/>
      </c>
      <c r="G45" s="22" t="n"/>
    </row>
    <row r="46">
      <c r="A46" s="29" t="inlineStr">
        <is>
          <t>SAY (Rs.) - final DAR rate as printed (fixed value, not computed)</t>
        </is>
      </c>
      <c r="B46" s="30" t="n"/>
      <c r="C46" s="30" t="n"/>
      <c r="D46" s="30" t="n"/>
      <c r="E46" s="30" t="n"/>
      <c r="F46" s="31" t="n">
        <v>6788.6</v>
      </c>
      <c r="G46" s="30" t="n"/>
    </row>
    <row r="48" ht="33" customHeight="1">
      <c r="A48" s="8" t="inlineStr">
        <is>
          <t>4.1</t>
        </is>
      </c>
      <c r="B48" s="17" t="inlineStr">
        <is>
          <t>Providing and laying in position cement concrete of specified grade excluding the cost of centering and shuttering - All work up to plinth level :</t>
        </is>
      </c>
      <c r="C48" s="9" t="n"/>
      <c r="D48" s="9" t="n"/>
      <c r="E48" s="9" t="n"/>
      <c r="F48" s="9" t="n"/>
      <c r="G48" s="9" t="n"/>
    </row>
    <row r="49" ht="18.5" customHeight="1">
      <c r="A49" s="18" t="inlineStr">
        <is>
          <t>4.1.4</t>
        </is>
      </c>
      <c r="B49" s="19" t="inlineStr">
        <is>
          <t>1:2:4 (1 Cement : 2 coarse sand (zone-III) : 4 graded stone aggregate 40 mm nominal size)</t>
        </is>
      </c>
      <c r="C49" s="20" t="n"/>
      <c r="D49" s="20" t="n"/>
      <c r="E49" s="20" t="n"/>
      <c r="F49" s="20" t="n"/>
      <c r="G49" s="20" t="n"/>
    </row>
    <row r="50">
      <c r="A50" s="21" t="inlineStr">
        <is>
          <t>Details of cost for 1 cum   |   Source: CivilDAR_2019_Vol_1.pdf, page 155</t>
        </is>
      </c>
    </row>
    <row r="51">
      <c r="A51" s="5" t="inlineStr">
        <is>
          <t>Code</t>
        </is>
      </c>
      <c r="B51" s="5" t="inlineStr">
        <is>
          <t>Description</t>
        </is>
      </c>
      <c r="C51" s="5" t="inlineStr">
        <is>
          <t>Unit</t>
        </is>
      </c>
      <c r="D51" s="5" t="inlineStr">
        <is>
          <t>Quantity</t>
        </is>
      </c>
      <c r="E51" s="5" t="inlineStr">
        <is>
          <t>Rate (Rs.)</t>
        </is>
      </c>
      <c r="F51" s="5" t="inlineStr">
        <is>
          <t>Amount (Rs.)</t>
        </is>
      </c>
      <c r="G51" s="5" t="inlineStr">
        <is>
          <t>Note</t>
        </is>
      </c>
    </row>
    <row r="52">
      <c r="A52" s="22" t="inlineStr">
        <is>
          <t>0293</t>
        </is>
      </c>
      <c r="B52" s="11" t="inlineStr">
        <is>
          <t>Stone Aggregate (Single size) : 40 mm nominal size,</t>
        </is>
      </c>
      <c r="C52" s="22" t="inlineStr">
        <is>
          <t>cum</t>
        </is>
      </c>
      <c r="D52" s="23" t="n">
        <v>0.52</v>
      </c>
      <c r="E52" s="24" t="n">
        <v>1300</v>
      </c>
      <c r="F52" s="24">
        <f>D52*E52</f>
        <v/>
      </c>
      <c r="G52" s="22" t="n"/>
    </row>
    <row r="53">
      <c r="A53" s="22" t="inlineStr">
        <is>
          <t>0295</t>
        </is>
      </c>
      <c r="B53" s="11" t="inlineStr">
        <is>
          <t>Stone Aggregate (Single size) : 20 mm nominal size</t>
        </is>
      </c>
      <c r="C53" s="22" t="inlineStr">
        <is>
          <t>cum</t>
        </is>
      </c>
      <c r="D53" s="23" t="n">
        <v>0.22</v>
      </c>
      <c r="E53" s="24" t="n">
        <v>1350</v>
      </c>
      <c r="F53" s="24">
        <f>D53*E53</f>
        <v/>
      </c>
      <c r="G53" s="22" t="n"/>
    </row>
    <row r="54">
      <c r="A54" s="22" t="inlineStr">
        <is>
          <t>0297</t>
        </is>
      </c>
      <c r="B54" s="11" t="inlineStr">
        <is>
          <t>Stone Aggregate (Single size) : 10 mm nominal size</t>
        </is>
      </c>
      <c r="C54" s="22" t="inlineStr">
        <is>
          <t>cum</t>
        </is>
      </c>
      <c r="D54" s="23" t="n">
        <v>0.11</v>
      </c>
      <c r="E54" s="24" t="n">
        <v>1350</v>
      </c>
      <c r="F54" s="24">
        <f>D54*E54</f>
        <v/>
      </c>
      <c r="G54" s="22" t="n"/>
    </row>
    <row r="55">
      <c r="A55" s="22" t="inlineStr">
        <is>
          <t>2206</t>
        </is>
      </c>
      <c r="B55" s="11" t="inlineStr">
        <is>
          <t>Carriage of Stone aggregate 40 mm nominal size and above</t>
        </is>
      </c>
      <c r="C55" s="22" t="inlineStr">
        <is>
          <t>cum</t>
        </is>
      </c>
      <c r="D55" s="23" t="n">
        <v>0.52</v>
      </c>
      <c r="E55" s="24" t="n">
        <v>112.79</v>
      </c>
      <c r="F55" s="24">
        <f>D55*E55</f>
        <v/>
      </c>
      <c r="G55" s="22" t="n"/>
    </row>
    <row r="56">
      <c r="A56" s="22" t="inlineStr">
        <is>
          <t>2202</t>
        </is>
      </c>
      <c r="B56" s="11" t="inlineStr">
        <is>
          <t>Carriage of Stone aggregate below 40 mm nominal size</t>
        </is>
      </c>
      <c r="C56" s="22" t="inlineStr">
        <is>
          <t>cum</t>
        </is>
      </c>
      <c r="D56" s="23" t="n">
        <v>0.33</v>
      </c>
      <c r="E56" s="24" t="n">
        <v>103.77</v>
      </c>
      <c r="F56" s="24">
        <f>D56*E56</f>
        <v/>
      </c>
      <c r="G56" s="22" t="n"/>
    </row>
    <row r="57">
      <c r="A57" s="22" t="inlineStr">
        <is>
          <t>0982</t>
        </is>
      </c>
      <c r="B57" s="11" t="inlineStr">
        <is>
          <t>Coarse sand (zone III)</t>
        </is>
      </c>
      <c r="C57" s="22" t="inlineStr">
        <is>
          <t>cum</t>
        </is>
      </c>
      <c r="D57" s="23" t="n">
        <v>0.445</v>
      </c>
      <c r="E57" s="24" t="n">
        <v>1350</v>
      </c>
      <c r="F57" s="24">
        <f>D57*E57</f>
        <v/>
      </c>
      <c r="G57" s="22" t="n"/>
    </row>
    <row r="58">
      <c r="A58" s="22" t="inlineStr">
        <is>
          <t>2203</t>
        </is>
      </c>
      <c r="B58" s="11" t="inlineStr">
        <is>
          <t>Carriage of Coarse sand</t>
        </is>
      </c>
      <c r="C58" s="22" t="inlineStr">
        <is>
          <t>cum</t>
        </is>
      </c>
      <c r="D58" s="23" t="n">
        <v>0.445</v>
      </c>
      <c r="E58" s="24" t="n">
        <v>103.77</v>
      </c>
      <c r="F58" s="24">
        <f>D58*E58</f>
        <v/>
      </c>
      <c r="G58" s="22" t="n"/>
    </row>
    <row r="59">
      <c r="A59" s="22" t="inlineStr">
        <is>
          <t>0367</t>
        </is>
      </c>
      <c r="B59" s="11" t="inlineStr">
        <is>
          <t>Portland Cement (0.2225 cum)</t>
        </is>
      </c>
      <c r="C59" s="22" t="inlineStr">
        <is>
          <t>tonne</t>
        </is>
      </c>
      <c r="D59" s="23" t="n">
        <v>0.32</v>
      </c>
      <c r="E59" s="24" t="n">
        <v>4940</v>
      </c>
      <c r="F59" s="24">
        <f>D59*E59</f>
        <v/>
      </c>
      <c r="G59" s="22" t="n"/>
    </row>
    <row r="60">
      <c r="A60" s="22" t="inlineStr">
        <is>
          <t>2209</t>
        </is>
      </c>
      <c r="B60" s="11" t="inlineStr">
        <is>
          <t>Carriage of Cement</t>
        </is>
      </c>
      <c r="C60" s="22" t="inlineStr">
        <is>
          <t>tonne</t>
        </is>
      </c>
      <c r="D60" s="23" t="n">
        <v>0.32</v>
      </c>
      <c r="E60" s="24" t="n">
        <v>92.23999999999999</v>
      </c>
      <c r="F60" s="24">
        <f>D60*E60</f>
        <v/>
      </c>
      <c r="G60" s="22" t="n"/>
    </row>
    <row r="61">
      <c r="A61" s="22" t="inlineStr">
        <is>
          <t>0155</t>
        </is>
      </c>
      <c r="B61" s="11" t="inlineStr">
        <is>
          <t>Mason (average)</t>
        </is>
      </c>
      <c r="C61" s="22" t="inlineStr">
        <is>
          <t>day</t>
        </is>
      </c>
      <c r="D61" s="23" t="n">
        <v>0.1</v>
      </c>
      <c r="E61" s="24" t="n">
        <v>709</v>
      </c>
      <c r="F61" s="24">
        <f>D61*E61</f>
        <v/>
      </c>
      <c r="G61" s="22" t="n"/>
    </row>
    <row r="62">
      <c r="A62" s="22" t="inlineStr">
        <is>
          <t>0114</t>
        </is>
      </c>
      <c r="B62" s="11" t="inlineStr">
        <is>
          <t>Beldar</t>
        </is>
      </c>
      <c r="C62" s="22" t="inlineStr">
        <is>
          <t>day</t>
        </is>
      </c>
      <c r="D62" s="23" t="n">
        <v>1.63</v>
      </c>
      <c r="E62" s="24" t="n">
        <v>558</v>
      </c>
      <c r="F62" s="24">
        <f>D62*E62</f>
        <v/>
      </c>
      <c r="G62" s="22" t="n"/>
    </row>
    <row r="63">
      <c r="A63" s="22" t="inlineStr">
        <is>
          <t>0101</t>
        </is>
      </c>
      <c r="B63" s="11" t="inlineStr">
        <is>
          <t>Bhisti</t>
        </is>
      </c>
      <c r="C63" s="22" t="inlineStr">
        <is>
          <t>day</t>
        </is>
      </c>
      <c r="D63" s="23" t="n">
        <v>0.7</v>
      </c>
      <c r="E63" s="24" t="n">
        <v>617</v>
      </c>
      <c r="F63" s="24">
        <f>D63*E63</f>
        <v/>
      </c>
      <c r="G63" s="22" t="n"/>
    </row>
    <row r="64">
      <c r="A64" s="22" t="inlineStr">
        <is>
          <t>0002</t>
        </is>
      </c>
      <c r="B64" s="11" t="inlineStr">
        <is>
          <t>Hire charges of Concrete Mixer 0.25 to 0.40 cum with hooper</t>
        </is>
      </c>
      <c r="C64" s="22" t="inlineStr">
        <is>
          <t>day</t>
        </is>
      </c>
      <c r="D64" s="23" t="n">
        <v>0.07000000000000001</v>
      </c>
      <c r="E64" s="24" t="n">
        <v>800</v>
      </c>
      <c r="F64" s="24">
        <f>D64*E64</f>
        <v/>
      </c>
      <c r="G64" s="22" t="n"/>
    </row>
    <row r="65">
      <c r="A65" s="22" t="inlineStr">
        <is>
          <t>0012</t>
        </is>
      </c>
      <c r="B65" s="11" t="inlineStr">
        <is>
          <t>Vibrator(Needle type 40mm)</t>
        </is>
      </c>
      <c r="C65" s="22" t="inlineStr">
        <is>
          <t>day</t>
        </is>
      </c>
      <c r="D65" s="23" t="n">
        <v>0.07000000000000001</v>
      </c>
      <c r="E65" s="24" t="n">
        <v>370</v>
      </c>
      <c r="F65" s="24">
        <f>D65*E65</f>
        <v/>
      </c>
      <c r="G65" s="22" t="n"/>
    </row>
    <row r="66">
      <c r="A66" s="22" t="inlineStr">
        <is>
          <t>9999</t>
        </is>
      </c>
      <c r="B66" s="11" t="inlineStr">
        <is>
          <t>Sundries</t>
        </is>
      </c>
      <c r="C66" s="22" t="inlineStr">
        <is>
          <t>L.S.</t>
        </is>
      </c>
      <c r="D66" s="23" t="n">
        <v>13.52</v>
      </c>
      <c r="E66" s="24" t="n">
        <v>2</v>
      </c>
      <c r="F66" s="24">
        <f>D66*E66</f>
        <v/>
      </c>
      <c r="G66" s="22" t="n"/>
    </row>
    <row r="67">
      <c r="A67" s="8" t="inlineStr">
        <is>
          <t>Calculated W - SUM of the Amount column above</t>
        </is>
      </c>
      <c r="B67" s="9" t="n"/>
      <c r="C67" s="9" t="n"/>
      <c r="D67" s="9" t="n"/>
      <c r="E67" s="9" t="n"/>
      <c r="F67" s="25">
        <f>SUM(F52:F66)</f>
        <v/>
      </c>
      <c r="G67" s="9" t="n"/>
    </row>
    <row r="68">
      <c r="A68" s="26" t="inlineStr">
        <is>
          <t>W as printed in the DAR</t>
        </is>
      </c>
      <c r="B68" s="22" t="n"/>
      <c r="C68" s="22" t="n"/>
      <c r="D68" s="22" t="n"/>
      <c r="E68" s="22" t="n"/>
      <c r="F68" s="27" t="n">
        <v>4992.92</v>
      </c>
      <c r="G68" s="22" t="n"/>
    </row>
    <row r="69">
      <c r="A69" s="26" t="inlineStr">
        <is>
          <t>Difference (calculated - printed)</t>
        </is>
      </c>
      <c r="B69" s="22" t="n"/>
      <c r="C69" s="22" t="n"/>
      <c r="D69" s="22" t="n"/>
      <c r="E69" s="22" t="n"/>
      <c r="F69" s="27">
        <f>F67-F68</f>
        <v/>
      </c>
      <c r="G69" s="22" t="n"/>
    </row>
    <row r="70">
      <c r="A70" s="29" t="inlineStr">
        <is>
          <t>SAY (Rs.) - final DAR rate as printed (fixed value, not computed)</t>
        </is>
      </c>
      <c r="B70" s="30" t="n"/>
      <c r="C70" s="30" t="n"/>
      <c r="D70" s="30" t="n"/>
      <c r="E70" s="30" t="n"/>
      <c r="F70" s="31" t="n">
        <v>6680.2</v>
      </c>
      <c r="G70" s="30" t="n"/>
    </row>
    <row r="72" ht="33" customHeight="1">
      <c r="A72" s="8" t="inlineStr">
        <is>
          <t>4.1</t>
        </is>
      </c>
      <c r="B72" s="17" t="inlineStr">
        <is>
          <t>Providing and laying in position cement concrete of specified grade excluding the cost of centering and shuttering - All work up to plinth level :</t>
        </is>
      </c>
      <c r="C72" s="9" t="n"/>
      <c r="D72" s="9" t="n"/>
      <c r="E72" s="9" t="n"/>
      <c r="F72" s="9" t="n"/>
      <c r="G72" s="9" t="n"/>
    </row>
    <row r="73" ht="18.5" customHeight="1">
      <c r="A73" s="18" t="inlineStr">
        <is>
          <t>4.1.5</t>
        </is>
      </c>
      <c r="B73" s="19" t="inlineStr">
        <is>
          <t>1:3:6 (1 Cement : 3 coarse sand (zone-III) : 6 graded stone aggregate 20 mm nominal size)</t>
        </is>
      </c>
      <c r="C73" s="20" t="n"/>
      <c r="D73" s="20" t="n"/>
      <c r="E73" s="20" t="n"/>
      <c r="F73" s="20" t="n"/>
      <c r="G73" s="20" t="n"/>
    </row>
    <row r="74">
      <c r="A74" s="21" t="inlineStr">
        <is>
          <t>Details of cost for 1 cum   |   Source: CivilDAR_2019_Vol_1.pdf, page 156</t>
        </is>
      </c>
    </row>
    <row r="75">
      <c r="A75" s="5" t="inlineStr">
        <is>
          <t>Code</t>
        </is>
      </c>
      <c r="B75" s="5" t="inlineStr">
        <is>
          <t>Description</t>
        </is>
      </c>
      <c r="C75" s="5" t="inlineStr">
        <is>
          <t>Unit</t>
        </is>
      </c>
      <c r="D75" s="5" t="inlineStr">
        <is>
          <t>Quantity</t>
        </is>
      </c>
      <c r="E75" s="5" t="inlineStr">
        <is>
          <t>Rate (Rs.)</t>
        </is>
      </c>
      <c r="F75" s="5" t="inlineStr">
        <is>
          <t>Amount (Rs.)</t>
        </is>
      </c>
      <c r="G75" s="5" t="inlineStr">
        <is>
          <t>Note</t>
        </is>
      </c>
    </row>
    <row r="76">
      <c r="A76" s="22" t="inlineStr">
        <is>
          <t>0295</t>
        </is>
      </c>
      <c r="B76" s="11" t="inlineStr">
        <is>
          <t>Stone Aggregate (Single size) : 20 mm nominal size</t>
        </is>
      </c>
      <c r="C76" s="22" t="inlineStr">
        <is>
          <t>cum</t>
        </is>
      </c>
      <c r="D76" s="23" t="n">
        <v>0.7</v>
      </c>
      <c r="E76" s="24" t="n">
        <v>1350</v>
      </c>
      <c r="F76" s="24">
        <f>D76*E76</f>
        <v/>
      </c>
      <c r="G76" s="22" t="n"/>
    </row>
    <row r="77">
      <c r="A77" s="22" t="inlineStr">
        <is>
          <t>0297</t>
        </is>
      </c>
      <c r="B77" s="11" t="inlineStr">
        <is>
          <t>Stone Aggregate (Single size) : 10 mm nominal size</t>
        </is>
      </c>
      <c r="C77" s="22" t="inlineStr">
        <is>
          <t>cum</t>
        </is>
      </c>
      <c r="D77" s="23" t="n">
        <v>0.24</v>
      </c>
      <c r="E77" s="24" t="n">
        <v>1350</v>
      </c>
      <c r="F77" s="24">
        <f>D77*E77</f>
        <v/>
      </c>
      <c r="G77" s="22" t="n"/>
    </row>
    <row r="78">
      <c r="A78" s="22" t="inlineStr">
        <is>
          <t>2202</t>
        </is>
      </c>
      <c r="B78" s="11" t="inlineStr">
        <is>
          <t>Carriage of Stone aggregate below 40 mm nominal size</t>
        </is>
      </c>
      <c r="C78" s="22" t="inlineStr">
        <is>
          <t>cum</t>
        </is>
      </c>
      <c r="D78" s="23" t="n">
        <v>0.9399999999999999</v>
      </c>
      <c r="E78" s="24" t="n">
        <v>103.77</v>
      </c>
      <c r="F78" s="24">
        <f>D78*E78</f>
        <v/>
      </c>
      <c r="G78" s="22" t="n"/>
    </row>
    <row r="79">
      <c r="A79" s="22" t="inlineStr">
        <is>
          <t>0982</t>
        </is>
      </c>
      <c r="B79" s="11" t="inlineStr">
        <is>
          <t>Coarse sand (zone III)</t>
        </is>
      </c>
      <c r="C79" s="22" t="inlineStr">
        <is>
          <t>cum</t>
        </is>
      </c>
      <c r="D79" s="23" t="n">
        <v>0.47</v>
      </c>
      <c r="E79" s="24" t="n">
        <v>1350</v>
      </c>
      <c r="F79" s="24">
        <f>D79*E79</f>
        <v/>
      </c>
      <c r="G79" s="22" t="n"/>
    </row>
    <row r="80">
      <c r="A80" s="22" t="inlineStr">
        <is>
          <t>2203</t>
        </is>
      </c>
      <c r="B80" s="11" t="inlineStr">
        <is>
          <t>Carriage of Coarse sand</t>
        </is>
      </c>
      <c r="C80" s="22" t="inlineStr">
        <is>
          <t>cum</t>
        </is>
      </c>
      <c r="D80" s="23" t="n">
        <v>0.47</v>
      </c>
      <c r="E80" s="24" t="n">
        <v>103.77</v>
      </c>
      <c r="F80" s="24">
        <f>D80*E80</f>
        <v/>
      </c>
      <c r="G80" s="22" t="n"/>
    </row>
    <row r="81">
      <c r="A81" s="22" t="inlineStr">
        <is>
          <t>0367</t>
        </is>
      </c>
      <c r="B81" s="11" t="inlineStr">
        <is>
          <t>Portland Cement(0.15674 cum)</t>
        </is>
      </c>
      <c r="C81" s="22" t="inlineStr">
        <is>
          <t>tonne</t>
        </is>
      </c>
      <c r="D81" s="23" t="n">
        <v>0.22</v>
      </c>
      <c r="E81" s="24" t="n">
        <v>4940</v>
      </c>
      <c r="F81" s="24">
        <f>D81*E81</f>
        <v/>
      </c>
      <c r="G81" s="22" t="n"/>
    </row>
    <row r="82">
      <c r="A82" s="22" t="inlineStr">
        <is>
          <t>2209</t>
        </is>
      </c>
      <c r="B82" s="11" t="inlineStr">
        <is>
          <t>Carriage of Cement</t>
        </is>
      </c>
      <c r="C82" s="22" t="inlineStr">
        <is>
          <t>tonne</t>
        </is>
      </c>
      <c r="D82" s="23" t="n">
        <v>0.22</v>
      </c>
      <c r="E82" s="24" t="n">
        <v>92.23999999999999</v>
      </c>
      <c r="F82" s="24">
        <f>D82*E82</f>
        <v/>
      </c>
      <c r="G82" s="22" t="n"/>
    </row>
    <row r="83">
      <c r="A83" s="22" t="inlineStr">
        <is>
          <t>0155</t>
        </is>
      </c>
      <c r="B83" s="11" t="inlineStr">
        <is>
          <t>Mason (average)</t>
        </is>
      </c>
      <c r="C83" s="22" t="inlineStr">
        <is>
          <t>day</t>
        </is>
      </c>
      <c r="D83" s="23" t="n">
        <v>0.1</v>
      </c>
      <c r="E83" s="24" t="n">
        <v>709</v>
      </c>
      <c r="F83" s="24">
        <f>D83*E83</f>
        <v/>
      </c>
      <c r="G83" s="22" t="n"/>
    </row>
    <row r="84">
      <c r="A84" s="22" t="inlineStr">
        <is>
          <t>0114</t>
        </is>
      </c>
      <c r="B84" s="11" t="inlineStr">
        <is>
          <t>Beldar</t>
        </is>
      </c>
      <c r="C84" s="22" t="inlineStr">
        <is>
          <t>day</t>
        </is>
      </c>
      <c r="D84" s="23" t="n">
        <v>1.63</v>
      </c>
      <c r="E84" s="24" t="n">
        <v>558</v>
      </c>
      <c r="F84" s="24">
        <f>D84*E84</f>
        <v/>
      </c>
      <c r="G84" s="22" t="n"/>
    </row>
    <row r="85">
      <c r="A85" s="22" t="inlineStr">
        <is>
          <t>0101</t>
        </is>
      </c>
      <c r="B85" s="11" t="inlineStr">
        <is>
          <t>Bhisti</t>
        </is>
      </c>
      <c r="C85" s="22" t="inlineStr">
        <is>
          <t>day</t>
        </is>
      </c>
      <c r="D85" s="23" t="n">
        <v>0.7</v>
      </c>
      <c r="E85" s="24" t="n">
        <v>617</v>
      </c>
      <c r="F85" s="24">
        <f>D85*E85</f>
        <v/>
      </c>
      <c r="G85" s="22" t="n"/>
    </row>
    <row r="86">
      <c r="A86" s="22" t="inlineStr">
        <is>
          <t>0002</t>
        </is>
      </c>
      <c r="B86" s="11" t="inlineStr">
        <is>
          <t>Hire charges of Concrete Mixer 0.25 to 0.40 cum with hooper</t>
        </is>
      </c>
      <c r="C86" s="22" t="inlineStr">
        <is>
          <t>day</t>
        </is>
      </c>
      <c r="D86" s="23" t="n">
        <v>0.07000000000000001</v>
      </c>
      <c r="E86" s="24" t="n">
        <v>800</v>
      </c>
      <c r="F86" s="24">
        <f>D86*E86</f>
        <v/>
      </c>
      <c r="G86" s="22" t="n"/>
    </row>
    <row r="87">
      <c r="A87" s="22" t="inlineStr">
        <is>
          <t>0012</t>
        </is>
      </c>
      <c r="B87" s="11" t="inlineStr">
        <is>
          <t>Vibrator(Needle type 40mm)</t>
        </is>
      </c>
      <c r="C87" s="22" t="inlineStr">
        <is>
          <t>day</t>
        </is>
      </c>
      <c r="D87" s="23" t="n">
        <v>0.07000000000000001</v>
      </c>
      <c r="E87" s="24" t="n">
        <v>370</v>
      </c>
      <c r="F87" s="24">
        <f>D87*E87</f>
        <v/>
      </c>
      <c r="G87" s="22" t="n"/>
    </row>
    <row r="88">
      <c r="A88" s="22" t="inlineStr">
        <is>
          <t>9999</t>
        </is>
      </c>
      <c r="B88" s="11" t="inlineStr">
        <is>
          <t>Sundries</t>
        </is>
      </c>
      <c r="C88" s="22" t="inlineStr">
        <is>
          <t>L.S.</t>
        </is>
      </c>
      <c r="D88" s="23" t="n">
        <v>13.52</v>
      </c>
      <c r="E88" s="24" t="n">
        <v>2</v>
      </c>
      <c r="F88" s="24">
        <f>D88*E88</f>
        <v/>
      </c>
      <c r="G88" s="22" t="n"/>
    </row>
    <row r="89">
      <c r="A89" s="8" t="inlineStr">
        <is>
          <t>Calculated W - SUM of the Amount column above</t>
        </is>
      </c>
      <c r="B89" s="9" t="n"/>
      <c r="C89" s="9" t="n"/>
      <c r="D89" s="9" t="n"/>
      <c r="E89" s="9" t="n"/>
      <c r="F89" s="25">
        <f>SUM(F76:F88)</f>
        <v/>
      </c>
      <c r="G89" s="9" t="n"/>
    </row>
    <row r="90">
      <c r="A90" s="26" t="inlineStr">
        <is>
          <t>W as printed in the DAR</t>
        </is>
      </c>
      <c r="B90" s="22" t="n"/>
      <c r="C90" s="22" t="n"/>
      <c r="D90" s="22" t="n"/>
      <c r="E90" s="22" t="n"/>
      <c r="F90" s="27" t="n">
        <v>4678.19</v>
      </c>
      <c r="G90" s="22" t="n"/>
    </row>
    <row r="91">
      <c r="A91" s="26" t="inlineStr">
        <is>
          <t>Difference (calculated - printed)</t>
        </is>
      </c>
      <c r="B91" s="22" t="n"/>
      <c r="C91" s="22" t="n"/>
      <c r="D91" s="22" t="n"/>
      <c r="E91" s="22" t="n"/>
      <c r="F91" s="27">
        <f>F89-F90</f>
        <v/>
      </c>
      <c r="G91" s="22" t="n"/>
    </row>
    <row r="92">
      <c r="A92" s="29" t="inlineStr">
        <is>
          <t>SAY (Rs.) - final DAR rate as printed (fixed value, not computed)</t>
        </is>
      </c>
      <c r="B92" s="30" t="n"/>
      <c r="C92" s="30" t="n"/>
      <c r="D92" s="30" t="n"/>
      <c r="E92" s="30" t="n"/>
      <c r="F92" s="31" t="n">
        <v>6259.1</v>
      </c>
      <c r="G92" s="30" t="n"/>
    </row>
    <row r="94" ht="33" customHeight="1">
      <c r="A94" s="8" t="inlineStr">
        <is>
          <t>4.1</t>
        </is>
      </c>
      <c r="B94" s="17" t="inlineStr">
        <is>
          <t>Providing and laying in position cement concrete of specified grade excluding the cost of centering and shuttering - All work up to plinth level :</t>
        </is>
      </c>
      <c r="C94" s="9" t="n"/>
      <c r="D94" s="9" t="n"/>
      <c r="E94" s="9" t="n"/>
      <c r="F94" s="9" t="n"/>
      <c r="G94" s="9" t="n"/>
    </row>
    <row r="95" ht="18.5" customHeight="1">
      <c r="A95" s="18" t="inlineStr">
        <is>
          <t>4.1.6</t>
        </is>
      </c>
      <c r="B95" s="19" t="inlineStr">
        <is>
          <t>1:3:6 (1 Cement : 3 coarse sand (zone-III): 6 graded stone aggregate 40 mm nominal size)</t>
        </is>
      </c>
      <c r="C95" s="20" t="n"/>
      <c r="D95" s="20" t="n"/>
      <c r="E95" s="20" t="n"/>
      <c r="F95" s="20" t="n"/>
      <c r="G95" s="20" t="n"/>
    </row>
    <row r="96">
      <c r="A96" s="21" t="inlineStr">
        <is>
          <t>Details of cost for 1 cum   |   Source: CivilDAR_2019_Vol_1.pdf, page 157</t>
        </is>
      </c>
    </row>
    <row r="97">
      <c r="A97" s="5" t="inlineStr">
        <is>
          <t>Code</t>
        </is>
      </c>
      <c r="B97" s="5" t="inlineStr">
        <is>
          <t>Description</t>
        </is>
      </c>
      <c r="C97" s="5" t="inlineStr">
        <is>
          <t>Unit</t>
        </is>
      </c>
      <c r="D97" s="5" t="inlineStr">
        <is>
          <t>Quantity</t>
        </is>
      </c>
      <c r="E97" s="5" t="inlineStr">
        <is>
          <t>Rate (Rs.)</t>
        </is>
      </c>
      <c r="F97" s="5" t="inlineStr">
        <is>
          <t>Amount (Rs.)</t>
        </is>
      </c>
      <c r="G97" s="5" t="inlineStr">
        <is>
          <t>Note</t>
        </is>
      </c>
    </row>
    <row r="98">
      <c r="A98" s="22" t="inlineStr">
        <is>
          <t>0293</t>
        </is>
      </c>
      <c r="B98" s="11" t="inlineStr">
        <is>
          <t>Stone Aggregate (Single size) : 40 mm nominal size</t>
        </is>
      </c>
      <c r="C98" s="22" t="inlineStr">
        <is>
          <t>cum</t>
        </is>
      </c>
      <c r="D98" s="23" t="n">
        <v>0.65</v>
      </c>
      <c r="E98" s="24" t="n">
        <v>1300</v>
      </c>
      <c r="F98" s="24">
        <f>D98*E98</f>
        <v/>
      </c>
      <c r="G98" s="22" t="n"/>
    </row>
    <row r="99">
      <c r="A99" s="22" t="inlineStr">
        <is>
          <t>0295</t>
        </is>
      </c>
      <c r="B99" s="11" t="inlineStr">
        <is>
          <t>Stone Aggregate (Single size) : 20 mm nominal size</t>
        </is>
      </c>
      <c r="C99" s="22" t="inlineStr">
        <is>
          <t>cum</t>
        </is>
      </c>
      <c r="D99" s="23" t="n">
        <v>0.24</v>
      </c>
      <c r="E99" s="24" t="n">
        <v>1350</v>
      </c>
      <c r="F99" s="24">
        <f>D99*E99</f>
        <v/>
      </c>
      <c r="G99" s="22" t="n"/>
    </row>
    <row r="100">
      <c r="A100" s="22" t="inlineStr">
        <is>
          <t>2206</t>
        </is>
      </c>
      <c r="B100" s="11" t="inlineStr">
        <is>
          <t>Carriage of Stone aggregate 40 mm nominal size and above</t>
        </is>
      </c>
      <c r="C100" s="22" t="inlineStr">
        <is>
          <t>cum</t>
        </is>
      </c>
      <c r="D100" s="23" t="n">
        <v>0.65</v>
      </c>
      <c r="E100" s="24" t="n">
        <v>112.79</v>
      </c>
      <c r="F100" s="24">
        <f>D100*E100</f>
        <v/>
      </c>
      <c r="G100" s="22" t="n"/>
    </row>
    <row r="101">
      <c r="A101" s="22" t="inlineStr">
        <is>
          <t>2202</t>
        </is>
      </c>
      <c r="B101" s="11" t="inlineStr">
        <is>
          <t>Carriage of Stone aggregate below 40 mm nominal size</t>
        </is>
      </c>
      <c r="C101" s="22" t="inlineStr">
        <is>
          <t>cum</t>
        </is>
      </c>
      <c r="D101" s="23" t="n">
        <v>0.24</v>
      </c>
      <c r="E101" s="24" t="n">
        <v>103.77</v>
      </c>
      <c r="F101" s="24">
        <f>D101*E101</f>
        <v/>
      </c>
      <c r="G101" s="22" t="n"/>
    </row>
    <row r="102">
      <c r="A102" s="22" t="inlineStr">
        <is>
          <t>0982</t>
        </is>
      </c>
      <c r="B102" s="11" t="inlineStr">
        <is>
          <t>Coarse sand (zone III)</t>
        </is>
      </c>
      <c r="C102" s="22" t="inlineStr">
        <is>
          <t>cum</t>
        </is>
      </c>
      <c r="D102" s="23" t="n">
        <v>0.47</v>
      </c>
      <c r="E102" s="24" t="n">
        <v>1350</v>
      </c>
      <c r="F102" s="24">
        <f>D102*E102</f>
        <v/>
      </c>
      <c r="G102" s="22" t="n"/>
    </row>
    <row r="103">
      <c r="A103" s="22" t="inlineStr">
        <is>
          <t>2203</t>
        </is>
      </c>
      <c r="B103" s="11" t="inlineStr">
        <is>
          <t>Carriage of Coarse sand</t>
        </is>
      </c>
      <c r="C103" s="22" t="inlineStr">
        <is>
          <t>cum</t>
        </is>
      </c>
      <c r="D103" s="23" t="n">
        <v>0.47</v>
      </c>
      <c r="E103" s="24" t="n">
        <v>103.77</v>
      </c>
      <c r="F103" s="24">
        <f>D103*E103</f>
        <v/>
      </c>
      <c r="G103" s="22" t="n"/>
    </row>
    <row r="104">
      <c r="A104" s="22" t="inlineStr">
        <is>
          <t>0367</t>
        </is>
      </c>
      <c r="B104" s="11" t="inlineStr">
        <is>
          <t>Portland Cement (0.15674 cum)</t>
        </is>
      </c>
      <c r="C104" s="22" t="inlineStr">
        <is>
          <t>tonne</t>
        </is>
      </c>
      <c r="D104" s="23" t="n">
        <v>0.22</v>
      </c>
      <c r="E104" s="24" t="n">
        <v>4940</v>
      </c>
      <c r="F104" s="24">
        <f>D104*E104</f>
        <v/>
      </c>
      <c r="G104" s="22" t="n"/>
    </row>
    <row r="105">
      <c r="A105" s="22" t="inlineStr">
        <is>
          <t>2209</t>
        </is>
      </c>
      <c r="B105" s="11" t="inlineStr">
        <is>
          <t>Carriage of Cement</t>
        </is>
      </c>
      <c r="C105" s="22" t="inlineStr">
        <is>
          <t>tonne</t>
        </is>
      </c>
      <c r="D105" s="23" t="n">
        <v>0.22</v>
      </c>
      <c r="E105" s="24" t="n">
        <v>92.23999999999999</v>
      </c>
      <c r="F105" s="24">
        <f>D105*E105</f>
        <v/>
      </c>
      <c r="G105" s="22" t="n"/>
    </row>
    <row r="106">
      <c r="A106" s="22" t="inlineStr">
        <is>
          <t>0155</t>
        </is>
      </c>
      <c r="B106" s="11" t="inlineStr">
        <is>
          <t>Mason (average)</t>
        </is>
      </c>
      <c r="C106" s="22" t="inlineStr">
        <is>
          <t>day</t>
        </is>
      </c>
      <c r="D106" s="23" t="n">
        <v>0.1</v>
      </c>
      <c r="E106" s="24" t="n">
        <v>709</v>
      </c>
      <c r="F106" s="24">
        <f>D106*E106</f>
        <v/>
      </c>
      <c r="G106" s="22" t="n"/>
    </row>
    <row r="107">
      <c r="A107" s="22" t="inlineStr">
        <is>
          <t>0114</t>
        </is>
      </c>
      <c r="B107" s="11" t="inlineStr">
        <is>
          <t>Beldar</t>
        </is>
      </c>
      <c r="C107" s="22" t="inlineStr">
        <is>
          <t>day</t>
        </is>
      </c>
      <c r="D107" s="23" t="n">
        <v>1.63</v>
      </c>
      <c r="E107" s="24" t="n">
        <v>558</v>
      </c>
      <c r="F107" s="24">
        <f>D107*E107</f>
        <v/>
      </c>
      <c r="G107" s="22" t="n"/>
    </row>
    <row r="108">
      <c r="A108" s="22" t="inlineStr">
        <is>
          <t>0101</t>
        </is>
      </c>
      <c r="B108" s="11" t="inlineStr">
        <is>
          <t>Bhisti</t>
        </is>
      </c>
      <c r="C108" s="22" t="inlineStr">
        <is>
          <t>day</t>
        </is>
      </c>
      <c r="D108" s="23" t="n">
        <v>0.7</v>
      </c>
      <c r="E108" s="24" t="n">
        <v>617</v>
      </c>
      <c r="F108" s="24">
        <f>D108*E108</f>
        <v/>
      </c>
      <c r="G108" s="22" t="n"/>
    </row>
    <row r="109">
      <c r="A109" s="22" t="inlineStr">
        <is>
          <t>0002</t>
        </is>
      </c>
      <c r="B109" s="11" t="inlineStr">
        <is>
          <t>Hire charges of Concrete Mixer 0.25 to 0.40 cum with hooper</t>
        </is>
      </c>
      <c r="C109" s="22" t="inlineStr">
        <is>
          <t>day</t>
        </is>
      </c>
      <c r="D109" s="23" t="n">
        <v>0.07000000000000001</v>
      </c>
      <c r="E109" s="24" t="n">
        <v>800</v>
      </c>
      <c r="F109" s="24">
        <f>D109*E109</f>
        <v/>
      </c>
      <c r="G109" s="22" t="n"/>
    </row>
    <row r="110">
      <c r="A110" s="22" t="inlineStr">
        <is>
          <t>0012</t>
        </is>
      </c>
      <c r="B110" s="11" t="inlineStr">
        <is>
          <t>Vibrator(Needle type 40mm)</t>
        </is>
      </c>
      <c r="C110" s="22" t="inlineStr">
        <is>
          <t>day</t>
        </is>
      </c>
      <c r="D110" s="23" t="n">
        <v>0.07000000000000001</v>
      </c>
      <c r="E110" s="24" t="n">
        <v>370</v>
      </c>
      <c r="F110" s="24">
        <f>D110*E110</f>
        <v/>
      </c>
      <c r="G110" s="22" t="n"/>
    </row>
    <row r="111">
      <c r="A111" s="22" t="inlineStr">
        <is>
          <t>9999</t>
        </is>
      </c>
      <c r="B111" s="11" t="inlineStr">
        <is>
          <t>Sundries</t>
        </is>
      </c>
      <c r="C111" s="22" t="inlineStr">
        <is>
          <t>L.S.</t>
        </is>
      </c>
      <c r="D111" s="23" t="n">
        <v>13.52</v>
      </c>
      <c r="E111" s="24" t="n">
        <v>2</v>
      </c>
      <c r="F111" s="24">
        <f>D111*E111</f>
        <v/>
      </c>
      <c r="G111" s="22" t="n"/>
    </row>
    <row r="112">
      <c r="A112" s="8" t="inlineStr">
        <is>
          <t>Calculated W - SUM of the Amount column above</t>
        </is>
      </c>
      <c r="B112" s="9" t="n"/>
      <c r="C112" s="9" t="n"/>
      <c r="D112" s="9" t="n"/>
      <c r="E112" s="9" t="n"/>
      <c r="F112" s="25">
        <f>SUM(F98:F111)</f>
        <v/>
      </c>
      <c r="G112" s="9" t="n"/>
    </row>
    <row r="113">
      <c r="A113" s="26" t="inlineStr">
        <is>
          <t>W as printed in the DAR</t>
        </is>
      </c>
      <c r="B113" s="22" t="n"/>
      <c r="C113" s="22" t="n"/>
      <c r="D113" s="22" t="n"/>
      <c r="E113" s="22" t="n"/>
      <c r="F113" s="27" t="n">
        <v>4578.86</v>
      </c>
      <c r="G113" s="22" t="n"/>
    </row>
    <row r="114">
      <c r="A114" s="26" t="inlineStr">
        <is>
          <t>Difference (calculated - printed)</t>
        </is>
      </c>
      <c r="B114" s="22" t="n"/>
      <c r="C114" s="22" t="n"/>
      <c r="D114" s="22" t="n"/>
      <c r="E114" s="22" t="n"/>
      <c r="F114" s="27">
        <f>F112-F113</f>
        <v/>
      </c>
      <c r="G114" s="22" t="n"/>
    </row>
    <row r="115">
      <c r="A115" s="29" t="inlineStr">
        <is>
          <t>SAY (Rs.) - final DAR rate as printed (fixed value, not computed)</t>
        </is>
      </c>
      <c r="B115" s="30" t="n"/>
      <c r="C115" s="30" t="n"/>
      <c r="D115" s="30" t="n"/>
      <c r="E115" s="30" t="n"/>
      <c r="F115" s="31" t="n">
        <v>6126.25</v>
      </c>
      <c r="G115" s="30" t="n"/>
    </row>
    <row r="117" ht="33" customHeight="1">
      <c r="A117" s="8" t="inlineStr">
        <is>
          <t>4.1</t>
        </is>
      </c>
      <c r="B117" s="17" t="inlineStr">
        <is>
          <t>Providing and laying in position cement concrete of specified grade excluding the cost of centering and shuttering - All work up to plinth level :</t>
        </is>
      </c>
      <c r="C117" s="9" t="n"/>
      <c r="D117" s="9" t="n"/>
      <c r="E117" s="9" t="n"/>
      <c r="F117" s="9" t="n"/>
      <c r="G117" s="9" t="n"/>
    </row>
    <row r="118" ht="18.5" customHeight="1">
      <c r="A118" s="18" t="inlineStr">
        <is>
          <t>4.1.8</t>
        </is>
      </c>
      <c r="B118" s="19" t="inlineStr">
        <is>
          <t>1:4:8 (1 Cement : 4 coarse sand (zone-III) : 8 graded stone aggregate 40 mm nominal size)</t>
        </is>
      </c>
      <c r="C118" s="20" t="n"/>
      <c r="D118" s="20" t="n"/>
      <c r="E118" s="20" t="n"/>
      <c r="F118" s="20" t="n"/>
      <c r="G118" s="20" t="n"/>
    </row>
    <row r="119">
      <c r="A119" s="21" t="inlineStr">
        <is>
          <t>Details of cost for 1 cum   |   Source: CivilDAR_2019_Vol_1.pdf, page 157</t>
        </is>
      </c>
    </row>
    <row r="120">
      <c r="A120" s="5" t="inlineStr">
        <is>
          <t>Code</t>
        </is>
      </c>
      <c r="B120" s="5" t="inlineStr">
        <is>
          <t>Description</t>
        </is>
      </c>
      <c r="C120" s="5" t="inlineStr">
        <is>
          <t>Unit</t>
        </is>
      </c>
      <c r="D120" s="5" t="inlineStr">
        <is>
          <t>Quantity</t>
        </is>
      </c>
      <c r="E120" s="5" t="inlineStr">
        <is>
          <t>Rate (Rs.)</t>
        </is>
      </c>
      <c r="F120" s="5" t="inlineStr">
        <is>
          <t>Amount (Rs.)</t>
        </is>
      </c>
      <c r="G120" s="5" t="inlineStr">
        <is>
          <t>Note</t>
        </is>
      </c>
    </row>
    <row r="121">
      <c r="A121" s="22" t="inlineStr">
        <is>
          <t>0293</t>
        </is>
      </c>
      <c r="B121" s="11" t="inlineStr">
        <is>
          <t>Stone Aggregate (Single size) : 40 mm nominal size</t>
        </is>
      </c>
      <c r="C121" s="22" t="inlineStr">
        <is>
          <t>cum</t>
        </is>
      </c>
      <c r="D121" s="23" t="n">
        <v>0.65</v>
      </c>
      <c r="E121" s="24" t="n">
        <v>1300</v>
      </c>
      <c r="F121" s="24">
        <f>D121*E121</f>
        <v/>
      </c>
      <c r="G121" s="22" t="n"/>
    </row>
    <row r="122">
      <c r="A122" s="22" t="inlineStr">
        <is>
          <t>0295</t>
        </is>
      </c>
      <c r="B122" s="11" t="inlineStr">
        <is>
          <t>Stone Aggregate (Single size) : 20 mm nominal size</t>
        </is>
      </c>
      <c r="C122" s="22" t="inlineStr">
        <is>
          <t>cum</t>
        </is>
      </c>
      <c r="D122" s="23" t="n">
        <v>0.24</v>
      </c>
      <c r="E122" s="24" t="n">
        <v>1350</v>
      </c>
      <c r="F122" s="24">
        <f>D122*E122</f>
        <v/>
      </c>
      <c r="G122" s="22" t="n"/>
    </row>
    <row r="123">
      <c r="A123" s="22" t="inlineStr">
        <is>
          <t>2206</t>
        </is>
      </c>
      <c r="B123" s="11" t="inlineStr">
        <is>
          <t>Carriage of Stone aggregate 40 mm nominal size and above</t>
        </is>
      </c>
      <c r="C123" s="22" t="inlineStr">
        <is>
          <t>cum</t>
        </is>
      </c>
      <c r="D123" s="23" t="n">
        <v>0.65</v>
      </c>
      <c r="E123" s="24" t="n">
        <v>112.79</v>
      </c>
      <c r="F123" s="24">
        <f>D123*E123</f>
        <v/>
      </c>
      <c r="G123" s="22" t="n"/>
    </row>
    <row r="124">
      <c r="A124" s="22" t="inlineStr">
        <is>
          <t>2202</t>
        </is>
      </c>
      <c r="B124" s="11" t="inlineStr">
        <is>
          <t>Carriage of Stone aggregate below 40 mm nominal size</t>
        </is>
      </c>
      <c r="C124" s="22" t="inlineStr">
        <is>
          <t>cum</t>
        </is>
      </c>
      <c r="D124" s="23" t="n">
        <v>0.24</v>
      </c>
      <c r="E124" s="24" t="n">
        <v>103.77</v>
      </c>
      <c r="F124" s="24">
        <f>D124*E124</f>
        <v/>
      </c>
      <c r="G124" s="22" t="n"/>
    </row>
    <row r="125">
      <c r="A125" s="22" t="inlineStr">
        <is>
          <t>0982</t>
        </is>
      </c>
      <c r="B125" s="11" t="inlineStr">
        <is>
          <t>Coarse sand (zone III)</t>
        </is>
      </c>
      <c r="C125" s="22" t="inlineStr">
        <is>
          <t>cum</t>
        </is>
      </c>
      <c r="D125" s="23" t="n">
        <v>0.47</v>
      </c>
      <c r="E125" s="24" t="n">
        <v>1350</v>
      </c>
      <c r="F125" s="24">
        <f>D125*E125</f>
        <v/>
      </c>
      <c r="G125" s="22" t="n"/>
    </row>
    <row r="126">
      <c r="A126" s="22" t="inlineStr">
        <is>
          <t>2203</t>
        </is>
      </c>
      <c r="B126" s="11" t="inlineStr">
        <is>
          <t>Carriage of Coarse sand</t>
        </is>
      </c>
      <c r="C126" s="22" t="inlineStr">
        <is>
          <t>cum</t>
        </is>
      </c>
      <c r="D126" s="23" t="n">
        <v>0.47</v>
      </c>
      <c r="E126" s="24" t="n">
        <v>103.77</v>
      </c>
      <c r="F126" s="24">
        <f>D126*E126</f>
        <v/>
      </c>
      <c r="G126" s="22" t="n"/>
    </row>
    <row r="127">
      <c r="A127" s="22" t="inlineStr">
        <is>
          <t>0367</t>
        </is>
      </c>
      <c r="B127" s="11" t="inlineStr">
        <is>
          <t>Portland Cement (0.1175 cum)</t>
        </is>
      </c>
      <c r="C127" s="22" t="inlineStr">
        <is>
          <t>tonne</t>
        </is>
      </c>
      <c r="D127" s="23" t="n">
        <v>0.17</v>
      </c>
      <c r="E127" s="24" t="n">
        <v>4940</v>
      </c>
      <c r="F127" s="24">
        <f>D127*E127</f>
        <v/>
      </c>
      <c r="G127" s="22" t="n"/>
    </row>
    <row r="128">
      <c r="A128" s="22" t="inlineStr">
        <is>
          <t>2209</t>
        </is>
      </c>
      <c r="B128" s="11" t="inlineStr">
        <is>
          <t>Carriage of Cement</t>
        </is>
      </c>
      <c r="C128" s="22" t="inlineStr">
        <is>
          <t>tonne</t>
        </is>
      </c>
      <c r="D128" s="23" t="n">
        <v>0.17</v>
      </c>
      <c r="E128" s="24" t="n">
        <v>92.23999999999999</v>
      </c>
      <c r="F128" s="24">
        <f>D128*E128</f>
        <v/>
      </c>
      <c r="G128" s="22" t="n"/>
    </row>
    <row r="129">
      <c r="A129" s="22" t="inlineStr">
        <is>
          <t>0155</t>
        </is>
      </c>
      <c r="B129" s="11" t="inlineStr">
        <is>
          <t>Mason (average)</t>
        </is>
      </c>
      <c r="C129" s="22" t="inlineStr">
        <is>
          <t>day</t>
        </is>
      </c>
      <c r="D129" s="23" t="n">
        <v>0.1</v>
      </c>
      <c r="E129" s="24" t="n">
        <v>709</v>
      </c>
      <c r="F129" s="24">
        <f>D129*E129</f>
        <v/>
      </c>
      <c r="G129" s="22" t="n"/>
    </row>
    <row r="130">
      <c r="A130" s="22" t="inlineStr">
        <is>
          <t>0114</t>
        </is>
      </c>
      <c r="B130" s="11" t="inlineStr">
        <is>
          <t>Beldar</t>
        </is>
      </c>
      <c r="C130" s="22" t="inlineStr">
        <is>
          <t>day</t>
        </is>
      </c>
      <c r="D130" s="23" t="n">
        <v>1.63</v>
      </c>
      <c r="E130" s="24" t="n">
        <v>558</v>
      </c>
      <c r="F130" s="24">
        <f>D130*E130</f>
        <v/>
      </c>
      <c r="G130" s="22" t="n"/>
    </row>
    <row r="131">
      <c r="A131" s="22" t="inlineStr">
        <is>
          <t>0101</t>
        </is>
      </c>
      <c r="B131" s="11" t="inlineStr">
        <is>
          <t>Bhisti</t>
        </is>
      </c>
      <c r="C131" s="22" t="inlineStr">
        <is>
          <t>day</t>
        </is>
      </c>
      <c r="D131" s="23" t="n">
        <v>0.7</v>
      </c>
      <c r="E131" s="24" t="n">
        <v>617</v>
      </c>
      <c r="F131" s="24">
        <f>D131*E131</f>
        <v/>
      </c>
      <c r="G131" s="22" t="n"/>
    </row>
    <row r="132">
      <c r="A132" s="22" t="inlineStr">
        <is>
          <t>0002</t>
        </is>
      </c>
      <c r="B132" s="11" t="inlineStr">
        <is>
          <t>Hire charges of Concrete Mixer 0.25 to 0.40 cum with hooper</t>
        </is>
      </c>
      <c r="C132" s="22" t="inlineStr">
        <is>
          <t>day</t>
        </is>
      </c>
      <c r="D132" s="23" t="n">
        <v>0.07000000000000001</v>
      </c>
      <c r="E132" s="24" t="n">
        <v>800</v>
      </c>
      <c r="F132" s="24">
        <f>D132*E132</f>
        <v/>
      </c>
      <c r="G132" s="22" t="n"/>
    </row>
    <row r="133">
      <c r="A133" s="22" t="inlineStr">
        <is>
          <t>0012</t>
        </is>
      </c>
      <c r="B133" s="11" t="inlineStr">
        <is>
          <t>Vibrator(Needle type 40mm)</t>
        </is>
      </c>
      <c r="C133" s="22" t="inlineStr">
        <is>
          <t>day</t>
        </is>
      </c>
      <c r="D133" s="23" t="n">
        <v>0.07000000000000001</v>
      </c>
      <c r="E133" s="24" t="n">
        <v>370</v>
      </c>
      <c r="F133" s="24">
        <f>D133*E133</f>
        <v/>
      </c>
      <c r="G133" s="22" t="n"/>
    </row>
    <row r="134">
      <c r="A134" s="22" t="inlineStr">
        <is>
          <t>9999</t>
        </is>
      </c>
      <c r="B134" s="11" t="inlineStr">
        <is>
          <t>Sundries</t>
        </is>
      </c>
      <c r="C134" s="22" t="inlineStr">
        <is>
          <t>L.S.</t>
        </is>
      </c>
      <c r="D134" s="23" t="n">
        <v>13.52</v>
      </c>
      <c r="E134" s="24" t="n">
        <v>2</v>
      </c>
      <c r="F134" s="24">
        <f>D134*E134</f>
        <v/>
      </c>
      <c r="G134" s="22" t="n"/>
    </row>
    <row r="135">
      <c r="A135" s="8" t="inlineStr">
        <is>
          <t>Calculated W - SUM of the Amount column above</t>
        </is>
      </c>
      <c r="B135" s="9" t="n"/>
      <c r="C135" s="9" t="n"/>
      <c r="D135" s="9" t="n"/>
      <c r="E135" s="9" t="n"/>
      <c r="F135" s="25">
        <f>SUM(F121:F134)</f>
        <v/>
      </c>
      <c r="G135" s="9" t="n"/>
    </row>
    <row r="136">
      <c r="A136" s="26" t="inlineStr">
        <is>
          <t>W as printed in the DAR</t>
        </is>
      </c>
      <c r="B136" s="22" t="n"/>
      <c r="C136" s="22" t="n"/>
      <c r="D136" s="22" t="n"/>
      <c r="E136" s="22" t="n"/>
      <c r="F136" s="27" t="n">
        <v>4327.25</v>
      </c>
      <c r="G136" s="22" t="n"/>
    </row>
    <row r="137">
      <c r="A137" s="26" t="inlineStr">
        <is>
          <t>Difference (calculated - printed)</t>
        </is>
      </c>
      <c r="B137" s="22" t="n"/>
      <c r="C137" s="22" t="n"/>
      <c r="D137" s="22" t="n"/>
      <c r="E137" s="22" t="n"/>
      <c r="F137" s="27">
        <f>F135-F136</f>
        <v/>
      </c>
      <c r="G137" s="22" t="n"/>
    </row>
    <row r="138">
      <c r="A138" s="29" t="inlineStr">
        <is>
          <t>SAY (Rs.) - final DAR rate as printed (fixed value, not computed)</t>
        </is>
      </c>
      <c r="B138" s="30" t="n"/>
      <c r="C138" s="30" t="n"/>
      <c r="D138" s="30" t="n"/>
      <c r="E138" s="30" t="n"/>
      <c r="F138" s="31" t="n">
        <v>5789.6</v>
      </c>
      <c r="G138" s="30" t="n"/>
    </row>
    <row r="140" ht="33" customHeight="1">
      <c r="A140" s="8" t="inlineStr">
        <is>
          <t>4.1</t>
        </is>
      </c>
      <c r="B140" s="17" t="inlineStr">
        <is>
          <t>Providing and laying in position cement concrete of specified grade excluding the cost of centering and shuttering - All work up to plinth level :</t>
        </is>
      </c>
      <c r="C140" s="9" t="n"/>
      <c r="D140" s="9" t="n"/>
      <c r="E140" s="9" t="n"/>
      <c r="F140" s="9" t="n"/>
      <c r="G140" s="9" t="n"/>
    </row>
    <row r="141" ht="18.5" customHeight="1">
      <c r="A141" s="18" t="inlineStr">
        <is>
          <t>4.1.10</t>
        </is>
      </c>
      <c r="B141" s="19" t="inlineStr">
        <is>
          <t>1:5:10 (1 cement : 5 coarse sand (zone-III): 10 graded stone aggregate 40 mm nominal size)</t>
        </is>
      </c>
      <c r="C141" s="20" t="n"/>
      <c r="D141" s="20" t="n"/>
      <c r="E141" s="20" t="n"/>
      <c r="F141" s="20" t="n"/>
      <c r="G141" s="20" t="n"/>
    </row>
    <row r="142">
      <c r="A142" s="21" t="inlineStr">
        <is>
          <t>Details of cost for 1 cum   |   Source: CivilDAR_2019_Vol_1.pdf, page 158</t>
        </is>
      </c>
    </row>
    <row r="143">
      <c r="A143" s="5" t="inlineStr">
        <is>
          <t>Code</t>
        </is>
      </c>
      <c r="B143" s="5" t="inlineStr">
        <is>
          <t>Description</t>
        </is>
      </c>
      <c r="C143" s="5" t="inlineStr">
        <is>
          <t>Unit</t>
        </is>
      </c>
      <c r="D143" s="5" t="inlineStr">
        <is>
          <t>Quantity</t>
        </is>
      </c>
      <c r="E143" s="5" t="inlineStr">
        <is>
          <t>Rate (Rs.)</t>
        </is>
      </c>
      <c r="F143" s="5" t="inlineStr">
        <is>
          <t>Amount (Rs.)</t>
        </is>
      </c>
      <c r="G143" s="5" t="inlineStr">
        <is>
          <t>Note</t>
        </is>
      </c>
    </row>
    <row r="144">
      <c r="A144" s="22" t="inlineStr">
        <is>
          <t>0293</t>
        </is>
      </c>
      <c r="B144" s="11" t="inlineStr">
        <is>
          <t>Stone Aggregate (Single size) : 40 mm nominal size</t>
        </is>
      </c>
      <c r="C144" s="22" t="inlineStr">
        <is>
          <t>cum</t>
        </is>
      </c>
      <c r="D144" s="23" t="n">
        <v>0.65</v>
      </c>
      <c r="E144" s="24" t="n">
        <v>1300</v>
      </c>
      <c r="F144" s="24">
        <f>D144*E144</f>
        <v/>
      </c>
      <c r="G144" s="22" t="n"/>
    </row>
    <row r="145">
      <c r="A145" s="22" t="inlineStr">
        <is>
          <t>0295</t>
        </is>
      </c>
      <c r="B145" s="11" t="inlineStr">
        <is>
          <t>Stone Aggregate (Single size) : 20 mm nominal size</t>
        </is>
      </c>
      <c r="C145" s="22" t="inlineStr">
        <is>
          <t>cum</t>
        </is>
      </c>
      <c r="D145" s="23" t="n">
        <v>0.24</v>
      </c>
      <c r="E145" s="24" t="n">
        <v>1350</v>
      </c>
      <c r="F145" s="24">
        <f>D145*E145</f>
        <v/>
      </c>
      <c r="G145" s="22" t="n"/>
    </row>
    <row r="146">
      <c r="A146" s="22" t="inlineStr">
        <is>
          <t>2206</t>
        </is>
      </c>
      <c r="B146" s="11" t="inlineStr">
        <is>
          <t>Carriage of Stone aggregate 40 mm nominal size and above</t>
        </is>
      </c>
      <c r="C146" s="22" t="inlineStr">
        <is>
          <t>cum</t>
        </is>
      </c>
      <c r="D146" s="23" t="n">
        <v>0.65</v>
      </c>
      <c r="E146" s="24" t="n">
        <v>112.79</v>
      </c>
      <c r="F146" s="24">
        <f>D146*E146</f>
        <v/>
      </c>
      <c r="G146" s="22" t="n"/>
    </row>
    <row r="147">
      <c r="A147" s="22" t="inlineStr">
        <is>
          <t>2202</t>
        </is>
      </c>
      <c r="B147" s="11" t="inlineStr">
        <is>
          <t>Carriage of Stone aggregate below 40 mm nominal size</t>
        </is>
      </c>
      <c r="C147" s="22" t="inlineStr">
        <is>
          <t>cum</t>
        </is>
      </c>
      <c r="D147" s="23" t="n">
        <v>0.24</v>
      </c>
      <c r="E147" s="24" t="n">
        <v>103.77</v>
      </c>
      <c r="F147" s="24">
        <f>D147*E147</f>
        <v/>
      </c>
      <c r="G147" s="22" t="n"/>
    </row>
    <row r="148">
      <c r="A148" s="22" t="inlineStr">
        <is>
          <t>0982</t>
        </is>
      </c>
      <c r="B148" s="11" t="inlineStr">
        <is>
          <t>Coarse sand (zone III)</t>
        </is>
      </c>
      <c r="C148" s="22" t="inlineStr">
        <is>
          <t>cum</t>
        </is>
      </c>
      <c r="D148" s="23" t="n">
        <v>0.47</v>
      </c>
      <c r="E148" s="24" t="n">
        <v>1350</v>
      </c>
      <c r="F148" s="24">
        <f>D148*E148</f>
        <v/>
      </c>
      <c r="G148" s="22" t="n"/>
    </row>
    <row r="149">
      <c r="A149" s="22" t="inlineStr">
        <is>
          <t>2203</t>
        </is>
      </c>
      <c r="B149" s="11" t="inlineStr">
        <is>
          <t>Carriage of Coarse sand</t>
        </is>
      </c>
      <c r="C149" s="22" t="inlineStr">
        <is>
          <t>cum</t>
        </is>
      </c>
      <c r="D149" s="23" t="n">
        <v>0.47</v>
      </c>
      <c r="E149" s="24" t="n">
        <v>103.77</v>
      </c>
      <c r="F149" s="24">
        <f>D149*E149</f>
        <v/>
      </c>
      <c r="G149" s="22" t="n"/>
    </row>
    <row r="150">
      <c r="A150" s="22" t="inlineStr">
        <is>
          <t>0367</t>
        </is>
      </c>
      <c r="B150" s="11" t="inlineStr">
        <is>
          <t>Portland Cement (0.2225 cum)</t>
        </is>
      </c>
      <c r="C150" s="22" t="inlineStr">
        <is>
          <t>tonne</t>
        </is>
      </c>
      <c r="D150" s="23" t="n">
        <v>0.13</v>
      </c>
      <c r="E150" s="24" t="n">
        <v>4940</v>
      </c>
      <c r="F150" s="24">
        <f>D150*E150</f>
        <v/>
      </c>
      <c r="G150" s="22" t="n"/>
    </row>
    <row r="151">
      <c r="A151" s="22" t="inlineStr">
        <is>
          <t>2209</t>
        </is>
      </c>
      <c r="B151" s="11" t="inlineStr">
        <is>
          <t>Carriage of Cement</t>
        </is>
      </c>
      <c r="C151" s="22" t="inlineStr">
        <is>
          <t>tonne</t>
        </is>
      </c>
      <c r="D151" s="23" t="n">
        <v>0.13</v>
      </c>
      <c r="E151" s="24" t="n">
        <v>92.23999999999999</v>
      </c>
      <c r="F151" s="24">
        <f>D151*E151</f>
        <v/>
      </c>
      <c r="G151" s="22" t="n"/>
    </row>
    <row r="152">
      <c r="A152" s="22" t="inlineStr">
        <is>
          <t>0155</t>
        </is>
      </c>
      <c r="B152" s="11" t="inlineStr">
        <is>
          <t>Mason (average)</t>
        </is>
      </c>
      <c r="C152" s="22" t="inlineStr">
        <is>
          <t>day</t>
        </is>
      </c>
      <c r="D152" s="23" t="n">
        <v>0.1</v>
      </c>
      <c r="E152" s="24" t="n">
        <v>709</v>
      </c>
      <c r="F152" s="24">
        <f>D152*E152</f>
        <v/>
      </c>
      <c r="G152" s="22" t="n"/>
    </row>
    <row r="153">
      <c r="A153" s="22" t="inlineStr">
        <is>
          <t>0114</t>
        </is>
      </c>
      <c r="B153" s="11" t="inlineStr">
        <is>
          <t>Beldar</t>
        </is>
      </c>
      <c r="C153" s="22" t="inlineStr">
        <is>
          <t>day</t>
        </is>
      </c>
      <c r="D153" s="23" t="n">
        <v>1.63</v>
      </c>
      <c r="E153" s="24" t="n">
        <v>558</v>
      </c>
      <c r="F153" s="24">
        <f>D153*E153</f>
        <v/>
      </c>
      <c r="G153" s="22" t="n"/>
    </row>
    <row r="154">
      <c r="A154" s="22" t="inlineStr">
        <is>
          <t>0101</t>
        </is>
      </c>
      <c r="B154" s="11" t="inlineStr">
        <is>
          <t>Bhisti</t>
        </is>
      </c>
      <c r="C154" s="22" t="inlineStr">
        <is>
          <t>day</t>
        </is>
      </c>
      <c r="D154" s="23" t="n">
        <v>0.7</v>
      </c>
      <c r="E154" s="24" t="n">
        <v>617</v>
      </c>
      <c r="F154" s="24">
        <f>D154*E154</f>
        <v/>
      </c>
      <c r="G154" s="22" t="n"/>
    </row>
    <row r="155">
      <c r="A155" s="22" t="inlineStr">
        <is>
          <t>0002</t>
        </is>
      </c>
      <c r="B155" s="11" t="inlineStr">
        <is>
          <t>Hire charges of Concrete Mixer 0.25 to 0.40 cum with hooper</t>
        </is>
      </c>
      <c r="C155" s="22" t="inlineStr">
        <is>
          <t>day</t>
        </is>
      </c>
      <c r="D155" s="23" t="n">
        <v>0.07000000000000001</v>
      </c>
      <c r="E155" s="24" t="n">
        <v>800</v>
      </c>
      <c r="F155" s="24">
        <f>D155*E155</f>
        <v/>
      </c>
      <c r="G155" s="22" t="n"/>
    </row>
    <row r="156">
      <c r="A156" s="22" t="inlineStr">
        <is>
          <t>0012</t>
        </is>
      </c>
      <c r="B156" s="11" t="inlineStr">
        <is>
          <t>Vibrator(Needle type 40mm)</t>
        </is>
      </c>
      <c r="C156" s="22" t="inlineStr">
        <is>
          <t>day</t>
        </is>
      </c>
      <c r="D156" s="23" t="n">
        <v>0.07000000000000001</v>
      </c>
      <c r="E156" s="24" t="n">
        <v>370</v>
      </c>
      <c r="F156" s="24">
        <f>D156*E156</f>
        <v/>
      </c>
      <c r="G156" s="22" t="n"/>
    </row>
    <row r="157">
      <c r="A157" s="22" t="inlineStr">
        <is>
          <t>9999</t>
        </is>
      </c>
      <c r="B157" s="11" t="inlineStr">
        <is>
          <t>Sundries</t>
        </is>
      </c>
      <c r="C157" s="22" t="inlineStr">
        <is>
          <t>L.S.</t>
        </is>
      </c>
      <c r="D157" s="23" t="n">
        <v>13.52</v>
      </c>
      <c r="E157" s="24" t="n">
        <v>2</v>
      </c>
      <c r="F157" s="24">
        <f>D157*E157</f>
        <v/>
      </c>
      <c r="G157" s="22" t="n"/>
    </row>
    <row r="158">
      <c r="A158" s="8" t="inlineStr">
        <is>
          <t>Calculated W - SUM of the Amount column above</t>
        </is>
      </c>
      <c r="B158" s="9" t="n"/>
      <c r="C158" s="9" t="n"/>
      <c r="D158" s="9" t="n"/>
      <c r="E158" s="9" t="n"/>
      <c r="F158" s="25">
        <f>SUM(F144:F157)</f>
        <v/>
      </c>
      <c r="G158" s="9" t="n"/>
    </row>
    <row r="159">
      <c r="A159" s="26" t="inlineStr">
        <is>
          <t>W as printed in the DAR</t>
        </is>
      </c>
      <c r="B159" s="22" t="n"/>
      <c r="C159" s="22" t="n"/>
      <c r="D159" s="22" t="n"/>
      <c r="E159" s="22" t="n"/>
      <c r="F159" s="27" t="n">
        <v>4125.96</v>
      </c>
      <c r="G159" s="22" t="n"/>
    </row>
    <row r="160">
      <c r="A160" s="26" t="inlineStr">
        <is>
          <t>Difference (calculated - printed)</t>
        </is>
      </c>
      <c r="B160" s="22" t="n"/>
      <c r="C160" s="22" t="n"/>
      <c r="D160" s="22" t="n"/>
      <c r="E160" s="22" t="n"/>
      <c r="F160" s="27">
        <f>F158-F159</f>
        <v/>
      </c>
      <c r="G160" s="22" t="n"/>
    </row>
    <row r="161">
      <c r="A161" s="29" t="inlineStr">
        <is>
          <t>SAY (Rs.) - final DAR rate as printed (fixed value, not computed)</t>
        </is>
      </c>
      <c r="B161" s="30" t="n"/>
      <c r="C161" s="30" t="n"/>
      <c r="D161" s="30" t="n"/>
      <c r="E161" s="30" t="n"/>
      <c r="F161" s="31" t="n">
        <v>5520.3</v>
      </c>
      <c r="G161" s="30" t="n"/>
    </row>
    <row r="163" ht="33" customHeight="1">
      <c r="A163" s="8" t="inlineStr">
        <is>
          <t>4.1</t>
        </is>
      </c>
      <c r="B163" s="17" t="inlineStr">
        <is>
          <t>Providing and laying in position cement concrete of specified grade excluding the cost of centering and shuttering - All work up to plinth level :</t>
        </is>
      </c>
      <c r="C163" s="9" t="n"/>
      <c r="D163" s="9" t="n"/>
      <c r="E163" s="9" t="n"/>
      <c r="F163" s="9" t="n"/>
      <c r="G163" s="9" t="n"/>
    </row>
    <row r="164" ht="18.5" customHeight="1">
      <c r="A164" s="18" t="inlineStr">
        <is>
          <t>4.1.11</t>
        </is>
      </c>
      <c r="B164" s="19" t="inlineStr">
        <is>
          <t>1:5:10 (1 cement : 5 fine sand : 10 graded stone aggregate 40 mm nominal size)</t>
        </is>
      </c>
      <c r="C164" s="20" t="n"/>
      <c r="D164" s="20" t="n"/>
      <c r="E164" s="20" t="n"/>
      <c r="F164" s="20" t="n"/>
      <c r="G164" s="20" t="n"/>
    </row>
    <row r="165">
      <c r="A165" s="21" t="inlineStr">
        <is>
          <t>Details of cost for 1 cum   |   Source: CivilDAR_2019_Vol_1.pdf, page 159</t>
        </is>
      </c>
    </row>
    <row r="166">
      <c r="A166" s="5" t="inlineStr">
        <is>
          <t>Code</t>
        </is>
      </c>
      <c r="B166" s="5" t="inlineStr">
        <is>
          <t>Description</t>
        </is>
      </c>
      <c r="C166" s="5" t="inlineStr">
        <is>
          <t>Unit</t>
        </is>
      </c>
      <c r="D166" s="5" t="inlineStr">
        <is>
          <t>Quantity</t>
        </is>
      </c>
      <c r="E166" s="5" t="inlineStr">
        <is>
          <t>Rate (Rs.)</t>
        </is>
      </c>
      <c r="F166" s="5" t="inlineStr">
        <is>
          <t>Amount (Rs.)</t>
        </is>
      </c>
      <c r="G166" s="5" t="inlineStr">
        <is>
          <t>Note</t>
        </is>
      </c>
    </row>
    <row r="167">
      <c r="A167" s="22" t="inlineStr">
        <is>
          <t>0293</t>
        </is>
      </c>
      <c r="B167" s="11" t="inlineStr">
        <is>
          <t>Stone Aggregate (Single size) : 40 mm nominal size</t>
        </is>
      </c>
      <c r="C167" s="22" t="inlineStr">
        <is>
          <t>cum</t>
        </is>
      </c>
      <c r="D167" s="23" t="n">
        <v>0.65</v>
      </c>
      <c r="E167" s="24" t="n">
        <v>1300</v>
      </c>
      <c r="F167" s="24">
        <f>D167*E167</f>
        <v/>
      </c>
      <c r="G167" s="22" t="n"/>
    </row>
    <row r="168">
      <c r="A168" s="22" t="inlineStr">
        <is>
          <t>0295</t>
        </is>
      </c>
      <c r="B168" s="11" t="inlineStr">
        <is>
          <t>Stone Aggregate (Single size) : 20 mm nominal size</t>
        </is>
      </c>
      <c r="C168" s="22" t="inlineStr">
        <is>
          <t>cum</t>
        </is>
      </c>
      <c r="D168" s="23" t="n">
        <v>0.24</v>
      </c>
      <c r="E168" s="24" t="n">
        <v>1350</v>
      </c>
      <c r="F168" s="24">
        <f>D168*E168</f>
        <v/>
      </c>
      <c r="G168" s="22" t="n"/>
    </row>
    <row r="169">
      <c r="A169" s="22" t="inlineStr">
        <is>
          <t>2206</t>
        </is>
      </c>
      <c r="B169" s="11" t="inlineStr">
        <is>
          <t>Carriage of Stone aggregate 40 mm nominal size and above</t>
        </is>
      </c>
      <c r="C169" s="22" t="inlineStr">
        <is>
          <t>cum</t>
        </is>
      </c>
      <c r="D169" s="23" t="n">
        <v>0.65</v>
      </c>
      <c r="E169" s="24" t="n">
        <v>112.79</v>
      </c>
      <c r="F169" s="24">
        <f>D169*E169</f>
        <v/>
      </c>
      <c r="G169" s="22" t="n"/>
    </row>
    <row r="170">
      <c r="A170" s="22" t="inlineStr">
        <is>
          <t>2202</t>
        </is>
      </c>
      <c r="B170" s="11" t="inlineStr">
        <is>
          <t>Carriage of Stone aggregate below 40 mm nominal size</t>
        </is>
      </c>
      <c r="C170" s="22" t="inlineStr">
        <is>
          <t>cum</t>
        </is>
      </c>
      <c r="D170" s="23" t="n">
        <v>0.24</v>
      </c>
      <c r="E170" s="24" t="n">
        <v>103.77</v>
      </c>
      <c r="F170" s="24">
        <f>D170*E170</f>
        <v/>
      </c>
      <c r="G170" s="22" t="n"/>
    </row>
    <row r="171">
      <c r="A171" s="22" t="inlineStr">
        <is>
          <t>0983</t>
        </is>
      </c>
      <c r="B171" s="11" t="inlineStr">
        <is>
          <t>Fine sand (zone IV)</t>
        </is>
      </c>
      <c r="C171" s="22" t="inlineStr">
        <is>
          <t>cum</t>
        </is>
      </c>
      <c r="D171" s="23" t="n">
        <v>0.47</v>
      </c>
      <c r="E171" s="24" t="n">
        <v>900</v>
      </c>
      <c r="F171" s="24">
        <f>D171*E171</f>
        <v/>
      </c>
      <c r="G171" s="22" t="n"/>
    </row>
    <row r="172">
      <c r="A172" s="22" t="inlineStr">
        <is>
          <t>2261</t>
        </is>
      </c>
      <c r="B172" s="11" t="inlineStr">
        <is>
          <t>Carriage of Fine sand (1 part badarpur sand : 2 parts jamuna sand)</t>
        </is>
      </c>
      <c r="C172" s="22" t="inlineStr">
        <is>
          <t>cum</t>
        </is>
      </c>
      <c r="D172" s="23" t="n">
        <v>0.47</v>
      </c>
      <c r="E172" s="24" t="n">
        <v>103.77</v>
      </c>
      <c r="F172" s="24">
        <f>D172*E172</f>
        <v/>
      </c>
      <c r="G172" s="22" t="n"/>
    </row>
    <row r="173">
      <c r="A173" s="22" t="inlineStr">
        <is>
          <t>0367</t>
        </is>
      </c>
      <c r="B173" s="11" t="inlineStr">
        <is>
          <t>Portland Cement (0.2225 cum)</t>
        </is>
      </c>
      <c r="C173" s="22" t="inlineStr">
        <is>
          <t>tonne</t>
        </is>
      </c>
      <c r="D173" s="23" t="n">
        <v>0.13</v>
      </c>
      <c r="E173" s="24" t="n">
        <v>4940</v>
      </c>
      <c r="F173" s="24">
        <f>D173*E173</f>
        <v/>
      </c>
      <c r="G173" s="22" t="n"/>
    </row>
    <row r="174">
      <c r="A174" s="22" t="inlineStr">
        <is>
          <t>2209</t>
        </is>
      </c>
      <c r="B174" s="11" t="inlineStr">
        <is>
          <t>Carriage of Cement</t>
        </is>
      </c>
      <c r="C174" s="22" t="inlineStr">
        <is>
          <t>tonne</t>
        </is>
      </c>
      <c r="D174" s="23" t="n">
        <v>0.13</v>
      </c>
      <c r="E174" s="24" t="n">
        <v>92.23999999999999</v>
      </c>
      <c r="F174" s="24">
        <f>D174*E174</f>
        <v/>
      </c>
      <c r="G174" s="22" t="n"/>
    </row>
    <row r="175">
      <c r="A175" s="22" t="inlineStr">
        <is>
          <t>0155</t>
        </is>
      </c>
      <c r="B175" s="11" t="inlineStr">
        <is>
          <t>Mason (average)</t>
        </is>
      </c>
      <c r="C175" s="22" t="inlineStr">
        <is>
          <t>day</t>
        </is>
      </c>
      <c r="D175" s="23" t="n">
        <v>0.1</v>
      </c>
      <c r="E175" s="24" t="n">
        <v>709</v>
      </c>
      <c r="F175" s="24">
        <f>D175*E175</f>
        <v/>
      </c>
      <c r="G175" s="22" t="n"/>
    </row>
    <row r="176">
      <c r="A176" s="22" t="inlineStr">
        <is>
          <t>0114</t>
        </is>
      </c>
      <c r="B176" s="11" t="inlineStr">
        <is>
          <t>Beldar</t>
        </is>
      </c>
      <c r="C176" s="22" t="inlineStr">
        <is>
          <t>day</t>
        </is>
      </c>
      <c r="D176" s="23" t="n">
        <v>1.63</v>
      </c>
      <c r="E176" s="24" t="n">
        <v>558</v>
      </c>
      <c r="F176" s="24">
        <f>D176*E176</f>
        <v/>
      </c>
      <c r="G176" s="22" t="n"/>
    </row>
    <row r="177">
      <c r="A177" s="22" t="inlineStr">
        <is>
          <t>0101</t>
        </is>
      </c>
      <c r="B177" s="11" t="inlineStr">
        <is>
          <t>Bhisti</t>
        </is>
      </c>
      <c r="C177" s="22" t="inlineStr">
        <is>
          <t>day</t>
        </is>
      </c>
      <c r="D177" s="23" t="n">
        <v>0.7</v>
      </c>
      <c r="E177" s="24" t="n">
        <v>617</v>
      </c>
      <c r="F177" s="24">
        <f>D177*E177</f>
        <v/>
      </c>
      <c r="G177" s="22" t="n"/>
    </row>
    <row r="178">
      <c r="A178" s="22" t="inlineStr">
        <is>
          <t>0002</t>
        </is>
      </c>
      <c r="B178" s="11" t="inlineStr">
        <is>
          <t>Hire charges of Concrete Mixer 0.25 to 0.40 cum with hooper</t>
        </is>
      </c>
      <c r="C178" s="22" t="inlineStr">
        <is>
          <t>day</t>
        </is>
      </c>
      <c r="D178" s="23" t="n">
        <v>0.07000000000000001</v>
      </c>
      <c r="E178" s="24" t="n">
        <v>800</v>
      </c>
      <c r="F178" s="24">
        <f>D178*E178</f>
        <v/>
      </c>
      <c r="G178" s="22" t="n"/>
    </row>
    <row r="179">
      <c r="A179" s="22" t="inlineStr">
        <is>
          <t>0012</t>
        </is>
      </c>
      <c r="B179" s="11" t="inlineStr">
        <is>
          <t>Vibrator(Needle type 40mm)</t>
        </is>
      </c>
      <c r="C179" s="22" t="inlineStr">
        <is>
          <t>day</t>
        </is>
      </c>
      <c r="D179" s="23" t="n">
        <v>0.07000000000000001</v>
      </c>
      <c r="E179" s="24" t="n">
        <v>370</v>
      </c>
      <c r="F179" s="24">
        <f>D179*E179</f>
        <v/>
      </c>
      <c r="G179" s="22" t="n"/>
    </row>
    <row r="180">
      <c r="A180" s="22" t="inlineStr">
        <is>
          <t>9999</t>
        </is>
      </c>
      <c r="B180" s="11" t="inlineStr">
        <is>
          <t>Sundries</t>
        </is>
      </c>
      <c r="C180" s="22" t="inlineStr">
        <is>
          <t>L.S.</t>
        </is>
      </c>
      <c r="D180" s="23" t="n">
        <v>8.970000000000001</v>
      </c>
      <c r="E180" s="24" t="n">
        <v>2</v>
      </c>
      <c r="F180" s="24">
        <f>D180*E180</f>
        <v/>
      </c>
      <c r="G180" s="22" t="n"/>
    </row>
    <row r="181">
      <c r="A181" s="8" t="inlineStr">
        <is>
          <t>Calculated W - SUM of the Amount column above</t>
        </is>
      </c>
      <c r="B181" s="9" t="n"/>
      <c r="C181" s="9" t="n"/>
      <c r="D181" s="9" t="n"/>
      <c r="E181" s="9" t="n"/>
      <c r="F181" s="25">
        <f>SUM(F167:F180)</f>
        <v/>
      </c>
      <c r="G181" s="9" t="n"/>
    </row>
    <row r="182">
      <c r="A182" s="26" t="inlineStr">
        <is>
          <t>W as printed in the DAR</t>
        </is>
      </c>
      <c r="B182" s="22" t="n"/>
      <c r="C182" s="22" t="n"/>
      <c r="D182" s="22" t="n"/>
      <c r="E182" s="22" t="n"/>
      <c r="F182" s="27" t="n">
        <v>3905.36</v>
      </c>
      <c r="G182" s="22" t="n"/>
    </row>
    <row r="183">
      <c r="A183" s="26" t="inlineStr">
        <is>
          <t>Difference (calculated - printed)</t>
        </is>
      </c>
      <c r="B183" s="22" t="n"/>
      <c r="C183" s="22" t="n"/>
      <c r="D183" s="22" t="n"/>
      <c r="E183" s="22" t="n"/>
      <c r="F183" s="27">
        <f>F181-F182</f>
        <v/>
      </c>
      <c r="G183" s="22" t="n"/>
    </row>
    <row r="184">
      <c r="A184" s="29" t="inlineStr">
        <is>
          <t>SAY (Rs.) - final DAR rate as printed (fixed value, not computed)</t>
        </is>
      </c>
      <c r="B184" s="30" t="n"/>
      <c r="C184" s="30" t="n"/>
      <c r="D184" s="30" t="n"/>
      <c r="E184" s="30" t="n"/>
      <c r="F184" s="31" t="n">
        <v>5225.15</v>
      </c>
      <c r="G184" s="30" t="n"/>
    </row>
    <row r="186" ht="33" customHeight="1">
      <c r="A186" s="8" t="inlineStr">
        <is>
          <t>4.1</t>
        </is>
      </c>
      <c r="B186" s="17" t="inlineStr">
        <is>
          <t>Providing and laying in position cement concrete of specified grade excluding the cost of centering and shuttering - All work up to plinth level :</t>
        </is>
      </c>
      <c r="C186" s="9" t="n"/>
      <c r="D186" s="9" t="n"/>
      <c r="E186" s="9" t="n"/>
      <c r="F186" s="9" t="n"/>
      <c r="G186" s="9" t="n"/>
    </row>
    <row r="187" ht="18.5" customHeight="1">
      <c r="A187" s="18" t="inlineStr">
        <is>
          <t>4.1.12</t>
        </is>
      </c>
      <c r="B187" s="19" t="inlineStr">
        <is>
          <t>1:2:3½:9 (1 ordinary portland cement : 2 Fly ash : 3½ coarse sand (zone-III) : 9 graded stone aggregate 40 mm nominal size)</t>
        </is>
      </c>
      <c r="C187" s="20" t="n"/>
      <c r="D187" s="20" t="n"/>
      <c r="E187" s="20" t="n"/>
      <c r="F187" s="20" t="n"/>
      <c r="G187" s="20" t="n"/>
    </row>
    <row r="188">
      <c r="A188" s="21" t="inlineStr">
        <is>
          <t>Details of cost for 1 cum   |   Source: CivilDAR_2019_Vol_1.pdf, page 160</t>
        </is>
      </c>
    </row>
    <row r="189">
      <c r="A189" s="5" t="inlineStr">
        <is>
          <t>Code</t>
        </is>
      </c>
      <c r="B189" s="5" t="inlineStr">
        <is>
          <t>Description</t>
        </is>
      </c>
      <c r="C189" s="5" t="inlineStr">
        <is>
          <t>Unit</t>
        </is>
      </c>
      <c r="D189" s="5" t="inlineStr">
        <is>
          <t>Quantity</t>
        </is>
      </c>
      <c r="E189" s="5" t="inlineStr">
        <is>
          <t>Rate (Rs.)</t>
        </is>
      </c>
      <c r="F189" s="5" t="inlineStr">
        <is>
          <t>Amount (Rs.)</t>
        </is>
      </c>
      <c r="G189" s="5" t="inlineStr">
        <is>
          <t>Note</t>
        </is>
      </c>
    </row>
    <row r="190">
      <c r="A190" s="22" t="inlineStr">
        <is>
          <t>0293</t>
        </is>
      </c>
      <c r="B190" s="11" t="inlineStr">
        <is>
          <t>Stone Aggregate (Single size) : 40 mm nominal size</t>
        </is>
      </c>
      <c r="C190" s="22" t="inlineStr">
        <is>
          <t>cum</t>
        </is>
      </c>
      <c r="D190" s="23" t="n">
        <v>0.65</v>
      </c>
      <c r="E190" s="24" t="n">
        <v>1300</v>
      </c>
      <c r="F190" s="24">
        <f>D190*E190</f>
        <v/>
      </c>
      <c r="G190" s="22" t="n"/>
    </row>
    <row r="191">
      <c r="A191" s="22" t="inlineStr">
        <is>
          <t>0295</t>
        </is>
      </c>
      <c r="B191" s="11" t="inlineStr">
        <is>
          <t>Stone Aggregate (Single size) : 20 mm nominal size</t>
        </is>
      </c>
      <c r="C191" s="22" t="inlineStr">
        <is>
          <t>cum</t>
        </is>
      </c>
      <c r="D191" s="23" t="n">
        <v>0.24</v>
      </c>
      <c r="E191" s="24" t="n">
        <v>1350</v>
      </c>
      <c r="F191" s="24">
        <f>D191*E191</f>
        <v/>
      </c>
      <c r="G191" s="22" t="n"/>
    </row>
    <row r="192">
      <c r="A192" s="22" t="inlineStr">
        <is>
          <t>2206</t>
        </is>
      </c>
      <c r="B192" s="11" t="inlineStr">
        <is>
          <t>Carriage of Stone aggregate 40 mm nominal</t>
        </is>
      </c>
      <c r="C192" s="22" t="inlineStr">
        <is>
          <t>cum</t>
        </is>
      </c>
      <c r="D192" s="23" t="n">
        <v>0.65</v>
      </c>
      <c r="E192" s="24" t="n">
        <v>112.79</v>
      </c>
      <c r="F192" s="24">
        <f>D192*E192</f>
        <v/>
      </c>
      <c r="G192" s="22" t="n"/>
    </row>
    <row r="193">
      <c r="A193" s="22" t="inlineStr">
        <is>
          <t>2202</t>
        </is>
      </c>
      <c r="B193" s="11" t="inlineStr">
        <is>
          <t>Carriage of Stone aggregate below 40 mm nominal size</t>
        </is>
      </c>
      <c r="C193" s="22" t="inlineStr">
        <is>
          <t>cum</t>
        </is>
      </c>
      <c r="D193" s="23" t="n">
        <v>0.24</v>
      </c>
      <c r="E193" s="24" t="n">
        <v>103.77</v>
      </c>
      <c r="F193" s="24">
        <f>D193*E193</f>
        <v/>
      </c>
      <c r="G193" s="22" t="n"/>
    </row>
    <row r="194">
      <c r="A194" s="22" t="inlineStr">
        <is>
          <t>0982</t>
        </is>
      </c>
      <c r="B194" s="11" t="inlineStr">
        <is>
          <t>Coarse sand (zone III)</t>
        </is>
      </c>
      <c r="C194" s="22" t="inlineStr">
        <is>
          <t>cum</t>
        </is>
      </c>
      <c r="D194" s="23" t="n">
        <v>0.37</v>
      </c>
      <c r="E194" s="24" t="n">
        <v>1350</v>
      </c>
      <c r="F194" s="24">
        <f>D194*E194</f>
        <v/>
      </c>
      <c r="G194" s="22" t="n"/>
    </row>
    <row r="195">
      <c r="A195" s="22" t="inlineStr">
        <is>
          <t>2203</t>
        </is>
      </c>
      <c r="B195" s="11" t="inlineStr">
        <is>
          <t>Carriage of Coarse sand</t>
        </is>
      </c>
      <c r="C195" s="22" t="inlineStr">
        <is>
          <t>cum</t>
        </is>
      </c>
      <c r="D195" s="23" t="n">
        <v>0.37</v>
      </c>
      <c r="E195" s="24" t="n">
        <v>103.77</v>
      </c>
      <c r="F195" s="24">
        <f>D195*E195</f>
        <v/>
      </c>
      <c r="G195" s="22" t="n"/>
    </row>
    <row r="196">
      <c r="A196" s="22" t="inlineStr">
        <is>
          <t>1980</t>
        </is>
      </c>
      <c r="B196" s="11" t="inlineStr">
        <is>
          <t>Flyash</t>
        </is>
      </c>
      <c r="C196" s="22" t="inlineStr">
        <is>
          <t>cum</t>
        </is>
      </c>
      <c r="D196" s="23" t="n">
        <v>0.21</v>
      </c>
      <c r="E196" s="24" t="n">
        <v>10</v>
      </c>
      <c r="F196" s="24">
        <f>D196*E196</f>
        <v/>
      </c>
      <c r="G196" s="22" t="n"/>
    </row>
    <row r="197">
      <c r="A197" s="22" t="inlineStr">
        <is>
          <t>2262</t>
        </is>
      </c>
      <c r="B197" s="11" t="inlineStr">
        <is>
          <t>Carriage of Flyash</t>
        </is>
      </c>
      <c r="C197" s="22" t="inlineStr">
        <is>
          <t>cum</t>
        </is>
      </c>
      <c r="D197" s="23" t="n">
        <v>0.21</v>
      </c>
      <c r="E197" s="24" t="n">
        <v>103.77</v>
      </c>
      <c r="F197" s="24">
        <f>D197*E197</f>
        <v/>
      </c>
      <c r="G197" s="22" t="n"/>
    </row>
    <row r="198">
      <c r="A198" s="22" t="inlineStr">
        <is>
          <t>0367</t>
        </is>
      </c>
      <c r="B198" s="11" t="inlineStr">
        <is>
          <t>Portland Cement</t>
        </is>
      </c>
      <c r="C198" s="22" t="inlineStr">
        <is>
          <t>tonne</t>
        </is>
      </c>
      <c r="D198" s="23" t="n">
        <v>0.17</v>
      </c>
      <c r="E198" s="24" t="n">
        <v>4940</v>
      </c>
      <c r="F198" s="24">
        <f>D198*E198</f>
        <v/>
      </c>
      <c r="G198" s="22" t="n"/>
    </row>
    <row r="199">
      <c r="A199" s="22" t="inlineStr">
        <is>
          <t>2209</t>
        </is>
      </c>
      <c r="B199" s="11" t="inlineStr">
        <is>
          <t>Carriage of Cement</t>
        </is>
      </c>
      <c r="C199" s="22" t="inlineStr">
        <is>
          <t>tonne</t>
        </is>
      </c>
      <c r="D199" s="23" t="n">
        <v>0.17</v>
      </c>
      <c r="E199" s="24" t="n">
        <v>92.23999999999999</v>
      </c>
      <c r="F199" s="24">
        <f>D199*E199</f>
        <v/>
      </c>
      <c r="G199" s="22" t="n"/>
    </row>
    <row r="200">
      <c r="A200" s="22" t="inlineStr">
        <is>
          <t>0155</t>
        </is>
      </c>
      <c r="B200" s="11" t="inlineStr">
        <is>
          <t>Mason (average)</t>
        </is>
      </c>
      <c r="C200" s="22" t="inlineStr">
        <is>
          <t>day</t>
        </is>
      </c>
      <c r="D200" s="23" t="n">
        <v>0.1</v>
      </c>
      <c r="E200" s="24" t="n">
        <v>709</v>
      </c>
      <c r="F200" s="24">
        <f>D200*E200</f>
        <v/>
      </c>
      <c r="G200" s="22" t="n"/>
    </row>
    <row r="201">
      <c r="A201" s="22" t="inlineStr">
        <is>
          <t>0114</t>
        </is>
      </c>
      <c r="B201" s="11" t="inlineStr">
        <is>
          <t>Beldar</t>
        </is>
      </c>
      <c r="C201" s="22" t="inlineStr">
        <is>
          <t>day</t>
        </is>
      </c>
      <c r="D201" s="23" t="n">
        <v>1.63</v>
      </c>
      <c r="E201" s="24" t="n">
        <v>558</v>
      </c>
      <c r="F201" s="24">
        <f>D201*E201</f>
        <v/>
      </c>
      <c r="G201" s="22" t="n"/>
    </row>
    <row r="202">
      <c r="A202" s="22" t="inlineStr">
        <is>
          <t>0101</t>
        </is>
      </c>
      <c r="B202" s="11" t="inlineStr">
        <is>
          <t>Bhisti</t>
        </is>
      </c>
      <c r="C202" s="22" t="inlineStr">
        <is>
          <t>day</t>
        </is>
      </c>
      <c r="D202" s="23" t="n">
        <v>0.7</v>
      </c>
      <c r="E202" s="24" t="n">
        <v>617</v>
      </c>
      <c r="F202" s="24">
        <f>D202*E202</f>
        <v/>
      </c>
      <c r="G202" s="22" t="n"/>
    </row>
    <row r="203">
      <c r="A203" s="22" t="inlineStr">
        <is>
          <t>0002</t>
        </is>
      </c>
      <c r="B203" s="11" t="inlineStr">
        <is>
          <t>Hire charges of Concrete Mixer 0.25 to 0.40 cum with hooper</t>
        </is>
      </c>
      <c r="C203" s="22" t="inlineStr">
        <is>
          <t>day</t>
        </is>
      </c>
      <c r="D203" s="23" t="n">
        <v>0.07000000000000001</v>
      </c>
      <c r="E203" s="24" t="n">
        <v>800</v>
      </c>
      <c r="F203" s="24">
        <f>D203*E203</f>
        <v/>
      </c>
      <c r="G203" s="22" t="n"/>
    </row>
    <row r="204">
      <c r="A204" s="22" t="inlineStr">
        <is>
          <t>0012</t>
        </is>
      </c>
      <c r="B204" s="11" t="inlineStr">
        <is>
          <t>Vibrator(Needle type 40mm)</t>
        </is>
      </c>
      <c r="C204" s="22" t="inlineStr">
        <is>
          <t>day</t>
        </is>
      </c>
      <c r="D204" s="23" t="n">
        <v>0.07000000000000001</v>
      </c>
      <c r="E204" s="24" t="n">
        <v>370</v>
      </c>
      <c r="F204" s="24">
        <f>D204*E204</f>
        <v/>
      </c>
      <c r="G204" s="22" t="n"/>
    </row>
    <row r="205">
      <c r="A205" s="22" t="inlineStr">
        <is>
          <t>9999</t>
        </is>
      </c>
      <c r="B205" s="11" t="inlineStr">
        <is>
          <t>Sundries</t>
        </is>
      </c>
      <c r="C205" s="22" t="inlineStr">
        <is>
          <t>L.S.</t>
        </is>
      </c>
      <c r="D205" s="23" t="n">
        <v>14.3</v>
      </c>
      <c r="E205" s="24" t="n">
        <v>2</v>
      </c>
      <c r="F205" s="24">
        <f>D205*E205</f>
        <v/>
      </c>
      <c r="G205" s="22" t="n"/>
    </row>
    <row r="206">
      <c r="A206" s="8" t="inlineStr">
        <is>
          <t>Calculated W - SUM of the Amount column above</t>
        </is>
      </c>
      <c r="B206" s="9" t="n"/>
      <c r="C206" s="9" t="n"/>
      <c r="D206" s="9" t="n"/>
      <c r="E206" s="9" t="n"/>
      <c r="F206" s="25">
        <f>SUM(F190:F205)</f>
        <v/>
      </c>
      <c r="G206" s="9" t="n"/>
    </row>
    <row r="207">
      <c r="A207" s="26" t="inlineStr">
        <is>
          <t>W as printed in the DAR</t>
        </is>
      </c>
      <c r="B207" s="22" t="n"/>
      <c r="C207" s="22" t="n"/>
      <c r="D207" s="22" t="n"/>
      <c r="E207" s="22" t="n"/>
      <c r="F207" s="27" t="n">
        <v>4207.33</v>
      </c>
      <c r="G207" s="22" t="n"/>
    </row>
    <row r="208">
      <c r="A208" s="26" t="inlineStr">
        <is>
          <t>Difference (calculated - printed)</t>
        </is>
      </c>
      <c r="B208" s="22" t="n"/>
      <c r="C208" s="22" t="n"/>
      <c r="D208" s="22" t="n"/>
      <c r="E208" s="22" t="n"/>
      <c r="F208" s="27">
        <f>F206-F207</f>
        <v/>
      </c>
      <c r="G208" s="22" t="n"/>
    </row>
    <row r="209">
      <c r="A209" s="29" t="inlineStr">
        <is>
          <t>SAY (Rs.) - final DAR rate as printed (fixed value, not computed)</t>
        </is>
      </c>
      <c r="B209" s="30" t="n"/>
      <c r="C209" s="30" t="n"/>
      <c r="D209" s="30" t="n"/>
      <c r="E209" s="30" t="n"/>
      <c r="F209" s="31" t="n">
        <v>5629.15</v>
      </c>
      <c r="G209" s="30" t="n"/>
    </row>
    <row r="211" ht="33" customHeight="1">
      <c r="A211" s="8" t="inlineStr">
        <is>
          <t>4.1</t>
        </is>
      </c>
      <c r="B211" s="17" t="inlineStr">
        <is>
          <t>Providing and laying in position cement concrete of specified grade excluding the cost of centering and shuttering - All work up to plinth level :</t>
        </is>
      </c>
      <c r="C211" s="9" t="n"/>
      <c r="D211" s="9" t="n"/>
      <c r="E211" s="9" t="n"/>
      <c r="F211" s="9" t="n"/>
      <c r="G211" s="9" t="n"/>
    </row>
    <row r="212" ht="18.5" customHeight="1">
      <c r="A212" s="18" t="inlineStr">
        <is>
          <t>4.1.13</t>
        </is>
      </c>
      <c r="B212" s="19" t="inlineStr">
        <is>
          <t>1:2½:4:11 (1 ordinary portland cement : 2½ fly ash : 4 coarse sand(zone-III) : 11 graded stone aggregate 40 mm nominal size)</t>
        </is>
      </c>
      <c r="C212" s="20" t="n"/>
      <c r="D212" s="20" t="n"/>
      <c r="E212" s="20" t="n"/>
      <c r="F212" s="20" t="n"/>
      <c r="G212" s="20" t="n"/>
    </row>
    <row r="213">
      <c r="A213" s="21" t="inlineStr">
        <is>
          <t>Details of cost for 1 cum   |   Source: CivilDAR_2019_Vol_1.pdf, page 160</t>
        </is>
      </c>
    </row>
    <row r="214">
      <c r="A214" s="5" t="inlineStr">
        <is>
          <t>Code</t>
        </is>
      </c>
      <c r="B214" s="5" t="inlineStr">
        <is>
          <t>Description</t>
        </is>
      </c>
      <c r="C214" s="5" t="inlineStr">
        <is>
          <t>Unit</t>
        </is>
      </c>
      <c r="D214" s="5" t="inlineStr">
        <is>
          <t>Quantity</t>
        </is>
      </c>
      <c r="E214" s="5" t="inlineStr">
        <is>
          <t>Rate (Rs.)</t>
        </is>
      </c>
      <c r="F214" s="5" t="inlineStr">
        <is>
          <t>Amount (Rs.)</t>
        </is>
      </c>
      <c r="G214" s="5" t="inlineStr">
        <is>
          <t>Note</t>
        </is>
      </c>
    </row>
    <row r="215">
      <c r="A215" s="22" t="inlineStr">
        <is>
          <t>0293</t>
        </is>
      </c>
      <c r="B215" s="11" t="inlineStr">
        <is>
          <t>Stone Aggregate (Single size) : 40 mm nominal size</t>
        </is>
      </c>
      <c r="C215" s="22" t="inlineStr">
        <is>
          <t>cum</t>
        </is>
      </c>
      <c r="D215" s="23" t="n">
        <v>0.65</v>
      </c>
      <c r="E215" s="24" t="n">
        <v>1300</v>
      </c>
      <c r="F215" s="24">
        <f>D215*E215</f>
        <v/>
      </c>
      <c r="G215" s="22" t="n"/>
    </row>
    <row r="216">
      <c r="A216" s="22" t="inlineStr">
        <is>
          <t>0295</t>
        </is>
      </c>
      <c r="B216" s="11" t="inlineStr">
        <is>
          <t>Stone Aggregate (Single size) : 20 mm nominal size</t>
        </is>
      </c>
      <c r="C216" s="22" t="inlineStr">
        <is>
          <t>cum</t>
        </is>
      </c>
      <c r="D216" s="23" t="n">
        <v>0.24</v>
      </c>
      <c r="E216" s="24" t="n">
        <v>1350</v>
      </c>
      <c r="F216" s="24">
        <f>D216*E216</f>
        <v/>
      </c>
      <c r="G216" s="22" t="n"/>
    </row>
    <row r="217">
      <c r="A217" s="22" t="inlineStr">
        <is>
          <t>2206</t>
        </is>
      </c>
      <c r="B217" s="11" t="inlineStr">
        <is>
          <t>Carriage of Stone aggregate 40 mm nominal size and above</t>
        </is>
      </c>
      <c r="C217" s="22" t="inlineStr">
        <is>
          <t>cum</t>
        </is>
      </c>
      <c r="D217" s="23" t="n">
        <v>0.65</v>
      </c>
      <c r="E217" s="24" t="n">
        <v>112.79</v>
      </c>
      <c r="F217" s="24">
        <f>D217*E217</f>
        <v/>
      </c>
      <c r="G217" s="22" t="n"/>
    </row>
    <row r="218">
      <c r="A218" s="22" t="inlineStr">
        <is>
          <t>2202</t>
        </is>
      </c>
      <c r="B218" s="11" t="inlineStr">
        <is>
          <t>Carriage of Stone aggregate below 40 mm nominal size</t>
        </is>
      </c>
      <c r="C218" s="22" t="inlineStr">
        <is>
          <t>cum</t>
        </is>
      </c>
      <c r="D218" s="23" t="n">
        <v>0.24</v>
      </c>
      <c r="E218" s="24" t="n">
        <v>103.77</v>
      </c>
      <c r="F218" s="24">
        <f>D218*E218</f>
        <v/>
      </c>
      <c r="G218" s="22" t="n"/>
    </row>
    <row r="219">
      <c r="A219" s="22" t="inlineStr">
        <is>
          <t>0982</t>
        </is>
      </c>
      <c r="B219" s="11" t="inlineStr">
        <is>
          <t>Coarse sand (zone III)</t>
        </is>
      </c>
      <c r="C219" s="22" t="inlineStr">
        <is>
          <t>cum</t>
        </is>
      </c>
      <c r="D219" s="23" t="n">
        <v>0.34</v>
      </c>
      <c r="E219" s="24" t="n">
        <v>1350</v>
      </c>
      <c r="F219" s="24">
        <f>D219*E219</f>
        <v/>
      </c>
      <c r="G219" s="22" t="n"/>
    </row>
    <row r="220">
      <c r="A220" s="22" t="inlineStr">
        <is>
          <t>2203</t>
        </is>
      </c>
      <c r="B220" s="11" t="inlineStr">
        <is>
          <t>Carriage of Coarse sand</t>
        </is>
      </c>
      <c r="C220" s="22" t="inlineStr">
        <is>
          <t>cum</t>
        </is>
      </c>
      <c r="D220" s="23" t="n">
        <v>0.34</v>
      </c>
      <c r="E220" s="24" t="n">
        <v>103.77</v>
      </c>
      <c r="F220" s="24">
        <f>D220*E220</f>
        <v/>
      </c>
      <c r="G220" s="22" t="n"/>
    </row>
    <row r="221">
      <c r="A221" s="22" t="inlineStr">
        <is>
          <t>1980</t>
        </is>
      </c>
      <c r="B221" s="11" t="inlineStr">
        <is>
          <t>Flyash</t>
        </is>
      </c>
      <c r="C221" s="22" t="inlineStr">
        <is>
          <t>cum</t>
        </is>
      </c>
      <c r="D221" s="23" t="n">
        <v>0.21</v>
      </c>
      <c r="E221" s="24" t="n">
        <v>10</v>
      </c>
      <c r="F221" s="24">
        <f>D221*E221</f>
        <v/>
      </c>
      <c r="G221" s="22" t="n"/>
    </row>
    <row r="222">
      <c r="A222" s="22" t="inlineStr">
        <is>
          <t>2262</t>
        </is>
      </c>
      <c r="B222" s="11" t="inlineStr">
        <is>
          <t>Carriage of Flyash</t>
        </is>
      </c>
      <c r="C222" s="22" t="inlineStr">
        <is>
          <t>cum</t>
        </is>
      </c>
      <c r="D222" s="23" t="n">
        <v>0.21</v>
      </c>
      <c r="E222" s="24" t="n">
        <v>103.77</v>
      </c>
      <c r="F222" s="24">
        <f>D222*E222</f>
        <v/>
      </c>
      <c r="G222" s="22" t="n"/>
    </row>
    <row r="223">
      <c r="A223" s="22" t="inlineStr">
        <is>
          <t>0367</t>
        </is>
      </c>
      <c r="B223" s="11" t="inlineStr">
        <is>
          <t>Portland Cement</t>
        </is>
      </c>
      <c r="C223" s="22" t="inlineStr">
        <is>
          <t>tonne</t>
        </is>
      </c>
      <c r="D223" s="23" t="n">
        <v>0.13</v>
      </c>
      <c r="E223" s="24" t="n">
        <v>4940</v>
      </c>
      <c r="F223" s="24">
        <f>D223*E223</f>
        <v/>
      </c>
      <c r="G223" s="22" t="n"/>
    </row>
    <row r="224">
      <c r="A224" s="22" t="inlineStr">
        <is>
          <t>2209</t>
        </is>
      </c>
      <c r="B224" s="11" t="inlineStr">
        <is>
          <t>Carriage of Cement</t>
        </is>
      </c>
      <c r="C224" s="22" t="inlineStr">
        <is>
          <t>tonne</t>
        </is>
      </c>
      <c r="D224" s="23" t="n">
        <v>0.13</v>
      </c>
      <c r="E224" s="24" t="n">
        <v>92.23999999999999</v>
      </c>
      <c r="F224" s="24">
        <f>D224*E224</f>
        <v/>
      </c>
      <c r="G224" s="22" t="n"/>
    </row>
    <row r="225">
      <c r="A225" s="22" t="inlineStr">
        <is>
          <t>0155</t>
        </is>
      </c>
      <c r="B225" s="11" t="inlineStr">
        <is>
          <t>Mason (average)</t>
        </is>
      </c>
      <c r="C225" s="22" t="inlineStr">
        <is>
          <t>day</t>
        </is>
      </c>
      <c r="D225" s="23" t="n">
        <v>0.1</v>
      </c>
      <c r="E225" s="24" t="n">
        <v>709</v>
      </c>
      <c r="F225" s="24">
        <f>D225*E225</f>
        <v/>
      </c>
      <c r="G225" s="22" t="n"/>
    </row>
    <row r="226">
      <c r="A226" s="22" t="inlineStr">
        <is>
          <t>0114</t>
        </is>
      </c>
      <c r="B226" s="11" t="inlineStr">
        <is>
          <t>Beldar</t>
        </is>
      </c>
      <c r="C226" s="22" t="inlineStr">
        <is>
          <t>day</t>
        </is>
      </c>
      <c r="D226" s="23" t="n">
        <v>1.63</v>
      </c>
      <c r="E226" s="24" t="n">
        <v>558</v>
      </c>
      <c r="F226" s="24">
        <f>D226*E226</f>
        <v/>
      </c>
      <c r="G226" s="22" t="n"/>
    </row>
    <row r="227">
      <c r="A227" s="22" t="inlineStr">
        <is>
          <t>0101</t>
        </is>
      </c>
      <c r="B227" s="11" t="inlineStr">
        <is>
          <t>Bhisti</t>
        </is>
      </c>
      <c r="C227" s="22" t="inlineStr">
        <is>
          <t>day</t>
        </is>
      </c>
      <c r="D227" s="23" t="n">
        <v>0.7</v>
      </c>
      <c r="E227" s="24" t="n">
        <v>617</v>
      </c>
      <c r="F227" s="24">
        <f>D227*E227</f>
        <v/>
      </c>
      <c r="G227" s="22" t="n"/>
    </row>
    <row r="228">
      <c r="A228" s="22" t="inlineStr">
        <is>
          <t>0002</t>
        </is>
      </c>
      <c r="B228" s="11" t="inlineStr">
        <is>
          <t>Hire charges of Concrete Mixer 0.25 to 0.40 cum with hooper</t>
        </is>
      </c>
      <c r="C228" s="22" t="inlineStr">
        <is>
          <t>day</t>
        </is>
      </c>
      <c r="D228" s="23" t="n">
        <v>0.07000000000000001</v>
      </c>
      <c r="E228" s="24" t="n">
        <v>800</v>
      </c>
      <c r="F228" s="24">
        <f>D228*E228</f>
        <v/>
      </c>
      <c r="G228" s="22" t="n"/>
    </row>
    <row r="229">
      <c r="A229" s="22" t="inlineStr">
        <is>
          <t>0012</t>
        </is>
      </c>
      <c r="B229" s="11" t="inlineStr">
        <is>
          <t>Vibrator(Needle type 40mm)</t>
        </is>
      </c>
      <c r="C229" s="22" t="inlineStr">
        <is>
          <t>day</t>
        </is>
      </c>
      <c r="D229" s="23" t="n">
        <v>0.07000000000000001</v>
      </c>
      <c r="E229" s="24" t="n">
        <v>370</v>
      </c>
      <c r="F229" s="24">
        <f>D229*E229</f>
        <v/>
      </c>
      <c r="G229" s="22" t="n"/>
    </row>
    <row r="230">
      <c r="A230" s="22" t="inlineStr">
        <is>
          <t>9999</t>
        </is>
      </c>
      <c r="B230" s="11" t="inlineStr">
        <is>
          <t>Sundries</t>
        </is>
      </c>
      <c r="C230" s="22" t="inlineStr">
        <is>
          <t>L.S.</t>
        </is>
      </c>
      <c r="D230" s="23" t="n">
        <v>14.3</v>
      </c>
      <c r="E230" s="24" t="n">
        <v>2</v>
      </c>
      <c r="F230" s="24">
        <f>D230*E230</f>
        <v/>
      </c>
      <c r="G230" s="22" t="n"/>
    </row>
    <row r="231">
      <c r="A231" s="8" t="inlineStr">
        <is>
          <t>Calculated W - SUM of the Amount column above</t>
        </is>
      </c>
      <c r="B231" s="9" t="n"/>
      <c r="C231" s="9" t="n"/>
      <c r="D231" s="9" t="n"/>
      <c r="E231" s="9" t="n"/>
      <c r="F231" s="25">
        <f>SUM(F215:F230)</f>
        <v/>
      </c>
      <c r="G231" s="9" t="n"/>
    </row>
    <row r="232">
      <c r="A232" s="26" t="inlineStr">
        <is>
          <t>W as printed in the DAR</t>
        </is>
      </c>
      <c r="B232" s="22" t="n"/>
      <c r="C232" s="22" t="n"/>
      <c r="D232" s="22" t="n"/>
      <c r="E232" s="22" t="n"/>
      <c r="F232" s="27" t="n">
        <v>3962.42</v>
      </c>
      <c r="G232" s="22" t="n"/>
    </row>
    <row r="233">
      <c r="A233" s="26" t="inlineStr">
        <is>
          <t>Difference (calculated - printed)</t>
        </is>
      </c>
      <c r="B233" s="22" t="n"/>
      <c r="C233" s="22" t="n"/>
      <c r="D233" s="22" t="n"/>
      <c r="E233" s="22" t="n"/>
      <c r="F233" s="27">
        <f>F231-F232</f>
        <v/>
      </c>
      <c r="G233" s="22" t="n"/>
    </row>
    <row r="234">
      <c r="A234" s="29" t="inlineStr">
        <is>
          <t>SAY (Rs.) - final DAR rate as printed (fixed value, not computed)</t>
        </is>
      </c>
      <c r="B234" s="30" t="n"/>
      <c r="C234" s="30" t="n"/>
      <c r="D234" s="30" t="n"/>
      <c r="E234" s="30" t="n"/>
      <c r="F234" s="31" t="n">
        <v>5301.45</v>
      </c>
      <c r="G234" s="30" t="n"/>
    </row>
    <row r="236" ht="62" customHeight="1">
      <c r="A236" s="8" t="inlineStr">
        <is>
          <t>4.2</t>
        </is>
      </c>
      <c r="B236" s="17"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is>
      </c>
      <c r="C236" s="9" t="n"/>
      <c r="D236" s="9" t="n"/>
      <c r="E236" s="9" t="n"/>
      <c r="F236" s="9" t="n"/>
      <c r="G236" s="9" t="n"/>
    </row>
    <row r="237" ht="18.5" customHeight="1">
      <c r="A237" s="18" t="inlineStr">
        <is>
          <t>4.2.2</t>
        </is>
      </c>
      <c r="B237" s="19" t="inlineStr">
        <is>
          <t>1:1½:3 (1 cement : 1½ coarse sand (zone-III) : 3 graded stone aggregate 20 mm nominal size).</t>
        </is>
      </c>
      <c r="C237" s="20" t="n"/>
      <c r="D237" s="20" t="n"/>
      <c r="E237" s="20" t="n"/>
      <c r="F237" s="20" t="n"/>
      <c r="G237" s="20" t="n"/>
    </row>
    <row r="238">
      <c r="A238" s="21" t="inlineStr">
        <is>
          <t>Details of cost for 1 cum   |   Source: CivilDAR_2019_Vol_1.pdf, page 161</t>
        </is>
      </c>
    </row>
    <row r="239">
      <c r="A239" s="5" t="inlineStr">
        <is>
          <t>Code</t>
        </is>
      </c>
      <c r="B239" s="5" t="inlineStr">
        <is>
          <t>Description</t>
        </is>
      </c>
      <c r="C239" s="5" t="inlineStr">
        <is>
          <t>Unit</t>
        </is>
      </c>
      <c r="D239" s="5" t="inlineStr">
        <is>
          <t>Quantity</t>
        </is>
      </c>
      <c r="E239" s="5" t="inlineStr">
        <is>
          <t>Rate (Rs.)</t>
        </is>
      </c>
      <c r="F239" s="5" t="inlineStr">
        <is>
          <t>Amount (Rs.)</t>
        </is>
      </c>
      <c r="G239" s="5" t="inlineStr">
        <is>
          <t>Note</t>
        </is>
      </c>
    </row>
    <row r="240">
      <c r="A240" s="22" t="inlineStr">
        <is>
          <t>0295</t>
        </is>
      </c>
      <c r="B240" s="11" t="inlineStr">
        <is>
          <t>Stone Aggregate (Single size) : 20 mm nominal size</t>
        </is>
      </c>
      <c r="C240" s="22" t="inlineStr">
        <is>
          <t>cum</t>
        </is>
      </c>
      <c r="D240" s="23" t="n">
        <v>0.57</v>
      </c>
      <c r="E240" s="24" t="n">
        <v>1350</v>
      </c>
      <c r="F240" s="24">
        <f>D240*E240</f>
        <v/>
      </c>
      <c r="G240" s="22" t="n"/>
    </row>
    <row r="241">
      <c r="A241" s="22" t="inlineStr">
        <is>
          <t>0297</t>
        </is>
      </c>
      <c r="B241" s="11" t="inlineStr">
        <is>
          <t>Stone Aggregate (Single size) : 10 mm nominal size</t>
        </is>
      </c>
      <c r="C241" s="22" t="inlineStr">
        <is>
          <t>cum</t>
        </is>
      </c>
      <c r="D241" s="23" t="n">
        <v>0.28</v>
      </c>
      <c r="E241" s="24" t="n">
        <v>1350</v>
      </c>
      <c r="F241" s="24">
        <f>D241*E241</f>
        <v/>
      </c>
      <c r="G241" s="22" t="n"/>
    </row>
    <row r="242">
      <c r="A242" s="22" t="inlineStr">
        <is>
          <t>2202</t>
        </is>
      </c>
      <c r="B242" s="11" t="inlineStr">
        <is>
          <t>Carriage of Stone aggregate below 40 mm nominal size</t>
        </is>
      </c>
      <c r="C242" s="22" t="inlineStr">
        <is>
          <t>cum</t>
        </is>
      </c>
      <c r="D242" s="23" t="n">
        <v>0.85</v>
      </c>
      <c r="E242" s="24" t="n">
        <v>103.77</v>
      </c>
      <c r="F242" s="24">
        <f>D242*E242</f>
        <v/>
      </c>
      <c r="G242" s="22" t="n"/>
    </row>
    <row r="243">
      <c r="A243" s="22" t="inlineStr">
        <is>
          <t>0982</t>
        </is>
      </c>
      <c r="B243" s="11" t="inlineStr">
        <is>
          <t>Coarse sand (zone III)</t>
        </is>
      </c>
      <c r="C243" s="22" t="inlineStr">
        <is>
          <t>cum</t>
        </is>
      </c>
      <c r="D243" s="23" t="n">
        <v>0.425</v>
      </c>
      <c r="E243" s="24" t="n">
        <v>1350</v>
      </c>
      <c r="F243" s="24">
        <f>D243*E243</f>
        <v/>
      </c>
      <c r="G243" s="22" t="n"/>
    </row>
    <row r="244">
      <c r="A244" s="22" t="inlineStr">
        <is>
          <t>2203</t>
        </is>
      </c>
      <c r="B244" s="11" t="inlineStr">
        <is>
          <t>Carriage of Coarse sand</t>
        </is>
      </c>
      <c r="C244" s="22" t="inlineStr">
        <is>
          <t>cum</t>
        </is>
      </c>
      <c r="D244" s="23" t="n">
        <v>0.425</v>
      </c>
      <c r="E244" s="24" t="n">
        <v>103.77</v>
      </c>
      <c r="F244" s="24">
        <f>D244*E244</f>
        <v/>
      </c>
      <c r="G244" s="22" t="n"/>
    </row>
    <row r="245">
      <c r="A245" s="22" t="inlineStr">
        <is>
          <t>0367</t>
        </is>
      </c>
      <c r="B245" s="11" t="inlineStr">
        <is>
          <t>Portland Cement (0.2833 cum)</t>
        </is>
      </c>
      <c r="C245" s="22" t="inlineStr">
        <is>
          <t>tonne</t>
        </is>
      </c>
      <c r="D245" s="23" t="n">
        <v>0.4</v>
      </c>
      <c r="E245" s="24" t="n">
        <v>4940</v>
      </c>
      <c r="F245" s="24">
        <f>D245*E245</f>
        <v/>
      </c>
      <c r="G245" s="22" t="n"/>
    </row>
    <row r="246">
      <c r="A246" s="22" t="inlineStr">
        <is>
          <t>2209</t>
        </is>
      </c>
      <c r="B246" s="11" t="inlineStr">
        <is>
          <t>Carriage of Cement</t>
        </is>
      </c>
      <c r="C246" s="22" t="inlineStr">
        <is>
          <t>tonne</t>
        </is>
      </c>
      <c r="D246" s="23" t="n">
        <v>0.4</v>
      </c>
      <c r="E246" s="24" t="n">
        <v>92.23999999999999</v>
      </c>
      <c r="F246" s="24">
        <f>D246*E246</f>
        <v/>
      </c>
      <c r="G246" s="22" t="n"/>
    </row>
    <row r="247">
      <c r="A247" s="22" t="inlineStr">
        <is>
          <t>0114</t>
        </is>
      </c>
      <c r="B247" s="11" t="inlineStr">
        <is>
          <t>Beldar</t>
        </is>
      </c>
      <c r="C247" s="22" t="inlineStr">
        <is>
          <t>day</t>
        </is>
      </c>
      <c r="D247" s="23" t="n">
        <v>0.9</v>
      </c>
      <c r="E247" s="24" t="n">
        <v>558</v>
      </c>
      <c r="F247" s="24">
        <f>D247*E247</f>
        <v/>
      </c>
      <c r="G247" s="22" t="n"/>
    </row>
    <row r="248">
      <c r="A248" s="22" t="inlineStr">
        <is>
          <t>0115</t>
        </is>
      </c>
      <c r="B248" s="11" t="inlineStr">
        <is>
          <t>Coolie</t>
        </is>
      </c>
      <c r="C248" s="22" t="inlineStr">
        <is>
          <t>day</t>
        </is>
      </c>
      <c r="D248" s="23" t="n">
        <v>0.78</v>
      </c>
      <c r="E248" s="24" t="n">
        <v>558</v>
      </c>
      <c r="F248" s="24">
        <f>D248*E248</f>
        <v/>
      </c>
      <c r="G248" s="22" t="n"/>
    </row>
    <row r="249">
      <c r="A249" s="22" t="inlineStr">
        <is>
          <t>0101</t>
        </is>
      </c>
      <c r="B249" s="11" t="inlineStr">
        <is>
          <t>Bhisti</t>
        </is>
      </c>
      <c r="C249" s="22" t="inlineStr">
        <is>
          <t>day</t>
        </is>
      </c>
      <c r="D249" s="23" t="n">
        <v>0.7</v>
      </c>
      <c r="E249" s="24" t="n">
        <v>617</v>
      </c>
      <c r="F249" s="24">
        <f>D249*E249</f>
        <v/>
      </c>
      <c r="G249" s="22" t="n"/>
    </row>
    <row r="250">
      <c r="A250" s="22" t="inlineStr">
        <is>
          <t>0123</t>
        </is>
      </c>
      <c r="B250" s="11" t="inlineStr">
        <is>
          <t>Mason (brick layer) 1st class</t>
        </is>
      </c>
      <c r="C250" s="22" t="inlineStr">
        <is>
          <t>day</t>
        </is>
      </c>
      <c r="D250" s="23" t="n">
        <v>0.06</v>
      </c>
      <c r="E250" s="24" t="n">
        <v>738</v>
      </c>
      <c r="F250" s="24">
        <f>D250*E250</f>
        <v/>
      </c>
      <c r="G250" s="22" t="n"/>
    </row>
    <row r="251">
      <c r="A251" s="22" t="inlineStr">
        <is>
          <t>0124</t>
        </is>
      </c>
      <c r="B251" s="11" t="inlineStr">
        <is>
          <t>Mason (brick layer) 2nd class</t>
        </is>
      </c>
      <c r="C251" s="22" t="inlineStr">
        <is>
          <t>day</t>
        </is>
      </c>
      <c r="D251" s="23" t="n">
        <v>0.06</v>
      </c>
      <c r="E251" s="24" t="n">
        <v>679</v>
      </c>
      <c r="F251" s="24">
        <f>D251*E251</f>
        <v/>
      </c>
      <c r="G251" s="22" t="n"/>
    </row>
    <row r="252">
      <c r="A252" s="22" t="inlineStr">
        <is>
          <t>0002</t>
        </is>
      </c>
      <c r="B252" s="11" t="inlineStr">
        <is>
          <t>Hire charges of Concrete Mixer 0.25 to 0.40 cum with hooper</t>
        </is>
      </c>
      <c r="C252" s="22" t="inlineStr">
        <is>
          <t>day</t>
        </is>
      </c>
      <c r="D252" s="23" t="n">
        <v>0.07000000000000001</v>
      </c>
      <c r="E252" s="24" t="n">
        <v>800</v>
      </c>
      <c r="F252" s="24">
        <f>D252*E252</f>
        <v/>
      </c>
      <c r="G252" s="22" t="n"/>
    </row>
    <row r="253">
      <c r="A253" s="22" t="inlineStr">
        <is>
          <t>0012</t>
        </is>
      </c>
      <c r="B253" s="11" t="inlineStr">
        <is>
          <t>Vibrator(Needle type 40mm)</t>
        </is>
      </c>
      <c r="C253" s="22" t="inlineStr">
        <is>
          <t>day</t>
        </is>
      </c>
      <c r="D253" s="23" t="n">
        <v>0.07000000000000001</v>
      </c>
      <c r="E253" s="24" t="n">
        <v>370</v>
      </c>
      <c r="F253" s="24">
        <f>D253*E253</f>
        <v/>
      </c>
      <c r="G253" s="22" t="n"/>
    </row>
    <row r="254">
      <c r="A254" s="22" t="inlineStr">
        <is>
          <t>9999</t>
        </is>
      </c>
      <c r="B254" s="11" t="inlineStr">
        <is>
          <t>Scaffolding</t>
        </is>
      </c>
      <c r="C254" s="22" t="inlineStr">
        <is>
          <t>L.S.</t>
        </is>
      </c>
      <c r="D254" s="23" t="n">
        <v>114.4</v>
      </c>
      <c r="E254" s="24" t="n">
        <v>2</v>
      </c>
      <c r="F254" s="24">
        <f>D254*E254</f>
        <v/>
      </c>
      <c r="G254" s="22" t="n"/>
    </row>
    <row r="255">
      <c r="A255" s="22" t="inlineStr">
        <is>
          <t>9999</t>
        </is>
      </c>
      <c r="B255" s="11" t="inlineStr">
        <is>
          <t>Sundries</t>
        </is>
      </c>
      <c r="C255" s="22" t="inlineStr">
        <is>
          <t>L.S.</t>
        </is>
      </c>
      <c r="D255" s="23" t="n">
        <v>14.3</v>
      </c>
      <c r="E255" s="24" t="n">
        <v>2</v>
      </c>
      <c r="F255" s="24">
        <f>D255*E255</f>
        <v/>
      </c>
      <c r="G255" s="22" t="n"/>
    </row>
    <row r="256">
      <c r="A256" s="22" t="inlineStr">
        <is>
          <t>0115</t>
        </is>
      </c>
      <c r="B256" s="11" t="inlineStr">
        <is>
          <t>Coolie</t>
        </is>
      </c>
      <c r="C256" s="22" t="inlineStr">
        <is>
          <t>day</t>
        </is>
      </c>
      <c r="D256" s="23" t="n">
        <v>1.88</v>
      </c>
      <c r="E256" s="24" t="n">
        <v>558</v>
      </c>
      <c r="F256" s="24">
        <f>D256*E256</f>
        <v/>
      </c>
      <c r="G256" s="22" t="n"/>
    </row>
    <row r="257">
      <c r="A257" s="8" t="inlineStr">
        <is>
          <t>Calculated W - SUM of the Amount column above</t>
        </is>
      </c>
      <c r="B257" s="9" t="n"/>
      <c r="C257" s="9" t="n"/>
      <c r="D257" s="9" t="n"/>
      <c r="E257" s="9" t="n"/>
      <c r="F257" s="25">
        <f>SUM(F240:F256)</f>
        <v/>
      </c>
      <c r="G257" s="9" t="n"/>
    </row>
    <row r="258">
      <c r="A258" s="26" t="inlineStr">
        <is>
          <t>W as printed in the DAR</t>
        </is>
      </c>
      <c r="B258" s="22" t="n"/>
      <c r="C258" s="22" t="n"/>
      <c r="D258" s="22" t="n"/>
      <c r="E258" s="22" t="n"/>
      <c r="F258" s="27" t="n">
        <v>6709.15</v>
      </c>
      <c r="G258" s="22" t="n"/>
    </row>
    <row r="259">
      <c r="A259" s="26" t="inlineStr">
        <is>
          <t>Difference (calculated - printed)</t>
        </is>
      </c>
      <c r="B259" s="22" t="n"/>
      <c r="C259" s="22" t="n"/>
      <c r="D259" s="22" t="n"/>
      <c r="E259" s="22" t="n"/>
      <c r="F259" s="27">
        <f>F257-F258</f>
        <v/>
      </c>
      <c r="G259" s="22" t="n"/>
    </row>
    <row r="260">
      <c r="A260" s="29" t="inlineStr">
        <is>
          <t>SAY (Rs.) - final DAR rate as printed (fixed value, not computed)</t>
        </is>
      </c>
      <c r="B260" s="30" t="n"/>
      <c r="C260" s="30" t="n"/>
      <c r="D260" s="30" t="n"/>
      <c r="E260" s="30" t="n"/>
      <c r="F260" s="31" t="n">
        <v>8976.450000000001</v>
      </c>
      <c r="G260" s="30" t="n"/>
    </row>
    <row r="262" ht="62" customHeight="1">
      <c r="A262" s="8" t="inlineStr">
        <is>
          <t>4.2</t>
        </is>
      </c>
      <c r="B262" s="17"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is>
      </c>
      <c r="C262" s="9" t="n"/>
      <c r="D262" s="9" t="n"/>
      <c r="E262" s="9" t="n"/>
      <c r="F262" s="9" t="n"/>
      <c r="G262" s="9" t="n"/>
    </row>
    <row r="263" ht="18.5" customHeight="1">
      <c r="A263" s="18" t="inlineStr">
        <is>
          <t>4.2.3</t>
        </is>
      </c>
      <c r="B263" s="19" t="inlineStr">
        <is>
          <t>1:2:4 (1 Cement : 2 coarse sand (zone-III) : 4 graded stone aggregate 20 mm nominal size)</t>
        </is>
      </c>
      <c r="C263" s="20" t="n"/>
      <c r="D263" s="20" t="n"/>
      <c r="E263" s="20" t="n"/>
      <c r="F263" s="20" t="n"/>
      <c r="G263" s="20" t="n"/>
    </row>
    <row r="264">
      <c r="A264" s="21" t="inlineStr">
        <is>
          <t>Details of cost for 1 cum   |   Source: CivilDAR_2019_Vol_1.pdf, page 162</t>
        </is>
      </c>
    </row>
    <row r="265">
      <c r="A265" s="5" t="inlineStr">
        <is>
          <t>Code</t>
        </is>
      </c>
      <c r="B265" s="5" t="inlineStr">
        <is>
          <t>Description</t>
        </is>
      </c>
      <c r="C265" s="5" t="inlineStr">
        <is>
          <t>Unit</t>
        </is>
      </c>
      <c r="D265" s="5" t="inlineStr">
        <is>
          <t>Quantity</t>
        </is>
      </c>
      <c r="E265" s="5" t="inlineStr">
        <is>
          <t>Rate (Rs.)</t>
        </is>
      </c>
      <c r="F265" s="5" t="inlineStr">
        <is>
          <t>Amount (Rs.)</t>
        </is>
      </c>
      <c r="G265" s="5" t="inlineStr">
        <is>
          <t>Note</t>
        </is>
      </c>
    </row>
    <row r="266">
      <c r="A266" s="22" t="inlineStr">
        <is>
          <t>0295</t>
        </is>
      </c>
      <c r="B266" s="11" t="inlineStr">
        <is>
          <t>Stone Aggregate (Single size) : 20 mm nominal size</t>
        </is>
      </c>
      <c r="C266" s="22" t="inlineStr">
        <is>
          <t>cum</t>
        </is>
      </c>
      <c r="D266" s="23" t="n">
        <v>0.67</v>
      </c>
      <c r="E266" s="24" t="n">
        <v>1350</v>
      </c>
      <c r="F266" s="24">
        <f>D266*E266</f>
        <v/>
      </c>
      <c r="G266" s="22" t="n"/>
    </row>
    <row r="267">
      <c r="A267" s="22" t="inlineStr">
        <is>
          <t>0297</t>
        </is>
      </c>
      <c r="B267" s="11" t="inlineStr">
        <is>
          <t>Stone Aggregate (Single size) : 10 mm nominal size</t>
        </is>
      </c>
      <c r="C267" s="22" t="inlineStr">
        <is>
          <t>cum</t>
        </is>
      </c>
      <c r="D267" s="23" t="n">
        <v>0.22</v>
      </c>
      <c r="E267" s="24" t="n">
        <v>1350</v>
      </c>
      <c r="F267" s="24">
        <f>D267*E267</f>
        <v/>
      </c>
      <c r="G267" s="22" t="n"/>
    </row>
    <row r="268">
      <c r="A268" s="22" t="inlineStr">
        <is>
          <t>2202</t>
        </is>
      </c>
      <c r="B268" s="11" t="inlineStr">
        <is>
          <t>Carriage of Stone aggregate below 40 mm nominal size</t>
        </is>
      </c>
      <c r="C268" s="22" t="inlineStr">
        <is>
          <t>cum</t>
        </is>
      </c>
      <c r="D268" s="23" t="n">
        <v>0.89</v>
      </c>
      <c r="E268" s="24" t="n">
        <v>103.77</v>
      </c>
      <c r="F268" s="24">
        <f>D268*E268</f>
        <v/>
      </c>
      <c r="G268" s="22" t="n"/>
    </row>
    <row r="269">
      <c r="A269" s="22" t="inlineStr">
        <is>
          <t>0982</t>
        </is>
      </c>
      <c r="B269" s="11" t="inlineStr">
        <is>
          <t>Coarse sand (zone III)</t>
        </is>
      </c>
      <c r="C269" s="22" t="inlineStr">
        <is>
          <t>cum</t>
        </is>
      </c>
      <c r="D269" s="23" t="n">
        <v>0.445</v>
      </c>
      <c r="E269" s="24" t="n">
        <v>1350</v>
      </c>
      <c r="F269" s="24">
        <f>D269*E269</f>
        <v/>
      </c>
      <c r="G269" s="22" t="n"/>
    </row>
    <row r="270">
      <c r="A270" s="22" t="inlineStr">
        <is>
          <t>2203</t>
        </is>
      </c>
      <c r="B270" s="11" t="inlineStr">
        <is>
          <t>Carriage of Coarse sand</t>
        </is>
      </c>
      <c r="C270" s="22" t="inlineStr">
        <is>
          <t>cum</t>
        </is>
      </c>
      <c r="D270" s="23" t="n">
        <v>0.445</v>
      </c>
      <c r="E270" s="24" t="n">
        <v>103.77</v>
      </c>
      <c r="F270" s="24">
        <f>D270*E270</f>
        <v/>
      </c>
      <c r="G270" s="22" t="n"/>
    </row>
    <row r="271">
      <c r="A271" s="22" t="inlineStr">
        <is>
          <t>0367</t>
        </is>
      </c>
      <c r="B271" s="11" t="inlineStr">
        <is>
          <t>Portland Cement (0.2833 cum)</t>
        </is>
      </c>
      <c r="C271" s="22" t="inlineStr">
        <is>
          <t>tonne</t>
        </is>
      </c>
      <c r="D271" s="23" t="n">
        <v>0.32</v>
      </c>
      <c r="E271" s="24" t="n">
        <v>4940</v>
      </c>
      <c r="F271" s="24">
        <f>D271*E271</f>
        <v/>
      </c>
      <c r="G271" s="22" t="n"/>
    </row>
    <row r="272">
      <c r="A272" s="22" t="inlineStr">
        <is>
          <t>2209</t>
        </is>
      </c>
      <c r="B272" s="11" t="inlineStr">
        <is>
          <t>Carriage of Cement</t>
        </is>
      </c>
      <c r="C272" s="22" t="inlineStr">
        <is>
          <t>tonne</t>
        </is>
      </c>
      <c r="D272" s="23" t="n">
        <v>0.32</v>
      </c>
      <c r="E272" s="24" t="n">
        <v>92.23999999999999</v>
      </c>
      <c r="F272" s="24">
        <f>D272*E272</f>
        <v/>
      </c>
      <c r="G272" s="22" t="n"/>
    </row>
    <row r="273">
      <c r="A273" s="22" t="inlineStr">
        <is>
          <t>0114</t>
        </is>
      </c>
      <c r="B273" s="11" t="inlineStr">
        <is>
          <t>Beldar</t>
        </is>
      </c>
      <c r="C273" s="22" t="inlineStr">
        <is>
          <t>day</t>
        </is>
      </c>
      <c r="D273" s="23" t="n">
        <v>0.9</v>
      </c>
      <c r="E273" s="24" t="n">
        <v>558</v>
      </c>
      <c r="F273" s="24">
        <f>D273*E273</f>
        <v/>
      </c>
      <c r="G273" s="22" t="n"/>
    </row>
    <row r="274">
      <c r="A274" s="22" t="inlineStr">
        <is>
          <t>0115</t>
        </is>
      </c>
      <c r="B274" s="11" t="inlineStr">
        <is>
          <t>Coolie</t>
        </is>
      </c>
      <c r="C274" s="22" t="inlineStr">
        <is>
          <t>day</t>
        </is>
      </c>
      <c r="D274" s="23" t="n">
        <v>0.78</v>
      </c>
      <c r="E274" s="24" t="n">
        <v>558</v>
      </c>
      <c r="F274" s="24">
        <f>D274*E274</f>
        <v/>
      </c>
      <c r="G274" s="22" t="n"/>
    </row>
    <row r="275">
      <c r="A275" s="22" t="inlineStr">
        <is>
          <t>0101</t>
        </is>
      </c>
      <c r="B275" s="11" t="inlineStr">
        <is>
          <t>Bhisti</t>
        </is>
      </c>
      <c r="C275" s="22" t="inlineStr">
        <is>
          <t>day</t>
        </is>
      </c>
      <c r="D275" s="23" t="n">
        <v>0.7</v>
      </c>
      <c r="E275" s="24" t="n">
        <v>617</v>
      </c>
      <c r="F275" s="24">
        <f>D275*E275</f>
        <v/>
      </c>
      <c r="G275" s="22" t="n"/>
    </row>
    <row r="276">
      <c r="A276" s="22" t="inlineStr">
        <is>
          <t>0123</t>
        </is>
      </c>
      <c r="B276" s="11" t="inlineStr">
        <is>
          <t>Mason (brick layer) 1st class</t>
        </is>
      </c>
      <c r="C276" s="22" t="inlineStr">
        <is>
          <t>day</t>
        </is>
      </c>
      <c r="D276" s="23" t="n">
        <v>0.06</v>
      </c>
      <c r="E276" s="24" t="n">
        <v>738</v>
      </c>
      <c r="F276" s="24">
        <f>D276*E276</f>
        <v/>
      </c>
      <c r="G276" s="22" t="n"/>
    </row>
    <row r="277">
      <c r="A277" s="22" t="inlineStr">
        <is>
          <t>0124</t>
        </is>
      </c>
      <c r="B277" s="11" t="inlineStr">
        <is>
          <t>Mason (brick layer) 2nd class</t>
        </is>
      </c>
      <c r="C277" s="22" t="inlineStr">
        <is>
          <t>day</t>
        </is>
      </c>
      <c r="D277" s="23" t="n">
        <v>0.06</v>
      </c>
      <c r="E277" s="24" t="n">
        <v>679</v>
      </c>
      <c r="F277" s="24">
        <f>D277*E277</f>
        <v/>
      </c>
      <c r="G277" s="22" t="n"/>
    </row>
    <row r="278">
      <c r="A278" s="22" t="inlineStr">
        <is>
          <t>0002</t>
        </is>
      </c>
      <c r="B278" s="11" t="inlineStr">
        <is>
          <t>Hire charges of Concrete Mixer 0.25 to 0.40 cum with hooper</t>
        </is>
      </c>
      <c r="C278" s="22" t="inlineStr">
        <is>
          <t>day</t>
        </is>
      </c>
      <c r="D278" s="23" t="n">
        <v>0.07000000000000001</v>
      </c>
      <c r="E278" s="24" t="n">
        <v>800</v>
      </c>
      <c r="F278" s="24">
        <f>D278*E278</f>
        <v/>
      </c>
      <c r="G278" s="22" t="n"/>
    </row>
    <row r="279">
      <c r="A279" s="22" t="inlineStr">
        <is>
          <t>0012</t>
        </is>
      </c>
      <c r="B279" s="11" t="inlineStr">
        <is>
          <t>Vibrator(Needle type 40mm)</t>
        </is>
      </c>
      <c r="C279" s="22" t="inlineStr">
        <is>
          <t>day</t>
        </is>
      </c>
      <c r="D279" s="23" t="n">
        <v>0.07000000000000001</v>
      </c>
      <c r="E279" s="24" t="n">
        <v>370</v>
      </c>
      <c r="F279" s="24">
        <f>D279*E279</f>
        <v/>
      </c>
      <c r="G279" s="22" t="n"/>
    </row>
    <row r="280">
      <c r="A280" s="22" t="inlineStr">
        <is>
          <t>9999</t>
        </is>
      </c>
      <c r="B280" s="11" t="inlineStr">
        <is>
          <t>Scaffolding</t>
        </is>
      </c>
      <c r="C280" s="22" t="inlineStr">
        <is>
          <t>L.S.</t>
        </is>
      </c>
      <c r="D280" s="23" t="n">
        <v>114.4</v>
      </c>
      <c r="E280" s="24" t="n">
        <v>2</v>
      </c>
      <c r="F280" s="24">
        <f>D280*E280</f>
        <v/>
      </c>
      <c r="G280" s="22" t="n"/>
    </row>
    <row r="281">
      <c r="A281" s="22" t="inlineStr">
        <is>
          <t>9999</t>
        </is>
      </c>
      <c r="B281" s="11" t="inlineStr">
        <is>
          <t>Sundries</t>
        </is>
      </c>
      <c r="C281" s="22" t="inlineStr">
        <is>
          <t>L.S.</t>
        </is>
      </c>
      <c r="D281" s="23" t="n">
        <v>14.3</v>
      </c>
      <c r="E281" s="24" t="n">
        <v>2</v>
      </c>
      <c r="F281" s="24">
        <f>D281*E281</f>
        <v/>
      </c>
      <c r="G281" s="22" t="n"/>
    </row>
    <row r="282">
      <c r="A282" s="22" t="inlineStr">
        <is>
          <t>0115</t>
        </is>
      </c>
      <c r="B282" s="11" t="inlineStr">
        <is>
          <t>Coolie</t>
        </is>
      </c>
      <c r="C282" s="22" t="inlineStr">
        <is>
          <t>day</t>
        </is>
      </c>
      <c r="D282" s="23" t="n">
        <v>1.88</v>
      </c>
      <c r="E282" s="24" t="n">
        <v>558</v>
      </c>
      <c r="F282" s="24">
        <f>D282*E282</f>
        <v/>
      </c>
      <c r="G282" s="22" t="n"/>
    </row>
    <row r="283">
      <c r="A283" s="8" t="inlineStr">
        <is>
          <t>Calculated W - SUM of the Amount column above</t>
        </is>
      </c>
      <c r="B283" s="9" t="n"/>
      <c r="C283" s="9" t="n"/>
      <c r="D283" s="9" t="n"/>
      <c r="E283" s="9" t="n"/>
      <c r="F283" s="25">
        <f>SUM(F266:F282)</f>
        <v/>
      </c>
      <c r="G283" s="9" t="n"/>
    </row>
    <row r="284">
      <c r="A284" s="26" t="inlineStr">
        <is>
          <t>W as printed in the DAR</t>
        </is>
      </c>
      <c r="B284" s="22" t="n"/>
      <c r="C284" s="22" t="n"/>
      <c r="D284" s="22" t="n"/>
      <c r="E284" s="22" t="n"/>
      <c r="F284" s="27" t="n">
        <v>6393.8</v>
      </c>
      <c r="G284" s="22" t="n"/>
    </row>
    <row r="285">
      <c r="A285" s="26" t="inlineStr">
        <is>
          <t>Difference (calculated - printed)</t>
        </is>
      </c>
      <c r="B285" s="22" t="n"/>
      <c r="C285" s="22" t="n"/>
      <c r="D285" s="22" t="n"/>
      <c r="E285" s="22" t="n"/>
      <c r="F285" s="27">
        <f>F283-F284</f>
        <v/>
      </c>
      <c r="G285" s="22" t="n"/>
    </row>
    <row r="286">
      <c r="A286" s="29" t="inlineStr">
        <is>
          <t>SAY (Rs.) - final DAR rate as printed (fixed value, not computed)</t>
        </is>
      </c>
      <c r="B286" s="30" t="n"/>
      <c r="C286" s="30" t="n"/>
      <c r="D286" s="30" t="n"/>
      <c r="E286" s="30" t="n"/>
      <c r="F286" s="31" t="n">
        <v>8554.5</v>
      </c>
      <c r="G286" s="30" t="n"/>
    </row>
    <row r="288" ht="62" customHeight="1">
      <c r="A288" s="8" t="inlineStr">
        <is>
          <t>4.2</t>
        </is>
      </c>
      <c r="B288" s="17"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is>
      </c>
      <c r="C288" s="9" t="n"/>
      <c r="D288" s="9" t="n"/>
      <c r="E288" s="9" t="n"/>
      <c r="F288" s="9" t="n"/>
      <c r="G288" s="9" t="n"/>
    </row>
    <row r="289" ht="18.5" customHeight="1">
      <c r="A289" s="18" t="inlineStr">
        <is>
          <t>4.2.5</t>
        </is>
      </c>
      <c r="B289" s="19" t="inlineStr">
        <is>
          <t>1:3:6 (1 cement : 3 coarse sand (zone-III) : 6 graded stone aggregate 20 mm nominal size)</t>
        </is>
      </c>
      <c r="C289" s="20" t="n"/>
      <c r="D289" s="20" t="n"/>
      <c r="E289" s="20" t="n"/>
      <c r="F289" s="20" t="n"/>
      <c r="G289" s="20" t="n"/>
    </row>
    <row r="290">
      <c r="A290" s="21" t="inlineStr">
        <is>
          <t>Details of cost for 1 cum   |   Source: CivilDAR_2019_Vol_1.pdf, page 163</t>
        </is>
      </c>
    </row>
    <row r="291">
      <c r="A291" s="5" t="inlineStr">
        <is>
          <t>Code</t>
        </is>
      </c>
      <c r="B291" s="5" t="inlineStr">
        <is>
          <t>Description</t>
        </is>
      </c>
      <c r="C291" s="5" t="inlineStr">
        <is>
          <t>Unit</t>
        </is>
      </c>
      <c r="D291" s="5" t="inlineStr">
        <is>
          <t>Quantity</t>
        </is>
      </c>
      <c r="E291" s="5" t="inlineStr">
        <is>
          <t>Rate (Rs.)</t>
        </is>
      </c>
      <c r="F291" s="5" t="inlineStr">
        <is>
          <t>Amount (Rs.)</t>
        </is>
      </c>
      <c r="G291" s="5" t="inlineStr">
        <is>
          <t>Note</t>
        </is>
      </c>
    </row>
    <row r="292">
      <c r="A292" s="22" t="inlineStr">
        <is>
          <t>0295</t>
        </is>
      </c>
      <c r="B292" s="11" t="inlineStr">
        <is>
          <t>Stone Aggregate (Single size) : 20 mm nominal size</t>
        </is>
      </c>
      <c r="C292" s="22" t="inlineStr">
        <is>
          <t>cum</t>
        </is>
      </c>
      <c r="D292" s="23" t="n">
        <v>0.7</v>
      </c>
      <c r="E292" s="24" t="n">
        <v>1350</v>
      </c>
      <c r="F292" s="24">
        <f>D292*E292</f>
        <v/>
      </c>
      <c r="G292" s="22" t="n"/>
    </row>
    <row r="293">
      <c r="A293" s="22" t="inlineStr">
        <is>
          <t>0297</t>
        </is>
      </c>
      <c r="B293" s="11" t="inlineStr">
        <is>
          <t>Stone Aggregate (Single size) : 10 mm nominal size</t>
        </is>
      </c>
      <c r="C293" s="22" t="inlineStr">
        <is>
          <t>cum</t>
        </is>
      </c>
      <c r="D293" s="23" t="n">
        <v>0.24</v>
      </c>
      <c r="E293" s="24" t="n">
        <v>1350</v>
      </c>
      <c r="F293" s="24">
        <f>D293*E293</f>
        <v/>
      </c>
      <c r="G293" s="22" t="n"/>
    </row>
    <row r="294">
      <c r="A294" s="22" t="inlineStr">
        <is>
          <t>2202</t>
        </is>
      </c>
      <c r="B294" s="11" t="inlineStr">
        <is>
          <t>Carriage of Stone aggregate below 40 mm nominal size</t>
        </is>
      </c>
      <c r="C294" s="22" t="inlineStr">
        <is>
          <t>cum</t>
        </is>
      </c>
      <c r="D294" s="23" t="n">
        <v>0.9399999999999999</v>
      </c>
      <c r="E294" s="24" t="n">
        <v>103.77</v>
      </c>
      <c r="F294" s="24">
        <f>D294*E294</f>
        <v/>
      </c>
      <c r="G294" s="22" t="n"/>
    </row>
    <row r="295">
      <c r="A295" s="22" t="inlineStr">
        <is>
          <t>0982</t>
        </is>
      </c>
      <c r="B295" s="11" t="inlineStr">
        <is>
          <t>Coarse sand (zone III)</t>
        </is>
      </c>
      <c r="C295" s="22" t="inlineStr">
        <is>
          <t>cum</t>
        </is>
      </c>
      <c r="D295" s="23" t="n">
        <v>0.47</v>
      </c>
      <c r="E295" s="24" t="n">
        <v>1350</v>
      </c>
      <c r="F295" s="24">
        <f>D295*E295</f>
        <v/>
      </c>
      <c r="G295" s="22" t="n"/>
    </row>
    <row r="296">
      <c r="A296" s="22" t="inlineStr">
        <is>
          <t>2203</t>
        </is>
      </c>
      <c r="B296" s="11" t="inlineStr">
        <is>
          <t>Carriage of Coarse sand</t>
        </is>
      </c>
      <c r="C296" s="22" t="inlineStr">
        <is>
          <t>cum</t>
        </is>
      </c>
      <c r="D296" s="23" t="n">
        <v>0.47</v>
      </c>
      <c r="E296" s="24" t="n">
        <v>103.77</v>
      </c>
      <c r="F296" s="24">
        <f>D296*E296</f>
        <v/>
      </c>
      <c r="G296" s="22" t="n"/>
    </row>
    <row r="297">
      <c r="A297" s="22" t="inlineStr">
        <is>
          <t>0367</t>
        </is>
      </c>
      <c r="B297" s="11" t="inlineStr">
        <is>
          <t>Portland Cement (0.15674 cum)</t>
        </is>
      </c>
      <c r="C297" s="22" t="inlineStr">
        <is>
          <t>tonne</t>
        </is>
      </c>
      <c r="D297" s="23" t="n">
        <v>0.22</v>
      </c>
      <c r="E297" s="24" t="n">
        <v>4940</v>
      </c>
      <c r="F297" s="24">
        <f>D297*E297</f>
        <v/>
      </c>
      <c r="G297" s="22" t="n"/>
    </row>
    <row r="298">
      <c r="A298" s="22" t="inlineStr">
        <is>
          <t>2209</t>
        </is>
      </c>
      <c r="B298" s="11" t="inlineStr">
        <is>
          <t>Carriage of Cement</t>
        </is>
      </c>
      <c r="C298" s="22" t="inlineStr">
        <is>
          <t>tonne</t>
        </is>
      </c>
      <c r="D298" s="23" t="n">
        <v>0.22</v>
      </c>
      <c r="E298" s="24" t="n">
        <v>92.23999999999999</v>
      </c>
      <c r="F298" s="24">
        <f>D298*E298</f>
        <v/>
      </c>
      <c r="G298" s="22" t="n"/>
    </row>
    <row r="299">
      <c r="A299" s="22" t="inlineStr">
        <is>
          <t>0114</t>
        </is>
      </c>
      <c r="B299" s="11" t="inlineStr">
        <is>
          <t>Beldar</t>
        </is>
      </c>
      <c r="C299" s="22" t="inlineStr">
        <is>
          <t>day</t>
        </is>
      </c>
      <c r="D299" s="23" t="n">
        <v>0.9</v>
      </c>
      <c r="E299" s="24" t="n">
        <v>558</v>
      </c>
      <c r="F299" s="24">
        <f>D299*E299</f>
        <v/>
      </c>
      <c r="G299" s="22" t="n"/>
    </row>
    <row r="300">
      <c r="A300" s="22" t="inlineStr">
        <is>
          <t>0115</t>
        </is>
      </c>
      <c r="B300" s="11" t="inlineStr">
        <is>
          <t>Coolie</t>
        </is>
      </c>
      <c r="C300" s="22" t="inlineStr">
        <is>
          <t>day</t>
        </is>
      </c>
      <c r="D300" s="23" t="n">
        <v>0.78</v>
      </c>
      <c r="E300" s="24" t="n">
        <v>558</v>
      </c>
      <c r="F300" s="24">
        <f>D300*E300</f>
        <v/>
      </c>
      <c r="G300" s="22" t="n"/>
    </row>
    <row r="301">
      <c r="A301" s="22" t="inlineStr">
        <is>
          <t>0101</t>
        </is>
      </c>
      <c r="B301" s="11" t="inlineStr">
        <is>
          <t>Bhisti</t>
        </is>
      </c>
      <c r="C301" s="22" t="inlineStr">
        <is>
          <t>day</t>
        </is>
      </c>
      <c r="D301" s="23" t="n">
        <v>0.7</v>
      </c>
      <c r="E301" s="24" t="n">
        <v>617</v>
      </c>
      <c r="F301" s="24">
        <f>D301*E301</f>
        <v/>
      </c>
      <c r="G301" s="22" t="n"/>
    </row>
    <row r="302">
      <c r="A302" s="22" t="inlineStr">
        <is>
          <t>0123</t>
        </is>
      </c>
      <c r="B302" s="11" t="inlineStr">
        <is>
          <t>Mason (brick layer) 1st class</t>
        </is>
      </c>
      <c r="C302" s="22" t="inlineStr">
        <is>
          <t>day</t>
        </is>
      </c>
      <c r="D302" s="23" t="n">
        <v>0.06</v>
      </c>
      <c r="E302" s="24" t="n">
        <v>738</v>
      </c>
      <c r="F302" s="24">
        <f>D302*E302</f>
        <v/>
      </c>
      <c r="G302" s="22" t="n"/>
    </row>
    <row r="303">
      <c r="A303" s="22" t="inlineStr">
        <is>
          <t>0124</t>
        </is>
      </c>
      <c r="B303" s="11" t="inlineStr">
        <is>
          <t>Mason (brick layer) 2nd class</t>
        </is>
      </c>
      <c r="C303" s="22" t="inlineStr">
        <is>
          <t>day</t>
        </is>
      </c>
      <c r="D303" s="23" t="n">
        <v>0.06</v>
      </c>
      <c r="E303" s="24" t="n">
        <v>679</v>
      </c>
      <c r="F303" s="24">
        <f>D303*E303</f>
        <v/>
      </c>
      <c r="G303" s="22" t="n"/>
    </row>
    <row r="304">
      <c r="A304" s="22" t="inlineStr">
        <is>
          <t>0002</t>
        </is>
      </c>
      <c r="B304" s="11" t="inlineStr">
        <is>
          <t>Hire charges of Concrete Mixer 0.25 to 0.40 cum with hooper</t>
        </is>
      </c>
      <c r="C304" s="22" t="inlineStr">
        <is>
          <t>day</t>
        </is>
      </c>
      <c r="D304" s="23" t="n">
        <v>0.07000000000000001</v>
      </c>
      <c r="E304" s="24" t="n">
        <v>800</v>
      </c>
      <c r="F304" s="24">
        <f>D304*E304</f>
        <v/>
      </c>
      <c r="G304" s="22" t="n"/>
    </row>
    <row r="305">
      <c r="A305" s="22" t="inlineStr">
        <is>
          <t>0012</t>
        </is>
      </c>
      <c r="B305" s="11" t="inlineStr">
        <is>
          <t>Vibrator(Needle type 40mm)</t>
        </is>
      </c>
      <c r="C305" s="22" t="inlineStr">
        <is>
          <t>day</t>
        </is>
      </c>
      <c r="D305" s="23" t="n">
        <v>0.07000000000000001</v>
      </c>
      <c r="E305" s="24" t="n">
        <v>370</v>
      </c>
      <c r="F305" s="24">
        <f>D305*E305</f>
        <v/>
      </c>
      <c r="G305" s="22" t="n"/>
    </row>
    <row r="306">
      <c r="A306" s="22" t="inlineStr">
        <is>
          <t>9999</t>
        </is>
      </c>
      <c r="B306" s="11" t="inlineStr">
        <is>
          <t>Scaffolding (17.60x2.5 avg.)</t>
        </is>
      </c>
      <c r="C306" s="22" t="inlineStr">
        <is>
          <t>L.S.</t>
        </is>
      </c>
      <c r="D306" s="23" t="n">
        <v>114.4</v>
      </c>
      <c r="E306" s="24" t="n">
        <v>2</v>
      </c>
      <c r="F306" s="24">
        <f>D306*E306</f>
        <v/>
      </c>
      <c r="G306" s="22" t="n"/>
    </row>
    <row r="307">
      <c r="A307" s="22" t="inlineStr">
        <is>
          <t>9999</t>
        </is>
      </c>
      <c r="B307" s="11" t="inlineStr">
        <is>
          <t>Sundries</t>
        </is>
      </c>
      <c r="C307" s="22" t="inlineStr">
        <is>
          <t>L.S.</t>
        </is>
      </c>
      <c r="D307" s="23" t="n">
        <v>13.52</v>
      </c>
      <c r="E307" s="24" t="n">
        <v>2</v>
      </c>
      <c r="F307" s="24">
        <f>D307*E307</f>
        <v/>
      </c>
      <c r="G307" s="22" t="n"/>
    </row>
    <row r="308">
      <c r="A308" s="22" t="inlineStr">
        <is>
          <t>0115</t>
        </is>
      </c>
      <c r="B308" s="11" t="inlineStr">
        <is>
          <t>Coolie</t>
        </is>
      </c>
      <c r="C308" s="22" t="inlineStr">
        <is>
          <t>day</t>
        </is>
      </c>
      <c r="D308" s="23" t="n">
        <v>1.88</v>
      </c>
      <c r="E308" s="24" t="n">
        <v>558</v>
      </c>
      <c r="F308" s="24">
        <f>D308*E308</f>
        <v/>
      </c>
      <c r="G308" s="22" t="n"/>
    </row>
    <row r="309">
      <c r="A309" s="8" t="inlineStr">
        <is>
          <t>Calculated W - SUM of the Amount column above</t>
        </is>
      </c>
      <c r="B309" s="9" t="n"/>
      <c r="C309" s="9" t="n"/>
      <c r="D309" s="9" t="n"/>
      <c r="E309" s="9" t="n"/>
      <c r="F309" s="25">
        <f>SUM(F292:F308)</f>
        <v/>
      </c>
      <c r="G309" s="9" t="n"/>
    </row>
    <row r="310">
      <c r="A310" s="26" t="inlineStr">
        <is>
          <t>W as printed in the DAR</t>
        </is>
      </c>
      <c r="B310" s="22" t="n"/>
      <c r="C310" s="22" t="n"/>
      <c r="D310" s="22" t="n"/>
      <c r="E310" s="22" t="n"/>
      <c r="F310" s="27" t="n">
        <v>5998.05</v>
      </c>
      <c r="G310" s="22" t="n"/>
    </row>
    <row r="311">
      <c r="A311" s="26" t="inlineStr">
        <is>
          <t>Difference (calculated - printed)</t>
        </is>
      </c>
      <c r="B311" s="22" t="n"/>
      <c r="C311" s="22" t="n"/>
      <c r="D311" s="22" t="n"/>
      <c r="E311" s="22" t="n"/>
      <c r="F311" s="27">
        <f>F309-F310</f>
        <v/>
      </c>
      <c r="G311" s="22" t="n"/>
    </row>
    <row r="312">
      <c r="A312" s="29" t="inlineStr">
        <is>
          <t>SAY (Rs.) - final DAR rate as printed (fixed value, not computed)</t>
        </is>
      </c>
      <c r="B312" s="30" t="n"/>
      <c r="C312" s="30" t="n"/>
      <c r="D312" s="30" t="n"/>
      <c r="E312" s="30" t="n"/>
      <c r="F312" s="31" t="n">
        <v>8025</v>
      </c>
      <c r="G312" s="30" t="n"/>
    </row>
    <row r="314" ht="62" customHeight="1">
      <c r="A314" s="8" t="inlineStr">
        <is>
          <t>4.2</t>
        </is>
      </c>
      <c r="B314" s="17"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is>
      </c>
      <c r="C314" s="9" t="n"/>
      <c r="D314" s="9" t="n"/>
      <c r="E314" s="9" t="n"/>
      <c r="F314" s="9" t="n"/>
      <c r="G314" s="9" t="n"/>
    </row>
    <row r="315" ht="18.5" customHeight="1">
      <c r="A315" s="18" t="inlineStr">
        <is>
          <t>4.2.8</t>
        </is>
      </c>
      <c r="B315" s="19" t="inlineStr">
        <is>
          <t>1:5:10 (1 cement : 5 coarse sand (zone-III) : 10 graded stone aggregate 40 mm nominal size).</t>
        </is>
      </c>
      <c r="C315" s="20" t="n"/>
      <c r="D315" s="20" t="n"/>
      <c r="E315" s="20" t="n"/>
      <c r="F315" s="20" t="n"/>
      <c r="G315" s="20" t="n"/>
    </row>
    <row r="316">
      <c r="A316" s="21" t="inlineStr">
        <is>
          <t>Details of cost for 1 cum   |   Source: CivilDAR_2019_Vol_1.pdf, page 164</t>
        </is>
      </c>
    </row>
    <row r="317">
      <c r="A317" s="5" t="inlineStr">
        <is>
          <t>Code</t>
        </is>
      </c>
      <c r="B317" s="5" t="inlineStr">
        <is>
          <t>Description</t>
        </is>
      </c>
      <c r="C317" s="5" t="inlineStr">
        <is>
          <t>Unit</t>
        </is>
      </c>
      <c r="D317" s="5" t="inlineStr">
        <is>
          <t>Quantity</t>
        </is>
      </c>
      <c r="E317" s="5" t="inlineStr">
        <is>
          <t>Rate (Rs.)</t>
        </is>
      </c>
      <c r="F317" s="5" t="inlineStr">
        <is>
          <t>Amount (Rs.)</t>
        </is>
      </c>
      <c r="G317" s="5" t="inlineStr">
        <is>
          <t>Note</t>
        </is>
      </c>
    </row>
    <row r="318">
      <c r="A318" s="22" t="inlineStr">
        <is>
          <t>0293</t>
        </is>
      </c>
      <c r="B318" s="11" t="inlineStr">
        <is>
          <t>Stone Aggregate (Single size) : 40 mm nominal size</t>
        </is>
      </c>
      <c r="C318" s="22" t="inlineStr">
        <is>
          <t>cum</t>
        </is>
      </c>
      <c r="D318" s="23" t="n">
        <v>0.65</v>
      </c>
      <c r="E318" s="24" t="n">
        <v>1300</v>
      </c>
      <c r="F318" s="24">
        <f>D318*E318</f>
        <v/>
      </c>
      <c r="G318" s="22" t="n"/>
    </row>
    <row r="319">
      <c r="A319" s="22" t="inlineStr">
        <is>
          <t>0295</t>
        </is>
      </c>
      <c r="B319" s="11" t="inlineStr">
        <is>
          <t>Stone Aggregate (Single size) : 20 mm nominal size</t>
        </is>
      </c>
      <c r="C319" s="22" t="inlineStr">
        <is>
          <t>cum</t>
        </is>
      </c>
      <c r="D319" s="23" t="n">
        <v>0.24</v>
      </c>
      <c r="E319" s="24" t="n">
        <v>1350</v>
      </c>
      <c r="F319" s="24">
        <f>D319*E319</f>
        <v/>
      </c>
      <c r="G319" s="22" t="n"/>
    </row>
    <row r="320">
      <c r="A320" s="22" t="inlineStr">
        <is>
          <t>2206</t>
        </is>
      </c>
      <c r="B320" s="11" t="inlineStr">
        <is>
          <t>Carriage of Stone aggregate 40 mm nominal size and above</t>
        </is>
      </c>
      <c r="C320" s="22" t="inlineStr">
        <is>
          <t>cum</t>
        </is>
      </c>
      <c r="D320" s="23" t="n">
        <v>0.65</v>
      </c>
      <c r="E320" s="24" t="n">
        <v>112.79</v>
      </c>
      <c r="F320" s="24">
        <f>D320*E320</f>
        <v/>
      </c>
      <c r="G320" s="22" t="n"/>
    </row>
    <row r="321">
      <c r="A321" s="22" t="inlineStr">
        <is>
          <t>2202</t>
        </is>
      </c>
      <c r="B321" s="11" t="inlineStr">
        <is>
          <t>Carriage of Stone aggregate below 40 mm nominal size</t>
        </is>
      </c>
      <c r="C321" s="22" t="inlineStr">
        <is>
          <t>cum</t>
        </is>
      </c>
      <c r="D321" s="23" t="n">
        <v>0.24</v>
      </c>
      <c r="E321" s="24" t="n">
        <v>103.77</v>
      </c>
      <c r="F321" s="24">
        <f>D321*E321</f>
        <v/>
      </c>
      <c r="G321" s="22" t="n"/>
    </row>
    <row r="322">
      <c r="A322" s="22" t="inlineStr">
        <is>
          <t>0982</t>
        </is>
      </c>
      <c r="B322" s="11" t="inlineStr">
        <is>
          <t>Coarse sand (zone III)</t>
        </is>
      </c>
      <c r="C322" s="22" t="inlineStr">
        <is>
          <t>cum</t>
        </is>
      </c>
      <c r="D322" s="23" t="n">
        <v>0.47</v>
      </c>
      <c r="E322" s="24" t="n">
        <v>1350</v>
      </c>
      <c r="F322" s="24">
        <f>D322*E322</f>
        <v/>
      </c>
      <c r="G322" s="22" t="n"/>
    </row>
    <row r="323">
      <c r="A323" s="22" t="inlineStr">
        <is>
          <t>2203</t>
        </is>
      </c>
      <c r="B323" s="11" t="inlineStr">
        <is>
          <t>Carriage of Coarse sand</t>
        </is>
      </c>
      <c r="C323" s="22" t="inlineStr">
        <is>
          <t>cum</t>
        </is>
      </c>
      <c r="D323" s="23" t="n">
        <v>0.47</v>
      </c>
      <c r="E323" s="24" t="n">
        <v>103.77</v>
      </c>
      <c r="F323" s="24">
        <f>D323*E323</f>
        <v/>
      </c>
      <c r="G323" s="22" t="n"/>
    </row>
    <row r="324">
      <c r="A324" s="22" t="inlineStr">
        <is>
          <t>0367</t>
        </is>
      </c>
      <c r="B324" s="11" t="inlineStr">
        <is>
          <t>Portland Cement</t>
        </is>
      </c>
      <c r="C324" s="22" t="inlineStr">
        <is>
          <t>tonne</t>
        </is>
      </c>
      <c r="D324" s="23" t="n">
        <v>0.13</v>
      </c>
      <c r="E324" s="24" t="n">
        <v>4940</v>
      </c>
      <c r="F324" s="24">
        <f>D324*E324</f>
        <v/>
      </c>
      <c r="G324" s="22" t="n"/>
    </row>
    <row r="325">
      <c r="A325" s="22" t="inlineStr">
        <is>
          <t>2209</t>
        </is>
      </c>
      <c r="B325" s="11" t="inlineStr">
        <is>
          <t>Carriage of Cement</t>
        </is>
      </c>
      <c r="C325" s="22" t="inlineStr">
        <is>
          <t>tonne</t>
        </is>
      </c>
      <c r="D325" s="23" t="n">
        <v>0.13</v>
      </c>
      <c r="E325" s="24" t="n">
        <v>92.23999999999999</v>
      </c>
      <c r="F325" s="24">
        <f>D325*E325</f>
        <v/>
      </c>
      <c r="G325" s="22" t="n"/>
    </row>
    <row r="326">
      <c r="A326" s="22" t="inlineStr">
        <is>
          <t>0114</t>
        </is>
      </c>
      <c r="B326" s="11" t="inlineStr">
        <is>
          <t>Beldar</t>
        </is>
      </c>
      <c r="C326" s="22" t="inlineStr">
        <is>
          <t>day</t>
        </is>
      </c>
      <c r="D326" s="23" t="n">
        <v>0.9</v>
      </c>
      <c r="E326" s="24" t="n">
        <v>558</v>
      </c>
      <c r="F326" s="24">
        <f>D326*E326</f>
        <v/>
      </c>
      <c r="G326" s="22" t="n"/>
    </row>
    <row r="327">
      <c r="A327" s="22" t="inlineStr">
        <is>
          <t>0115</t>
        </is>
      </c>
      <c r="B327" s="11" t="inlineStr">
        <is>
          <t>Coolie</t>
        </is>
      </c>
      <c r="C327" s="22" t="inlineStr">
        <is>
          <t>day</t>
        </is>
      </c>
      <c r="D327" s="23" t="n">
        <v>0.78</v>
      </c>
      <c r="E327" s="24" t="n">
        <v>558</v>
      </c>
      <c r="F327" s="24">
        <f>D327*E327</f>
        <v/>
      </c>
      <c r="G327" s="22" t="n"/>
    </row>
    <row r="328">
      <c r="A328" s="22" t="inlineStr">
        <is>
          <t>0101</t>
        </is>
      </c>
      <c r="B328" s="11" t="inlineStr">
        <is>
          <t>Bhisti</t>
        </is>
      </c>
      <c r="C328" s="22" t="inlineStr">
        <is>
          <t>day</t>
        </is>
      </c>
      <c r="D328" s="23" t="n">
        <v>0.7</v>
      </c>
      <c r="E328" s="24" t="n">
        <v>617</v>
      </c>
      <c r="F328" s="24">
        <f>D328*E328</f>
        <v/>
      </c>
      <c r="G328" s="22" t="n"/>
    </row>
    <row r="329">
      <c r="A329" s="22" t="inlineStr">
        <is>
          <t>0123</t>
        </is>
      </c>
      <c r="B329" s="11" t="inlineStr">
        <is>
          <t>Mason (brick layer) 1st class</t>
        </is>
      </c>
      <c r="C329" s="22" t="inlineStr">
        <is>
          <t>day</t>
        </is>
      </c>
      <c r="D329" s="23" t="n">
        <v>0.1</v>
      </c>
      <c r="E329" s="24" t="n">
        <v>738</v>
      </c>
      <c r="F329" s="24">
        <f>D329*E329</f>
        <v/>
      </c>
      <c r="G329" s="22" t="n"/>
    </row>
    <row r="330">
      <c r="A330" s="22" t="inlineStr">
        <is>
          <t>0002</t>
        </is>
      </c>
      <c r="B330" s="11" t="inlineStr">
        <is>
          <t>Hire charges of Concrete Mixer 0.25 to 0.40 cum with hooper</t>
        </is>
      </c>
      <c r="C330" s="22" t="inlineStr">
        <is>
          <t>day</t>
        </is>
      </c>
      <c r="D330" s="23" t="n">
        <v>0.07000000000000001</v>
      </c>
      <c r="E330" s="24" t="n">
        <v>800</v>
      </c>
      <c r="F330" s="24">
        <f>D330*E330</f>
        <v/>
      </c>
      <c r="G330" s="22" t="n"/>
    </row>
    <row r="331">
      <c r="A331" s="22" t="inlineStr">
        <is>
          <t>0012</t>
        </is>
      </c>
      <c r="B331" s="11" t="inlineStr">
        <is>
          <t>Vibrator(Needle type 40mm)</t>
        </is>
      </c>
      <c r="C331" s="22" t="inlineStr">
        <is>
          <t>day</t>
        </is>
      </c>
      <c r="D331" s="23" t="n">
        <v>0.07000000000000001</v>
      </c>
      <c r="E331" s="24" t="n">
        <v>370</v>
      </c>
      <c r="F331" s="24">
        <f>D331*E331</f>
        <v/>
      </c>
      <c r="G331" s="22" t="n"/>
    </row>
    <row r="332">
      <c r="A332" s="22" t="inlineStr">
        <is>
          <t>9999</t>
        </is>
      </c>
      <c r="B332" s="11" t="inlineStr">
        <is>
          <t>Scaffolding</t>
        </is>
      </c>
      <c r="C332" s="22" t="inlineStr">
        <is>
          <t>L.S.</t>
        </is>
      </c>
      <c r="D332" s="23" t="n">
        <v>114.4</v>
      </c>
      <c r="E332" s="24" t="n">
        <v>2</v>
      </c>
      <c r="F332" s="24">
        <f>D332*E332</f>
        <v/>
      </c>
      <c r="G332" s="22" t="n"/>
    </row>
    <row r="333">
      <c r="A333" s="22" t="inlineStr">
        <is>
          <t>9999</t>
        </is>
      </c>
      <c r="B333" s="11" t="inlineStr">
        <is>
          <t>Sundries</t>
        </is>
      </c>
      <c r="C333" s="22" t="inlineStr">
        <is>
          <t>L.S.</t>
        </is>
      </c>
      <c r="D333" s="23" t="n">
        <v>14.3</v>
      </c>
      <c r="E333" s="24" t="n">
        <v>2</v>
      </c>
      <c r="F333" s="24">
        <f>D333*E333</f>
        <v/>
      </c>
      <c r="G333" s="22" t="n"/>
    </row>
    <row r="334">
      <c r="A334" s="22" t="inlineStr">
        <is>
          <t>0115</t>
        </is>
      </c>
      <c r="B334" s="11" t="inlineStr">
        <is>
          <t>Coolie</t>
        </is>
      </c>
      <c r="C334" s="22" t="inlineStr">
        <is>
          <t>day</t>
        </is>
      </c>
      <c r="D334" s="23" t="n">
        <v>1.88</v>
      </c>
      <c r="E334" s="24" t="n">
        <v>558</v>
      </c>
      <c r="F334" s="24">
        <f>D334*E334</f>
        <v/>
      </c>
      <c r="G334" s="22" t="n"/>
    </row>
    <row r="335">
      <c r="A335" s="8" t="inlineStr">
        <is>
          <t>Calculated W - SUM of the Amount column above</t>
        </is>
      </c>
      <c r="B335" s="9" t="n"/>
      <c r="C335" s="9" t="n"/>
      <c r="D335" s="9" t="n"/>
      <c r="E335" s="9" t="n"/>
      <c r="F335" s="25">
        <f>SUM(F318:F334)</f>
        <v/>
      </c>
      <c r="G335" s="9" t="n"/>
    </row>
    <row r="336">
      <c r="A336" s="26" t="inlineStr">
        <is>
          <t>W as printed in the DAR</t>
        </is>
      </c>
      <c r="B336" s="22" t="n"/>
      <c r="C336" s="22" t="n"/>
      <c r="D336" s="22" t="n"/>
      <c r="E336" s="22" t="n"/>
      <c r="F336" s="27" t="n">
        <v>5436.16</v>
      </c>
      <c r="G336" s="22" t="n"/>
    </row>
    <row r="337">
      <c r="A337" s="26" t="inlineStr">
        <is>
          <t>Difference (calculated - printed)</t>
        </is>
      </c>
      <c r="B337" s="22" t="n"/>
      <c r="C337" s="22" t="n"/>
      <c r="D337" s="22" t="n"/>
      <c r="E337" s="22" t="n"/>
      <c r="F337" s="27">
        <f>F335-F336</f>
        <v/>
      </c>
      <c r="G337" s="22" t="n"/>
    </row>
    <row r="338">
      <c r="A338" s="29" t="inlineStr">
        <is>
          <t>SAY (Rs.) - final DAR rate as printed (fixed value, not computed)</t>
        </is>
      </c>
      <c r="B338" s="30" t="n"/>
      <c r="C338" s="30" t="n"/>
      <c r="D338" s="30" t="n"/>
      <c r="E338" s="30" t="n"/>
      <c r="F338" s="31" t="n">
        <v>7273.25</v>
      </c>
      <c r="G338" s="30" t="n"/>
    </row>
    <row r="340" ht="18.5" customHeight="1">
      <c r="A340" s="8" t="inlineStr">
        <is>
          <t>4.3</t>
        </is>
      </c>
      <c r="B340" s="17" t="inlineStr">
        <is>
          <t>Centering and shuttering including strutting, propping etc. and removal of form work for :</t>
        </is>
      </c>
      <c r="C340" s="9" t="n"/>
      <c r="D340" s="9" t="n"/>
      <c r="E340" s="9" t="n"/>
      <c r="F340" s="9" t="n"/>
      <c r="G340" s="9" t="n"/>
    </row>
    <row r="341" ht="18.5" customHeight="1">
      <c r="A341" s="18" t="inlineStr">
        <is>
          <t>4.3.1</t>
        </is>
      </c>
      <c r="B341" s="19" t="inlineStr">
        <is>
          <t>Foundations, footings, bases for columns</t>
        </is>
      </c>
      <c r="C341" s="20" t="n"/>
      <c r="D341" s="20" t="n"/>
      <c r="E341" s="20" t="n"/>
      <c r="F341" s="20" t="n"/>
      <c r="G341" s="20" t="n"/>
    </row>
    <row r="342">
      <c r="A342" s="21" t="inlineStr">
        <is>
          <t>Details of cost for 10.8 sqm   |   Source: CivilDAR_2019_Vol_1.pdf, page 164</t>
        </is>
      </c>
    </row>
    <row r="343">
      <c r="A343" s="5" t="inlineStr">
        <is>
          <t>Code</t>
        </is>
      </c>
      <c r="B343" s="5" t="inlineStr">
        <is>
          <t>Description</t>
        </is>
      </c>
      <c r="C343" s="5" t="inlineStr">
        <is>
          <t>Unit</t>
        </is>
      </c>
      <c r="D343" s="5" t="inlineStr">
        <is>
          <t>Quantity</t>
        </is>
      </c>
      <c r="E343" s="5" t="inlineStr">
        <is>
          <t>Rate (Rs.)</t>
        </is>
      </c>
      <c r="F343" s="5" t="inlineStr">
        <is>
          <t>Amount (Rs.)</t>
        </is>
      </c>
      <c r="G343" s="5" t="inlineStr">
        <is>
          <t>Note</t>
        </is>
      </c>
    </row>
    <row r="344">
      <c r="A344" s="22" t="inlineStr">
        <is>
          <t>7319</t>
        </is>
      </c>
      <c r="B344" s="11" t="inlineStr">
        <is>
          <t>Wall form panel 1250x500 mm</t>
        </is>
      </c>
      <c r="C344" s="22" t="inlineStr">
        <is>
          <t>each</t>
        </is>
      </c>
      <c r="D344" s="23" t="n">
        <v>0.34</v>
      </c>
      <c r="E344" s="24" t="n">
        <v>860</v>
      </c>
      <c r="F344" s="24">
        <f>D344*E344</f>
        <v/>
      </c>
      <c r="G344" s="22" t="n"/>
    </row>
    <row r="345">
      <c r="A345" s="22" t="inlineStr">
        <is>
          <t>7326</t>
        </is>
      </c>
      <c r="B345" s="11" t="inlineStr">
        <is>
          <t>Corner angle 45x45x5 mm 1.50 m long</t>
        </is>
      </c>
      <c r="C345" s="22" t="inlineStr">
        <is>
          <t>each</t>
        </is>
      </c>
      <c r="D345" s="23" t="n">
        <v>0.08500000000000001</v>
      </c>
      <c r="E345" s="24" t="n">
        <v>240</v>
      </c>
      <c r="F345" s="24">
        <f>D345*E345</f>
        <v/>
      </c>
      <c r="G345" s="22" t="n"/>
    </row>
    <row r="346">
      <c r="A346" s="22" t="inlineStr">
        <is>
          <t>7327</t>
        </is>
      </c>
      <c r="B346" s="11" t="inlineStr">
        <is>
          <t>100 mm channel shoulder 2.5 m long</t>
        </is>
      </c>
      <c r="C346" s="22" t="inlineStr">
        <is>
          <t>each</t>
        </is>
      </c>
      <c r="D346" s="23" t="n">
        <v>0.17</v>
      </c>
      <c r="E346" s="24" t="n">
        <v>910</v>
      </c>
      <c r="F346" s="24">
        <f>D346*E346</f>
        <v/>
      </c>
      <c r="G346" s="22" t="n"/>
    </row>
    <row r="347">
      <c r="A347" s="22" t="inlineStr">
        <is>
          <t>7328</t>
        </is>
      </c>
      <c r="B347" s="11" t="inlineStr">
        <is>
          <t>Double clip ( bridge clip)</t>
        </is>
      </c>
      <c r="C347" s="22" t="inlineStr">
        <is>
          <t>each</t>
        </is>
      </c>
      <c r="D347" s="23" t="n">
        <v>0.34</v>
      </c>
      <c r="E347" s="24" t="n">
        <v>76</v>
      </c>
      <c r="F347" s="24">
        <f>D347*E347</f>
        <v/>
      </c>
      <c r="G347" s="22" t="n"/>
    </row>
    <row r="348">
      <c r="A348" s="22" t="inlineStr">
        <is>
          <t>7329</t>
        </is>
      </c>
      <c r="B348" s="11" t="inlineStr">
        <is>
          <t>Single clip</t>
        </is>
      </c>
      <c r="C348" s="22" t="inlineStr">
        <is>
          <t>each</t>
        </is>
      </c>
      <c r="D348" s="23" t="n">
        <v>0.17</v>
      </c>
      <c r="E348" s="24" t="n">
        <v>59</v>
      </c>
      <c r="F348" s="24">
        <f>D348*E348</f>
        <v/>
      </c>
      <c r="G348" s="22" t="n"/>
    </row>
    <row r="349">
      <c r="A349" s="22" t="inlineStr">
        <is>
          <t>7330</t>
        </is>
      </c>
      <c r="B349" s="11" t="inlineStr">
        <is>
          <t>M.S. tube 40 mm dia</t>
        </is>
      </c>
      <c r="C349" s="22" t="inlineStr">
        <is>
          <t>metre</t>
        </is>
      </c>
      <c r="D349" s="23" t="n">
        <v>0.2295</v>
      </c>
      <c r="E349" s="24" t="n">
        <v>215</v>
      </c>
      <c r="F349" s="24">
        <f>D349*E349</f>
        <v/>
      </c>
      <c r="G349" s="22" t="n"/>
    </row>
    <row r="350">
      <c r="A350" s="22" t="inlineStr">
        <is>
          <t>9999</t>
        </is>
      </c>
      <c r="B350" s="11" t="inlineStr">
        <is>
          <t>Assembly nuts &amp; bolts</t>
        </is>
      </c>
      <c r="C350" s="22" t="inlineStr">
        <is>
          <t>L.S.</t>
        </is>
      </c>
      <c r="D350" s="23" t="n">
        <v>22.1</v>
      </c>
      <c r="E350" s="24" t="n">
        <v>2</v>
      </c>
      <c r="F350" s="24">
        <f>D350*E350</f>
        <v/>
      </c>
      <c r="G350" s="22" t="n"/>
    </row>
    <row r="351">
      <c r="A351" s="22" t="inlineStr">
        <is>
          <t>9977</t>
        </is>
      </c>
      <c r="B351" s="11" t="inlineStr">
        <is>
          <t>Carriage</t>
        </is>
      </c>
      <c r="C351" s="22" t="inlineStr">
        <is>
          <t>L.S.</t>
        </is>
      </c>
      <c r="D351" s="23" t="n">
        <v>78</v>
      </c>
      <c r="E351" s="24" t="n">
        <v>2</v>
      </c>
      <c r="F351" s="24">
        <f>D351*E351</f>
        <v/>
      </c>
      <c r="G351" s="22" t="n"/>
    </row>
    <row r="352">
      <c r="A352" s="22" t="inlineStr">
        <is>
          <t>0116</t>
        </is>
      </c>
      <c r="B352" s="11" t="inlineStr">
        <is>
          <t>Fitter (grade 1)</t>
        </is>
      </c>
      <c r="C352" s="22" t="inlineStr">
        <is>
          <t>day</t>
        </is>
      </c>
      <c r="D352" s="23" t="n">
        <v>0.75</v>
      </c>
      <c r="E352" s="24" t="n">
        <v>738</v>
      </c>
      <c r="F352" s="24">
        <f>D352*E352</f>
        <v/>
      </c>
      <c r="G352" s="22" t="n"/>
    </row>
    <row r="353">
      <c r="A353" s="22" t="inlineStr">
        <is>
          <t>0114</t>
        </is>
      </c>
      <c r="B353" s="11" t="inlineStr">
        <is>
          <t>Beldar</t>
        </is>
      </c>
      <c r="C353" s="22" t="inlineStr">
        <is>
          <t>day</t>
        </is>
      </c>
      <c r="D353" s="23" t="n">
        <v>1.5</v>
      </c>
      <c r="E353" s="24" t="n">
        <v>558</v>
      </c>
      <c r="F353" s="24">
        <f>D353*E353</f>
        <v/>
      </c>
      <c r="G353" s="22" t="n"/>
    </row>
    <row r="354">
      <c r="A354" s="22" t="inlineStr">
        <is>
          <t>9999</t>
        </is>
      </c>
      <c r="B354" s="11" t="inlineStr">
        <is>
          <t>Shuttering oil</t>
        </is>
      </c>
      <c r="C354" s="22" t="inlineStr">
        <is>
          <t>L.S.</t>
        </is>
      </c>
      <c r="D354" s="23" t="n">
        <v>52</v>
      </c>
      <c r="E354" s="24" t="n">
        <v>2</v>
      </c>
      <c r="F354" s="24">
        <f>D354*E354</f>
        <v/>
      </c>
      <c r="G354" s="22" t="n"/>
    </row>
    <row r="355">
      <c r="A355" s="22" t="inlineStr">
        <is>
          <t>9999</t>
        </is>
      </c>
      <c r="B355" s="11" t="inlineStr">
        <is>
          <t>Sundries</t>
        </is>
      </c>
      <c r="C355" s="22" t="inlineStr">
        <is>
          <t>L.S.</t>
        </is>
      </c>
      <c r="D355" s="23" t="n">
        <v>26</v>
      </c>
      <c r="E355" s="24" t="n">
        <v>2</v>
      </c>
      <c r="F355" s="24">
        <f>D355*E355</f>
        <v/>
      </c>
      <c r="G355" s="22" t="n"/>
    </row>
    <row r="356">
      <c r="A356" s="8" t="inlineStr">
        <is>
          <t>Calculated W - SUM of the Amount column above</t>
        </is>
      </c>
      <c r="B356" s="9" t="n"/>
      <c r="C356" s="9" t="n"/>
      <c r="D356" s="9" t="n"/>
      <c r="E356" s="9" t="n"/>
      <c r="F356" s="25">
        <f>SUM(F344:F355)</f>
        <v/>
      </c>
      <c r="G356" s="9" t="n"/>
    </row>
    <row r="357">
      <c r="A357" s="26" t="inlineStr">
        <is>
          <t>W as printed in the DAR</t>
        </is>
      </c>
      <c r="B357" s="22" t="n"/>
      <c r="C357" s="22" t="n"/>
      <c r="D357" s="22" t="n"/>
      <c r="E357" s="22" t="n"/>
      <c r="F357" s="27" t="n">
        <v>2299.41</v>
      </c>
      <c r="G357" s="22" t="n"/>
    </row>
    <row r="358">
      <c r="A358" s="26" t="inlineStr">
        <is>
          <t>Difference (calculated - printed)</t>
        </is>
      </c>
      <c r="B358" s="22" t="n"/>
      <c r="C358" s="22" t="n"/>
      <c r="D358" s="22" t="n"/>
      <c r="E358" s="22" t="n"/>
      <c r="F358" s="27">
        <f>F356-F357</f>
        <v/>
      </c>
      <c r="G358" s="22" t="n"/>
    </row>
    <row r="359">
      <c r="A359" s="29" t="inlineStr">
        <is>
          <t>SAY (Rs.) - final DAR rate as printed (fixed value, not computed)</t>
        </is>
      </c>
      <c r="B359" s="30" t="n"/>
      <c r="C359" s="30" t="n"/>
      <c r="D359" s="30" t="n"/>
      <c r="E359" s="30" t="n"/>
      <c r="F359" s="31" t="n">
        <v>284.85</v>
      </c>
      <c r="G359" s="30" t="n"/>
    </row>
    <row r="361" ht="18.5" customHeight="1">
      <c r="A361" s="8" t="inlineStr">
        <is>
          <t>4.3</t>
        </is>
      </c>
      <c r="B361" s="17" t="inlineStr">
        <is>
          <t>Centering and shuttering including strutting, propping etc. and removal of form work for :</t>
        </is>
      </c>
      <c r="C361" s="9" t="n"/>
      <c r="D361" s="9" t="n"/>
      <c r="E361" s="9" t="n"/>
      <c r="F361" s="9" t="n"/>
      <c r="G361" s="9" t="n"/>
    </row>
    <row r="362" ht="33" customHeight="1">
      <c r="A362" s="18" t="inlineStr">
        <is>
          <t>4.3.2</t>
        </is>
      </c>
      <c r="B362" s="19" t="inlineStr">
        <is>
          <t>Retaining walls, return walls, walls (any thickness) including attached pilasters, buttresses, plinth and string courses fillets, kerbs and steps etc. Details for 7.9m long and 1.00m high wall Area of contact 2x7.9x1.0 = 15.8 sqm.</t>
        </is>
      </c>
      <c r="C362" s="20" t="n"/>
      <c r="D362" s="20" t="n"/>
      <c r="E362" s="20" t="n"/>
      <c r="F362" s="20" t="n"/>
      <c r="G362" s="20" t="n"/>
    </row>
    <row r="363">
      <c r="A363" s="21" t="inlineStr">
        <is>
          <t>Details of cost for 15.8 sqm   |   Source: CivilDAR_2019_Vol_1.pdf, page 165</t>
        </is>
      </c>
    </row>
    <row r="364">
      <c r="A364" s="5" t="inlineStr">
        <is>
          <t>Code</t>
        </is>
      </c>
      <c r="B364" s="5" t="inlineStr">
        <is>
          <t>Description</t>
        </is>
      </c>
      <c r="C364" s="5" t="inlineStr">
        <is>
          <t>Unit</t>
        </is>
      </c>
      <c r="D364" s="5" t="inlineStr">
        <is>
          <t>Quantity</t>
        </is>
      </c>
      <c r="E364" s="5" t="inlineStr">
        <is>
          <t>Rate (Rs.)</t>
        </is>
      </c>
      <c r="F364" s="5" t="inlineStr">
        <is>
          <t>Amount (Rs.)</t>
        </is>
      </c>
      <c r="G364" s="5" t="inlineStr">
        <is>
          <t>Note</t>
        </is>
      </c>
    </row>
    <row r="365">
      <c r="A365" s="22" t="inlineStr">
        <is>
          <t>7319</t>
        </is>
      </c>
      <c r="B365" s="11" t="inlineStr">
        <is>
          <t>Wall form panel 1250x500 mm</t>
        </is>
      </c>
      <c r="C365" s="22" t="inlineStr">
        <is>
          <t>each</t>
        </is>
      </c>
      <c r="D365" s="23" t="n">
        <v>0.51</v>
      </c>
      <c r="E365" s="24" t="n">
        <v>860</v>
      </c>
      <c r="F365" s="24">
        <f>D365*E365</f>
        <v/>
      </c>
      <c r="G365" s="22" t="n"/>
    </row>
    <row r="366">
      <c r="A366" s="22" t="inlineStr">
        <is>
          <t>7327</t>
        </is>
      </c>
      <c r="B366" s="11" t="inlineStr">
        <is>
          <t>100 mm channel shoulder 2.5 m long</t>
        </is>
      </c>
      <c r="C366" s="22" t="inlineStr">
        <is>
          <t>each</t>
        </is>
      </c>
      <c r="D366" s="23" t="n">
        <v>0.17</v>
      </c>
      <c r="E366" s="24" t="n">
        <v>910</v>
      </c>
      <c r="F366" s="24">
        <f>D366*E366</f>
        <v/>
      </c>
      <c r="G366" s="22" t="n"/>
    </row>
    <row r="367">
      <c r="A367" s="22" t="inlineStr">
        <is>
          <t>7328</t>
        </is>
      </c>
      <c r="B367" s="11" t="inlineStr">
        <is>
          <t>Double clip ( bridge clip)</t>
        </is>
      </c>
      <c r="C367" s="22" t="inlineStr">
        <is>
          <t>each</t>
        </is>
      </c>
      <c r="D367" s="23" t="n">
        <v>0.51</v>
      </c>
      <c r="E367" s="24" t="n">
        <v>76</v>
      </c>
      <c r="F367" s="24">
        <f>D367*E367</f>
        <v/>
      </c>
      <c r="G367" s="22" t="n"/>
    </row>
    <row r="368">
      <c r="A368" s="22" t="inlineStr">
        <is>
          <t>7329</t>
        </is>
      </c>
      <c r="B368" s="11" t="inlineStr">
        <is>
          <t>Single clip</t>
        </is>
      </c>
      <c r="C368" s="22" t="inlineStr">
        <is>
          <t>each</t>
        </is>
      </c>
      <c r="D368" s="23" t="n">
        <v>0.255</v>
      </c>
      <c r="E368" s="24" t="n">
        <v>59</v>
      </c>
      <c r="F368" s="24">
        <f>D368*E368</f>
        <v/>
      </c>
      <c r="G368" s="22" t="n"/>
    </row>
    <row r="369">
      <c r="A369" s="22" t="inlineStr">
        <is>
          <t>7330</t>
        </is>
      </c>
      <c r="B369" s="11" t="inlineStr">
        <is>
          <t>M.S. tube 40 mm dia</t>
        </is>
      </c>
      <c r="C369" s="22" t="inlineStr">
        <is>
          <t>metre</t>
        </is>
      </c>
      <c r="D369" s="23" t="n">
        <v>0.68</v>
      </c>
      <c r="E369" s="24" t="n">
        <v>215</v>
      </c>
      <c r="F369" s="24">
        <f>D369*E369</f>
        <v/>
      </c>
      <c r="G369" s="22" t="n"/>
    </row>
    <row r="370">
      <c r="A370" s="22" t="inlineStr">
        <is>
          <t>9999</t>
        </is>
      </c>
      <c r="B370" s="11" t="inlineStr">
        <is>
          <t>Nut &amp; Bolts</t>
        </is>
      </c>
      <c r="C370" s="22" t="inlineStr">
        <is>
          <t>L.S.</t>
        </is>
      </c>
      <c r="D370" s="23" t="n">
        <v>27.62</v>
      </c>
      <c r="E370" s="24" t="n">
        <v>2</v>
      </c>
      <c r="F370" s="24">
        <f>D370*E370</f>
        <v/>
      </c>
      <c r="G370" s="22" t="n"/>
    </row>
    <row r="371">
      <c r="A371" s="22" t="inlineStr">
        <is>
          <t>9977</t>
        </is>
      </c>
      <c r="B371" s="11" t="inlineStr">
        <is>
          <t>Carriage</t>
        </is>
      </c>
      <c r="C371" s="22" t="inlineStr">
        <is>
          <t>L.S.</t>
        </is>
      </c>
      <c r="D371" s="23" t="n">
        <v>78</v>
      </c>
      <c r="E371" s="24" t="n">
        <v>2</v>
      </c>
      <c r="F371" s="24">
        <f>D371*E371</f>
        <v/>
      </c>
      <c r="G371" s="22" t="n"/>
    </row>
    <row r="372">
      <c r="A372" s="22" t="inlineStr">
        <is>
          <t>0116</t>
        </is>
      </c>
      <c r="B372" s="11" t="inlineStr">
        <is>
          <t>Fitter (grade 1)</t>
        </is>
      </c>
      <c r="C372" s="22" t="inlineStr">
        <is>
          <t>day</t>
        </is>
      </c>
      <c r="D372" s="23" t="n">
        <v>3.5</v>
      </c>
      <c r="E372" s="24" t="n">
        <v>738</v>
      </c>
      <c r="F372" s="24">
        <f>D372*E372</f>
        <v/>
      </c>
      <c r="G372" s="22" t="n"/>
    </row>
    <row r="373">
      <c r="A373" s="22" t="inlineStr">
        <is>
          <t>0114</t>
        </is>
      </c>
      <c r="B373" s="11" t="inlineStr">
        <is>
          <t>Beldar</t>
        </is>
      </c>
      <c r="C373" s="22" t="inlineStr">
        <is>
          <t>day</t>
        </is>
      </c>
      <c r="D373" s="23" t="n">
        <v>6</v>
      </c>
      <c r="E373" s="24" t="n">
        <v>558</v>
      </c>
      <c r="F373" s="24">
        <f>D373*E373</f>
        <v/>
      </c>
      <c r="G373" s="22" t="n"/>
    </row>
    <row r="374">
      <c r="A374" s="22" t="inlineStr">
        <is>
          <t>9999</t>
        </is>
      </c>
      <c r="B374" s="11" t="inlineStr">
        <is>
          <t>Shuttering oil</t>
        </is>
      </c>
      <c r="C374" s="22" t="inlineStr">
        <is>
          <t>L.S.</t>
        </is>
      </c>
      <c r="D374" s="23" t="n">
        <v>78</v>
      </c>
      <c r="E374" s="24" t="n">
        <v>2</v>
      </c>
      <c r="F374" s="24">
        <f>D374*E374</f>
        <v/>
      </c>
      <c r="G374" s="22" t="n"/>
    </row>
    <row r="375">
      <c r="A375" s="22" t="inlineStr">
        <is>
          <t>9999</t>
        </is>
      </c>
      <c r="B375" s="11" t="inlineStr">
        <is>
          <t>Sundries</t>
        </is>
      </c>
      <c r="C375" s="22" t="inlineStr">
        <is>
          <t>L.S.</t>
        </is>
      </c>
      <c r="D375" s="23" t="n">
        <v>52</v>
      </c>
      <c r="E375" s="24" t="n">
        <v>2</v>
      </c>
      <c r="F375" s="24">
        <f>D375*E375</f>
        <v/>
      </c>
      <c r="G375" s="22" t="n"/>
    </row>
    <row r="376">
      <c r="A376" s="8" t="inlineStr">
        <is>
          <t>Calculated W - SUM of the Amount column above</t>
        </is>
      </c>
      <c r="B376" s="9" t="n"/>
      <c r="C376" s="9" t="n"/>
      <c r="D376" s="9" t="n"/>
      <c r="E376" s="9" t="n"/>
      <c r="F376" s="25">
        <f>SUM(F365:F375)</f>
        <v/>
      </c>
      <c r="G376" s="9" t="n"/>
    </row>
    <row r="377">
      <c r="A377" s="26" t="inlineStr">
        <is>
          <t>W as printed in the DAR</t>
        </is>
      </c>
      <c r="B377" s="22" t="n"/>
      <c r="C377" s="22" t="n"/>
      <c r="D377" s="22" t="n"/>
      <c r="E377" s="22" t="n"/>
      <c r="F377" s="27" t="n">
        <v>7195.55</v>
      </c>
      <c r="G377" s="22" t="n"/>
    </row>
    <row r="378">
      <c r="A378" s="26" t="inlineStr">
        <is>
          <t>Difference (calculated - printed)</t>
        </is>
      </c>
      <c r="B378" s="22" t="n"/>
      <c r="C378" s="22" t="n"/>
      <c r="D378" s="22" t="n"/>
      <c r="E378" s="22" t="n"/>
      <c r="F378" s="27">
        <f>F376-F377</f>
        <v/>
      </c>
      <c r="G378" s="22" t="n"/>
    </row>
    <row r="379">
      <c r="A379" s="29" t="inlineStr">
        <is>
          <t>SAY (Rs.) - final DAR rate as printed (fixed value, not computed)</t>
        </is>
      </c>
      <c r="B379" s="30" t="n"/>
      <c r="C379" s="30" t="n"/>
      <c r="D379" s="30" t="n"/>
      <c r="E379" s="30" t="n"/>
      <c r="F379" s="31" t="n">
        <v>609.3</v>
      </c>
      <c r="G379" s="30" t="n"/>
    </row>
    <row r="381" ht="18.5" customHeight="1">
      <c r="A381" s="8" t="inlineStr">
        <is>
          <t>4.3</t>
        </is>
      </c>
      <c r="B381" s="17" t="inlineStr">
        <is>
          <t>Centering and shuttering including strutting, propping etc. and removal of form work for :</t>
        </is>
      </c>
      <c r="C381" s="9" t="n"/>
      <c r="D381" s="9" t="n"/>
      <c r="E381" s="9" t="n"/>
      <c r="F381" s="9" t="n"/>
      <c r="G381" s="9" t="n"/>
    </row>
    <row r="382" ht="18.5" customHeight="1">
      <c r="A382" s="18" t="inlineStr">
        <is>
          <t>4.3.3</t>
        </is>
      </c>
      <c r="B382" s="19" t="inlineStr">
        <is>
          <t>Columns, piers, abutments, pillars, posts and struts</t>
        </is>
      </c>
      <c r="C382" s="20" t="n"/>
      <c r="D382" s="20" t="n"/>
      <c r="E382" s="20" t="n"/>
      <c r="F382" s="20" t="n"/>
      <c r="G382" s="20" t="n"/>
    </row>
    <row r="383">
      <c r="A383" s="21" t="inlineStr">
        <is>
          <t>Details of cost for 4.5 sqm   |   Source: CivilDAR_2019_Vol_1.pdf, page 166</t>
        </is>
      </c>
    </row>
    <row r="384">
      <c r="A384" s="5" t="inlineStr">
        <is>
          <t>Code</t>
        </is>
      </c>
      <c r="B384" s="5" t="inlineStr">
        <is>
          <t>Description</t>
        </is>
      </c>
      <c r="C384" s="5" t="inlineStr">
        <is>
          <t>Unit</t>
        </is>
      </c>
      <c r="D384" s="5" t="inlineStr">
        <is>
          <t>Quantity</t>
        </is>
      </c>
      <c r="E384" s="5" t="inlineStr">
        <is>
          <t>Rate (Rs.)</t>
        </is>
      </c>
      <c r="F384" s="5" t="inlineStr">
        <is>
          <t>Amount (Rs.)</t>
        </is>
      </c>
      <c r="G384" s="5" t="inlineStr">
        <is>
          <t>Note</t>
        </is>
      </c>
    </row>
    <row r="385">
      <c r="A385" s="22" t="inlineStr">
        <is>
          <t>7331</t>
        </is>
      </c>
      <c r="B385" s="11" t="inlineStr">
        <is>
          <t>Wall form panel 1250x450 mm</t>
        </is>
      </c>
      <c r="C385" s="22" t="inlineStr">
        <is>
          <t>each</t>
        </is>
      </c>
      <c r="D385" s="23" t="n">
        <v>0.17</v>
      </c>
      <c r="E385" s="24" t="n">
        <v>860</v>
      </c>
      <c r="F385" s="24">
        <f>D385*E385</f>
        <v/>
      </c>
      <c r="G385" s="22" t="n"/>
    </row>
    <row r="386">
      <c r="A386" s="22" t="inlineStr">
        <is>
          <t>7332</t>
        </is>
      </c>
      <c r="B386" s="11" t="inlineStr">
        <is>
          <t>Corner angle 45x45x5 mm 2.50 m long</t>
        </is>
      </c>
      <c r="C386" s="22" t="inlineStr">
        <is>
          <t>each</t>
        </is>
      </c>
      <c r="D386" s="23" t="n">
        <v>0.08500000000000001</v>
      </c>
      <c r="E386" s="24" t="n">
        <v>255</v>
      </c>
      <c r="F386" s="24">
        <f>D386*E386</f>
        <v/>
      </c>
      <c r="G386" s="22" t="n"/>
    </row>
    <row r="387">
      <c r="A387" s="22" t="inlineStr">
        <is>
          <t>7333</t>
        </is>
      </c>
      <c r="B387" s="11" t="inlineStr">
        <is>
          <t>Column clamp 450x1070 mm</t>
        </is>
      </c>
      <c r="C387" s="22" t="inlineStr">
        <is>
          <t>each</t>
        </is>
      </c>
      <c r="D387" s="23" t="n">
        <v>0.1063</v>
      </c>
      <c r="E387" s="24" t="n">
        <v>965</v>
      </c>
      <c r="F387" s="24">
        <f>D387*E387</f>
        <v/>
      </c>
      <c r="G387" s="22" t="n"/>
    </row>
    <row r="388">
      <c r="A388" s="22" t="inlineStr">
        <is>
          <t>7334</t>
        </is>
      </c>
      <c r="B388" s="11" t="inlineStr">
        <is>
          <t>Prop 2 m ( 2-3.5m)</t>
        </is>
      </c>
      <c r="C388" s="22" t="inlineStr">
        <is>
          <t>each</t>
        </is>
      </c>
      <c r="D388" s="23" t="n">
        <v>0.08500000000000001</v>
      </c>
      <c r="E388" s="24" t="n">
        <v>635</v>
      </c>
      <c r="F388" s="24">
        <f>D388*E388</f>
        <v/>
      </c>
      <c r="G388" s="22" t="n"/>
    </row>
    <row r="389">
      <c r="A389" s="22" t="inlineStr">
        <is>
          <t>9999</t>
        </is>
      </c>
      <c r="B389" s="11" t="inlineStr">
        <is>
          <t>Assembly nut &amp; bolt</t>
        </is>
      </c>
      <c r="C389" s="22" t="inlineStr">
        <is>
          <t>L.S.</t>
        </is>
      </c>
      <c r="D389" s="23" t="n">
        <v>27.62</v>
      </c>
      <c r="E389" s="24" t="n">
        <v>2</v>
      </c>
      <c r="F389" s="24">
        <f>D389*E389</f>
        <v/>
      </c>
      <c r="G389" s="22" t="n"/>
    </row>
    <row r="390">
      <c r="A390" s="22" t="inlineStr">
        <is>
          <t>9977</t>
        </is>
      </c>
      <c r="B390" s="11" t="inlineStr">
        <is>
          <t>CARRIAGE</t>
        </is>
      </c>
      <c r="C390" s="22" t="inlineStr">
        <is>
          <t>L.S.</t>
        </is>
      </c>
      <c r="D390" s="23" t="n">
        <v>52</v>
      </c>
      <c r="E390" s="24" t="n">
        <v>2</v>
      </c>
      <c r="F390" s="24">
        <f>D390*E390</f>
        <v/>
      </c>
      <c r="G390" s="22" t="n"/>
    </row>
    <row r="391">
      <c r="A391" s="22" t="inlineStr">
        <is>
          <t>0116</t>
        </is>
      </c>
      <c r="B391" s="11" t="inlineStr">
        <is>
          <t>Fitter (grade 1)</t>
        </is>
      </c>
      <c r="C391" s="22" t="inlineStr">
        <is>
          <t>day</t>
        </is>
      </c>
      <c r="D391" s="23" t="n">
        <v>1</v>
      </c>
      <c r="E391" s="24" t="n">
        <v>738</v>
      </c>
      <c r="F391" s="24">
        <f>D391*E391</f>
        <v/>
      </c>
      <c r="G391" s="22" t="n"/>
    </row>
    <row r="392">
      <c r="A392" s="22" t="inlineStr">
        <is>
          <t>0114</t>
        </is>
      </c>
      <c r="B392" s="11" t="inlineStr">
        <is>
          <t>Beldar</t>
        </is>
      </c>
      <c r="C392" s="22" t="inlineStr">
        <is>
          <t>day</t>
        </is>
      </c>
      <c r="D392" s="23" t="n">
        <v>2</v>
      </c>
      <c r="E392" s="24" t="n">
        <v>558</v>
      </c>
      <c r="F392" s="24">
        <f>D392*E392</f>
        <v/>
      </c>
      <c r="G392" s="22" t="n"/>
    </row>
    <row r="393">
      <c r="A393" s="22" t="inlineStr">
        <is>
          <t>9999</t>
        </is>
      </c>
      <c r="B393" s="11" t="inlineStr">
        <is>
          <t>Shuttering oil</t>
        </is>
      </c>
      <c r="C393" s="22" t="inlineStr">
        <is>
          <t>L.S.</t>
        </is>
      </c>
      <c r="D393" s="23" t="n">
        <v>39</v>
      </c>
      <c r="E393" s="24" t="n">
        <v>2</v>
      </c>
      <c r="F393" s="24">
        <f>D393*E393</f>
        <v/>
      </c>
      <c r="G393" s="22" t="n"/>
    </row>
    <row r="394">
      <c r="A394" s="22" t="inlineStr">
        <is>
          <t>9977</t>
        </is>
      </c>
      <c r="B394" s="11" t="inlineStr">
        <is>
          <t>Carriage</t>
        </is>
      </c>
      <c r="C394" s="22" t="inlineStr">
        <is>
          <t>L.S.</t>
        </is>
      </c>
      <c r="D394" s="23" t="n">
        <v>26</v>
      </c>
      <c r="E394" s="24" t="n">
        <v>2</v>
      </c>
      <c r="F394" s="24">
        <f>D394*E394</f>
        <v/>
      </c>
      <c r="G394" s="22" t="n"/>
    </row>
    <row r="395">
      <c r="A395" s="8" t="inlineStr">
        <is>
          <t>Calculated W - SUM of the Amount column above</t>
        </is>
      </c>
      <c r="B395" s="9" t="n"/>
      <c r="C395" s="9" t="n"/>
      <c r="D395" s="9" t="n"/>
      <c r="E395" s="9" t="n"/>
      <c r="F395" s="25">
        <f>SUM(F385:F394)</f>
        <v/>
      </c>
      <c r="G395" s="9" t="n"/>
    </row>
    <row r="396">
      <c r="A396" s="26" t="inlineStr">
        <is>
          <t>W as printed in the DAR</t>
        </is>
      </c>
      <c r="B396" s="22" t="n"/>
      <c r="C396" s="22" t="n"/>
      <c r="D396" s="22" t="n"/>
      <c r="E396" s="22" t="n"/>
      <c r="F396" s="27" t="n">
        <v>2467.67</v>
      </c>
      <c r="G396" s="22" t="n"/>
    </row>
    <row r="397">
      <c r="A397" s="26" t="inlineStr">
        <is>
          <t>Difference (calculated - printed)</t>
        </is>
      </c>
      <c r="B397" s="22" t="n"/>
      <c r="C397" s="22" t="n"/>
      <c r="D397" s="22" t="n"/>
      <c r="E397" s="22" t="n"/>
      <c r="F397" s="27">
        <f>F395-F396</f>
        <v/>
      </c>
      <c r="G397" s="22" t="n"/>
    </row>
    <row r="398">
      <c r="A398" s="29" t="inlineStr">
        <is>
          <t>SAY (Rs.) - final DAR rate as printed (fixed value, not computed)</t>
        </is>
      </c>
      <c r="B398" s="30" t="n"/>
      <c r="C398" s="30" t="n"/>
      <c r="D398" s="30" t="n"/>
      <c r="E398" s="30" t="n"/>
      <c r="F398" s="31" t="n">
        <v>733.7</v>
      </c>
      <c r="G398" s="30" t="n"/>
    </row>
    <row r="400" ht="33" customHeight="1">
      <c r="A400" s="8" t="inlineStr">
        <is>
          <t>4.4</t>
        </is>
      </c>
      <c r="B400" s="17" t="inlineStr">
        <is>
          <t>Providing and laying cement concrete in kerbs, steps and the like at or near ground level excluding the cost of centering, shuttering and finishing.</t>
        </is>
      </c>
      <c r="C400" s="9" t="n"/>
      <c r="D400" s="9" t="n"/>
      <c r="E400" s="9" t="n"/>
      <c r="F400" s="9" t="n"/>
      <c r="G400" s="9" t="n"/>
    </row>
    <row r="401" ht="18.5" customHeight="1">
      <c r="A401" s="18" t="inlineStr">
        <is>
          <t>4.4.1</t>
        </is>
      </c>
      <c r="B401" s="19" t="inlineStr">
        <is>
          <t>1:1½:3 (1 Cement: 1½ coarse sand(zone-III) : 3 graded stone aggregate 20 mm nominal size)</t>
        </is>
      </c>
      <c r="C401" s="20" t="n"/>
      <c r="D401" s="20" t="n"/>
      <c r="E401" s="20" t="n"/>
      <c r="F401" s="20" t="n"/>
      <c r="G401" s="20" t="n"/>
    </row>
    <row r="402">
      <c r="A402" s="21" t="inlineStr">
        <is>
          <t>Details of cost for 6 cum   |   Source: CivilDAR_2019_Vol_1.pdf, page 167</t>
        </is>
      </c>
    </row>
    <row r="403">
      <c r="A403" s="5" t="inlineStr">
        <is>
          <t>Code</t>
        </is>
      </c>
      <c r="B403" s="5" t="inlineStr">
        <is>
          <t>Description</t>
        </is>
      </c>
      <c r="C403" s="5" t="inlineStr">
        <is>
          <t>Unit</t>
        </is>
      </c>
      <c r="D403" s="5" t="inlineStr">
        <is>
          <t>Quantity</t>
        </is>
      </c>
      <c r="E403" s="5" t="inlineStr">
        <is>
          <t>Rate (Rs.)</t>
        </is>
      </c>
      <c r="F403" s="5" t="inlineStr">
        <is>
          <t>Amount (Rs.)</t>
        </is>
      </c>
      <c r="G403" s="5" t="inlineStr">
        <is>
          <t>Note</t>
        </is>
      </c>
    </row>
    <row r="404">
      <c r="A404" s="7" t="inlineStr">
        <is>
          <t>4.1.2</t>
        </is>
      </c>
      <c r="B404" s="11" t="inlineStr">
        <is>
          <t>Rate as per item 4.1.2 - Providing and laying in position cement concrete of specified grade excluding the cost of centering and shu...</t>
        </is>
      </c>
      <c r="C404" s="22" t="inlineStr">
        <is>
          <t>cum</t>
        </is>
      </c>
      <c r="D404" s="23" t="n">
        <v>6</v>
      </c>
      <c r="E404" s="24" t="n">
        <v>7210.55</v>
      </c>
      <c r="F404" s="24">
        <f>D404*E404</f>
        <v/>
      </c>
      <c r="G404" s="22" t="n"/>
    </row>
    <row r="405">
      <c r="A405" s="8" t="inlineStr">
        <is>
          <t>Calculated W - SUM of the Amount column above</t>
        </is>
      </c>
      <c r="B405" s="9" t="n"/>
      <c r="C405" s="9" t="n"/>
      <c r="D405" s="9" t="n"/>
      <c r="E405" s="9" t="n"/>
      <c r="F405" s="25">
        <f>SUM(F404:F404)</f>
        <v/>
      </c>
      <c r="G405" s="9" t="n"/>
    </row>
    <row r="406">
      <c r="A406" s="26" t="inlineStr">
        <is>
          <t>W as printed in the DAR</t>
        </is>
      </c>
      <c r="B406" s="22" t="n"/>
      <c r="C406" s="22" t="n"/>
      <c r="D406" s="22" t="n"/>
      <c r="E406" s="22" t="n"/>
      <c r="F406" s="27" t="inlineStr">
        <is>
          <t>not printed</t>
        </is>
      </c>
      <c r="G406" s="28" t="inlineStr">
        <is>
          <t>This item prints no W (rate table or sub-analysis).</t>
        </is>
      </c>
    </row>
    <row r="407">
      <c r="A407" s="29" t="inlineStr">
        <is>
          <t>SAY (Rs.) - final DAR rate as printed (fixed value, not computed)</t>
        </is>
      </c>
      <c r="B407" s="30" t="n"/>
      <c r="C407" s="30" t="n"/>
      <c r="D407" s="30" t="n"/>
      <c r="E407" s="30" t="n"/>
      <c r="F407" s="31" t="n">
        <v>7210.55</v>
      </c>
      <c r="G407" s="30" t="n"/>
    </row>
    <row r="409" ht="47.5" customHeight="1">
      <c r="A409" s="8" t="inlineStr">
        <is>
          <t>4.5</t>
        </is>
      </c>
      <c r="B409" s="17" t="inlineStr">
        <is>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t>
        </is>
      </c>
      <c r="C409" s="9" t="n"/>
      <c r="D409" s="9" t="n"/>
      <c r="E409" s="9" t="n"/>
      <c r="F409" s="9" t="n"/>
      <c r="G409" s="9" t="n"/>
    </row>
    <row r="410" ht="18.5" customHeight="1">
      <c r="A410" s="18" t="inlineStr">
        <is>
          <t>4.5.1</t>
        </is>
      </c>
      <c r="B410" s="19" t="inlineStr">
        <is>
          <t>1:1.5:3 (1 cement : 1.5 coarse sand(zone-III) : 3 graded stone aggregate 20mm nominal size)</t>
        </is>
      </c>
      <c r="C410" s="20" t="n"/>
      <c r="D410" s="20" t="n"/>
      <c r="E410" s="20" t="n"/>
      <c r="F410" s="20" t="n"/>
      <c r="G410" s="20" t="n"/>
    </row>
    <row r="411">
      <c r="A411" s="21" t="inlineStr">
        <is>
          <t>Details of cost for 0.45 cum   |   Source: CivilDAR_2019_Vol_1.pdf, page 168</t>
        </is>
      </c>
    </row>
    <row r="412">
      <c r="A412" s="5" t="inlineStr">
        <is>
          <t>Code</t>
        </is>
      </c>
      <c r="B412" s="5" t="inlineStr">
        <is>
          <t>Description</t>
        </is>
      </c>
      <c r="C412" s="5" t="inlineStr">
        <is>
          <t>Unit</t>
        </is>
      </c>
      <c r="D412" s="5" t="inlineStr">
        <is>
          <t>Quantity</t>
        </is>
      </c>
      <c r="E412" s="5" t="inlineStr">
        <is>
          <t>Rate (Rs.)</t>
        </is>
      </c>
      <c r="F412" s="5" t="inlineStr">
        <is>
          <t>Amount (Rs.)</t>
        </is>
      </c>
      <c r="G412" s="5" t="inlineStr">
        <is>
          <t>Note</t>
        </is>
      </c>
    </row>
    <row r="413">
      <c r="A413" s="7" t="inlineStr">
        <is>
          <t>4.1.2</t>
        </is>
      </c>
      <c r="B413" s="11" t="inlineStr">
        <is>
          <t>Rate as per item 4.1.2 - Providing and laying in position cement concrete of specified grade excluding the cost of centering and shu...</t>
        </is>
      </c>
      <c r="C413" s="22" t="inlineStr">
        <is>
          <t>cum</t>
        </is>
      </c>
      <c r="D413" s="23" t="n">
        <v>0.45</v>
      </c>
      <c r="E413" s="24" t="n">
        <v>7210.55</v>
      </c>
      <c r="F413" s="24">
        <f>D413*E413</f>
        <v/>
      </c>
      <c r="G413" s="22" t="n"/>
    </row>
    <row r="414">
      <c r="A414" s="22" t="inlineStr">
        <is>
          <t>0115</t>
        </is>
      </c>
      <c r="B414" s="11" t="inlineStr">
        <is>
          <t>Coolie</t>
        </is>
      </c>
      <c r="C414" s="22" t="inlineStr">
        <is>
          <t>day</t>
        </is>
      </c>
      <c r="D414" s="23" t="n">
        <v>0.51</v>
      </c>
      <c r="E414" s="24" t="n">
        <v>558</v>
      </c>
      <c r="F414" s="24">
        <f>D414*E414</f>
        <v/>
      </c>
      <c r="G414" s="22" t="n"/>
    </row>
    <row r="415">
      <c r="A415" s="7" t="inlineStr">
        <is>
          <t>10.1</t>
        </is>
      </c>
      <c r="B415" s="11" t="inlineStr">
        <is>
          <t>Rate as per item 10.1 - Structural steel work in single section, fixed with or without connecting plate, including cutting, hoistin...</t>
        </is>
      </c>
      <c r="C415" s="22" t="inlineStr">
        <is>
          <t>kg</t>
        </is>
      </c>
      <c r="D415" s="23" t="n">
        <v>0.21</v>
      </c>
      <c r="E415" s="24" t="n">
        <v>86.05</v>
      </c>
      <c r="F415" s="24">
        <f>D415*E415</f>
        <v/>
      </c>
      <c r="G415" s="22" t="n"/>
    </row>
    <row r="416">
      <c r="A416" s="7" t="inlineStr">
        <is>
          <t>11.1.2</t>
        </is>
      </c>
      <c r="B416" s="11" t="inlineStr">
        <is>
          <t>Rate as per item 11.1.2 - Brick on edge flooring with bricks of class designation 7.5 on a bed of 12 mm cement mortar, including fill...</t>
        </is>
      </c>
      <c r="C416" s="22" t="inlineStr">
        <is>
          <t>sqm</t>
        </is>
      </c>
      <c r="D416" s="23" t="n">
        <v>0.1</v>
      </c>
      <c r="E416" s="24" t="n">
        <v>829.45</v>
      </c>
      <c r="F416" s="24">
        <f>D416*E416</f>
        <v/>
      </c>
      <c r="G416" s="22" t="n"/>
    </row>
    <row r="417">
      <c r="A417" s="7" t="inlineStr">
        <is>
          <t>11.7</t>
        </is>
      </c>
      <c r="B417" s="11" t="inlineStr">
        <is>
          <t>Rate as per item 11.7 - Cement concrete pavement with 1:2:4 (1 cement : 2 coarse sand : 4 graded stone aggregate 20 mm nominal size...</t>
        </is>
      </c>
      <c r="C417" s="22" t="inlineStr">
        <is>
          <t>cum</t>
        </is>
      </c>
      <c r="D417" s="23" t="n">
        <v>0.0025</v>
      </c>
      <c r="E417" s="24" t="n">
        <v>7335.1</v>
      </c>
      <c r="F417" s="24">
        <f>D417*E417</f>
        <v/>
      </c>
      <c r="G417" s="22" t="n"/>
    </row>
    <row r="418">
      <c r="A418" s="22" t="inlineStr">
        <is>
          <t>9999</t>
        </is>
      </c>
      <c r="B418" s="11" t="inlineStr">
        <is>
          <t>Mortar and labour for hoisting and finishing</t>
        </is>
      </c>
      <c r="C418" s="22" t="inlineStr">
        <is>
          <t>L.S.</t>
        </is>
      </c>
      <c r="D418" s="23" t="n">
        <v>36.3</v>
      </c>
      <c r="E418" s="24" t="n">
        <v>2</v>
      </c>
      <c r="F418" s="24">
        <f>D418*E418</f>
        <v/>
      </c>
      <c r="G418" s="22" t="n"/>
    </row>
    <row r="419">
      <c r="A419" s="8" t="inlineStr">
        <is>
          <t>Calculated W - SUM of the Amount column above</t>
        </is>
      </c>
      <c r="B419" s="9" t="n"/>
      <c r="C419" s="9" t="n"/>
      <c r="D419" s="9" t="n"/>
      <c r="E419" s="9" t="n"/>
      <c r="F419" s="25">
        <f>SUM(F413:F418)</f>
        <v/>
      </c>
      <c r="G419" s="9" t="n"/>
    </row>
    <row r="420">
      <c r="A420" s="26" t="inlineStr">
        <is>
          <t>W as printed in the DAR</t>
        </is>
      </c>
      <c r="B420" s="22" t="n"/>
      <c r="C420" s="22" t="n"/>
      <c r="D420" s="22" t="n"/>
      <c r="E420" s="22" t="n"/>
      <c r="F420" s="27" t="n">
        <v>3721.28</v>
      </c>
      <c r="G420" s="22" t="n"/>
    </row>
    <row r="421">
      <c r="A421" s="26" t="inlineStr">
        <is>
          <t>Difference (calculated - printed)</t>
        </is>
      </c>
      <c r="B421" s="22" t="n"/>
      <c r="C421" s="22" t="n"/>
      <c r="D421" s="22" t="n"/>
      <c r="E421" s="22" t="n"/>
      <c r="F421" s="27">
        <f>F419-F420</f>
        <v/>
      </c>
      <c r="G421" s="22" t="n"/>
    </row>
    <row r="422">
      <c r="A422" s="29" t="inlineStr">
        <is>
          <t>SAY (Rs.) - final DAR rate as printed (fixed value, not computed)</t>
        </is>
      </c>
      <c r="B422" s="30" t="n"/>
      <c r="C422" s="30" t="n"/>
      <c r="D422" s="30" t="n"/>
      <c r="E422" s="30" t="n"/>
      <c r="F422" s="31" t="n">
        <v>8537.75</v>
      </c>
      <c r="G422" s="30" t="n"/>
    </row>
    <row r="424" ht="47.5" customHeight="1">
      <c r="A424" s="8" t="inlineStr">
        <is>
          <t>4.6</t>
        </is>
      </c>
      <c r="B424" s="17" t="inlineStr">
        <is>
          <t>Providing and fixing at or near ground level precast cement concrete in kerbs, edgings etc. as per approved pattern and setting in position with cement mortar 1:3 (1 Cement : 3 coarse sand), including the cost of required centering, shuttering complete.</t>
        </is>
      </c>
      <c r="C424" s="9" t="n"/>
      <c r="D424" s="9" t="n"/>
      <c r="E424" s="9" t="n"/>
      <c r="F424" s="9" t="n"/>
      <c r="G424" s="9" t="n"/>
    </row>
    <row r="425" ht="18.5" customHeight="1">
      <c r="A425" s="18" t="inlineStr">
        <is>
          <t>4.6.1</t>
        </is>
      </c>
      <c r="B425" s="19" t="inlineStr">
        <is>
          <t>1:1½:3 (1 Cement: 1½ coarse sand(zone-III) : 3 graded stone aggregate 20 mm nominal size).</t>
        </is>
      </c>
      <c r="C425" s="20" t="n"/>
      <c r="D425" s="20" t="n"/>
      <c r="E425" s="20" t="n"/>
      <c r="F425" s="20" t="n"/>
      <c r="G425" s="20" t="n"/>
    </row>
    <row r="426">
      <c r="A426" s="21" t="inlineStr">
        <is>
          <t>Details of cost for 0.6 cum   |   Source: CivilDAR_2019_Vol_1.pdf, page 169</t>
        </is>
      </c>
    </row>
    <row r="427">
      <c r="A427" s="5" t="inlineStr">
        <is>
          <t>Code</t>
        </is>
      </c>
      <c r="B427" s="5" t="inlineStr">
        <is>
          <t>Description</t>
        </is>
      </c>
      <c r="C427" s="5" t="inlineStr">
        <is>
          <t>Unit</t>
        </is>
      </c>
      <c r="D427" s="5" t="inlineStr">
        <is>
          <t>Quantity</t>
        </is>
      </c>
      <c r="E427" s="5" t="inlineStr">
        <is>
          <t>Rate (Rs.)</t>
        </is>
      </c>
      <c r="F427" s="5" t="inlineStr">
        <is>
          <t>Amount (Rs.)</t>
        </is>
      </c>
      <c r="G427" s="5" t="inlineStr">
        <is>
          <t>Note</t>
        </is>
      </c>
    </row>
    <row r="428">
      <c r="A428" s="7" t="inlineStr">
        <is>
          <t>4.1.2</t>
        </is>
      </c>
      <c r="B428" s="11" t="inlineStr">
        <is>
          <t>Rate as per item 4.1.2 - Providing and laying in position cement concrete of specified grade excluding the cost of centering and shu...</t>
        </is>
      </c>
      <c r="C428" s="22" t="inlineStr">
        <is>
          <t>cum</t>
        </is>
      </c>
      <c r="D428" s="23" t="n">
        <v>0.6</v>
      </c>
      <c r="E428" s="24" t="n">
        <v>7210.55</v>
      </c>
      <c r="F428" s="24">
        <f>D428*E428</f>
        <v/>
      </c>
      <c r="G428" s="22" t="n"/>
    </row>
    <row r="429">
      <c r="A429" s="7" t="inlineStr">
        <is>
          <t>10.1</t>
        </is>
      </c>
      <c r="B429" s="11" t="inlineStr">
        <is>
          <t>Rate as per item 10.1 - Structural steel work in single section, fixed with or without connecting plate, including cutting, hoistin...</t>
        </is>
      </c>
      <c r="C429" s="22" t="inlineStr">
        <is>
          <t>kg</t>
        </is>
      </c>
      <c r="D429" s="23" t="n">
        <v>0.1275</v>
      </c>
      <c r="E429" s="24" t="n">
        <v>86.05</v>
      </c>
      <c r="F429" s="24">
        <f>D429*E429</f>
        <v/>
      </c>
      <c r="G429" s="22" t="n"/>
    </row>
    <row r="430">
      <c r="A430" s="7" t="inlineStr">
        <is>
          <t>11.1.2</t>
        </is>
      </c>
      <c r="B430" s="11" t="inlineStr">
        <is>
          <t>Rate as per item 11.1.2 - Brick on edge flooring with bricks of class designation 7.5 on a bed of 12 mm cement mortar, including fill...</t>
        </is>
      </c>
      <c r="C430" s="22" t="inlineStr">
        <is>
          <t>sqm</t>
        </is>
      </c>
      <c r="D430" s="23" t="n">
        <v>0.1</v>
      </c>
      <c r="E430" s="24" t="n">
        <v>829.45</v>
      </c>
      <c r="F430" s="24">
        <f>D430*E430</f>
        <v/>
      </c>
      <c r="G430" s="22" t="n"/>
    </row>
    <row r="431">
      <c r="A431" s="7" t="inlineStr">
        <is>
          <t>11.7</t>
        </is>
      </c>
      <c r="B431" s="11" t="inlineStr">
        <is>
          <t>Rate as per item 11.7 - Cement concrete pavement with 1:2:4 (1 cement : 2 coarse sand : 4 graded stone aggregate 20 mm nominal size...</t>
        </is>
      </c>
      <c r="C431" s="22" t="inlineStr">
        <is>
          <t>cum</t>
        </is>
      </c>
      <c r="D431" s="23" t="n">
        <v>0.0025</v>
      </c>
      <c r="E431" s="24" t="n">
        <v>7335.1</v>
      </c>
      <c r="F431" s="24">
        <f>D431*E431</f>
        <v/>
      </c>
      <c r="G431" s="22" t="n"/>
    </row>
    <row r="432">
      <c r="A432" s="22" t="inlineStr">
        <is>
          <t>9999</t>
        </is>
      </c>
      <c r="B432" s="11" t="inlineStr">
        <is>
          <t>Mortar and labour for finishing</t>
        </is>
      </c>
      <c r="C432" s="22" t="inlineStr">
        <is>
          <t>L.S.</t>
        </is>
      </c>
      <c r="D432" s="23" t="n">
        <v>30.54</v>
      </c>
      <c r="E432" s="24" t="n">
        <v>2</v>
      </c>
      <c r="F432" s="24">
        <f>D432*E432</f>
        <v/>
      </c>
      <c r="G432" s="22" t="n"/>
    </row>
    <row r="433">
      <c r="A433" s="8" t="inlineStr">
        <is>
          <t>Calculated W - SUM of the Amount column above</t>
        </is>
      </c>
      <c r="B433" s="9" t="n"/>
      <c r="C433" s="9" t="n"/>
      <c r="D433" s="9" t="n"/>
      <c r="E433" s="9" t="n"/>
      <c r="F433" s="25">
        <f>SUM(F428:F432)</f>
        <v/>
      </c>
      <c r="G433" s="9" t="n"/>
    </row>
    <row r="434">
      <c r="A434" s="26" t="inlineStr">
        <is>
          <t>W as printed in the DAR</t>
        </is>
      </c>
      <c r="B434" s="22" t="n"/>
      <c r="C434" s="22" t="n"/>
      <c r="D434" s="22" t="n"/>
      <c r="E434" s="22" t="n"/>
      <c r="F434" s="27" t="n">
        <v>4499.66</v>
      </c>
      <c r="G434" s="22" t="n"/>
    </row>
    <row r="435">
      <c r="A435" s="26" t="inlineStr">
        <is>
          <t>Difference (calculated - printed)</t>
        </is>
      </c>
      <c r="B435" s="22" t="n"/>
      <c r="C435" s="22" t="n"/>
      <c r="D435" s="22" t="n"/>
      <c r="E435" s="22" t="n"/>
      <c r="F435" s="27">
        <f>F433-F434</f>
        <v/>
      </c>
      <c r="G435" s="22" t="n"/>
    </row>
    <row r="436">
      <c r="A436" s="29" t="inlineStr">
        <is>
          <t>SAY (Rs.) - final DAR rate as printed (fixed value, not computed)</t>
        </is>
      </c>
      <c r="B436" s="30" t="n"/>
      <c r="C436" s="30" t="n"/>
      <c r="D436" s="30" t="n"/>
      <c r="E436" s="30" t="n"/>
      <c r="F436" s="31" t="n">
        <v>7533.85</v>
      </c>
      <c r="G436" s="30" t="n"/>
    </row>
    <row r="438" ht="33" customHeight="1">
      <c r="A438" s="8" t="inlineStr">
        <is>
          <t>4.7</t>
        </is>
      </c>
      <c r="B438" s="17" t="inlineStr">
        <is>
          <t>Providing and fixing up to floor five level precast cement concrete solid block, including hoisting and setting in position with cement mortar 1:3 (1 cement : 3 coarse sand), cost of required centering, shuttering complete :</t>
        </is>
      </c>
      <c r="C438" s="9" t="n"/>
      <c r="D438" s="9" t="n"/>
      <c r="E438" s="9" t="n"/>
      <c r="F438" s="9" t="n"/>
      <c r="G438" s="9" t="n"/>
    </row>
    <row r="439" ht="18.5" customHeight="1">
      <c r="A439" s="18" t="inlineStr">
        <is>
          <t>4.7.1</t>
        </is>
      </c>
      <c r="B439" s="19" t="inlineStr">
        <is>
          <t>1:1½:3 (1 Cement: 1½ coarse sand(zone-III) : 3 graded stone aggregate 20 mm nominal size).</t>
        </is>
      </c>
      <c r="C439" s="20" t="n"/>
      <c r="D439" s="20" t="n"/>
      <c r="E439" s="20" t="n"/>
      <c r="F439" s="20" t="n"/>
      <c r="G439" s="20" t="n"/>
    </row>
    <row r="440">
      <c r="A440" s="21" t="inlineStr">
        <is>
          <t>Details of cost for 0.6 cum   |   Source: CivilDAR_2019_Vol_1.pdf, page 170</t>
        </is>
      </c>
    </row>
    <row r="441">
      <c r="A441" s="5" t="inlineStr">
        <is>
          <t>Code</t>
        </is>
      </c>
      <c r="B441" s="5" t="inlineStr">
        <is>
          <t>Description</t>
        </is>
      </c>
      <c r="C441" s="5" t="inlineStr">
        <is>
          <t>Unit</t>
        </is>
      </c>
      <c r="D441" s="5" t="inlineStr">
        <is>
          <t>Quantity</t>
        </is>
      </c>
      <c r="E441" s="5" t="inlineStr">
        <is>
          <t>Rate (Rs.)</t>
        </is>
      </c>
      <c r="F441" s="5" t="inlineStr">
        <is>
          <t>Amount (Rs.)</t>
        </is>
      </c>
      <c r="G441" s="5" t="inlineStr">
        <is>
          <t>Note</t>
        </is>
      </c>
    </row>
    <row r="442">
      <c r="A442" s="7" t="inlineStr">
        <is>
          <t>4.1.2</t>
        </is>
      </c>
      <c r="B442" s="11" t="inlineStr">
        <is>
          <t>Rate as per item 4.1.2 - Providing and laying in position cement concrete of specified grade excluding the cost of centering and shu...</t>
        </is>
      </c>
      <c r="C442" s="22" t="inlineStr">
        <is>
          <t>cum</t>
        </is>
      </c>
      <c r="D442" s="23" t="n">
        <v>0.6</v>
      </c>
      <c r="E442" s="24" t="n">
        <v>7210.55</v>
      </c>
      <c r="F442" s="24">
        <f>D442*E442</f>
        <v/>
      </c>
      <c r="G442" s="22" t="n"/>
    </row>
    <row r="443">
      <c r="A443" s="7" t="inlineStr">
        <is>
          <t>10.1</t>
        </is>
      </c>
      <c r="B443" s="11" t="inlineStr">
        <is>
          <t>Rate as per item 10.1 - Structural steel work in single section, fixed with or without connecting plate, including cutting, hoistin...</t>
        </is>
      </c>
      <c r="C443" s="22" t="inlineStr">
        <is>
          <t>kg</t>
        </is>
      </c>
      <c r="D443" s="23" t="n">
        <v>0.1275</v>
      </c>
      <c r="E443" s="24" t="n">
        <v>86.05</v>
      </c>
      <c r="F443" s="24">
        <f>D443*E443</f>
        <v/>
      </c>
      <c r="G443" s="22" t="n"/>
    </row>
    <row r="444">
      <c r="A444" s="7" t="inlineStr">
        <is>
          <t>11.1.2</t>
        </is>
      </c>
      <c r="B444" s="11" t="inlineStr">
        <is>
          <t>Rate as per item 11.1.2 - Brick on edge flooring with bricks of class designation 7.5 on a bed of 12 mm cement mortar, including fill...</t>
        </is>
      </c>
      <c r="C444" s="22" t="inlineStr">
        <is>
          <t>sqm</t>
        </is>
      </c>
      <c r="D444" s="23" t="n">
        <v>0.1</v>
      </c>
      <c r="E444" s="24" t="n">
        <v>829.45</v>
      </c>
      <c r="F444" s="24">
        <f>D444*E444</f>
        <v/>
      </c>
      <c r="G444" s="22" t="n"/>
    </row>
    <row r="445">
      <c r="A445" s="7" t="inlineStr">
        <is>
          <t>11.7</t>
        </is>
      </c>
      <c r="B445" s="11" t="inlineStr">
        <is>
          <t>Rate as per item 11.7 - Cement concrete pavement with 1:2:4 (1 cement : 2 coarse sand : 4 graded stone aggregate 20 mm nominal size...</t>
        </is>
      </c>
      <c r="C445" s="22" t="inlineStr">
        <is>
          <t>cum</t>
        </is>
      </c>
      <c r="D445" s="23" t="n">
        <v>0.0025</v>
      </c>
      <c r="E445" s="24" t="n">
        <v>7335.1</v>
      </c>
      <c r="F445" s="24">
        <f>D445*E445</f>
        <v/>
      </c>
      <c r="G445" s="22" t="n"/>
    </row>
    <row r="446">
      <c r="A446" s="7" t="inlineStr">
        <is>
          <t>3.8</t>
        </is>
      </c>
      <c r="B446" s="11" t="inlineStr">
        <is>
          <t>Rate as per item 3.8 - Cement mortar 1:3 (1 cement : 3 coarse sand)</t>
        </is>
      </c>
      <c r="C446" s="22" t="inlineStr">
        <is>
          <t>cum</t>
        </is>
      </c>
      <c r="D446" s="23" t="n">
        <v>0.051</v>
      </c>
      <c r="E446" s="24" t="n">
        <v>4664.55</v>
      </c>
      <c r="F446" s="24">
        <f>D446*E446</f>
        <v/>
      </c>
      <c r="G446" s="22" t="n"/>
    </row>
    <row r="447">
      <c r="A447" s="22" t="inlineStr">
        <is>
          <t>0115</t>
        </is>
      </c>
      <c r="B447" s="11" t="inlineStr">
        <is>
          <t>Coolie</t>
        </is>
      </c>
      <c r="C447" s="22" t="inlineStr">
        <is>
          <t>day</t>
        </is>
      </c>
      <c r="D447" s="23" t="n">
        <v>0.68</v>
      </c>
      <c r="E447" s="24" t="n">
        <v>558</v>
      </c>
      <c r="F447" s="24">
        <f>D447*E447</f>
        <v/>
      </c>
      <c r="G447" s="22" t="n"/>
    </row>
    <row r="448">
      <c r="A448" s="22" t="inlineStr">
        <is>
          <t>0123</t>
        </is>
      </c>
      <c r="B448" s="11" t="inlineStr">
        <is>
          <t>Mason (brick layer) 1st class</t>
        </is>
      </c>
      <c r="C448" s="22" t="inlineStr">
        <is>
          <t>day</t>
        </is>
      </c>
      <c r="D448" s="23" t="n">
        <v>0.6</v>
      </c>
      <c r="E448" s="24" t="n">
        <v>738</v>
      </c>
      <c r="F448" s="24">
        <f>D448*E448</f>
        <v/>
      </c>
      <c r="G448" s="22" t="n"/>
    </row>
    <row r="449">
      <c r="A449" s="22" t="inlineStr">
        <is>
          <t>0114</t>
        </is>
      </c>
      <c r="B449" s="11" t="inlineStr">
        <is>
          <t>Beldar</t>
        </is>
      </c>
      <c r="C449" s="22" t="inlineStr">
        <is>
          <t>day</t>
        </is>
      </c>
      <c r="D449" s="23" t="n">
        <v>3.6</v>
      </c>
      <c r="E449" s="24" t="n">
        <v>558</v>
      </c>
      <c r="F449" s="24">
        <f>D449*E449</f>
        <v/>
      </c>
      <c r="G449" s="22" t="n"/>
    </row>
    <row r="450">
      <c r="A450" s="8" t="inlineStr">
        <is>
          <t>Calculated W - SUM of the Amount column above</t>
        </is>
      </c>
      <c r="B450" s="9" t="n"/>
      <c r="C450" s="9" t="n"/>
      <c r="D450" s="9" t="n"/>
      <c r="E450" s="9" t="n"/>
      <c r="F450" s="25">
        <f>SUM(F442:F449)</f>
        <v/>
      </c>
      <c r="G450" s="9" t="n"/>
    </row>
    <row r="451">
      <c r="A451" s="26" t="inlineStr">
        <is>
          <t>W as printed in the DAR</t>
        </is>
      </c>
      <c r="B451" s="22" t="n"/>
      <c r="C451" s="22" t="n"/>
      <c r="D451" s="22" t="n"/>
      <c r="E451" s="22" t="n"/>
      <c r="F451" s="27" t="n">
        <v>7507.52</v>
      </c>
      <c r="G451" s="22" t="n"/>
    </row>
    <row r="452">
      <c r="A452" s="26" t="inlineStr">
        <is>
          <t>Difference (calculated - printed)</t>
        </is>
      </c>
      <c r="B452" s="22" t="n"/>
      <c r="C452" s="22" t="n"/>
      <c r="D452" s="22" t="n"/>
      <c r="E452" s="22" t="n"/>
      <c r="F452" s="27">
        <f>F450-F451</f>
        <v/>
      </c>
      <c r="G452" s="22" t="n"/>
    </row>
    <row r="453">
      <c r="A453" s="29" t="inlineStr">
        <is>
          <t>SAY (Rs.) - final DAR rate as printed (fixed value, not computed)</t>
        </is>
      </c>
      <c r="B453" s="30" t="n"/>
      <c r="C453" s="30" t="n"/>
      <c r="D453" s="30" t="n"/>
      <c r="E453" s="30" t="n"/>
      <c r="F453" s="31" t="n">
        <v>14241.05</v>
      </c>
      <c r="G453" s="30" t="n"/>
    </row>
    <row r="455" ht="33" customHeight="1">
      <c r="A455" s="8" t="inlineStr">
        <is>
          <t>4.8</t>
        </is>
      </c>
      <c r="B455" s="17" t="inlineStr">
        <is>
          <t>Providing and fixing up to floor five level precast cement concrete hollow block, including hoisting and setting in position with cement mortar 1:3 (1 cement : 3 coarse sand), cost of required centering, shuttering complete.</t>
        </is>
      </c>
      <c r="C455" s="9" t="n"/>
      <c r="D455" s="9" t="n"/>
      <c r="E455" s="9" t="n"/>
      <c r="F455" s="9" t="n"/>
      <c r="G455" s="9" t="n"/>
    </row>
    <row r="456" ht="18.5" customHeight="1">
      <c r="A456" s="18" t="inlineStr">
        <is>
          <t>4.8.1</t>
        </is>
      </c>
      <c r="B456" s="19" t="inlineStr">
        <is>
          <t>1:1½:3 (1 Cement: 1½ coarse sand (zone-III): 3 graded stone aggregate 20 mm nominal size) .</t>
        </is>
      </c>
      <c r="C456" s="20" t="n"/>
      <c r="D456" s="20" t="n"/>
      <c r="E456" s="20" t="n"/>
      <c r="F456" s="20" t="n"/>
      <c r="G456" s="20" t="n"/>
    </row>
    <row r="457">
      <c r="A457" s="21" t="inlineStr">
        <is>
          <t>Details of cost for 0.05 cum   |   Source: CivilDAR_2019_Vol_1.pdf, page 171</t>
        </is>
      </c>
    </row>
    <row r="458">
      <c r="A458" s="5" t="inlineStr">
        <is>
          <t>Code</t>
        </is>
      </c>
      <c r="B458" s="5" t="inlineStr">
        <is>
          <t>Description</t>
        </is>
      </c>
      <c r="C458" s="5" t="inlineStr">
        <is>
          <t>Unit</t>
        </is>
      </c>
      <c r="D458" s="5" t="inlineStr">
        <is>
          <t>Quantity</t>
        </is>
      </c>
      <c r="E458" s="5" t="inlineStr">
        <is>
          <t>Rate (Rs.)</t>
        </is>
      </c>
      <c r="F458" s="5" t="inlineStr">
        <is>
          <t>Amount (Rs.)</t>
        </is>
      </c>
      <c r="G458" s="5" t="inlineStr">
        <is>
          <t>Note</t>
        </is>
      </c>
    </row>
    <row r="459">
      <c r="A459" s="7" t="inlineStr">
        <is>
          <t>4.1.2</t>
        </is>
      </c>
      <c r="B459" s="11" t="inlineStr">
        <is>
          <t>Rate as per item 4.1.2 - Providing and laying in position cement concrete of specified grade excluding the cost of centering and shu...</t>
        </is>
      </c>
      <c r="C459" s="22" t="inlineStr">
        <is>
          <t>cum</t>
        </is>
      </c>
      <c r="D459" s="23" t="n">
        <v>0.023</v>
      </c>
      <c r="E459" s="24" t="n">
        <v>7210.55</v>
      </c>
      <c r="F459" s="24">
        <f>D459*E459</f>
        <v/>
      </c>
      <c r="G459" s="22" t="n"/>
    </row>
    <row r="460">
      <c r="A460" s="22" t="inlineStr">
        <is>
          <t>9999</t>
        </is>
      </c>
      <c r="B460" s="11" t="inlineStr">
        <is>
          <t>Centering and shuttering including T&amp;P charges, hire charges of steel mould, table vibrator, rammer, bolts nuts &amp; washers etc.</t>
        </is>
      </c>
      <c r="C460" s="22" t="inlineStr">
        <is>
          <t>L.S.</t>
        </is>
      </c>
      <c r="D460" s="23" t="n">
        <v>26.91</v>
      </c>
      <c r="E460" s="24" t="n">
        <v>2</v>
      </c>
      <c r="F460" s="24">
        <f>D460*E460</f>
        <v/>
      </c>
      <c r="G460" s="22" t="n"/>
    </row>
    <row r="461">
      <c r="A461" s="7" t="inlineStr">
        <is>
          <t>3.7</t>
        </is>
      </c>
      <c r="B461" s="11" t="inlineStr">
        <is>
          <t>Rate as per item 3.7 - Cement mortar 1:2 (1 cement : 2 coarse sand)</t>
        </is>
      </c>
      <c r="C461" s="22" t="inlineStr">
        <is>
          <t>cum</t>
        </is>
      </c>
      <c r="D461" s="23" t="n">
        <v>0.002</v>
      </c>
      <c r="E461" s="24" t="n">
        <v>5345.55</v>
      </c>
      <c r="F461" s="24">
        <f>D461*E461</f>
        <v/>
      </c>
      <c r="G461" s="22" t="n"/>
    </row>
    <row r="462">
      <c r="A462" s="22" t="inlineStr">
        <is>
          <t>0115</t>
        </is>
      </c>
      <c r="B462" s="11" t="inlineStr">
        <is>
          <t>Coolie</t>
        </is>
      </c>
      <c r="C462" s="22" t="inlineStr">
        <is>
          <t>day</t>
        </is>
      </c>
      <c r="D462" s="23" t="n">
        <v>0.056</v>
      </c>
      <c r="E462" s="24" t="n">
        <v>558</v>
      </c>
      <c r="F462" s="24">
        <f>D462*E462</f>
        <v/>
      </c>
      <c r="G462" s="22" t="n"/>
    </row>
    <row r="463">
      <c r="A463" s="22" t="inlineStr">
        <is>
          <t>0123</t>
        </is>
      </c>
      <c r="B463" s="11" t="inlineStr">
        <is>
          <t>Mason (brick layer) 1st class</t>
        </is>
      </c>
      <c r="C463" s="22" t="inlineStr">
        <is>
          <t>day</t>
        </is>
      </c>
      <c r="D463" s="23" t="n">
        <v>0.05</v>
      </c>
      <c r="E463" s="24" t="n">
        <v>738</v>
      </c>
      <c r="F463" s="24">
        <f>D463*E463</f>
        <v/>
      </c>
      <c r="G463" s="22" t="n"/>
    </row>
    <row r="464">
      <c r="A464" s="22" t="inlineStr">
        <is>
          <t>0114</t>
        </is>
      </c>
      <c r="B464" s="11" t="inlineStr">
        <is>
          <t>Beldar</t>
        </is>
      </c>
      <c r="C464" s="22" t="inlineStr">
        <is>
          <t>day</t>
        </is>
      </c>
      <c r="D464" s="23" t="n">
        <v>0.3</v>
      </c>
      <c r="E464" s="24" t="n">
        <v>558</v>
      </c>
      <c r="F464" s="24">
        <f>D464*E464</f>
        <v/>
      </c>
      <c r="G464" s="22" t="n"/>
    </row>
    <row r="465">
      <c r="A465" s="8" t="inlineStr">
        <is>
          <t>Calculated W - SUM of the Amount column above</t>
        </is>
      </c>
      <c r="B465" s="9" t="n"/>
      <c r="C465" s="9" t="n"/>
      <c r="D465" s="9" t="n"/>
      <c r="E465" s="9" t="n"/>
      <c r="F465" s="25">
        <f>SUM(F459:F464)</f>
        <v/>
      </c>
      <c r="G465" s="9" t="n"/>
    </row>
    <row r="466">
      <c r="A466" s="26" t="inlineStr">
        <is>
          <t>W as printed in the DAR</t>
        </is>
      </c>
      <c r="B466" s="22" t="n"/>
      <c r="C466" s="22" t="n"/>
      <c r="D466" s="22" t="n"/>
      <c r="E466" s="22" t="n"/>
      <c r="F466" s="27" t="n">
        <v>465.9</v>
      </c>
      <c r="G466" s="22" t="n"/>
    </row>
    <row r="467">
      <c r="A467" s="26" t="inlineStr">
        <is>
          <t>Difference (calculated - printed)</t>
        </is>
      </c>
      <c r="B467" s="22" t="n"/>
      <c r="C467" s="22" t="n"/>
      <c r="D467" s="22" t="n"/>
      <c r="E467" s="22" t="n"/>
      <c r="F467" s="27">
        <f>F465-F466</f>
        <v/>
      </c>
      <c r="G467" s="22" t="n"/>
    </row>
    <row r="468">
      <c r="A468" s="29" t="inlineStr">
        <is>
          <t>SAY (Rs.) - final DAR rate as printed (fixed value, not computed)</t>
        </is>
      </c>
      <c r="B468" s="30" t="n"/>
      <c r="C468" s="30" t="n"/>
      <c r="D468" s="30" t="n"/>
      <c r="E468" s="30" t="n"/>
      <c r="F468" s="31" t="n">
        <v>11346.05</v>
      </c>
      <c r="G468" s="30" t="n"/>
    </row>
    <row r="470" ht="62" customHeight="1">
      <c r="A470" s="18" t="inlineStr">
        <is>
          <t>4.9</t>
        </is>
      </c>
      <c r="B470" s="19" t="inlineStr">
        <is>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 6 graded stone aggregate 20 mm nominal size), including necessary excavation of size 250x250x450mm deep for the same in bitumen/ concrete pavement at specified spacing.</t>
        </is>
      </c>
      <c r="C470" s="20" t="n"/>
      <c r="D470" s="20" t="n"/>
      <c r="E470" s="20" t="n"/>
      <c r="F470" s="20" t="n"/>
      <c r="G470" s="20" t="n"/>
    </row>
    <row r="471">
      <c r="A471" s="21" t="inlineStr">
        <is>
          <t>Details of cost for 0.007 cum   |   Source: CivilDAR_2019_Vol_1.pdf, page 172</t>
        </is>
      </c>
    </row>
    <row r="472">
      <c r="A472" s="5" t="inlineStr">
        <is>
          <t>Code</t>
        </is>
      </c>
      <c r="B472" s="5" t="inlineStr">
        <is>
          <t>Description</t>
        </is>
      </c>
      <c r="C472" s="5" t="inlineStr">
        <is>
          <t>Unit</t>
        </is>
      </c>
      <c r="D472" s="5" t="inlineStr">
        <is>
          <t>Quantity</t>
        </is>
      </c>
      <c r="E472" s="5" t="inlineStr">
        <is>
          <t>Rate (Rs.)</t>
        </is>
      </c>
      <c r="F472" s="5" t="inlineStr">
        <is>
          <t>Amount (Rs.)</t>
        </is>
      </c>
      <c r="G472" s="5" t="inlineStr">
        <is>
          <t>Note</t>
        </is>
      </c>
    </row>
    <row r="473">
      <c r="A473" s="7" t="inlineStr">
        <is>
          <t>5.1.3</t>
        </is>
      </c>
      <c r="B473" s="11" t="inlineStr">
        <is>
          <t>Rate as per item 5.1.3 - Providing and laying in position specified grade of reinforced cement concrete, excluding the cost of cente...</t>
        </is>
      </c>
      <c r="C473" s="22" t="inlineStr">
        <is>
          <t>cum</t>
        </is>
      </c>
      <c r="D473" s="23" t="n">
        <v>0.007</v>
      </c>
      <c r="E473" s="24" t="n">
        <v>7296.35</v>
      </c>
      <c r="F473" s="24">
        <f>D473*E473</f>
        <v/>
      </c>
      <c r="G473" s="22" t="n"/>
    </row>
    <row r="474">
      <c r="A474" s="7" t="inlineStr">
        <is>
          <t>5.9.1</t>
        </is>
      </c>
      <c r="B474" s="11" t="inlineStr">
        <is>
          <t>Rate as per item 5.9.1 - Centering and shuttering including strutting, propping etc. and removal of form for - Foundations, footings...</t>
        </is>
      </c>
      <c r="C474" s="22" t="inlineStr">
        <is>
          <t>sqm</t>
        </is>
      </c>
      <c r="D474" s="23" t="n">
        <v>0.24</v>
      </c>
      <c r="E474" s="24" t="n">
        <v>284.85</v>
      </c>
      <c r="F474" s="24">
        <f>D474*E474</f>
        <v/>
      </c>
      <c r="G474" s="22" t="n"/>
    </row>
    <row r="475">
      <c r="A475" s="7" t="inlineStr">
        <is>
          <t>10.1</t>
        </is>
      </c>
      <c r="B475" s="11" t="inlineStr">
        <is>
          <t>Rate as per item 10.1 - Structural steel work in single section, fixed with or without connecting plate, including cutting, hoistin...</t>
        </is>
      </c>
      <c r="C475" s="22" t="inlineStr">
        <is>
          <t>kg</t>
        </is>
      </c>
      <c r="D475" s="23" t="n">
        <v>3.68</v>
      </c>
      <c r="E475" s="24" t="n">
        <v>86.05</v>
      </c>
      <c r="F475" s="24">
        <f>D475*E475</f>
        <v/>
      </c>
      <c r="G475" s="22" t="n"/>
    </row>
    <row r="476">
      <c r="A476" s="7" t="inlineStr">
        <is>
          <t>2.8.1</t>
        </is>
      </c>
      <c r="B476" s="11" t="inlineStr">
        <is>
          <t>Rate as per item 2.8.1 - Earth work in excavation by mechanical means (Hydraulic excavator) / manual means in foundation trenches or...</t>
        </is>
      </c>
      <c r="C476" s="22" t="inlineStr">
        <is>
          <t>cum</t>
        </is>
      </c>
      <c r="D476" s="23" t="n">
        <v>0.03</v>
      </c>
      <c r="E476" s="24" t="n">
        <v>252.3</v>
      </c>
      <c r="F476" s="24">
        <f>D476*E476</f>
        <v/>
      </c>
      <c r="G476" s="22" t="n"/>
    </row>
    <row r="477">
      <c r="A477" s="7" t="inlineStr">
        <is>
          <t>4.1.5</t>
        </is>
      </c>
      <c r="B477" s="11" t="inlineStr">
        <is>
          <t>Rate as per item 4.1.5 - Providing and laying in position cement concrete of specified grade excluding the cost of centering and shu...</t>
        </is>
      </c>
      <c r="C477" s="22" t="inlineStr">
        <is>
          <t>cum</t>
        </is>
      </c>
      <c r="D477" s="23" t="n">
        <v>0.03</v>
      </c>
      <c r="E477" s="24" t="n">
        <v>6259.1</v>
      </c>
      <c r="F477" s="24">
        <f>D477*E477</f>
        <v/>
      </c>
      <c r="G477" s="22" t="n"/>
    </row>
    <row r="478">
      <c r="A478" s="7" t="inlineStr">
        <is>
          <t>5.23</t>
        </is>
      </c>
      <c r="B478" s="11" t="inlineStr">
        <is>
          <t>Rate as per item 5.23 - Smooth finishing of the exposed surface of R.C.C. work with 6 mm thick cement mortar 1:3 (1 Cement : 3 fine...</t>
        </is>
      </c>
      <c r="C478" s="22" t="inlineStr">
        <is>
          <t>sqm</t>
        </is>
      </c>
      <c r="D478" s="23" t="n">
        <v>0.25</v>
      </c>
      <c r="E478" s="24" t="n">
        <v>227.35</v>
      </c>
      <c r="F478" s="24">
        <f>D478*E478</f>
        <v/>
      </c>
      <c r="G478" s="22" t="n"/>
    </row>
    <row r="479">
      <c r="A479" s="22" t="inlineStr">
        <is>
          <t>9988</t>
        </is>
      </c>
      <c r="B479" s="11" t="inlineStr">
        <is>
          <t>Carriage and fixing charges</t>
        </is>
      </c>
      <c r="C479" s="22" t="inlineStr">
        <is>
          <t>L.S.</t>
        </is>
      </c>
      <c r="D479" s="23" t="n">
        <v>13</v>
      </c>
      <c r="E479" s="24" t="n">
        <v>2</v>
      </c>
      <c r="F479" s="24">
        <f>D479*E479</f>
        <v/>
      </c>
      <c r="G479" s="22" t="n"/>
    </row>
    <row r="480">
      <c r="A480" s="8" t="inlineStr">
        <is>
          <t>Calculated W - SUM of the Amount column above</t>
        </is>
      </c>
      <c r="B480" s="9" t="n"/>
      <c r="C480" s="9" t="n"/>
      <c r="D480" s="9" t="n"/>
      <c r="E480" s="9" t="n"/>
      <c r="F480" s="25">
        <f>SUM(F473:F479)</f>
        <v/>
      </c>
      <c r="G480" s="9" t="n"/>
    </row>
    <row r="481">
      <c r="A481" s="26" t="inlineStr">
        <is>
          <t>W as printed in the DAR</t>
        </is>
      </c>
      <c r="B481" s="22" t="n"/>
      <c r="C481" s="22" t="n"/>
      <c r="D481" s="22" t="n"/>
      <c r="E481" s="22" t="n"/>
      <c r="F481" s="27" t="n">
        <v>714.28</v>
      </c>
      <c r="G481" s="22" t="n"/>
    </row>
    <row r="482">
      <c r="A482" s="26" t="inlineStr">
        <is>
          <t>Difference (calculated - printed)</t>
        </is>
      </c>
      <c r="B482" s="22" t="n"/>
      <c r="C482" s="22" t="n"/>
      <c r="D482" s="22" t="n"/>
      <c r="E482" s="22" t="n"/>
      <c r="F482" s="27">
        <f>F480-F481</f>
        <v/>
      </c>
      <c r="G482" s="22" t="n"/>
    </row>
    <row r="483">
      <c r="A483" s="29" t="inlineStr">
        <is>
          <t>SAY (Rs.) - final DAR rate as printed (fixed value, not computed)</t>
        </is>
      </c>
      <c r="B483" s="30" t="n"/>
      <c r="C483" s="30" t="n"/>
      <c r="D483" s="30" t="n"/>
      <c r="E483" s="30" t="n"/>
      <c r="F483" s="31" t="n">
        <v>723.05</v>
      </c>
      <c r="G483" s="30" t="n"/>
    </row>
    <row r="485" ht="33" customHeight="1">
      <c r="A485" s="18" t="inlineStr">
        <is>
          <t>4.10</t>
        </is>
      </c>
      <c r="B485" s="19" t="inlineStr">
        <is>
          <t>Providing and laying damp-proof course 40mm thick with cement concrete 1:2:4 (1 cement : 2 coarse sand (zone-III): 4 graded stone aggregate 12.5mm nominal size)</t>
        </is>
      </c>
      <c r="C485" s="20" t="n"/>
      <c r="D485" s="20" t="n"/>
      <c r="E485" s="20" t="n"/>
      <c r="F485" s="20" t="n"/>
      <c r="G485" s="20" t="n"/>
    </row>
    <row r="486">
      <c r="A486" s="21" t="inlineStr">
        <is>
          <t>Details of cost for 10 sqm   |   Source: CivilDAR_2019_Vol_1.pdf, page 173</t>
        </is>
      </c>
    </row>
    <row r="487">
      <c r="A487" s="5" t="inlineStr">
        <is>
          <t>Code</t>
        </is>
      </c>
      <c r="B487" s="5" t="inlineStr">
        <is>
          <t>Description</t>
        </is>
      </c>
      <c r="C487" s="5" t="inlineStr">
        <is>
          <t>Unit</t>
        </is>
      </c>
      <c r="D487" s="5" t="inlineStr">
        <is>
          <t>Quantity</t>
        </is>
      </c>
      <c r="E487" s="5" t="inlineStr">
        <is>
          <t>Rate (Rs.)</t>
        </is>
      </c>
      <c r="F487" s="5" t="inlineStr">
        <is>
          <t>Amount (Rs.)</t>
        </is>
      </c>
      <c r="G487" s="5" t="inlineStr">
        <is>
          <t>Note</t>
        </is>
      </c>
    </row>
    <row r="488">
      <c r="A488" s="7" t="inlineStr">
        <is>
          <t>4.1.3</t>
        </is>
      </c>
      <c r="B488" s="11" t="inlineStr">
        <is>
          <t>Rate as per item 4.1.3 - Providing and laying in position cement concrete of specified grade excluding the cost of centering and shu...</t>
        </is>
      </c>
      <c r="C488" s="22" t="inlineStr">
        <is>
          <t>cum</t>
        </is>
      </c>
      <c r="D488" s="23" t="n">
        <v>0.4</v>
      </c>
      <c r="E488" s="24" t="n">
        <v>6788.6</v>
      </c>
      <c r="F488" s="24">
        <f>D488*E488</f>
        <v/>
      </c>
      <c r="G488" s="22" t="n"/>
    </row>
    <row r="489">
      <c r="A489" s="22" t="inlineStr">
        <is>
          <t>0295</t>
        </is>
      </c>
      <c r="B489" s="11" t="inlineStr">
        <is>
          <t>Stone Aggregate (Single size) : 20 mm nominal size</t>
        </is>
      </c>
      <c r="C489" s="22" t="inlineStr">
        <is>
          <t>cum</t>
        </is>
      </c>
      <c r="D489" s="23" t="n">
        <v>-0.67</v>
      </c>
      <c r="E489" s="24" t="n">
        <v>1350</v>
      </c>
      <c r="F489" s="24">
        <f>D489*E489</f>
        <v/>
      </c>
      <c r="G489" s="22" t="n"/>
    </row>
    <row r="490">
      <c r="A490" s="22" t="inlineStr">
        <is>
          <t>0296</t>
        </is>
      </c>
      <c r="B490" s="11" t="inlineStr">
        <is>
          <t>Stone Aggregate (Single size) : 12.5 mm nominal size</t>
        </is>
      </c>
      <c r="C490" s="22" t="inlineStr">
        <is>
          <t>cum</t>
        </is>
      </c>
      <c r="D490" s="23" t="n">
        <v>0.67</v>
      </c>
      <c r="E490" s="24" t="n">
        <v>1350</v>
      </c>
      <c r="F490" s="24">
        <f>D490*E490</f>
        <v/>
      </c>
      <c r="G490" s="22" t="n"/>
    </row>
    <row r="491">
      <c r="A491" s="22" t="inlineStr">
        <is>
          <t>0123</t>
        </is>
      </c>
      <c r="B491" s="11" t="inlineStr">
        <is>
          <t>Mason (brick layer) 1st class</t>
        </is>
      </c>
      <c r="C491" s="22" t="inlineStr">
        <is>
          <t>day</t>
        </is>
      </c>
      <c r="D491" s="23" t="n">
        <v>0.4</v>
      </c>
      <c r="E491" s="24" t="n">
        <v>738</v>
      </c>
      <c r="F491" s="24">
        <f>D491*E491</f>
        <v/>
      </c>
      <c r="G491" s="22" t="n"/>
    </row>
    <row r="492">
      <c r="A492" s="22" t="inlineStr">
        <is>
          <t>0124</t>
        </is>
      </c>
      <c r="B492" s="11" t="inlineStr">
        <is>
          <t>Mason (brick layer) 2nd class</t>
        </is>
      </c>
      <c r="C492" s="22" t="inlineStr">
        <is>
          <t>day</t>
        </is>
      </c>
      <c r="D492" s="23" t="n">
        <v>0.4</v>
      </c>
      <c r="E492" s="24" t="n">
        <v>679</v>
      </c>
      <c r="F492" s="24">
        <f>D492*E492</f>
        <v/>
      </c>
      <c r="G492" s="22" t="n"/>
    </row>
    <row r="493">
      <c r="A493" s="22" t="inlineStr">
        <is>
          <t>9999</t>
        </is>
      </c>
      <c r="B493" s="11" t="inlineStr">
        <is>
          <t>Sundries (Form work etc.)</t>
        </is>
      </c>
      <c r="C493" s="22" t="inlineStr">
        <is>
          <t>L.S.</t>
        </is>
      </c>
      <c r="D493" s="23" t="n">
        <v>1.95</v>
      </c>
      <c r="E493" s="24" t="n">
        <v>2</v>
      </c>
      <c r="F493" s="24">
        <f>D493*E493</f>
        <v/>
      </c>
      <c r="G493" s="22" t="n"/>
    </row>
    <row r="494">
      <c r="A494" s="8" t="inlineStr">
        <is>
          <t>Calculated W - SUM of the Amount column above</t>
        </is>
      </c>
      <c r="B494" s="9" t="n"/>
      <c r="C494" s="9" t="n"/>
      <c r="D494" s="9" t="n"/>
      <c r="E494" s="9" t="n"/>
      <c r="F494" s="25">
        <f>SUM(F488:F493)</f>
        <v/>
      </c>
      <c r="G494" s="9" t="n"/>
    </row>
    <row r="495">
      <c r="A495" s="26" t="inlineStr">
        <is>
          <t>W as printed in the DAR</t>
        </is>
      </c>
      <c r="B495" s="22" t="n"/>
      <c r="C495" s="22" t="n"/>
      <c r="D495" s="22" t="n"/>
      <c r="E495" s="22" t="n"/>
      <c r="F495" s="27" t="n">
        <v>3286.14</v>
      </c>
      <c r="G495" s="22" t="n"/>
    </row>
    <row r="496">
      <c r="A496" s="26" t="inlineStr">
        <is>
          <t>Difference (calculated - printed)</t>
        </is>
      </c>
      <c r="B496" s="22" t="n"/>
      <c r="C496" s="22" t="n"/>
      <c r="D496" s="22" t="n"/>
      <c r="E496" s="22" t="n"/>
      <c r="F496" s="27">
        <f>F494-F495</f>
        <v/>
      </c>
      <c r="G496" s="22" t="n"/>
    </row>
    <row r="497">
      <c r="A497" s="29" t="inlineStr">
        <is>
          <t>SAY (Rs.) - final DAR rate as printed (fixed value, not computed)</t>
        </is>
      </c>
      <c r="B497" s="30" t="n"/>
      <c r="C497" s="30" t="n"/>
      <c r="D497" s="30" t="n"/>
      <c r="E497" s="30" t="n"/>
      <c r="F497" s="31" t="n">
        <v>347.9</v>
      </c>
      <c r="G497" s="30" t="n"/>
    </row>
    <row r="499" ht="33" customHeight="1">
      <c r="A499" s="18" t="inlineStr">
        <is>
          <t>4.11</t>
        </is>
      </c>
      <c r="B499" s="19" t="inlineStr">
        <is>
          <t>Providing and laying damp-proof course 50mm thick with cement concrete 1:2:4 (1 cement : 2 coarse sand(zone-III) : 4 graded stone aggregate 20mm nominal size).</t>
        </is>
      </c>
      <c r="C499" s="20" t="n"/>
      <c r="D499" s="20" t="n"/>
      <c r="E499" s="20" t="n"/>
      <c r="F499" s="20" t="n"/>
      <c r="G499" s="20" t="n"/>
    </row>
    <row r="500">
      <c r="A500" s="21" t="inlineStr">
        <is>
          <t>Details of cost for 10 sqm   |   Source: CivilDAR_2019_Vol_1.pdf, page 174</t>
        </is>
      </c>
    </row>
    <row r="501">
      <c r="A501" s="5" t="inlineStr">
        <is>
          <t>Code</t>
        </is>
      </c>
      <c r="B501" s="5" t="inlineStr">
        <is>
          <t>Description</t>
        </is>
      </c>
      <c r="C501" s="5" t="inlineStr">
        <is>
          <t>Unit</t>
        </is>
      </c>
      <c r="D501" s="5" t="inlineStr">
        <is>
          <t>Quantity</t>
        </is>
      </c>
      <c r="E501" s="5" t="inlineStr">
        <is>
          <t>Rate (Rs.)</t>
        </is>
      </c>
      <c r="F501" s="5" t="inlineStr">
        <is>
          <t>Amount (Rs.)</t>
        </is>
      </c>
      <c r="G501" s="5" t="inlineStr">
        <is>
          <t>Note</t>
        </is>
      </c>
    </row>
    <row r="502">
      <c r="A502" s="7" t="inlineStr">
        <is>
          <t>4.1.3</t>
        </is>
      </c>
      <c r="B502" s="11" t="inlineStr">
        <is>
          <t>Rate as per item 4.1.3 - Providing and laying in position cement concrete of specified grade excluding the cost of centering and shu...</t>
        </is>
      </c>
      <c r="C502" s="22" t="inlineStr">
        <is>
          <t>cum</t>
        </is>
      </c>
      <c r="D502" s="23" t="n">
        <v>0.5</v>
      </c>
      <c r="E502" s="24" t="n">
        <v>6788.6</v>
      </c>
      <c r="F502" s="24">
        <f>D502*E502</f>
        <v/>
      </c>
      <c r="G502" s="22" t="n"/>
    </row>
    <row r="503">
      <c r="A503" s="22" t="inlineStr">
        <is>
          <t>0123</t>
        </is>
      </c>
      <c r="B503" s="11" t="inlineStr">
        <is>
          <t>Mason (brick layer) 1st class</t>
        </is>
      </c>
      <c r="C503" s="22" t="inlineStr">
        <is>
          <t>day</t>
        </is>
      </c>
      <c r="D503" s="23" t="n">
        <v>0.4</v>
      </c>
      <c r="E503" s="24" t="n">
        <v>738</v>
      </c>
      <c r="F503" s="24">
        <f>D503*E503</f>
        <v/>
      </c>
      <c r="G503" s="22" t="n"/>
    </row>
    <row r="504">
      <c r="A504" s="22" t="inlineStr">
        <is>
          <t>0124</t>
        </is>
      </c>
      <c r="B504" s="11" t="inlineStr">
        <is>
          <t>Mason (brick layer) 2nd class</t>
        </is>
      </c>
      <c r="C504" s="22" t="inlineStr">
        <is>
          <t>day</t>
        </is>
      </c>
      <c r="D504" s="23" t="n">
        <v>0.4</v>
      </c>
      <c r="E504" s="24" t="n">
        <v>679</v>
      </c>
      <c r="F504" s="24">
        <f>D504*E504</f>
        <v/>
      </c>
      <c r="G504" s="22" t="n"/>
    </row>
    <row r="505">
      <c r="A505" s="22" t="inlineStr">
        <is>
          <t>9999</t>
        </is>
      </c>
      <c r="B505" s="11" t="inlineStr">
        <is>
          <t>Sundries (Form work etc.)</t>
        </is>
      </c>
      <c r="C505" s="22" t="inlineStr">
        <is>
          <t>L.S.</t>
        </is>
      </c>
      <c r="D505" s="23" t="n">
        <v>13.52</v>
      </c>
      <c r="E505" s="24" t="n">
        <v>2</v>
      </c>
      <c r="F505" s="24">
        <f>D505*E505</f>
        <v/>
      </c>
      <c r="G505" s="22" t="n"/>
    </row>
    <row r="506">
      <c r="A506" s="8" t="inlineStr">
        <is>
          <t>Calculated W - SUM of the Amount column above</t>
        </is>
      </c>
      <c r="B506" s="9" t="n"/>
      <c r="C506" s="9" t="n"/>
      <c r="D506" s="9" t="n"/>
      <c r="E506" s="9" t="n"/>
      <c r="F506" s="25">
        <f>SUM(F502:F505)</f>
        <v/>
      </c>
      <c r="G506" s="9" t="n"/>
    </row>
    <row r="507">
      <c r="A507" s="26" t="inlineStr">
        <is>
          <t>W as printed in the DAR</t>
        </is>
      </c>
      <c r="B507" s="22" t="n"/>
      <c r="C507" s="22" t="n"/>
      <c r="D507" s="22" t="n"/>
      <c r="E507" s="22" t="n"/>
      <c r="F507" s="27" t="n">
        <v>3988.14</v>
      </c>
      <c r="G507" s="22" t="n"/>
    </row>
    <row r="508">
      <c r="A508" s="26" t="inlineStr">
        <is>
          <t>Difference (calculated - printed)</t>
        </is>
      </c>
      <c r="B508" s="22" t="n"/>
      <c r="C508" s="22" t="n"/>
      <c r="D508" s="22" t="n"/>
      <c r="E508" s="22" t="n"/>
      <c r="F508" s="27">
        <f>F506-F507</f>
        <v/>
      </c>
      <c r="G508" s="22" t="n"/>
    </row>
    <row r="509">
      <c r="A509" s="29" t="inlineStr">
        <is>
          <t>SAY (Rs.) - final DAR rate as printed (fixed value, not computed)</t>
        </is>
      </c>
      <c r="B509" s="30" t="n"/>
      <c r="C509" s="30" t="n"/>
      <c r="D509" s="30" t="n"/>
      <c r="E509" s="30" t="n"/>
      <c r="F509" s="31" t="n">
        <v>418.9</v>
      </c>
      <c r="G509" s="30" t="n"/>
    </row>
    <row r="511" ht="33" customHeight="1">
      <c r="A511" s="18" t="inlineStr">
        <is>
          <t>4.12</t>
        </is>
      </c>
      <c r="B511" s="19" t="inlineStr">
        <is>
          <t>Extra for providing and mixing water proofing material in cement concrete work in doses by weight of cement as per manufacturer's specification.</t>
        </is>
      </c>
      <c r="C511" s="20" t="n"/>
      <c r="D511" s="20" t="n"/>
      <c r="E511" s="20" t="n"/>
      <c r="F511" s="20" t="n"/>
      <c r="G511" s="20" t="n"/>
    </row>
    <row r="512">
      <c r="A512" s="21" t="inlineStr">
        <is>
          <t>Details of cost for 1 nos   |   Source: CivilDAR_2019_Vol_1.pdf, page 175</t>
        </is>
      </c>
    </row>
    <row r="513">
      <c r="A513" s="5" t="inlineStr">
        <is>
          <t>Code</t>
        </is>
      </c>
      <c r="B513" s="5" t="inlineStr">
        <is>
          <t>Description</t>
        </is>
      </c>
      <c r="C513" s="5" t="inlineStr">
        <is>
          <t>Unit</t>
        </is>
      </c>
      <c r="D513" s="5" t="inlineStr">
        <is>
          <t>Quantity</t>
        </is>
      </c>
      <c r="E513" s="5" t="inlineStr">
        <is>
          <t>Rate (Rs.)</t>
        </is>
      </c>
      <c r="F513" s="5" t="inlineStr">
        <is>
          <t>Amount (Rs.)</t>
        </is>
      </c>
      <c r="G513" s="5" t="inlineStr">
        <is>
          <t>Note</t>
        </is>
      </c>
    </row>
    <row r="514">
      <c r="A514" s="22" t="inlineStr">
        <is>
          <t>1213</t>
        </is>
      </c>
      <c r="B514" s="11" t="inlineStr">
        <is>
          <t>Water proofing materials</t>
        </is>
      </c>
      <c r="C514" s="22" t="inlineStr">
        <is>
          <t>kilogram</t>
        </is>
      </c>
      <c r="D514" s="23" t="n">
        <v>1</v>
      </c>
      <c r="E514" s="24" t="n">
        <v>35</v>
      </c>
      <c r="F514" s="24">
        <f>D514*E514</f>
        <v/>
      </c>
      <c r="G514" s="22" t="n"/>
    </row>
    <row r="515">
      <c r="A515" s="22" t="inlineStr">
        <is>
          <t>9988</t>
        </is>
      </c>
      <c r="B515" s="11" t="inlineStr">
        <is>
          <t>Carriage of water proofing material and labour for mixing etc.</t>
        </is>
      </c>
      <c r="C515" s="22" t="inlineStr">
        <is>
          <t>L.S.</t>
        </is>
      </c>
      <c r="D515" s="23" t="n">
        <v>3.64</v>
      </c>
      <c r="E515" s="24" t="n">
        <v>2</v>
      </c>
      <c r="F515" s="24">
        <f>D515*E515</f>
        <v/>
      </c>
      <c r="G515" s="22" t="n"/>
    </row>
    <row r="516">
      <c r="A516" s="8" t="inlineStr">
        <is>
          <t>Calculated W - SUM of the Amount column above</t>
        </is>
      </c>
      <c r="B516" s="9" t="n"/>
      <c r="C516" s="9" t="n"/>
      <c r="D516" s="9" t="n"/>
      <c r="E516" s="9" t="n"/>
      <c r="F516" s="25">
        <f>SUM(F514:F515)</f>
        <v/>
      </c>
      <c r="G516" s="9" t="n"/>
    </row>
    <row r="517">
      <c r="A517" s="26" t="inlineStr">
        <is>
          <t>W as printed in the DAR</t>
        </is>
      </c>
      <c r="B517" s="22" t="n"/>
      <c r="C517" s="22" t="n"/>
      <c r="D517" s="22" t="n"/>
      <c r="E517" s="22" t="n"/>
      <c r="F517" s="27" t="n">
        <v>42.28</v>
      </c>
      <c r="G517" s="22" t="n"/>
    </row>
    <row r="518">
      <c r="A518" s="26" t="inlineStr">
        <is>
          <t>Difference (calculated - printed)</t>
        </is>
      </c>
      <c r="B518" s="22" t="n"/>
      <c r="C518" s="22" t="n"/>
      <c r="D518" s="22" t="n"/>
      <c r="E518" s="22" t="n"/>
      <c r="F518" s="27">
        <f>F516-F517</f>
        <v/>
      </c>
      <c r="G518" s="22" t="n"/>
    </row>
    <row r="519">
      <c r="A519" s="29" t="inlineStr">
        <is>
          <t>SAY (Rs.) - final DAR rate as printed (fixed value, not computed)</t>
        </is>
      </c>
      <c r="B519" s="30" t="n"/>
      <c r="C519" s="30" t="n"/>
      <c r="D519" s="30" t="n"/>
      <c r="E519" s="30" t="n"/>
      <c r="F519" s="31" t="n">
        <v>56.55</v>
      </c>
      <c r="G519" s="30" t="n"/>
    </row>
    <row r="521" ht="33" customHeight="1">
      <c r="A521" s="18" t="inlineStr">
        <is>
          <t>4.13</t>
        </is>
      </c>
      <c r="B521" s="19" t="inlineStr">
        <is>
          <t>Providing &amp; applying a coat of residual petroleum bitumen of grade of VG-10 of approved quality using 1.7kg per square metre on damp proof course after cleaning the surface with brushes and finally with apiece of cloth lightly soaked in kerosene oil.</t>
        </is>
      </c>
      <c r="C521" s="20" t="n"/>
      <c r="D521" s="20" t="n"/>
      <c r="E521" s="20" t="n"/>
      <c r="F521" s="20" t="n"/>
      <c r="G521" s="20" t="n"/>
    </row>
    <row r="522">
      <c r="A522" s="21" t="inlineStr">
        <is>
          <t>Details of cost for 10 sqm   |   Source: CivilDAR_2019_Vol_1.pdf, page 175</t>
        </is>
      </c>
    </row>
    <row r="523">
      <c r="A523" s="5" t="inlineStr">
        <is>
          <t>Code</t>
        </is>
      </c>
      <c r="B523" s="5" t="inlineStr">
        <is>
          <t>Description</t>
        </is>
      </c>
      <c r="C523" s="5" t="inlineStr">
        <is>
          <t>Unit</t>
        </is>
      </c>
      <c r="D523" s="5" t="inlineStr">
        <is>
          <t>Quantity</t>
        </is>
      </c>
      <c r="E523" s="5" t="inlineStr">
        <is>
          <t>Rate (Rs.)</t>
        </is>
      </c>
      <c r="F523" s="5" t="inlineStr">
        <is>
          <t>Amount (Rs.)</t>
        </is>
      </c>
      <c r="G523" s="5" t="inlineStr">
        <is>
          <t>Note</t>
        </is>
      </c>
    </row>
    <row r="524">
      <c r="A524" s="22" t="inlineStr">
        <is>
          <t>0309</t>
        </is>
      </c>
      <c r="B524" s="11" t="inlineStr">
        <is>
          <t>Paving bitumen VG-10 of approved quality</t>
        </is>
      </c>
      <c r="C524" s="22" t="inlineStr">
        <is>
          <t>tonne</t>
        </is>
      </c>
      <c r="D524" s="23" t="n">
        <v>0.017</v>
      </c>
      <c r="E524" s="24" t="n">
        <v>25614</v>
      </c>
      <c r="F524" s="24">
        <f>D524*E524</f>
        <v/>
      </c>
      <c r="G524" s="22" t="n"/>
    </row>
    <row r="525">
      <c r="A525" s="22" t="inlineStr">
        <is>
          <t>0771</t>
        </is>
      </c>
      <c r="B525" s="11" t="inlineStr">
        <is>
          <t>Kerosene oil</t>
        </is>
      </c>
      <c r="C525" s="22" t="inlineStr">
        <is>
          <t>litre</t>
        </is>
      </c>
      <c r="D525" s="23" t="n">
        <v>1.23</v>
      </c>
      <c r="E525" s="24" t="n">
        <v>50</v>
      </c>
      <c r="F525" s="24">
        <f>D525*E525</f>
        <v/>
      </c>
      <c r="G525" s="22" t="n"/>
    </row>
    <row r="526">
      <c r="A526" s="22" t="inlineStr">
        <is>
          <t>0370</t>
        </is>
      </c>
      <c r="B526" s="11" t="inlineStr">
        <is>
          <t>Coal (steam)</t>
        </is>
      </c>
      <c r="C526" s="22" t="inlineStr">
        <is>
          <t>quintal</t>
        </is>
      </c>
      <c r="D526" s="23" t="n">
        <v>0.035</v>
      </c>
      <c r="E526" s="24" t="n">
        <v>440</v>
      </c>
      <c r="F526" s="24">
        <f>D526*E526</f>
        <v/>
      </c>
      <c r="G526" s="22" t="n"/>
    </row>
    <row r="527">
      <c r="A527" s="22" t="inlineStr">
        <is>
          <t>2211</t>
        </is>
      </c>
      <c r="B527" s="11" t="inlineStr">
        <is>
          <t>Carriage of Tar bitumen</t>
        </is>
      </c>
      <c r="C527" s="22" t="inlineStr">
        <is>
          <t>tonne</t>
        </is>
      </c>
      <c r="D527" s="23" t="n">
        <v>0.017</v>
      </c>
      <c r="E527" s="24" t="n">
        <v>103.77</v>
      </c>
      <c r="F527" s="24">
        <f>D527*E527</f>
        <v/>
      </c>
      <c r="G527" s="22" t="n"/>
    </row>
    <row r="528">
      <c r="A528" s="22" t="inlineStr">
        <is>
          <t>0114</t>
        </is>
      </c>
      <c r="B528" s="11" t="inlineStr">
        <is>
          <t>Beldar</t>
        </is>
      </c>
      <c r="C528" s="22" t="inlineStr">
        <is>
          <t>day</t>
        </is>
      </c>
      <c r="D528" s="23" t="n">
        <v>0.12</v>
      </c>
      <c r="E528" s="24" t="n">
        <v>558</v>
      </c>
      <c r="F528" s="24">
        <f>D528*E528</f>
        <v/>
      </c>
      <c r="G528" s="22" t="n"/>
    </row>
    <row r="529">
      <c r="A529" s="22" t="inlineStr">
        <is>
          <t>0115</t>
        </is>
      </c>
      <c r="B529" s="11" t="inlineStr">
        <is>
          <t>Coolie</t>
        </is>
      </c>
      <c r="C529" s="22" t="inlineStr">
        <is>
          <t>day</t>
        </is>
      </c>
      <c r="D529" s="23" t="n">
        <v>0.07000000000000001</v>
      </c>
      <c r="E529" s="24" t="n">
        <v>558</v>
      </c>
      <c r="F529" s="24">
        <f>D529*E529</f>
        <v/>
      </c>
      <c r="G529" s="22" t="n"/>
    </row>
    <row r="530">
      <c r="A530" s="22" t="inlineStr">
        <is>
          <t>0131</t>
        </is>
      </c>
      <c r="B530" s="11" t="inlineStr">
        <is>
          <t>Painter</t>
        </is>
      </c>
      <c r="C530" s="22" t="inlineStr">
        <is>
          <t>day</t>
        </is>
      </c>
      <c r="D530" s="23" t="n">
        <v>0.2</v>
      </c>
      <c r="E530" s="24" t="n">
        <v>679</v>
      </c>
      <c r="F530" s="24">
        <f>D530*E530</f>
        <v/>
      </c>
      <c r="G530" s="22" t="n"/>
    </row>
    <row r="531">
      <c r="A531" s="22" t="inlineStr">
        <is>
          <t>9988</t>
        </is>
      </c>
      <c r="B531" s="11" t="inlineStr">
        <is>
          <t>Sundries (Carriage of kerosene, steam coal, brushes, T&amp;P etc.)</t>
        </is>
      </c>
      <c r="C531" s="22" t="inlineStr">
        <is>
          <t>L.S.</t>
        </is>
      </c>
      <c r="D531" s="23" t="n">
        <v>33.15</v>
      </c>
      <c r="E531" s="24" t="n">
        <v>2</v>
      </c>
      <c r="F531" s="24">
        <f>D531*E531</f>
        <v/>
      </c>
      <c r="G531" s="22" t="n"/>
    </row>
    <row r="532">
      <c r="A532" s="8" t="inlineStr">
        <is>
          <t>Calculated W - SUM of the Amount column above</t>
        </is>
      </c>
      <c r="B532" s="9" t="n"/>
      <c r="C532" s="9" t="n"/>
      <c r="D532" s="9" t="n"/>
      <c r="E532" s="9" t="n"/>
      <c r="F532" s="25">
        <f>SUM(F524:F531)</f>
        <v/>
      </c>
      <c r="G532" s="9" t="n"/>
    </row>
    <row r="533">
      <c r="A533" s="26" t="inlineStr">
        <is>
          <t>W as printed in the DAR</t>
        </is>
      </c>
      <c r="B533" s="22" t="n"/>
      <c r="C533" s="22" t="n"/>
      <c r="D533" s="22" t="n"/>
      <c r="E533" s="22" t="n"/>
      <c r="F533" s="27" t="n">
        <v>822.22</v>
      </c>
      <c r="G533" s="22" t="n"/>
    </row>
    <row r="534">
      <c r="A534" s="26" t="inlineStr">
        <is>
          <t>Difference (calculated - printed)</t>
        </is>
      </c>
      <c r="B534" s="22" t="n"/>
      <c r="C534" s="22" t="n"/>
      <c r="D534" s="22" t="n"/>
      <c r="E534" s="22" t="n"/>
      <c r="F534" s="27">
        <f>F532-F533</f>
        <v/>
      </c>
      <c r="G534" s="22" t="n"/>
    </row>
    <row r="535">
      <c r="A535" s="29" t="inlineStr">
        <is>
          <t>SAY (Rs.) - final DAR rate as printed (fixed value, not computed)</t>
        </is>
      </c>
      <c r="B535" s="30" t="n"/>
      <c r="C535" s="30" t="n"/>
      <c r="D535" s="30" t="n"/>
      <c r="E535" s="30" t="n"/>
      <c r="F535" s="31" t="n">
        <v>110</v>
      </c>
      <c r="G535" s="30" t="n"/>
    </row>
    <row r="537" ht="18.5" customHeight="1">
      <c r="A537" s="18" t="inlineStr">
        <is>
          <t>4.14</t>
        </is>
      </c>
      <c r="B537" s="19" t="inlineStr">
        <is>
          <t>Extra for concrete work in superstructure above floor V level for each four floors or part thereof.</t>
        </is>
      </c>
      <c r="C537" s="20" t="n"/>
      <c r="D537" s="20" t="n"/>
      <c r="E537" s="20" t="n"/>
      <c r="F537" s="20" t="n"/>
      <c r="G537" s="20" t="n"/>
    </row>
    <row r="538">
      <c r="A538" s="21" t="inlineStr">
        <is>
          <t>Details of cost for 1 cum   |   Source: CivilDAR_2019_Vol_1.pdf, page 176</t>
        </is>
      </c>
    </row>
    <row r="539">
      <c r="A539" s="5" t="inlineStr">
        <is>
          <t>Code</t>
        </is>
      </c>
      <c r="B539" s="5" t="inlineStr">
        <is>
          <t>Description</t>
        </is>
      </c>
      <c r="C539" s="5" t="inlineStr">
        <is>
          <t>Unit</t>
        </is>
      </c>
      <c r="D539" s="5" t="inlineStr">
        <is>
          <t>Quantity</t>
        </is>
      </c>
      <c r="E539" s="5" t="inlineStr">
        <is>
          <t>Rate (Rs.)</t>
        </is>
      </c>
      <c r="F539" s="5" t="inlineStr">
        <is>
          <t>Amount (Rs.)</t>
        </is>
      </c>
      <c r="G539" s="5" t="inlineStr">
        <is>
          <t>Note</t>
        </is>
      </c>
    </row>
    <row r="540">
      <c r="A540" s="22" t="inlineStr">
        <is>
          <t>0115</t>
        </is>
      </c>
      <c r="B540" s="11" t="inlineStr">
        <is>
          <t>Coolie</t>
        </is>
      </c>
      <c r="C540" s="22" t="inlineStr">
        <is>
          <t>day</t>
        </is>
      </c>
      <c r="D540" s="23" t="n">
        <v>1.5</v>
      </c>
      <c r="E540" s="24" t="n">
        <v>558</v>
      </c>
      <c r="F540" s="24">
        <f>D540*E540</f>
        <v/>
      </c>
      <c r="G540" s="22" t="n"/>
    </row>
    <row r="541">
      <c r="A541" s="8" t="inlineStr">
        <is>
          <t>Calculated W - SUM of the Amount column above</t>
        </is>
      </c>
      <c r="B541" s="9" t="n"/>
      <c r="C541" s="9" t="n"/>
      <c r="D541" s="9" t="n"/>
      <c r="E541" s="9" t="n"/>
      <c r="F541" s="25">
        <f>SUM(F540:F540)</f>
        <v/>
      </c>
      <c r="G541" s="9" t="n"/>
    </row>
    <row r="542">
      <c r="A542" s="26" t="inlineStr">
        <is>
          <t>W as printed in the DAR</t>
        </is>
      </c>
      <c r="B542" s="22" t="n"/>
      <c r="C542" s="22" t="n"/>
      <c r="D542" s="22" t="n"/>
      <c r="E542" s="22" t="n"/>
      <c r="F542" s="27" t="n">
        <v>837</v>
      </c>
      <c r="G542" s="22" t="n"/>
    </row>
    <row r="543">
      <c r="A543" s="26" t="inlineStr">
        <is>
          <t>Difference (calculated - printed)</t>
        </is>
      </c>
      <c r="B543" s="22" t="n"/>
      <c r="C543" s="22" t="n"/>
      <c r="D543" s="22" t="n"/>
      <c r="E543" s="22" t="n"/>
      <c r="F543" s="27">
        <f>F541-F542</f>
        <v/>
      </c>
      <c r="G543" s="22" t="n"/>
    </row>
    <row r="544">
      <c r="A544" s="29" t="inlineStr">
        <is>
          <t>SAY (Rs.) - final DAR rate as printed (fixed value, not computed)</t>
        </is>
      </c>
      <c r="B544" s="30" t="n"/>
      <c r="C544" s="30" t="n"/>
      <c r="D544" s="30" t="n"/>
      <c r="E544" s="30" t="n"/>
      <c r="F544" s="31" t="n">
        <v>1119.85</v>
      </c>
      <c r="G544" s="30" t="n"/>
    </row>
    <row r="546" ht="33" customHeight="1">
      <c r="A546" s="18" t="inlineStr">
        <is>
          <t>4.15</t>
        </is>
      </c>
      <c r="B546" s="19" t="inlineStr">
        <is>
          <t>Extra for laying concrete in or under water and/or liquid mud including cost of pumping or bailing out water and removing slush etc. complete.</t>
        </is>
      </c>
      <c r="C546" s="20" t="n"/>
      <c r="D546" s="20" t="n"/>
      <c r="E546" s="20" t="n"/>
      <c r="F546" s="20" t="n"/>
      <c r="G546" s="20" t="n"/>
    </row>
    <row r="547">
      <c r="A547" s="21" t="inlineStr">
        <is>
          <t>Details of cost for 14 cum   |   Source: CivilDAR_2019_Vol_1.pdf, page 176</t>
        </is>
      </c>
    </row>
    <row r="548">
      <c r="A548" s="5" t="inlineStr">
        <is>
          <t>Code</t>
        </is>
      </c>
      <c r="B548" s="5" t="inlineStr">
        <is>
          <t>Description</t>
        </is>
      </c>
      <c r="C548" s="5" t="inlineStr">
        <is>
          <t>Unit</t>
        </is>
      </c>
      <c r="D548" s="5" t="inlineStr">
        <is>
          <t>Quantity</t>
        </is>
      </c>
      <c r="E548" s="5" t="inlineStr">
        <is>
          <t>Rate (Rs.)</t>
        </is>
      </c>
      <c r="F548" s="5" t="inlineStr">
        <is>
          <t>Amount (Rs.)</t>
        </is>
      </c>
      <c r="G548" s="5" t="inlineStr">
        <is>
          <t>Note</t>
        </is>
      </c>
    </row>
    <row r="549">
      <c r="A549" s="22" t="inlineStr">
        <is>
          <t>0011</t>
        </is>
      </c>
      <c r="B549" s="11" t="inlineStr">
        <is>
          <t>Hire charges of Pumpset of capacity 4000 litres/hour.</t>
        </is>
      </c>
      <c r="C549" s="22" t="inlineStr">
        <is>
          <t>day</t>
        </is>
      </c>
      <c r="D549" s="23" t="n">
        <v>0.375</v>
      </c>
      <c r="E549" s="24" t="n">
        <v>700</v>
      </c>
      <c r="F549" s="24">
        <f>D549*E549</f>
        <v/>
      </c>
      <c r="G549" s="22" t="n"/>
    </row>
    <row r="550">
      <c r="A550" s="22" t="inlineStr">
        <is>
          <t>0114</t>
        </is>
      </c>
      <c r="B550" s="11" t="inlineStr">
        <is>
          <t>Beldar</t>
        </is>
      </c>
      <c r="C550" s="22" t="inlineStr">
        <is>
          <t>day</t>
        </is>
      </c>
      <c r="D550" s="23" t="n">
        <v>4</v>
      </c>
      <c r="E550" s="24" t="n">
        <v>558</v>
      </c>
      <c r="F550" s="24">
        <f>D550*E550</f>
        <v/>
      </c>
      <c r="G550" s="22" t="n"/>
    </row>
    <row r="551">
      <c r="A551" s="8" t="inlineStr">
        <is>
          <t>Calculated W - SUM of the Amount column above</t>
        </is>
      </c>
      <c r="B551" s="9" t="n"/>
      <c r="C551" s="9" t="n"/>
      <c r="D551" s="9" t="n"/>
      <c r="E551" s="9" t="n"/>
      <c r="F551" s="25">
        <f>SUM(F549:F550)</f>
        <v/>
      </c>
      <c r="G551" s="9" t="n"/>
    </row>
    <row r="552">
      <c r="A552" s="26" t="inlineStr">
        <is>
          <t>W as printed in the DAR</t>
        </is>
      </c>
      <c r="B552" s="22" t="n"/>
      <c r="C552" s="22" t="n"/>
      <c r="D552" s="22" t="n"/>
      <c r="E552" s="22" t="n"/>
      <c r="F552" s="27" t="n">
        <v>2494.5</v>
      </c>
      <c r="G552" s="22" t="n"/>
    </row>
    <row r="553">
      <c r="A553" s="26" t="inlineStr">
        <is>
          <t>Difference (calculated - printed)</t>
        </is>
      </c>
      <c r="B553" s="22" t="n"/>
      <c r="C553" s="22" t="n"/>
      <c r="D553" s="22" t="n"/>
      <c r="E553" s="22" t="n"/>
      <c r="F553" s="27">
        <f>F551-F552</f>
        <v/>
      </c>
      <c r="G553" s="22" t="n"/>
    </row>
    <row r="554">
      <c r="A554" s="29" t="inlineStr">
        <is>
          <t>SAY (Rs.) - final DAR rate as printed (fixed value, not computed)</t>
        </is>
      </c>
      <c r="B554" s="30" t="n"/>
      <c r="C554" s="30" t="n"/>
      <c r="D554" s="30" t="n"/>
      <c r="E554" s="30" t="n"/>
      <c r="F554" s="31" t="n">
        <v>794.65</v>
      </c>
      <c r="G554" s="30" t="n"/>
    </row>
    <row r="556" ht="18.5" customHeight="1">
      <c r="A556" s="18" t="inlineStr">
        <is>
          <t>4.16</t>
        </is>
      </c>
      <c r="B556" s="19" t="inlineStr">
        <is>
          <t>Extra for laying concrete in or under foul positions.</t>
        </is>
      </c>
      <c r="C556" s="20" t="n"/>
      <c r="D556" s="20" t="n"/>
      <c r="E556" s="20" t="n"/>
      <c r="F556" s="20" t="n"/>
      <c r="G556" s="20" t="n"/>
    </row>
    <row r="557">
      <c r="A557" s="21" t="inlineStr">
        <is>
          <t>Details of cost for 1 cum   |   Source: CivilDAR_2019_Vol_1.pdf, page 177</t>
        </is>
      </c>
    </row>
    <row r="558">
      <c r="A558" s="5" t="inlineStr">
        <is>
          <t>Code</t>
        </is>
      </c>
      <c r="B558" s="5" t="inlineStr">
        <is>
          <t>Description</t>
        </is>
      </c>
      <c r="C558" s="5" t="inlineStr">
        <is>
          <t>Unit</t>
        </is>
      </c>
      <c r="D558" s="5" t="inlineStr">
        <is>
          <t>Quantity</t>
        </is>
      </c>
      <c r="E558" s="5" t="inlineStr">
        <is>
          <t>Rate (Rs.)</t>
        </is>
      </c>
      <c r="F558" s="5" t="inlineStr">
        <is>
          <t>Amount (Rs.)</t>
        </is>
      </c>
      <c r="G558" s="5" t="inlineStr">
        <is>
          <t>Note</t>
        </is>
      </c>
    </row>
    <row r="559">
      <c r="A559" s="22" t="inlineStr">
        <is>
          <t>0123</t>
        </is>
      </c>
      <c r="B559" s="11" t="inlineStr">
        <is>
          <t>Mason (brick layer) 1st class</t>
        </is>
      </c>
      <c r="C559" s="22" t="inlineStr">
        <is>
          <t>day</t>
        </is>
      </c>
      <c r="D559" s="23" t="n">
        <v>0.02</v>
      </c>
      <c r="E559" s="24" t="n">
        <v>738</v>
      </c>
      <c r="F559" s="24">
        <f>D559*E559</f>
        <v/>
      </c>
      <c r="G559" s="22" t="n"/>
    </row>
    <row r="560">
      <c r="A560" s="22" t="inlineStr">
        <is>
          <t>0124</t>
        </is>
      </c>
      <c r="B560" s="11" t="inlineStr">
        <is>
          <t>Mason (brick layer) 2nd class</t>
        </is>
      </c>
      <c r="C560" s="22" t="inlineStr">
        <is>
          <t>day</t>
        </is>
      </c>
      <c r="D560" s="23" t="n">
        <v>0.02</v>
      </c>
      <c r="E560" s="24" t="n">
        <v>679</v>
      </c>
      <c r="F560" s="24">
        <f>D560*E560</f>
        <v/>
      </c>
      <c r="G560" s="22" t="n"/>
    </row>
    <row r="561">
      <c r="A561" s="22" t="inlineStr">
        <is>
          <t>0114</t>
        </is>
      </c>
      <c r="B561" s="11" t="inlineStr">
        <is>
          <t>Beldar</t>
        </is>
      </c>
      <c r="C561" s="22" t="inlineStr">
        <is>
          <t>day</t>
        </is>
      </c>
      <c r="D561" s="23" t="n">
        <v>0.25</v>
      </c>
      <c r="E561" s="24" t="n">
        <v>558</v>
      </c>
      <c r="F561" s="24">
        <f>D561*E561</f>
        <v/>
      </c>
      <c r="G561" s="22" t="n"/>
    </row>
    <row r="562">
      <c r="A562" s="22" t="inlineStr">
        <is>
          <t>0115</t>
        </is>
      </c>
      <c r="B562" s="11" t="inlineStr">
        <is>
          <t>Coolie</t>
        </is>
      </c>
      <c r="C562" s="22" t="inlineStr">
        <is>
          <t>day</t>
        </is>
      </c>
      <c r="D562" s="23" t="n">
        <v>0.15</v>
      </c>
      <c r="E562" s="24" t="n">
        <v>558</v>
      </c>
      <c r="F562" s="24">
        <f>D562*E562</f>
        <v/>
      </c>
      <c r="G562" s="22" t="n"/>
    </row>
    <row r="563">
      <c r="A563" s="8" t="inlineStr">
        <is>
          <t>Calculated W - SUM of the Amount column above</t>
        </is>
      </c>
      <c r="B563" s="9" t="n"/>
      <c r="C563" s="9" t="n"/>
      <c r="D563" s="9" t="n"/>
      <c r="E563" s="9" t="n"/>
      <c r="F563" s="25">
        <f>SUM(F559:F562)</f>
        <v/>
      </c>
      <c r="G563" s="9" t="n"/>
    </row>
    <row r="564">
      <c r="A564" s="26" t="inlineStr">
        <is>
          <t>W as printed in the DAR</t>
        </is>
      </c>
      <c r="B564" s="22" t="n"/>
      <c r="C564" s="22" t="n"/>
      <c r="D564" s="22" t="n"/>
      <c r="E564" s="22" t="n"/>
      <c r="F564" s="27" t="n">
        <v>251.54</v>
      </c>
      <c r="G564" s="22" t="n"/>
    </row>
    <row r="565">
      <c r="A565" s="26" t="inlineStr">
        <is>
          <t>Difference (calculated - printed)</t>
        </is>
      </c>
      <c r="B565" s="22" t="n"/>
      <c r="C565" s="22" t="n"/>
      <c r="D565" s="22" t="n"/>
      <c r="E565" s="22" t="n"/>
      <c r="F565" s="27">
        <f>F563-F564</f>
        <v/>
      </c>
      <c r="G565" s="22" t="n"/>
    </row>
    <row r="566">
      <c r="A566" s="29" t="inlineStr">
        <is>
          <t>SAY (Rs.) - final DAR rate as printed (fixed value, not computed)</t>
        </is>
      </c>
      <c r="B566" s="30" t="n"/>
      <c r="C566" s="30" t="n"/>
      <c r="D566" s="30" t="n"/>
      <c r="E566" s="30" t="n"/>
      <c r="F566" s="31" t="n">
        <v>336.55</v>
      </c>
      <c r="G566" s="30" t="n"/>
    </row>
    <row r="568" ht="47.5" customHeight="1">
      <c r="A568" s="18" t="inlineStr">
        <is>
          <t>4.17</t>
        </is>
      </c>
      <c r="B568" s="19" t="inlineStr">
        <is>
          <t>Making plinth protection 50mm thick of cement concrete 1:3:6 (1 cement : 3 coarse sand : 6 graded stone aggregate 20 mm nominal size) over 75mm thick bed of dry brick ballast 40 mm nominal size, well rammed and consolidated and grouted with fine sand, including necessary excavation, levelling &amp; dressing &amp; finishing the top smooth.</t>
        </is>
      </c>
      <c r="C568" s="20" t="n"/>
      <c r="D568" s="20" t="n"/>
      <c r="E568" s="20" t="n"/>
      <c r="F568" s="20" t="n"/>
      <c r="G568" s="20" t="n"/>
    </row>
    <row r="569">
      <c r="A569" s="21" t="inlineStr">
        <is>
          <t>Details of cost for 10 sqm   |   Source: CivilDAR_2019_Vol_1.pdf, page 177</t>
        </is>
      </c>
    </row>
    <row r="570">
      <c r="A570" s="5" t="inlineStr">
        <is>
          <t>Code</t>
        </is>
      </c>
      <c r="B570" s="5" t="inlineStr">
        <is>
          <t>Description</t>
        </is>
      </c>
      <c r="C570" s="5" t="inlineStr">
        <is>
          <t>Unit</t>
        </is>
      </c>
      <c r="D570" s="5" t="inlineStr">
        <is>
          <t>Quantity</t>
        </is>
      </c>
      <c r="E570" s="5" t="inlineStr">
        <is>
          <t>Rate (Rs.)</t>
        </is>
      </c>
      <c r="F570" s="5" t="inlineStr">
        <is>
          <t>Amount (Rs.)</t>
        </is>
      </c>
      <c r="G570" s="5" t="inlineStr">
        <is>
          <t>Note</t>
        </is>
      </c>
    </row>
    <row r="571">
      <c r="A571" s="22" t="inlineStr">
        <is>
          <t>0287</t>
        </is>
      </c>
      <c r="B571" s="11" t="inlineStr">
        <is>
          <t>Brick Aggregate (Single size) : 40 mm nominal size</t>
        </is>
      </c>
      <c r="C571" s="22" t="inlineStr">
        <is>
          <t>cum</t>
        </is>
      </c>
      <c r="D571" s="23" t="n">
        <v>0.75</v>
      </c>
      <c r="E571" s="24" t="n">
        <v>650</v>
      </c>
      <c r="F571" s="24">
        <f>D571*E571</f>
        <v/>
      </c>
      <c r="G571" s="22" t="n"/>
    </row>
    <row r="572">
      <c r="A572" s="22" t="inlineStr">
        <is>
          <t>2260</t>
        </is>
      </c>
      <c r="B572" s="11" t="inlineStr">
        <is>
          <t>Carriage of Brick aggregate</t>
        </is>
      </c>
      <c r="C572" s="22" t="inlineStr">
        <is>
          <t>cum</t>
        </is>
      </c>
      <c r="D572" s="23" t="n">
        <v>0.75</v>
      </c>
      <c r="E572" s="24" t="n">
        <v>112.79</v>
      </c>
      <c r="F572" s="24">
        <f>D572*E572</f>
        <v/>
      </c>
      <c r="G572" s="22" t="n"/>
    </row>
    <row r="573">
      <c r="A573" s="22" t="inlineStr">
        <is>
          <t>0983</t>
        </is>
      </c>
      <c r="B573" s="11" t="inlineStr">
        <is>
          <t>Fine sand (zone IV)</t>
        </is>
      </c>
      <c r="C573" s="22" t="inlineStr">
        <is>
          <t>cum</t>
        </is>
      </c>
      <c r="D573" s="23" t="n">
        <v>0.06</v>
      </c>
      <c r="E573" s="24" t="n">
        <v>900</v>
      </c>
      <c r="F573" s="24">
        <f>D573*E573</f>
        <v/>
      </c>
      <c r="G573" s="22" t="n"/>
    </row>
    <row r="574">
      <c r="A574" s="22" t="inlineStr">
        <is>
          <t>2261</t>
        </is>
      </c>
      <c r="B574" s="11" t="inlineStr">
        <is>
          <t>Carriage of Fine sand (1 part badarpur sand : 2 parts jamuna sand)</t>
        </is>
      </c>
      <c r="C574" s="22" t="inlineStr">
        <is>
          <t>cum</t>
        </is>
      </c>
      <c r="D574" s="23" t="n">
        <v>0.06</v>
      </c>
      <c r="E574" s="24" t="n">
        <v>103.77</v>
      </c>
      <c r="F574" s="24">
        <f>D574*E574</f>
        <v/>
      </c>
      <c r="G574" s="22" t="n"/>
    </row>
    <row r="575">
      <c r="A575" s="22" t="inlineStr">
        <is>
          <t>0114</t>
        </is>
      </c>
      <c r="B575" s="11" t="inlineStr">
        <is>
          <t>Beldar</t>
        </is>
      </c>
      <c r="C575" s="22" t="inlineStr">
        <is>
          <t>day</t>
        </is>
      </c>
      <c r="D575" s="23" t="n">
        <v>0.16</v>
      </c>
      <c r="E575" s="24" t="n">
        <v>558</v>
      </c>
      <c r="F575" s="24">
        <f>D575*E575</f>
        <v/>
      </c>
      <c r="G575" s="22" t="n"/>
    </row>
    <row r="576">
      <c r="A576" s="22" t="inlineStr">
        <is>
          <t>0115</t>
        </is>
      </c>
      <c r="B576" s="11" t="inlineStr">
        <is>
          <t>Coolie</t>
        </is>
      </c>
      <c r="C576" s="22" t="inlineStr">
        <is>
          <t>day</t>
        </is>
      </c>
      <c r="D576" s="23" t="n">
        <v>0.11</v>
      </c>
      <c r="E576" s="24" t="n">
        <v>558</v>
      </c>
      <c r="F576" s="24">
        <f>D576*E576</f>
        <v/>
      </c>
      <c r="G576" s="22" t="n"/>
    </row>
    <row r="577">
      <c r="A577" s="22" t="inlineStr">
        <is>
          <t>0295</t>
        </is>
      </c>
      <c r="B577" s="11" t="inlineStr">
        <is>
          <t>Stone Aggregate (Single size) : 20 mm nominal size</t>
        </is>
      </c>
      <c r="C577" s="22" t="inlineStr">
        <is>
          <t>cum</t>
        </is>
      </c>
      <c r="D577" s="23" t="n">
        <v>0.35</v>
      </c>
      <c r="E577" s="24" t="n">
        <v>1350</v>
      </c>
      <c r="F577" s="24">
        <f>D577*E577</f>
        <v/>
      </c>
      <c r="G577" s="22" t="n"/>
    </row>
    <row r="578">
      <c r="A578" s="22" t="inlineStr">
        <is>
          <t>0297</t>
        </is>
      </c>
      <c r="B578" s="11" t="inlineStr">
        <is>
          <t>Stone Aggregate (Single size) : 10 mm nominal size</t>
        </is>
      </c>
      <c r="C578" s="22" t="inlineStr">
        <is>
          <t>cum</t>
        </is>
      </c>
      <c r="D578" s="23" t="n">
        <v>0.12</v>
      </c>
      <c r="E578" s="24" t="n">
        <v>1350</v>
      </c>
      <c r="F578" s="24">
        <f>D578*E578</f>
        <v/>
      </c>
      <c r="G578" s="22" t="n"/>
    </row>
    <row r="579">
      <c r="A579" s="22" t="inlineStr">
        <is>
          <t>2202</t>
        </is>
      </c>
      <c r="B579" s="11" t="inlineStr">
        <is>
          <t>Carriage of Stone aggregate below 40 mm nominal size</t>
        </is>
      </c>
      <c r="C579" s="22" t="inlineStr">
        <is>
          <t>cum</t>
        </is>
      </c>
      <c r="D579" s="23" t="n">
        <v>0.47</v>
      </c>
      <c r="E579" s="24" t="n">
        <v>103.77</v>
      </c>
      <c r="F579" s="24">
        <f>D579*E579</f>
        <v/>
      </c>
      <c r="G579" s="22" t="n"/>
    </row>
    <row r="580">
      <c r="A580" s="22" t="inlineStr">
        <is>
          <t>0982</t>
        </is>
      </c>
      <c r="B580" s="11" t="inlineStr">
        <is>
          <t>Coarse sand (zone III)</t>
        </is>
      </c>
      <c r="C580" s="22" t="inlineStr">
        <is>
          <t>cum</t>
        </is>
      </c>
      <c r="D580" s="23" t="n">
        <v>0.23</v>
      </c>
      <c r="E580" s="24" t="n">
        <v>1350</v>
      </c>
      <c r="F580" s="24">
        <f>D580*E580</f>
        <v/>
      </c>
      <c r="G580" s="22" t="n"/>
    </row>
    <row r="581">
      <c r="A581" s="22" t="inlineStr">
        <is>
          <t>2203</t>
        </is>
      </c>
      <c r="B581" s="11" t="inlineStr">
        <is>
          <t>Carriage of Coarse sand</t>
        </is>
      </c>
      <c r="C581" s="22" t="inlineStr">
        <is>
          <t>cum</t>
        </is>
      </c>
      <c r="D581" s="23" t="n">
        <v>0.23</v>
      </c>
      <c r="E581" s="24" t="n">
        <v>103.77</v>
      </c>
      <c r="F581" s="24">
        <f>D581*E581</f>
        <v/>
      </c>
      <c r="G581" s="22" t="n"/>
    </row>
    <row r="582">
      <c r="A582" s="22" t="inlineStr">
        <is>
          <t>0367</t>
        </is>
      </c>
      <c r="B582" s="11" t="inlineStr">
        <is>
          <t>Portland Cement</t>
        </is>
      </c>
      <c r="C582" s="22" t="inlineStr">
        <is>
          <t>tonne</t>
        </is>
      </c>
      <c r="D582" s="23" t="n">
        <v>0.11</v>
      </c>
      <c r="E582" s="24" t="n">
        <v>4940</v>
      </c>
      <c r="F582" s="24">
        <f>D582*E582</f>
        <v/>
      </c>
      <c r="G582" s="22" t="n"/>
    </row>
    <row r="583">
      <c r="A583" s="22" t="inlineStr">
        <is>
          <t>2209</t>
        </is>
      </c>
      <c r="B583" s="11" t="inlineStr">
        <is>
          <t>Carriage of Cement</t>
        </is>
      </c>
      <c r="C583" s="22" t="inlineStr">
        <is>
          <t>tonne</t>
        </is>
      </c>
      <c r="D583" s="23" t="n">
        <v>0.11</v>
      </c>
      <c r="E583" s="24" t="n">
        <v>92.23999999999999</v>
      </c>
      <c r="F583" s="24">
        <f>D583*E583</f>
        <v/>
      </c>
      <c r="G583" s="22" t="n"/>
    </row>
    <row r="584">
      <c r="A584" s="22" t="inlineStr">
        <is>
          <t>0114</t>
        </is>
      </c>
      <c r="B584" s="11" t="inlineStr">
        <is>
          <t>Beldar</t>
        </is>
      </c>
      <c r="C584" s="22" t="inlineStr">
        <is>
          <t>day</t>
        </is>
      </c>
      <c r="D584" s="23" t="n">
        <v>1</v>
      </c>
      <c r="E584" s="24" t="n">
        <v>558</v>
      </c>
      <c r="F584" s="24">
        <f>D584*E584</f>
        <v/>
      </c>
      <c r="G584" s="22" t="n"/>
    </row>
    <row r="585">
      <c r="A585" s="22" t="inlineStr">
        <is>
          <t>0123</t>
        </is>
      </c>
      <c r="B585" s="11" t="inlineStr">
        <is>
          <t>Mason (brick layer) 1st class</t>
        </is>
      </c>
      <c r="C585" s="22" t="inlineStr">
        <is>
          <t>day</t>
        </is>
      </c>
      <c r="D585" s="23" t="n">
        <v>0.05</v>
      </c>
      <c r="E585" s="24" t="n">
        <v>738</v>
      </c>
      <c r="F585" s="24">
        <f>D585*E585</f>
        <v/>
      </c>
      <c r="G585" s="22" t="n"/>
    </row>
    <row r="586">
      <c r="A586" s="22" t="inlineStr">
        <is>
          <t>0101</t>
        </is>
      </c>
      <c r="B586" s="11" t="inlineStr">
        <is>
          <t>Bhisti</t>
        </is>
      </c>
      <c r="C586" s="22" t="inlineStr">
        <is>
          <t>day</t>
        </is>
      </c>
      <c r="D586" s="23" t="n">
        <v>0.33</v>
      </c>
      <c r="E586" s="24" t="n">
        <v>617</v>
      </c>
      <c r="F586" s="24">
        <f>D586*E586</f>
        <v/>
      </c>
      <c r="G586" s="22" t="n"/>
    </row>
    <row r="587">
      <c r="A587" s="22" t="inlineStr">
        <is>
          <t>9999</t>
        </is>
      </c>
      <c r="B587" s="11" t="inlineStr">
        <is>
          <t>Hire and runing charges of mechanical mixer</t>
        </is>
      </c>
      <c r="C587" s="22" t="inlineStr">
        <is>
          <t>L.S.</t>
        </is>
      </c>
      <c r="D587" s="23" t="n">
        <v>13.39</v>
      </c>
      <c r="E587" s="24" t="n">
        <v>2</v>
      </c>
      <c r="F587" s="24">
        <f>D587*E587</f>
        <v/>
      </c>
      <c r="G587" s="22" t="n"/>
    </row>
    <row r="588">
      <c r="A588" s="22" t="inlineStr">
        <is>
          <t>9999</t>
        </is>
      </c>
      <c r="B588" s="11" t="inlineStr">
        <is>
          <t>Sundries</t>
        </is>
      </c>
      <c r="C588" s="22" t="inlineStr">
        <is>
          <t>L.S.</t>
        </is>
      </c>
      <c r="D588" s="23" t="n">
        <v>6.76</v>
      </c>
      <c r="E588" s="24" t="n">
        <v>2</v>
      </c>
      <c r="F588" s="24">
        <f>D588*E588</f>
        <v/>
      </c>
      <c r="G588" s="22" t="n"/>
    </row>
    <row r="589">
      <c r="A589" s="22" t="inlineStr">
        <is>
          <t>0155</t>
        </is>
      </c>
      <c r="B589" s="11" t="inlineStr">
        <is>
          <t>Mason (average)</t>
        </is>
      </c>
      <c r="C589" s="22" t="inlineStr">
        <is>
          <t>day</t>
        </is>
      </c>
      <c r="D589" s="23" t="n">
        <v>0.27</v>
      </c>
      <c r="E589" s="24" t="n">
        <v>709</v>
      </c>
      <c r="F589" s="24">
        <f>D589*E589</f>
        <v/>
      </c>
      <c r="G589" s="22" t="n"/>
    </row>
    <row r="590">
      <c r="A590" s="22" t="inlineStr">
        <is>
          <t>0114</t>
        </is>
      </c>
      <c r="B590" s="11" t="inlineStr">
        <is>
          <t>Beldar</t>
        </is>
      </c>
      <c r="C590" s="22" t="inlineStr">
        <is>
          <t>day</t>
        </is>
      </c>
      <c r="D590" s="23" t="n">
        <v>1.08</v>
      </c>
      <c r="E590" s="24" t="n">
        <v>558</v>
      </c>
      <c r="F590" s="24">
        <f>D590*E590</f>
        <v/>
      </c>
      <c r="G590" s="22" t="n"/>
    </row>
    <row r="591">
      <c r="A591" s="22" t="inlineStr">
        <is>
          <t>0115</t>
        </is>
      </c>
      <c r="B591" s="11" t="inlineStr">
        <is>
          <t>Coolie</t>
        </is>
      </c>
      <c r="C591" s="22" t="inlineStr">
        <is>
          <t>day</t>
        </is>
      </c>
      <c r="D591" s="23" t="n">
        <v>1.08</v>
      </c>
      <c r="E591" s="24" t="n">
        <v>558</v>
      </c>
      <c r="F591" s="24">
        <f>D591*E591</f>
        <v/>
      </c>
      <c r="G591" s="22" t="n"/>
    </row>
    <row r="592">
      <c r="A592" s="8" t="inlineStr">
        <is>
          <t>Calculated W - SUM of the Amount column above</t>
        </is>
      </c>
      <c r="B592" s="9" t="n"/>
      <c r="C592" s="9" t="n"/>
      <c r="D592" s="9" t="n"/>
      <c r="E592" s="9" t="n"/>
      <c r="F592" s="25">
        <f>SUM(F571:F591)</f>
        <v/>
      </c>
      <c r="G592" s="9" t="n"/>
    </row>
    <row r="593">
      <c r="A593" s="26" t="inlineStr">
        <is>
          <t>W as printed in the DAR</t>
        </is>
      </c>
      <c r="B593" s="22" t="n"/>
      <c r="C593" s="22" t="n"/>
      <c r="D593" s="22" t="n"/>
      <c r="E593" s="22" t="n"/>
      <c r="F593" s="27" t="n">
        <v>4589.68</v>
      </c>
      <c r="G593" s="22" t="n"/>
    </row>
    <row r="594">
      <c r="A594" s="26" t="inlineStr">
        <is>
          <t>Difference (calculated - printed)</t>
        </is>
      </c>
      <c r="B594" s="22" t="n"/>
      <c r="C594" s="22" t="n"/>
      <c r="D594" s="22" t="n"/>
      <c r="E594" s="22" t="n"/>
      <c r="F594" s="27">
        <f>F592-F593</f>
        <v/>
      </c>
      <c r="G594" s="22" t="n"/>
    </row>
    <row r="595">
      <c r="A595" s="29" t="inlineStr">
        <is>
          <t>SAY (Rs.) - final DAR rate as printed (fixed value, not computed)</t>
        </is>
      </c>
      <c r="B595" s="30" t="n"/>
      <c r="C595" s="30" t="n"/>
      <c r="D595" s="30" t="n"/>
      <c r="E595" s="30" t="n"/>
      <c r="F595" s="31" t="n">
        <v>614.05</v>
      </c>
      <c r="G595" s="30" t="n"/>
    </row>
    <row r="597" ht="47.5" customHeight="1">
      <c r="A597" s="18" t="inlineStr">
        <is>
          <t>4.18</t>
        </is>
      </c>
      <c r="B597" s="19" t="inlineStr">
        <is>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t>
        </is>
      </c>
      <c r="C597" s="20" t="n"/>
      <c r="D597" s="20" t="n"/>
      <c r="E597" s="20" t="n"/>
      <c r="F597" s="20" t="n"/>
      <c r="G597" s="20" t="n"/>
    </row>
    <row r="598">
      <c r="A598" s="21" t="inlineStr">
        <is>
          <t>Details of cost for 1 nos   |   Source: CivilDAR_2019_Vol_1.pdf, page 178</t>
        </is>
      </c>
    </row>
    <row r="599">
      <c r="A599" s="5" t="inlineStr">
        <is>
          <t>Code</t>
        </is>
      </c>
      <c r="B599" s="5" t="inlineStr">
        <is>
          <t>Description</t>
        </is>
      </c>
      <c r="C599" s="5" t="inlineStr">
        <is>
          <t>Unit</t>
        </is>
      </c>
      <c r="D599" s="5" t="inlineStr">
        <is>
          <t>Quantity</t>
        </is>
      </c>
      <c r="E599" s="5" t="inlineStr">
        <is>
          <t>Rate (Rs.)</t>
        </is>
      </c>
      <c r="F599" s="5" t="inlineStr">
        <is>
          <t>Amount (Rs.)</t>
        </is>
      </c>
      <c r="G599" s="5" t="inlineStr">
        <is>
          <t>Note</t>
        </is>
      </c>
    </row>
    <row r="600">
      <c r="A600" s="22" t="inlineStr">
        <is>
          <t>8732</t>
        </is>
      </c>
      <c r="B600" s="11" t="inlineStr">
        <is>
          <t>Synthetic polyester triangular fibre of length 12mm, effective dia 10-40 microns and specific gravity of 1.34 to 1.40</t>
        </is>
      </c>
      <c r="C600" s="22" t="inlineStr">
        <is>
          <t>kg</t>
        </is>
      </c>
      <c r="D600" s="23" t="n">
        <v>0.125</v>
      </c>
      <c r="E600" s="24" t="n">
        <v>365</v>
      </c>
      <c r="F600" s="24">
        <f>D600*E600</f>
        <v/>
      </c>
      <c r="G600" s="22" t="n"/>
    </row>
    <row r="601">
      <c r="A601" s="8" t="inlineStr">
        <is>
          <t>Calculated W - SUM of the Amount column above</t>
        </is>
      </c>
      <c r="B601" s="9" t="n"/>
      <c r="C601" s="9" t="n"/>
      <c r="D601" s="9" t="n"/>
      <c r="E601" s="9" t="n"/>
      <c r="F601" s="25">
        <f>SUM(F600:F600)</f>
        <v/>
      </c>
      <c r="G601" s="9" t="n"/>
    </row>
    <row r="602">
      <c r="A602" s="26" t="inlineStr">
        <is>
          <t>W as printed in the DAR</t>
        </is>
      </c>
      <c r="B602" s="22" t="n"/>
      <c r="C602" s="22" t="n"/>
      <c r="D602" s="22" t="n"/>
      <c r="E602" s="22" t="n"/>
      <c r="F602" s="27" t="n">
        <v>45.63</v>
      </c>
      <c r="G602" s="22" t="n"/>
    </row>
    <row r="603">
      <c r="A603" s="26" t="inlineStr">
        <is>
          <t>Difference (calculated - printed)</t>
        </is>
      </c>
      <c r="B603" s="22" t="n"/>
      <c r="C603" s="22" t="n"/>
      <c r="D603" s="22" t="n"/>
      <c r="E603" s="22" t="n"/>
      <c r="F603" s="27">
        <f>F601-F602</f>
        <v/>
      </c>
      <c r="G603" s="22" t="n"/>
    </row>
    <row r="604">
      <c r="A604" s="29" t="inlineStr">
        <is>
          <t>SAY (Rs.) - final DAR rate as printed (fixed value, not computed)</t>
        </is>
      </c>
      <c r="B604" s="30" t="n"/>
      <c r="C604" s="30" t="n"/>
      <c r="D604" s="30" t="n"/>
      <c r="E604" s="30" t="n"/>
      <c r="F604" s="31" t="n">
        <v>61.05</v>
      </c>
      <c r="G604" s="30" t="n"/>
    </row>
    <row r="606" ht="105.5" customHeight="1">
      <c r="A606" s="8" t="inlineStr">
        <is>
          <t>4.19</t>
        </is>
      </c>
      <c r="B606" s="17"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606" s="9" t="n"/>
      <c r="D606" s="9" t="n"/>
      <c r="E606" s="9" t="n"/>
      <c r="F606" s="9" t="n"/>
      <c r="G606" s="9" t="n"/>
    </row>
    <row r="607" ht="18.5" customHeight="1">
      <c r="A607" s="8" t="inlineStr">
        <is>
          <t>4.19.1</t>
        </is>
      </c>
      <c r="B607" s="17" t="inlineStr">
        <is>
          <t>All works upto plinth level:</t>
        </is>
      </c>
      <c r="C607" s="9" t="n"/>
      <c r="D607" s="9" t="n"/>
      <c r="E607" s="9" t="n"/>
      <c r="F607" s="9" t="n"/>
      <c r="G607" s="9" t="n"/>
    </row>
    <row r="608" ht="18.5" customHeight="1">
      <c r="A608" s="18" t="inlineStr">
        <is>
          <t>4.19.1.1</t>
        </is>
      </c>
      <c r="B608" s="19" t="inlineStr">
        <is>
          <t>M-15 grade plain cement concrete (cement content considered @ 240 kg/cum)</t>
        </is>
      </c>
      <c r="C608" s="20" t="n"/>
      <c r="D608" s="20" t="n"/>
      <c r="E608" s="20" t="n"/>
      <c r="F608" s="20" t="n"/>
      <c r="G608" s="20" t="n"/>
    </row>
    <row r="609">
      <c r="A609" s="21" t="inlineStr">
        <is>
          <t>Details of cost for 1 cum   |   Source: CivilDAR_2019_Vol_1.pdf, page 179</t>
        </is>
      </c>
    </row>
    <row r="610">
      <c r="A610" s="5" t="inlineStr">
        <is>
          <t>Code</t>
        </is>
      </c>
      <c r="B610" s="5" t="inlineStr">
        <is>
          <t>Description</t>
        </is>
      </c>
      <c r="C610" s="5" t="inlineStr">
        <is>
          <t>Unit</t>
        </is>
      </c>
      <c r="D610" s="5" t="inlineStr">
        <is>
          <t>Quantity</t>
        </is>
      </c>
      <c r="E610" s="5" t="inlineStr">
        <is>
          <t>Rate (Rs.)</t>
        </is>
      </c>
      <c r="F610" s="5" t="inlineStr">
        <is>
          <t>Amount (Rs.)</t>
        </is>
      </c>
      <c r="G610" s="5" t="inlineStr">
        <is>
          <t>Note</t>
        </is>
      </c>
    </row>
    <row r="611">
      <c r="A611" s="22" t="inlineStr">
        <is>
          <t>0293</t>
        </is>
      </c>
      <c r="B611" s="11" t="inlineStr">
        <is>
          <t>Stone Aggregate (Single size) : 40 mm nominal size</t>
        </is>
      </c>
      <c r="C611" s="22" t="inlineStr">
        <is>
          <t>cum</t>
        </is>
      </c>
      <c r="D611" s="23" t="n">
        <v>0.65</v>
      </c>
      <c r="E611" s="24" t="n">
        <v>1300</v>
      </c>
      <c r="F611" s="24">
        <f>D611*E611</f>
        <v/>
      </c>
      <c r="G611" s="22" t="n"/>
    </row>
    <row r="612">
      <c r="A612" s="22" t="inlineStr">
        <is>
          <t>0295</t>
        </is>
      </c>
      <c r="B612" s="11" t="inlineStr">
        <is>
          <t>Stone Aggregate (Single size) : 20 mm nominal size</t>
        </is>
      </c>
      <c r="C612" s="22" t="inlineStr">
        <is>
          <t>cum</t>
        </is>
      </c>
      <c r="D612" s="23" t="n">
        <v>0.24</v>
      </c>
      <c r="E612" s="24" t="n">
        <v>1350</v>
      </c>
      <c r="F612" s="24">
        <f>D612*E612</f>
        <v/>
      </c>
      <c r="G612" s="22" t="n"/>
    </row>
    <row r="613">
      <c r="A613" s="22" t="inlineStr">
        <is>
          <t>2206</t>
        </is>
      </c>
      <c r="B613" s="11" t="inlineStr">
        <is>
          <t>Carriage of Stone aggregate 40 mm nominal size and above</t>
        </is>
      </c>
      <c r="C613" s="22" t="inlineStr">
        <is>
          <t>cum</t>
        </is>
      </c>
      <c r="D613" s="23" t="n">
        <v>0.65</v>
      </c>
      <c r="E613" s="24" t="n">
        <v>112.79</v>
      </c>
      <c r="F613" s="24">
        <f>D613*E613</f>
        <v/>
      </c>
      <c r="G613" s="22" t="n"/>
    </row>
    <row r="614">
      <c r="A614" s="22" t="inlineStr">
        <is>
          <t>2202</t>
        </is>
      </c>
      <c r="B614" s="11" t="inlineStr">
        <is>
          <t>Carriage of Stone aggregate below 40 mm nominal size</t>
        </is>
      </c>
      <c r="C614" s="22" t="inlineStr">
        <is>
          <t>cum</t>
        </is>
      </c>
      <c r="D614" s="23" t="n">
        <v>0.24</v>
      </c>
      <c r="E614" s="24" t="n">
        <v>103.77</v>
      </c>
      <c r="F614" s="24">
        <f>D614*E614</f>
        <v/>
      </c>
      <c r="G614" s="22" t="n"/>
    </row>
    <row r="615">
      <c r="A615" s="22" t="inlineStr">
        <is>
          <t>0982</t>
        </is>
      </c>
      <c r="B615" s="11" t="inlineStr">
        <is>
          <t>Coarse sand (zone III)</t>
        </is>
      </c>
      <c r="C615" s="22" t="inlineStr">
        <is>
          <t>cum</t>
        </is>
      </c>
      <c r="D615" s="23" t="n">
        <v>0.37</v>
      </c>
      <c r="E615" s="24" t="n">
        <v>1350</v>
      </c>
      <c r="F615" s="24">
        <f>D615*E615</f>
        <v/>
      </c>
      <c r="G615" s="22" t="n"/>
    </row>
    <row r="616">
      <c r="A616" s="22" t="inlineStr">
        <is>
          <t>2203</t>
        </is>
      </c>
      <c r="B616" s="11" t="inlineStr">
        <is>
          <t>Carriage of Coarse sand</t>
        </is>
      </c>
      <c r="C616" s="22" t="inlineStr">
        <is>
          <t>cum</t>
        </is>
      </c>
      <c r="D616" s="23" t="n">
        <v>0.37</v>
      </c>
      <c r="E616" s="24" t="n">
        <v>103.77</v>
      </c>
      <c r="F616" s="24">
        <f>D616*E616</f>
        <v/>
      </c>
      <c r="G616" s="22" t="n"/>
    </row>
    <row r="617">
      <c r="A617" s="22" t="inlineStr">
        <is>
          <t>1980</t>
        </is>
      </c>
      <c r="B617" s="11" t="inlineStr">
        <is>
          <t>Flyash</t>
        </is>
      </c>
      <c r="C617" s="22" t="inlineStr">
        <is>
          <t>cum</t>
        </is>
      </c>
      <c r="D617" s="23" t="n">
        <v>0.21</v>
      </c>
      <c r="E617" s="24" t="n">
        <v>10</v>
      </c>
      <c r="F617" s="24">
        <f>D617*E617</f>
        <v/>
      </c>
      <c r="G617" s="22" t="n"/>
    </row>
    <row r="618">
      <c r="A618" s="22" t="inlineStr">
        <is>
          <t>2262</t>
        </is>
      </c>
      <c r="B618" s="11" t="inlineStr">
        <is>
          <t>Carriage of Flyash</t>
        </is>
      </c>
      <c r="C618" s="22" t="inlineStr">
        <is>
          <t>cum</t>
        </is>
      </c>
      <c r="D618" s="23" t="n">
        <v>0.21</v>
      </c>
      <c r="E618" s="24" t="n">
        <v>103.77</v>
      </c>
      <c r="F618" s="24">
        <f>D618*E618</f>
        <v/>
      </c>
      <c r="G618" s="22" t="n"/>
    </row>
    <row r="619">
      <c r="A619" s="22" t="inlineStr">
        <is>
          <t>0367</t>
        </is>
      </c>
      <c r="B619" s="11" t="inlineStr">
        <is>
          <t>Portland Cement</t>
        </is>
      </c>
      <c r="C619" s="22" t="inlineStr">
        <is>
          <t>tonne</t>
        </is>
      </c>
      <c r="D619" s="23" t="n">
        <v>0.24</v>
      </c>
      <c r="E619" s="24" t="n">
        <v>4940</v>
      </c>
      <c r="F619" s="24">
        <f>D619*E619</f>
        <v/>
      </c>
      <c r="G619" s="22" t="n"/>
    </row>
    <row r="620">
      <c r="A620" s="22" t="inlineStr">
        <is>
          <t>2209</t>
        </is>
      </c>
      <c r="B620" s="11" t="inlineStr">
        <is>
          <t>Carriage of Cement</t>
        </is>
      </c>
      <c r="C620" s="22" t="inlineStr">
        <is>
          <t>tonne</t>
        </is>
      </c>
      <c r="D620" s="23" t="n">
        <v>0.24</v>
      </c>
      <c r="E620" s="24" t="n">
        <v>92.23999999999999</v>
      </c>
      <c r="F620" s="24">
        <f>D620*E620</f>
        <v/>
      </c>
      <c r="G620" s="22" t="n"/>
    </row>
    <row r="621">
      <c r="A621" s="22" t="inlineStr">
        <is>
          <t>7318</t>
        </is>
      </c>
      <c r="B621" s="11" t="inlineStr">
        <is>
          <t>Plasticizer / super plasticizer</t>
        </is>
      </c>
      <c r="C621" s="22" t="inlineStr">
        <is>
          <t>kilogram</t>
        </is>
      </c>
      <c r="D621" s="23" t="n">
        <v>1.2</v>
      </c>
      <c r="E621" s="24" t="n">
        <v>36</v>
      </c>
      <c r="F621" s="24">
        <f>D621*E621</f>
        <v/>
      </c>
      <c r="G621" s="22" t="n"/>
    </row>
    <row r="622">
      <c r="A622" s="22" t="inlineStr">
        <is>
          <t>0004</t>
        </is>
      </c>
      <c r="B622" s="11" t="inlineStr">
        <is>
          <t>Production cost of concrete by batch mix plant.</t>
        </is>
      </c>
      <c r="C622" s="22" t="inlineStr">
        <is>
          <t>cum</t>
        </is>
      </c>
      <c r="D622" s="23" t="n">
        <v>1</v>
      </c>
      <c r="E622" s="24" t="n">
        <v>350</v>
      </c>
      <c r="F622" s="24">
        <f>D622*E622</f>
        <v/>
      </c>
      <c r="G622" s="22" t="n"/>
    </row>
    <row r="623">
      <c r="A623" s="22" t="inlineStr">
        <is>
          <t>0029</t>
        </is>
      </c>
      <c r="B623" s="11" t="inlineStr">
        <is>
          <t>Carriage of concrete by transit mixer. km/</t>
        </is>
      </c>
      <c r="C623" s="22" t="inlineStr">
        <is>
          <t>cum</t>
        </is>
      </c>
      <c r="D623" s="23" t="n">
        <v>10</v>
      </c>
      <c r="E623" s="24" t="n">
        <v>30</v>
      </c>
      <c r="F623" s="24">
        <f>D623*E623</f>
        <v/>
      </c>
      <c r="G623" s="22" t="n"/>
    </row>
    <row r="624">
      <c r="A624" s="22" t="inlineStr">
        <is>
          <t>0009</t>
        </is>
      </c>
      <c r="B624" s="11" t="inlineStr">
        <is>
          <t>Pumping charges of concrete including Hire charges of pump, piping work &amp; accessories etc.</t>
        </is>
      </c>
      <c r="C624" s="22" t="inlineStr">
        <is>
          <t>cum</t>
        </is>
      </c>
      <c r="D624" s="23" t="n">
        <v>1</v>
      </c>
      <c r="E624" s="24" t="n">
        <v>210</v>
      </c>
      <c r="F624" s="24">
        <f>D624*E624</f>
        <v/>
      </c>
      <c r="G624" s="22" t="n"/>
    </row>
    <row r="625">
      <c r="A625" s="22" t="inlineStr">
        <is>
          <t>0155</t>
        </is>
      </c>
      <c r="B625" s="11" t="inlineStr">
        <is>
          <t>Mason (average)</t>
        </is>
      </c>
      <c r="C625" s="22" t="inlineStr">
        <is>
          <t>day</t>
        </is>
      </c>
      <c r="D625" s="23" t="n">
        <v>0.17</v>
      </c>
      <c r="E625" s="24" t="n">
        <v>709</v>
      </c>
      <c r="F625" s="24">
        <f>D625*E625</f>
        <v/>
      </c>
      <c r="G625" s="22" t="n"/>
    </row>
    <row r="626">
      <c r="A626" s="22" t="inlineStr">
        <is>
          <t>0114</t>
        </is>
      </c>
      <c r="B626" s="11" t="inlineStr">
        <is>
          <t>Beldar</t>
        </is>
      </c>
      <c r="C626" s="22" t="inlineStr">
        <is>
          <t>day</t>
        </is>
      </c>
      <c r="D626" s="23" t="n">
        <v>2</v>
      </c>
      <c r="E626" s="24" t="n">
        <v>558</v>
      </c>
      <c r="F626" s="24">
        <f>D626*E626</f>
        <v/>
      </c>
      <c r="G626" s="22" t="n"/>
    </row>
    <row r="627">
      <c r="A627" s="22" t="inlineStr">
        <is>
          <t>0101</t>
        </is>
      </c>
      <c r="B627" s="11" t="inlineStr">
        <is>
          <t>Bhisti</t>
        </is>
      </c>
      <c r="C627" s="22" t="inlineStr">
        <is>
          <t>day</t>
        </is>
      </c>
      <c r="D627" s="23" t="n">
        <v>0.9</v>
      </c>
      <c r="E627" s="24" t="n">
        <v>617</v>
      </c>
      <c r="F627" s="24">
        <f>D627*E627</f>
        <v/>
      </c>
      <c r="G627" s="22" t="n"/>
    </row>
    <row r="628">
      <c r="A628" s="22" t="inlineStr">
        <is>
          <t>0012</t>
        </is>
      </c>
      <c r="B628" s="11" t="inlineStr">
        <is>
          <t>Vibrator(Needle type 40mm)</t>
        </is>
      </c>
      <c r="C628" s="22" t="inlineStr">
        <is>
          <t>day</t>
        </is>
      </c>
      <c r="D628" s="23" t="n">
        <v>0.07000000000000001</v>
      </c>
      <c r="E628" s="24" t="n">
        <v>370</v>
      </c>
      <c r="F628" s="24">
        <f>D628*E628</f>
        <v/>
      </c>
      <c r="G628" s="22" t="n"/>
    </row>
    <row r="629">
      <c r="A629" s="22" t="inlineStr">
        <is>
          <t>9999</t>
        </is>
      </c>
      <c r="B629" s="11" t="inlineStr">
        <is>
          <t>Sundries</t>
        </is>
      </c>
      <c r="C629" s="22" t="inlineStr">
        <is>
          <t>L.S.</t>
        </is>
      </c>
      <c r="D629" s="23" t="n">
        <v>13</v>
      </c>
      <c r="E629" s="24" t="n">
        <v>2</v>
      </c>
      <c r="F629" s="24">
        <f>D629*E629</f>
        <v/>
      </c>
      <c r="G629" s="22" t="n"/>
    </row>
    <row r="630">
      <c r="A630" s="8" t="inlineStr">
        <is>
          <t>Calculated W - SUM of the Amount column above</t>
        </is>
      </c>
      <c r="B630" s="9" t="n"/>
      <c r="C630" s="9" t="n"/>
      <c r="D630" s="9" t="n"/>
      <c r="E630" s="9" t="n"/>
      <c r="F630" s="25">
        <f>SUM(F611:F629)</f>
        <v/>
      </c>
      <c r="G630" s="9" t="n"/>
    </row>
    <row r="631">
      <c r="A631" s="26" t="inlineStr">
        <is>
          <t>W as printed in the DAR</t>
        </is>
      </c>
      <c r="B631" s="22" t="n"/>
      <c r="C631" s="22" t="n"/>
      <c r="D631" s="22" t="n"/>
      <c r="E631" s="22" t="n"/>
      <c r="F631" s="27" t="n">
        <v>5783.67</v>
      </c>
      <c r="G631" s="22" t="n"/>
    </row>
    <row r="632">
      <c r="A632" s="26" t="inlineStr">
        <is>
          <t>Difference (calculated - printed)</t>
        </is>
      </c>
      <c r="B632" s="22" t="n"/>
      <c r="C632" s="22" t="n"/>
      <c r="D632" s="22" t="n"/>
      <c r="E632" s="22" t="n"/>
      <c r="F632" s="27">
        <f>F630-F631</f>
        <v/>
      </c>
      <c r="G632" s="22" t="n"/>
    </row>
    <row r="633">
      <c r="A633" s="29" t="inlineStr">
        <is>
          <t>SAY (Rs.) - final DAR rate as printed (fixed value, not computed)</t>
        </is>
      </c>
      <c r="B633" s="30" t="n"/>
      <c r="C633" s="30" t="n"/>
      <c r="D633" s="30" t="n"/>
      <c r="E633" s="30" t="n"/>
      <c r="F633" s="31" t="n">
        <v>7738.2</v>
      </c>
      <c r="G633" s="30" t="n"/>
    </row>
    <row r="635" ht="105.5" customHeight="1">
      <c r="A635" s="8" t="inlineStr">
        <is>
          <t>4.19</t>
        </is>
      </c>
      <c r="B635" s="17"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635" s="9" t="n"/>
      <c r="D635" s="9" t="n"/>
      <c r="E635" s="9" t="n"/>
      <c r="F635" s="9" t="n"/>
      <c r="G635" s="9" t="n"/>
    </row>
    <row r="636" ht="18.5" customHeight="1">
      <c r="A636" s="8" t="inlineStr">
        <is>
          <t>4.19.1</t>
        </is>
      </c>
      <c r="B636" s="17" t="inlineStr">
        <is>
          <t>All works upto plinth level:</t>
        </is>
      </c>
      <c r="C636" s="9" t="n"/>
      <c r="D636" s="9" t="n"/>
      <c r="E636" s="9" t="n"/>
      <c r="F636" s="9" t="n"/>
      <c r="G636" s="9" t="n"/>
    </row>
    <row r="637" ht="18.5" customHeight="1">
      <c r="A637" s="18" t="inlineStr">
        <is>
          <t>4.19.1.2</t>
        </is>
      </c>
      <c r="B637" s="19" t="inlineStr">
        <is>
          <t>M-10 grade plain cement concrete (cement content considered @ 220 kg/cum)</t>
        </is>
      </c>
      <c r="C637" s="20" t="n"/>
      <c r="D637" s="20" t="n"/>
      <c r="E637" s="20" t="n"/>
      <c r="F637" s="20" t="n"/>
      <c r="G637" s="20" t="n"/>
    </row>
    <row r="638">
      <c r="A638" s="21" t="inlineStr">
        <is>
          <t>Details of cost for 1 cum   |   Source: CivilDAR_2019_Vol_1.pdf, page 180</t>
        </is>
      </c>
    </row>
    <row r="639">
      <c r="A639" s="5" t="inlineStr">
        <is>
          <t>Code</t>
        </is>
      </c>
      <c r="B639" s="5" t="inlineStr">
        <is>
          <t>Description</t>
        </is>
      </c>
      <c r="C639" s="5" t="inlineStr">
        <is>
          <t>Unit</t>
        </is>
      </c>
      <c r="D639" s="5" t="inlineStr">
        <is>
          <t>Quantity</t>
        </is>
      </c>
      <c r="E639" s="5" t="inlineStr">
        <is>
          <t>Rate (Rs.)</t>
        </is>
      </c>
      <c r="F639" s="5" t="inlineStr">
        <is>
          <t>Amount (Rs.)</t>
        </is>
      </c>
      <c r="G639" s="5" t="inlineStr">
        <is>
          <t>Note</t>
        </is>
      </c>
    </row>
    <row r="640">
      <c r="A640" s="22" t="inlineStr">
        <is>
          <t>0293</t>
        </is>
      </c>
      <c r="B640" s="11" t="inlineStr">
        <is>
          <t>Stone Aggregate (Single size) : 40 mm nominal size</t>
        </is>
      </c>
      <c r="C640" s="22" t="inlineStr">
        <is>
          <t>cum</t>
        </is>
      </c>
      <c r="D640" s="23" t="n">
        <v>0.65</v>
      </c>
      <c r="E640" s="24" t="n">
        <v>1300</v>
      </c>
      <c r="F640" s="24">
        <f>D640*E640</f>
        <v/>
      </c>
      <c r="G640" s="22" t="n"/>
    </row>
    <row r="641">
      <c r="A641" s="22" t="inlineStr">
        <is>
          <t>0295</t>
        </is>
      </c>
      <c r="B641" s="11" t="inlineStr">
        <is>
          <t>Stone Aggregate (Single size) : 20 mm nominal size</t>
        </is>
      </c>
      <c r="C641" s="22" t="inlineStr">
        <is>
          <t>cum</t>
        </is>
      </c>
      <c r="D641" s="23" t="n">
        <v>0.24</v>
      </c>
      <c r="E641" s="24" t="n">
        <v>1350</v>
      </c>
      <c r="F641" s="24">
        <f>D641*E641</f>
        <v/>
      </c>
      <c r="G641" s="22" t="n"/>
    </row>
    <row r="642">
      <c r="A642" s="22" t="inlineStr">
        <is>
          <t>2206</t>
        </is>
      </c>
      <c r="B642" s="11" t="inlineStr">
        <is>
          <t>Carriage of Stone aggregate 40 mm nominal size and above</t>
        </is>
      </c>
      <c r="C642" s="22" t="inlineStr">
        <is>
          <t>cum</t>
        </is>
      </c>
      <c r="D642" s="23" t="n">
        <v>0.65</v>
      </c>
      <c r="E642" s="24" t="n">
        <v>112.79</v>
      </c>
      <c r="F642" s="24">
        <f>D642*E642</f>
        <v/>
      </c>
      <c r="G642" s="22" t="n"/>
    </row>
    <row r="643">
      <c r="A643" s="22" t="inlineStr">
        <is>
          <t>2202</t>
        </is>
      </c>
      <c r="B643" s="11" t="inlineStr">
        <is>
          <t>Carriage of Stone aggregate below 40 mm nominal size</t>
        </is>
      </c>
      <c r="C643" s="22" t="inlineStr">
        <is>
          <t>cum</t>
        </is>
      </c>
      <c r="D643" s="23" t="n">
        <v>0.24</v>
      </c>
      <c r="E643" s="24" t="n">
        <v>103.77</v>
      </c>
      <c r="F643" s="24">
        <f>D643*E643</f>
        <v/>
      </c>
      <c r="G643" s="22" t="n"/>
    </row>
    <row r="644">
      <c r="A644" s="22" t="inlineStr">
        <is>
          <t>0982</t>
        </is>
      </c>
      <c r="B644" s="11" t="inlineStr">
        <is>
          <t>Coarse sand (zone III)</t>
        </is>
      </c>
      <c r="C644" s="22" t="inlineStr">
        <is>
          <t>cum</t>
        </is>
      </c>
      <c r="D644" s="23" t="n">
        <v>0.37</v>
      </c>
      <c r="E644" s="24" t="n">
        <v>1350</v>
      </c>
      <c r="F644" s="24">
        <f>D644*E644</f>
        <v/>
      </c>
      <c r="G644" s="22" t="n"/>
    </row>
    <row r="645">
      <c r="A645" s="22" t="inlineStr">
        <is>
          <t>2203</t>
        </is>
      </c>
      <c r="B645" s="11" t="inlineStr">
        <is>
          <t>Carriage of Coarse sand</t>
        </is>
      </c>
      <c r="C645" s="22" t="inlineStr">
        <is>
          <t>cum</t>
        </is>
      </c>
      <c r="D645" s="23" t="n">
        <v>0.37</v>
      </c>
      <c r="E645" s="24" t="n">
        <v>103.77</v>
      </c>
      <c r="F645" s="24">
        <f>D645*E645</f>
        <v/>
      </c>
      <c r="G645" s="22" t="n"/>
    </row>
    <row r="646">
      <c r="A646" s="22" t="inlineStr">
        <is>
          <t>1980</t>
        </is>
      </c>
      <c r="B646" s="11" t="inlineStr">
        <is>
          <t>Flyash</t>
        </is>
      </c>
      <c r="C646" s="22" t="inlineStr">
        <is>
          <t>cum</t>
        </is>
      </c>
      <c r="D646" s="23" t="n">
        <v>0.21</v>
      </c>
      <c r="E646" s="24" t="n">
        <v>10</v>
      </c>
      <c r="F646" s="24">
        <f>D646*E646</f>
        <v/>
      </c>
      <c r="G646" s="22" t="n"/>
    </row>
    <row r="647">
      <c r="A647" s="22" t="inlineStr">
        <is>
          <t>2262</t>
        </is>
      </c>
      <c r="B647" s="11" t="inlineStr">
        <is>
          <t>Carriage of Flyash</t>
        </is>
      </c>
      <c r="C647" s="22" t="inlineStr">
        <is>
          <t>cum</t>
        </is>
      </c>
      <c r="D647" s="23" t="n">
        <v>0.21</v>
      </c>
      <c r="E647" s="24" t="n">
        <v>103.77</v>
      </c>
      <c r="F647" s="24">
        <f>D647*E647</f>
        <v/>
      </c>
      <c r="G647" s="22" t="n"/>
    </row>
    <row r="648">
      <c r="A648" s="22" t="inlineStr">
        <is>
          <t>0367</t>
        </is>
      </c>
      <c r="B648" s="11" t="inlineStr">
        <is>
          <t>Portland Cement</t>
        </is>
      </c>
      <c r="C648" s="22" t="inlineStr">
        <is>
          <t>tonne</t>
        </is>
      </c>
      <c r="D648" s="23" t="n">
        <v>0.22</v>
      </c>
      <c r="E648" s="24" t="n">
        <v>4940</v>
      </c>
      <c r="F648" s="24">
        <f>D648*E648</f>
        <v/>
      </c>
      <c r="G648" s="22" t="n"/>
    </row>
    <row r="649">
      <c r="A649" s="22" t="inlineStr">
        <is>
          <t>2209</t>
        </is>
      </c>
      <c r="B649" s="11" t="inlineStr">
        <is>
          <t>Carriage of Cement</t>
        </is>
      </c>
      <c r="C649" s="22" t="inlineStr">
        <is>
          <t>tonne</t>
        </is>
      </c>
      <c r="D649" s="23" t="n">
        <v>0.22</v>
      </c>
      <c r="E649" s="24" t="n">
        <v>92.23999999999999</v>
      </c>
      <c r="F649" s="24">
        <f>D649*E649</f>
        <v/>
      </c>
      <c r="G649" s="22" t="n"/>
    </row>
    <row r="650">
      <c r="A650" s="22" t="inlineStr">
        <is>
          <t>7318</t>
        </is>
      </c>
      <c r="B650" s="11" t="inlineStr">
        <is>
          <t>Plasticizer / super plasticizer</t>
        </is>
      </c>
      <c r="C650" s="22" t="inlineStr">
        <is>
          <t>kilogram</t>
        </is>
      </c>
      <c r="D650" s="23" t="n">
        <v>1.1</v>
      </c>
      <c r="E650" s="24" t="n">
        <v>36</v>
      </c>
      <c r="F650" s="24">
        <f>D650*E650</f>
        <v/>
      </c>
      <c r="G650" s="22" t="n"/>
    </row>
    <row r="651">
      <c r="A651" s="22" t="inlineStr">
        <is>
          <t>0004</t>
        </is>
      </c>
      <c r="B651" s="11" t="inlineStr">
        <is>
          <t>Production cost of concrete by batch mix plant.</t>
        </is>
      </c>
      <c r="C651" s="22" t="inlineStr">
        <is>
          <t>cum</t>
        </is>
      </c>
      <c r="D651" s="23" t="n">
        <v>1</v>
      </c>
      <c r="E651" s="24" t="n">
        <v>350</v>
      </c>
      <c r="F651" s="24">
        <f>D651*E651</f>
        <v/>
      </c>
      <c r="G651" s="22" t="n"/>
    </row>
    <row r="652">
      <c r="A652" s="22" t="inlineStr">
        <is>
          <t>0029</t>
        </is>
      </c>
      <c r="B652" s="11" t="inlineStr">
        <is>
          <t>Carriage of concrete by transit mixer. km/</t>
        </is>
      </c>
      <c r="C652" s="22" t="inlineStr">
        <is>
          <t>cum</t>
        </is>
      </c>
      <c r="D652" s="23" t="n">
        <v>10</v>
      </c>
      <c r="E652" s="24" t="n">
        <v>30</v>
      </c>
      <c r="F652" s="24">
        <f>D652*E652</f>
        <v/>
      </c>
      <c r="G652" s="22" t="n"/>
    </row>
    <row r="653">
      <c r="A653" s="22" t="inlineStr">
        <is>
          <t>0009</t>
        </is>
      </c>
      <c r="B653" s="11" t="inlineStr">
        <is>
          <t>Pumping charges of concrete including Hire charges of pump, piping work &amp; accessories etc.</t>
        </is>
      </c>
      <c r="C653" s="22" t="inlineStr">
        <is>
          <t>cum</t>
        </is>
      </c>
      <c r="D653" s="23" t="n">
        <v>1</v>
      </c>
      <c r="E653" s="24" t="n">
        <v>210</v>
      </c>
      <c r="F653" s="24">
        <f>D653*E653</f>
        <v/>
      </c>
      <c r="G653" s="22" t="n"/>
    </row>
    <row r="654">
      <c r="A654" s="22" t="inlineStr">
        <is>
          <t>0155</t>
        </is>
      </c>
      <c r="B654" s="11" t="inlineStr">
        <is>
          <t>Mason (average)</t>
        </is>
      </c>
      <c r="C654" s="22" t="inlineStr">
        <is>
          <t>day</t>
        </is>
      </c>
      <c r="D654" s="23" t="n">
        <v>0.17</v>
      </c>
      <c r="E654" s="24" t="n">
        <v>709</v>
      </c>
      <c r="F654" s="24">
        <f>D654*E654</f>
        <v/>
      </c>
      <c r="G654" s="22" t="n"/>
    </row>
    <row r="655">
      <c r="A655" s="22" t="inlineStr">
        <is>
          <t>0114</t>
        </is>
      </c>
      <c r="B655" s="11" t="inlineStr">
        <is>
          <t>Beldar</t>
        </is>
      </c>
      <c r="C655" s="22" t="inlineStr">
        <is>
          <t>day</t>
        </is>
      </c>
      <c r="D655" s="23" t="n">
        <v>2</v>
      </c>
      <c r="E655" s="24" t="n">
        <v>558</v>
      </c>
      <c r="F655" s="24">
        <f>D655*E655</f>
        <v/>
      </c>
      <c r="G655" s="22" t="n"/>
    </row>
    <row r="656">
      <c r="A656" s="22" t="inlineStr">
        <is>
          <t>0101</t>
        </is>
      </c>
      <c r="B656" s="11" t="inlineStr">
        <is>
          <t>Bhisti</t>
        </is>
      </c>
      <c r="C656" s="22" t="inlineStr">
        <is>
          <t>day</t>
        </is>
      </c>
      <c r="D656" s="23" t="n">
        <v>0.9</v>
      </c>
      <c r="E656" s="24" t="n">
        <v>617</v>
      </c>
      <c r="F656" s="24">
        <f>D656*E656</f>
        <v/>
      </c>
      <c r="G656" s="22" t="n"/>
    </row>
    <row r="657">
      <c r="A657" s="22" t="inlineStr">
        <is>
          <t>0012</t>
        </is>
      </c>
      <c r="B657" s="11" t="inlineStr">
        <is>
          <t>Vibrator(Needle type 40mm)</t>
        </is>
      </c>
      <c r="C657" s="22" t="inlineStr">
        <is>
          <t>day</t>
        </is>
      </c>
      <c r="D657" s="23" t="n">
        <v>0.07000000000000001</v>
      </c>
      <c r="E657" s="24" t="n">
        <v>370</v>
      </c>
      <c r="F657" s="24">
        <f>D657*E657</f>
        <v/>
      </c>
      <c r="G657" s="22" t="n"/>
    </row>
    <row r="658">
      <c r="A658" s="22" t="inlineStr">
        <is>
          <t>9999</t>
        </is>
      </c>
      <c r="B658" s="11" t="inlineStr">
        <is>
          <t>Sundries</t>
        </is>
      </c>
      <c r="C658" s="22" t="inlineStr">
        <is>
          <t>L.S.</t>
        </is>
      </c>
      <c r="D658" s="23" t="n">
        <v>13</v>
      </c>
      <c r="E658" s="24" t="n">
        <v>2</v>
      </c>
      <c r="F658" s="24">
        <f>D658*E658</f>
        <v/>
      </c>
      <c r="G658" s="22" t="n"/>
    </row>
    <row r="659">
      <c r="A659" s="8" t="inlineStr">
        <is>
          <t>Calculated W - SUM of the Amount column above</t>
        </is>
      </c>
      <c r="B659" s="9" t="n"/>
      <c r="C659" s="9" t="n"/>
      <c r="D659" s="9" t="n"/>
      <c r="E659" s="9" t="n"/>
      <c r="F659" s="25">
        <f>SUM(F640:F658)</f>
        <v/>
      </c>
      <c r="G659" s="9" t="n"/>
    </row>
    <row r="660">
      <c r="A660" s="26" t="inlineStr">
        <is>
          <t>W as printed in the DAR</t>
        </is>
      </c>
      <c r="B660" s="22" t="n"/>
      <c r="C660" s="22" t="n"/>
      <c r="D660" s="22" t="n"/>
      <c r="E660" s="22" t="n"/>
      <c r="F660" s="27" t="n">
        <v>5679.43</v>
      </c>
      <c r="G660" s="22" t="n"/>
    </row>
    <row r="661">
      <c r="A661" s="26" t="inlineStr">
        <is>
          <t>Difference (calculated - printed)</t>
        </is>
      </c>
      <c r="B661" s="22" t="n"/>
      <c r="C661" s="22" t="n"/>
      <c r="D661" s="22" t="n"/>
      <c r="E661" s="22" t="n"/>
      <c r="F661" s="27">
        <f>F659-F660</f>
        <v/>
      </c>
      <c r="G661" s="22" t="n"/>
    </row>
    <row r="662">
      <c r="A662" s="29" t="inlineStr">
        <is>
          <t>SAY (Rs.) - final DAR rate as printed (fixed value, not computed)</t>
        </is>
      </c>
      <c r="B662" s="30" t="n"/>
      <c r="C662" s="30" t="n"/>
      <c r="D662" s="30" t="n"/>
      <c r="E662" s="30" t="n"/>
      <c r="F662" s="31" t="n">
        <v>7598.7</v>
      </c>
      <c r="G662" s="30" t="n"/>
    </row>
    <row r="664" ht="105.5" customHeight="1">
      <c r="A664" s="8" t="inlineStr">
        <is>
          <t>4.19</t>
        </is>
      </c>
      <c r="B664" s="17"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664" s="9" t="n"/>
      <c r="D664" s="9" t="n"/>
      <c r="E664" s="9" t="n"/>
      <c r="F664" s="9" t="n"/>
      <c r="G664" s="9" t="n"/>
    </row>
    <row r="665" ht="18.5" customHeight="1">
      <c r="A665" s="8" t="inlineStr">
        <is>
          <t>4.19.2</t>
        </is>
      </c>
      <c r="B665" s="17" t="inlineStr">
        <is>
          <t>All works above plinth and upto floor V level:</t>
        </is>
      </c>
      <c r="C665" s="9" t="n"/>
      <c r="D665" s="9" t="n"/>
      <c r="E665" s="9" t="n"/>
      <c r="F665" s="9" t="n"/>
      <c r="G665" s="9" t="n"/>
    </row>
    <row r="666" ht="18.5" customHeight="1">
      <c r="A666" s="18" t="inlineStr">
        <is>
          <t>4.19.2.1</t>
        </is>
      </c>
      <c r="B666" s="19" t="inlineStr">
        <is>
          <t>M-15 grade plain cement concrete (cement content considered @ 240 kg / cum)</t>
        </is>
      </c>
      <c r="C666" s="20" t="n"/>
      <c r="D666" s="20" t="n"/>
      <c r="E666" s="20" t="n"/>
      <c r="F666" s="20" t="n"/>
      <c r="G666" s="20" t="n"/>
    </row>
    <row r="667">
      <c r="A667" s="21" t="inlineStr">
        <is>
          <t>Details of cost for 1 cum   |   Source: CivilDAR_2019_Vol_1.pdf, page 181</t>
        </is>
      </c>
    </row>
    <row r="668">
      <c r="A668" s="5" t="inlineStr">
        <is>
          <t>Code</t>
        </is>
      </c>
      <c r="B668" s="5" t="inlineStr">
        <is>
          <t>Description</t>
        </is>
      </c>
      <c r="C668" s="5" t="inlineStr">
        <is>
          <t>Unit</t>
        </is>
      </c>
      <c r="D668" s="5" t="inlineStr">
        <is>
          <t>Quantity</t>
        </is>
      </c>
      <c r="E668" s="5" t="inlineStr">
        <is>
          <t>Rate (Rs.)</t>
        </is>
      </c>
      <c r="F668" s="5" t="inlineStr">
        <is>
          <t>Amount (Rs.)</t>
        </is>
      </c>
      <c r="G668" s="5" t="inlineStr">
        <is>
          <t>Note</t>
        </is>
      </c>
    </row>
    <row r="669">
      <c r="A669" s="22" t="inlineStr">
        <is>
          <t>0293</t>
        </is>
      </c>
      <c r="B669" s="11" t="inlineStr">
        <is>
          <t>Stone Aggregate (Single size) : 40 mm nominal size</t>
        </is>
      </c>
      <c r="C669" s="22" t="inlineStr">
        <is>
          <t>cum</t>
        </is>
      </c>
      <c r="D669" s="23" t="n">
        <v>0.65</v>
      </c>
      <c r="E669" s="24" t="n">
        <v>1300</v>
      </c>
      <c r="F669" s="24">
        <f>D669*E669</f>
        <v/>
      </c>
      <c r="G669" s="22" t="n"/>
    </row>
    <row r="670">
      <c r="A670" s="22" t="inlineStr">
        <is>
          <t>0295</t>
        </is>
      </c>
      <c r="B670" s="11" t="inlineStr">
        <is>
          <t>Stone Aggregate (Single size) : 20 mm nominal size</t>
        </is>
      </c>
      <c r="C670" s="22" t="inlineStr">
        <is>
          <t>cum</t>
        </is>
      </c>
      <c r="D670" s="23" t="n">
        <v>0.24</v>
      </c>
      <c r="E670" s="24" t="n">
        <v>1350</v>
      </c>
      <c r="F670" s="24">
        <f>D670*E670</f>
        <v/>
      </c>
      <c r="G670" s="22" t="n"/>
    </row>
    <row r="671">
      <c r="A671" s="22" t="inlineStr">
        <is>
          <t>2206</t>
        </is>
      </c>
      <c r="B671" s="11" t="inlineStr">
        <is>
          <t>Carriage of Stone aggregate 40 mm nominal size and above</t>
        </is>
      </c>
      <c r="C671" s="22" t="inlineStr">
        <is>
          <t>cum</t>
        </is>
      </c>
      <c r="D671" s="23" t="n">
        <v>0.65</v>
      </c>
      <c r="E671" s="24" t="n">
        <v>112.79</v>
      </c>
      <c r="F671" s="24">
        <f>D671*E671</f>
        <v/>
      </c>
      <c r="G671" s="22" t="n"/>
    </row>
    <row r="672">
      <c r="A672" s="22" t="inlineStr">
        <is>
          <t>2202</t>
        </is>
      </c>
      <c r="B672" s="11" t="inlineStr">
        <is>
          <t>Carriage of Stone aggregate below 40 mm nominal size</t>
        </is>
      </c>
      <c r="C672" s="22" t="inlineStr">
        <is>
          <t>cum</t>
        </is>
      </c>
      <c r="D672" s="23" t="n">
        <v>0.24</v>
      </c>
      <c r="E672" s="24" t="n">
        <v>103.77</v>
      </c>
      <c r="F672" s="24">
        <f>D672*E672</f>
        <v/>
      </c>
      <c r="G672" s="22" t="n"/>
    </row>
    <row r="673">
      <c r="A673" s="22" t="inlineStr">
        <is>
          <t>0982</t>
        </is>
      </c>
      <c r="B673" s="11" t="inlineStr">
        <is>
          <t>Coarse sand (zone III)</t>
        </is>
      </c>
      <c r="C673" s="22" t="inlineStr">
        <is>
          <t>cum</t>
        </is>
      </c>
      <c r="D673" s="23" t="n">
        <v>0.37</v>
      </c>
      <c r="E673" s="24" t="n">
        <v>1350</v>
      </c>
      <c r="F673" s="24">
        <f>D673*E673</f>
        <v/>
      </c>
      <c r="G673" s="22" t="n"/>
    </row>
    <row r="674">
      <c r="A674" s="22" t="inlineStr">
        <is>
          <t>2203</t>
        </is>
      </c>
      <c r="B674" s="11" t="inlineStr">
        <is>
          <t>Carriage of Coarse sand</t>
        </is>
      </c>
      <c r="C674" s="22" t="inlineStr">
        <is>
          <t>cum</t>
        </is>
      </c>
      <c r="D674" s="23" t="n">
        <v>0.37</v>
      </c>
      <c r="E674" s="24" t="n">
        <v>103.77</v>
      </c>
      <c r="F674" s="24">
        <f>D674*E674</f>
        <v/>
      </c>
      <c r="G674" s="22" t="n"/>
    </row>
    <row r="675">
      <c r="A675" s="22" t="inlineStr">
        <is>
          <t>1980</t>
        </is>
      </c>
      <c r="B675" s="11" t="inlineStr">
        <is>
          <t>Flyash</t>
        </is>
      </c>
      <c r="C675" s="22" t="inlineStr">
        <is>
          <t>cum</t>
        </is>
      </c>
      <c r="D675" s="23" t="n">
        <v>0.21</v>
      </c>
      <c r="E675" s="24" t="n">
        <v>10</v>
      </c>
      <c r="F675" s="24">
        <f>D675*E675</f>
        <v/>
      </c>
      <c r="G675" s="22" t="n"/>
    </row>
    <row r="676">
      <c r="A676" s="22" t="inlineStr">
        <is>
          <t>2262</t>
        </is>
      </c>
      <c r="B676" s="11" t="inlineStr">
        <is>
          <t>Carriage of Flyash</t>
        </is>
      </c>
      <c r="C676" s="22" t="inlineStr">
        <is>
          <t>cum</t>
        </is>
      </c>
      <c r="D676" s="23" t="n">
        <v>0.21</v>
      </c>
      <c r="E676" s="24" t="n">
        <v>103.77</v>
      </c>
      <c r="F676" s="24">
        <f>D676*E676</f>
        <v/>
      </c>
      <c r="G676" s="22" t="n"/>
    </row>
    <row r="677">
      <c r="A677" s="22" t="inlineStr">
        <is>
          <t>0367</t>
        </is>
      </c>
      <c r="B677" s="11" t="inlineStr">
        <is>
          <t>Portland Cement</t>
        </is>
      </c>
      <c r="C677" s="22" t="inlineStr">
        <is>
          <t>tonne</t>
        </is>
      </c>
      <c r="D677" s="23" t="n">
        <v>0.24</v>
      </c>
      <c r="E677" s="24" t="n">
        <v>4940</v>
      </c>
      <c r="F677" s="24">
        <f>D677*E677</f>
        <v/>
      </c>
      <c r="G677" s="22" t="n"/>
    </row>
    <row r="678">
      <c r="A678" s="22" t="inlineStr">
        <is>
          <t>2209</t>
        </is>
      </c>
      <c r="B678" s="11" t="inlineStr">
        <is>
          <t>Carriage of Cement</t>
        </is>
      </c>
      <c r="C678" s="22" t="inlineStr">
        <is>
          <t>tonne</t>
        </is>
      </c>
      <c r="D678" s="23" t="n">
        <v>0.24</v>
      </c>
      <c r="E678" s="24" t="n">
        <v>92.23999999999999</v>
      </c>
      <c r="F678" s="24">
        <f>D678*E678</f>
        <v/>
      </c>
      <c r="G678" s="22" t="n"/>
    </row>
    <row r="679">
      <c r="A679" s="22" t="inlineStr">
        <is>
          <t>7318</t>
        </is>
      </c>
      <c r="B679" s="11" t="inlineStr">
        <is>
          <t>Plasticizer / super plasticizer</t>
        </is>
      </c>
      <c r="C679" s="22" t="inlineStr">
        <is>
          <t>kilogram</t>
        </is>
      </c>
      <c r="D679" s="23" t="n">
        <v>1.2</v>
      </c>
      <c r="E679" s="24" t="n">
        <v>36</v>
      </c>
      <c r="F679" s="24">
        <f>D679*E679</f>
        <v/>
      </c>
      <c r="G679" s="22" t="n"/>
    </row>
    <row r="680">
      <c r="A680" s="22" t="inlineStr">
        <is>
          <t>0004</t>
        </is>
      </c>
      <c r="B680" s="11" t="inlineStr">
        <is>
          <t>Production cost of concrete by batch mix plant</t>
        </is>
      </c>
      <c r="C680" s="22" t="inlineStr">
        <is>
          <t>cum</t>
        </is>
      </c>
      <c r="D680" s="23" t="n">
        <v>1</v>
      </c>
      <c r="E680" s="24" t="n">
        <v>350</v>
      </c>
      <c r="F680" s="24">
        <f>D680*E680</f>
        <v/>
      </c>
      <c r="G680" s="22" t="n"/>
    </row>
    <row r="681">
      <c r="A681" s="22" t="inlineStr">
        <is>
          <t>0029</t>
        </is>
      </c>
      <c r="B681" s="11" t="inlineStr">
        <is>
          <t>Carriage of concrete by transit mixer. km/</t>
        </is>
      </c>
      <c r="C681" s="22" t="inlineStr">
        <is>
          <t>cum</t>
        </is>
      </c>
      <c r="D681" s="23" t="n">
        <v>10</v>
      </c>
      <c r="E681" s="24" t="n">
        <v>30</v>
      </c>
      <c r="F681" s="24">
        <f>D681*E681</f>
        <v/>
      </c>
      <c r="G681" s="22" t="n"/>
    </row>
    <row r="682">
      <c r="A682" s="22" t="inlineStr">
        <is>
          <t>0155</t>
        </is>
      </c>
      <c r="B682" s="11" t="inlineStr">
        <is>
          <t>Mason (average)</t>
        </is>
      </c>
      <c r="C682" s="22" t="inlineStr">
        <is>
          <t>day</t>
        </is>
      </c>
      <c r="D682" s="23" t="n">
        <v>0.17</v>
      </c>
      <c r="E682" s="24" t="n">
        <v>709</v>
      </c>
      <c r="F682" s="24">
        <f>D682*E682</f>
        <v/>
      </c>
      <c r="G682" s="22" t="n"/>
    </row>
    <row r="683">
      <c r="A683" s="22" t="inlineStr">
        <is>
          <t>0114</t>
        </is>
      </c>
      <c r="B683" s="11" t="inlineStr">
        <is>
          <t>Beldar</t>
        </is>
      </c>
      <c r="C683" s="22" t="inlineStr">
        <is>
          <t>day</t>
        </is>
      </c>
      <c r="D683" s="23" t="n">
        <v>2</v>
      </c>
      <c r="E683" s="24" t="n">
        <v>558</v>
      </c>
      <c r="F683" s="24">
        <f>D683*E683</f>
        <v/>
      </c>
      <c r="G683" s="22" t="n"/>
    </row>
    <row r="684">
      <c r="A684" s="22" t="inlineStr">
        <is>
          <t>0101</t>
        </is>
      </c>
      <c r="B684" s="11" t="inlineStr">
        <is>
          <t>Bhisti</t>
        </is>
      </c>
      <c r="C684" s="22" t="inlineStr">
        <is>
          <t>day</t>
        </is>
      </c>
      <c r="D684" s="23" t="n">
        <v>0.9</v>
      </c>
      <c r="E684" s="24" t="n">
        <v>617</v>
      </c>
      <c r="F684" s="24">
        <f>D684*E684</f>
        <v/>
      </c>
      <c r="G684" s="22" t="n"/>
    </row>
    <row r="685">
      <c r="A685" s="22" t="inlineStr">
        <is>
          <t>0012</t>
        </is>
      </c>
      <c r="B685" s="11" t="inlineStr">
        <is>
          <t>Vibrator(Needle type 40mm)</t>
        </is>
      </c>
      <c r="C685" s="22" t="inlineStr">
        <is>
          <t>day</t>
        </is>
      </c>
      <c r="D685" s="23" t="n">
        <v>0.07000000000000001</v>
      </c>
      <c r="E685" s="24" t="n">
        <v>370</v>
      </c>
      <c r="F685" s="24">
        <f>D685*E685</f>
        <v/>
      </c>
      <c r="G685" s="22" t="n"/>
    </row>
    <row r="686">
      <c r="A686" s="22" t="inlineStr">
        <is>
          <t>9999</t>
        </is>
      </c>
      <c r="B686" s="11" t="inlineStr">
        <is>
          <t>Sundries</t>
        </is>
      </c>
      <c r="C686" s="22" t="inlineStr">
        <is>
          <t>L.S.</t>
        </is>
      </c>
      <c r="D686" s="23" t="n">
        <v>13</v>
      </c>
      <c r="E686" s="24" t="n">
        <v>2</v>
      </c>
      <c r="F686" s="24">
        <f>D686*E686</f>
        <v/>
      </c>
      <c r="G686" s="22" t="n"/>
    </row>
    <row r="687">
      <c r="A687" s="22" t="inlineStr">
        <is>
          <t>0115</t>
        </is>
      </c>
      <c r="B687" s="11" t="inlineStr">
        <is>
          <t>Coolie</t>
        </is>
      </c>
      <c r="C687" s="22" t="inlineStr">
        <is>
          <t>day</t>
        </is>
      </c>
      <c r="D687" s="23" t="n">
        <v>1.88</v>
      </c>
      <c r="E687" s="24" t="n">
        <v>558</v>
      </c>
      <c r="F687" s="24">
        <f>D687*E687</f>
        <v/>
      </c>
      <c r="G687" s="22" t="n"/>
    </row>
    <row r="688">
      <c r="A688" s="8" t="inlineStr">
        <is>
          <t>Calculated W - SUM of the Amount column above</t>
        </is>
      </c>
      <c r="B688" s="9" t="n"/>
      <c r="C688" s="9" t="n"/>
      <c r="D688" s="9" t="n"/>
      <c r="E688" s="9" t="n"/>
      <c r="F688" s="25">
        <f>SUM(F669:F687)</f>
        <v/>
      </c>
      <c r="G688" s="9" t="n"/>
    </row>
    <row r="689">
      <c r="A689" s="26" t="inlineStr">
        <is>
          <t>W as printed in the DAR</t>
        </is>
      </c>
      <c r="B689" s="22" t="n"/>
      <c r="C689" s="22" t="n"/>
      <c r="D689" s="22" t="n"/>
      <c r="E689" s="22" t="n"/>
      <c r="F689" s="27" t="n">
        <v>6622.71</v>
      </c>
      <c r="G689" s="22" t="n"/>
    </row>
    <row r="690">
      <c r="A690" s="26" t="inlineStr">
        <is>
          <t>Difference (calculated - printed)</t>
        </is>
      </c>
      <c r="B690" s="22" t="n"/>
      <c r="C690" s="22" t="n"/>
      <c r="D690" s="22" t="n"/>
      <c r="E690" s="22" t="n"/>
      <c r="F690" s="27">
        <f>F688-F689</f>
        <v/>
      </c>
      <c r="G690" s="22" t="n"/>
    </row>
    <row r="691">
      <c r="A691" s="29" t="inlineStr">
        <is>
          <t>SAY (Rs.) - final DAR rate as printed (fixed value, not computed)</t>
        </is>
      </c>
      <c r="B691" s="30" t="n"/>
      <c r="C691" s="30" t="n"/>
      <c r="D691" s="30" t="n"/>
      <c r="E691" s="30" t="n"/>
      <c r="F691" s="31" t="n">
        <v>8860.799999999999</v>
      </c>
      <c r="G691" s="30" t="n"/>
    </row>
    <row r="693" ht="105.5" customHeight="1">
      <c r="A693" s="8" t="inlineStr">
        <is>
          <t>4.19</t>
        </is>
      </c>
      <c r="B693" s="17"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693" s="9" t="n"/>
      <c r="D693" s="9" t="n"/>
      <c r="E693" s="9" t="n"/>
      <c r="F693" s="9" t="n"/>
      <c r="G693" s="9" t="n"/>
    </row>
    <row r="694" ht="18.5" customHeight="1">
      <c r="A694" s="8" t="inlineStr">
        <is>
          <t>4.19.2</t>
        </is>
      </c>
      <c r="B694" s="17" t="inlineStr">
        <is>
          <t>All works above plinth and upto floor V level:</t>
        </is>
      </c>
      <c r="C694" s="9" t="n"/>
      <c r="D694" s="9" t="n"/>
      <c r="E694" s="9" t="n"/>
      <c r="F694" s="9" t="n"/>
      <c r="G694" s="9" t="n"/>
    </row>
    <row r="695" ht="18.5" customHeight="1">
      <c r="A695" s="18" t="inlineStr">
        <is>
          <t>4.19.2.2</t>
        </is>
      </c>
      <c r="B695" s="19" t="inlineStr">
        <is>
          <t>M-10 grade plain cement concrete (cement content considered @ 220 kg/cum)</t>
        </is>
      </c>
      <c r="C695" s="20" t="n"/>
      <c r="D695" s="20" t="n"/>
      <c r="E695" s="20" t="n"/>
      <c r="F695" s="20" t="n"/>
      <c r="G695" s="20" t="n"/>
    </row>
    <row r="696">
      <c r="A696" s="21" t="inlineStr">
        <is>
          <t>Details of cost for 1 cum   |   Source: CivilDAR_2019_Vol_1.pdf, page 182</t>
        </is>
      </c>
    </row>
    <row r="697">
      <c r="A697" s="5" t="inlineStr">
        <is>
          <t>Code</t>
        </is>
      </c>
      <c r="B697" s="5" t="inlineStr">
        <is>
          <t>Description</t>
        </is>
      </c>
      <c r="C697" s="5" t="inlineStr">
        <is>
          <t>Unit</t>
        </is>
      </c>
      <c r="D697" s="5" t="inlineStr">
        <is>
          <t>Quantity</t>
        </is>
      </c>
      <c r="E697" s="5" t="inlineStr">
        <is>
          <t>Rate (Rs.)</t>
        </is>
      </c>
      <c r="F697" s="5" t="inlineStr">
        <is>
          <t>Amount (Rs.)</t>
        </is>
      </c>
      <c r="G697" s="5" t="inlineStr">
        <is>
          <t>Note</t>
        </is>
      </c>
    </row>
    <row r="698">
      <c r="A698" s="22" t="inlineStr">
        <is>
          <t>0293</t>
        </is>
      </c>
      <c r="B698" s="11" t="inlineStr">
        <is>
          <t>Stone Aggregate (Single size) : 40 mm nominal size</t>
        </is>
      </c>
      <c r="C698" s="22" t="inlineStr">
        <is>
          <t>cum</t>
        </is>
      </c>
      <c r="D698" s="23" t="n">
        <v>0.65</v>
      </c>
      <c r="E698" s="24" t="n">
        <v>1300</v>
      </c>
      <c r="F698" s="24">
        <f>D698*E698</f>
        <v/>
      </c>
      <c r="G698" s="22" t="n"/>
    </row>
    <row r="699">
      <c r="A699" s="22" t="inlineStr">
        <is>
          <t>0295</t>
        </is>
      </c>
      <c r="B699" s="11" t="inlineStr">
        <is>
          <t>Stone Aggregate (Single size) : 20 mm nominal size</t>
        </is>
      </c>
      <c r="C699" s="22" t="inlineStr">
        <is>
          <t>cum</t>
        </is>
      </c>
      <c r="D699" s="23" t="n">
        <v>0.24</v>
      </c>
      <c r="E699" s="24" t="n">
        <v>1350</v>
      </c>
      <c r="F699" s="24">
        <f>D699*E699</f>
        <v/>
      </c>
      <c r="G699" s="22" t="n"/>
    </row>
    <row r="700">
      <c r="A700" s="22" t="inlineStr">
        <is>
          <t>2206</t>
        </is>
      </c>
      <c r="B700" s="11" t="inlineStr">
        <is>
          <t>Carriage of Stone aggregate 40 mm nominal size and above</t>
        </is>
      </c>
      <c r="C700" s="22" t="inlineStr">
        <is>
          <t>cum</t>
        </is>
      </c>
      <c r="D700" s="23" t="n">
        <v>0.65</v>
      </c>
      <c r="E700" s="24" t="n">
        <v>112.79</v>
      </c>
      <c r="F700" s="24">
        <f>D700*E700</f>
        <v/>
      </c>
      <c r="G700" s="22" t="n"/>
    </row>
    <row r="701">
      <c r="A701" s="22" t="inlineStr">
        <is>
          <t>2202</t>
        </is>
      </c>
      <c r="B701" s="11" t="inlineStr">
        <is>
          <t>Carriage of Stone aggregate below 40 mm nominal size</t>
        </is>
      </c>
      <c r="C701" s="22" t="inlineStr">
        <is>
          <t>cum</t>
        </is>
      </c>
      <c r="D701" s="23" t="n">
        <v>0.24</v>
      </c>
      <c r="E701" s="24" t="n">
        <v>103.77</v>
      </c>
      <c r="F701" s="24">
        <f>D701*E701</f>
        <v/>
      </c>
      <c r="G701" s="22" t="n"/>
    </row>
    <row r="702">
      <c r="A702" s="22" t="inlineStr">
        <is>
          <t>0982</t>
        </is>
      </c>
      <c r="B702" s="11" t="inlineStr">
        <is>
          <t>Coarse sand (zone III)</t>
        </is>
      </c>
      <c r="C702" s="22" t="inlineStr">
        <is>
          <t>cum</t>
        </is>
      </c>
      <c r="D702" s="23" t="n">
        <v>0.37</v>
      </c>
      <c r="E702" s="24" t="n">
        <v>1350</v>
      </c>
      <c r="F702" s="24">
        <f>D702*E702</f>
        <v/>
      </c>
      <c r="G702" s="22" t="n"/>
    </row>
    <row r="703">
      <c r="A703" s="22" t="inlineStr">
        <is>
          <t>2203</t>
        </is>
      </c>
      <c r="B703" s="11" t="inlineStr">
        <is>
          <t>Carriage of Coarse sand</t>
        </is>
      </c>
      <c r="C703" s="22" t="inlineStr">
        <is>
          <t>cum</t>
        </is>
      </c>
      <c r="D703" s="23" t="n">
        <v>0.37</v>
      </c>
      <c r="E703" s="24" t="n">
        <v>103.77</v>
      </c>
      <c r="F703" s="24">
        <f>D703*E703</f>
        <v/>
      </c>
      <c r="G703" s="22" t="n"/>
    </row>
    <row r="704">
      <c r="A704" s="22" t="inlineStr">
        <is>
          <t>1980</t>
        </is>
      </c>
      <c r="B704" s="11" t="inlineStr">
        <is>
          <t>Flyash</t>
        </is>
      </c>
      <c r="C704" s="22" t="inlineStr">
        <is>
          <t>cum</t>
        </is>
      </c>
      <c r="D704" s="23" t="n">
        <v>0.21</v>
      </c>
      <c r="E704" s="24" t="n">
        <v>10</v>
      </c>
      <c r="F704" s="24">
        <f>D704*E704</f>
        <v/>
      </c>
      <c r="G704" s="22" t="n"/>
    </row>
    <row r="705">
      <c r="A705" s="22" t="inlineStr">
        <is>
          <t>2262</t>
        </is>
      </c>
      <c r="B705" s="11" t="inlineStr">
        <is>
          <t>Carriage of Flyash</t>
        </is>
      </c>
      <c r="C705" s="22" t="inlineStr">
        <is>
          <t>cum</t>
        </is>
      </c>
      <c r="D705" s="23" t="n">
        <v>0.21</v>
      </c>
      <c r="E705" s="24" t="n">
        <v>103.77</v>
      </c>
      <c r="F705" s="24">
        <f>D705*E705</f>
        <v/>
      </c>
      <c r="G705" s="22" t="n"/>
    </row>
    <row r="706">
      <c r="A706" s="22" t="inlineStr">
        <is>
          <t>0367</t>
        </is>
      </c>
      <c r="B706" s="11" t="inlineStr">
        <is>
          <t>Portland Cement</t>
        </is>
      </c>
      <c r="C706" s="22" t="inlineStr">
        <is>
          <t>tonne</t>
        </is>
      </c>
      <c r="D706" s="23" t="n">
        <v>0.22</v>
      </c>
      <c r="E706" s="24" t="n">
        <v>4940</v>
      </c>
      <c r="F706" s="24">
        <f>D706*E706</f>
        <v/>
      </c>
      <c r="G706" s="22" t="n"/>
    </row>
    <row r="707">
      <c r="A707" s="22" t="inlineStr">
        <is>
          <t>2209</t>
        </is>
      </c>
      <c r="B707" s="11" t="inlineStr">
        <is>
          <t>Carriage of Cement</t>
        </is>
      </c>
      <c r="C707" s="22" t="inlineStr">
        <is>
          <t>tonne</t>
        </is>
      </c>
      <c r="D707" s="23" t="n">
        <v>0.22</v>
      </c>
      <c r="E707" s="24" t="n">
        <v>92.23999999999999</v>
      </c>
      <c r="F707" s="24">
        <f>D707*E707</f>
        <v/>
      </c>
      <c r="G707" s="22" t="n"/>
    </row>
    <row r="708">
      <c r="A708" s="22" t="inlineStr">
        <is>
          <t>7318</t>
        </is>
      </c>
      <c r="B708" s="11" t="inlineStr">
        <is>
          <t>Plasticizer / super plasticizer</t>
        </is>
      </c>
      <c r="C708" s="22" t="inlineStr">
        <is>
          <t>kilogram</t>
        </is>
      </c>
      <c r="D708" s="23" t="n">
        <v>1.1</v>
      </c>
      <c r="E708" s="24" t="n">
        <v>36</v>
      </c>
      <c r="F708" s="24">
        <f>D708*E708</f>
        <v/>
      </c>
      <c r="G708" s="22" t="n"/>
    </row>
    <row r="709">
      <c r="A709" s="22" t="inlineStr">
        <is>
          <t>0004</t>
        </is>
      </c>
      <c r="B709" s="11" t="inlineStr">
        <is>
          <t>Production cost of concrete by batch mix plant.</t>
        </is>
      </c>
      <c r="C709" s="22" t="inlineStr">
        <is>
          <t>cum</t>
        </is>
      </c>
      <c r="D709" s="23" t="n">
        <v>1</v>
      </c>
      <c r="E709" s="24" t="n">
        <v>350</v>
      </c>
      <c r="F709" s="24">
        <f>D709*E709</f>
        <v/>
      </c>
      <c r="G709" s="22" t="n"/>
    </row>
    <row r="710">
      <c r="A710" s="22" t="inlineStr">
        <is>
          <t>0029</t>
        </is>
      </c>
      <c r="B710" s="11" t="inlineStr">
        <is>
          <t>Carriage of concrete by transit mixer. km/</t>
        </is>
      </c>
      <c r="C710" s="22" t="inlineStr">
        <is>
          <t>cum</t>
        </is>
      </c>
      <c r="D710" s="23" t="n">
        <v>10</v>
      </c>
      <c r="E710" s="24" t="n">
        <v>30</v>
      </c>
      <c r="F710" s="24">
        <f>D710*E710</f>
        <v/>
      </c>
      <c r="G710" s="22" t="n"/>
    </row>
    <row r="711">
      <c r="A711" s="22" t="inlineStr">
        <is>
          <t>0155</t>
        </is>
      </c>
      <c r="B711" s="11" t="inlineStr">
        <is>
          <t>Mason (average)</t>
        </is>
      </c>
      <c r="C711" s="22" t="inlineStr">
        <is>
          <t>day</t>
        </is>
      </c>
      <c r="D711" s="23" t="n">
        <v>0.17</v>
      </c>
      <c r="E711" s="24" t="n">
        <v>709</v>
      </c>
      <c r="F711" s="24">
        <f>D711*E711</f>
        <v/>
      </c>
      <c r="G711" s="22" t="n"/>
    </row>
    <row r="712">
      <c r="A712" s="22" t="inlineStr">
        <is>
          <t>0114</t>
        </is>
      </c>
      <c r="B712" s="11" t="inlineStr">
        <is>
          <t>Beldar</t>
        </is>
      </c>
      <c r="C712" s="22" t="inlineStr">
        <is>
          <t>day</t>
        </is>
      </c>
      <c r="D712" s="23" t="n">
        <v>2</v>
      </c>
      <c r="E712" s="24" t="n">
        <v>558</v>
      </c>
      <c r="F712" s="24">
        <f>D712*E712</f>
        <v/>
      </c>
      <c r="G712" s="22" t="n"/>
    </row>
    <row r="713">
      <c r="A713" s="22" t="inlineStr">
        <is>
          <t>0101</t>
        </is>
      </c>
      <c r="B713" s="11" t="inlineStr">
        <is>
          <t>Bhisti</t>
        </is>
      </c>
      <c r="C713" s="22" t="inlineStr">
        <is>
          <t>day</t>
        </is>
      </c>
      <c r="D713" s="23" t="n">
        <v>0.9</v>
      </c>
      <c r="E713" s="24" t="n">
        <v>617</v>
      </c>
      <c r="F713" s="24">
        <f>D713*E713</f>
        <v/>
      </c>
      <c r="G713" s="22" t="n"/>
    </row>
    <row r="714">
      <c r="A714" s="22" t="inlineStr">
        <is>
          <t>0012</t>
        </is>
      </c>
      <c r="B714" s="11" t="inlineStr">
        <is>
          <t>Vibrator(Needle type 40mm)</t>
        </is>
      </c>
      <c r="C714" s="22" t="inlineStr">
        <is>
          <t>day</t>
        </is>
      </c>
      <c r="D714" s="23" t="n">
        <v>0.07000000000000001</v>
      </c>
      <c r="E714" s="24" t="n">
        <v>370</v>
      </c>
      <c r="F714" s="24">
        <f>D714*E714</f>
        <v/>
      </c>
      <c r="G714" s="22" t="n"/>
    </row>
    <row r="715">
      <c r="A715" s="22" t="inlineStr">
        <is>
          <t>9999</t>
        </is>
      </c>
      <c r="B715" s="11" t="inlineStr">
        <is>
          <t>Sundries</t>
        </is>
      </c>
      <c r="C715" s="22" t="inlineStr">
        <is>
          <t>L.S.</t>
        </is>
      </c>
      <c r="D715" s="23" t="n">
        <v>13</v>
      </c>
      <c r="E715" s="24" t="n">
        <v>2</v>
      </c>
      <c r="F715" s="24">
        <f>D715*E715</f>
        <v/>
      </c>
      <c r="G715" s="22" t="n"/>
    </row>
    <row r="716">
      <c r="A716" s="22" t="inlineStr">
        <is>
          <t>0115</t>
        </is>
      </c>
      <c r="B716" s="11" t="inlineStr">
        <is>
          <t>Coolie</t>
        </is>
      </c>
      <c r="C716" s="22" t="inlineStr">
        <is>
          <t>day</t>
        </is>
      </c>
      <c r="D716" s="23" t="n">
        <v>1.88</v>
      </c>
      <c r="E716" s="24" t="n">
        <v>558</v>
      </c>
      <c r="F716" s="24">
        <f>D716*E716</f>
        <v/>
      </c>
      <c r="G716" s="22" t="n"/>
    </row>
    <row r="717">
      <c r="A717" s="8" t="inlineStr">
        <is>
          <t>Calculated W - SUM of the Amount column above</t>
        </is>
      </c>
      <c r="B717" s="9" t="n"/>
      <c r="C717" s="9" t="n"/>
      <c r="D717" s="9" t="n"/>
      <c r="E717" s="9" t="n"/>
      <c r="F717" s="25">
        <f>SUM(F698:F716)</f>
        <v/>
      </c>
      <c r="G717" s="9" t="n"/>
    </row>
    <row r="718">
      <c r="A718" s="26" t="inlineStr">
        <is>
          <t>W as printed in the DAR</t>
        </is>
      </c>
      <c r="B718" s="22" t="n"/>
      <c r="C718" s="22" t="n"/>
      <c r="D718" s="22" t="n"/>
      <c r="E718" s="22" t="n"/>
      <c r="F718" s="27" t="n">
        <v>6518.47</v>
      </c>
      <c r="G718" s="22" t="n"/>
    </row>
    <row r="719">
      <c r="A719" s="26" t="inlineStr">
        <is>
          <t>Difference (calculated - printed)</t>
        </is>
      </c>
      <c r="B719" s="22" t="n"/>
      <c r="C719" s="22" t="n"/>
      <c r="D719" s="22" t="n"/>
      <c r="E719" s="22" t="n"/>
      <c r="F719" s="27">
        <f>F717-F718</f>
        <v/>
      </c>
      <c r="G719" s="22" t="n"/>
    </row>
    <row r="720">
      <c r="A720" s="29" t="inlineStr">
        <is>
          <t>SAY (Rs.) - final DAR rate as printed (fixed value, not computed)</t>
        </is>
      </c>
      <c r="B720" s="30" t="n"/>
      <c r="C720" s="30" t="n"/>
      <c r="D720" s="30" t="n"/>
      <c r="E720" s="30" t="n"/>
      <c r="F720" s="31" t="n">
        <v>8721.299999999999</v>
      </c>
      <c r="G720" s="30" t="n"/>
    </row>
    <row r="722" ht="105.5" customHeight="1">
      <c r="A722" s="8" t="inlineStr">
        <is>
          <t>4.20</t>
        </is>
      </c>
      <c r="B722" s="17"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722" s="9" t="n"/>
      <c r="D722" s="9" t="n"/>
      <c r="E722" s="9" t="n"/>
      <c r="F722" s="9" t="n"/>
      <c r="G722" s="9" t="n"/>
    </row>
    <row r="723" ht="18.5" customHeight="1">
      <c r="A723" s="8" t="inlineStr">
        <is>
          <t>4.20.1</t>
        </is>
      </c>
      <c r="B723" s="17" t="inlineStr">
        <is>
          <t>All works upto plinth level :</t>
        </is>
      </c>
      <c r="C723" s="9" t="n"/>
      <c r="D723" s="9" t="n"/>
      <c r="E723" s="9" t="n"/>
      <c r="F723" s="9" t="n"/>
      <c r="G723" s="9" t="n"/>
    </row>
    <row r="724" ht="18.5" customHeight="1">
      <c r="A724" s="18" t="inlineStr">
        <is>
          <t>4.20.1.1</t>
        </is>
      </c>
      <c r="B724" s="19" t="inlineStr">
        <is>
          <t>M-15 grade plain cement concrete (cement content considered @ 240 kg/cum)</t>
        </is>
      </c>
      <c r="C724" s="20" t="n"/>
      <c r="D724" s="20" t="n"/>
      <c r="E724" s="20" t="n"/>
      <c r="F724" s="20" t="n"/>
      <c r="G724" s="20" t="n"/>
    </row>
    <row r="725">
      <c r="A725" s="21" t="inlineStr">
        <is>
          <t>Details of cost for 1 cum   |   Source: CivilDAR_2019_Vol_1.pdf, page 183</t>
        </is>
      </c>
    </row>
    <row r="726">
      <c r="A726" s="5" t="inlineStr">
        <is>
          <t>Code</t>
        </is>
      </c>
      <c r="B726" s="5" t="inlineStr">
        <is>
          <t>Description</t>
        </is>
      </c>
      <c r="C726" s="5" t="inlineStr">
        <is>
          <t>Unit</t>
        </is>
      </c>
      <c r="D726" s="5" t="inlineStr">
        <is>
          <t>Quantity</t>
        </is>
      </c>
      <c r="E726" s="5" t="inlineStr">
        <is>
          <t>Rate (Rs.)</t>
        </is>
      </c>
      <c r="F726" s="5" t="inlineStr">
        <is>
          <t>Amount (Rs.)</t>
        </is>
      </c>
      <c r="G726" s="5" t="inlineStr">
        <is>
          <t>Note</t>
        </is>
      </c>
    </row>
    <row r="727">
      <c r="A727" s="22" t="inlineStr">
        <is>
          <t>0293</t>
        </is>
      </c>
      <c r="B727" s="11" t="inlineStr">
        <is>
          <t>Stone Aggregate (Single size) : 40 mm nominal size</t>
        </is>
      </c>
      <c r="C727" s="22" t="inlineStr">
        <is>
          <t>cum</t>
        </is>
      </c>
      <c r="D727" s="23" t="n">
        <v>0.65</v>
      </c>
      <c r="E727" s="24" t="n">
        <v>1300</v>
      </c>
      <c r="F727" s="24">
        <f>D727*E727</f>
        <v/>
      </c>
      <c r="G727" s="22" t="n"/>
    </row>
    <row r="728">
      <c r="A728" s="22" t="inlineStr">
        <is>
          <t>0295</t>
        </is>
      </c>
      <c r="B728" s="11" t="inlineStr">
        <is>
          <t>Stone Aggregate (Single size) : 20 mm nominal size</t>
        </is>
      </c>
      <c r="C728" s="22" t="inlineStr">
        <is>
          <t>cum</t>
        </is>
      </c>
      <c r="D728" s="23" t="n">
        <v>0.24</v>
      </c>
      <c r="E728" s="24" t="n">
        <v>1350</v>
      </c>
      <c r="F728" s="24">
        <f>D728*E728</f>
        <v/>
      </c>
      <c r="G728" s="22" t="n"/>
    </row>
    <row r="729">
      <c r="A729" s="22" t="inlineStr">
        <is>
          <t>2206</t>
        </is>
      </c>
      <c r="B729" s="11" t="inlineStr">
        <is>
          <t>Carriage of Stone aggregate 40 mm nominal size and above</t>
        </is>
      </c>
      <c r="C729" s="22" t="inlineStr">
        <is>
          <t>cum</t>
        </is>
      </c>
      <c r="D729" s="23" t="n">
        <v>0.65</v>
      </c>
      <c r="E729" s="24" t="n">
        <v>112.79</v>
      </c>
      <c r="F729" s="24">
        <f>D729*E729</f>
        <v/>
      </c>
      <c r="G729" s="22" t="n"/>
    </row>
    <row r="730">
      <c r="A730" s="22" t="inlineStr">
        <is>
          <t>2202</t>
        </is>
      </c>
      <c r="B730" s="11" t="inlineStr">
        <is>
          <t>Carriage of Stone aggregate below 40 mm nominal size</t>
        </is>
      </c>
      <c r="C730" s="22" t="inlineStr">
        <is>
          <t>cum</t>
        </is>
      </c>
      <c r="D730" s="23" t="n">
        <v>0.24</v>
      </c>
      <c r="E730" s="24" t="n">
        <v>103.77</v>
      </c>
      <c r="F730" s="24">
        <f>D730*E730</f>
        <v/>
      </c>
      <c r="G730" s="22" t="n"/>
    </row>
    <row r="731">
      <c r="A731" s="22" t="inlineStr">
        <is>
          <t>0982</t>
        </is>
      </c>
      <c r="B731" s="11" t="inlineStr">
        <is>
          <t>Coarse sand (zone III)</t>
        </is>
      </c>
      <c r="C731" s="22" t="inlineStr">
        <is>
          <t>cum</t>
        </is>
      </c>
      <c r="D731" s="23" t="n">
        <v>0.47</v>
      </c>
      <c r="E731" s="24" t="n">
        <v>1350</v>
      </c>
      <c r="F731" s="24">
        <f>D731*E731</f>
        <v/>
      </c>
      <c r="G731" s="22" t="n"/>
    </row>
    <row r="732">
      <c r="A732" s="22" t="inlineStr">
        <is>
          <t>2203</t>
        </is>
      </c>
      <c r="B732" s="11" t="inlineStr">
        <is>
          <t>Carriage of Coarse sand</t>
        </is>
      </c>
      <c r="C732" s="22" t="inlineStr">
        <is>
          <t>cum</t>
        </is>
      </c>
      <c r="D732" s="23" t="n">
        <v>0.47</v>
      </c>
      <c r="E732" s="24" t="n">
        <v>103.77</v>
      </c>
      <c r="F732" s="24">
        <f>D732*E732</f>
        <v/>
      </c>
      <c r="G732" s="22" t="n"/>
    </row>
    <row r="733">
      <c r="A733" s="22" t="inlineStr">
        <is>
          <t>0367</t>
        </is>
      </c>
      <c r="B733" s="11" t="inlineStr">
        <is>
          <t>Portland Cement</t>
        </is>
      </c>
      <c r="C733" s="22" t="inlineStr">
        <is>
          <t>tonne</t>
        </is>
      </c>
      <c r="D733" s="23" t="n">
        <v>0.24</v>
      </c>
      <c r="E733" s="24" t="n">
        <v>4940</v>
      </c>
      <c r="F733" s="24">
        <f>D733*E733</f>
        <v/>
      </c>
      <c r="G733" s="22" t="n"/>
    </row>
    <row r="734">
      <c r="A734" s="22" t="inlineStr">
        <is>
          <t>2209</t>
        </is>
      </c>
      <c r="B734" s="11" t="inlineStr">
        <is>
          <t>Carriage of Cement</t>
        </is>
      </c>
      <c r="C734" s="22" t="inlineStr">
        <is>
          <t>tonne</t>
        </is>
      </c>
      <c r="D734" s="23" t="n">
        <v>0.24</v>
      </c>
      <c r="E734" s="24" t="n">
        <v>92.23999999999999</v>
      </c>
      <c r="F734" s="24">
        <f>D734*E734</f>
        <v/>
      </c>
      <c r="G734" s="22" t="n"/>
    </row>
    <row r="735">
      <c r="A735" s="22" t="inlineStr">
        <is>
          <t>7318</t>
        </is>
      </c>
      <c r="B735" s="11" t="inlineStr">
        <is>
          <t>Plasticizer / super plasticizer</t>
        </is>
      </c>
      <c r="C735" s="22" t="inlineStr">
        <is>
          <t>kilogram</t>
        </is>
      </c>
      <c r="D735" s="23" t="n">
        <v>1.2</v>
      </c>
      <c r="E735" s="24" t="n">
        <v>36</v>
      </c>
      <c r="F735" s="24">
        <f>D735*E735</f>
        <v/>
      </c>
      <c r="G735" s="22" t="n"/>
    </row>
    <row r="736">
      <c r="A736" s="22" t="inlineStr">
        <is>
          <t>0004</t>
        </is>
      </c>
      <c r="B736" s="11" t="inlineStr">
        <is>
          <t>Production cost of concrete by batch mix plant.</t>
        </is>
      </c>
      <c r="C736" s="22" t="inlineStr">
        <is>
          <t>cum</t>
        </is>
      </c>
      <c r="D736" s="23" t="n">
        <v>1</v>
      </c>
      <c r="E736" s="24" t="n">
        <v>350</v>
      </c>
      <c r="F736" s="24">
        <f>D736*E736</f>
        <v/>
      </c>
      <c r="G736" s="22" t="n"/>
    </row>
    <row r="737">
      <c r="A737" s="22" t="inlineStr">
        <is>
          <t>0029</t>
        </is>
      </c>
      <c r="B737" s="11" t="inlineStr">
        <is>
          <t>Carriage of concrete by transit mixer. km/</t>
        </is>
      </c>
      <c r="C737" s="22" t="inlineStr">
        <is>
          <t>cum</t>
        </is>
      </c>
      <c r="D737" s="23" t="n">
        <v>10</v>
      </c>
      <c r="E737" s="24" t="n">
        <v>30</v>
      </c>
      <c r="F737" s="24">
        <f>D737*E737</f>
        <v/>
      </c>
      <c r="G737" s="22" t="n"/>
    </row>
    <row r="738">
      <c r="A738" s="22" t="inlineStr">
        <is>
          <t>0009</t>
        </is>
      </c>
      <c r="B738" s="11" t="inlineStr">
        <is>
          <t>Pumping charges of concrete including Hire charges of pump, piping work &amp; accessories etc.</t>
        </is>
      </c>
      <c r="C738" s="22" t="inlineStr">
        <is>
          <t>cum</t>
        </is>
      </c>
      <c r="D738" s="23" t="n">
        <v>1</v>
      </c>
      <c r="E738" s="24" t="n">
        <v>210</v>
      </c>
      <c r="F738" s="24">
        <f>D738*E738</f>
        <v/>
      </c>
      <c r="G738" s="22" t="n"/>
    </row>
    <row r="739">
      <c r="A739" s="22" t="inlineStr">
        <is>
          <t>0155</t>
        </is>
      </c>
      <c r="B739" s="11" t="inlineStr">
        <is>
          <t>Mason (average)</t>
        </is>
      </c>
      <c r="C739" s="22" t="inlineStr">
        <is>
          <t>day</t>
        </is>
      </c>
      <c r="D739" s="23" t="n">
        <v>0.17</v>
      </c>
      <c r="E739" s="24" t="n">
        <v>709</v>
      </c>
      <c r="F739" s="24">
        <f>D739*E739</f>
        <v/>
      </c>
      <c r="G739" s="22" t="n"/>
    </row>
    <row r="740">
      <c r="A740" s="22" t="inlineStr">
        <is>
          <t>0114</t>
        </is>
      </c>
      <c r="B740" s="11" t="inlineStr">
        <is>
          <t>Beldar</t>
        </is>
      </c>
      <c r="C740" s="22" t="inlineStr">
        <is>
          <t>day</t>
        </is>
      </c>
      <c r="D740" s="23" t="n">
        <v>2</v>
      </c>
      <c r="E740" s="24" t="n">
        <v>558</v>
      </c>
      <c r="F740" s="24">
        <f>D740*E740</f>
        <v/>
      </c>
      <c r="G740" s="22" t="n"/>
    </row>
    <row r="741">
      <c r="A741" s="22" t="inlineStr">
        <is>
          <t>0101</t>
        </is>
      </c>
      <c r="B741" s="11" t="inlineStr">
        <is>
          <t>Bhisti</t>
        </is>
      </c>
      <c r="C741" s="22" t="inlineStr">
        <is>
          <t>day</t>
        </is>
      </c>
      <c r="D741" s="23" t="n">
        <v>0.9</v>
      </c>
      <c r="E741" s="24" t="n">
        <v>617</v>
      </c>
      <c r="F741" s="24">
        <f>D741*E741</f>
        <v/>
      </c>
      <c r="G741" s="22" t="n"/>
    </row>
    <row r="742">
      <c r="A742" s="22" t="inlineStr">
        <is>
          <t>0012</t>
        </is>
      </c>
      <c r="B742" s="11" t="inlineStr">
        <is>
          <t>Vibrator(Needle type 40mm)</t>
        </is>
      </c>
      <c r="C742" s="22" t="inlineStr">
        <is>
          <t>day</t>
        </is>
      </c>
      <c r="D742" s="23" t="n">
        <v>0.07000000000000001</v>
      </c>
      <c r="E742" s="24" t="n">
        <v>370</v>
      </c>
      <c r="F742" s="24">
        <f>D742*E742</f>
        <v/>
      </c>
      <c r="G742" s="22" t="n"/>
    </row>
    <row r="743">
      <c r="A743" s="22" t="inlineStr">
        <is>
          <t>9999</t>
        </is>
      </c>
      <c r="B743" s="11" t="inlineStr">
        <is>
          <t>Sundries</t>
        </is>
      </c>
      <c r="C743" s="22" t="inlineStr">
        <is>
          <t>L.S.</t>
        </is>
      </c>
      <c r="D743" s="23" t="n">
        <v>13</v>
      </c>
      <c r="E743" s="24" t="n">
        <v>2</v>
      </c>
      <c r="F743" s="24">
        <f>D743*E743</f>
        <v/>
      </c>
      <c r="G743" s="22" t="n"/>
    </row>
    <row r="744">
      <c r="A744" s="8" t="inlineStr">
        <is>
          <t>Calculated W - SUM of the Amount column above</t>
        </is>
      </c>
      <c r="B744" s="9" t="n"/>
      <c r="C744" s="9" t="n"/>
      <c r="D744" s="9" t="n"/>
      <c r="E744" s="9" t="n"/>
      <c r="F744" s="25">
        <f>SUM(F727:F743)</f>
        <v/>
      </c>
      <c r="G744" s="9" t="n"/>
    </row>
    <row r="745">
      <c r="A745" s="26" t="inlineStr">
        <is>
          <t>W as printed in the DAR</t>
        </is>
      </c>
      <c r="B745" s="22" t="n"/>
      <c r="C745" s="22" t="n"/>
      <c r="D745" s="22" t="n"/>
      <c r="E745" s="22" t="n"/>
      <c r="F745" s="27" t="n">
        <v>5905.16</v>
      </c>
      <c r="G745" s="22" t="n"/>
    </row>
    <row r="746">
      <c r="A746" s="26" t="inlineStr">
        <is>
          <t>Difference (calculated - printed)</t>
        </is>
      </c>
      <c r="B746" s="22" t="n"/>
      <c r="C746" s="22" t="n"/>
      <c r="D746" s="22" t="n"/>
      <c r="E746" s="22" t="n"/>
      <c r="F746" s="27">
        <f>F744-F745</f>
        <v/>
      </c>
      <c r="G746" s="22" t="n"/>
    </row>
    <row r="747">
      <c r="A747" s="29" t="inlineStr">
        <is>
          <t>SAY (Rs.) - final DAR rate as printed (fixed value, not computed)</t>
        </is>
      </c>
      <c r="B747" s="30" t="n"/>
      <c r="C747" s="30" t="n"/>
      <c r="D747" s="30" t="n"/>
      <c r="E747" s="30" t="n"/>
      <c r="F747" s="31" t="n">
        <v>7900.75</v>
      </c>
      <c r="G747" s="30" t="n"/>
    </row>
    <row r="749" ht="105.5" customHeight="1">
      <c r="A749" s="8" t="inlineStr">
        <is>
          <t>4.20</t>
        </is>
      </c>
      <c r="B749" s="17"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749" s="9" t="n"/>
      <c r="D749" s="9" t="n"/>
      <c r="E749" s="9" t="n"/>
      <c r="F749" s="9" t="n"/>
      <c r="G749" s="9" t="n"/>
    </row>
    <row r="750" ht="18.5" customHeight="1">
      <c r="A750" s="8" t="inlineStr">
        <is>
          <t>4.20.1</t>
        </is>
      </c>
      <c r="B750" s="17" t="inlineStr">
        <is>
          <t>All works upto plinth level :</t>
        </is>
      </c>
      <c r="C750" s="9" t="n"/>
      <c r="D750" s="9" t="n"/>
      <c r="E750" s="9" t="n"/>
      <c r="F750" s="9" t="n"/>
      <c r="G750" s="9" t="n"/>
    </row>
    <row r="751" ht="18.5" customHeight="1">
      <c r="A751" s="18" t="inlineStr">
        <is>
          <t>4.20.1.2</t>
        </is>
      </c>
      <c r="B751" s="19" t="inlineStr">
        <is>
          <t>M-10 grade plain cement concrete (cement content considered @ 220 kg/cum)</t>
        </is>
      </c>
      <c r="C751" s="20" t="n"/>
      <c r="D751" s="20" t="n"/>
      <c r="E751" s="20" t="n"/>
      <c r="F751" s="20" t="n"/>
      <c r="G751" s="20" t="n"/>
    </row>
    <row r="752">
      <c r="A752" s="21" t="inlineStr">
        <is>
          <t>Details of cost for 1 cum   |   Source: CivilDAR_2019_Vol_1.pdf, page 184</t>
        </is>
      </c>
    </row>
    <row r="753">
      <c r="A753" s="5" t="inlineStr">
        <is>
          <t>Code</t>
        </is>
      </c>
      <c r="B753" s="5" t="inlineStr">
        <is>
          <t>Description</t>
        </is>
      </c>
      <c r="C753" s="5" t="inlineStr">
        <is>
          <t>Unit</t>
        </is>
      </c>
      <c r="D753" s="5" t="inlineStr">
        <is>
          <t>Quantity</t>
        </is>
      </c>
      <c r="E753" s="5" t="inlineStr">
        <is>
          <t>Rate (Rs.)</t>
        </is>
      </c>
      <c r="F753" s="5" t="inlineStr">
        <is>
          <t>Amount (Rs.)</t>
        </is>
      </c>
      <c r="G753" s="5" t="inlineStr">
        <is>
          <t>Note</t>
        </is>
      </c>
    </row>
    <row r="754">
      <c r="A754" s="22" t="inlineStr">
        <is>
          <t>0293</t>
        </is>
      </c>
      <c r="B754" s="11" t="inlineStr">
        <is>
          <t>Stone Aggregate (Single size) : 40 mm nominal size</t>
        </is>
      </c>
      <c r="C754" s="22" t="inlineStr">
        <is>
          <t>cum</t>
        </is>
      </c>
      <c r="D754" s="23" t="n">
        <v>0.65</v>
      </c>
      <c r="E754" s="24" t="n">
        <v>1300</v>
      </c>
      <c r="F754" s="24">
        <f>D754*E754</f>
        <v/>
      </c>
      <c r="G754" s="22" t="n"/>
    </row>
    <row r="755">
      <c r="A755" s="22" t="inlineStr">
        <is>
          <t>0295</t>
        </is>
      </c>
      <c r="B755" s="11" t="inlineStr">
        <is>
          <t>Stone Aggregate (Single size) : 20 mm nominal size</t>
        </is>
      </c>
      <c r="C755" s="22" t="inlineStr">
        <is>
          <t>cum</t>
        </is>
      </c>
      <c r="D755" s="23" t="n">
        <v>0.24</v>
      </c>
      <c r="E755" s="24" t="n">
        <v>1350</v>
      </c>
      <c r="F755" s="24">
        <f>D755*E755</f>
        <v/>
      </c>
      <c r="G755" s="22" t="n"/>
    </row>
    <row r="756">
      <c r="A756" s="22" t="inlineStr">
        <is>
          <t>2206</t>
        </is>
      </c>
      <c r="B756" s="11" t="inlineStr">
        <is>
          <t>Carriage of Stone aggregate 40 mm nominal size and above</t>
        </is>
      </c>
      <c r="C756" s="22" t="inlineStr">
        <is>
          <t>cum</t>
        </is>
      </c>
      <c r="D756" s="23" t="n">
        <v>0.65</v>
      </c>
      <c r="E756" s="24" t="n">
        <v>112.79</v>
      </c>
      <c r="F756" s="24">
        <f>D756*E756</f>
        <v/>
      </c>
      <c r="G756" s="22" t="n"/>
    </row>
    <row r="757">
      <c r="A757" s="22" t="inlineStr">
        <is>
          <t>2202</t>
        </is>
      </c>
      <c r="B757" s="11" t="inlineStr">
        <is>
          <t>Carriage of Stone aggregate below 40 mm nominal size</t>
        </is>
      </c>
      <c r="C757" s="22" t="inlineStr">
        <is>
          <t>cum</t>
        </is>
      </c>
      <c r="D757" s="23" t="n">
        <v>0.24</v>
      </c>
      <c r="E757" s="24" t="n">
        <v>103.77</v>
      </c>
      <c r="F757" s="24">
        <f>D757*E757</f>
        <v/>
      </c>
      <c r="G757" s="22" t="n"/>
    </row>
    <row r="758">
      <c r="A758" s="22" t="inlineStr">
        <is>
          <t>0982</t>
        </is>
      </c>
      <c r="B758" s="11" t="inlineStr">
        <is>
          <t>Coarse sand (zone III)</t>
        </is>
      </c>
      <c r="C758" s="22" t="inlineStr">
        <is>
          <t>cum</t>
        </is>
      </c>
      <c r="D758" s="23" t="n">
        <v>0.47</v>
      </c>
      <c r="E758" s="24" t="n">
        <v>1350</v>
      </c>
      <c r="F758" s="24">
        <f>D758*E758</f>
        <v/>
      </c>
      <c r="G758" s="22" t="n"/>
    </row>
    <row r="759">
      <c r="A759" s="22" t="inlineStr">
        <is>
          <t>2203</t>
        </is>
      </c>
      <c r="B759" s="11" t="inlineStr">
        <is>
          <t>Carriage of Coarse sand</t>
        </is>
      </c>
      <c r="C759" s="22" t="inlineStr">
        <is>
          <t>cum</t>
        </is>
      </c>
      <c r="D759" s="23" t="n">
        <v>0.47</v>
      </c>
      <c r="E759" s="24" t="n">
        <v>103.77</v>
      </c>
      <c r="F759" s="24">
        <f>D759*E759</f>
        <v/>
      </c>
      <c r="G759" s="22" t="n"/>
    </row>
    <row r="760">
      <c r="A760" s="22" t="inlineStr">
        <is>
          <t>0367</t>
        </is>
      </c>
      <c r="B760" s="11" t="inlineStr">
        <is>
          <t>Portland Cement</t>
        </is>
      </c>
      <c r="C760" s="22" t="inlineStr">
        <is>
          <t>tonne</t>
        </is>
      </c>
      <c r="D760" s="23" t="n">
        <v>0.22</v>
      </c>
      <c r="E760" s="24" t="n">
        <v>4940</v>
      </c>
      <c r="F760" s="24">
        <f>D760*E760</f>
        <v/>
      </c>
      <c r="G760" s="22" t="n"/>
    </row>
    <row r="761">
      <c r="A761" s="22" t="inlineStr">
        <is>
          <t>2209</t>
        </is>
      </c>
      <c r="B761" s="11" t="inlineStr">
        <is>
          <t>Carriage of Cement</t>
        </is>
      </c>
      <c r="C761" s="22" t="inlineStr">
        <is>
          <t>tonne</t>
        </is>
      </c>
      <c r="D761" s="23" t="n">
        <v>0.22</v>
      </c>
      <c r="E761" s="24" t="n">
        <v>92.23999999999999</v>
      </c>
      <c r="F761" s="24">
        <f>D761*E761</f>
        <v/>
      </c>
      <c r="G761" s="22" t="n"/>
    </row>
    <row r="762">
      <c r="A762" s="22" t="inlineStr">
        <is>
          <t>7318</t>
        </is>
      </c>
      <c r="B762" s="11" t="inlineStr">
        <is>
          <t>Plasticizer / super plasticizer</t>
        </is>
      </c>
      <c r="C762" s="22" t="inlineStr">
        <is>
          <t>kilogram</t>
        </is>
      </c>
      <c r="D762" s="23" t="n">
        <v>1.1</v>
      </c>
      <c r="E762" s="24" t="n">
        <v>36</v>
      </c>
      <c r="F762" s="24">
        <f>D762*E762</f>
        <v/>
      </c>
      <c r="G762" s="22" t="n"/>
    </row>
    <row r="763">
      <c r="A763" s="22" t="inlineStr">
        <is>
          <t>0004</t>
        </is>
      </c>
      <c r="B763" s="11" t="inlineStr">
        <is>
          <t>Production cost of concrete by batch mix plant.</t>
        </is>
      </c>
      <c r="C763" s="22" t="inlineStr">
        <is>
          <t>cum</t>
        </is>
      </c>
      <c r="D763" s="23" t="n">
        <v>1</v>
      </c>
      <c r="E763" s="24" t="n">
        <v>350</v>
      </c>
      <c r="F763" s="24">
        <f>D763*E763</f>
        <v/>
      </c>
      <c r="G763" s="22" t="n"/>
    </row>
    <row r="764">
      <c r="A764" s="22" t="inlineStr">
        <is>
          <t>0029</t>
        </is>
      </c>
      <c r="B764" s="11" t="inlineStr">
        <is>
          <t>Carriage of concrete by transit mixer. km/</t>
        </is>
      </c>
      <c r="C764" s="22" t="inlineStr">
        <is>
          <t>cum</t>
        </is>
      </c>
      <c r="D764" s="23" t="n">
        <v>10</v>
      </c>
      <c r="E764" s="24" t="n">
        <v>30</v>
      </c>
      <c r="F764" s="24">
        <f>D764*E764</f>
        <v/>
      </c>
      <c r="G764" s="22" t="n"/>
    </row>
    <row r="765">
      <c r="A765" s="22" t="inlineStr">
        <is>
          <t>0009</t>
        </is>
      </c>
      <c r="B765" s="11" t="inlineStr">
        <is>
          <t>Pumping charges of concrete including Hire charges of pump, piping work &amp; accessories etc.</t>
        </is>
      </c>
      <c r="C765" s="22" t="inlineStr">
        <is>
          <t>cum</t>
        </is>
      </c>
      <c r="D765" s="23" t="n">
        <v>1</v>
      </c>
      <c r="E765" s="24" t="n">
        <v>210</v>
      </c>
      <c r="F765" s="24">
        <f>D765*E765</f>
        <v/>
      </c>
      <c r="G765" s="22" t="n"/>
    </row>
    <row r="766">
      <c r="A766" s="22" t="inlineStr">
        <is>
          <t>0155</t>
        </is>
      </c>
      <c r="B766" s="11" t="inlineStr">
        <is>
          <t>Mason (average)</t>
        </is>
      </c>
      <c r="C766" s="22" t="inlineStr">
        <is>
          <t>day</t>
        </is>
      </c>
      <c r="D766" s="23" t="n">
        <v>0.17</v>
      </c>
      <c r="E766" s="24" t="n">
        <v>709</v>
      </c>
      <c r="F766" s="24">
        <f>D766*E766</f>
        <v/>
      </c>
      <c r="G766" s="22" t="n"/>
    </row>
    <row r="767">
      <c r="A767" s="22" t="inlineStr">
        <is>
          <t>0114</t>
        </is>
      </c>
      <c r="B767" s="11" t="inlineStr">
        <is>
          <t>Beldar</t>
        </is>
      </c>
      <c r="C767" s="22" t="inlineStr">
        <is>
          <t>day</t>
        </is>
      </c>
      <c r="D767" s="23" t="n">
        <v>2</v>
      </c>
      <c r="E767" s="24" t="n">
        <v>558</v>
      </c>
      <c r="F767" s="24">
        <f>D767*E767</f>
        <v/>
      </c>
      <c r="G767" s="22" t="n"/>
    </row>
    <row r="768">
      <c r="A768" s="22" t="inlineStr">
        <is>
          <t>0101</t>
        </is>
      </c>
      <c r="B768" s="11" t="inlineStr">
        <is>
          <t>Bhisti</t>
        </is>
      </c>
      <c r="C768" s="22" t="inlineStr">
        <is>
          <t>day</t>
        </is>
      </c>
      <c r="D768" s="23" t="n">
        <v>0.9</v>
      </c>
      <c r="E768" s="24" t="n">
        <v>617</v>
      </c>
      <c r="F768" s="24">
        <f>D768*E768</f>
        <v/>
      </c>
      <c r="G768" s="22" t="n"/>
    </row>
    <row r="769">
      <c r="A769" s="22" t="inlineStr">
        <is>
          <t>0012</t>
        </is>
      </c>
      <c r="B769" s="11" t="inlineStr">
        <is>
          <t>Vibrator(Needle type 40mm)</t>
        </is>
      </c>
      <c r="C769" s="22" t="inlineStr">
        <is>
          <t>day</t>
        </is>
      </c>
      <c r="D769" s="23" t="n">
        <v>0.07000000000000001</v>
      </c>
      <c r="E769" s="24" t="n">
        <v>370</v>
      </c>
      <c r="F769" s="24">
        <f>D769*E769</f>
        <v/>
      </c>
      <c r="G769" s="22" t="n"/>
    </row>
    <row r="770">
      <c r="A770" s="22" t="inlineStr">
        <is>
          <t>9999</t>
        </is>
      </c>
      <c r="B770" s="11" t="inlineStr">
        <is>
          <t>Sundries</t>
        </is>
      </c>
      <c r="C770" s="22" t="inlineStr">
        <is>
          <t>L.S.</t>
        </is>
      </c>
      <c r="D770" s="23" t="n">
        <v>13</v>
      </c>
      <c r="E770" s="24" t="n">
        <v>2</v>
      </c>
      <c r="F770" s="24">
        <f>D770*E770</f>
        <v/>
      </c>
      <c r="G770" s="22" t="n"/>
    </row>
    <row r="771">
      <c r="A771" s="8" t="inlineStr">
        <is>
          <t>Calculated W - SUM of the Amount column above</t>
        </is>
      </c>
      <c r="B771" s="9" t="n"/>
      <c r="C771" s="9" t="n"/>
      <c r="D771" s="9" t="n"/>
      <c r="E771" s="9" t="n"/>
      <c r="F771" s="25">
        <f>SUM(F754:F770)</f>
        <v/>
      </c>
      <c r="G771" s="9" t="n"/>
    </row>
    <row r="772">
      <c r="A772" s="26" t="inlineStr">
        <is>
          <t>W as printed in the DAR</t>
        </is>
      </c>
      <c r="B772" s="22" t="n"/>
      <c r="C772" s="22" t="n"/>
      <c r="D772" s="22" t="n"/>
      <c r="E772" s="22" t="n"/>
      <c r="F772" s="27" t="n">
        <v>5800.91</v>
      </c>
      <c r="G772" s="22" t="n"/>
    </row>
    <row r="773">
      <c r="A773" s="26" t="inlineStr">
        <is>
          <t>Difference (calculated - printed)</t>
        </is>
      </c>
      <c r="B773" s="22" t="n"/>
      <c r="C773" s="22" t="n"/>
      <c r="D773" s="22" t="n"/>
      <c r="E773" s="22" t="n"/>
      <c r="F773" s="27">
        <f>F771-F772</f>
        <v/>
      </c>
      <c r="G773" s="22" t="n"/>
    </row>
    <row r="774">
      <c r="A774" s="29" t="inlineStr">
        <is>
          <t>SAY (Rs.) - final DAR rate as printed (fixed value, not computed)</t>
        </is>
      </c>
      <c r="B774" s="30" t="n"/>
      <c r="C774" s="30" t="n"/>
      <c r="D774" s="30" t="n"/>
      <c r="E774" s="30" t="n"/>
      <c r="F774" s="31" t="n">
        <v>7761.25</v>
      </c>
      <c r="G774" s="30" t="n"/>
    </row>
    <row r="776" ht="105.5" customHeight="1">
      <c r="A776" s="8" t="inlineStr">
        <is>
          <t>4.20</t>
        </is>
      </c>
      <c r="B776" s="17"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776" s="9" t="n"/>
      <c r="D776" s="9" t="n"/>
      <c r="E776" s="9" t="n"/>
      <c r="F776" s="9" t="n"/>
      <c r="G776" s="9" t="n"/>
    </row>
    <row r="777" ht="18.5" customHeight="1">
      <c r="A777" s="8" t="inlineStr">
        <is>
          <t>4.20.2</t>
        </is>
      </c>
      <c r="B777" s="17" t="inlineStr">
        <is>
          <t>All works above plinth and upto floor V level :</t>
        </is>
      </c>
      <c r="C777" s="9" t="n"/>
      <c r="D777" s="9" t="n"/>
      <c r="E777" s="9" t="n"/>
      <c r="F777" s="9" t="n"/>
      <c r="G777" s="9" t="n"/>
    </row>
    <row r="778" ht="18.5" customHeight="1">
      <c r="A778" s="18" t="inlineStr">
        <is>
          <t>4.20.2.1</t>
        </is>
      </c>
      <c r="B778" s="19" t="inlineStr">
        <is>
          <t>M-15 grade plain cement concrete. (cement content considered @ 240 kg / cum)</t>
        </is>
      </c>
      <c r="C778" s="20" t="n"/>
      <c r="D778" s="20" t="n"/>
      <c r="E778" s="20" t="n"/>
      <c r="F778" s="20" t="n"/>
      <c r="G778" s="20" t="n"/>
    </row>
    <row r="779">
      <c r="A779" s="21" t="inlineStr">
        <is>
          <t>Details of cost for 1 cum   |   Source: CivilDAR_2019_Vol_1.pdf, page 185</t>
        </is>
      </c>
    </row>
    <row r="780">
      <c r="A780" s="5" t="inlineStr">
        <is>
          <t>Code</t>
        </is>
      </c>
      <c r="B780" s="5" t="inlineStr">
        <is>
          <t>Description</t>
        </is>
      </c>
      <c r="C780" s="5" t="inlineStr">
        <is>
          <t>Unit</t>
        </is>
      </c>
      <c r="D780" s="5" t="inlineStr">
        <is>
          <t>Quantity</t>
        </is>
      </c>
      <c r="E780" s="5" t="inlineStr">
        <is>
          <t>Rate (Rs.)</t>
        </is>
      </c>
      <c r="F780" s="5" t="inlineStr">
        <is>
          <t>Amount (Rs.)</t>
        </is>
      </c>
      <c r="G780" s="5" t="inlineStr">
        <is>
          <t>Note</t>
        </is>
      </c>
    </row>
    <row r="781">
      <c r="A781" s="22" t="inlineStr">
        <is>
          <t>0293</t>
        </is>
      </c>
      <c r="B781" s="11" t="inlineStr">
        <is>
          <t>Stone Aggregate (Single size) : 40 mm nominal size</t>
        </is>
      </c>
      <c r="C781" s="22" t="inlineStr">
        <is>
          <t>cum</t>
        </is>
      </c>
      <c r="D781" s="23" t="n">
        <v>0.65</v>
      </c>
      <c r="E781" s="24" t="n">
        <v>1300</v>
      </c>
      <c r="F781" s="24">
        <f>D781*E781</f>
        <v/>
      </c>
      <c r="G781" s="22" t="n"/>
    </row>
    <row r="782">
      <c r="A782" s="22" t="inlineStr">
        <is>
          <t>0295</t>
        </is>
      </c>
      <c r="B782" s="11" t="inlineStr">
        <is>
          <t>Stone Aggregate (Single size) : 20 mm nominal size</t>
        </is>
      </c>
      <c r="C782" s="22" t="inlineStr">
        <is>
          <t>cum</t>
        </is>
      </c>
      <c r="D782" s="23" t="n">
        <v>0.24</v>
      </c>
      <c r="E782" s="24" t="n">
        <v>1350</v>
      </c>
      <c r="F782" s="24">
        <f>D782*E782</f>
        <v/>
      </c>
      <c r="G782" s="22" t="n"/>
    </row>
    <row r="783">
      <c r="A783" s="22" t="inlineStr">
        <is>
          <t>2206</t>
        </is>
      </c>
      <c r="B783" s="11" t="inlineStr">
        <is>
          <t>Carriage of Stone aggregate 40 mm nominal size and above</t>
        </is>
      </c>
      <c r="C783" s="22" t="inlineStr">
        <is>
          <t>cum</t>
        </is>
      </c>
      <c r="D783" s="23" t="n">
        <v>0.65</v>
      </c>
      <c r="E783" s="24" t="n">
        <v>112.79</v>
      </c>
      <c r="F783" s="24">
        <f>D783*E783</f>
        <v/>
      </c>
      <c r="G783" s="22" t="n"/>
    </row>
    <row r="784">
      <c r="A784" s="22" t="inlineStr">
        <is>
          <t>2202</t>
        </is>
      </c>
      <c r="B784" s="11" t="inlineStr">
        <is>
          <t>Carriage of Stone aggregate below 40 mm nominal size</t>
        </is>
      </c>
      <c r="C784" s="22" t="inlineStr">
        <is>
          <t>cum</t>
        </is>
      </c>
      <c r="D784" s="23" t="n">
        <v>0.24</v>
      </c>
      <c r="E784" s="24" t="n">
        <v>103.77</v>
      </c>
      <c r="F784" s="24">
        <f>D784*E784</f>
        <v/>
      </c>
      <c r="G784" s="22" t="n"/>
    </row>
    <row r="785">
      <c r="A785" s="22" t="inlineStr">
        <is>
          <t>0982</t>
        </is>
      </c>
      <c r="B785" s="11" t="inlineStr">
        <is>
          <t>Coarse sand (zone III)</t>
        </is>
      </c>
      <c r="C785" s="22" t="inlineStr">
        <is>
          <t>cum</t>
        </is>
      </c>
      <c r="D785" s="23" t="n">
        <v>0.47</v>
      </c>
      <c r="E785" s="24" t="n">
        <v>1350</v>
      </c>
      <c r="F785" s="24">
        <f>D785*E785</f>
        <v/>
      </c>
      <c r="G785" s="22" t="n"/>
    </row>
    <row r="786">
      <c r="A786" s="22" t="inlineStr">
        <is>
          <t>2203</t>
        </is>
      </c>
      <c r="B786" s="11" t="inlineStr">
        <is>
          <t>Carriage of Coarse sand</t>
        </is>
      </c>
      <c r="C786" s="22" t="inlineStr">
        <is>
          <t>cum</t>
        </is>
      </c>
      <c r="D786" s="23" t="n">
        <v>0.47</v>
      </c>
      <c r="E786" s="24" t="n">
        <v>103.77</v>
      </c>
      <c r="F786" s="24">
        <f>D786*E786</f>
        <v/>
      </c>
      <c r="G786" s="22" t="n"/>
    </row>
    <row r="787">
      <c r="A787" s="22" t="inlineStr">
        <is>
          <t>0367</t>
        </is>
      </c>
      <c r="B787" s="11" t="inlineStr">
        <is>
          <t>Portland Cement</t>
        </is>
      </c>
      <c r="C787" s="22" t="inlineStr">
        <is>
          <t>tonne</t>
        </is>
      </c>
      <c r="D787" s="23" t="n">
        <v>0.24</v>
      </c>
      <c r="E787" s="24" t="n">
        <v>4940</v>
      </c>
      <c r="F787" s="24">
        <f>D787*E787</f>
        <v/>
      </c>
      <c r="G787" s="22" t="n"/>
    </row>
    <row r="788">
      <c r="A788" s="22" t="inlineStr">
        <is>
          <t>2209</t>
        </is>
      </c>
      <c r="B788" s="11" t="inlineStr">
        <is>
          <t>Carriage of Cement</t>
        </is>
      </c>
      <c r="C788" s="22" t="inlineStr">
        <is>
          <t>tonne</t>
        </is>
      </c>
      <c r="D788" s="23" t="n">
        <v>0.24</v>
      </c>
      <c r="E788" s="24" t="n">
        <v>92.23999999999999</v>
      </c>
      <c r="F788" s="24">
        <f>D788*E788</f>
        <v/>
      </c>
      <c r="G788" s="22" t="n"/>
    </row>
    <row r="789">
      <c r="A789" s="22" t="inlineStr">
        <is>
          <t>7318</t>
        </is>
      </c>
      <c r="B789" s="11" t="inlineStr">
        <is>
          <t>Plasticizer / super plasticizer</t>
        </is>
      </c>
      <c r="C789" s="22" t="inlineStr">
        <is>
          <t>kilogram</t>
        </is>
      </c>
      <c r="D789" s="23" t="n">
        <v>1.2</v>
      </c>
      <c r="E789" s="24" t="n">
        <v>36</v>
      </c>
      <c r="F789" s="24">
        <f>D789*E789</f>
        <v/>
      </c>
      <c r="G789" s="22" t="n"/>
    </row>
    <row r="790">
      <c r="A790" s="22" t="inlineStr">
        <is>
          <t>0004</t>
        </is>
      </c>
      <c r="B790" s="11" t="inlineStr">
        <is>
          <t>Production cost of concrete by batch mix plant.</t>
        </is>
      </c>
      <c r="C790" s="22" t="inlineStr">
        <is>
          <t>cum</t>
        </is>
      </c>
      <c r="D790" s="23" t="n">
        <v>1</v>
      </c>
      <c r="E790" s="24" t="n">
        <v>350</v>
      </c>
      <c r="F790" s="24">
        <f>D790*E790</f>
        <v/>
      </c>
      <c r="G790" s="22" t="n"/>
    </row>
    <row r="791">
      <c r="A791" s="22" t="inlineStr">
        <is>
          <t>0029</t>
        </is>
      </c>
      <c r="B791" s="11" t="inlineStr">
        <is>
          <t>Carriage of concrete by transit mixer. km/</t>
        </is>
      </c>
      <c r="C791" s="22" t="inlineStr">
        <is>
          <t>cum</t>
        </is>
      </c>
      <c r="D791" s="23" t="n">
        <v>10</v>
      </c>
      <c r="E791" s="24" t="n">
        <v>30</v>
      </c>
      <c r="F791" s="24">
        <f>D791*E791</f>
        <v/>
      </c>
      <c r="G791" s="22" t="n"/>
    </row>
    <row r="792">
      <c r="A792" s="22" t="inlineStr">
        <is>
          <t>0155</t>
        </is>
      </c>
      <c r="B792" s="11" t="inlineStr">
        <is>
          <t>Mason (average)</t>
        </is>
      </c>
      <c r="C792" s="22" t="inlineStr">
        <is>
          <t>day</t>
        </is>
      </c>
      <c r="D792" s="23" t="n">
        <v>0.17</v>
      </c>
      <c r="E792" s="24" t="n">
        <v>709</v>
      </c>
      <c r="F792" s="24">
        <f>D792*E792</f>
        <v/>
      </c>
      <c r="G792" s="22" t="n"/>
    </row>
    <row r="793">
      <c r="A793" s="22" t="inlineStr">
        <is>
          <t>0114</t>
        </is>
      </c>
      <c r="B793" s="11" t="inlineStr">
        <is>
          <t>Beldar</t>
        </is>
      </c>
      <c r="C793" s="22" t="inlineStr">
        <is>
          <t>day</t>
        </is>
      </c>
      <c r="D793" s="23" t="n">
        <v>2</v>
      </c>
      <c r="E793" s="24" t="n">
        <v>558</v>
      </c>
      <c r="F793" s="24">
        <f>D793*E793</f>
        <v/>
      </c>
      <c r="G793" s="22" t="n"/>
    </row>
    <row r="794">
      <c r="A794" s="22" t="inlineStr">
        <is>
          <t>0101</t>
        </is>
      </c>
      <c r="B794" s="11" t="inlineStr">
        <is>
          <t>Bhisti</t>
        </is>
      </c>
      <c r="C794" s="22" t="inlineStr">
        <is>
          <t>day</t>
        </is>
      </c>
      <c r="D794" s="23" t="n">
        <v>0.9</v>
      </c>
      <c r="E794" s="24" t="n">
        <v>617</v>
      </c>
      <c r="F794" s="24">
        <f>D794*E794</f>
        <v/>
      </c>
      <c r="G794" s="22" t="n"/>
    </row>
    <row r="795">
      <c r="A795" s="22" t="inlineStr">
        <is>
          <t>0012</t>
        </is>
      </c>
      <c r="B795" s="11" t="inlineStr">
        <is>
          <t>Vibrator(Needle type 40mm)</t>
        </is>
      </c>
      <c r="C795" s="22" t="inlineStr">
        <is>
          <t>day</t>
        </is>
      </c>
      <c r="D795" s="23" t="n">
        <v>0.07000000000000001</v>
      </c>
      <c r="E795" s="24" t="n">
        <v>370</v>
      </c>
      <c r="F795" s="24">
        <f>D795*E795</f>
        <v/>
      </c>
      <c r="G795" s="22" t="n"/>
    </row>
    <row r="796">
      <c r="A796" s="22" t="inlineStr">
        <is>
          <t>9999</t>
        </is>
      </c>
      <c r="B796" s="11" t="inlineStr">
        <is>
          <t>Sundries</t>
        </is>
      </c>
      <c r="C796" s="22" t="inlineStr">
        <is>
          <t>L.S.</t>
        </is>
      </c>
      <c r="D796" s="23" t="n">
        <v>13</v>
      </c>
      <c r="E796" s="24" t="n">
        <v>2</v>
      </c>
      <c r="F796" s="24">
        <f>D796*E796</f>
        <v/>
      </c>
      <c r="G796" s="22" t="n"/>
    </row>
    <row r="797">
      <c r="A797" s="22" t="inlineStr">
        <is>
          <t>0115</t>
        </is>
      </c>
      <c r="B797" s="11" t="inlineStr">
        <is>
          <t>Coolie</t>
        </is>
      </c>
      <c r="C797" s="22" t="inlineStr">
        <is>
          <t>day</t>
        </is>
      </c>
      <c r="D797" s="23" t="n">
        <v>1.88</v>
      </c>
      <c r="E797" s="24" t="n">
        <v>558</v>
      </c>
      <c r="F797" s="24">
        <f>D797*E797</f>
        <v/>
      </c>
      <c r="G797" s="22" t="n"/>
    </row>
    <row r="798">
      <c r="A798" s="8" t="inlineStr">
        <is>
          <t>Calculated W - SUM of the Amount column above</t>
        </is>
      </c>
      <c r="B798" s="9" t="n"/>
      <c r="C798" s="9" t="n"/>
      <c r="D798" s="9" t="n"/>
      <c r="E798" s="9" t="n"/>
      <c r="F798" s="25">
        <f>SUM(F781:F797)</f>
        <v/>
      </c>
      <c r="G798" s="9" t="n"/>
    </row>
    <row r="799">
      <c r="A799" s="26" t="inlineStr">
        <is>
          <t>W as printed in the DAR</t>
        </is>
      </c>
      <c r="B799" s="22" t="n"/>
      <c r="C799" s="22" t="n"/>
      <c r="D799" s="22" t="n"/>
      <c r="E799" s="22" t="n"/>
      <c r="F799" s="27" t="n">
        <v>6744.2</v>
      </c>
      <c r="G799" s="22" t="n"/>
    </row>
    <row r="800">
      <c r="A800" s="26" t="inlineStr">
        <is>
          <t>Difference (calculated - printed)</t>
        </is>
      </c>
      <c r="B800" s="22" t="n"/>
      <c r="C800" s="22" t="n"/>
      <c r="D800" s="22" t="n"/>
      <c r="E800" s="22" t="n"/>
      <c r="F800" s="27">
        <f>F798-F799</f>
        <v/>
      </c>
      <c r="G800" s="22" t="n"/>
    </row>
    <row r="801">
      <c r="A801" s="29" t="inlineStr">
        <is>
          <t>SAY (Rs.) - final DAR rate as printed (fixed value, not computed)</t>
        </is>
      </c>
      <c r="B801" s="30" t="n"/>
      <c r="C801" s="30" t="n"/>
      <c r="D801" s="30" t="n"/>
      <c r="E801" s="30" t="n"/>
      <c r="F801" s="31" t="n">
        <v>9023.299999999999</v>
      </c>
      <c r="G801" s="30" t="n"/>
    </row>
    <row r="803" ht="105.5" customHeight="1">
      <c r="A803" s="8" t="inlineStr">
        <is>
          <t>4.20</t>
        </is>
      </c>
      <c r="B803" s="17"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t>
        </is>
      </c>
      <c r="C803" s="9" t="n"/>
      <c r="D803" s="9" t="n"/>
      <c r="E803" s="9" t="n"/>
      <c r="F803" s="9" t="n"/>
      <c r="G803" s="9" t="n"/>
    </row>
    <row r="804" ht="18.5" customHeight="1">
      <c r="A804" s="8" t="inlineStr">
        <is>
          <t>4.20.2</t>
        </is>
      </c>
      <c r="B804" s="17" t="inlineStr">
        <is>
          <t>All works above plinth and upto floor V level :</t>
        </is>
      </c>
      <c r="C804" s="9" t="n"/>
      <c r="D804" s="9" t="n"/>
      <c r="E804" s="9" t="n"/>
      <c r="F804" s="9" t="n"/>
      <c r="G804" s="9" t="n"/>
    </row>
    <row r="805" ht="18.5" customHeight="1">
      <c r="A805" s="18" t="inlineStr">
        <is>
          <t>4.20.2.2</t>
        </is>
      </c>
      <c r="B805" s="19" t="inlineStr">
        <is>
          <t>M-10 grade plain cement concrete (cement content considered @ 220 kg/cum)</t>
        </is>
      </c>
      <c r="C805" s="20" t="n"/>
      <c r="D805" s="20" t="n"/>
      <c r="E805" s="20" t="n"/>
      <c r="F805" s="20" t="n"/>
      <c r="G805" s="20" t="n"/>
    </row>
    <row r="806">
      <c r="A806" s="21" t="inlineStr">
        <is>
          <t>Details of cost for 1 cum   |   Source: CivilDAR_2019_Vol_1.pdf, page 186</t>
        </is>
      </c>
    </row>
    <row r="807">
      <c r="A807" s="5" t="inlineStr">
        <is>
          <t>Code</t>
        </is>
      </c>
      <c r="B807" s="5" t="inlineStr">
        <is>
          <t>Description</t>
        </is>
      </c>
      <c r="C807" s="5" t="inlineStr">
        <is>
          <t>Unit</t>
        </is>
      </c>
      <c r="D807" s="5" t="inlineStr">
        <is>
          <t>Quantity</t>
        </is>
      </c>
      <c r="E807" s="5" t="inlineStr">
        <is>
          <t>Rate (Rs.)</t>
        </is>
      </c>
      <c r="F807" s="5" t="inlineStr">
        <is>
          <t>Amount (Rs.)</t>
        </is>
      </c>
      <c r="G807" s="5" t="inlineStr">
        <is>
          <t>Note</t>
        </is>
      </c>
    </row>
    <row r="808">
      <c r="A808" s="22" t="inlineStr">
        <is>
          <t>0293</t>
        </is>
      </c>
      <c r="B808" s="11" t="inlineStr">
        <is>
          <t>Stone Aggregate (Single size) : 40 mm nominal size</t>
        </is>
      </c>
      <c r="C808" s="22" t="inlineStr">
        <is>
          <t>cum</t>
        </is>
      </c>
      <c r="D808" s="23" t="n">
        <v>0.65</v>
      </c>
      <c r="E808" s="24" t="n">
        <v>1300</v>
      </c>
      <c r="F808" s="24">
        <f>D808*E808</f>
        <v/>
      </c>
      <c r="G808" s="22" t="n"/>
    </row>
    <row r="809">
      <c r="A809" s="22" t="inlineStr">
        <is>
          <t>0295</t>
        </is>
      </c>
      <c r="B809" s="11" t="inlineStr">
        <is>
          <t>Stone Aggregate (Single size) : 20 mm nominal size</t>
        </is>
      </c>
      <c r="C809" s="22" t="inlineStr">
        <is>
          <t>cum</t>
        </is>
      </c>
      <c r="D809" s="23" t="n">
        <v>0.24</v>
      </c>
      <c r="E809" s="24" t="n">
        <v>1350</v>
      </c>
      <c r="F809" s="24">
        <f>D809*E809</f>
        <v/>
      </c>
      <c r="G809" s="22" t="n"/>
    </row>
    <row r="810">
      <c r="A810" s="22" t="inlineStr">
        <is>
          <t>2206</t>
        </is>
      </c>
      <c r="B810" s="11" t="inlineStr">
        <is>
          <t>Carriage of Stone aggregate 40 mm nominal size and above</t>
        </is>
      </c>
      <c r="C810" s="22" t="inlineStr">
        <is>
          <t>cum</t>
        </is>
      </c>
      <c r="D810" s="23" t="n">
        <v>0.65</v>
      </c>
      <c r="E810" s="24" t="n">
        <v>112.79</v>
      </c>
      <c r="F810" s="24">
        <f>D810*E810</f>
        <v/>
      </c>
      <c r="G810" s="22" t="n"/>
    </row>
    <row r="811">
      <c r="A811" s="22" t="inlineStr">
        <is>
          <t>2202</t>
        </is>
      </c>
      <c r="B811" s="11" t="inlineStr">
        <is>
          <t>Carriage of Stone aggregate below 40 mm nominal size</t>
        </is>
      </c>
      <c r="C811" s="22" t="inlineStr">
        <is>
          <t>cum</t>
        </is>
      </c>
      <c r="D811" s="23" t="n">
        <v>0.24</v>
      </c>
      <c r="E811" s="24" t="n">
        <v>103.77</v>
      </c>
      <c r="F811" s="24">
        <f>D811*E811</f>
        <v/>
      </c>
      <c r="G811" s="22" t="n"/>
    </row>
    <row r="812">
      <c r="A812" s="22" t="inlineStr">
        <is>
          <t>0982</t>
        </is>
      </c>
      <c r="B812" s="11" t="inlineStr">
        <is>
          <t>Coarse sand (zone III)</t>
        </is>
      </c>
      <c r="C812" s="22" t="inlineStr">
        <is>
          <t>cum</t>
        </is>
      </c>
      <c r="D812" s="23" t="n">
        <v>0.47</v>
      </c>
      <c r="E812" s="24" t="n">
        <v>1350</v>
      </c>
      <c r="F812" s="24">
        <f>D812*E812</f>
        <v/>
      </c>
      <c r="G812" s="22" t="n"/>
    </row>
    <row r="813">
      <c r="A813" s="22" t="inlineStr">
        <is>
          <t>2203</t>
        </is>
      </c>
      <c r="B813" s="11" t="inlineStr">
        <is>
          <t>Carriage of Coarse sand</t>
        </is>
      </c>
      <c r="C813" s="22" t="inlineStr">
        <is>
          <t>cum</t>
        </is>
      </c>
      <c r="D813" s="23" t="n">
        <v>0.47</v>
      </c>
      <c r="E813" s="24" t="n">
        <v>103.77</v>
      </c>
      <c r="F813" s="24">
        <f>D813*E813</f>
        <v/>
      </c>
      <c r="G813" s="22" t="n"/>
    </row>
    <row r="814">
      <c r="A814" s="22" t="inlineStr">
        <is>
          <t>0367</t>
        </is>
      </c>
      <c r="B814" s="11" t="inlineStr">
        <is>
          <t>Portland Cement</t>
        </is>
      </c>
      <c r="C814" s="22" t="inlineStr">
        <is>
          <t>tonne</t>
        </is>
      </c>
      <c r="D814" s="23" t="n">
        <v>0.22</v>
      </c>
      <c r="E814" s="24" t="n">
        <v>4940</v>
      </c>
      <c r="F814" s="24">
        <f>D814*E814</f>
        <v/>
      </c>
      <c r="G814" s="22" t="n"/>
    </row>
    <row r="815">
      <c r="A815" s="22" t="inlineStr">
        <is>
          <t>2209</t>
        </is>
      </c>
      <c r="B815" s="11" t="inlineStr">
        <is>
          <t>Carriage of Cement</t>
        </is>
      </c>
      <c r="C815" s="22" t="inlineStr">
        <is>
          <t>tonne</t>
        </is>
      </c>
      <c r="D815" s="23" t="n">
        <v>0.22</v>
      </c>
      <c r="E815" s="24" t="n">
        <v>92.23999999999999</v>
      </c>
      <c r="F815" s="24">
        <f>D815*E815</f>
        <v/>
      </c>
      <c r="G815" s="22" t="n"/>
    </row>
    <row r="816">
      <c r="A816" s="22" t="inlineStr">
        <is>
          <t>7318</t>
        </is>
      </c>
      <c r="B816" s="11" t="inlineStr">
        <is>
          <t>Plasticizer / super plasticizer</t>
        </is>
      </c>
      <c r="C816" s="22" t="inlineStr">
        <is>
          <t>kilogram</t>
        </is>
      </c>
      <c r="D816" s="23" t="n">
        <v>1.1</v>
      </c>
      <c r="E816" s="24" t="n">
        <v>36</v>
      </c>
      <c r="F816" s="24">
        <f>D816*E816</f>
        <v/>
      </c>
      <c r="G816" s="22" t="n"/>
    </row>
    <row r="817">
      <c r="A817" s="22" t="inlineStr">
        <is>
          <t>0004</t>
        </is>
      </c>
      <c r="B817" s="11" t="inlineStr">
        <is>
          <t>Production cost of concrete by batch mix plant.</t>
        </is>
      </c>
      <c r="C817" s="22" t="inlineStr">
        <is>
          <t>cum</t>
        </is>
      </c>
      <c r="D817" s="23" t="n">
        <v>1</v>
      </c>
      <c r="E817" s="24" t="n">
        <v>350</v>
      </c>
      <c r="F817" s="24">
        <f>D817*E817</f>
        <v/>
      </c>
      <c r="G817" s="22" t="n"/>
    </row>
    <row r="818">
      <c r="A818" s="22" t="inlineStr">
        <is>
          <t>0029</t>
        </is>
      </c>
      <c r="B818" s="11" t="inlineStr">
        <is>
          <t>Carriage of concrete by transit mixer. km/</t>
        </is>
      </c>
      <c r="C818" s="22" t="inlineStr">
        <is>
          <t>cum</t>
        </is>
      </c>
      <c r="D818" s="23" t="n">
        <v>10</v>
      </c>
      <c r="E818" s="24" t="n">
        <v>30</v>
      </c>
      <c r="F818" s="24">
        <f>D818*E818</f>
        <v/>
      </c>
      <c r="G818" s="22" t="n"/>
    </row>
    <row r="819">
      <c r="A819" s="22" t="inlineStr">
        <is>
          <t>0155</t>
        </is>
      </c>
      <c r="B819" s="11" t="inlineStr">
        <is>
          <t>Mason (average)</t>
        </is>
      </c>
      <c r="C819" s="22" t="inlineStr">
        <is>
          <t>day</t>
        </is>
      </c>
      <c r="D819" s="23" t="n">
        <v>0.17</v>
      </c>
      <c r="E819" s="24" t="n">
        <v>709</v>
      </c>
      <c r="F819" s="24">
        <f>D819*E819</f>
        <v/>
      </c>
      <c r="G819" s="22" t="n"/>
    </row>
    <row r="820">
      <c r="A820" s="22" t="inlineStr">
        <is>
          <t>0114</t>
        </is>
      </c>
      <c r="B820" s="11" t="inlineStr">
        <is>
          <t>Beldar</t>
        </is>
      </c>
      <c r="C820" s="22" t="inlineStr">
        <is>
          <t>day</t>
        </is>
      </c>
      <c r="D820" s="23" t="n">
        <v>2</v>
      </c>
      <c r="E820" s="24" t="n">
        <v>558</v>
      </c>
      <c r="F820" s="24">
        <f>D820*E820</f>
        <v/>
      </c>
      <c r="G820" s="22" t="n"/>
    </row>
    <row r="821">
      <c r="A821" s="22" t="inlineStr">
        <is>
          <t>0101</t>
        </is>
      </c>
      <c r="B821" s="11" t="inlineStr">
        <is>
          <t>Bhisti</t>
        </is>
      </c>
      <c r="C821" s="22" t="inlineStr">
        <is>
          <t>day</t>
        </is>
      </c>
      <c r="D821" s="23" t="n">
        <v>0.9</v>
      </c>
      <c r="E821" s="24" t="n">
        <v>617</v>
      </c>
      <c r="F821" s="24">
        <f>D821*E821</f>
        <v/>
      </c>
      <c r="G821" s="22" t="n"/>
    </row>
    <row r="822">
      <c r="A822" s="22" t="inlineStr">
        <is>
          <t>0012</t>
        </is>
      </c>
      <c r="B822" s="11" t="inlineStr">
        <is>
          <t>Vibrator(Needle type 40mm)</t>
        </is>
      </c>
      <c r="C822" s="22" t="inlineStr">
        <is>
          <t>day</t>
        </is>
      </c>
      <c r="D822" s="23" t="n">
        <v>0.07000000000000001</v>
      </c>
      <c r="E822" s="24" t="n">
        <v>370</v>
      </c>
      <c r="F822" s="24">
        <f>D822*E822</f>
        <v/>
      </c>
      <c r="G822" s="22" t="n"/>
    </row>
    <row r="823">
      <c r="A823" s="22" t="inlineStr">
        <is>
          <t>9999</t>
        </is>
      </c>
      <c r="B823" s="11" t="inlineStr">
        <is>
          <t>Sundries</t>
        </is>
      </c>
      <c r="C823" s="22" t="inlineStr">
        <is>
          <t>L.S.</t>
        </is>
      </c>
      <c r="D823" s="23" t="n">
        <v>13</v>
      </c>
      <c r="E823" s="24" t="n">
        <v>2</v>
      </c>
      <c r="F823" s="24">
        <f>D823*E823</f>
        <v/>
      </c>
      <c r="G823" s="22" t="n"/>
    </row>
    <row r="824">
      <c r="A824" s="22" t="inlineStr">
        <is>
          <t>0115</t>
        </is>
      </c>
      <c r="B824" s="11" t="inlineStr">
        <is>
          <t>Coolie</t>
        </is>
      </c>
      <c r="C824" s="22" t="inlineStr">
        <is>
          <t>day</t>
        </is>
      </c>
      <c r="D824" s="23" t="n">
        <v>1.88</v>
      </c>
      <c r="E824" s="24" t="n">
        <v>558</v>
      </c>
      <c r="F824" s="24">
        <f>D824*E824</f>
        <v/>
      </c>
      <c r="G824" s="22" t="n"/>
    </row>
    <row r="825">
      <c r="A825" s="8" t="inlineStr">
        <is>
          <t>Calculated W - SUM of the Amount column above</t>
        </is>
      </c>
      <c r="B825" s="9" t="n"/>
      <c r="C825" s="9" t="n"/>
      <c r="D825" s="9" t="n"/>
      <c r="E825" s="9" t="n"/>
      <c r="F825" s="25">
        <f>SUM(F808:F824)</f>
        <v/>
      </c>
      <c r="G825" s="9" t="n"/>
    </row>
    <row r="826">
      <c r="A826" s="26" t="inlineStr">
        <is>
          <t>W as printed in the DAR</t>
        </is>
      </c>
      <c r="B826" s="22" t="n"/>
      <c r="C826" s="22" t="n"/>
      <c r="D826" s="22" t="n"/>
      <c r="E826" s="22" t="n"/>
      <c r="F826" s="27" t="n">
        <v>6639.95</v>
      </c>
      <c r="G826" s="22" t="n"/>
    </row>
    <row r="827">
      <c r="A827" s="26" t="inlineStr">
        <is>
          <t>Difference (calculated - printed)</t>
        </is>
      </c>
      <c r="B827" s="22" t="n"/>
      <c r="C827" s="22" t="n"/>
      <c r="D827" s="22" t="n"/>
      <c r="E827" s="22" t="n"/>
      <c r="F827" s="27">
        <f>F825-F826</f>
        <v/>
      </c>
      <c r="G827" s="22" t="n"/>
    </row>
    <row r="828">
      <c r="A828" s="29" t="inlineStr">
        <is>
          <t>SAY (Rs.) - final DAR rate as printed (fixed value, not computed)</t>
        </is>
      </c>
      <c r="B828" s="30" t="n"/>
      <c r="C828" s="30" t="n"/>
      <c r="D828" s="30" t="n"/>
      <c r="E828" s="30" t="n"/>
      <c r="F828" s="31" t="n">
        <v>8883.85</v>
      </c>
      <c r="G828" s="30" t="n"/>
    </row>
  </sheetData>
  <mergeCells count="279">
    <mergeCell ref="A310:E310"/>
    <mergeCell ref="A337:E337"/>
    <mergeCell ref="A188:G188"/>
    <mergeCell ref="A232:E232"/>
    <mergeCell ref="A725:G725"/>
    <mergeCell ref="A595:E595"/>
    <mergeCell ref="A207:E207"/>
    <mergeCell ref="A182:E182"/>
    <mergeCell ref="A411:G411"/>
    <mergeCell ref="A45:E45"/>
    <mergeCell ref="A538:G538"/>
    <mergeCell ref="B73:G73"/>
    <mergeCell ref="A609:G609"/>
    <mergeCell ref="A452:E452"/>
    <mergeCell ref="A28:G28"/>
    <mergeCell ref="A532:E532"/>
    <mergeCell ref="A507:E507"/>
    <mergeCell ref="A516:E516"/>
    <mergeCell ref="A718:E718"/>
    <mergeCell ref="A137:E137"/>
    <mergeCell ref="A497:E497"/>
    <mergeCell ref="A46:E46"/>
    <mergeCell ref="A208:E208"/>
    <mergeCell ref="B187:G187"/>
    <mergeCell ref="A89:E89"/>
    <mergeCell ref="A379:E379"/>
    <mergeCell ref="A142:G142"/>
    <mergeCell ref="A453:E453"/>
    <mergeCell ref="B485:G485"/>
    <mergeCell ref="B556:G556"/>
    <mergeCell ref="B804:G804"/>
    <mergeCell ref="B608:G608"/>
    <mergeCell ref="A136:E136"/>
    <mergeCell ref="A21:E21"/>
    <mergeCell ref="A720:E720"/>
    <mergeCell ref="A376:E376"/>
    <mergeCell ref="A113:E113"/>
    <mergeCell ref="B5:G5"/>
    <mergeCell ref="A406:E406"/>
    <mergeCell ref="A468:E468"/>
    <mergeCell ref="B722:G722"/>
    <mergeCell ref="B636:G636"/>
    <mergeCell ref="B361:G361"/>
    <mergeCell ref="A23:E23"/>
    <mergeCell ref="A483:E483"/>
    <mergeCell ref="A316:G316"/>
    <mergeCell ref="B777:G777"/>
    <mergeCell ref="A234:E234"/>
    <mergeCell ref="A405:E405"/>
    <mergeCell ref="A181:E181"/>
    <mergeCell ref="A426:G426"/>
    <mergeCell ref="A557:G557"/>
    <mergeCell ref="A91:E91"/>
    <mergeCell ref="A184:E184"/>
    <mergeCell ref="B141:G141"/>
    <mergeCell ref="A43:E43"/>
    <mergeCell ref="A660:E660"/>
    <mergeCell ref="B439:G439"/>
    <mergeCell ref="A336:E336"/>
    <mergeCell ref="A494:E494"/>
    <mergeCell ref="A407:E407"/>
    <mergeCell ref="B400:G400"/>
    <mergeCell ref="A481:E481"/>
    <mergeCell ref="A115:E115"/>
    <mergeCell ref="A594:E594"/>
    <mergeCell ref="B409:G409"/>
    <mergeCell ref="B749:G749"/>
    <mergeCell ref="A633:E633"/>
    <mergeCell ref="B263:G263"/>
    <mergeCell ref="A518:E518"/>
    <mergeCell ref="B362:G362"/>
    <mergeCell ref="A747:E747"/>
    <mergeCell ref="B425:G425"/>
    <mergeCell ref="A284:E284"/>
    <mergeCell ref="A691:E691"/>
    <mergeCell ref="A138:E138"/>
    <mergeCell ref="B499:G499"/>
    <mergeCell ref="A342:G342"/>
    <mergeCell ref="B470:G470"/>
    <mergeCell ref="A165:G165"/>
    <mergeCell ref="A496:E496"/>
    <mergeCell ref="B597:G597"/>
    <mergeCell ref="A696:G696"/>
    <mergeCell ref="B606:G606"/>
    <mergeCell ref="B750:G750"/>
    <mergeCell ref="A659:E659"/>
    <mergeCell ref="B314:G314"/>
    <mergeCell ref="A69:E69"/>
    <mergeCell ref="A569:G569"/>
    <mergeCell ref="B805:G805"/>
    <mergeCell ref="A551:E551"/>
    <mergeCell ref="A471:G471"/>
    <mergeCell ref="A183:E183"/>
    <mergeCell ref="B211:G211"/>
    <mergeCell ref="A419:E419"/>
    <mergeCell ref="B49:G49"/>
    <mergeCell ref="B456:G456"/>
    <mergeCell ref="A717:E717"/>
    <mergeCell ref="A233:E233"/>
    <mergeCell ref="A402:G402"/>
    <mergeCell ref="B776:G776"/>
    <mergeCell ref="A378:E378"/>
    <mergeCell ref="A356:E356"/>
    <mergeCell ref="A602:E602"/>
    <mergeCell ref="B164:G164"/>
    <mergeCell ref="B695:G695"/>
    <mergeCell ref="B751:G751"/>
    <mergeCell ref="A119:G119"/>
    <mergeCell ref="A1:G1"/>
    <mergeCell ref="B340:G340"/>
    <mergeCell ref="A383:G383"/>
    <mergeCell ref="B511:G511"/>
    <mergeCell ref="A457:G457"/>
    <mergeCell ref="A719:E719"/>
    <mergeCell ref="A745:E745"/>
    <mergeCell ref="B212:G212"/>
    <mergeCell ref="B237:G237"/>
    <mergeCell ref="B163:G163"/>
    <mergeCell ref="A533:E533"/>
    <mergeCell ref="A604:E604"/>
    <mergeCell ref="A631:E631"/>
    <mergeCell ref="A159:E159"/>
    <mergeCell ref="A508:E508"/>
    <mergeCell ref="A312:E312"/>
    <mergeCell ref="A363:G363"/>
    <mergeCell ref="A547:G547"/>
    <mergeCell ref="A395:E395"/>
    <mergeCell ref="A601:E601"/>
    <mergeCell ref="B666:G666"/>
    <mergeCell ref="A744:E744"/>
    <mergeCell ref="A264:G264"/>
    <mergeCell ref="A522:G522"/>
    <mergeCell ref="A209:E209"/>
    <mergeCell ref="A436:E436"/>
    <mergeCell ref="A451:E451"/>
    <mergeCell ref="B537:G537"/>
    <mergeCell ref="A563:E563"/>
    <mergeCell ref="A161:E161"/>
    <mergeCell ref="A667:G667"/>
    <mergeCell ref="B27:G27"/>
    <mergeCell ref="B140:G140"/>
    <mergeCell ref="B382:G382"/>
    <mergeCell ref="B665:G665"/>
    <mergeCell ref="A801:E801"/>
    <mergeCell ref="A258:E258"/>
    <mergeCell ref="A440:G440"/>
    <mergeCell ref="A67:E67"/>
    <mergeCell ref="A338:E338"/>
    <mergeCell ref="A509:E509"/>
    <mergeCell ref="A534:E534"/>
    <mergeCell ref="B117:G117"/>
    <mergeCell ref="A565:E565"/>
    <mergeCell ref="A798:E798"/>
    <mergeCell ref="B262:G262"/>
    <mergeCell ref="A24:E24"/>
    <mergeCell ref="A290:G290"/>
    <mergeCell ref="A260:E260"/>
    <mergeCell ref="A564:E564"/>
    <mergeCell ref="A358:E358"/>
    <mergeCell ref="A800:E800"/>
    <mergeCell ref="A96:G96"/>
    <mergeCell ref="A552:E552"/>
    <mergeCell ref="A422:E422"/>
    <mergeCell ref="A535:E535"/>
    <mergeCell ref="A500:G500"/>
    <mergeCell ref="B288:G288"/>
    <mergeCell ref="B410:G410"/>
    <mergeCell ref="B637:G637"/>
    <mergeCell ref="A690:E690"/>
    <mergeCell ref="B118:G118"/>
    <mergeCell ref="A286:E286"/>
    <mergeCell ref="A826:E826"/>
    <mergeCell ref="A158:E158"/>
    <mergeCell ref="A689:E689"/>
    <mergeCell ref="A465:E465"/>
    <mergeCell ref="B95:G95"/>
    <mergeCell ref="A434:E434"/>
    <mergeCell ref="A592:E592"/>
    <mergeCell ref="A486:G486"/>
    <mergeCell ref="A772:E772"/>
    <mergeCell ref="A553:E553"/>
    <mergeCell ref="A828:E828"/>
    <mergeCell ref="A6:G6"/>
    <mergeCell ref="B607:G607"/>
    <mergeCell ref="B694:G694"/>
    <mergeCell ref="B778:G778"/>
    <mergeCell ref="A160:E160"/>
    <mergeCell ref="B315:G315"/>
    <mergeCell ref="B26:G26"/>
    <mergeCell ref="A22:E22"/>
    <mergeCell ref="A135:E135"/>
    <mergeCell ref="A206:E206"/>
    <mergeCell ref="A377:E377"/>
    <mergeCell ref="B72:G72"/>
    <mergeCell ref="A433:E433"/>
    <mergeCell ref="B693:G693"/>
    <mergeCell ref="A420:E420"/>
    <mergeCell ref="A662:E662"/>
    <mergeCell ref="A238:G238"/>
    <mergeCell ref="A112:E112"/>
    <mergeCell ref="A50:G50"/>
    <mergeCell ref="A554:E554"/>
    <mergeCell ref="A435:E435"/>
    <mergeCell ref="B236:G236"/>
    <mergeCell ref="A2:G2"/>
    <mergeCell ref="A450:E450"/>
    <mergeCell ref="A506:E506"/>
    <mergeCell ref="A357:E357"/>
    <mergeCell ref="A213:G213"/>
    <mergeCell ref="A44:E44"/>
    <mergeCell ref="B341:G341"/>
    <mergeCell ref="B381:G381"/>
    <mergeCell ref="B521:G521"/>
    <mergeCell ref="A541:E541"/>
    <mergeCell ref="A598:G598"/>
    <mergeCell ref="A603:E603"/>
    <mergeCell ref="A114:E114"/>
    <mergeCell ref="A421:E421"/>
    <mergeCell ref="A688:E688"/>
    <mergeCell ref="B803:G803"/>
    <mergeCell ref="A799:E799"/>
    <mergeCell ref="A257:E257"/>
    <mergeCell ref="A396:E396"/>
    <mergeCell ref="A773:E773"/>
    <mergeCell ref="A467:E467"/>
    <mergeCell ref="A632:E632"/>
    <mergeCell ref="A825:E825"/>
    <mergeCell ref="B455:G455"/>
    <mergeCell ref="A359:E359"/>
    <mergeCell ref="A70:E70"/>
    <mergeCell ref="B664:G664"/>
    <mergeCell ref="B289:G289"/>
    <mergeCell ref="A517:E517"/>
    <mergeCell ref="A398:E398"/>
    <mergeCell ref="B568:G568"/>
    <mergeCell ref="B186:G186"/>
    <mergeCell ref="B546:G546"/>
    <mergeCell ref="A90:E90"/>
    <mergeCell ref="A283:E283"/>
    <mergeCell ref="A566:E566"/>
    <mergeCell ref="A335:E335"/>
    <mergeCell ref="A397:E397"/>
    <mergeCell ref="B438:G438"/>
    <mergeCell ref="A519:E519"/>
    <mergeCell ref="A746:E746"/>
    <mergeCell ref="A638:G638"/>
    <mergeCell ref="B723:G723"/>
    <mergeCell ref="A285:E285"/>
    <mergeCell ref="A543:E543"/>
    <mergeCell ref="A630:E630"/>
    <mergeCell ref="B94:G94"/>
    <mergeCell ref="A806:G806"/>
    <mergeCell ref="B4:G4"/>
    <mergeCell ref="A309:E309"/>
    <mergeCell ref="B424:G424"/>
    <mergeCell ref="B635:G635"/>
    <mergeCell ref="A259:E259"/>
    <mergeCell ref="A752:G752"/>
    <mergeCell ref="A542:E542"/>
    <mergeCell ref="A311:E311"/>
    <mergeCell ref="A231:E231"/>
    <mergeCell ref="A495:E495"/>
    <mergeCell ref="A74:G74"/>
    <mergeCell ref="A771:E771"/>
    <mergeCell ref="B401:G401"/>
    <mergeCell ref="A482:E482"/>
    <mergeCell ref="A827:E827"/>
    <mergeCell ref="B724:G724"/>
    <mergeCell ref="A661:E661"/>
    <mergeCell ref="A68:E68"/>
    <mergeCell ref="A512:G512"/>
    <mergeCell ref="A774:E774"/>
    <mergeCell ref="A544:E544"/>
    <mergeCell ref="A779:G779"/>
    <mergeCell ref="A593:E593"/>
    <mergeCell ref="A466:E466"/>
    <mergeCell ref="B48:G48"/>
    <mergeCell ref="A480:E480"/>
    <mergeCell ref="A92:E92"/>
  </mergeCells>
  <conditionalFormatting sqref="F23 F45 F69 F91 F114 F137 F160 F183 F208 F233 F259 F285 F311 F337 F358 F378 F397 F421 F435 F452 F467 F482 F496 F508 F518 F534 F543 F553 F565 F594 F603 F632 F661 F690 F719 F746 F773 F800 F827">
    <cfRule type="cellIs" priority="1" operator="notBetween" dxfId="0">
      <formula>-0.05</formula>
      <formula>0.05</formula>
    </cfRule>
  </conditionalFormatting>
  <hyperlinks>
    <hyperlink xmlns:r="http://schemas.openxmlformats.org/officeDocument/2006/relationships" ref="A404" r:id="rId1"/>
    <hyperlink xmlns:r="http://schemas.openxmlformats.org/officeDocument/2006/relationships" ref="A413" r:id="rId2"/>
    <hyperlink xmlns:r="http://schemas.openxmlformats.org/officeDocument/2006/relationships" ref="A415" r:id="rId3"/>
    <hyperlink xmlns:r="http://schemas.openxmlformats.org/officeDocument/2006/relationships" ref="A416" r:id="rId4"/>
    <hyperlink xmlns:r="http://schemas.openxmlformats.org/officeDocument/2006/relationships" ref="A417" r:id="rId5"/>
    <hyperlink xmlns:r="http://schemas.openxmlformats.org/officeDocument/2006/relationships" ref="A428" r:id="rId6"/>
    <hyperlink xmlns:r="http://schemas.openxmlformats.org/officeDocument/2006/relationships" ref="A429" r:id="rId7"/>
    <hyperlink xmlns:r="http://schemas.openxmlformats.org/officeDocument/2006/relationships" ref="A430" r:id="rId8"/>
    <hyperlink xmlns:r="http://schemas.openxmlformats.org/officeDocument/2006/relationships" ref="A431" r:id="rId9"/>
    <hyperlink xmlns:r="http://schemas.openxmlformats.org/officeDocument/2006/relationships" ref="A442" r:id="rId10"/>
    <hyperlink xmlns:r="http://schemas.openxmlformats.org/officeDocument/2006/relationships" ref="A443" r:id="rId11"/>
    <hyperlink xmlns:r="http://schemas.openxmlformats.org/officeDocument/2006/relationships" ref="A444" r:id="rId12"/>
    <hyperlink xmlns:r="http://schemas.openxmlformats.org/officeDocument/2006/relationships" ref="A445" r:id="rId13"/>
    <hyperlink xmlns:r="http://schemas.openxmlformats.org/officeDocument/2006/relationships" ref="A446" r:id="rId14"/>
    <hyperlink xmlns:r="http://schemas.openxmlformats.org/officeDocument/2006/relationships" ref="A459" r:id="rId15"/>
    <hyperlink xmlns:r="http://schemas.openxmlformats.org/officeDocument/2006/relationships" ref="A461" r:id="rId16"/>
    <hyperlink xmlns:r="http://schemas.openxmlformats.org/officeDocument/2006/relationships" ref="A473" r:id="rId17"/>
    <hyperlink xmlns:r="http://schemas.openxmlformats.org/officeDocument/2006/relationships" ref="A474" r:id="rId18"/>
    <hyperlink xmlns:r="http://schemas.openxmlformats.org/officeDocument/2006/relationships" ref="A475" r:id="rId19"/>
    <hyperlink xmlns:r="http://schemas.openxmlformats.org/officeDocument/2006/relationships" ref="A476" r:id="rId20"/>
    <hyperlink xmlns:r="http://schemas.openxmlformats.org/officeDocument/2006/relationships" ref="A477" r:id="rId21"/>
    <hyperlink xmlns:r="http://schemas.openxmlformats.org/officeDocument/2006/relationships" ref="A478" r:id="rId22"/>
    <hyperlink xmlns:r="http://schemas.openxmlformats.org/officeDocument/2006/relationships" ref="A488" r:id="rId23"/>
    <hyperlink xmlns:r="http://schemas.openxmlformats.org/officeDocument/2006/relationships" ref="A502"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2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05: REINFORCED CEMENT CONCRETE</t>
        </is>
      </c>
    </row>
    <row r="2" ht="28" customHeight="1">
      <c r="A2" s="16" t="inlineStr">
        <is>
          <t>116 priced items. Amount and Calculated W are live Excel formulas (Quantity x Rate, SUM); the printed W and SAY are the DAR's own figures. Edit any Quantity or Rate and the item's calculated W recalculates.</t>
        </is>
      </c>
    </row>
    <row r="4" ht="33" customHeight="1">
      <c r="A4" s="8" t="inlineStr">
        <is>
          <t>5.1</t>
        </is>
      </c>
      <c r="B4" s="17" t="inlineStr">
        <is>
          <t>Providing and laying in position specified grade of reinforced cement concrete, excluding the cost of centering, shuttering, finishing and reinforcement - All work up to plinth level :</t>
        </is>
      </c>
      <c r="C4" s="9" t="n"/>
      <c r="D4" s="9" t="n"/>
      <c r="E4" s="9" t="n"/>
      <c r="F4" s="9" t="n"/>
      <c r="G4" s="9" t="n"/>
    </row>
    <row r="5" ht="18.5" customHeight="1">
      <c r="A5" s="18" t="inlineStr">
        <is>
          <t>5.1.2</t>
        </is>
      </c>
      <c r="B5" s="19" t="inlineStr">
        <is>
          <t>1:1.5:3 (1 cement : 1.5 coarse sand (zone-III): 3 graded stone aggregate 20 mm nominal size)</t>
        </is>
      </c>
      <c r="C5" s="20" t="n"/>
      <c r="D5" s="20" t="n"/>
      <c r="E5" s="20" t="n"/>
      <c r="F5" s="20" t="n"/>
      <c r="G5" s="20" t="n"/>
    </row>
    <row r="6">
      <c r="A6" s="21" t="inlineStr">
        <is>
          <t>Details of cost for 1 cum   |   Source: CivilDAR_2019_Vol_1.pdf, page 190</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0295</t>
        </is>
      </c>
      <c r="B8" s="11" t="inlineStr">
        <is>
          <t>Stone Aggregate (Single size) : 20 mm nominal size</t>
        </is>
      </c>
      <c r="C8" s="22" t="inlineStr">
        <is>
          <t>cum</t>
        </is>
      </c>
      <c r="D8" s="23" t="n">
        <v>0.57</v>
      </c>
      <c r="E8" s="24" t="n">
        <v>1350</v>
      </c>
      <c r="F8" s="24">
        <f>D8*E8</f>
        <v/>
      </c>
      <c r="G8" s="22" t="n"/>
    </row>
    <row r="9">
      <c r="A9" s="22" t="inlineStr">
        <is>
          <t>0297</t>
        </is>
      </c>
      <c r="B9" s="11" t="inlineStr">
        <is>
          <t>Stone Aggregate (Single size) : 10 mm nominal size</t>
        </is>
      </c>
      <c r="C9" s="22" t="inlineStr">
        <is>
          <t>cum</t>
        </is>
      </c>
      <c r="D9" s="23" t="n">
        <v>0.28</v>
      </c>
      <c r="E9" s="24" t="n">
        <v>1350</v>
      </c>
      <c r="F9" s="24">
        <f>D9*E9</f>
        <v/>
      </c>
      <c r="G9" s="22" t="n"/>
    </row>
    <row r="10">
      <c r="A10" s="22" t="inlineStr">
        <is>
          <t>2202</t>
        </is>
      </c>
      <c r="B10" s="11" t="inlineStr">
        <is>
          <t>Carriage of Stone aggregate below 40 mm nominal size</t>
        </is>
      </c>
      <c r="C10" s="22" t="inlineStr">
        <is>
          <t>cum</t>
        </is>
      </c>
      <c r="D10" s="23" t="n">
        <v>0.85</v>
      </c>
      <c r="E10" s="24" t="n">
        <v>103.77</v>
      </c>
      <c r="F10" s="24">
        <f>D10*E10</f>
        <v/>
      </c>
      <c r="G10" s="22" t="n"/>
    </row>
    <row r="11">
      <c r="A11" s="22" t="inlineStr">
        <is>
          <t>0982</t>
        </is>
      </c>
      <c r="B11" s="11" t="inlineStr">
        <is>
          <t>Coarse sand (zone III)</t>
        </is>
      </c>
      <c r="C11" s="22" t="inlineStr">
        <is>
          <t>cum</t>
        </is>
      </c>
      <c r="D11" s="23" t="n">
        <v>0.425</v>
      </c>
      <c r="E11" s="24" t="n">
        <v>1350</v>
      </c>
      <c r="F11" s="24">
        <f>D11*E11</f>
        <v/>
      </c>
      <c r="G11" s="22" t="n"/>
    </row>
    <row r="12">
      <c r="A12" s="22" t="inlineStr">
        <is>
          <t>2203</t>
        </is>
      </c>
      <c r="B12" s="11" t="inlineStr">
        <is>
          <t>Carriage of Coarse sand</t>
        </is>
      </c>
      <c r="C12" s="22" t="inlineStr">
        <is>
          <t>cum</t>
        </is>
      </c>
      <c r="D12" s="23" t="n">
        <v>0.425</v>
      </c>
      <c r="E12" s="24" t="n">
        <v>103.77</v>
      </c>
      <c r="F12" s="24">
        <f>D12*E12</f>
        <v/>
      </c>
      <c r="G12" s="22" t="n"/>
    </row>
    <row r="13">
      <c r="A13" s="22" t="inlineStr">
        <is>
          <t>0367</t>
        </is>
      </c>
      <c r="B13" s="11" t="inlineStr">
        <is>
          <t>Portland Cement (0.2833 cum)</t>
        </is>
      </c>
      <c r="C13" s="22" t="inlineStr">
        <is>
          <t>tonne</t>
        </is>
      </c>
      <c r="D13" s="23" t="n">
        <v>0.4</v>
      </c>
      <c r="E13" s="24" t="n">
        <v>4940</v>
      </c>
      <c r="F13" s="24">
        <f>D13*E13</f>
        <v/>
      </c>
      <c r="G13" s="22" t="n"/>
    </row>
    <row r="14">
      <c r="A14" s="22" t="inlineStr">
        <is>
          <t>2209</t>
        </is>
      </c>
      <c r="B14" s="11" t="inlineStr">
        <is>
          <t>Carriage of Cement</t>
        </is>
      </c>
      <c r="C14" s="22" t="inlineStr">
        <is>
          <t>tonne</t>
        </is>
      </c>
      <c r="D14" s="23" t="n">
        <v>0.4</v>
      </c>
      <c r="E14" s="24" t="n">
        <v>92.23999999999999</v>
      </c>
      <c r="F14" s="24">
        <f>D14*E14</f>
        <v/>
      </c>
      <c r="G14" s="22" t="n"/>
    </row>
    <row r="15">
      <c r="A15" s="22" t="inlineStr">
        <is>
          <t>0155</t>
        </is>
      </c>
      <c r="B15" s="11" t="inlineStr">
        <is>
          <t>Mason (average)</t>
        </is>
      </c>
      <c r="C15" s="22" t="inlineStr">
        <is>
          <t>day</t>
        </is>
      </c>
      <c r="D15" s="23" t="n">
        <v>0.17</v>
      </c>
      <c r="E15" s="24" t="n">
        <v>709</v>
      </c>
      <c r="F15" s="24">
        <f>D15*E15</f>
        <v/>
      </c>
      <c r="G15" s="22" t="n"/>
    </row>
    <row r="16">
      <c r="A16" s="22" t="inlineStr">
        <is>
          <t>0114</t>
        </is>
      </c>
      <c r="B16" s="11" t="inlineStr">
        <is>
          <t>Beldar</t>
        </is>
      </c>
      <c r="C16" s="22" t="inlineStr">
        <is>
          <t>day</t>
        </is>
      </c>
      <c r="D16" s="23" t="n">
        <v>2</v>
      </c>
      <c r="E16" s="24" t="n">
        <v>558</v>
      </c>
      <c r="F16" s="24">
        <f>D16*E16</f>
        <v/>
      </c>
      <c r="G16" s="22" t="n"/>
    </row>
    <row r="17">
      <c r="A17" s="22" t="inlineStr">
        <is>
          <t>0101</t>
        </is>
      </c>
      <c r="B17" s="11" t="inlineStr">
        <is>
          <t>Bhisti</t>
        </is>
      </c>
      <c r="C17" s="22" t="inlineStr">
        <is>
          <t>day</t>
        </is>
      </c>
      <c r="D17" s="23" t="n">
        <v>0.9</v>
      </c>
      <c r="E17" s="24" t="n">
        <v>617</v>
      </c>
      <c r="F17" s="24">
        <f>D17*E17</f>
        <v/>
      </c>
      <c r="G17" s="22" t="n"/>
    </row>
    <row r="18">
      <c r="A18" s="22" t="inlineStr">
        <is>
          <t>0002</t>
        </is>
      </c>
      <c r="B18" s="11" t="inlineStr">
        <is>
          <t>Hire charges of Concrete Mixer 0.25 to 0.40 cum with hooper</t>
        </is>
      </c>
      <c r="C18" s="22" t="inlineStr">
        <is>
          <t>day</t>
        </is>
      </c>
      <c r="D18" s="23" t="n">
        <v>0.07000000000000001</v>
      </c>
      <c r="E18" s="24" t="n">
        <v>800</v>
      </c>
      <c r="F18" s="24">
        <f>D18*E18</f>
        <v/>
      </c>
      <c r="G18" s="22" t="n"/>
    </row>
    <row r="19">
      <c r="A19" s="22" t="inlineStr">
        <is>
          <t>0012</t>
        </is>
      </c>
      <c r="B19" s="11" t="inlineStr">
        <is>
          <t>Vibrator(Needle type 40mm)</t>
        </is>
      </c>
      <c r="C19" s="22" t="inlineStr">
        <is>
          <t>day</t>
        </is>
      </c>
      <c r="D19" s="23" t="n">
        <v>0.07000000000000001</v>
      </c>
      <c r="E19" s="24" t="n">
        <v>370</v>
      </c>
      <c r="F19" s="24">
        <f>D19*E19</f>
        <v/>
      </c>
      <c r="G19" s="22" t="n"/>
    </row>
    <row r="20">
      <c r="A20" s="22" t="inlineStr">
        <is>
          <t>9999</t>
        </is>
      </c>
      <c r="B20" s="11" t="inlineStr">
        <is>
          <t>Sundries</t>
        </is>
      </c>
      <c r="C20" s="22" t="inlineStr">
        <is>
          <t>L.S.</t>
        </is>
      </c>
      <c r="D20" s="23" t="n">
        <v>14.3</v>
      </c>
      <c r="E20" s="24" t="n">
        <v>2</v>
      </c>
      <c r="F20" s="24">
        <f>D20*E20</f>
        <v/>
      </c>
      <c r="G20" s="22" t="n"/>
    </row>
    <row r="21">
      <c r="A21" s="8" t="inlineStr">
        <is>
          <t>Calculated W - SUM of the Amount column above</t>
        </is>
      </c>
      <c r="B21" s="9" t="n"/>
      <c r="C21" s="9" t="n"/>
      <c r="D21" s="9" t="n"/>
      <c r="E21" s="9" t="n"/>
      <c r="F21" s="25">
        <f>SUM(F8:F20)</f>
        <v/>
      </c>
      <c r="G21" s="9" t="n"/>
    </row>
    <row r="22">
      <c r="A22" s="26" t="inlineStr">
        <is>
          <t>W as printed in the DAR</t>
        </is>
      </c>
      <c r="B22" s="22" t="n"/>
      <c r="C22" s="22" t="n"/>
      <c r="D22" s="22" t="n"/>
      <c r="E22" s="22" t="n"/>
      <c r="F22" s="27" t="n">
        <v>5768.78</v>
      </c>
      <c r="G22" s="22" t="n"/>
    </row>
    <row r="23">
      <c r="A23" s="26" t="inlineStr">
        <is>
          <t>Difference (calculated - printed)</t>
        </is>
      </c>
      <c r="B23" s="22" t="n"/>
      <c r="C23" s="22" t="n"/>
      <c r="D23" s="22" t="n"/>
      <c r="E23" s="22" t="n"/>
      <c r="F23" s="27">
        <f>F21-F22</f>
        <v/>
      </c>
      <c r="G23" s="22" t="n"/>
    </row>
    <row r="24">
      <c r="A24" s="29" t="inlineStr">
        <is>
          <t>SAY (Rs.) - final DAR rate as printed (fixed value, not computed)</t>
        </is>
      </c>
      <c r="B24" s="30" t="n"/>
      <c r="C24" s="30" t="n"/>
      <c r="D24" s="30" t="n"/>
      <c r="E24" s="30" t="n"/>
      <c r="F24" s="31" t="n">
        <v>7718.25</v>
      </c>
      <c r="G24" s="30" t="n"/>
    </row>
    <row r="26" ht="33" customHeight="1">
      <c r="A26" s="8" t="inlineStr">
        <is>
          <t>5.1</t>
        </is>
      </c>
      <c r="B26" s="17" t="inlineStr">
        <is>
          <t>Providing and laying in position specified grade of reinforced cement concrete, excluding the cost of centering, shuttering, finishing and reinforcement - All work up to plinth level :</t>
        </is>
      </c>
      <c r="C26" s="9" t="n"/>
      <c r="D26" s="9" t="n"/>
      <c r="E26" s="9" t="n"/>
      <c r="F26" s="9" t="n"/>
      <c r="G26" s="9" t="n"/>
    </row>
    <row r="27" ht="18.5" customHeight="1">
      <c r="A27" s="18" t="inlineStr">
        <is>
          <t>5.1.3</t>
        </is>
      </c>
      <c r="B27" s="19" t="inlineStr">
        <is>
          <t>1:2:4 (1 cement : 2 coarse sand : 4 graded stone aggregate 20 mm nominal size)</t>
        </is>
      </c>
      <c r="C27" s="20" t="n"/>
      <c r="D27" s="20" t="n"/>
      <c r="E27" s="20" t="n"/>
      <c r="F27" s="20" t="n"/>
      <c r="G27" s="20" t="n"/>
    </row>
    <row r="28">
      <c r="A28" s="21" t="inlineStr">
        <is>
          <t>Details of cost for 1 cum   |   Source: CivilDAR_2019_Vol_1.pdf, page 190</t>
        </is>
      </c>
    </row>
    <row r="29">
      <c r="A29" s="5" t="inlineStr">
        <is>
          <t>Code</t>
        </is>
      </c>
      <c r="B29" s="5" t="inlineStr">
        <is>
          <t>Description</t>
        </is>
      </c>
      <c r="C29" s="5" t="inlineStr">
        <is>
          <t>Unit</t>
        </is>
      </c>
      <c r="D29" s="5" t="inlineStr">
        <is>
          <t>Quantity</t>
        </is>
      </c>
      <c r="E29" s="5" t="inlineStr">
        <is>
          <t>Rate (Rs.)</t>
        </is>
      </c>
      <c r="F29" s="5" t="inlineStr">
        <is>
          <t>Amount (Rs.)</t>
        </is>
      </c>
      <c r="G29" s="5" t="inlineStr">
        <is>
          <t>Note</t>
        </is>
      </c>
    </row>
    <row r="30">
      <c r="A30" s="22" t="inlineStr">
        <is>
          <t>0295</t>
        </is>
      </c>
      <c r="B30" s="11" t="inlineStr">
        <is>
          <t>Stone Aggregate (Single size) : 20 mm nominal size</t>
        </is>
      </c>
      <c r="C30" s="22" t="inlineStr">
        <is>
          <t>cum</t>
        </is>
      </c>
      <c r="D30" s="23" t="n">
        <v>0.67</v>
      </c>
      <c r="E30" s="24" t="n">
        <v>1350</v>
      </c>
      <c r="F30" s="24">
        <f>D30*E30</f>
        <v/>
      </c>
      <c r="G30" s="22" t="n"/>
    </row>
    <row r="31">
      <c r="A31" s="22" t="inlineStr">
        <is>
          <t>0297</t>
        </is>
      </c>
      <c r="B31" s="11" t="inlineStr">
        <is>
          <t>Stone Aggregate (Single size) : 10 mm nominal size</t>
        </is>
      </c>
      <c r="C31" s="22" t="inlineStr">
        <is>
          <t>cum</t>
        </is>
      </c>
      <c r="D31" s="23" t="n">
        <v>0.22</v>
      </c>
      <c r="E31" s="24" t="n">
        <v>1350</v>
      </c>
      <c r="F31" s="24">
        <f>D31*E31</f>
        <v/>
      </c>
      <c r="G31" s="22" t="n"/>
    </row>
    <row r="32">
      <c r="A32" s="22" t="inlineStr">
        <is>
          <t>2202</t>
        </is>
      </c>
      <c r="B32" s="11" t="inlineStr">
        <is>
          <t>Carriage of Stone aggregate below 40 mm nominal size</t>
        </is>
      </c>
      <c r="C32" s="22" t="inlineStr">
        <is>
          <t>cum</t>
        </is>
      </c>
      <c r="D32" s="23" t="n">
        <v>0.89</v>
      </c>
      <c r="E32" s="24" t="n">
        <v>103.77</v>
      </c>
      <c r="F32" s="24">
        <f>D32*E32</f>
        <v/>
      </c>
      <c r="G32" s="22" t="n"/>
    </row>
    <row r="33">
      <c r="A33" s="22" t="inlineStr">
        <is>
          <t>0982</t>
        </is>
      </c>
      <c r="B33" s="11" t="inlineStr">
        <is>
          <t>Coarse sand (zone III)</t>
        </is>
      </c>
      <c r="C33" s="22" t="inlineStr">
        <is>
          <t>cum</t>
        </is>
      </c>
      <c r="D33" s="23" t="n">
        <v>0.445</v>
      </c>
      <c r="E33" s="24" t="n">
        <v>1350</v>
      </c>
      <c r="F33" s="24">
        <f>D33*E33</f>
        <v/>
      </c>
      <c r="G33" s="22" t="n"/>
    </row>
    <row r="34">
      <c r="A34" s="22" t="inlineStr">
        <is>
          <t>2203</t>
        </is>
      </c>
      <c r="B34" s="11" t="inlineStr">
        <is>
          <t>Carriage of Coarse sand</t>
        </is>
      </c>
      <c r="C34" s="22" t="inlineStr">
        <is>
          <t>cum</t>
        </is>
      </c>
      <c r="D34" s="23" t="n">
        <v>0.445</v>
      </c>
      <c r="E34" s="24" t="n">
        <v>103.77</v>
      </c>
      <c r="F34" s="24">
        <f>D34*E34</f>
        <v/>
      </c>
      <c r="G34" s="22" t="n"/>
    </row>
    <row r="35">
      <c r="A35" s="22" t="inlineStr">
        <is>
          <t>0367</t>
        </is>
      </c>
      <c r="B35" s="11" t="inlineStr">
        <is>
          <t>Portland Cement (0.2225 cum)</t>
        </is>
      </c>
      <c r="C35" s="22" t="inlineStr">
        <is>
          <t>tonne</t>
        </is>
      </c>
      <c r="D35" s="23" t="n">
        <v>0.32</v>
      </c>
      <c r="E35" s="24" t="n">
        <v>4940</v>
      </c>
      <c r="F35" s="24">
        <f>D35*E35</f>
        <v/>
      </c>
      <c r="G35" s="22" t="n"/>
    </row>
    <row r="36">
      <c r="A36" s="22" t="inlineStr">
        <is>
          <t>2209</t>
        </is>
      </c>
      <c r="B36" s="11" t="inlineStr">
        <is>
          <t>Carriage of Cement</t>
        </is>
      </c>
      <c r="C36" s="22" t="inlineStr">
        <is>
          <t>tonne</t>
        </is>
      </c>
      <c r="D36" s="23" t="n">
        <v>0.32</v>
      </c>
      <c r="E36" s="24" t="n">
        <v>92.23999999999999</v>
      </c>
      <c r="F36" s="24">
        <f>D36*E36</f>
        <v/>
      </c>
      <c r="G36" s="22" t="n"/>
    </row>
    <row r="37">
      <c r="A37" s="22" t="inlineStr">
        <is>
          <t>0155</t>
        </is>
      </c>
      <c r="B37" s="11" t="inlineStr">
        <is>
          <t>Mason (average)</t>
        </is>
      </c>
      <c r="C37" s="22" t="inlineStr">
        <is>
          <t>day</t>
        </is>
      </c>
      <c r="D37" s="23" t="n">
        <v>0.17</v>
      </c>
      <c r="E37" s="24" t="n">
        <v>709</v>
      </c>
      <c r="F37" s="24">
        <f>D37*E37</f>
        <v/>
      </c>
      <c r="G37" s="22" t="n"/>
    </row>
    <row r="38">
      <c r="A38" s="22" t="inlineStr">
        <is>
          <t>0114</t>
        </is>
      </c>
      <c r="B38" s="11" t="inlineStr">
        <is>
          <t>Beldar</t>
        </is>
      </c>
      <c r="C38" s="22" t="inlineStr">
        <is>
          <t>day</t>
        </is>
      </c>
      <c r="D38" s="23" t="n">
        <v>2</v>
      </c>
      <c r="E38" s="24" t="n">
        <v>558</v>
      </c>
      <c r="F38" s="24">
        <f>D38*E38</f>
        <v/>
      </c>
      <c r="G38" s="22" t="n"/>
    </row>
    <row r="39">
      <c r="A39" s="22" t="inlineStr">
        <is>
          <t>0101</t>
        </is>
      </c>
      <c r="B39" s="11" t="inlineStr">
        <is>
          <t>Bhisti</t>
        </is>
      </c>
      <c r="C39" s="22" t="inlineStr">
        <is>
          <t>day</t>
        </is>
      </c>
      <c r="D39" s="23" t="n">
        <v>0.9</v>
      </c>
      <c r="E39" s="24" t="n">
        <v>617</v>
      </c>
      <c r="F39" s="24">
        <f>D39*E39</f>
        <v/>
      </c>
      <c r="G39" s="22" t="n"/>
    </row>
    <row r="40">
      <c r="A40" s="22" t="inlineStr">
        <is>
          <t>0002</t>
        </is>
      </c>
      <c r="B40" s="11" t="inlineStr">
        <is>
          <t>Hire charges of Concrete Mixer 0.25 to 0.40 cum with hooper</t>
        </is>
      </c>
      <c r="C40" s="22" t="inlineStr">
        <is>
          <t>day</t>
        </is>
      </c>
      <c r="D40" s="23" t="n">
        <v>0.07000000000000001</v>
      </c>
      <c r="E40" s="24" t="n">
        <v>800</v>
      </c>
      <c r="F40" s="24">
        <f>D40*E40</f>
        <v/>
      </c>
      <c r="G40" s="22" t="n"/>
    </row>
    <row r="41">
      <c r="A41" s="22" t="inlineStr">
        <is>
          <t>0012</t>
        </is>
      </c>
      <c r="B41" s="11" t="inlineStr">
        <is>
          <t>Vibrator(Needle type 40mm)</t>
        </is>
      </c>
      <c r="C41" s="22" t="inlineStr">
        <is>
          <t>day</t>
        </is>
      </c>
      <c r="D41" s="23" t="n">
        <v>0.07000000000000001</v>
      </c>
      <c r="E41" s="24" t="n">
        <v>370</v>
      </c>
      <c r="F41" s="24">
        <f>D41*E41</f>
        <v/>
      </c>
      <c r="G41" s="22" t="n"/>
    </row>
    <row r="42">
      <c r="A42" s="22" t="inlineStr">
        <is>
          <t>9999</t>
        </is>
      </c>
      <c r="B42" s="11" t="inlineStr">
        <is>
          <t>Sundries</t>
        </is>
      </c>
      <c r="C42" s="22" t="inlineStr">
        <is>
          <t>L.S.</t>
        </is>
      </c>
      <c r="D42" s="23" t="n">
        <v>14.3</v>
      </c>
      <c r="E42" s="24" t="n">
        <v>2</v>
      </c>
      <c r="F42" s="24">
        <f>D42*E42</f>
        <v/>
      </c>
      <c r="G42" s="22" t="n"/>
    </row>
    <row r="43">
      <c r="A43" s="8" t="inlineStr">
        <is>
          <t>Calculated W - SUM of the Amount column above</t>
        </is>
      </c>
      <c r="B43" s="9" t="n"/>
      <c r="C43" s="9" t="n"/>
      <c r="D43" s="9" t="n"/>
      <c r="E43" s="9" t="n"/>
      <c r="F43" s="25">
        <f>SUM(F30:F42)</f>
        <v/>
      </c>
      <c r="G43" s="9" t="n"/>
    </row>
    <row r="44">
      <c r="A44" s="26" t="inlineStr">
        <is>
          <t>W as printed in the DAR</t>
        </is>
      </c>
      <c r="B44" s="22" t="n"/>
      <c r="C44" s="22" t="n"/>
      <c r="D44" s="22" t="n"/>
      <c r="E44" s="22" t="n"/>
      <c r="F44" s="27" t="n">
        <v>5453.43</v>
      </c>
      <c r="G44" s="22" t="n"/>
    </row>
    <row r="45">
      <c r="A45" s="26" t="inlineStr">
        <is>
          <t>Difference (calculated - printed)</t>
        </is>
      </c>
      <c r="B45" s="22" t="n"/>
      <c r="C45" s="22" t="n"/>
      <c r="D45" s="22" t="n"/>
      <c r="E45" s="22" t="n"/>
      <c r="F45" s="27">
        <f>F43-F44</f>
        <v/>
      </c>
      <c r="G45" s="22" t="n"/>
    </row>
    <row r="46">
      <c r="A46" s="29" t="inlineStr">
        <is>
          <t>SAY (Rs.) - final DAR rate as printed (fixed value, not computed)</t>
        </is>
      </c>
      <c r="B46" s="30" t="n"/>
      <c r="C46" s="30" t="n"/>
      <c r="D46" s="30" t="n"/>
      <c r="E46" s="30" t="n"/>
      <c r="F46" s="31" t="n">
        <v>7296.35</v>
      </c>
      <c r="G46" s="30" t="n"/>
    </row>
    <row r="48" ht="47.5" customHeight="1">
      <c r="A48" s="8" t="inlineStr">
        <is>
          <t>5.2</t>
        </is>
      </c>
      <c r="B48" s="17" t="inlineStr">
        <is>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t>
        </is>
      </c>
      <c r="C48" s="9" t="n"/>
      <c r="D48" s="9" t="n"/>
      <c r="E48" s="9" t="n"/>
      <c r="F48" s="9" t="n"/>
      <c r="G48" s="9" t="n"/>
    </row>
    <row r="49" ht="18.5" customHeight="1">
      <c r="A49" s="18" t="inlineStr">
        <is>
          <t>5.2.2</t>
        </is>
      </c>
      <c r="B49" s="19" t="inlineStr">
        <is>
          <t>1:1.5:3 (1 cement : 1.5 coarse sand(zone-III) : 3 graded stone aggregate 20 mm nominal size)</t>
        </is>
      </c>
      <c r="C49" s="20" t="n"/>
      <c r="D49" s="20" t="n"/>
      <c r="E49" s="20" t="n"/>
      <c r="F49" s="20" t="n"/>
      <c r="G49" s="20" t="n"/>
    </row>
    <row r="50">
      <c r="A50" s="21" t="inlineStr">
        <is>
          <t>Details of cost for 9.18 cum   |   Source: CivilDAR_2019_Vol_1.pdf, page 191</t>
        </is>
      </c>
    </row>
    <row r="51">
      <c r="A51" s="5" t="inlineStr">
        <is>
          <t>Code</t>
        </is>
      </c>
      <c r="B51" s="5" t="inlineStr">
        <is>
          <t>Description</t>
        </is>
      </c>
      <c r="C51" s="5" t="inlineStr">
        <is>
          <t>Unit</t>
        </is>
      </c>
      <c r="D51" s="5" t="inlineStr">
        <is>
          <t>Quantity</t>
        </is>
      </c>
      <c r="E51" s="5" t="inlineStr">
        <is>
          <t>Rate (Rs.)</t>
        </is>
      </c>
      <c r="F51" s="5" t="inlineStr">
        <is>
          <t>Amount (Rs.)</t>
        </is>
      </c>
      <c r="G51" s="5" t="inlineStr">
        <is>
          <t>Note</t>
        </is>
      </c>
    </row>
    <row r="52">
      <c r="A52" s="22" t="inlineStr">
        <is>
          <t>0295</t>
        </is>
      </c>
      <c r="B52" s="11" t="inlineStr">
        <is>
          <t>Stone Aggregate (Single size) : 20 mm nominal size</t>
        </is>
      </c>
      <c r="C52" s="22" t="inlineStr">
        <is>
          <t>cum</t>
        </is>
      </c>
      <c r="D52" s="23" t="n">
        <v>5.2326</v>
      </c>
      <c r="E52" s="24" t="n">
        <v>1350</v>
      </c>
      <c r="F52" s="24">
        <f>D52*E52</f>
        <v/>
      </c>
      <c r="G52" s="22" t="n"/>
    </row>
    <row r="53">
      <c r="A53" s="22" t="inlineStr">
        <is>
          <t>0297</t>
        </is>
      </c>
      <c r="B53" s="11" t="inlineStr">
        <is>
          <t>Stone Aggregate (Single size) : 10 mm nominal size</t>
        </is>
      </c>
      <c r="C53" s="22" t="inlineStr">
        <is>
          <t>cum</t>
        </is>
      </c>
      <c r="D53" s="23" t="n">
        <v>2.5704</v>
      </c>
      <c r="E53" s="24" t="n">
        <v>1350</v>
      </c>
      <c r="F53" s="24">
        <f>D53*E53</f>
        <v/>
      </c>
      <c r="G53" s="22" t="n"/>
    </row>
    <row r="54">
      <c r="A54" s="22" t="inlineStr">
        <is>
          <t>2202</t>
        </is>
      </c>
      <c r="B54" s="11" t="inlineStr">
        <is>
          <t>Carriage of Stone aggregate below 40 mm nominal size</t>
        </is>
      </c>
      <c r="C54" s="22" t="inlineStr">
        <is>
          <t>cum</t>
        </is>
      </c>
      <c r="D54" s="23" t="n">
        <v>7.803</v>
      </c>
      <c r="E54" s="24" t="n">
        <v>103.77</v>
      </c>
      <c r="F54" s="24">
        <f>D54*E54</f>
        <v/>
      </c>
      <c r="G54" s="22" t="n"/>
    </row>
    <row r="55">
      <c r="A55" s="22" t="inlineStr">
        <is>
          <t>0982</t>
        </is>
      </c>
      <c r="B55" s="11" t="inlineStr">
        <is>
          <t>Coarse sand (zone III)</t>
        </is>
      </c>
      <c r="C55" s="22" t="inlineStr">
        <is>
          <t>cum</t>
        </is>
      </c>
      <c r="D55" s="23" t="n">
        <v>3.9015</v>
      </c>
      <c r="E55" s="24" t="n">
        <v>1350</v>
      </c>
      <c r="F55" s="24">
        <f>D55*E55</f>
        <v/>
      </c>
      <c r="G55" s="22" t="n"/>
    </row>
    <row r="56">
      <c r="A56" s="22" t="inlineStr">
        <is>
          <t>2203</t>
        </is>
      </c>
      <c r="B56" s="11" t="inlineStr">
        <is>
          <t>Carriage of Coarse sand</t>
        </is>
      </c>
      <c r="C56" s="22" t="inlineStr">
        <is>
          <t>cum</t>
        </is>
      </c>
      <c r="D56" s="23" t="n">
        <v>3.9015</v>
      </c>
      <c r="E56" s="24" t="n">
        <v>103.77</v>
      </c>
      <c r="F56" s="24">
        <f>D56*E56</f>
        <v/>
      </c>
      <c r="G56" s="22" t="n"/>
    </row>
    <row r="57">
      <c r="A57" s="22" t="inlineStr">
        <is>
          <t>0367</t>
        </is>
      </c>
      <c r="B57" s="11" t="inlineStr">
        <is>
          <t>Portland Cement (0.2833 cum)</t>
        </is>
      </c>
      <c r="C57" s="22" t="inlineStr">
        <is>
          <t>tonne</t>
        </is>
      </c>
      <c r="D57" s="23" t="n">
        <v>3.672</v>
      </c>
      <c r="E57" s="24" t="n">
        <v>4940</v>
      </c>
      <c r="F57" s="24">
        <f>D57*E57</f>
        <v/>
      </c>
      <c r="G57" s="22" t="n"/>
    </row>
    <row r="58">
      <c r="A58" s="22" t="inlineStr">
        <is>
          <t>2209</t>
        </is>
      </c>
      <c r="B58" s="11" t="inlineStr">
        <is>
          <t>Carriage of Cement</t>
        </is>
      </c>
      <c r="C58" s="22" t="inlineStr">
        <is>
          <t>tonne</t>
        </is>
      </c>
      <c r="D58" s="23" t="n">
        <v>3.672</v>
      </c>
      <c r="E58" s="24" t="n">
        <v>92.23999999999999</v>
      </c>
      <c r="F58" s="24">
        <f>D58*E58</f>
        <v/>
      </c>
      <c r="G58" s="22" t="n"/>
    </row>
    <row r="59">
      <c r="A59" s="22" t="inlineStr">
        <is>
          <t>0114</t>
        </is>
      </c>
      <c r="B59" s="11" t="inlineStr">
        <is>
          <t>Beldar</t>
        </is>
      </c>
      <c r="C59" s="22" t="inlineStr">
        <is>
          <t>day</t>
        </is>
      </c>
      <c r="D59" s="23" t="n">
        <v>11.29</v>
      </c>
      <c r="E59" s="24" t="n">
        <v>558</v>
      </c>
      <c r="F59" s="24">
        <f>D59*E59</f>
        <v/>
      </c>
      <c r="G59" s="22" t="n"/>
    </row>
    <row r="60">
      <c r="A60" s="22" t="inlineStr">
        <is>
          <t>0115</t>
        </is>
      </c>
      <c r="B60" s="11" t="inlineStr">
        <is>
          <t>Coolie</t>
        </is>
      </c>
      <c r="C60" s="22" t="inlineStr">
        <is>
          <t>day</t>
        </is>
      </c>
      <c r="D60" s="23" t="n">
        <v>7.53</v>
      </c>
      <c r="E60" s="24" t="n">
        <v>558</v>
      </c>
      <c r="F60" s="24">
        <f>D60*E60</f>
        <v/>
      </c>
      <c r="G60" s="22" t="n"/>
    </row>
    <row r="61">
      <c r="A61" s="22" t="inlineStr">
        <is>
          <t>0101</t>
        </is>
      </c>
      <c r="B61" s="11" t="inlineStr">
        <is>
          <t>Bhisti</t>
        </is>
      </c>
      <c r="C61" s="22" t="inlineStr">
        <is>
          <t>day</t>
        </is>
      </c>
      <c r="D61" s="23" t="n">
        <v>8.26</v>
      </c>
      <c r="E61" s="24" t="n">
        <v>617</v>
      </c>
      <c r="F61" s="24">
        <f>D61*E61</f>
        <v/>
      </c>
      <c r="G61" s="22" t="n"/>
    </row>
    <row r="62">
      <c r="A62" s="22" t="inlineStr">
        <is>
          <t>0123</t>
        </is>
      </c>
      <c r="B62" s="11" t="inlineStr">
        <is>
          <t>Mason (brick layer) 1st class</t>
        </is>
      </c>
      <c r="C62" s="22" t="inlineStr">
        <is>
          <t>day</t>
        </is>
      </c>
      <c r="D62" s="23" t="n">
        <v>0.92</v>
      </c>
      <c r="E62" s="24" t="n">
        <v>738</v>
      </c>
      <c r="F62" s="24">
        <f>D62*E62</f>
        <v/>
      </c>
      <c r="G62" s="22" t="n"/>
    </row>
    <row r="63">
      <c r="A63" s="22" t="inlineStr">
        <is>
          <t>0124</t>
        </is>
      </c>
      <c r="B63" s="11" t="inlineStr">
        <is>
          <t>Mason (brick layer) 2nd class</t>
        </is>
      </c>
      <c r="C63" s="22" t="inlineStr">
        <is>
          <t>day</t>
        </is>
      </c>
      <c r="D63" s="23" t="n">
        <v>0.92</v>
      </c>
      <c r="E63" s="24" t="n">
        <v>679</v>
      </c>
      <c r="F63" s="24">
        <f>D63*E63</f>
        <v/>
      </c>
      <c r="G63" s="22" t="n"/>
    </row>
    <row r="64">
      <c r="A64" s="22" t="inlineStr">
        <is>
          <t>0002</t>
        </is>
      </c>
      <c r="B64" s="11" t="inlineStr">
        <is>
          <t>Hire charges of Concrete Mixer 0.25 to 0.40 cum with hooper</t>
        </is>
      </c>
      <c r="C64" s="22" t="inlineStr">
        <is>
          <t>day</t>
        </is>
      </c>
      <c r="D64" s="23" t="n">
        <v>0.64</v>
      </c>
      <c r="E64" s="24" t="n">
        <v>800</v>
      </c>
      <c r="F64" s="24">
        <f>D64*E64</f>
        <v/>
      </c>
      <c r="G64" s="22" t="n"/>
    </row>
    <row r="65">
      <c r="A65" s="22" t="inlineStr">
        <is>
          <t>0012</t>
        </is>
      </c>
      <c r="B65" s="11" t="inlineStr">
        <is>
          <t>Vibrator(Needle type 40mm)</t>
        </is>
      </c>
      <c r="C65" s="22" t="inlineStr">
        <is>
          <t>day</t>
        </is>
      </c>
      <c r="D65" s="23" t="n">
        <v>0.64</v>
      </c>
      <c r="E65" s="24" t="n">
        <v>370</v>
      </c>
      <c r="F65" s="24">
        <f>D65*E65</f>
        <v/>
      </c>
      <c r="G65" s="22" t="n"/>
    </row>
    <row r="66">
      <c r="A66" s="22" t="inlineStr">
        <is>
          <t>9999</t>
        </is>
      </c>
      <c r="B66" s="11" t="inlineStr">
        <is>
          <t>Sundries</t>
        </is>
      </c>
      <c r="C66" s="22" t="inlineStr">
        <is>
          <t>L.S.</t>
        </is>
      </c>
      <c r="D66" s="23" t="n">
        <v>131.82</v>
      </c>
      <c r="E66" s="24" t="n">
        <v>2</v>
      </c>
      <c r="F66" s="24">
        <f>D66*E66</f>
        <v/>
      </c>
      <c r="G66" s="22" t="n"/>
    </row>
    <row r="67">
      <c r="A67" s="22" t="inlineStr">
        <is>
          <t>9999</t>
        </is>
      </c>
      <c r="B67" s="11" t="inlineStr">
        <is>
          <t>Scaffolding</t>
        </is>
      </c>
      <c r="C67" s="22" t="inlineStr">
        <is>
          <t>L.S.</t>
        </is>
      </c>
      <c r="D67" s="23" t="n">
        <v>420.03</v>
      </c>
      <c r="E67" s="24" t="n">
        <v>2</v>
      </c>
      <c r="F67" s="24">
        <f>D67*E67</f>
        <v/>
      </c>
      <c r="G67" s="22" t="n"/>
    </row>
    <row r="68">
      <c r="A68" s="22" t="inlineStr">
        <is>
          <t>0115</t>
        </is>
      </c>
      <c r="B68" s="11" t="inlineStr">
        <is>
          <t>Coolie</t>
        </is>
      </c>
      <c r="C68" s="22" t="inlineStr">
        <is>
          <t>day</t>
        </is>
      </c>
      <c r="D68" s="23" t="n">
        <v>17.21</v>
      </c>
      <c r="E68" s="24" t="n">
        <v>558</v>
      </c>
      <c r="F68" s="24">
        <f>D68*E68</f>
        <v/>
      </c>
      <c r="G68" s="22" t="n"/>
    </row>
    <row r="69">
      <c r="A69" s="8" t="inlineStr">
        <is>
          <t>Calculated W - SUM of the Amount column above</t>
        </is>
      </c>
      <c r="B69" s="9" t="n"/>
      <c r="C69" s="9" t="n"/>
      <c r="D69" s="9" t="n"/>
      <c r="E69" s="9" t="n"/>
      <c r="F69" s="25">
        <f>SUM(F52:F68)</f>
        <v/>
      </c>
      <c r="G69" s="9" t="n"/>
    </row>
    <row r="70">
      <c r="A70" s="26" t="inlineStr">
        <is>
          <t>W as printed in the DAR</t>
        </is>
      </c>
      <c r="B70" s="22" t="n"/>
      <c r="C70" s="22" t="n"/>
      <c r="D70" s="22" t="n"/>
      <c r="E70" s="22" t="n"/>
      <c r="F70" s="27" t="n">
        <v>63851.34</v>
      </c>
      <c r="G70" s="22" t="n"/>
    </row>
    <row r="71">
      <c r="A71" s="26" t="inlineStr">
        <is>
          <t>Difference (calculated - printed)</t>
        </is>
      </c>
      <c r="B71" s="22" t="n"/>
      <c r="C71" s="22" t="n"/>
      <c r="D71" s="22" t="n"/>
      <c r="E71" s="22" t="n"/>
      <c r="F71" s="27">
        <f>F69-F70</f>
        <v/>
      </c>
      <c r="G71" s="22" t="n"/>
    </row>
    <row r="72">
      <c r="A72" s="29" t="inlineStr">
        <is>
          <t>SAY (Rs.) - final DAR rate as printed (fixed value, not computed)</t>
        </is>
      </c>
      <c r="B72" s="30" t="n"/>
      <c r="C72" s="30" t="n"/>
      <c r="D72" s="30" t="n"/>
      <c r="E72" s="30" t="n"/>
      <c r="F72" s="31" t="n">
        <v>9306</v>
      </c>
      <c r="G72" s="30" t="n"/>
    </row>
    <row r="74" ht="62" customHeight="1">
      <c r="A74" s="18" t="inlineStr">
        <is>
          <t>5.3</t>
        </is>
      </c>
      <c r="B74" s="19" t="inlineStr">
        <is>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 3 graded stone aggregate 20 mm nominal size).</t>
        </is>
      </c>
      <c r="C74" s="20" t="n"/>
      <c r="D74" s="20" t="n"/>
      <c r="E74" s="20" t="n"/>
      <c r="F74" s="20" t="n"/>
      <c r="G74" s="20" t="n"/>
    </row>
    <row r="75">
      <c r="A75" s="21" t="inlineStr">
        <is>
          <t>Details of cost for 1 cum   |   Source: CivilDAR_2019_Vol_1.pdf, page 192</t>
        </is>
      </c>
    </row>
    <row r="76">
      <c r="A76" s="5" t="inlineStr">
        <is>
          <t>Code</t>
        </is>
      </c>
      <c r="B76" s="5" t="inlineStr">
        <is>
          <t>Description</t>
        </is>
      </c>
      <c r="C76" s="5" t="inlineStr">
        <is>
          <t>Unit</t>
        </is>
      </c>
      <c r="D76" s="5" t="inlineStr">
        <is>
          <t>Quantity</t>
        </is>
      </c>
      <c r="E76" s="5" t="inlineStr">
        <is>
          <t>Rate (Rs.)</t>
        </is>
      </c>
      <c r="F76" s="5" t="inlineStr">
        <is>
          <t>Amount (Rs.)</t>
        </is>
      </c>
      <c r="G76" s="5" t="inlineStr">
        <is>
          <t>Note</t>
        </is>
      </c>
    </row>
    <row r="77">
      <c r="A77" s="22" t="inlineStr">
        <is>
          <t>0295</t>
        </is>
      </c>
      <c r="B77" s="11" t="inlineStr">
        <is>
          <t>Stone Aggregate (Single size) : 20 mm nominal size</t>
        </is>
      </c>
      <c r="C77" s="22" t="inlineStr">
        <is>
          <t>cum</t>
        </is>
      </c>
      <c r="D77" s="23" t="n">
        <v>0.57</v>
      </c>
      <c r="E77" s="24" t="n">
        <v>1350</v>
      </c>
      <c r="F77" s="24">
        <f>D77*E77</f>
        <v/>
      </c>
      <c r="G77" s="22" t="n"/>
    </row>
    <row r="78">
      <c r="A78" s="22" t="inlineStr">
        <is>
          <t>0297</t>
        </is>
      </c>
      <c r="B78" s="11" t="inlineStr">
        <is>
          <t>Stone Aggregate (Single size) : 10 mm nominal size</t>
        </is>
      </c>
      <c r="C78" s="22" t="inlineStr">
        <is>
          <t>cum</t>
        </is>
      </c>
      <c r="D78" s="23" t="n">
        <v>0.28</v>
      </c>
      <c r="E78" s="24" t="n">
        <v>1350</v>
      </c>
      <c r="F78" s="24">
        <f>D78*E78</f>
        <v/>
      </c>
      <c r="G78" s="22" t="n"/>
    </row>
    <row r="79">
      <c r="A79" s="22" t="inlineStr">
        <is>
          <t>2202</t>
        </is>
      </c>
      <c r="B79" s="11" t="inlineStr">
        <is>
          <t>Carriage of Stone aggregate below 40 mm nominal size</t>
        </is>
      </c>
      <c r="C79" s="22" t="inlineStr">
        <is>
          <t>cum</t>
        </is>
      </c>
      <c r="D79" s="23" t="n">
        <v>0.85</v>
      </c>
      <c r="E79" s="24" t="n">
        <v>103.77</v>
      </c>
      <c r="F79" s="24">
        <f>D79*E79</f>
        <v/>
      </c>
      <c r="G79" s="22" t="n"/>
    </row>
    <row r="80">
      <c r="A80" s="22" t="inlineStr">
        <is>
          <t>0982</t>
        </is>
      </c>
      <c r="B80" s="11" t="inlineStr">
        <is>
          <t>Coarse sand (zone III)</t>
        </is>
      </c>
      <c r="C80" s="22" t="inlineStr">
        <is>
          <t>cum</t>
        </is>
      </c>
      <c r="D80" s="23" t="n">
        <v>0.425</v>
      </c>
      <c r="E80" s="24" t="n">
        <v>1350</v>
      </c>
      <c r="F80" s="24">
        <f>D80*E80</f>
        <v/>
      </c>
      <c r="G80" s="22" t="n"/>
    </row>
    <row r="81">
      <c r="A81" s="22" t="inlineStr">
        <is>
          <t>2203</t>
        </is>
      </c>
      <c r="B81" s="11" t="inlineStr">
        <is>
          <t>Carriage of Coarse sand</t>
        </is>
      </c>
      <c r="C81" s="22" t="inlineStr">
        <is>
          <t>cum</t>
        </is>
      </c>
      <c r="D81" s="23" t="n">
        <v>0.425</v>
      </c>
      <c r="E81" s="24" t="n">
        <v>103.77</v>
      </c>
      <c r="F81" s="24">
        <f>D81*E81</f>
        <v/>
      </c>
      <c r="G81" s="22" t="n"/>
    </row>
    <row r="82">
      <c r="A82" s="22" t="inlineStr">
        <is>
          <t>0367</t>
        </is>
      </c>
      <c r="B82" s="11" t="inlineStr">
        <is>
          <t>Portland Cement (0.2833 cum)</t>
        </is>
      </c>
      <c r="C82" s="22" t="inlineStr">
        <is>
          <t>tonne</t>
        </is>
      </c>
      <c r="D82" s="23" t="n">
        <v>0.4</v>
      </c>
      <c r="E82" s="24" t="n">
        <v>4940</v>
      </c>
      <c r="F82" s="24">
        <f>D82*E82</f>
        <v/>
      </c>
      <c r="G82" s="22" t="n"/>
    </row>
    <row r="83">
      <c r="A83" s="22" t="inlineStr">
        <is>
          <t>2209</t>
        </is>
      </c>
      <c r="B83" s="11" t="inlineStr">
        <is>
          <t>Carriage of Cement</t>
        </is>
      </c>
      <c r="C83" s="22" t="inlineStr">
        <is>
          <t>tonne</t>
        </is>
      </c>
      <c r="D83" s="23" t="n">
        <v>0.4</v>
      </c>
      <c r="E83" s="24" t="n">
        <v>92.23999999999999</v>
      </c>
      <c r="F83" s="24">
        <f>D83*E83</f>
        <v/>
      </c>
      <c r="G83" s="22" t="n"/>
    </row>
    <row r="84">
      <c r="A84" s="22" t="inlineStr">
        <is>
          <t>0155</t>
        </is>
      </c>
      <c r="B84" s="11" t="inlineStr">
        <is>
          <t>Mason (average)</t>
        </is>
      </c>
      <c r="C84" s="22" t="inlineStr">
        <is>
          <t>day</t>
        </is>
      </c>
      <c r="D84" s="23" t="n">
        <v>0.24</v>
      </c>
      <c r="E84" s="24" t="n">
        <v>709</v>
      </c>
      <c r="F84" s="24">
        <f>D84*E84</f>
        <v/>
      </c>
      <c r="G84" s="22" t="n"/>
    </row>
    <row r="85">
      <c r="A85" s="22" t="inlineStr">
        <is>
          <t>0114</t>
        </is>
      </c>
      <c r="B85" s="11" t="inlineStr">
        <is>
          <t>Beldar</t>
        </is>
      </c>
      <c r="C85" s="22" t="inlineStr">
        <is>
          <t>day</t>
        </is>
      </c>
      <c r="D85" s="23" t="n">
        <v>2.75</v>
      </c>
      <c r="E85" s="24" t="n">
        <v>558</v>
      </c>
      <c r="F85" s="24">
        <f>D85*E85</f>
        <v/>
      </c>
      <c r="G85" s="22" t="n"/>
    </row>
    <row r="86">
      <c r="A86" s="22" t="inlineStr">
        <is>
          <t>0101</t>
        </is>
      </c>
      <c r="B86" s="11" t="inlineStr">
        <is>
          <t>Bhisti</t>
        </is>
      </c>
      <c r="C86" s="22" t="inlineStr">
        <is>
          <t>day</t>
        </is>
      </c>
      <c r="D86" s="23" t="n">
        <v>0.9</v>
      </c>
      <c r="E86" s="24" t="n">
        <v>617</v>
      </c>
      <c r="F86" s="24">
        <f>D86*E86</f>
        <v/>
      </c>
      <c r="G86" s="22" t="n"/>
    </row>
    <row r="87">
      <c r="A87" s="22" t="inlineStr">
        <is>
          <t>0002</t>
        </is>
      </c>
      <c r="B87" s="11" t="inlineStr">
        <is>
          <t>Hire charges of Concrete Mixer 0.25 to 0.40 cum with hooper</t>
        </is>
      </c>
      <c r="C87" s="22" t="inlineStr">
        <is>
          <t>day</t>
        </is>
      </c>
      <c r="D87" s="23" t="n">
        <v>0.08</v>
      </c>
      <c r="E87" s="24" t="n">
        <v>800</v>
      </c>
      <c r="F87" s="24">
        <f>D87*E87</f>
        <v/>
      </c>
      <c r="G87" s="22" t="n"/>
    </row>
    <row r="88">
      <c r="A88" s="22" t="inlineStr">
        <is>
          <t>0012</t>
        </is>
      </c>
      <c r="B88" s="11" t="inlineStr">
        <is>
          <t>Vibrator(Needle type 40mm)</t>
        </is>
      </c>
      <c r="C88" s="22" t="inlineStr">
        <is>
          <t>day</t>
        </is>
      </c>
      <c r="D88" s="23" t="n">
        <v>0.08</v>
      </c>
      <c r="E88" s="24" t="n">
        <v>370</v>
      </c>
      <c r="F88" s="24">
        <f>D88*E88</f>
        <v/>
      </c>
      <c r="G88" s="22" t="n"/>
    </row>
    <row r="89">
      <c r="A89" s="22" t="inlineStr">
        <is>
          <t>9999</t>
        </is>
      </c>
      <c r="B89" s="11" t="inlineStr">
        <is>
          <t>Sundries</t>
        </is>
      </c>
      <c r="C89" s="22" t="inlineStr">
        <is>
          <t>L.S.</t>
        </is>
      </c>
      <c r="D89" s="23" t="n">
        <v>14.3</v>
      </c>
      <c r="E89" s="24" t="n">
        <v>2</v>
      </c>
      <c r="F89" s="24">
        <f>D89*E89</f>
        <v/>
      </c>
      <c r="G89" s="22" t="n"/>
    </row>
    <row r="90">
      <c r="A90" s="22" t="inlineStr">
        <is>
          <t>0115</t>
        </is>
      </c>
      <c r="B90" s="11" t="inlineStr">
        <is>
          <t>Coolie</t>
        </is>
      </c>
      <c r="C90" s="22" t="inlineStr">
        <is>
          <t>day</t>
        </is>
      </c>
      <c r="D90" s="23" t="n">
        <v>1.88</v>
      </c>
      <c r="E90" s="24" t="n">
        <v>558</v>
      </c>
      <c r="F90" s="24">
        <f>D90*E90</f>
        <v/>
      </c>
      <c r="G90" s="22" t="n"/>
    </row>
    <row r="91">
      <c r="A91" s="8" t="inlineStr">
        <is>
          <t>Calculated W - SUM of the Amount column above</t>
        </is>
      </c>
      <c r="B91" s="9" t="n"/>
      <c r="C91" s="9" t="n"/>
      <c r="D91" s="9" t="n"/>
      <c r="E91" s="9" t="n"/>
      <c r="F91" s="25">
        <f>SUM(F77:F90)</f>
        <v/>
      </c>
      <c r="G91" s="9" t="n"/>
    </row>
    <row r="92">
      <c r="A92" s="26" t="inlineStr">
        <is>
          <t>W as printed in the DAR</t>
        </is>
      </c>
      <c r="B92" s="22" t="n"/>
      <c r="C92" s="22" t="n"/>
      <c r="D92" s="22" t="n"/>
      <c r="E92" s="22" t="n"/>
      <c r="F92" s="27" t="n">
        <v>7297.65</v>
      </c>
      <c r="G92" s="22" t="n"/>
    </row>
    <row r="93">
      <c r="A93" s="26" t="inlineStr">
        <is>
          <t>Difference (calculated - printed)</t>
        </is>
      </c>
      <c r="B93" s="22" t="n"/>
      <c r="C93" s="22" t="n"/>
      <c r="D93" s="22" t="n"/>
      <c r="E93" s="22" t="n"/>
      <c r="F93" s="27">
        <f>F91-F92</f>
        <v/>
      </c>
      <c r="G93" s="22" t="n"/>
    </row>
    <row r="94">
      <c r="A94" s="29" t="inlineStr">
        <is>
          <t>SAY (Rs.) - final DAR rate as printed (fixed value, not computed)</t>
        </is>
      </c>
      <c r="B94" s="30" t="n"/>
      <c r="C94" s="30" t="n"/>
      <c r="D94" s="30" t="n"/>
      <c r="E94" s="30" t="n"/>
      <c r="F94" s="31" t="n">
        <v>9763.799999999999</v>
      </c>
      <c r="G94" s="30" t="n"/>
    </row>
    <row r="96" ht="47.5" customHeight="1">
      <c r="A96" s="18" t="inlineStr">
        <is>
          <t>5.4</t>
        </is>
      </c>
      <c r="B96" s="19" t="inlineStr">
        <is>
          <t>Providing and laying up to floor five level reinforced cement concrete in kerbs, steps and the like excluding the cost of centering, shuttering, finishing and reinforcement with 1:1.5:3 (1 cement : 1.5 coarse sand(zone-III) : 3 graded stone aggregate 20 mm nominal size).</t>
        </is>
      </c>
      <c r="C96" s="20" t="n"/>
      <c r="D96" s="20" t="n"/>
      <c r="E96" s="20" t="n"/>
      <c r="F96" s="20" t="n"/>
      <c r="G96" s="20" t="n"/>
    </row>
    <row r="97">
      <c r="A97" s="21" t="inlineStr">
        <is>
          <t>Details of cost for 1 cum   |   Source: CivilDAR_2019_Vol_1.pdf, page 193</t>
        </is>
      </c>
    </row>
    <row r="98">
      <c r="A98" s="5" t="inlineStr">
        <is>
          <t>Code</t>
        </is>
      </c>
      <c r="B98" s="5" t="inlineStr">
        <is>
          <t>Description</t>
        </is>
      </c>
      <c r="C98" s="5" t="inlineStr">
        <is>
          <t>Unit</t>
        </is>
      </c>
      <c r="D98" s="5" t="inlineStr">
        <is>
          <t>Quantity</t>
        </is>
      </c>
      <c r="E98" s="5" t="inlineStr">
        <is>
          <t>Rate (Rs.)</t>
        </is>
      </c>
      <c r="F98" s="5" t="inlineStr">
        <is>
          <t>Amount (Rs.)</t>
        </is>
      </c>
      <c r="G98" s="5" t="inlineStr">
        <is>
          <t>Note</t>
        </is>
      </c>
    </row>
    <row r="99">
      <c r="A99" s="7" t="inlineStr">
        <is>
          <t>4.4.1</t>
        </is>
      </c>
      <c r="B99" s="11" t="inlineStr">
        <is>
          <t>Rate as per item 4.4.1 - Providing and laying cement concrete in kerbs, steps and the like at or near ground level excluding the cos...</t>
        </is>
      </c>
      <c r="C99" s="22" t="inlineStr">
        <is>
          <t>cum</t>
        </is>
      </c>
      <c r="D99" s="23" t="n">
        <v>1</v>
      </c>
      <c r="E99" s="24" t="n">
        <v>7210.55</v>
      </c>
      <c r="F99" s="24">
        <f>D99*E99</f>
        <v/>
      </c>
      <c r="G99" s="22" t="n"/>
    </row>
    <row r="100">
      <c r="A100" s="22" t="inlineStr">
        <is>
          <t>0114</t>
        </is>
      </c>
      <c r="B100" s="11" t="inlineStr">
        <is>
          <t>Beldar</t>
        </is>
      </c>
      <c r="C100" s="22" t="inlineStr">
        <is>
          <t>day</t>
        </is>
      </c>
      <c r="D100" s="23" t="n">
        <v>0.1</v>
      </c>
      <c r="E100" s="24" t="n">
        <v>558</v>
      </c>
      <c r="F100" s="24">
        <f>D100*E100</f>
        <v/>
      </c>
      <c r="G100" s="22" t="n"/>
    </row>
    <row r="101">
      <c r="A101" s="22" t="inlineStr">
        <is>
          <t>0101</t>
        </is>
      </c>
      <c r="B101" s="11" t="inlineStr">
        <is>
          <t>Bhisti</t>
        </is>
      </c>
      <c r="C101" s="22" t="inlineStr">
        <is>
          <t>day</t>
        </is>
      </c>
      <c r="D101" s="23" t="n">
        <v>0.2</v>
      </c>
      <c r="E101" s="24" t="n">
        <v>617</v>
      </c>
      <c r="F101" s="24">
        <f>D101*E101</f>
        <v/>
      </c>
      <c r="G101" s="22" t="n"/>
    </row>
    <row r="102">
      <c r="A102" s="22" t="inlineStr">
        <is>
          <t>0123</t>
        </is>
      </c>
      <c r="B102" s="11" t="inlineStr">
        <is>
          <t>Mason (brick layer) 1st class</t>
        </is>
      </c>
      <c r="C102" s="22" t="inlineStr">
        <is>
          <t>day</t>
        </is>
      </c>
      <c r="D102" s="23" t="n">
        <v>0.04</v>
      </c>
      <c r="E102" s="24" t="n">
        <v>738</v>
      </c>
      <c r="F102" s="24">
        <f>D102*E102</f>
        <v/>
      </c>
      <c r="G102" s="22" t="n"/>
    </row>
    <row r="103">
      <c r="A103" s="22" t="inlineStr">
        <is>
          <t>0124</t>
        </is>
      </c>
      <c r="B103" s="11" t="inlineStr">
        <is>
          <t>Mason (brick layer) 2nd class</t>
        </is>
      </c>
      <c r="C103" s="22" t="inlineStr">
        <is>
          <t>day</t>
        </is>
      </c>
      <c r="D103" s="23" t="n">
        <v>0.04</v>
      </c>
      <c r="E103" s="24" t="n">
        <v>679</v>
      </c>
      <c r="F103" s="24">
        <f>D103*E103</f>
        <v/>
      </c>
      <c r="G103" s="22" t="n"/>
    </row>
    <row r="104">
      <c r="A104" s="22" t="inlineStr">
        <is>
          <t>0128</t>
        </is>
      </c>
      <c r="B104" s="11" t="inlineStr">
        <is>
          <t>Mate</t>
        </is>
      </c>
      <c r="C104" s="22" t="inlineStr">
        <is>
          <t>day</t>
        </is>
      </c>
      <c r="D104" s="23" t="n">
        <v>0.04</v>
      </c>
      <c r="E104" s="24" t="n">
        <v>617</v>
      </c>
      <c r="F104" s="24">
        <f>D104*E104</f>
        <v/>
      </c>
      <c r="G104" s="22" t="n"/>
    </row>
    <row r="105">
      <c r="A105" s="22" t="inlineStr">
        <is>
          <t>0115</t>
        </is>
      </c>
      <c r="B105" s="11" t="inlineStr">
        <is>
          <t>Coolie</t>
        </is>
      </c>
      <c r="C105" s="22" t="inlineStr">
        <is>
          <t>day</t>
        </is>
      </c>
      <c r="D105" s="23" t="n">
        <v>1.88</v>
      </c>
      <c r="E105" s="24" t="n">
        <v>558</v>
      </c>
      <c r="F105" s="24">
        <f>D105*E105</f>
        <v/>
      </c>
      <c r="G105" s="22" t="n"/>
    </row>
    <row r="106">
      <c r="A106" s="8" t="inlineStr">
        <is>
          <t>Calculated W - SUM of the Amount column above</t>
        </is>
      </c>
      <c r="B106" s="9" t="n"/>
      <c r="C106" s="9" t="n"/>
      <c r="D106" s="9" t="n"/>
      <c r="E106" s="9" t="n"/>
      <c r="F106" s="25">
        <f>SUM(F99:F105)</f>
        <v/>
      </c>
      <c r="G106" s="9" t="n"/>
    </row>
    <row r="107">
      <c r="A107" s="26" t="inlineStr">
        <is>
          <t>W as printed in the DAR</t>
        </is>
      </c>
      <c r="B107" s="22" t="n"/>
      <c r="C107" s="22" t="n"/>
      <c r="D107" s="22" t="n"/>
      <c r="E107" s="22" t="n"/>
      <c r="F107" s="27" t="n">
        <v>8520.15</v>
      </c>
      <c r="G107" s="22" t="n"/>
    </row>
    <row r="108">
      <c r="A108" s="26" t="inlineStr">
        <is>
          <t>Difference (calculated - printed)</t>
        </is>
      </c>
      <c r="B108" s="22" t="n"/>
      <c r="C108" s="22" t="n"/>
      <c r="D108" s="22" t="n"/>
      <c r="E108" s="22" t="n"/>
      <c r="F108" s="27">
        <f>F106-F107</f>
        <v/>
      </c>
      <c r="G108" s="22" t="n"/>
    </row>
    <row r="109">
      <c r="A109" s="29" t="inlineStr">
        <is>
          <t>SAY (Rs.) - final DAR rate as printed (fixed value, not computed)</t>
        </is>
      </c>
      <c r="B109" s="30" t="n"/>
      <c r="C109" s="30" t="n"/>
      <c r="D109" s="30" t="n"/>
      <c r="E109" s="30" t="n"/>
      <c r="F109" s="31" t="n">
        <v>8962.700000000001</v>
      </c>
      <c r="G109" s="30" t="n"/>
    </row>
    <row r="111" ht="47.5" customHeight="1">
      <c r="A111" s="18" t="inlineStr">
        <is>
          <t>5.5</t>
        </is>
      </c>
      <c r="B111" s="19" t="inlineStr">
        <is>
          <t>Reinforced cement concrete work in arches, archribs, domes, vaults, shells, folded plate and roofs having slope more than 15° up to floor five level, excluding the cost of centering, shuttering, finishing and reinforcement, with 1:1.5:3 (1 cement : 1.5 coarse sand (zone-III) : 3 graded stone aggregate 20 mm nominal size).</t>
        </is>
      </c>
      <c r="C111" s="20" t="n"/>
      <c r="D111" s="20" t="n"/>
      <c r="E111" s="20" t="n"/>
      <c r="F111" s="20" t="n"/>
      <c r="G111" s="20" t="n"/>
    </row>
    <row r="112">
      <c r="A112" s="21" t="inlineStr">
        <is>
          <t>Details of cost for 26.73 cum   |   Source: CivilDAR_2019_Vol_1.pdf, page 194</t>
        </is>
      </c>
    </row>
    <row r="113">
      <c r="A113" s="5" t="inlineStr">
        <is>
          <t>Code</t>
        </is>
      </c>
      <c r="B113" s="5" t="inlineStr">
        <is>
          <t>Description</t>
        </is>
      </c>
      <c r="C113" s="5" t="inlineStr">
        <is>
          <t>Unit</t>
        </is>
      </c>
      <c r="D113" s="5" t="inlineStr">
        <is>
          <t>Quantity</t>
        </is>
      </c>
      <c r="E113" s="5" t="inlineStr">
        <is>
          <t>Rate (Rs.)</t>
        </is>
      </c>
      <c r="F113" s="5" t="inlineStr">
        <is>
          <t>Amount (Rs.)</t>
        </is>
      </c>
      <c r="G113" s="5" t="inlineStr">
        <is>
          <t>Note</t>
        </is>
      </c>
    </row>
    <row r="114">
      <c r="A114" s="22" t="inlineStr">
        <is>
          <t>0295</t>
        </is>
      </c>
      <c r="B114" s="11" t="inlineStr">
        <is>
          <t>Stone Aggregate (Single size) : 20 mm nominal size</t>
        </is>
      </c>
      <c r="C114" s="22" t="inlineStr">
        <is>
          <t>cum</t>
        </is>
      </c>
      <c r="D114" s="23" t="n">
        <v>15.236</v>
      </c>
      <c r="E114" s="24" t="n">
        <v>1350</v>
      </c>
      <c r="F114" s="24">
        <f>D114*E114</f>
        <v/>
      </c>
      <c r="G114" s="22" t="n"/>
    </row>
    <row r="115">
      <c r="A115" s="22" t="inlineStr">
        <is>
          <t>0297</t>
        </is>
      </c>
      <c r="B115" s="11" t="inlineStr">
        <is>
          <t>Stone Aggregate (Single size) : 10 mm nominal size</t>
        </is>
      </c>
      <c r="C115" s="22" t="inlineStr">
        <is>
          <t>cum</t>
        </is>
      </c>
      <c r="D115" s="23" t="n">
        <v>7.484</v>
      </c>
      <c r="E115" s="24" t="n">
        <v>1350</v>
      </c>
      <c r="F115" s="24">
        <f>D115*E115</f>
        <v/>
      </c>
      <c r="G115" s="22" t="n"/>
    </row>
    <row r="116">
      <c r="A116" s="22" t="inlineStr">
        <is>
          <t>2202</t>
        </is>
      </c>
      <c r="B116" s="11" t="inlineStr">
        <is>
          <t>Carriage of Stone aggregate below 40 mm nominal size</t>
        </is>
      </c>
      <c r="C116" s="22" t="inlineStr">
        <is>
          <t>cum</t>
        </is>
      </c>
      <c r="D116" s="23" t="n">
        <v>22.703</v>
      </c>
      <c r="E116" s="24" t="n">
        <v>103.77</v>
      </c>
      <c r="F116" s="24">
        <f>D116*E116</f>
        <v/>
      </c>
      <c r="G116" s="22" t="n"/>
    </row>
    <row r="117">
      <c r="A117" s="22" t="inlineStr">
        <is>
          <t>0982</t>
        </is>
      </c>
      <c r="B117" s="11" t="inlineStr">
        <is>
          <t>Coarse sand (zone III)</t>
        </is>
      </c>
      <c r="C117" s="22" t="inlineStr">
        <is>
          <t>cum</t>
        </is>
      </c>
      <c r="D117" s="23" t="n">
        <v>11.36</v>
      </c>
      <c r="E117" s="24" t="n">
        <v>1350</v>
      </c>
      <c r="F117" s="24">
        <f>D117*E117</f>
        <v/>
      </c>
      <c r="G117" s="22" t="n"/>
    </row>
    <row r="118">
      <c r="A118" s="22" t="inlineStr">
        <is>
          <t>2203</t>
        </is>
      </c>
      <c r="B118" s="11" t="inlineStr">
        <is>
          <t>Carriage of Coarse sand</t>
        </is>
      </c>
      <c r="C118" s="22" t="inlineStr">
        <is>
          <t>cum</t>
        </is>
      </c>
      <c r="D118" s="23" t="n">
        <v>11.36</v>
      </c>
      <c r="E118" s="24" t="n">
        <v>103.77</v>
      </c>
      <c r="F118" s="24">
        <f>D118*E118</f>
        <v/>
      </c>
      <c r="G118" s="22" t="n"/>
    </row>
    <row r="119">
      <c r="A119" s="22" t="inlineStr">
        <is>
          <t>0367</t>
        </is>
      </c>
      <c r="B119" s="11" t="inlineStr">
        <is>
          <t>Portland Cement (0.2833 cum)</t>
        </is>
      </c>
      <c r="C119" s="22" t="inlineStr">
        <is>
          <t>tonne</t>
        </is>
      </c>
      <c r="D119" s="23" t="n">
        <v>10.692</v>
      </c>
      <c r="E119" s="24" t="n">
        <v>4940</v>
      </c>
      <c r="F119" s="24">
        <f>D119*E119</f>
        <v/>
      </c>
      <c r="G119" s="22" t="n"/>
    </row>
    <row r="120">
      <c r="A120" s="22" t="inlineStr">
        <is>
          <t>2209</t>
        </is>
      </c>
      <c r="B120" s="11" t="inlineStr">
        <is>
          <t>Carriage of Cement</t>
        </is>
      </c>
      <c r="C120" s="22" t="inlineStr">
        <is>
          <t>tonne</t>
        </is>
      </c>
      <c r="D120" s="23" t="n">
        <v>10.692</v>
      </c>
      <c r="E120" s="24" t="n">
        <v>92.23999999999999</v>
      </c>
      <c r="F120" s="24">
        <f>D120*E120</f>
        <v/>
      </c>
      <c r="G120" s="22" t="n"/>
    </row>
    <row r="121">
      <c r="A121" s="22" t="inlineStr">
        <is>
          <t>0155</t>
        </is>
      </c>
      <c r="B121" s="11" t="inlineStr">
        <is>
          <t>Mason (average)</t>
        </is>
      </c>
      <c r="C121" s="22" t="inlineStr">
        <is>
          <t>day</t>
        </is>
      </c>
      <c r="D121" s="23" t="n">
        <v>6.42</v>
      </c>
      <c r="E121" s="24" t="n">
        <v>709</v>
      </c>
      <c r="F121" s="24">
        <f>D121*E121</f>
        <v/>
      </c>
      <c r="G121" s="22" t="n"/>
    </row>
    <row r="122">
      <c r="A122" s="22" t="inlineStr">
        <is>
          <t>0114</t>
        </is>
      </c>
      <c r="B122" s="11" t="inlineStr">
        <is>
          <t>Beldar</t>
        </is>
      </c>
      <c r="C122" s="22" t="inlineStr">
        <is>
          <t>day</t>
        </is>
      </c>
      <c r="D122" s="23" t="n">
        <v>73.51000000000001</v>
      </c>
      <c r="E122" s="24" t="n">
        <v>558</v>
      </c>
      <c r="F122" s="24">
        <f>D122*E122</f>
        <v/>
      </c>
      <c r="G122" s="22" t="n"/>
    </row>
    <row r="123">
      <c r="A123" s="22" t="inlineStr">
        <is>
          <t>0101</t>
        </is>
      </c>
      <c r="B123" s="11" t="inlineStr">
        <is>
          <t>Bhisti</t>
        </is>
      </c>
      <c r="C123" s="22" t="inlineStr">
        <is>
          <t>day</t>
        </is>
      </c>
      <c r="D123" s="23" t="n">
        <v>24.06</v>
      </c>
      <c r="E123" s="24" t="n">
        <v>617</v>
      </c>
      <c r="F123" s="24">
        <f>D123*E123</f>
        <v/>
      </c>
      <c r="G123" s="22" t="n"/>
    </row>
    <row r="124">
      <c r="A124" s="22" t="inlineStr">
        <is>
          <t>0002</t>
        </is>
      </c>
      <c r="B124" s="11" t="inlineStr">
        <is>
          <t>Hire charges of Concrete Mixer 0.25 to 0.40 cum with hooper</t>
        </is>
      </c>
      <c r="C124" s="22" t="inlineStr">
        <is>
          <t>day</t>
        </is>
      </c>
      <c r="D124" s="23" t="n">
        <v>2.14</v>
      </c>
      <c r="E124" s="24" t="n">
        <v>800</v>
      </c>
      <c r="F124" s="24">
        <f>D124*E124</f>
        <v/>
      </c>
      <c r="G124" s="22" t="n"/>
    </row>
    <row r="125">
      <c r="A125" s="22" t="inlineStr">
        <is>
          <t>0012</t>
        </is>
      </c>
      <c r="B125" s="11" t="inlineStr">
        <is>
          <t>Vibrator(Needle type 40mm)</t>
        </is>
      </c>
      <c r="C125" s="22" t="inlineStr">
        <is>
          <t>day</t>
        </is>
      </c>
      <c r="D125" s="23" t="n">
        <v>2.14</v>
      </c>
      <c r="E125" s="24" t="n">
        <v>370</v>
      </c>
      <c r="F125" s="24">
        <f>D125*E125</f>
        <v/>
      </c>
      <c r="G125" s="22" t="n"/>
    </row>
    <row r="126">
      <c r="A126" s="22" t="inlineStr">
        <is>
          <t>9999</t>
        </is>
      </c>
      <c r="B126" s="11" t="inlineStr">
        <is>
          <t>Sundries</t>
        </is>
      </c>
      <c r="C126" s="22" t="inlineStr">
        <is>
          <t>L.S.</t>
        </is>
      </c>
      <c r="D126" s="23" t="n">
        <v>401.89</v>
      </c>
      <c r="E126" s="24" t="n">
        <v>2</v>
      </c>
      <c r="F126" s="24">
        <f>D126*E126</f>
        <v/>
      </c>
      <c r="G126" s="22" t="n"/>
    </row>
    <row r="127">
      <c r="A127" s="22" t="inlineStr">
        <is>
          <t>0123</t>
        </is>
      </c>
      <c r="B127" s="11" t="inlineStr">
        <is>
          <t>Mason (brick layer) 1st class</t>
        </is>
      </c>
      <c r="C127" s="22" t="inlineStr">
        <is>
          <t>day</t>
        </is>
      </c>
      <c r="D127" s="23" t="n">
        <v>5</v>
      </c>
      <c r="E127" s="24" t="n">
        <v>738</v>
      </c>
      <c r="F127" s="24">
        <f>D127*E127</f>
        <v/>
      </c>
      <c r="G127" s="22" t="n"/>
    </row>
    <row r="128">
      <c r="A128" s="22" t="inlineStr">
        <is>
          <t>0124</t>
        </is>
      </c>
      <c r="B128" s="11" t="inlineStr">
        <is>
          <t>Mason (brick layer) 2nd class</t>
        </is>
      </c>
      <c r="C128" s="22" t="inlineStr">
        <is>
          <t>day</t>
        </is>
      </c>
      <c r="D128" s="23" t="n">
        <v>5</v>
      </c>
      <c r="E128" s="24" t="n">
        <v>679</v>
      </c>
      <c r="F128" s="24">
        <f>D128*E128</f>
        <v/>
      </c>
      <c r="G128" s="22" t="n"/>
    </row>
    <row r="129">
      <c r="A129" s="22" t="inlineStr">
        <is>
          <t>0101</t>
        </is>
      </c>
      <c r="B129" s="11" t="inlineStr">
        <is>
          <t>Bhisti</t>
        </is>
      </c>
      <c r="C129" s="22" t="inlineStr">
        <is>
          <t>day</t>
        </is>
      </c>
      <c r="D129" s="23" t="n">
        <v>1.5</v>
      </c>
      <c r="E129" s="24" t="n">
        <v>617</v>
      </c>
      <c r="F129" s="24">
        <f>D129*E129</f>
        <v/>
      </c>
      <c r="G129" s="22" t="n"/>
    </row>
    <row r="130">
      <c r="A130" s="22" t="inlineStr">
        <is>
          <t>0115</t>
        </is>
      </c>
      <c r="B130" s="11" t="inlineStr">
        <is>
          <t>Coolie</t>
        </is>
      </c>
      <c r="C130" s="22" t="inlineStr">
        <is>
          <t>day</t>
        </is>
      </c>
      <c r="D130" s="23" t="n">
        <v>4.5</v>
      </c>
      <c r="E130" s="24" t="n">
        <v>558</v>
      </c>
      <c r="F130" s="24">
        <f>D130*E130</f>
        <v/>
      </c>
      <c r="G130" s="22" t="n"/>
    </row>
    <row r="131">
      <c r="A131" s="22" t="inlineStr">
        <is>
          <t>0115</t>
        </is>
      </c>
      <c r="B131" s="11" t="inlineStr">
        <is>
          <t>Coolie</t>
        </is>
      </c>
      <c r="C131" s="22" t="inlineStr">
        <is>
          <t>day</t>
        </is>
      </c>
      <c r="D131" s="23" t="n">
        <v>50.12</v>
      </c>
      <c r="E131" s="24" t="n">
        <v>558</v>
      </c>
      <c r="F131" s="24">
        <f>D131*E131</f>
        <v/>
      </c>
      <c r="G131" s="22" t="n"/>
    </row>
    <row r="132">
      <c r="A132" s="8" t="inlineStr">
        <is>
          <t>Calculated W - SUM of the Amount column above</t>
        </is>
      </c>
      <c r="B132" s="9" t="n"/>
      <c r="C132" s="9" t="n"/>
      <c r="D132" s="9" t="n"/>
      <c r="E132" s="9" t="n"/>
      <c r="F132" s="25">
        <f>SUM(F114:F131)</f>
        <v/>
      </c>
      <c r="G132" s="9" t="n"/>
    </row>
    <row r="133">
      <c r="A133" s="26" t="inlineStr">
        <is>
          <t>W as printed in the DAR</t>
        </is>
      </c>
      <c r="B133" s="22" t="n"/>
      <c r="C133" s="22" t="n"/>
      <c r="D133" s="22" t="n"/>
      <c r="E133" s="22" t="n"/>
      <c r="F133" s="27" t="n">
        <v>205558.85</v>
      </c>
      <c r="G133" s="22" t="n"/>
    </row>
    <row r="134">
      <c r="A134" s="26" t="inlineStr">
        <is>
          <t>Difference (calculated - printed)</t>
        </is>
      </c>
      <c r="B134" s="22" t="n"/>
      <c r="C134" s="22" t="n"/>
      <c r="D134" s="22" t="n"/>
      <c r="E134" s="22" t="n"/>
      <c r="F134" s="27">
        <f>F132-F133</f>
        <v/>
      </c>
      <c r="G134" s="22" t="n"/>
    </row>
    <row r="135">
      <c r="A135" s="29" t="inlineStr">
        <is>
          <t>SAY (Rs.) - final DAR rate as printed (fixed value, not computed)</t>
        </is>
      </c>
      <c r="B135" s="30" t="n"/>
      <c r="C135" s="30" t="n"/>
      <c r="D135" s="30" t="n"/>
      <c r="E135" s="30" t="n"/>
      <c r="F135" s="31" t="n">
        <v>10289</v>
      </c>
      <c r="G135" s="30" t="n"/>
    </row>
    <row r="137" ht="33" customHeight="1">
      <c r="A137" s="18" t="inlineStr">
        <is>
          <t>5.6</t>
        </is>
      </c>
      <c r="B137" s="19" t="inlineStr">
        <is>
          <t>Reinforced cement concrete work in chimneys, shafts, up to floor five level, excluding the cost of centering, shuttering, finishing and reinforcement with 1:1.5:3 (1 cement : 1.5 coarse sand(zone-III) : 3 graded stone aggregate 20 mm nominal size).</t>
        </is>
      </c>
      <c r="C137" s="20" t="n"/>
      <c r="D137" s="20" t="n"/>
      <c r="E137" s="20" t="n"/>
      <c r="F137" s="20" t="n"/>
      <c r="G137" s="20" t="n"/>
    </row>
    <row r="138">
      <c r="A138" s="21" t="inlineStr">
        <is>
          <t>Details of cost for 1 cum   |   Source: CivilDAR_2019_Vol_1.pdf, page 195</t>
        </is>
      </c>
    </row>
    <row r="139">
      <c r="A139" s="5" t="inlineStr">
        <is>
          <t>Code</t>
        </is>
      </c>
      <c r="B139" s="5" t="inlineStr">
        <is>
          <t>Description</t>
        </is>
      </c>
      <c r="C139" s="5" t="inlineStr">
        <is>
          <t>Unit</t>
        </is>
      </c>
      <c r="D139" s="5" t="inlineStr">
        <is>
          <t>Quantity</t>
        </is>
      </c>
      <c r="E139" s="5" t="inlineStr">
        <is>
          <t>Rate (Rs.)</t>
        </is>
      </c>
      <c r="F139" s="5" t="inlineStr">
        <is>
          <t>Amount (Rs.)</t>
        </is>
      </c>
      <c r="G139" s="5" t="inlineStr">
        <is>
          <t>Note</t>
        </is>
      </c>
    </row>
    <row r="140">
      <c r="A140" s="7" t="inlineStr">
        <is>
          <t>5.2.2</t>
        </is>
      </c>
      <c r="B140" s="11" t="inlineStr">
        <is>
          <t>Rate as per item 5.2.2 - Reinforced cement concrete work in walls (any thickness), including attached pilasters, buttresses, plinth...</t>
        </is>
      </c>
      <c r="C140" s="22" t="inlineStr">
        <is>
          <t>cum</t>
        </is>
      </c>
      <c r="D140" s="23" t="n">
        <v>1</v>
      </c>
      <c r="E140" s="24" t="n">
        <v>9306</v>
      </c>
      <c r="F140" s="24">
        <f>D140*E140</f>
        <v/>
      </c>
      <c r="G140" s="22" t="n"/>
    </row>
    <row r="141">
      <c r="A141" s="22" t="inlineStr">
        <is>
          <t>0115</t>
        </is>
      </c>
      <c r="B141" s="11" t="inlineStr">
        <is>
          <t>Coolie</t>
        </is>
      </c>
      <c r="C141" s="22" t="inlineStr">
        <is>
          <t>day</t>
        </is>
      </c>
      <c r="D141" s="23" t="n">
        <v>0.26</v>
      </c>
      <c r="E141" s="24" t="n">
        <v>558</v>
      </c>
      <c r="F141" s="24">
        <f>D141*E141</f>
        <v/>
      </c>
      <c r="G141" s="22" t="n"/>
    </row>
    <row r="142">
      <c r="A142" s="8" t="inlineStr">
        <is>
          <t>Calculated W - SUM of the Amount column above</t>
        </is>
      </c>
      <c r="B142" s="9" t="n"/>
      <c r="C142" s="9" t="n"/>
      <c r="D142" s="9" t="n"/>
      <c r="E142" s="9" t="n"/>
      <c r="F142" s="25">
        <f>SUM(F140:F141)</f>
        <v/>
      </c>
      <c r="G142" s="9" t="n"/>
    </row>
    <row r="143">
      <c r="A143" s="26" t="inlineStr">
        <is>
          <t>W as printed in the DAR</t>
        </is>
      </c>
      <c r="B143" s="22" t="n"/>
      <c r="C143" s="22" t="n"/>
      <c r="D143" s="22" t="n"/>
      <c r="E143" s="22" t="n"/>
      <c r="F143" s="27" t="n">
        <v>9451.08</v>
      </c>
      <c r="G143" s="22" t="n"/>
    </row>
    <row r="144">
      <c r="A144" s="26" t="inlineStr">
        <is>
          <t>Difference (calculated - printed)</t>
        </is>
      </c>
      <c r="B144" s="22" t="n"/>
      <c r="C144" s="22" t="n"/>
      <c r="D144" s="22" t="n"/>
      <c r="E144" s="22" t="n"/>
      <c r="F144" s="27">
        <f>F142-F143</f>
        <v/>
      </c>
      <c r="G144" s="22" t="n"/>
    </row>
    <row r="145">
      <c r="A145" s="29" t="inlineStr">
        <is>
          <t>SAY (Rs.) - final DAR rate as printed (fixed value, not computed)</t>
        </is>
      </c>
      <c r="B145" s="30" t="n"/>
      <c r="C145" s="30" t="n"/>
      <c r="D145" s="30" t="n"/>
      <c r="E145" s="30" t="n"/>
      <c r="F145" s="31" t="n">
        <v>9500.1</v>
      </c>
      <c r="G145" s="30" t="n"/>
    </row>
    <row r="147" ht="33" customHeight="1">
      <c r="A147" s="18" t="inlineStr">
        <is>
          <t>5.7</t>
        </is>
      </c>
      <c r="B147" s="19" t="inlineStr">
        <is>
          <t>Reinforced cement concrete work in well-steining, excluding the cost of centering, shuttering, finishing and reinforcement with 1:1.5:3 (1 cement : 1.5 coarse sand(zone-III) : 3 graded stone aggregate 20 mm nominal size).</t>
        </is>
      </c>
      <c r="C147" s="20" t="n"/>
      <c r="D147" s="20" t="n"/>
      <c r="E147" s="20" t="n"/>
      <c r="F147" s="20" t="n"/>
      <c r="G147" s="20" t="n"/>
    </row>
    <row r="148">
      <c r="A148" s="21" t="inlineStr">
        <is>
          <t>Details of cost for 1 cum   |   Source: CivilDAR_2019_Vol_1.pdf, page 195</t>
        </is>
      </c>
    </row>
    <row r="149">
      <c r="A149" s="5" t="inlineStr">
        <is>
          <t>Code</t>
        </is>
      </c>
      <c r="B149" s="5" t="inlineStr">
        <is>
          <t>Description</t>
        </is>
      </c>
      <c r="C149" s="5" t="inlineStr">
        <is>
          <t>Unit</t>
        </is>
      </c>
      <c r="D149" s="5" t="inlineStr">
        <is>
          <t>Quantity</t>
        </is>
      </c>
      <c r="E149" s="5" t="inlineStr">
        <is>
          <t>Rate (Rs.)</t>
        </is>
      </c>
      <c r="F149" s="5" t="inlineStr">
        <is>
          <t>Amount (Rs.)</t>
        </is>
      </c>
      <c r="G149" s="5" t="inlineStr">
        <is>
          <t>Note</t>
        </is>
      </c>
    </row>
    <row r="150">
      <c r="A150" s="7" t="inlineStr">
        <is>
          <t>4.1.2</t>
        </is>
      </c>
      <c r="B150" s="11" t="inlineStr">
        <is>
          <t>Rate as per item 4.1.2 - Providing and laying in position cement concrete of specified grade excluding the cost of centering and shu...</t>
        </is>
      </c>
      <c r="C150" s="22" t="inlineStr">
        <is>
          <t>cum</t>
        </is>
      </c>
      <c r="D150" s="23" t="n">
        <v>1</v>
      </c>
      <c r="E150" s="24" t="n">
        <v>7210.55</v>
      </c>
      <c r="F150" s="24">
        <f>D150*E150</f>
        <v/>
      </c>
      <c r="G150" s="22" t="n"/>
    </row>
    <row r="151">
      <c r="A151" s="22" t="inlineStr">
        <is>
          <t>0115</t>
        </is>
      </c>
      <c r="B151" s="11" t="inlineStr">
        <is>
          <t>Coolie</t>
        </is>
      </c>
      <c r="C151" s="22" t="inlineStr">
        <is>
          <t>day</t>
        </is>
      </c>
      <c r="D151" s="23" t="n">
        <v>0.08</v>
      </c>
      <c r="E151" s="24" t="n">
        <v>558</v>
      </c>
      <c r="F151" s="24">
        <f>D151*E151</f>
        <v/>
      </c>
      <c r="G151" s="22" t="n"/>
    </row>
    <row r="152">
      <c r="A152" s="8" t="inlineStr">
        <is>
          <t>Calculated W - SUM of the Amount column above</t>
        </is>
      </c>
      <c r="B152" s="9" t="n"/>
      <c r="C152" s="9" t="n"/>
      <c r="D152" s="9" t="n"/>
      <c r="E152" s="9" t="n"/>
      <c r="F152" s="25">
        <f>SUM(F150:F151)</f>
        <v/>
      </c>
      <c r="G152" s="9" t="n"/>
    </row>
    <row r="153">
      <c r="A153" s="26" t="inlineStr">
        <is>
          <t>W as printed in the DAR</t>
        </is>
      </c>
      <c r="B153" s="22" t="n"/>
      <c r="C153" s="22" t="n"/>
      <c r="D153" s="22" t="n"/>
      <c r="E153" s="22" t="n"/>
      <c r="F153" s="27" t="n">
        <v>7255.19</v>
      </c>
      <c r="G153" s="22" t="n"/>
    </row>
    <row r="154">
      <c r="A154" s="26" t="inlineStr">
        <is>
          <t>Difference (calculated - printed)</t>
        </is>
      </c>
      <c r="B154" s="22" t="n"/>
      <c r="C154" s="22" t="n"/>
      <c r="D154" s="22" t="n"/>
      <c r="E154" s="22" t="n"/>
      <c r="F154" s="27">
        <f>F152-F153</f>
        <v/>
      </c>
      <c r="G154" s="22" t="n"/>
    </row>
    <row r="155">
      <c r="A155" s="29" t="inlineStr">
        <is>
          <t>SAY (Rs.) - final DAR rate as printed (fixed value, not computed)</t>
        </is>
      </c>
      <c r="B155" s="30" t="n"/>
      <c r="C155" s="30" t="n"/>
      <c r="D155" s="30" t="n"/>
      <c r="E155" s="30" t="n"/>
      <c r="F155" s="31" t="n">
        <v>7270.3</v>
      </c>
      <c r="G155" s="30" t="n"/>
    </row>
    <row r="157" ht="47.5" customHeight="1">
      <c r="A157" s="18" t="inlineStr">
        <is>
          <t>5.8</t>
        </is>
      </c>
      <c r="B157" s="19" t="inlineStr">
        <is>
          <t>Reinforced cement concrete work in vertical and horizontal fins individually or forming box louvers, facias and eaves boards above plinth level up to floor five level, excluding the cost of centering, shuttering, finishing and reinforcement with 1:1½:3 (1 cement : 1½ coarse sand(zone-III) : 3 graded stone aggregate 20mm nominal size).</t>
        </is>
      </c>
      <c r="C157" s="20" t="n"/>
      <c r="D157" s="20" t="n"/>
      <c r="E157" s="20" t="n"/>
      <c r="F157" s="20" t="n"/>
      <c r="G157" s="20" t="n"/>
    </row>
    <row r="158">
      <c r="A158" s="21" t="inlineStr">
        <is>
          <t>Details of cost for 0.66 cum   |   Source: CivilDAR_2019_Vol_1.pdf, page 196</t>
        </is>
      </c>
    </row>
    <row r="159">
      <c r="A159" s="5" t="inlineStr">
        <is>
          <t>Code</t>
        </is>
      </c>
      <c r="B159" s="5" t="inlineStr">
        <is>
          <t>Description</t>
        </is>
      </c>
      <c r="C159" s="5" t="inlineStr">
        <is>
          <t>Unit</t>
        </is>
      </c>
      <c r="D159" s="5" t="inlineStr">
        <is>
          <t>Quantity</t>
        </is>
      </c>
      <c r="E159" s="5" t="inlineStr">
        <is>
          <t>Rate (Rs.)</t>
        </is>
      </c>
      <c r="F159" s="5" t="inlineStr">
        <is>
          <t>Amount (Rs.)</t>
        </is>
      </c>
      <c r="G159" s="5" t="inlineStr">
        <is>
          <t>Note</t>
        </is>
      </c>
    </row>
    <row r="160">
      <c r="A160" s="22" t="inlineStr">
        <is>
          <t>0295</t>
        </is>
      </c>
      <c r="B160" s="11" t="inlineStr">
        <is>
          <t>Stone Aggregate (Single size) : 20 mm nominal size</t>
        </is>
      </c>
      <c r="C160" s="22" t="inlineStr">
        <is>
          <t>cum</t>
        </is>
      </c>
      <c r="D160" s="23" t="n">
        <v>0.3762</v>
      </c>
      <c r="E160" s="24" t="n">
        <v>1350</v>
      </c>
      <c r="F160" s="24">
        <f>D160*E160</f>
        <v/>
      </c>
      <c r="G160" s="22" t="n"/>
    </row>
    <row r="161">
      <c r="A161" s="22" t="inlineStr">
        <is>
          <t>0297</t>
        </is>
      </c>
      <c r="B161" s="11" t="inlineStr">
        <is>
          <t>Stone Aggregate (Single size) : 10 mm nominal size</t>
        </is>
      </c>
      <c r="C161" s="22" t="inlineStr">
        <is>
          <t>cum</t>
        </is>
      </c>
      <c r="D161" s="23" t="n">
        <v>0.1848</v>
      </c>
      <c r="E161" s="24" t="n">
        <v>1350</v>
      </c>
      <c r="F161" s="24">
        <f>D161*E161</f>
        <v/>
      </c>
      <c r="G161" s="22" t="n"/>
    </row>
    <row r="162">
      <c r="A162" s="22" t="inlineStr">
        <is>
          <t>2202</t>
        </is>
      </c>
      <c r="B162" s="11" t="inlineStr">
        <is>
          <t>Carriage of Stone aggregate below . 40 mm nominal size</t>
        </is>
      </c>
      <c r="C162" s="22" t="inlineStr">
        <is>
          <t>cum</t>
        </is>
      </c>
      <c r="D162" s="23" t="n">
        <v>0.5610000000000001</v>
      </c>
      <c r="E162" s="24" t="n">
        <v>103.77</v>
      </c>
      <c r="F162" s="24">
        <f>D162*E162</f>
        <v/>
      </c>
      <c r="G162" s="22" t="n"/>
    </row>
    <row r="163">
      <c r="A163" s="22" t="inlineStr">
        <is>
          <t>0982</t>
        </is>
      </c>
      <c r="B163" s="11" t="inlineStr">
        <is>
          <t>Coarse sand (zone III)</t>
        </is>
      </c>
      <c r="C163" s="22" t="inlineStr">
        <is>
          <t>cum</t>
        </is>
      </c>
      <c r="D163" s="23" t="n">
        <v>0.2805</v>
      </c>
      <c r="E163" s="24" t="n">
        <v>1350</v>
      </c>
      <c r="F163" s="24">
        <f>D163*E163</f>
        <v/>
      </c>
      <c r="G163" s="22" t="n"/>
    </row>
    <row r="164">
      <c r="A164" s="22" t="inlineStr">
        <is>
          <t>2203</t>
        </is>
      </c>
      <c r="B164" s="11" t="inlineStr">
        <is>
          <t>Carriage of Coarse sand</t>
        </is>
      </c>
      <c r="C164" s="22" t="inlineStr">
        <is>
          <t>cum</t>
        </is>
      </c>
      <c r="D164" s="23" t="n">
        <v>0.2805</v>
      </c>
      <c r="E164" s="24" t="n">
        <v>103.77</v>
      </c>
      <c r="F164" s="24">
        <f>D164*E164</f>
        <v/>
      </c>
      <c r="G164" s="22" t="n"/>
    </row>
    <row r="165">
      <c r="A165" s="22" t="inlineStr">
        <is>
          <t>0367</t>
        </is>
      </c>
      <c r="B165" s="11" t="inlineStr">
        <is>
          <t>Portland Cement (0.2833 cum)</t>
        </is>
      </c>
      <c r="C165" s="22" t="inlineStr">
        <is>
          <t>tonne</t>
        </is>
      </c>
      <c r="D165" s="23" t="n">
        <v>0.264</v>
      </c>
      <c r="E165" s="24" t="n">
        <v>4940</v>
      </c>
      <c r="F165" s="24">
        <f>D165*E165</f>
        <v/>
      </c>
      <c r="G165" s="22" t="n"/>
    </row>
    <row r="166">
      <c r="A166" s="22" t="inlineStr">
        <is>
          <t>2209</t>
        </is>
      </c>
      <c r="B166" s="11" t="inlineStr">
        <is>
          <t>Carriage of Cement</t>
        </is>
      </c>
      <c r="C166" s="22" t="inlineStr">
        <is>
          <t>tonne</t>
        </is>
      </c>
      <c r="D166" s="23" t="n">
        <v>0.264</v>
      </c>
      <c r="E166" s="24" t="n">
        <v>92.23999999999999</v>
      </c>
      <c r="F166" s="24">
        <f>D166*E166</f>
        <v/>
      </c>
      <c r="G166" s="22" t="n"/>
    </row>
    <row r="167">
      <c r="A167" s="22" t="inlineStr">
        <is>
          <t>0114</t>
        </is>
      </c>
      <c r="B167" s="11" t="inlineStr">
        <is>
          <t>Beldar</t>
        </is>
      </c>
      <c r="C167" s="22" t="inlineStr">
        <is>
          <t>day</t>
        </is>
      </c>
      <c r="D167" s="23" t="n">
        <v>0.79</v>
      </c>
      <c r="E167" s="24" t="n">
        <v>558</v>
      </c>
      <c r="F167" s="24">
        <f>D167*E167</f>
        <v/>
      </c>
      <c r="G167" s="22" t="n"/>
    </row>
    <row r="168">
      <c r="A168" s="22" t="inlineStr">
        <is>
          <t>0115</t>
        </is>
      </c>
      <c r="B168" s="11" t="inlineStr">
        <is>
          <t>Coolie</t>
        </is>
      </c>
      <c r="C168" s="22" t="inlineStr">
        <is>
          <t>day</t>
        </is>
      </c>
      <c r="D168" s="23" t="n">
        <v>0.5600000000000001</v>
      </c>
      <c r="E168" s="24" t="n">
        <v>558</v>
      </c>
      <c r="F168" s="24">
        <f>D168*E168</f>
        <v/>
      </c>
      <c r="G168" s="22" t="n"/>
    </row>
    <row r="169">
      <c r="A169" s="22" t="inlineStr">
        <is>
          <t>0101</t>
        </is>
      </c>
      <c r="B169" s="11" t="inlineStr">
        <is>
          <t>Bhisti</t>
        </is>
      </c>
      <c r="C169" s="22" t="inlineStr">
        <is>
          <t>day</t>
        </is>
      </c>
      <c r="D169" s="23" t="n">
        <v>0.6</v>
      </c>
      <c r="E169" s="24" t="n">
        <v>617</v>
      </c>
      <c r="F169" s="24">
        <f>D169*E169</f>
        <v/>
      </c>
      <c r="G169" s="22" t="n"/>
    </row>
    <row r="170">
      <c r="A170" s="22" t="inlineStr">
        <is>
          <t>0123</t>
        </is>
      </c>
      <c r="B170" s="11" t="inlineStr">
        <is>
          <t>Mason (brick layer) 1st class</t>
        </is>
      </c>
      <c r="C170" s="22" t="inlineStr">
        <is>
          <t>day</t>
        </is>
      </c>
      <c r="D170" s="23" t="n">
        <v>0.06</v>
      </c>
      <c r="E170" s="24" t="n">
        <v>738</v>
      </c>
      <c r="F170" s="24">
        <f>D170*E170</f>
        <v/>
      </c>
      <c r="G170" s="22" t="n"/>
    </row>
    <row r="171">
      <c r="A171" s="22" t="inlineStr">
        <is>
          <t>0124</t>
        </is>
      </c>
      <c r="B171" s="11" t="inlineStr">
        <is>
          <t>Mason (brick layer) 2nd class</t>
        </is>
      </c>
      <c r="C171" s="22" t="inlineStr">
        <is>
          <t>day</t>
        </is>
      </c>
      <c r="D171" s="23" t="n">
        <v>0.06</v>
      </c>
      <c r="E171" s="24" t="n">
        <v>679</v>
      </c>
      <c r="F171" s="24">
        <f>D171*E171</f>
        <v/>
      </c>
      <c r="G171" s="22" t="n"/>
    </row>
    <row r="172">
      <c r="A172" s="22" t="inlineStr">
        <is>
          <t>9999</t>
        </is>
      </c>
      <c r="B172" s="11" t="inlineStr">
        <is>
          <t>Scafolding</t>
        </is>
      </c>
      <c r="C172" s="22" t="inlineStr">
        <is>
          <t>L.S.</t>
        </is>
      </c>
      <c r="D172" s="23" t="n">
        <v>30.16</v>
      </c>
      <c r="E172" s="24" t="n">
        <v>2</v>
      </c>
      <c r="F172" s="24">
        <f>D172*E172</f>
        <v/>
      </c>
      <c r="G172" s="22" t="n"/>
    </row>
    <row r="173">
      <c r="A173" s="22" t="inlineStr">
        <is>
          <t>9999</t>
        </is>
      </c>
      <c r="B173" s="11" t="inlineStr">
        <is>
          <t>Sundries</t>
        </is>
      </c>
      <c r="C173" s="22" t="inlineStr">
        <is>
          <t>L.S.</t>
        </is>
      </c>
      <c r="D173" s="23" t="n">
        <v>9.49</v>
      </c>
      <c r="E173" s="24" t="n">
        <v>2</v>
      </c>
      <c r="F173" s="24">
        <f>D173*E173</f>
        <v/>
      </c>
      <c r="G173" s="22" t="n"/>
    </row>
    <row r="174">
      <c r="A174" s="22" t="inlineStr">
        <is>
          <t>0002</t>
        </is>
      </c>
      <c r="B174" s="11" t="inlineStr">
        <is>
          <t>Hire charges of Concrete Mixer 0.25 to 0.40 cum with hooper</t>
        </is>
      </c>
      <c r="C174" s="22" t="inlineStr">
        <is>
          <t>day</t>
        </is>
      </c>
      <c r="D174" s="23" t="n">
        <v>0.05</v>
      </c>
      <c r="E174" s="24" t="n">
        <v>800</v>
      </c>
      <c r="F174" s="24">
        <f>D174*E174</f>
        <v/>
      </c>
      <c r="G174" s="22" t="n"/>
    </row>
    <row r="175">
      <c r="A175" s="22" t="inlineStr">
        <is>
          <t>0012</t>
        </is>
      </c>
      <c r="B175" s="11" t="inlineStr">
        <is>
          <t>Vibrator(Needle type 40mm)</t>
        </is>
      </c>
      <c r="C175" s="22" t="inlineStr">
        <is>
          <t>day</t>
        </is>
      </c>
      <c r="D175" s="23" t="n">
        <v>0.05</v>
      </c>
      <c r="E175" s="24" t="n">
        <v>370</v>
      </c>
      <c r="F175" s="24">
        <f>D175*E175</f>
        <v/>
      </c>
      <c r="G175" s="22" t="n"/>
    </row>
    <row r="176">
      <c r="A176" s="22" t="inlineStr">
        <is>
          <t>0115</t>
        </is>
      </c>
      <c r="B176" s="11" t="inlineStr">
        <is>
          <t>Coolie</t>
        </is>
      </c>
      <c r="C176" s="22" t="inlineStr">
        <is>
          <t>day</t>
        </is>
      </c>
      <c r="D176" s="23" t="n">
        <v>0.18</v>
      </c>
      <c r="E176" s="24" t="n">
        <v>558</v>
      </c>
      <c r="F176" s="24">
        <f>D176*E176</f>
        <v/>
      </c>
      <c r="G176" s="22" t="n"/>
    </row>
    <row r="177">
      <c r="A177" s="22" t="inlineStr">
        <is>
          <t>0123</t>
        </is>
      </c>
      <c r="B177" s="11" t="inlineStr">
        <is>
          <t>Mason (brick layer) 1st class</t>
        </is>
      </c>
      <c r="C177" s="22" t="inlineStr">
        <is>
          <t>day</t>
        </is>
      </c>
      <c r="D177" s="23" t="n">
        <v>0.05</v>
      </c>
      <c r="E177" s="24" t="n">
        <v>738</v>
      </c>
      <c r="F177" s="24">
        <f>D177*E177</f>
        <v/>
      </c>
      <c r="G177" s="22" t="n"/>
    </row>
    <row r="178">
      <c r="A178" s="22" t="inlineStr">
        <is>
          <t>0124</t>
        </is>
      </c>
      <c r="B178" s="11" t="inlineStr">
        <is>
          <t>Mason (brick layer) 2nd class</t>
        </is>
      </c>
      <c r="C178" s="22" t="inlineStr">
        <is>
          <t>day</t>
        </is>
      </c>
      <c r="D178" s="23" t="n">
        <v>0.05</v>
      </c>
      <c r="E178" s="24" t="n">
        <v>679</v>
      </c>
      <c r="F178" s="24">
        <f>D178*E178</f>
        <v/>
      </c>
      <c r="G178" s="22" t="n"/>
    </row>
    <row r="179">
      <c r="A179" s="22" t="inlineStr">
        <is>
          <t>0114</t>
        </is>
      </c>
      <c r="B179" s="11" t="inlineStr">
        <is>
          <t>Beldar</t>
        </is>
      </c>
      <c r="C179" s="22" t="inlineStr">
        <is>
          <t>day</t>
        </is>
      </c>
      <c r="D179" s="23" t="n">
        <v>0.1</v>
      </c>
      <c r="E179" s="24" t="n">
        <v>558</v>
      </c>
      <c r="F179" s="24">
        <f>D179*E179</f>
        <v/>
      </c>
      <c r="G179" s="22" t="n"/>
    </row>
    <row r="180">
      <c r="A180" s="22" t="inlineStr">
        <is>
          <t>0101</t>
        </is>
      </c>
      <c r="B180" s="11" t="inlineStr">
        <is>
          <t>Bhisti</t>
        </is>
      </c>
      <c r="C180" s="22" t="inlineStr">
        <is>
          <t>day</t>
        </is>
      </c>
      <c r="D180" s="23" t="n">
        <v>0.15</v>
      </c>
      <c r="E180" s="24" t="n">
        <v>617</v>
      </c>
      <c r="F180" s="24">
        <f>D180*E180</f>
        <v/>
      </c>
      <c r="G180" s="22" t="n"/>
    </row>
    <row r="181">
      <c r="A181" s="8" t="inlineStr">
        <is>
          <t>Calculated W - SUM of the Amount column above</t>
        </is>
      </c>
      <c r="B181" s="9" t="n"/>
      <c r="C181" s="9" t="n"/>
      <c r="D181" s="9" t="n"/>
      <c r="E181" s="9" t="n"/>
      <c r="F181" s="25">
        <f>SUM(F160:F180)</f>
        <v/>
      </c>
      <c r="G181" s="9" t="n"/>
    </row>
    <row r="182">
      <c r="A182" s="26" t="inlineStr">
        <is>
          <t>W as printed in the DAR</t>
        </is>
      </c>
      <c r="B182" s="22" t="n"/>
      <c r="C182" s="22" t="n"/>
      <c r="D182" s="22" t="n"/>
      <c r="E182" s="22" t="n"/>
      <c r="F182" s="27" t="n">
        <v>4217.82</v>
      </c>
      <c r="G182" s="22" t="n"/>
    </row>
    <row r="183">
      <c r="A183" s="26" t="inlineStr">
        <is>
          <t>Difference (calculated - printed)</t>
        </is>
      </c>
      <c r="B183" s="22" t="n"/>
      <c r="C183" s="22" t="n"/>
      <c r="D183" s="22" t="n"/>
      <c r="E183" s="22" t="n"/>
      <c r="F183" s="27">
        <f>F181-F182</f>
        <v/>
      </c>
      <c r="G183" s="22" t="n"/>
    </row>
    <row r="184">
      <c r="A184" s="29" t="inlineStr">
        <is>
          <t>SAY (Rs.) - final DAR rate as printed (fixed value, not computed)</t>
        </is>
      </c>
      <c r="B184" s="30" t="n"/>
      <c r="C184" s="30" t="n"/>
      <c r="D184" s="30" t="n"/>
      <c r="E184" s="30" t="n"/>
      <c r="F184" s="31" t="n">
        <v>8550.25</v>
      </c>
      <c r="G184" s="30" t="n"/>
    </row>
    <row r="186" ht="18.5" customHeight="1">
      <c r="A186" s="8" t="inlineStr">
        <is>
          <t>5.9</t>
        </is>
      </c>
      <c r="B186" s="17" t="inlineStr">
        <is>
          <t>Centering and shuttering including strutting, propping etc. and removal of form for</t>
        </is>
      </c>
      <c r="C186" s="9" t="n"/>
      <c r="D186" s="9" t="n"/>
      <c r="E186" s="9" t="n"/>
      <c r="F186" s="9" t="n"/>
      <c r="G186" s="9" t="n"/>
    </row>
    <row r="187" ht="18.5" customHeight="1">
      <c r="A187" s="18" t="inlineStr">
        <is>
          <t>5.9.1</t>
        </is>
      </c>
      <c r="B187" s="19" t="inlineStr">
        <is>
          <t>Foundations, footings, bases of columns, etc. for mass concrete</t>
        </is>
      </c>
      <c r="C187" s="20" t="n"/>
      <c r="D187" s="20" t="n"/>
      <c r="E187" s="20" t="n"/>
      <c r="F187" s="20" t="n"/>
      <c r="G187" s="20" t="n"/>
    </row>
    <row r="188">
      <c r="A188" s="21" t="inlineStr">
        <is>
          <t>Details of cost for 10.8 sqm   |   Source: CivilDAR_2019_Vol_1.pdf, page 197</t>
        </is>
      </c>
    </row>
    <row r="189">
      <c r="A189" s="5" t="inlineStr">
        <is>
          <t>Code</t>
        </is>
      </c>
      <c r="B189" s="5" t="inlineStr">
        <is>
          <t>Description</t>
        </is>
      </c>
      <c r="C189" s="5" t="inlineStr">
        <is>
          <t>Unit</t>
        </is>
      </c>
      <c r="D189" s="5" t="inlineStr">
        <is>
          <t>Quantity</t>
        </is>
      </c>
      <c r="E189" s="5" t="inlineStr">
        <is>
          <t>Rate (Rs.)</t>
        </is>
      </c>
      <c r="F189" s="5" t="inlineStr">
        <is>
          <t>Amount (Rs.)</t>
        </is>
      </c>
      <c r="G189" s="5" t="inlineStr">
        <is>
          <t>Note</t>
        </is>
      </c>
    </row>
    <row r="190">
      <c r="A190" s="22" t="inlineStr">
        <is>
          <t>7319</t>
        </is>
      </c>
      <c r="B190" s="11" t="inlineStr">
        <is>
          <t>Wall form panel 1250x500 mm</t>
        </is>
      </c>
      <c r="C190" s="22" t="inlineStr">
        <is>
          <t>each</t>
        </is>
      </c>
      <c r="D190" s="23" t="n">
        <v>0.34</v>
      </c>
      <c r="E190" s="24" t="n">
        <v>860</v>
      </c>
      <c r="F190" s="24">
        <f>D190*E190</f>
        <v/>
      </c>
      <c r="G190" s="22" t="n"/>
    </row>
    <row r="191">
      <c r="A191" s="22" t="inlineStr">
        <is>
          <t>7326</t>
        </is>
      </c>
      <c r="B191" s="11" t="inlineStr">
        <is>
          <t>Corner angle 45x45x5 mm 1.50 m long</t>
        </is>
      </c>
      <c r="C191" s="22" t="inlineStr">
        <is>
          <t>each</t>
        </is>
      </c>
      <c r="D191" s="23" t="n">
        <v>0.08500000000000001</v>
      </c>
      <c r="E191" s="24" t="n">
        <v>240</v>
      </c>
      <c r="F191" s="24">
        <f>D191*E191</f>
        <v/>
      </c>
      <c r="G191" s="22" t="n"/>
    </row>
    <row r="192">
      <c r="A192" s="22" t="inlineStr">
        <is>
          <t>7327</t>
        </is>
      </c>
      <c r="B192" s="11" t="inlineStr">
        <is>
          <t>100 mm channel shoulder 2.5 m long</t>
        </is>
      </c>
      <c r="C192" s="22" t="inlineStr">
        <is>
          <t>each</t>
        </is>
      </c>
      <c r="D192" s="23" t="n">
        <v>0.17</v>
      </c>
      <c r="E192" s="24" t="n">
        <v>910</v>
      </c>
      <c r="F192" s="24">
        <f>D192*E192</f>
        <v/>
      </c>
      <c r="G192" s="22" t="n"/>
    </row>
    <row r="193">
      <c r="A193" s="22" t="inlineStr">
        <is>
          <t>7328</t>
        </is>
      </c>
      <c r="B193" s="11" t="inlineStr">
        <is>
          <t>Double clip ( bridge clip)</t>
        </is>
      </c>
      <c r="C193" s="22" t="inlineStr">
        <is>
          <t>each</t>
        </is>
      </c>
      <c r="D193" s="23" t="n">
        <v>0.34</v>
      </c>
      <c r="E193" s="24" t="n">
        <v>76</v>
      </c>
      <c r="F193" s="24">
        <f>D193*E193</f>
        <v/>
      </c>
      <c r="G193" s="22" t="n"/>
    </row>
    <row r="194">
      <c r="A194" s="22" t="inlineStr">
        <is>
          <t>7329</t>
        </is>
      </c>
      <c r="B194" s="11" t="inlineStr">
        <is>
          <t>Single clip</t>
        </is>
      </c>
      <c r="C194" s="22" t="inlineStr">
        <is>
          <t>each</t>
        </is>
      </c>
      <c r="D194" s="23" t="n">
        <v>0.17</v>
      </c>
      <c r="E194" s="24" t="n">
        <v>59</v>
      </c>
      <c r="F194" s="24">
        <f>D194*E194</f>
        <v/>
      </c>
      <c r="G194" s="22" t="n"/>
    </row>
    <row r="195">
      <c r="A195" s="22" t="inlineStr">
        <is>
          <t>7330</t>
        </is>
      </c>
      <c r="B195" s="11" t="inlineStr">
        <is>
          <t>M.S. tube 40 mm dia</t>
        </is>
      </c>
      <c r="C195" s="22" t="inlineStr">
        <is>
          <t>metre</t>
        </is>
      </c>
      <c r="D195" s="23" t="n">
        <v>0.2295</v>
      </c>
      <c r="E195" s="24" t="n">
        <v>215</v>
      </c>
      <c r="F195" s="24">
        <f>D195*E195</f>
        <v/>
      </c>
      <c r="G195" s="22" t="n"/>
    </row>
    <row r="196">
      <c r="A196" s="22" t="inlineStr">
        <is>
          <t>9999</t>
        </is>
      </c>
      <c r="B196" s="11" t="inlineStr">
        <is>
          <t>Assembly nuts &amp; bolts</t>
        </is>
      </c>
      <c r="C196" s="22" t="inlineStr">
        <is>
          <t>L.S.</t>
        </is>
      </c>
      <c r="D196" s="23" t="n">
        <v>22.1</v>
      </c>
      <c r="E196" s="24" t="n">
        <v>2</v>
      </c>
      <c r="F196" s="24">
        <f>D196*E196</f>
        <v/>
      </c>
      <c r="G196" s="22" t="n"/>
    </row>
    <row r="197">
      <c r="A197" s="22" t="inlineStr">
        <is>
          <t>9977</t>
        </is>
      </c>
      <c r="B197" s="11" t="inlineStr">
        <is>
          <t>Carriage</t>
        </is>
      </c>
      <c r="C197" s="22" t="inlineStr">
        <is>
          <t>L.S.</t>
        </is>
      </c>
      <c r="D197" s="23" t="n">
        <v>78</v>
      </c>
      <c r="E197" s="24" t="n">
        <v>2</v>
      </c>
      <c r="F197" s="24">
        <f>D197*E197</f>
        <v/>
      </c>
      <c r="G197" s="22" t="n"/>
    </row>
    <row r="198">
      <c r="A198" s="22" t="inlineStr">
        <is>
          <t>0116</t>
        </is>
      </c>
      <c r="B198" s="11" t="inlineStr">
        <is>
          <t>Fitter (grade 1)</t>
        </is>
      </c>
      <c r="C198" s="22" t="inlineStr">
        <is>
          <t>day</t>
        </is>
      </c>
      <c r="D198" s="23" t="n">
        <v>0.75</v>
      </c>
      <c r="E198" s="24" t="n">
        <v>738</v>
      </c>
      <c r="F198" s="24">
        <f>D198*E198</f>
        <v/>
      </c>
      <c r="G198" s="22" t="n"/>
    </row>
    <row r="199">
      <c r="A199" s="22" t="inlineStr">
        <is>
          <t>0114</t>
        </is>
      </c>
      <c r="B199" s="11" t="inlineStr">
        <is>
          <t>Beldar</t>
        </is>
      </c>
      <c r="C199" s="22" t="inlineStr">
        <is>
          <t>day</t>
        </is>
      </c>
      <c r="D199" s="23" t="n">
        <v>1.5</v>
      </c>
      <c r="E199" s="24" t="n">
        <v>558</v>
      </c>
      <c r="F199" s="24">
        <f>D199*E199</f>
        <v/>
      </c>
      <c r="G199" s="22" t="n"/>
    </row>
    <row r="200">
      <c r="A200" s="22" t="inlineStr">
        <is>
          <t>9999</t>
        </is>
      </c>
      <c r="B200" s="11" t="inlineStr">
        <is>
          <t>Shuttering oil</t>
        </is>
      </c>
      <c r="C200" s="22" t="inlineStr">
        <is>
          <t>L.S.</t>
        </is>
      </c>
      <c r="D200" s="23" t="n">
        <v>52</v>
      </c>
      <c r="E200" s="24" t="n">
        <v>2</v>
      </c>
      <c r="F200" s="24">
        <f>D200*E200</f>
        <v/>
      </c>
      <c r="G200" s="22" t="n"/>
    </row>
    <row r="201">
      <c r="A201" s="22" t="inlineStr">
        <is>
          <t>9999</t>
        </is>
      </c>
      <c r="B201" s="11" t="inlineStr">
        <is>
          <t>Sundries</t>
        </is>
      </c>
      <c r="C201" s="22" t="inlineStr">
        <is>
          <t>L.S.</t>
        </is>
      </c>
      <c r="D201" s="23" t="n">
        <v>26</v>
      </c>
      <c r="E201" s="24" t="n">
        <v>2</v>
      </c>
      <c r="F201" s="24">
        <f>D201*E201</f>
        <v/>
      </c>
      <c r="G201" s="22" t="n"/>
    </row>
    <row r="202">
      <c r="A202" s="8" t="inlineStr">
        <is>
          <t>Calculated W - SUM of the Amount column above</t>
        </is>
      </c>
      <c r="B202" s="9" t="n"/>
      <c r="C202" s="9" t="n"/>
      <c r="D202" s="9" t="n"/>
      <c r="E202" s="9" t="n"/>
      <c r="F202" s="25">
        <f>SUM(F190:F201)</f>
        <v/>
      </c>
      <c r="G202" s="9" t="n"/>
    </row>
    <row r="203">
      <c r="A203" s="26" t="inlineStr">
        <is>
          <t>W as printed in the DAR</t>
        </is>
      </c>
      <c r="B203" s="22" t="n"/>
      <c r="C203" s="22" t="n"/>
      <c r="D203" s="22" t="n"/>
      <c r="E203" s="22" t="n"/>
      <c r="F203" s="27" t="n">
        <v>2299.41</v>
      </c>
      <c r="G203" s="22" t="n"/>
    </row>
    <row r="204">
      <c r="A204" s="26" t="inlineStr">
        <is>
          <t>Difference (calculated - printed)</t>
        </is>
      </c>
      <c r="B204" s="22" t="n"/>
      <c r="C204" s="22" t="n"/>
      <c r="D204" s="22" t="n"/>
      <c r="E204" s="22" t="n"/>
      <c r="F204" s="27">
        <f>F202-F203</f>
        <v/>
      </c>
      <c r="G204" s="22" t="n"/>
    </row>
    <row r="205">
      <c r="A205" s="29" t="inlineStr">
        <is>
          <t>SAY (Rs.) - final DAR rate as printed (fixed value, not computed)</t>
        </is>
      </c>
      <c r="B205" s="30" t="n"/>
      <c r="C205" s="30" t="n"/>
      <c r="D205" s="30" t="n"/>
      <c r="E205" s="30" t="n"/>
      <c r="F205" s="31" t="n">
        <v>284.85</v>
      </c>
      <c r="G205" s="30" t="n"/>
    </row>
    <row r="207" ht="18.5" customHeight="1">
      <c r="A207" s="8" t="inlineStr">
        <is>
          <t>5.9</t>
        </is>
      </c>
      <c r="B207" s="17" t="inlineStr">
        <is>
          <t>Centering and shuttering including strutting, propping etc. and removal of form for</t>
        </is>
      </c>
      <c r="C207" s="9" t="n"/>
      <c r="D207" s="9" t="n"/>
      <c r="E207" s="9" t="n"/>
      <c r="F207" s="9" t="n"/>
      <c r="G207" s="9" t="n"/>
    </row>
    <row r="208" ht="33" customHeight="1">
      <c r="A208" s="18" t="inlineStr">
        <is>
          <t>5.9.2</t>
        </is>
      </c>
      <c r="B208" s="19" t="inlineStr">
        <is>
          <t>Walls (any thickness) including attached pilasters, butteresses, plinth and string courses etc. Details for 7.9m long and 1.00m high wall Area of contact 2x7.9x1.0 = 15.8 sqm.</t>
        </is>
      </c>
      <c r="C208" s="20" t="n"/>
      <c r="D208" s="20" t="n"/>
      <c r="E208" s="20" t="n"/>
      <c r="F208" s="20" t="n"/>
      <c r="G208" s="20" t="n"/>
    </row>
    <row r="209">
      <c r="A209" s="21" t="inlineStr">
        <is>
          <t>Details of cost for 15.8 sqm   |   Source: CivilDAR_2019_Vol_1.pdf, page 198</t>
        </is>
      </c>
    </row>
    <row r="210">
      <c r="A210" s="5" t="inlineStr">
        <is>
          <t>Code</t>
        </is>
      </c>
      <c r="B210" s="5" t="inlineStr">
        <is>
          <t>Description</t>
        </is>
      </c>
      <c r="C210" s="5" t="inlineStr">
        <is>
          <t>Unit</t>
        </is>
      </c>
      <c r="D210" s="5" t="inlineStr">
        <is>
          <t>Quantity</t>
        </is>
      </c>
      <c r="E210" s="5" t="inlineStr">
        <is>
          <t>Rate (Rs.)</t>
        </is>
      </c>
      <c r="F210" s="5" t="inlineStr">
        <is>
          <t>Amount (Rs.)</t>
        </is>
      </c>
      <c r="G210" s="5" t="inlineStr">
        <is>
          <t>Note</t>
        </is>
      </c>
    </row>
    <row r="211">
      <c r="A211" s="22" t="inlineStr">
        <is>
          <t>7319</t>
        </is>
      </c>
      <c r="B211" s="11" t="inlineStr">
        <is>
          <t>Wall form panel 1250x500 mm</t>
        </is>
      </c>
      <c r="C211" s="22" t="inlineStr">
        <is>
          <t>each</t>
        </is>
      </c>
      <c r="D211" s="23" t="n">
        <v>0.51</v>
      </c>
      <c r="E211" s="24" t="n">
        <v>860</v>
      </c>
      <c r="F211" s="24">
        <f>D211*E211</f>
        <v/>
      </c>
      <c r="G211" s="22" t="n"/>
    </row>
    <row r="212">
      <c r="A212" s="22" t="inlineStr">
        <is>
          <t>7327</t>
        </is>
      </c>
      <c r="B212" s="11" t="inlineStr">
        <is>
          <t>100 mm channel shoulder 2.5 m long</t>
        </is>
      </c>
      <c r="C212" s="22" t="inlineStr">
        <is>
          <t>each</t>
        </is>
      </c>
      <c r="D212" s="23" t="n">
        <v>0.17</v>
      </c>
      <c r="E212" s="24" t="n">
        <v>910</v>
      </c>
      <c r="F212" s="24">
        <f>D212*E212</f>
        <v/>
      </c>
      <c r="G212" s="22" t="n"/>
    </row>
    <row r="213">
      <c r="A213" s="22" t="inlineStr">
        <is>
          <t>7328</t>
        </is>
      </c>
      <c r="B213" s="11" t="inlineStr">
        <is>
          <t>Double clip ( bridge clip)</t>
        </is>
      </c>
      <c r="C213" s="22" t="inlineStr">
        <is>
          <t>each</t>
        </is>
      </c>
      <c r="D213" s="23" t="n">
        <v>0.51</v>
      </c>
      <c r="E213" s="24" t="n">
        <v>76</v>
      </c>
      <c r="F213" s="24">
        <f>D213*E213</f>
        <v/>
      </c>
      <c r="G213" s="22" t="n"/>
    </row>
    <row r="214">
      <c r="A214" s="22" t="inlineStr">
        <is>
          <t>7329</t>
        </is>
      </c>
      <c r="B214" s="11" t="inlineStr">
        <is>
          <t>Single clip</t>
        </is>
      </c>
      <c r="C214" s="22" t="inlineStr">
        <is>
          <t>each</t>
        </is>
      </c>
      <c r="D214" s="23" t="n">
        <v>0.255</v>
      </c>
      <c r="E214" s="24" t="n">
        <v>59</v>
      </c>
      <c r="F214" s="24">
        <f>D214*E214</f>
        <v/>
      </c>
      <c r="G214" s="22" t="n"/>
    </row>
    <row r="215">
      <c r="A215" s="22" t="inlineStr">
        <is>
          <t>7330</t>
        </is>
      </c>
      <c r="B215" s="11" t="inlineStr">
        <is>
          <t>M.S. tube 40 mm dia</t>
        </is>
      </c>
      <c r="C215" s="22" t="inlineStr">
        <is>
          <t>metre</t>
        </is>
      </c>
      <c r="D215" s="23" t="n">
        <v>0.68</v>
      </c>
      <c r="E215" s="24" t="n">
        <v>215</v>
      </c>
      <c r="F215" s="24">
        <f>D215*E215</f>
        <v/>
      </c>
      <c r="G215" s="22" t="n"/>
    </row>
    <row r="216">
      <c r="A216" s="22" t="inlineStr">
        <is>
          <t>9999</t>
        </is>
      </c>
      <c r="B216" s="11" t="inlineStr">
        <is>
          <t>Nut &amp; Bolts</t>
        </is>
      </c>
      <c r="C216" s="22" t="inlineStr">
        <is>
          <t>L.S.</t>
        </is>
      </c>
      <c r="D216" s="23" t="n">
        <v>27.62</v>
      </c>
      <c r="E216" s="24" t="n">
        <v>2</v>
      </c>
      <c r="F216" s="24">
        <f>D216*E216</f>
        <v/>
      </c>
      <c r="G216" s="22" t="n"/>
    </row>
    <row r="217">
      <c r="A217" s="22" t="inlineStr">
        <is>
          <t>9977</t>
        </is>
      </c>
      <c r="B217" s="11" t="inlineStr">
        <is>
          <t>Carriage</t>
        </is>
      </c>
      <c r="C217" s="22" t="inlineStr">
        <is>
          <t>L.S.</t>
        </is>
      </c>
      <c r="D217" s="23" t="n">
        <v>78</v>
      </c>
      <c r="E217" s="24" t="n">
        <v>2</v>
      </c>
      <c r="F217" s="24">
        <f>D217*E217</f>
        <v/>
      </c>
      <c r="G217" s="22" t="n"/>
    </row>
    <row r="218">
      <c r="A218" s="22" t="inlineStr">
        <is>
          <t>0116</t>
        </is>
      </c>
      <c r="B218" s="11" t="inlineStr">
        <is>
          <t>Fitter (grade 1)</t>
        </is>
      </c>
      <c r="C218" s="22" t="inlineStr">
        <is>
          <t>day</t>
        </is>
      </c>
      <c r="D218" s="23" t="n">
        <v>3.5</v>
      </c>
      <c r="E218" s="24" t="n">
        <v>738</v>
      </c>
      <c r="F218" s="24">
        <f>D218*E218</f>
        <v/>
      </c>
      <c r="G218" s="22" t="n"/>
    </row>
    <row r="219">
      <c r="A219" s="22" t="inlineStr">
        <is>
          <t>0114</t>
        </is>
      </c>
      <c r="B219" s="11" t="inlineStr">
        <is>
          <t>Beldar</t>
        </is>
      </c>
      <c r="C219" s="22" t="inlineStr">
        <is>
          <t>day</t>
        </is>
      </c>
      <c r="D219" s="23" t="n">
        <v>6</v>
      </c>
      <c r="E219" s="24" t="n">
        <v>558</v>
      </c>
      <c r="F219" s="24">
        <f>D219*E219</f>
        <v/>
      </c>
      <c r="G219" s="22" t="n"/>
    </row>
    <row r="220">
      <c r="A220" s="22" t="inlineStr">
        <is>
          <t>9999</t>
        </is>
      </c>
      <c r="B220" s="11" t="inlineStr">
        <is>
          <t>Shuttering oil</t>
        </is>
      </c>
      <c r="C220" s="22" t="inlineStr">
        <is>
          <t>L.S.</t>
        </is>
      </c>
      <c r="D220" s="23" t="n">
        <v>78</v>
      </c>
      <c r="E220" s="24" t="n">
        <v>2</v>
      </c>
      <c r="F220" s="24">
        <f>D220*E220</f>
        <v/>
      </c>
      <c r="G220" s="22" t="n"/>
    </row>
    <row r="221">
      <c r="A221" s="22" t="inlineStr">
        <is>
          <t>9999</t>
        </is>
      </c>
      <c r="B221" s="11" t="inlineStr">
        <is>
          <t>Sundries</t>
        </is>
      </c>
      <c r="C221" s="22" t="inlineStr">
        <is>
          <t>L.S.</t>
        </is>
      </c>
      <c r="D221" s="23" t="n">
        <v>52</v>
      </c>
      <c r="E221" s="24" t="n">
        <v>2</v>
      </c>
      <c r="F221" s="24">
        <f>D221*E221</f>
        <v/>
      </c>
      <c r="G221" s="22" t="n"/>
    </row>
    <row r="222">
      <c r="A222" s="8" t="inlineStr">
        <is>
          <t>Calculated W - SUM of the Amount column above</t>
        </is>
      </c>
      <c r="B222" s="9" t="n"/>
      <c r="C222" s="9" t="n"/>
      <c r="D222" s="9" t="n"/>
      <c r="E222" s="9" t="n"/>
      <c r="F222" s="25">
        <f>SUM(F211:F221)</f>
        <v/>
      </c>
      <c r="G222" s="9" t="n"/>
    </row>
    <row r="223">
      <c r="A223" s="26" t="inlineStr">
        <is>
          <t>W as printed in the DAR</t>
        </is>
      </c>
      <c r="B223" s="22" t="n"/>
      <c r="C223" s="22" t="n"/>
      <c r="D223" s="22" t="n"/>
      <c r="E223" s="22" t="n"/>
      <c r="F223" s="27" t="n">
        <v>7195.55</v>
      </c>
      <c r="G223" s="22" t="n"/>
    </row>
    <row r="224">
      <c r="A224" s="26" t="inlineStr">
        <is>
          <t>Difference (calculated - printed)</t>
        </is>
      </c>
      <c r="B224" s="22" t="n"/>
      <c r="C224" s="22" t="n"/>
      <c r="D224" s="22" t="n"/>
      <c r="E224" s="22" t="n"/>
      <c r="F224" s="27">
        <f>F222-F223</f>
        <v/>
      </c>
      <c r="G224" s="22" t="n"/>
    </row>
    <row r="225">
      <c r="A225" s="29" t="inlineStr">
        <is>
          <t>SAY (Rs.) - final DAR rate as printed (fixed value, not computed)</t>
        </is>
      </c>
      <c r="B225" s="30" t="n"/>
      <c r="C225" s="30" t="n"/>
      <c r="D225" s="30" t="n"/>
      <c r="E225" s="30" t="n"/>
      <c r="F225" s="31" t="n">
        <v>609.3</v>
      </c>
      <c r="G225" s="30" t="n"/>
    </row>
    <row r="227" ht="18.5" customHeight="1">
      <c r="A227" s="8" t="inlineStr">
        <is>
          <t>5.9</t>
        </is>
      </c>
      <c r="B227" s="17" t="inlineStr">
        <is>
          <t>Centering and shuttering including strutting, propping etc. and removal of form for</t>
        </is>
      </c>
      <c r="C227" s="9" t="n"/>
      <c r="D227" s="9" t="n"/>
      <c r="E227" s="9" t="n"/>
      <c r="F227" s="9" t="n"/>
      <c r="G227" s="9" t="n"/>
    </row>
    <row r="228" ht="18.5" customHeight="1">
      <c r="A228" s="18" t="inlineStr">
        <is>
          <t>5.9.3</t>
        </is>
      </c>
      <c r="B228" s="19" t="inlineStr">
        <is>
          <t>Suspended floors, roofs, landings, balconies and access platform</t>
        </is>
      </c>
      <c r="C228" s="20" t="n"/>
      <c r="D228" s="20" t="n"/>
      <c r="E228" s="20" t="n"/>
      <c r="F228" s="20" t="n"/>
      <c r="G228" s="20" t="n"/>
    </row>
    <row r="229">
      <c r="A229" s="21" t="inlineStr">
        <is>
          <t>Details of cost for 13.5 sqm   |   Source: CivilDAR_2019_Vol_1.pdf, page 199</t>
        </is>
      </c>
    </row>
    <row r="230">
      <c r="A230" s="5" t="inlineStr">
        <is>
          <t>Code</t>
        </is>
      </c>
      <c r="B230" s="5" t="inlineStr">
        <is>
          <t>Description</t>
        </is>
      </c>
      <c r="C230" s="5" t="inlineStr">
        <is>
          <t>Unit</t>
        </is>
      </c>
      <c r="D230" s="5" t="inlineStr">
        <is>
          <t>Quantity</t>
        </is>
      </c>
      <c r="E230" s="5" t="inlineStr">
        <is>
          <t>Rate (Rs.)</t>
        </is>
      </c>
      <c r="F230" s="5" t="inlineStr">
        <is>
          <t>Amount (Rs.)</t>
        </is>
      </c>
      <c r="G230" s="5" t="inlineStr">
        <is>
          <t>Note</t>
        </is>
      </c>
    </row>
    <row r="231">
      <c r="A231" s="7" t="inlineStr">
        <is>
          <t>10.1</t>
        </is>
      </c>
      <c r="B231" s="11" t="inlineStr">
        <is>
          <t>Rate as per item 10.1 - Structural steel work in single section, fixed with or without connecting plate, including cutting, hoistin...</t>
        </is>
      </c>
      <c r="C231" s="22" t="inlineStr">
        <is>
          <t>kg</t>
        </is>
      </c>
      <c r="D231" s="23" t="n">
        <v>9.205500000000001</v>
      </c>
      <c r="E231" s="24" t="n">
        <v>86.05</v>
      </c>
      <c r="F231" s="24">
        <f>D231*E231</f>
        <v/>
      </c>
      <c r="G231" s="22" t="n"/>
    </row>
    <row r="232">
      <c r="A232" s="22" t="inlineStr">
        <is>
          <t>7342</t>
        </is>
      </c>
      <c r="B232" s="11" t="inlineStr">
        <is>
          <t>Adjustable span ESO+SI (2.35-3.40)</t>
        </is>
      </c>
      <c r="C232" s="22" t="inlineStr">
        <is>
          <t>each</t>
        </is>
      </c>
      <c r="D232" s="23" t="n">
        <v>0.1063</v>
      </c>
      <c r="E232" s="24" t="n">
        <v>1480</v>
      </c>
      <c r="F232" s="24">
        <f>D232*E232</f>
        <v/>
      </c>
      <c r="G232" s="22" t="n"/>
    </row>
    <row r="233">
      <c r="A233" s="22" t="inlineStr">
        <is>
          <t>7343</t>
        </is>
      </c>
      <c r="B233" s="11" t="inlineStr">
        <is>
          <t>Adjustable telescopic prop 3 m (2.02-3.75 m)</t>
        </is>
      </c>
      <c r="C233" s="22" t="inlineStr">
        <is>
          <t>each</t>
        </is>
      </c>
      <c r="D233" s="23" t="n">
        <v>0.1275</v>
      </c>
      <c r="E233" s="24" t="n">
        <v>955</v>
      </c>
      <c r="F233" s="24">
        <f>D233*E233</f>
        <v/>
      </c>
      <c r="G233" s="22" t="n"/>
    </row>
    <row r="234">
      <c r="A234" s="22" t="inlineStr">
        <is>
          <t>9999</t>
        </is>
      </c>
      <c r="B234" s="11" t="inlineStr">
        <is>
          <t>4. Assembly nut &amp; bolts etc.</t>
        </is>
      </c>
      <c r="C234" s="22" t="inlineStr">
        <is>
          <t>L.S.</t>
        </is>
      </c>
      <c r="D234" s="23" t="n">
        <v>22.1</v>
      </c>
      <c r="E234" s="24" t="n">
        <v>2</v>
      </c>
      <c r="F234" s="24">
        <f>D234*E234</f>
        <v/>
      </c>
      <c r="G234" s="22" t="n"/>
    </row>
    <row r="235">
      <c r="A235" s="22" t="inlineStr">
        <is>
          <t>9977</t>
        </is>
      </c>
      <c r="B235" s="11" t="inlineStr">
        <is>
          <t>Carriage</t>
        </is>
      </c>
      <c r="C235" s="22" t="inlineStr">
        <is>
          <t>L.S.</t>
        </is>
      </c>
      <c r="D235" s="23" t="n">
        <v>130</v>
      </c>
      <c r="E235" s="24" t="n">
        <v>2</v>
      </c>
      <c r="F235" s="24">
        <f>D235*E235</f>
        <v/>
      </c>
      <c r="G235" s="22" t="n"/>
    </row>
    <row r="236">
      <c r="A236" s="22" t="inlineStr">
        <is>
          <t>0116</t>
        </is>
      </c>
      <c r="B236" s="11" t="inlineStr">
        <is>
          <t>Fitter (grade 1)</t>
        </is>
      </c>
      <c r="C236" s="22" t="inlineStr">
        <is>
          <t>day</t>
        </is>
      </c>
      <c r="D236" s="23" t="n">
        <v>3</v>
      </c>
      <c r="E236" s="24" t="n">
        <v>738</v>
      </c>
      <c r="F236" s="24">
        <f>D236*E236</f>
        <v/>
      </c>
      <c r="G236" s="22" t="n"/>
    </row>
    <row r="237">
      <c r="A237" s="22" t="inlineStr">
        <is>
          <t>0114</t>
        </is>
      </c>
      <c r="B237" s="11" t="inlineStr">
        <is>
          <t>Beldar</t>
        </is>
      </c>
      <c r="C237" s="22" t="inlineStr">
        <is>
          <t>day</t>
        </is>
      </c>
      <c r="D237" s="23" t="n">
        <v>6</v>
      </c>
      <c r="E237" s="24" t="n">
        <v>558</v>
      </c>
      <c r="F237" s="24">
        <f>D237*E237</f>
        <v/>
      </c>
      <c r="G237" s="22" t="n"/>
    </row>
    <row r="238">
      <c r="A238" s="22" t="inlineStr">
        <is>
          <t>9999</t>
        </is>
      </c>
      <c r="B238" s="11" t="inlineStr">
        <is>
          <t>Shuttering oil</t>
        </is>
      </c>
      <c r="C238" s="22" t="inlineStr">
        <is>
          <t>L.S.</t>
        </is>
      </c>
      <c r="D238" s="23" t="n">
        <v>78</v>
      </c>
      <c r="E238" s="24" t="n">
        <v>2</v>
      </c>
      <c r="F238" s="24">
        <f>D238*E238</f>
        <v/>
      </c>
      <c r="G238" s="22" t="n"/>
    </row>
    <row r="239">
      <c r="A239" s="22" t="inlineStr">
        <is>
          <t>9999</t>
        </is>
      </c>
      <c r="B239" s="11" t="inlineStr">
        <is>
          <t>Sundries, paper tap etc.</t>
        </is>
      </c>
      <c r="C239" s="22" t="inlineStr">
        <is>
          <t>L.S.</t>
        </is>
      </c>
      <c r="D239" s="23" t="n">
        <v>49.7</v>
      </c>
      <c r="E239" s="24" t="n">
        <v>2</v>
      </c>
      <c r="F239" s="24">
        <f>D239*E239</f>
        <v/>
      </c>
      <c r="G239" s="22" t="n"/>
    </row>
    <row r="240">
      <c r="A240" s="8" t="inlineStr">
        <is>
          <t>Calculated W - SUM of the Amount column above</t>
        </is>
      </c>
      <c r="B240" s="9" t="n"/>
      <c r="C240" s="9" t="n"/>
      <c r="D240" s="9" t="n"/>
      <c r="E240" s="9" t="n"/>
      <c r="F240" s="25">
        <f>SUM(F231:F239)</f>
        <v/>
      </c>
      <c r="G240" s="9" t="n"/>
    </row>
    <row r="241">
      <c r="A241" s="26" t="inlineStr">
        <is>
          <t>W as printed in the DAR</t>
        </is>
      </c>
      <c r="B241" s="22" t="n"/>
      <c r="C241" s="22" t="n"/>
      <c r="D241" s="22" t="n"/>
      <c r="E241" s="22" t="n"/>
      <c r="F241" s="27" t="n">
        <v>7192.82</v>
      </c>
      <c r="G241" s="22" t="n"/>
    </row>
    <row r="242">
      <c r="A242" s="26" t="inlineStr">
        <is>
          <t>Difference (calculated - printed)</t>
        </is>
      </c>
      <c r="B242" s="22" t="n"/>
      <c r="C242" s="22" t="n"/>
      <c r="D242" s="22" t="n"/>
      <c r="E242" s="22" t="n"/>
      <c r="F242" s="27">
        <f>F240-F241</f>
        <v/>
      </c>
      <c r="G242" s="22" t="n"/>
    </row>
    <row r="243">
      <c r="A243" s="29" t="inlineStr">
        <is>
          <t>SAY (Rs.) - final DAR rate as printed (fixed value, not computed)</t>
        </is>
      </c>
      <c r="B243" s="30" t="n"/>
      <c r="C243" s="30" t="n"/>
      <c r="D243" s="30" t="n"/>
      <c r="E243" s="30" t="n"/>
      <c r="F243" s="31" t="n">
        <v>693.05</v>
      </c>
      <c r="G243" s="30" t="n"/>
    </row>
    <row r="245" ht="18.5" customHeight="1">
      <c r="A245" s="8" t="inlineStr">
        <is>
          <t>5.9</t>
        </is>
      </c>
      <c r="B245" s="17" t="inlineStr">
        <is>
          <t>Centering and shuttering including strutting, propping etc. and removal of form for</t>
        </is>
      </c>
      <c r="C245" s="9" t="n"/>
      <c r="D245" s="9" t="n"/>
      <c r="E245" s="9" t="n"/>
      <c r="F245" s="9" t="n"/>
      <c r="G245" s="9" t="n"/>
    </row>
    <row r="246" ht="18.5" customHeight="1">
      <c r="A246" s="18" t="inlineStr">
        <is>
          <t>5.9.4</t>
        </is>
      </c>
      <c r="B246" s="19" t="inlineStr">
        <is>
          <t>Shelves (Cast in situ)</t>
        </is>
      </c>
      <c r="C246" s="20" t="n"/>
      <c r="D246" s="20" t="n"/>
      <c r="E246" s="20" t="n"/>
      <c r="F246" s="20" t="n"/>
      <c r="G246" s="20" t="n"/>
    </row>
    <row r="247">
      <c r="A247" s="21" t="inlineStr">
        <is>
          <t>Details of cost for 13.5 sqm   |   Source: CivilDAR_2019_Vol_1.pdf, page 200</t>
        </is>
      </c>
    </row>
    <row r="248">
      <c r="A248" s="5" t="inlineStr">
        <is>
          <t>Code</t>
        </is>
      </c>
      <c r="B248" s="5" t="inlineStr">
        <is>
          <t>Description</t>
        </is>
      </c>
      <c r="C248" s="5" t="inlineStr">
        <is>
          <t>Unit</t>
        </is>
      </c>
      <c r="D248" s="5" t="inlineStr">
        <is>
          <t>Quantity</t>
        </is>
      </c>
      <c r="E248" s="5" t="inlineStr">
        <is>
          <t>Rate (Rs.)</t>
        </is>
      </c>
      <c r="F248" s="5" t="inlineStr">
        <is>
          <t>Amount (Rs.)</t>
        </is>
      </c>
      <c r="G248" s="5" t="inlineStr">
        <is>
          <t>Note</t>
        </is>
      </c>
    </row>
    <row r="249">
      <c r="A249" s="7" t="inlineStr">
        <is>
          <t>10.1</t>
        </is>
      </c>
      <c r="B249" s="11" t="inlineStr">
        <is>
          <t>Rate as per item 10.1 - Structural steel work in single section, fixed with or without connecting plate, including cutting, hoistin...</t>
        </is>
      </c>
      <c r="C249" s="22" t="inlineStr">
        <is>
          <t>kg</t>
        </is>
      </c>
      <c r="D249" s="23" t="n">
        <v>9.205500000000001</v>
      </c>
      <c r="E249" s="24" t="n">
        <v>86.05</v>
      </c>
      <c r="F249" s="24">
        <f>D249*E249</f>
        <v/>
      </c>
      <c r="G249" s="22" t="n"/>
    </row>
    <row r="250">
      <c r="A250" s="22" t="inlineStr">
        <is>
          <t>7342</t>
        </is>
      </c>
      <c r="B250" s="11" t="inlineStr">
        <is>
          <t>Adjustable span ESO+SI (2.35-3.40)</t>
        </is>
      </c>
      <c r="C250" s="22" t="inlineStr">
        <is>
          <t>each</t>
        </is>
      </c>
      <c r="D250" s="23" t="n">
        <v>0.1063</v>
      </c>
      <c r="E250" s="24" t="n">
        <v>1480</v>
      </c>
      <c r="F250" s="24">
        <f>D250*E250</f>
        <v/>
      </c>
      <c r="G250" s="22" t="n"/>
    </row>
    <row r="251">
      <c r="A251" s="22" t="inlineStr">
        <is>
          <t>7343</t>
        </is>
      </c>
      <c r="B251" s="11" t="inlineStr">
        <is>
          <t>Adjustable telescopic prop 3 m (2.02-3.75 m)</t>
        </is>
      </c>
      <c r="C251" s="22" t="inlineStr">
        <is>
          <t>each</t>
        </is>
      </c>
      <c r="D251" s="23" t="n">
        <v>0.1275</v>
      </c>
      <c r="E251" s="24" t="n">
        <v>955</v>
      </c>
      <c r="F251" s="24">
        <f>D251*E251</f>
        <v/>
      </c>
      <c r="G251" s="22" t="n"/>
    </row>
    <row r="252">
      <c r="A252" s="22" t="inlineStr">
        <is>
          <t>9999</t>
        </is>
      </c>
      <c r="B252" s="11" t="inlineStr">
        <is>
          <t>4. Assembly nut &amp; bolts etc.</t>
        </is>
      </c>
      <c r="C252" s="22" t="inlineStr">
        <is>
          <t>L.S.</t>
        </is>
      </c>
      <c r="D252" s="23" t="n">
        <v>22.1</v>
      </c>
      <c r="E252" s="24" t="n">
        <v>2</v>
      </c>
      <c r="F252" s="24">
        <f>D252*E252</f>
        <v/>
      </c>
      <c r="G252" s="22" t="n"/>
    </row>
    <row r="253">
      <c r="A253" s="22" t="inlineStr">
        <is>
          <t>9977</t>
        </is>
      </c>
      <c r="B253" s="11" t="inlineStr">
        <is>
          <t>Carriage</t>
        </is>
      </c>
      <c r="C253" s="22" t="inlineStr">
        <is>
          <t>L.S.</t>
        </is>
      </c>
      <c r="D253" s="23" t="n">
        <v>130</v>
      </c>
      <c r="E253" s="24" t="n">
        <v>2</v>
      </c>
      <c r="F253" s="24">
        <f>D253*E253</f>
        <v/>
      </c>
      <c r="G253" s="22" t="n"/>
    </row>
    <row r="254">
      <c r="A254" s="22" t="inlineStr">
        <is>
          <t>0116</t>
        </is>
      </c>
      <c r="B254" s="11" t="inlineStr">
        <is>
          <t>Fitter (grade 1)</t>
        </is>
      </c>
      <c r="C254" s="22" t="inlineStr">
        <is>
          <t>day</t>
        </is>
      </c>
      <c r="D254" s="23" t="n">
        <v>3</v>
      </c>
      <c r="E254" s="24" t="n">
        <v>738</v>
      </c>
      <c r="F254" s="24">
        <f>D254*E254</f>
        <v/>
      </c>
      <c r="G254" s="22" t="n"/>
    </row>
    <row r="255">
      <c r="A255" s="22" t="inlineStr">
        <is>
          <t>0114</t>
        </is>
      </c>
      <c r="B255" s="11" t="inlineStr">
        <is>
          <t>Beldar</t>
        </is>
      </c>
      <c r="C255" s="22" t="inlineStr">
        <is>
          <t>day</t>
        </is>
      </c>
      <c r="D255" s="23" t="n">
        <v>6</v>
      </c>
      <c r="E255" s="24" t="n">
        <v>558</v>
      </c>
      <c r="F255" s="24">
        <f>D255*E255</f>
        <v/>
      </c>
      <c r="G255" s="22" t="n"/>
    </row>
    <row r="256">
      <c r="A256" s="22" t="inlineStr">
        <is>
          <t>9999</t>
        </is>
      </c>
      <c r="B256" s="11" t="inlineStr">
        <is>
          <t>Shuttering oil</t>
        </is>
      </c>
      <c r="C256" s="22" t="inlineStr">
        <is>
          <t>L.S.</t>
        </is>
      </c>
      <c r="D256" s="23" t="n">
        <v>78</v>
      </c>
      <c r="E256" s="24" t="n">
        <v>2</v>
      </c>
      <c r="F256" s="24">
        <f>D256*E256</f>
        <v/>
      </c>
      <c r="G256" s="22" t="n"/>
    </row>
    <row r="257">
      <c r="A257" s="22" t="inlineStr">
        <is>
          <t>9999</t>
        </is>
      </c>
      <c r="B257" s="11" t="inlineStr">
        <is>
          <t>Sundries, paper tap etc.</t>
        </is>
      </c>
      <c r="C257" s="22" t="inlineStr">
        <is>
          <t>L.S.</t>
        </is>
      </c>
      <c r="D257" s="23" t="n">
        <v>49.7</v>
      </c>
      <c r="E257" s="24" t="n">
        <v>2</v>
      </c>
      <c r="F257" s="24">
        <f>D257*E257</f>
        <v/>
      </c>
      <c r="G257" s="22" t="n"/>
    </row>
    <row r="258">
      <c r="A258" s="8" t="inlineStr">
        <is>
          <t>Calculated W - SUM of the Amount column above</t>
        </is>
      </c>
      <c r="B258" s="9" t="n"/>
      <c r="C258" s="9" t="n"/>
      <c r="D258" s="9" t="n"/>
      <c r="E258" s="9" t="n"/>
      <c r="F258" s="25">
        <f>SUM(F249:F257)</f>
        <v/>
      </c>
      <c r="G258" s="9" t="n"/>
    </row>
    <row r="259">
      <c r="A259" s="26" t="inlineStr">
        <is>
          <t>W as printed in the DAR</t>
        </is>
      </c>
      <c r="B259" s="22" t="n"/>
      <c r="C259" s="22" t="n"/>
      <c r="D259" s="22" t="n"/>
      <c r="E259" s="22" t="n"/>
      <c r="F259" s="27" t="n">
        <v>7192.82</v>
      </c>
      <c r="G259" s="22" t="n"/>
    </row>
    <row r="260">
      <c r="A260" s="26" t="inlineStr">
        <is>
          <t>Difference (calculated - printed)</t>
        </is>
      </c>
      <c r="B260" s="22" t="n"/>
      <c r="C260" s="22" t="n"/>
      <c r="D260" s="22" t="n"/>
      <c r="E260" s="22" t="n"/>
      <c r="F260" s="27">
        <f>F258-F259</f>
        <v/>
      </c>
      <c r="G260" s="22" t="n"/>
    </row>
    <row r="261">
      <c r="A261" s="29" t="inlineStr">
        <is>
          <t>SAY (Rs.) - final DAR rate as printed (fixed value, not computed)</t>
        </is>
      </c>
      <c r="B261" s="30" t="n"/>
      <c r="C261" s="30" t="n"/>
      <c r="D261" s="30" t="n"/>
      <c r="E261" s="30" t="n"/>
      <c r="F261" s="31" t="n">
        <v>693.05</v>
      </c>
      <c r="G261" s="30" t="n"/>
    </row>
    <row r="263" ht="18.5" customHeight="1">
      <c r="A263" s="8" t="inlineStr">
        <is>
          <t>5.9</t>
        </is>
      </c>
      <c r="B263" s="17" t="inlineStr">
        <is>
          <t>Centering and shuttering including strutting, propping etc. and removal of form for</t>
        </is>
      </c>
      <c r="C263" s="9" t="n"/>
      <c r="D263" s="9" t="n"/>
      <c r="E263" s="9" t="n"/>
      <c r="F263" s="9" t="n"/>
      <c r="G263" s="9" t="n"/>
    </row>
    <row r="264" ht="18.5" customHeight="1">
      <c r="A264" s="18" t="inlineStr">
        <is>
          <t>5.9.5</t>
        </is>
      </c>
      <c r="B264" s="19" t="inlineStr">
        <is>
          <t>Lintels, beams, plinth beams, girders, bressumers and cantilevers Consider a beam of 6 m clear span,</t>
        </is>
      </c>
      <c r="C264" s="20" t="n"/>
      <c r="D264" s="20" t="n"/>
      <c r="E264" s="20" t="n"/>
      <c r="F264" s="20" t="n"/>
      <c r="G264" s="20" t="n"/>
    </row>
    <row r="265">
      <c r="A265" s="21" t="inlineStr">
        <is>
          <t>Details of cost for 7.8 sqm   |   Source: CivilDAR_2019_Vol_1.pdf, page 201</t>
        </is>
      </c>
    </row>
    <row r="266">
      <c r="A266" s="5" t="inlineStr">
        <is>
          <t>Code</t>
        </is>
      </c>
      <c r="B266" s="5" t="inlineStr">
        <is>
          <t>Description</t>
        </is>
      </c>
      <c r="C266" s="5" t="inlineStr">
        <is>
          <t>Unit</t>
        </is>
      </c>
      <c r="D266" s="5" t="inlineStr">
        <is>
          <t>Quantity</t>
        </is>
      </c>
      <c r="E266" s="5" t="inlineStr">
        <is>
          <t>Rate (Rs.)</t>
        </is>
      </c>
      <c r="F266" s="5" t="inlineStr">
        <is>
          <t>Amount (Rs.)</t>
        </is>
      </c>
      <c r="G266" s="5" t="inlineStr">
        <is>
          <t>Note</t>
        </is>
      </c>
    </row>
    <row r="267">
      <c r="A267" s="7" t="inlineStr">
        <is>
          <t>10.1</t>
        </is>
      </c>
      <c r="B267" s="11" t="inlineStr">
        <is>
          <t>Rate as per item 10.1 - Structural steel work in single section, fixed with or without connecting plate, including cutting, hoistin...</t>
        </is>
      </c>
      <c r="C267" s="22" t="inlineStr">
        <is>
          <t>kg</t>
        </is>
      </c>
      <c r="D267" s="23" t="n">
        <v>6.4356</v>
      </c>
      <c r="E267" s="24" t="n">
        <v>86.05</v>
      </c>
      <c r="F267" s="24">
        <f>D267*E267</f>
        <v/>
      </c>
      <c r="G267" s="22" t="n"/>
    </row>
    <row r="268">
      <c r="A268" s="22" t="inlineStr">
        <is>
          <t>7343</t>
        </is>
      </c>
      <c r="B268" s="11" t="inlineStr">
        <is>
          <t>Adjustable telescopic prop 3 m (2.02-3.75 m)</t>
        </is>
      </c>
      <c r="C268" s="22" t="inlineStr">
        <is>
          <t>each</t>
        </is>
      </c>
      <c r="D268" s="23" t="n">
        <v>0.1275</v>
      </c>
      <c r="E268" s="24" t="n">
        <v>955</v>
      </c>
      <c r="F268" s="24">
        <f>D268*E268</f>
        <v/>
      </c>
      <c r="G268" s="22" t="n"/>
    </row>
    <row r="269">
      <c r="A269" s="22" t="inlineStr">
        <is>
          <t>7344</t>
        </is>
      </c>
      <c r="B269" s="11" t="inlineStr">
        <is>
          <t>Beam clamp 300-380 mm (450-1070 mm) each</t>
        </is>
      </c>
      <c r="C269" s="22" t="inlineStr">
        <is>
          <t>set</t>
        </is>
      </c>
      <c r="D269" s="23" t="n">
        <v>0.1063</v>
      </c>
      <c r="E269" s="24" t="n">
        <v>355</v>
      </c>
      <c r="F269" s="24">
        <f>D269*E269</f>
        <v/>
      </c>
      <c r="G269" s="22" t="n"/>
    </row>
    <row r="270">
      <c r="A270" s="22" t="inlineStr">
        <is>
          <t>9999</t>
        </is>
      </c>
      <c r="B270" s="11" t="inlineStr">
        <is>
          <t>(iv) Assembly nut &amp; bolts etc.</t>
        </is>
      </c>
      <c r="C270" s="22" t="inlineStr">
        <is>
          <t>L.S.</t>
        </is>
      </c>
      <c r="D270" s="23" t="n">
        <v>22.1</v>
      </c>
      <c r="E270" s="24" t="n">
        <v>2</v>
      </c>
      <c r="F270" s="24">
        <f>D270*E270</f>
        <v/>
      </c>
      <c r="G270" s="22" t="n"/>
    </row>
    <row r="271">
      <c r="A271" s="22" t="inlineStr">
        <is>
          <t>9977</t>
        </is>
      </c>
      <c r="B271" s="11" t="inlineStr">
        <is>
          <t>Carriage</t>
        </is>
      </c>
      <c r="C271" s="22" t="inlineStr">
        <is>
          <t>L.S.</t>
        </is>
      </c>
      <c r="D271" s="23" t="n">
        <v>78</v>
      </c>
      <c r="E271" s="24" t="n">
        <v>2</v>
      </c>
      <c r="F271" s="24">
        <f>D271*E271</f>
        <v/>
      </c>
      <c r="G271" s="22" t="n"/>
    </row>
    <row r="272">
      <c r="A272" s="22" t="inlineStr">
        <is>
          <t>0116</t>
        </is>
      </c>
      <c r="B272" s="11" t="inlineStr">
        <is>
          <t>Fitter (grade 1)</t>
        </is>
      </c>
      <c r="C272" s="22" t="inlineStr">
        <is>
          <t>day</t>
        </is>
      </c>
      <c r="D272" s="23" t="n">
        <v>1.25</v>
      </c>
      <c r="E272" s="24" t="n">
        <v>738</v>
      </c>
      <c r="F272" s="24">
        <f>D272*E272</f>
        <v/>
      </c>
      <c r="G272" s="22" t="n"/>
    </row>
    <row r="273">
      <c r="A273" s="22" t="inlineStr">
        <is>
          <t>0114</t>
        </is>
      </c>
      <c r="B273" s="11" t="inlineStr">
        <is>
          <t>Beldar</t>
        </is>
      </c>
      <c r="C273" s="22" t="inlineStr">
        <is>
          <t>day</t>
        </is>
      </c>
      <c r="D273" s="23" t="n">
        <v>2.5</v>
      </c>
      <c r="E273" s="24" t="n">
        <v>558</v>
      </c>
      <c r="F273" s="24">
        <f>D273*E273</f>
        <v/>
      </c>
      <c r="G273" s="22" t="n"/>
    </row>
    <row r="274">
      <c r="A274" s="22" t="inlineStr">
        <is>
          <t>9999</t>
        </is>
      </c>
      <c r="B274" s="11" t="inlineStr">
        <is>
          <t>Shuttering oil</t>
        </is>
      </c>
      <c r="C274" s="22" t="inlineStr">
        <is>
          <t>L.S.</t>
        </is>
      </c>
      <c r="D274" s="23" t="n">
        <v>39</v>
      </c>
      <c r="E274" s="24" t="n">
        <v>2</v>
      </c>
      <c r="F274" s="24">
        <f>D274*E274</f>
        <v/>
      </c>
      <c r="G274" s="22" t="n"/>
    </row>
    <row r="275">
      <c r="A275" s="22" t="inlineStr">
        <is>
          <t>9999</t>
        </is>
      </c>
      <c r="B275" s="11" t="inlineStr">
        <is>
          <t>Sundries, paper tape etc.</t>
        </is>
      </c>
      <c r="C275" s="22" t="inlineStr">
        <is>
          <t>L.S.</t>
        </is>
      </c>
      <c r="D275" s="23" t="n">
        <v>24.61</v>
      </c>
      <c r="E275" s="24" t="n">
        <v>2</v>
      </c>
      <c r="F275" s="24">
        <f>D275*E275</f>
        <v/>
      </c>
      <c r="G275" s="22" t="n"/>
    </row>
    <row r="276">
      <c r="A276" s="8" t="inlineStr">
        <is>
          <t>Calculated W - SUM of the Amount column above</t>
        </is>
      </c>
      <c r="B276" s="9" t="n"/>
      <c r="C276" s="9" t="n"/>
      <c r="D276" s="9" t="n"/>
      <c r="E276" s="9" t="n"/>
      <c r="F276" s="25">
        <f>SUM(F267:F275)</f>
        <v/>
      </c>
      <c r="G276" s="9" t="n"/>
    </row>
    <row r="277">
      <c r="A277" s="26" t="inlineStr">
        <is>
          <t>W as printed in the DAR</t>
        </is>
      </c>
      <c r="B277" s="22" t="n"/>
      <c r="C277" s="22" t="n"/>
      <c r="D277" s="22" t="n"/>
      <c r="E277" s="22" t="n"/>
      <c r="F277" s="27" t="n">
        <v>3358.2</v>
      </c>
      <c r="G277" s="22" t="n"/>
    </row>
    <row r="278">
      <c r="A278" s="26" t="inlineStr">
        <is>
          <t>Difference (calculated - printed)</t>
        </is>
      </c>
      <c r="B278" s="22" t="n"/>
      <c r="C278" s="22" t="n"/>
      <c r="D278" s="22" t="n"/>
      <c r="E278" s="22" t="n"/>
      <c r="F278" s="27">
        <f>F276-F277</f>
        <v/>
      </c>
      <c r="G278" s="22" t="n"/>
    </row>
    <row r="279">
      <c r="A279" s="29" t="inlineStr">
        <is>
          <t>SAY (Rs.) - final DAR rate as printed (fixed value, not computed)</t>
        </is>
      </c>
      <c r="B279" s="30" t="n"/>
      <c r="C279" s="30" t="n"/>
      <c r="D279" s="30" t="n"/>
      <c r="E279" s="30" t="n"/>
      <c r="F279" s="31" t="n">
        <v>552.05</v>
      </c>
      <c r="G279" s="30" t="n"/>
    </row>
    <row r="281" ht="18.5" customHeight="1">
      <c r="A281" s="8" t="inlineStr">
        <is>
          <t>5.9</t>
        </is>
      </c>
      <c r="B281" s="17" t="inlineStr">
        <is>
          <t>Centering and shuttering including strutting, propping etc. and removal of form for</t>
        </is>
      </c>
      <c r="C281" s="9" t="n"/>
      <c r="D281" s="9" t="n"/>
      <c r="E281" s="9" t="n"/>
      <c r="F281" s="9" t="n"/>
      <c r="G281" s="9" t="n"/>
    </row>
    <row r="282" ht="18.5" customHeight="1">
      <c r="A282" s="18" t="inlineStr">
        <is>
          <t>5.9.6</t>
        </is>
      </c>
      <c r="B282" s="19" t="inlineStr">
        <is>
          <t>Columns, Pillars, Piers, Abutments, Posts and Struts</t>
        </is>
      </c>
      <c r="C282" s="20" t="n"/>
      <c r="D282" s="20" t="n"/>
      <c r="E282" s="20" t="n"/>
      <c r="F282" s="20" t="n"/>
      <c r="G282" s="20" t="n"/>
    </row>
    <row r="283">
      <c r="A283" s="21" t="inlineStr">
        <is>
          <t>Details of cost for 4.5 sqm   |   Source: CivilDAR_2019_Vol_1.pdf, page 202</t>
        </is>
      </c>
    </row>
    <row r="284">
      <c r="A284" s="5" t="inlineStr">
        <is>
          <t>Code</t>
        </is>
      </c>
      <c r="B284" s="5" t="inlineStr">
        <is>
          <t>Description</t>
        </is>
      </c>
      <c r="C284" s="5" t="inlineStr">
        <is>
          <t>Unit</t>
        </is>
      </c>
      <c r="D284" s="5" t="inlineStr">
        <is>
          <t>Quantity</t>
        </is>
      </c>
      <c r="E284" s="5" t="inlineStr">
        <is>
          <t>Rate (Rs.)</t>
        </is>
      </c>
      <c r="F284" s="5" t="inlineStr">
        <is>
          <t>Amount (Rs.)</t>
        </is>
      </c>
      <c r="G284" s="5" t="inlineStr">
        <is>
          <t>Note</t>
        </is>
      </c>
    </row>
    <row r="285">
      <c r="A285" s="22" t="inlineStr">
        <is>
          <t>7331</t>
        </is>
      </c>
      <c r="B285" s="11" t="inlineStr">
        <is>
          <t>Wall form panel 1250x450 mm</t>
        </is>
      </c>
      <c r="C285" s="22" t="inlineStr">
        <is>
          <t>each</t>
        </is>
      </c>
      <c r="D285" s="23" t="n">
        <v>0.17</v>
      </c>
      <c r="E285" s="24" t="n">
        <v>860</v>
      </c>
      <c r="F285" s="24">
        <f>D285*E285</f>
        <v/>
      </c>
      <c r="G285" s="22" t="n"/>
    </row>
    <row r="286">
      <c r="A286" s="22" t="inlineStr">
        <is>
          <t>7332</t>
        </is>
      </c>
      <c r="B286" s="11" t="inlineStr">
        <is>
          <t>Corner angle 45x45x5 m 2.50 m long</t>
        </is>
      </c>
      <c r="C286" s="22" t="inlineStr">
        <is>
          <t>each</t>
        </is>
      </c>
      <c r="D286" s="23" t="n">
        <v>0.08500000000000001</v>
      </c>
      <c r="E286" s="24" t="n">
        <v>255</v>
      </c>
      <c r="F286" s="24">
        <f>D286*E286</f>
        <v/>
      </c>
      <c r="G286" s="22" t="n"/>
    </row>
    <row r="287">
      <c r="A287" s="22" t="inlineStr">
        <is>
          <t>7333</t>
        </is>
      </c>
      <c r="B287" s="11" t="inlineStr">
        <is>
          <t>Column clamp 450x1070 m</t>
        </is>
      </c>
      <c r="C287" s="22" t="inlineStr">
        <is>
          <t>each</t>
        </is>
      </c>
      <c r="D287" s="23" t="n">
        <v>0.1063</v>
      </c>
      <c r="E287" s="24" t="n">
        <v>965</v>
      </c>
      <c r="F287" s="24">
        <f>D287*E287</f>
        <v/>
      </c>
      <c r="G287" s="22" t="n"/>
    </row>
    <row r="288">
      <c r="A288" s="22" t="inlineStr">
        <is>
          <t>7334</t>
        </is>
      </c>
      <c r="B288" s="11" t="inlineStr">
        <is>
          <t>Prop 2 m ( 2-3.5m)</t>
        </is>
      </c>
      <c r="C288" s="22" t="inlineStr">
        <is>
          <t>each</t>
        </is>
      </c>
      <c r="D288" s="23" t="n">
        <v>0.08500000000000001</v>
      </c>
      <c r="E288" s="24" t="n">
        <v>635</v>
      </c>
      <c r="F288" s="24">
        <f>D288*E288</f>
        <v/>
      </c>
      <c r="G288" s="22" t="n"/>
    </row>
    <row r="289">
      <c r="A289" s="22" t="inlineStr">
        <is>
          <t>9999</t>
        </is>
      </c>
      <c r="B289" s="11" t="inlineStr">
        <is>
          <t>Assembly nut &amp; bolt</t>
        </is>
      </c>
      <c r="C289" s="22" t="inlineStr">
        <is>
          <t>L.S.</t>
        </is>
      </c>
      <c r="D289" s="23" t="n">
        <v>27.62</v>
      </c>
      <c r="E289" s="24" t="n">
        <v>2</v>
      </c>
      <c r="F289" s="24">
        <f>D289*E289</f>
        <v/>
      </c>
      <c r="G289" s="22" t="n"/>
    </row>
    <row r="290">
      <c r="A290" s="22" t="inlineStr">
        <is>
          <t>9977</t>
        </is>
      </c>
      <c r="B290" s="11" t="inlineStr">
        <is>
          <t>Carriage</t>
        </is>
      </c>
      <c r="C290" s="22" t="inlineStr">
        <is>
          <t>L.S.</t>
        </is>
      </c>
      <c r="D290" s="23" t="n">
        <v>52</v>
      </c>
      <c r="E290" s="24" t="n">
        <v>2</v>
      </c>
      <c r="F290" s="24">
        <f>D290*E290</f>
        <v/>
      </c>
      <c r="G290" s="22" t="n"/>
    </row>
    <row r="291">
      <c r="A291" s="22" t="inlineStr">
        <is>
          <t>0116</t>
        </is>
      </c>
      <c r="B291" s="11" t="inlineStr">
        <is>
          <t>Fitter (grade 1)</t>
        </is>
      </c>
      <c r="C291" s="22" t="inlineStr">
        <is>
          <t>day</t>
        </is>
      </c>
      <c r="D291" s="23" t="n">
        <v>1</v>
      </c>
      <c r="E291" s="24" t="n">
        <v>738</v>
      </c>
      <c r="F291" s="24">
        <f>D291*E291</f>
        <v/>
      </c>
      <c r="G291" s="22" t="n"/>
    </row>
    <row r="292">
      <c r="A292" s="22" t="inlineStr">
        <is>
          <t>0114</t>
        </is>
      </c>
      <c r="B292" s="11" t="inlineStr">
        <is>
          <t>Beldar</t>
        </is>
      </c>
      <c r="C292" s="22" t="inlineStr">
        <is>
          <t>day</t>
        </is>
      </c>
      <c r="D292" s="23" t="n">
        <v>2</v>
      </c>
      <c r="E292" s="24" t="n">
        <v>558</v>
      </c>
      <c r="F292" s="24">
        <f>D292*E292</f>
        <v/>
      </c>
      <c r="G292" s="22" t="n"/>
    </row>
    <row r="293">
      <c r="A293" s="22" t="inlineStr">
        <is>
          <t>9999</t>
        </is>
      </c>
      <c r="B293" s="11" t="inlineStr">
        <is>
          <t>Shuttering oil</t>
        </is>
      </c>
      <c r="C293" s="22" t="inlineStr">
        <is>
          <t>L.S.</t>
        </is>
      </c>
      <c r="D293" s="23" t="n">
        <v>39</v>
      </c>
      <c r="E293" s="24" t="n">
        <v>2</v>
      </c>
      <c r="F293" s="24">
        <f>D293*E293</f>
        <v/>
      </c>
      <c r="G293" s="22" t="n"/>
    </row>
    <row r="294">
      <c r="A294" s="22" t="inlineStr">
        <is>
          <t>9977</t>
        </is>
      </c>
      <c r="B294" s="11" t="inlineStr">
        <is>
          <t>Carriage</t>
        </is>
      </c>
      <c r="C294" s="22" t="inlineStr">
        <is>
          <t>L.S.</t>
        </is>
      </c>
      <c r="D294" s="23" t="n">
        <v>26</v>
      </c>
      <c r="E294" s="24" t="n">
        <v>2</v>
      </c>
      <c r="F294" s="24">
        <f>D294*E294</f>
        <v/>
      </c>
      <c r="G294" s="22" t="n"/>
    </row>
    <row r="295">
      <c r="A295" s="8" t="inlineStr">
        <is>
          <t>Calculated W - SUM of the Amount column above</t>
        </is>
      </c>
      <c r="B295" s="9" t="n"/>
      <c r="C295" s="9" t="n"/>
      <c r="D295" s="9" t="n"/>
      <c r="E295" s="9" t="n"/>
      <c r="F295" s="25">
        <f>SUM(F285:F294)</f>
        <v/>
      </c>
      <c r="G295" s="9" t="n"/>
    </row>
    <row r="296">
      <c r="A296" s="26" t="inlineStr">
        <is>
          <t>W as printed in the DAR</t>
        </is>
      </c>
      <c r="B296" s="22" t="n"/>
      <c r="C296" s="22" t="n"/>
      <c r="D296" s="22" t="n"/>
      <c r="E296" s="22" t="n"/>
      <c r="F296" s="27" t="n">
        <v>2467.67</v>
      </c>
      <c r="G296" s="22" t="n"/>
    </row>
    <row r="297">
      <c r="A297" s="26" t="inlineStr">
        <is>
          <t>Difference (calculated - printed)</t>
        </is>
      </c>
      <c r="B297" s="22" t="n"/>
      <c r="C297" s="22" t="n"/>
      <c r="D297" s="22" t="n"/>
      <c r="E297" s="22" t="n"/>
      <c r="F297" s="27">
        <f>F295-F296</f>
        <v/>
      </c>
      <c r="G297" s="22" t="n"/>
    </row>
    <row r="298">
      <c r="A298" s="29" t="inlineStr">
        <is>
          <t>SAY (Rs.) - final DAR rate as printed (fixed value, not computed)</t>
        </is>
      </c>
      <c r="B298" s="30" t="n"/>
      <c r="C298" s="30" t="n"/>
      <c r="D298" s="30" t="n"/>
      <c r="E298" s="30" t="n"/>
      <c r="F298" s="31" t="n">
        <v>733.7</v>
      </c>
      <c r="G298" s="30" t="n"/>
    </row>
    <row r="300" ht="18.5" customHeight="1">
      <c r="A300" s="8" t="inlineStr">
        <is>
          <t>5.9</t>
        </is>
      </c>
      <c r="B300" s="17" t="inlineStr">
        <is>
          <t>Centering and shuttering including strutting, propping etc. and removal of form for</t>
        </is>
      </c>
      <c r="C300" s="9" t="n"/>
      <c r="D300" s="9" t="n"/>
      <c r="E300" s="9" t="n"/>
      <c r="F300" s="9" t="n"/>
      <c r="G300" s="9" t="n"/>
    </row>
    <row r="301" ht="18.5" customHeight="1">
      <c r="A301" s="18" t="inlineStr">
        <is>
          <t>5.9.7</t>
        </is>
      </c>
      <c r="B301" s="19" t="inlineStr">
        <is>
          <t>Stairs, (excluding landings) except spiral-staircases</t>
        </is>
      </c>
      <c r="C301" s="20" t="n"/>
      <c r="D301" s="20" t="n"/>
      <c r="E301" s="20" t="n"/>
      <c r="F301" s="20" t="n"/>
      <c r="G301" s="20" t="n"/>
    </row>
    <row r="302">
      <c r="A302" s="21" t="inlineStr">
        <is>
          <t>Details of cost for 5.79 sqm   |   Source: CivilDAR_2019_Vol_1.pdf, page 203</t>
        </is>
      </c>
    </row>
    <row r="303">
      <c r="A303" s="5" t="inlineStr">
        <is>
          <t>Code</t>
        </is>
      </c>
      <c r="B303" s="5" t="inlineStr">
        <is>
          <t>Description</t>
        </is>
      </c>
      <c r="C303" s="5" t="inlineStr">
        <is>
          <t>Unit</t>
        </is>
      </c>
      <c r="D303" s="5" t="inlineStr">
        <is>
          <t>Quantity</t>
        </is>
      </c>
      <c r="E303" s="5" t="inlineStr">
        <is>
          <t>Rate (Rs.)</t>
        </is>
      </c>
      <c r="F303" s="5" t="inlineStr">
        <is>
          <t>Amount (Rs.)</t>
        </is>
      </c>
      <c r="G303" s="5" t="inlineStr">
        <is>
          <t>Note</t>
        </is>
      </c>
    </row>
    <row r="304">
      <c r="A304" s="22" t="inlineStr">
        <is>
          <t>1198</t>
        </is>
      </c>
      <c r="B304" s="11" t="inlineStr">
        <is>
          <t>Second class kail wood in planks</t>
        </is>
      </c>
      <c r="C304" s="22" t="inlineStr">
        <is>
          <t>10 cudm</t>
        </is>
      </c>
      <c r="D304" s="23" t="n">
        <v>2.8875</v>
      </c>
      <c r="E304" s="24" t="n">
        <v>260</v>
      </c>
      <c r="F304" s="24">
        <f>D304*E304</f>
        <v/>
      </c>
      <c r="G304" s="22" t="n"/>
    </row>
    <row r="305">
      <c r="A305" s="22" t="inlineStr">
        <is>
          <t>1197</t>
        </is>
      </c>
      <c r="B305" s="11" t="inlineStr">
        <is>
          <t>Second class kail wood in scantling</t>
        </is>
      </c>
      <c r="C305" s="22" t="inlineStr">
        <is>
          <t>10 cudm</t>
        </is>
      </c>
      <c r="D305" s="23" t="n">
        <v>0.4875</v>
      </c>
      <c r="E305" s="24" t="n">
        <v>260</v>
      </c>
      <c r="F305" s="24">
        <f>D305*E305</f>
        <v/>
      </c>
      <c r="G305" s="22" t="n"/>
    </row>
    <row r="306">
      <c r="A306" s="22" t="inlineStr">
        <is>
          <t>0302</t>
        </is>
      </c>
      <c r="B306" s="11" t="inlineStr">
        <is>
          <t>Safeda ballies 125 mm diameter</t>
        </is>
      </c>
      <c r="C306" s="22" t="inlineStr">
        <is>
          <t>metre</t>
        </is>
      </c>
      <c r="D306" s="23" t="n">
        <v>0.8</v>
      </c>
      <c r="E306" s="24" t="n">
        <v>40</v>
      </c>
      <c r="F306" s="24">
        <f>D306*E306</f>
        <v/>
      </c>
      <c r="G306" s="22" t="n"/>
    </row>
    <row r="307">
      <c r="A307" s="22" t="inlineStr">
        <is>
          <t>2204</t>
        </is>
      </c>
      <c r="B307" s="11" t="inlineStr">
        <is>
          <t>Carriage of Timber</t>
        </is>
      </c>
      <c r="C307" s="22" t="inlineStr">
        <is>
          <t>cum</t>
        </is>
      </c>
      <c r="D307" s="23" t="n">
        <v>0.04363</v>
      </c>
      <c r="E307" s="24" t="n">
        <v>118.59</v>
      </c>
      <c r="F307" s="24">
        <f>D307*E307</f>
        <v/>
      </c>
      <c r="G307" s="22" t="n"/>
    </row>
    <row r="308">
      <c r="A308" s="22" t="inlineStr">
        <is>
          <t>0112</t>
        </is>
      </c>
      <c r="B308" s="11" t="inlineStr">
        <is>
          <t>Carpenter 2nd class</t>
        </is>
      </c>
      <c r="C308" s="22" t="inlineStr">
        <is>
          <t>day</t>
        </is>
      </c>
      <c r="D308" s="23" t="n">
        <v>1.75</v>
      </c>
      <c r="E308" s="24" t="n">
        <v>679</v>
      </c>
      <c r="F308" s="24">
        <f>D308*E308</f>
        <v/>
      </c>
      <c r="G308" s="22" t="n"/>
    </row>
    <row r="309">
      <c r="A309" s="22" t="inlineStr">
        <is>
          <t>0114</t>
        </is>
      </c>
      <c r="B309" s="11" t="inlineStr">
        <is>
          <t>Beldar</t>
        </is>
      </c>
      <c r="C309" s="22" t="inlineStr">
        <is>
          <t>day</t>
        </is>
      </c>
      <c r="D309" s="23" t="n">
        <v>1</v>
      </c>
      <c r="E309" s="24" t="n">
        <v>558</v>
      </c>
      <c r="F309" s="24">
        <f>D309*E309</f>
        <v/>
      </c>
      <c r="G309" s="22" t="n"/>
    </row>
    <row r="310">
      <c r="A310" s="22" t="inlineStr">
        <is>
          <t>9999</t>
        </is>
      </c>
      <c r="B310" s="11" t="inlineStr">
        <is>
          <t>Sundries</t>
        </is>
      </c>
      <c r="C310" s="22" t="inlineStr">
        <is>
          <t>L.S.</t>
        </is>
      </c>
      <c r="D310" s="23" t="n">
        <v>16.12</v>
      </c>
      <c r="E310" s="24" t="n">
        <v>2</v>
      </c>
      <c r="F310" s="24">
        <f>D310*E310</f>
        <v/>
      </c>
      <c r="G310" s="22" t="n"/>
    </row>
    <row r="311">
      <c r="A311" s="8" t="inlineStr">
        <is>
          <t>Calculated W - SUM of the Amount column above</t>
        </is>
      </c>
      <c r="B311" s="9" t="n"/>
      <c r="C311" s="9" t="n"/>
      <c r="D311" s="9" t="n"/>
      <c r="E311" s="9" t="n"/>
      <c r="F311" s="25">
        <f>SUM(F304:F310)</f>
        <v/>
      </c>
      <c r="G311" s="9" t="n"/>
    </row>
    <row r="312">
      <c r="A312" s="26" t="inlineStr">
        <is>
          <t>W as printed in the DAR</t>
        </is>
      </c>
      <c r="B312" s="22" t="n"/>
      <c r="C312" s="22" t="n"/>
      <c r="D312" s="22" t="n"/>
      <c r="E312" s="22" t="n"/>
      <c r="F312" s="27" t="n">
        <v>2693.16</v>
      </c>
      <c r="G312" s="22" t="n"/>
    </row>
    <row r="313">
      <c r="A313" s="26" t="inlineStr">
        <is>
          <t>Difference (calculated - printed)</t>
        </is>
      </c>
      <c r="B313" s="22" t="n"/>
      <c r="C313" s="22" t="n"/>
      <c r="D313" s="22" t="n"/>
      <c r="E313" s="22" t="n"/>
      <c r="F313" s="27">
        <f>F311-F312</f>
        <v/>
      </c>
      <c r="G313" s="22" t="n"/>
    </row>
    <row r="314">
      <c r="A314" s="29" t="inlineStr">
        <is>
          <t>SAY (Rs.) - final DAR rate as printed (fixed value, not computed)</t>
        </is>
      </c>
      <c r="B314" s="30" t="n"/>
      <c r="C314" s="30" t="n"/>
      <c r="D314" s="30" t="n"/>
      <c r="E314" s="30" t="n"/>
      <c r="F314" s="31" t="n">
        <v>622.35</v>
      </c>
      <c r="G314" s="30" t="n"/>
    </row>
    <row r="316" ht="18.5" customHeight="1">
      <c r="A316" s="8" t="inlineStr">
        <is>
          <t>5.9</t>
        </is>
      </c>
      <c r="B316" s="17" t="inlineStr">
        <is>
          <t>Centering and shuttering including strutting, propping etc. and removal of form for</t>
        </is>
      </c>
      <c r="C316" s="9" t="n"/>
      <c r="D316" s="9" t="n"/>
      <c r="E316" s="9" t="n"/>
      <c r="F316" s="9" t="n"/>
      <c r="G316" s="9" t="n"/>
    </row>
    <row r="317" ht="18.5" customHeight="1">
      <c r="A317" s="18" t="inlineStr">
        <is>
          <t>5.9.8</t>
        </is>
      </c>
      <c r="B317" s="19" t="inlineStr">
        <is>
          <t>Spiral staircases (including landing)</t>
        </is>
      </c>
      <c r="C317" s="20" t="n"/>
      <c r="D317" s="20" t="n"/>
      <c r="E317" s="20" t="n"/>
      <c r="F317" s="20" t="n"/>
      <c r="G317" s="20" t="n"/>
    </row>
    <row r="318">
      <c r="A318" s="21" t="inlineStr">
        <is>
          <t>Details of cost for 6.28 sqm   |   Source: CivilDAR_2019_Vol_1.pdf, page 204</t>
        </is>
      </c>
    </row>
    <row r="319">
      <c r="A319" s="5" t="inlineStr">
        <is>
          <t>Code</t>
        </is>
      </c>
      <c r="B319" s="5" t="inlineStr">
        <is>
          <t>Description</t>
        </is>
      </c>
      <c r="C319" s="5" t="inlineStr">
        <is>
          <t>Unit</t>
        </is>
      </c>
      <c r="D319" s="5" t="inlineStr">
        <is>
          <t>Quantity</t>
        </is>
      </c>
      <c r="E319" s="5" t="inlineStr">
        <is>
          <t>Rate (Rs.)</t>
        </is>
      </c>
      <c r="F319" s="5" t="inlineStr">
        <is>
          <t>Amount (Rs.)</t>
        </is>
      </c>
      <c r="G319" s="5" t="inlineStr">
        <is>
          <t>Note</t>
        </is>
      </c>
    </row>
    <row r="320">
      <c r="A320" s="7" t="inlineStr">
        <is>
          <t>5.9.5</t>
        </is>
      </c>
      <c r="B320" s="11" t="inlineStr">
        <is>
          <t>Rate as per item 5.9.5 - Centering and shuttering including strutting, propping etc. and removal of form for - Lintels, beams, plint...</t>
        </is>
      </c>
      <c r="C320" s="22" t="inlineStr">
        <is>
          <t>sqm</t>
        </is>
      </c>
      <c r="D320" s="23" t="n">
        <v>1.4</v>
      </c>
      <c r="E320" s="24" t="n">
        <v>552.05</v>
      </c>
      <c r="F320" s="24">
        <f>D320*E320</f>
        <v/>
      </c>
      <c r="G320" s="22" t="n"/>
    </row>
    <row r="321">
      <c r="A321" s="7" t="inlineStr">
        <is>
          <t>5.9.2</t>
        </is>
      </c>
      <c r="B321" s="11" t="inlineStr">
        <is>
          <t>Rate as per item 5.9.2 - Centering and shuttering including strutting, propping etc. and removal of form for - Walls (any thickness)...</t>
        </is>
      </c>
      <c r="C321" s="22" t="inlineStr">
        <is>
          <t>sqm</t>
        </is>
      </c>
      <c r="D321" s="23" t="n">
        <v>3.22</v>
      </c>
      <c r="E321" s="24" t="n">
        <v>609.3</v>
      </c>
      <c r="F321" s="24">
        <f>D321*E321</f>
        <v/>
      </c>
      <c r="G321" s="22" t="n"/>
    </row>
    <row r="322">
      <c r="A322" s="7" t="inlineStr">
        <is>
          <t>5.9.7</t>
        </is>
      </c>
      <c r="B322" s="11" t="inlineStr">
        <is>
          <t>Rate as per item 5.9.7 - Centering and shuttering including strutting, propping etc. and removal of form for - Stairs, (excluding la...</t>
        </is>
      </c>
      <c r="C322" s="22" t="inlineStr">
        <is>
          <t>sqm</t>
        </is>
      </c>
      <c r="D322" s="23" t="n">
        <v>1.66</v>
      </c>
      <c r="E322" s="24" t="n">
        <v>622.35</v>
      </c>
      <c r="F322" s="24">
        <f>D322*E322</f>
        <v/>
      </c>
      <c r="G322" s="22" t="n"/>
    </row>
    <row r="323">
      <c r="A323" s="8" t="inlineStr">
        <is>
          <t>Calculated W - SUM of the Amount column above</t>
        </is>
      </c>
      <c r="B323" s="9" t="n"/>
      <c r="C323" s="9" t="n"/>
      <c r="D323" s="9" t="n"/>
      <c r="E323" s="9" t="n"/>
      <c r="F323" s="25">
        <f>SUM(F320:F322)</f>
        <v/>
      </c>
      <c r="G323" s="9" t="n"/>
    </row>
    <row r="324">
      <c r="A324" s="26" t="inlineStr">
        <is>
          <t>W as printed in the DAR</t>
        </is>
      </c>
      <c r="B324" s="22" t="n"/>
      <c r="C324" s="22" t="n"/>
      <c r="D324" s="22" t="n"/>
      <c r="E324" s="22" t="n"/>
      <c r="F324" s="27" t="inlineStr">
        <is>
          <t>not printed</t>
        </is>
      </c>
      <c r="G324" s="28" t="inlineStr">
        <is>
          <t>This item prints no W (rate table or sub-analysis).</t>
        </is>
      </c>
    </row>
    <row r="325">
      <c r="A325" s="29" t="inlineStr">
        <is>
          <t>SAY (Rs.) - final DAR rate as printed (fixed value, not computed)</t>
        </is>
      </c>
      <c r="B325" s="30" t="n"/>
      <c r="C325" s="30" t="n"/>
      <c r="D325" s="30" t="n"/>
      <c r="E325" s="30" t="n"/>
      <c r="F325" s="31" t="n">
        <v>600</v>
      </c>
      <c r="G325" s="30" t="n"/>
    </row>
    <row r="327" ht="18.5" customHeight="1">
      <c r="A327" s="8" t="inlineStr">
        <is>
          <t>5.9</t>
        </is>
      </c>
      <c r="B327" s="17" t="inlineStr">
        <is>
          <t>Centering and shuttering including strutting, propping etc. and removal of form for</t>
        </is>
      </c>
      <c r="C327" s="9" t="n"/>
      <c r="D327" s="9" t="n"/>
      <c r="E327" s="9" t="n"/>
      <c r="F327" s="9" t="n"/>
      <c r="G327" s="9" t="n"/>
    </row>
    <row r="328" ht="18.5" customHeight="1">
      <c r="A328" s="18" t="inlineStr">
        <is>
          <t>5.9.9</t>
        </is>
      </c>
      <c r="B328" s="19" t="inlineStr">
        <is>
          <t>Arches, domes, vaults up to 6 m span</t>
        </is>
      </c>
      <c r="C328" s="20" t="n"/>
      <c r="D328" s="20" t="n"/>
      <c r="E328" s="20" t="n"/>
      <c r="F328" s="20" t="n"/>
      <c r="G328" s="20" t="n"/>
    </row>
    <row r="329">
      <c r="A329" s="21" t="inlineStr">
        <is>
          <t>Details of cost for 20.37 sqm   |   Source: CivilDAR_2019_Vol_1.pdf, page 205</t>
        </is>
      </c>
    </row>
    <row r="330">
      <c r="A330" s="5" t="inlineStr">
        <is>
          <t>Code</t>
        </is>
      </c>
      <c r="B330" s="5" t="inlineStr">
        <is>
          <t>Description</t>
        </is>
      </c>
      <c r="C330" s="5" t="inlineStr">
        <is>
          <t>Unit</t>
        </is>
      </c>
      <c r="D330" s="5" t="inlineStr">
        <is>
          <t>Quantity</t>
        </is>
      </c>
      <c r="E330" s="5" t="inlineStr">
        <is>
          <t>Rate (Rs.)</t>
        </is>
      </c>
      <c r="F330" s="5" t="inlineStr">
        <is>
          <t>Amount (Rs.)</t>
        </is>
      </c>
      <c r="G330" s="5" t="inlineStr">
        <is>
          <t>Note</t>
        </is>
      </c>
    </row>
    <row r="331">
      <c r="A331" s="22" t="inlineStr">
        <is>
          <t>1197</t>
        </is>
      </c>
      <c r="B331" s="11" t="inlineStr">
        <is>
          <t>Second class kail wood in scantling</t>
        </is>
      </c>
      <c r="C331" s="22" t="inlineStr">
        <is>
          <t>10 cudm</t>
        </is>
      </c>
      <c r="D331" s="23" t="n">
        <v>25.625</v>
      </c>
      <c r="E331" s="24" t="n">
        <v>260</v>
      </c>
      <c r="F331" s="24">
        <f>D331*E331</f>
        <v/>
      </c>
      <c r="G331" s="22" t="n"/>
    </row>
    <row r="332">
      <c r="A332" s="22" t="inlineStr">
        <is>
          <t>0302</t>
        </is>
      </c>
      <c r="B332" s="11" t="inlineStr">
        <is>
          <t>Safeda ballies 125 mm diameter</t>
        </is>
      </c>
      <c r="C332" s="22" t="inlineStr">
        <is>
          <t>metre</t>
        </is>
      </c>
      <c r="D332" s="23" t="n">
        <v>12.6</v>
      </c>
      <c r="E332" s="24" t="n">
        <v>40</v>
      </c>
      <c r="F332" s="24">
        <f>D332*E332</f>
        <v/>
      </c>
      <c r="G332" s="22" t="n"/>
    </row>
    <row r="333">
      <c r="A333" s="22" t="inlineStr">
        <is>
          <t>0992</t>
        </is>
      </c>
      <c r="B333" s="11" t="inlineStr">
        <is>
          <t>Galvanised steel plain sheets</t>
        </is>
      </c>
      <c r="C333" s="22" t="inlineStr">
        <is>
          <t>quintal</t>
        </is>
      </c>
      <c r="D333" s="23" t="n">
        <v>0.145</v>
      </c>
      <c r="E333" s="24" t="n">
        <v>5000</v>
      </c>
      <c r="F333" s="24">
        <f>D333*E333</f>
        <v/>
      </c>
      <c r="G333" s="22" t="n"/>
    </row>
    <row r="334">
      <c r="A334" s="22" t="inlineStr">
        <is>
          <t>2204</t>
        </is>
      </c>
      <c r="B334" s="11" t="inlineStr">
        <is>
          <t>Carriage of Timber</t>
        </is>
      </c>
      <c r="C334" s="22" t="inlineStr">
        <is>
          <t>cum</t>
        </is>
      </c>
      <c r="D334" s="23" t="n">
        <v>0.4112</v>
      </c>
      <c r="E334" s="24" t="n">
        <v>118.59</v>
      </c>
      <c r="F334" s="24">
        <f>D334*E334</f>
        <v/>
      </c>
      <c r="G334" s="22" t="n"/>
    </row>
    <row r="335">
      <c r="A335" s="22" t="inlineStr">
        <is>
          <t>2302</t>
        </is>
      </c>
      <c r="B335" s="11" t="inlineStr">
        <is>
          <t>Carriage of G.I.sheet and accessories</t>
        </is>
      </c>
      <c r="C335" s="22" t="inlineStr">
        <is>
          <t>tonne</t>
        </is>
      </c>
      <c r="D335" s="23" t="n">
        <v>0.0145</v>
      </c>
      <c r="E335" s="24" t="n">
        <v>92.23999999999999</v>
      </c>
      <c r="F335" s="24">
        <f>D335*E335</f>
        <v/>
      </c>
      <c r="G335" s="22" t="n"/>
    </row>
    <row r="336">
      <c r="A336" s="22" t="inlineStr">
        <is>
          <t>0112</t>
        </is>
      </c>
      <c r="B336" s="11" t="inlineStr">
        <is>
          <t>Carpenter 2nd class</t>
        </is>
      </c>
      <c r="C336" s="22" t="inlineStr">
        <is>
          <t>day</t>
        </is>
      </c>
      <c r="D336" s="23" t="n">
        <v>16</v>
      </c>
      <c r="E336" s="24" t="n">
        <v>679</v>
      </c>
      <c r="F336" s="24">
        <f>D336*E336</f>
        <v/>
      </c>
      <c r="G336" s="22" t="n"/>
    </row>
    <row r="337">
      <c r="A337" s="22" t="inlineStr">
        <is>
          <t>0114</t>
        </is>
      </c>
      <c r="B337" s="11" t="inlineStr">
        <is>
          <t>Beldar</t>
        </is>
      </c>
      <c r="C337" s="22" t="inlineStr">
        <is>
          <t>day</t>
        </is>
      </c>
      <c r="D337" s="23" t="n">
        <v>13</v>
      </c>
      <c r="E337" s="24" t="n">
        <v>558</v>
      </c>
      <c r="F337" s="24">
        <f>D337*E337</f>
        <v/>
      </c>
      <c r="G337" s="22" t="n"/>
    </row>
    <row r="338">
      <c r="A338" s="22" t="inlineStr">
        <is>
          <t>9999</t>
        </is>
      </c>
      <c r="B338" s="11" t="inlineStr">
        <is>
          <t>Sundries</t>
        </is>
      </c>
      <c r="C338" s="22" t="inlineStr">
        <is>
          <t>L.S.</t>
        </is>
      </c>
      <c r="D338" s="23" t="n">
        <v>11.7</v>
      </c>
      <c r="E338" s="24" t="n">
        <v>2</v>
      </c>
      <c r="F338" s="24">
        <f>D338*E338</f>
        <v/>
      </c>
      <c r="G338" s="22" t="n"/>
    </row>
    <row r="339">
      <c r="A339" s="8" t="inlineStr">
        <is>
          <t>Calculated W - SUM of the Amount column above</t>
        </is>
      </c>
      <c r="B339" s="9" t="n"/>
      <c r="C339" s="9" t="n"/>
      <c r="D339" s="9" t="n"/>
      <c r="E339" s="9" t="n"/>
      <c r="F339" s="25">
        <f>SUM(F331:F338)</f>
        <v/>
      </c>
      <c r="G339" s="9" t="n"/>
    </row>
    <row r="340">
      <c r="A340" s="26" t="inlineStr">
        <is>
          <t>W as printed in the DAR</t>
        </is>
      </c>
      <c r="B340" s="22" t="n"/>
      <c r="C340" s="22" t="n"/>
      <c r="D340" s="22" t="n"/>
      <c r="E340" s="22" t="n"/>
      <c r="F340" s="27" t="n">
        <v>26083</v>
      </c>
      <c r="G340" s="22" t="n"/>
    </row>
    <row r="341">
      <c r="A341" s="26" t="inlineStr">
        <is>
          <t>Difference (calculated - printed)</t>
        </is>
      </c>
      <c r="B341" s="22" t="n"/>
      <c r="C341" s="22" t="n"/>
      <c r="D341" s="22" t="n"/>
      <c r="E341" s="22" t="n"/>
      <c r="F341" s="27">
        <f>F339-F340</f>
        <v/>
      </c>
      <c r="G341" s="22" t="n"/>
    </row>
    <row r="342">
      <c r="A342" s="29" t="inlineStr">
        <is>
          <t>SAY (Rs.) - final DAR rate as printed (fixed value, not computed)</t>
        </is>
      </c>
      <c r="B342" s="30" t="n"/>
      <c r="C342" s="30" t="n"/>
      <c r="D342" s="30" t="n"/>
      <c r="E342" s="30" t="n"/>
      <c r="F342" s="31" t="n">
        <v>1713.2</v>
      </c>
      <c r="G342" s="30" t="n"/>
    </row>
    <row r="344" ht="18.5" customHeight="1">
      <c r="A344" s="8" t="inlineStr">
        <is>
          <t>5.9</t>
        </is>
      </c>
      <c r="B344" s="17" t="inlineStr">
        <is>
          <t>Centering and shuttering including strutting, propping etc. and removal of form for</t>
        </is>
      </c>
      <c r="C344" s="9" t="n"/>
      <c r="D344" s="9" t="n"/>
      <c r="E344" s="9" t="n"/>
      <c r="F344" s="9" t="n"/>
      <c r="G344" s="9" t="n"/>
    </row>
    <row r="345" ht="18.5" customHeight="1">
      <c r="A345" s="18" t="inlineStr">
        <is>
          <t>5.9.10</t>
        </is>
      </c>
      <c r="B345" s="19" t="inlineStr">
        <is>
          <t>Extra for arches, domes, vaults exceeding 6 m span</t>
        </is>
      </c>
      <c r="C345" s="20" t="n"/>
      <c r="D345" s="20" t="n"/>
      <c r="E345" s="20" t="n"/>
      <c r="F345" s="20" t="n"/>
      <c r="G345" s="20" t="n"/>
    </row>
    <row r="346">
      <c r="A346" s="21" t="inlineStr">
        <is>
          <t>Details of cost for 33.31 sqm   |   Source: CivilDAR_2019_Vol_1.pdf, page 206</t>
        </is>
      </c>
    </row>
    <row r="347">
      <c r="A347" s="5" t="inlineStr">
        <is>
          <t>Code</t>
        </is>
      </c>
      <c r="B347" s="5" t="inlineStr">
        <is>
          <t>Description</t>
        </is>
      </c>
      <c r="C347" s="5" t="inlineStr">
        <is>
          <t>Unit</t>
        </is>
      </c>
      <c r="D347" s="5" t="inlineStr">
        <is>
          <t>Quantity</t>
        </is>
      </c>
      <c r="E347" s="5" t="inlineStr">
        <is>
          <t>Rate (Rs.)</t>
        </is>
      </c>
      <c r="F347" s="5" t="inlineStr">
        <is>
          <t>Amount (Rs.)</t>
        </is>
      </c>
      <c r="G347" s="5" t="inlineStr">
        <is>
          <t>Note</t>
        </is>
      </c>
    </row>
    <row r="348">
      <c r="A348" s="22" t="inlineStr">
        <is>
          <t>1197</t>
        </is>
      </c>
      <c r="B348" s="11" t="inlineStr">
        <is>
          <t>Second class kail wood in scantling</t>
        </is>
      </c>
      <c r="C348" s="22" t="inlineStr">
        <is>
          <t>10 cudm</t>
        </is>
      </c>
      <c r="D348" s="23" t="n">
        <v>88.79000000000001</v>
      </c>
      <c r="E348" s="24" t="n">
        <v>260</v>
      </c>
      <c r="F348" s="24">
        <f>D348*E348</f>
        <v/>
      </c>
      <c r="G348" s="22" t="n"/>
    </row>
    <row r="349">
      <c r="A349" s="22" t="inlineStr">
        <is>
          <t>2204</t>
        </is>
      </c>
      <c r="B349" s="11" t="inlineStr">
        <is>
          <t>Carriage of Timber</t>
        </is>
      </c>
      <c r="C349" s="22" t="inlineStr">
        <is>
          <t>cum</t>
        </is>
      </c>
      <c r="D349" s="23" t="n">
        <v>0.8879</v>
      </c>
      <c r="E349" s="24" t="n">
        <v>118.59</v>
      </c>
      <c r="F349" s="24">
        <f>D349*E349</f>
        <v/>
      </c>
      <c r="G349" s="22" t="n"/>
    </row>
    <row r="350">
      <c r="A350" s="22" t="inlineStr">
        <is>
          <t>1225</t>
        </is>
      </c>
      <c r="B350" s="11" t="inlineStr">
        <is>
          <t>Mild steel flat strap fitting</t>
        </is>
      </c>
      <c r="C350" s="22" t="inlineStr">
        <is>
          <t>quintal</t>
        </is>
      </c>
      <c r="D350" s="23" t="n">
        <v>0.0878</v>
      </c>
      <c r="E350" s="24" t="n">
        <v>4120</v>
      </c>
      <c r="F350" s="24">
        <f>D350*E350</f>
        <v/>
      </c>
      <c r="G350" s="22" t="n"/>
    </row>
    <row r="351">
      <c r="A351" s="22" t="inlineStr">
        <is>
          <t>1034</t>
        </is>
      </c>
      <c r="B351" s="11" t="inlineStr">
        <is>
          <t>Bolts and nuts upto 300 mm in length</t>
        </is>
      </c>
      <c r="C351" s="22" t="inlineStr">
        <is>
          <t>quintal</t>
        </is>
      </c>
      <c r="D351" s="23" t="n">
        <v>0.08</v>
      </c>
      <c r="E351" s="24" t="n">
        <v>4800</v>
      </c>
      <c r="F351" s="24">
        <f>D351*E351</f>
        <v/>
      </c>
      <c r="G351" s="22" t="n"/>
    </row>
    <row r="352">
      <c r="A352" s="22" t="inlineStr">
        <is>
          <t>2302</t>
        </is>
      </c>
      <c r="B352" s="11" t="inlineStr">
        <is>
          <t>Carriage of G.I.sheet and accessories</t>
        </is>
      </c>
      <c r="C352" s="22" t="inlineStr">
        <is>
          <t>tonne</t>
        </is>
      </c>
      <c r="D352" s="23" t="n">
        <v>0.0168</v>
      </c>
      <c r="E352" s="24" t="n">
        <v>92.23999999999999</v>
      </c>
      <c r="F352" s="24">
        <f>D352*E352</f>
        <v/>
      </c>
      <c r="G352" s="22" t="n"/>
    </row>
    <row r="353">
      <c r="A353" s="22" t="inlineStr">
        <is>
          <t>0112</t>
        </is>
      </c>
      <c r="B353" s="11" t="inlineStr">
        <is>
          <t>Carpenter 2nd class</t>
        </is>
      </c>
      <c r="C353" s="22" t="inlineStr">
        <is>
          <t>day</t>
        </is>
      </c>
      <c r="D353" s="23" t="n">
        <v>28</v>
      </c>
      <c r="E353" s="24" t="n">
        <v>679</v>
      </c>
      <c r="F353" s="24">
        <f>D353*E353</f>
        <v/>
      </c>
      <c r="G353" s="22" t="n"/>
    </row>
    <row r="354">
      <c r="A354" s="22" t="inlineStr">
        <is>
          <t>0114</t>
        </is>
      </c>
      <c r="B354" s="11" t="inlineStr">
        <is>
          <t>Beldar</t>
        </is>
      </c>
      <c r="C354" s="22" t="inlineStr">
        <is>
          <t>day</t>
        </is>
      </c>
      <c r="D354" s="23" t="n">
        <v>24</v>
      </c>
      <c r="E354" s="24" t="n">
        <v>558</v>
      </c>
      <c r="F354" s="24">
        <f>D354*E354</f>
        <v/>
      </c>
      <c r="G354" s="22" t="n"/>
    </row>
    <row r="355">
      <c r="A355" s="22" t="inlineStr">
        <is>
          <t>9999</t>
        </is>
      </c>
      <c r="B355" s="11" t="inlineStr">
        <is>
          <t>Sundries</t>
        </is>
      </c>
      <c r="C355" s="22" t="inlineStr">
        <is>
          <t>L.S.</t>
        </is>
      </c>
      <c r="D355" s="23" t="n">
        <v>134.55</v>
      </c>
      <c r="E355" s="24" t="n">
        <v>2</v>
      </c>
      <c r="F355" s="24">
        <f>D355*E355</f>
        <v/>
      </c>
      <c r="G355" s="22" t="n"/>
    </row>
    <row r="356">
      <c r="A356" s="7" t="inlineStr">
        <is>
          <t>5.9.9</t>
        </is>
      </c>
      <c r="B356" s="11" t="inlineStr">
        <is>
          <t>Rate as per item 5.9.9 - Centering and shuttering including strutting, propping etc. and removal of form for - Arches, domes, vaults...</t>
        </is>
      </c>
      <c r="C356" s="22" t="inlineStr">
        <is>
          <t>sqm</t>
        </is>
      </c>
      <c r="D356" s="23" t="n">
        <v>-33.31</v>
      </c>
      <c r="E356" s="24" t="n">
        <v>1713.2</v>
      </c>
      <c r="F356" s="24">
        <f>D356*E356</f>
        <v/>
      </c>
      <c r="G356" s="22" t="n"/>
    </row>
    <row r="357">
      <c r="A357" s="8" t="inlineStr">
        <is>
          <t>Calculated W - SUM of the Amount column above</t>
        </is>
      </c>
      <c r="B357" s="9" t="n"/>
      <c r="C357" s="9" t="n"/>
      <c r="D357" s="9" t="n"/>
      <c r="E357" s="9" t="n"/>
      <c r="F357" s="25">
        <f>SUM(F348:F356)</f>
        <v/>
      </c>
      <c r="G357" s="9" t="n"/>
    </row>
    <row r="358">
      <c r="A358" s="26" t="inlineStr">
        <is>
          <t>W as printed in the DAR</t>
        </is>
      </c>
      <c r="B358" s="22" t="n"/>
      <c r="C358" s="22" t="n"/>
      <c r="D358" s="22" t="n"/>
      <c r="E358" s="22" t="n"/>
      <c r="F358" s="27" t="n">
        <v>-455.61</v>
      </c>
      <c r="G358" s="22" t="n"/>
    </row>
    <row r="359">
      <c r="A359" s="26" t="inlineStr">
        <is>
          <t>Difference (calculated - printed)</t>
        </is>
      </c>
      <c r="B359" s="22" t="n"/>
      <c r="C359" s="22" t="n"/>
      <c r="D359" s="22" t="n"/>
      <c r="E359" s="22" t="n"/>
      <c r="F359" s="27">
        <f>F357-F358</f>
        <v/>
      </c>
      <c r="G359" s="22" t="n"/>
    </row>
    <row r="360">
      <c r="A360" s="29" t="inlineStr">
        <is>
          <t>SAY (Rs.) - final DAR rate as printed (fixed value, not computed)</t>
        </is>
      </c>
      <c r="B360" s="30" t="n"/>
      <c r="C360" s="30" t="n"/>
      <c r="D360" s="30" t="n"/>
      <c r="E360" s="30" t="n"/>
      <c r="F360" s="31" t="n">
        <v>560.65</v>
      </c>
      <c r="G360" s="30" t="n"/>
    </row>
    <row r="362" ht="18.5" customHeight="1">
      <c r="A362" s="8" t="inlineStr">
        <is>
          <t>5.9</t>
        </is>
      </c>
      <c r="B362" s="17" t="inlineStr">
        <is>
          <t>Centering and shuttering including strutting, propping etc. and removal of form for</t>
        </is>
      </c>
      <c r="C362" s="9" t="n"/>
      <c r="D362" s="9" t="n"/>
      <c r="E362" s="9" t="n"/>
      <c r="F362" s="9" t="n"/>
      <c r="G362" s="9" t="n"/>
    </row>
    <row r="363" ht="18.5" customHeight="1">
      <c r="A363" s="18" t="inlineStr">
        <is>
          <t>5.9.11</t>
        </is>
      </c>
      <c r="B363" s="19" t="inlineStr">
        <is>
          <t>Chimneys and shafts Details for 7.9m long and 1.00m high wall Area of contact 2x7.9x1.0 = 15.8 sqm.</t>
        </is>
      </c>
      <c r="C363" s="20" t="n"/>
      <c r="D363" s="20" t="n"/>
      <c r="E363" s="20" t="n"/>
      <c r="F363" s="20" t="n"/>
      <c r="G363" s="20" t="n"/>
    </row>
    <row r="364">
      <c r="A364" s="21" t="inlineStr">
        <is>
          <t>Details of cost for 15.8 sqm   |   Source: CivilDAR_2019_Vol_1.pdf, page 207</t>
        </is>
      </c>
    </row>
    <row r="365">
      <c r="A365" s="5" t="inlineStr">
        <is>
          <t>Code</t>
        </is>
      </c>
      <c r="B365" s="5" t="inlineStr">
        <is>
          <t>Description</t>
        </is>
      </c>
      <c r="C365" s="5" t="inlineStr">
        <is>
          <t>Unit</t>
        </is>
      </c>
      <c r="D365" s="5" t="inlineStr">
        <is>
          <t>Quantity</t>
        </is>
      </c>
      <c r="E365" s="5" t="inlineStr">
        <is>
          <t>Rate (Rs.)</t>
        </is>
      </c>
      <c r="F365" s="5" t="inlineStr">
        <is>
          <t>Amount (Rs.)</t>
        </is>
      </c>
      <c r="G365" s="5" t="inlineStr">
        <is>
          <t>Note</t>
        </is>
      </c>
    </row>
    <row r="366">
      <c r="A366" s="22" t="inlineStr">
        <is>
          <t>7319</t>
        </is>
      </c>
      <c r="B366" s="11" t="inlineStr">
        <is>
          <t>Wall form panel 1250x500 mm</t>
        </is>
      </c>
      <c r="C366" s="22" t="inlineStr">
        <is>
          <t>each</t>
        </is>
      </c>
      <c r="D366" s="23" t="n">
        <v>0.51</v>
      </c>
      <c r="E366" s="24" t="n">
        <v>860</v>
      </c>
      <c r="F366" s="24">
        <f>D366*E366</f>
        <v/>
      </c>
      <c r="G366" s="22" t="n"/>
    </row>
    <row r="367">
      <c r="A367" s="22" t="inlineStr">
        <is>
          <t>7327</t>
        </is>
      </c>
      <c r="B367" s="11" t="inlineStr">
        <is>
          <t>100 mm channel shoulder 2.5 m long</t>
        </is>
      </c>
      <c r="C367" s="22" t="inlineStr">
        <is>
          <t>each</t>
        </is>
      </c>
      <c r="D367" s="23" t="n">
        <v>0.17</v>
      </c>
      <c r="E367" s="24" t="n">
        <v>910</v>
      </c>
      <c r="F367" s="24">
        <f>D367*E367</f>
        <v/>
      </c>
      <c r="G367" s="22" t="n"/>
    </row>
    <row r="368">
      <c r="A368" s="22" t="inlineStr">
        <is>
          <t>7328</t>
        </is>
      </c>
      <c r="B368" s="11" t="inlineStr">
        <is>
          <t>Double clip ( bridge clip)</t>
        </is>
      </c>
      <c r="C368" s="22" t="inlineStr">
        <is>
          <t>each</t>
        </is>
      </c>
      <c r="D368" s="23" t="n">
        <v>0.51</v>
      </c>
      <c r="E368" s="24" t="n">
        <v>76</v>
      </c>
      <c r="F368" s="24">
        <f>D368*E368</f>
        <v/>
      </c>
      <c r="G368" s="22" t="n"/>
    </row>
    <row r="369">
      <c r="A369" s="22" t="inlineStr">
        <is>
          <t>7329</t>
        </is>
      </c>
      <c r="B369" s="11" t="inlineStr">
        <is>
          <t>Single clip</t>
        </is>
      </c>
      <c r="C369" s="22" t="inlineStr">
        <is>
          <t>each</t>
        </is>
      </c>
      <c r="D369" s="23" t="n">
        <v>0.255</v>
      </c>
      <c r="E369" s="24" t="n">
        <v>59</v>
      </c>
      <c r="F369" s="24">
        <f>D369*E369</f>
        <v/>
      </c>
      <c r="G369" s="22" t="n"/>
    </row>
    <row r="370">
      <c r="A370" s="22" t="inlineStr">
        <is>
          <t>7330</t>
        </is>
      </c>
      <c r="B370" s="11" t="inlineStr">
        <is>
          <t>M.S. tube 40 mm dia</t>
        </is>
      </c>
      <c r="C370" s="22" t="inlineStr">
        <is>
          <t>metre</t>
        </is>
      </c>
      <c r="D370" s="23" t="n">
        <v>0.68</v>
      </c>
      <c r="E370" s="24" t="n">
        <v>215</v>
      </c>
      <c r="F370" s="24">
        <f>D370*E370</f>
        <v/>
      </c>
      <c r="G370" s="22" t="n"/>
    </row>
    <row r="371">
      <c r="A371" s="22" t="inlineStr">
        <is>
          <t>9999</t>
        </is>
      </c>
      <c r="B371" s="11" t="inlineStr">
        <is>
          <t>Nut &amp; Bolts</t>
        </is>
      </c>
      <c r="C371" s="22" t="inlineStr">
        <is>
          <t>L.S.</t>
        </is>
      </c>
      <c r="D371" s="23" t="n">
        <v>27.63</v>
      </c>
      <c r="E371" s="24" t="n">
        <v>2</v>
      </c>
      <c r="F371" s="24">
        <f>D371*E371</f>
        <v/>
      </c>
      <c r="G371" s="22" t="n"/>
    </row>
    <row r="372">
      <c r="A372" s="22" t="inlineStr">
        <is>
          <t>9977</t>
        </is>
      </c>
      <c r="B372" s="11" t="inlineStr">
        <is>
          <t>Carriage</t>
        </is>
      </c>
      <c r="C372" s="22" t="inlineStr">
        <is>
          <t>L.S.</t>
        </is>
      </c>
      <c r="D372" s="23" t="n">
        <v>78</v>
      </c>
      <c r="E372" s="24" t="n">
        <v>2</v>
      </c>
      <c r="F372" s="24">
        <f>D372*E372</f>
        <v/>
      </c>
      <c r="G372" s="22" t="n"/>
    </row>
    <row r="373">
      <c r="A373" s="22" t="inlineStr">
        <is>
          <t>0116</t>
        </is>
      </c>
      <c r="B373" s="11" t="inlineStr">
        <is>
          <t>Fitter (grade 1)</t>
        </is>
      </c>
      <c r="C373" s="22" t="inlineStr">
        <is>
          <t>day</t>
        </is>
      </c>
      <c r="D373" s="23" t="n">
        <v>3.5</v>
      </c>
      <c r="E373" s="24" t="n">
        <v>738</v>
      </c>
      <c r="F373" s="24">
        <f>D373*E373</f>
        <v/>
      </c>
      <c r="G373" s="22" t="n"/>
    </row>
    <row r="374">
      <c r="A374" s="22" t="inlineStr">
        <is>
          <t>0114</t>
        </is>
      </c>
      <c r="B374" s="11" t="inlineStr">
        <is>
          <t>Beldar</t>
        </is>
      </c>
      <c r="C374" s="22" t="inlineStr">
        <is>
          <t>day</t>
        </is>
      </c>
      <c r="D374" s="23" t="n">
        <v>6</v>
      </c>
      <c r="E374" s="24" t="n">
        <v>558</v>
      </c>
      <c r="F374" s="24">
        <f>D374*E374</f>
        <v/>
      </c>
      <c r="G374" s="22" t="n"/>
    </row>
    <row r="375">
      <c r="A375" s="22" t="inlineStr">
        <is>
          <t>9999</t>
        </is>
      </c>
      <c r="B375" s="11" t="inlineStr">
        <is>
          <t>Shuttering oil</t>
        </is>
      </c>
      <c r="C375" s="22" t="inlineStr">
        <is>
          <t>L.S.</t>
        </is>
      </c>
      <c r="D375" s="23" t="n">
        <v>78</v>
      </c>
      <c r="E375" s="24" t="n">
        <v>2</v>
      </c>
      <c r="F375" s="24">
        <f>D375*E375</f>
        <v/>
      </c>
      <c r="G375" s="22" t="n"/>
    </row>
    <row r="376">
      <c r="A376" s="22" t="inlineStr">
        <is>
          <t>9999</t>
        </is>
      </c>
      <c r="B376" s="11" t="inlineStr">
        <is>
          <t>Sundries</t>
        </is>
      </c>
      <c r="C376" s="22" t="inlineStr">
        <is>
          <t>L.S.</t>
        </is>
      </c>
      <c r="D376" s="23" t="n">
        <v>52</v>
      </c>
      <c r="E376" s="24" t="n">
        <v>2</v>
      </c>
      <c r="F376" s="24">
        <f>D376*E376</f>
        <v/>
      </c>
      <c r="G376" s="22" t="n"/>
    </row>
    <row r="377">
      <c r="A377" s="8" t="inlineStr">
        <is>
          <t>Calculated W - SUM of the Amount column above</t>
        </is>
      </c>
      <c r="B377" s="9" t="n"/>
      <c r="C377" s="9" t="n"/>
      <c r="D377" s="9" t="n"/>
      <c r="E377" s="9" t="n"/>
      <c r="F377" s="25">
        <f>SUM(F366:F376)</f>
        <v/>
      </c>
      <c r="G377" s="9" t="n"/>
    </row>
    <row r="378">
      <c r="A378" s="26" t="inlineStr">
        <is>
          <t>W as printed in the DAR</t>
        </is>
      </c>
      <c r="B378" s="22" t="n"/>
      <c r="C378" s="22" t="n"/>
      <c r="D378" s="22" t="n"/>
      <c r="E378" s="22" t="n"/>
      <c r="F378" s="27" t="n">
        <v>7195.57</v>
      </c>
      <c r="G378" s="22" t="n"/>
    </row>
    <row r="379">
      <c r="A379" s="26" t="inlineStr">
        <is>
          <t>Difference (calculated - printed)</t>
        </is>
      </c>
      <c r="B379" s="22" t="n"/>
      <c r="C379" s="22" t="n"/>
      <c r="D379" s="22" t="n"/>
      <c r="E379" s="22" t="n"/>
      <c r="F379" s="27">
        <f>F377-F378</f>
        <v/>
      </c>
      <c r="G379" s="22" t="n"/>
    </row>
    <row r="380">
      <c r="A380" s="29" t="inlineStr">
        <is>
          <t>SAY (Rs.) - final DAR rate as printed (fixed value, not computed)</t>
        </is>
      </c>
      <c r="B380" s="30" t="n"/>
      <c r="C380" s="30" t="n"/>
      <c r="D380" s="30" t="n"/>
      <c r="E380" s="30" t="n"/>
      <c r="F380" s="31" t="n">
        <v>609.3</v>
      </c>
      <c r="G380" s="30" t="n"/>
    </row>
    <row r="382" ht="18.5" customHeight="1">
      <c r="A382" s="8" t="inlineStr">
        <is>
          <t>5.9</t>
        </is>
      </c>
      <c r="B382" s="17" t="inlineStr">
        <is>
          <t>Centering and shuttering including strutting, propping etc. and removal of form for</t>
        </is>
      </c>
      <c r="C382" s="9" t="n"/>
      <c r="D382" s="9" t="n"/>
      <c r="E382" s="9" t="n"/>
      <c r="F382" s="9" t="n"/>
      <c r="G382" s="9" t="n"/>
    </row>
    <row r="383" ht="18.5" customHeight="1">
      <c r="A383" s="18" t="inlineStr">
        <is>
          <t>5.9.12</t>
        </is>
      </c>
      <c r="B383" s="19" t="inlineStr">
        <is>
          <t>Well steining</t>
        </is>
      </c>
      <c r="C383" s="20" t="n"/>
      <c r="D383" s="20" t="n"/>
      <c r="E383" s="20" t="n"/>
      <c r="F383" s="20" t="n"/>
      <c r="G383" s="20" t="n"/>
    </row>
    <row r="384">
      <c r="A384" s="21" t="inlineStr">
        <is>
          <t>Details of cost for 26.39 sqm   |   Source: CivilDAR_2019_Vol_1.pdf, page 208</t>
        </is>
      </c>
    </row>
    <row r="385">
      <c r="A385" s="5" t="inlineStr">
        <is>
          <t>Code</t>
        </is>
      </c>
      <c r="B385" s="5" t="inlineStr">
        <is>
          <t>Description</t>
        </is>
      </c>
      <c r="C385" s="5" t="inlineStr">
        <is>
          <t>Unit</t>
        </is>
      </c>
      <c r="D385" s="5" t="inlineStr">
        <is>
          <t>Quantity</t>
        </is>
      </c>
      <c r="E385" s="5" t="inlineStr">
        <is>
          <t>Rate (Rs.)</t>
        </is>
      </c>
      <c r="F385" s="5" t="inlineStr">
        <is>
          <t>Amount (Rs.)</t>
        </is>
      </c>
      <c r="G385" s="5" t="inlineStr">
        <is>
          <t>Note</t>
        </is>
      </c>
    </row>
    <row r="386">
      <c r="A386" s="22" t="inlineStr">
        <is>
          <t>1198</t>
        </is>
      </c>
      <c r="B386" s="11" t="inlineStr">
        <is>
          <t>Second class kail wood in planks</t>
        </is>
      </c>
      <c r="C386" s="22" t="inlineStr">
        <is>
          <t>10 cudm</t>
        </is>
      </c>
      <c r="D386" s="23" t="n">
        <v>15</v>
      </c>
      <c r="E386" s="24" t="n">
        <v>260</v>
      </c>
      <c r="F386" s="24">
        <f>D386*E386</f>
        <v/>
      </c>
      <c r="G386" s="22" t="n"/>
    </row>
    <row r="387">
      <c r="A387" s="22" t="inlineStr">
        <is>
          <t>1197</t>
        </is>
      </c>
      <c r="B387" s="11" t="inlineStr">
        <is>
          <t>Second class kail wood in scantling</t>
        </is>
      </c>
      <c r="C387" s="22" t="inlineStr">
        <is>
          <t>10 cudm</t>
        </is>
      </c>
      <c r="D387" s="23" t="n">
        <v>0.00198</v>
      </c>
      <c r="E387" s="24" t="n">
        <v>260</v>
      </c>
      <c r="F387" s="24">
        <f>D387*E387</f>
        <v/>
      </c>
      <c r="G387" s="22" t="n"/>
    </row>
    <row r="388">
      <c r="A388" s="22" t="inlineStr">
        <is>
          <t>0302</t>
        </is>
      </c>
      <c r="B388" s="11" t="inlineStr">
        <is>
          <t>Safeda ballies 125 mm diameter</t>
        </is>
      </c>
      <c r="C388" s="22" t="inlineStr">
        <is>
          <t>metre</t>
        </is>
      </c>
      <c r="D388" s="23" t="n">
        <v>6.625</v>
      </c>
      <c r="E388" s="24" t="n">
        <v>40</v>
      </c>
      <c r="F388" s="24">
        <f>D388*E388</f>
        <v/>
      </c>
      <c r="G388" s="22" t="n"/>
    </row>
    <row r="389">
      <c r="A389" s="22" t="inlineStr"/>
      <c r="B389" s="11" t="inlineStr">
        <is>
          <t>Add for carriage, labour for erection and dismentalig etc @ 1/6 (16.667%) of cost of material</t>
        </is>
      </c>
      <c r="C389" s="22" t="n"/>
      <c r="D389" s="22" t="n"/>
      <c r="E389" s="22" t="n"/>
      <c r="F389" s="24" t="n">
        <v>694.27</v>
      </c>
      <c r="G389" s="32" t="inlineStr">
        <is>
          <t>Percentage add-on; amount as printed</t>
        </is>
      </c>
    </row>
    <row r="390">
      <c r="A390" s="8" t="inlineStr">
        <is>
          <t>Calculated W - SUM of the Amount column above</t>
        </is>
      </c>
      <c r="B390" s="9" t="n"/>
      <c r="C390" s="9" t="n"/>
      <c r="D390" s="9" t="n"/>
      <c r="E390" s="9" t="n"/>
      <c r="F390" s="25">
        <f>SUM(F386:F389)</f>
        <v/>
      </c>
      <c r="G390" s="9" t="n"/>
    </row>
    <row r="391">
      <c r="A391" s="26" t="inlineStr">
        <is>
          <t>W as printed in the DAR</t>
        </is>
      </c>
      <c r="B391" s="22" t="n"/>
      <c r="C391" s="22" t="n"/>
      <c r="D391" s="22" t="n"/>
      <c r="E391" s="22" t="n"/>
      <c r="F391" s="27" t="n">
        <v>4859.78</v>
      </c>
      <c r="G391" s="22" t="n"/>
    </row>
    <row r="392">
      <c r="A392" s="26" t="inlineStr">
        <is>
          <t>Difference (calculated - printed)</t>
        </is>
      </c>
      <c r="B392" s="22" t="n"/>
      <c r="C392" s="22" t="n"/>
      <c r="D392" s="22" t="n"/>
      <c r="E392" s="22" t="n"/>
      <c r="F392" s="27">
        <f>F390-F391</f>
        <v/>
      </c>
      <c r="G392" s="22" t="n"/>
    </row>
    <row r="393">
      <c r="A393" s="29" t="inlineStr">
        <is>
          <t>SAY (Rs.) - final DAR rate as printed (fixed value, not computed)</t>
        </is>
      </c>
      <c r="B393" s="30" t="n"/>
      <c r="C393" s="30" t="n"/>
      <c r="D393" s="30" t="n"/>
      <c r="E393" s="30" t="n"/>
      <c r="F393" s="31" t="n">
        <v>246.4</v>
      </c>
      <c r="G393" s="30" t="n"/>
    </row>
    <row r="395" ht="18.5" customHeight="1">
      <c r="A395" s="8" t="inlineStr">
        <is>
          <t>5.9</t>
        </is>
      </c>
      <c r="B395" s="17" t="inlineStr">
        <is>
          <t>Centering and shuttering including strutting, propping etc. and removal of form for</t>
        </is>
      </c>
      <c r="C395" s="9" t="n"/>
      <c r="D395" s="9" t="n"/>
      <c r="E395" s="9" t="n"/>
      <c r="F395" s="9" t="n"/>
      <c r="G395" s="9" t="n"/>
    </row>
    <row r="396" ht="18.5" customHeight="1">
      <c r="A396" s="18" t="inlineStr">
        <is>
          <t>5.9.13</t>
        </is>
      </c>
      <c r="B396" s="19" t="inlineStr">
        <is>
          <t>Vertical and horizontal fins individually or forming box louvers band, facias and eaves boards</t>
        </is>
      </c>
      <c r="C396" s="20" t="n"/>
      <c r="D396" s="20" t="n"/>
      <c r="E396" s="20" t="n"/>
      <c r="F396" s="20" t="n"/>
      <c r="G396" s="20" t="n"/>
    </row>
    <row r="397">
      <c r="A397" s="21" t="inlineStr">
        <is>
          <t>Details of cost for 23.9 sqm   |   Source: CivilDAR_2019_Vol_1.pdf, page 209</t>
        </is>
      </c>
    </row>
    <row r="398">
      <c r="A398" s="5" t="inlineStr">
        <is>
          <t>Code</t>
        </is>
      </c>
      <c r="B398" s="5" t="inlineStr">
        <is>
          <t>Description</t>
        </is>
      </c>
      <c r="C398" s="5" t="inlineStr">
        <is>
          <t>Unit</t>
        </is>
      </c>
      <c r="D398" s="5" t="inlineStr">
        <is>
          <t>Quantity</t>
        </is>
      </c>
      <c r="E398" s="5" t="inlineStr">
        <is>
          <t>Rate (Rs.)</t>
        </is>
      </c>
      <c r="F398" s="5" t="inlineStr">
        <is>
          <t>Amount (Rs.)</t>
        </is>
      </c>
      <c r="G398" s="5" t="inlineStr">
        <is>
          <t>Note</t>
        </is>
      </c>
    </row>
    <row r="399">
      <c r="A399" s="22" t="inlineStr">
        <is>
          <t>1198</t>
        </is>
      </c>
      <c r="B399" s="11" t="inlineStr">
        <is>
          <t>Second class kail wood in planks</t>
        </is>
      </c>
      <c r="C399" s="22" t="inlineStr">
        <is>
          <t>10 cudm</t>
        </is>
      </c>
      <c r="D399" s="23" t="n">
        <v>11.925</v>
      </c>
      <c r="E399" s="24" t="n">
        <v>260</v>
      </c>
      <c r="F399" s="24">
        <f>D399*E399</f>
        <v/>
      </c>
      <c r="G399" s="22" t="n"/>
    </row>
    <row r="400">
      <c r="A400" s="22" t="inlineStr">
        <is>
          <t>1197</t>
        </is>
      </c>
      <c r="B400" s="11" t="inlineStr">
        <is>
          <t>Second class kail wood in scantling</t>
        </is>
      </c>
      <c r="C400" s="22" t="inlineStr">
        <is>
          <t>10 cudm</t>
        </is>
      </c>
      <c r="D400" s="23" t="n">
        <v>3.3625</v>
      </c>
      <c r="E400" s="24" t="n">
        <v>260</v>
      </c>
      <c r="F400" s="24">
        <f>D400*E400</f>
        <v/>
      </c>
      <c r="G400" s="22" t="n"/>
    </row>
    <row r="401">
      <c r="A401" s="22" t="inlineStr">
        <is>
          <t>0302</t>
        </is>
      </c>
      <c r="B401" s="11" t="inlineStr">
        <is>
          <t>Safeda ballies 125 mm diameter</t>
        </is>
      </c>
      <c r="C401" s="22" t="inlineStr">
        <is>
          <t>metre</t>
        </is>
      </c>
      <c r="D401" s="23" t="n">
        <v>12.6</v>
      </c>
      <c r="E401" s="24" t="n">
        <v>40</v>
      </c>
      <c r="F401" s="24">
        <f>D401*E401</f>
        <v/>
      </c>
      <c r="G401" s="22" t="n"/>
    </row>
    <row r="402">
      <c r="A402" s="22" t="inlineStr">
        <is>
          <t>2204</t>
        </is>
      </c>
      <c r="B402" s="11" t="inlineStr">
        <is>
          <t>Carriage of Timber</t>
        </is>
      </c>
      <c r="C402" s="22" t="inlineStr">
        <is>
          <t>cum</t>
        </is>
      </c>
      <c r="D402" s="23" t="n">
        <v>0.3076</v>
      </c>
      <c r="E402" s="24" t="n">
        <v>118.59</v>
      </c>
      <c r="F402" s="24">
        <f>D402*E402</f>
        <v/>
      </c>
      <c r="G402" s="22" t="n"/>
    </row>
    <row r="403">
      <c r="A403" s="22" t="inlineStr">
        <is>
          <t>0112</t>
        </is>
      </c>
      <c r="B403" s="11" t="inlineStr">
        <is>
          <t>Carpenter 2nd class</t>
        </is>
      </c>
      <c r="C403" s="22" t="inlineStr">
        <is>
          <t>day</t>
        </is>
      </c>
      <c r="D403" s="23" t="n">
        <v>11</v>
      </c>
      <c r="E403" s="24" t="n">
        <v>679</v>
      </c>
      <c r="F403" s="24">
        <f>D403*E403</f>
        <v/>
      </c>
      <c r="G403" s="22" t="n"/>
    </row>
    <row r="404">
      <c r="A404" s="22" t="inlineStr">
        <is>
          <t>0114</t>
        </is>
      </c>
      <c r="B404" s="11" t="inlineStr">
        <is>
          <t>Beldar</t>
        </is>
      </c>
      <c r="C404" s="22" t="inlineStr">
        <is>
          <t>day</t>
        </is>
      </c>
      <c r="D404" s="23" t="n">
        <v>11</v>
      </c>
      <c r="E404" s="24" t="n">
        <v>558</v>
      </c>
      <c r="F404" s="24">
        <f>D404*E404</f>
        <v/>
      </c>
      <c r="G404" s="22" t="n"/>
    </row>
    <row r="405">
      <c r="A405" s="22" t="inlineStr">
        <is>
          <t>9999</t>
        </is>
      </c>
      <c r="B405" s="11" t="inlineStr">
        <is>
          <t>Sundries</t>
        </is>
      </c>
      <c r="C405" s="22" t="inlineStr">
        <is>
          <t>L.S.</t>
        </is>
      </c>
      <c r="D405" s="23" t="n">
        <v>80.73</v>
      </c>
      <c r="E405" s="24" t="n">
        <v>2</v>
      </c>
      <c r="F405" s="24">
        <f>D405*E405</f>
        <v/>
      </c>
      <c r="G405" s="22" t="n"/>
    </row>
    <row r="406">
      <c r="A406" s="8" t="inlineStr">
        <is>
          <t>Calculated W - SUM of the Amount column above</t>
        </is>
      </c>
      <c r="B406" s="9" t="n"/>
      <c r="C406" s="9" t="n"/>
      <c r="D406" s="9" t="n"/>
      <c r="E406" s="9" t="n"/>
      <c r="F406" s="25">
        <f>SUM(F399:F405)</f>
        <v/>
      </c>
      <c r="G406" s="9" t="n"/>
    </row>
    <row r="407">
      <c r="A407" s="26" t="inlineStr">
        <is>
          <t>W as printed in the DAR</t>
        </is>
      </c>
      <c r="B407" s="22" t="n"/>
      <c r="C407" s="22" t="n"/>
      <c r="D407" s="22" t="n"/>
      <c r="E407" s="22" t="n"/>
      <c r="F407" s="27" t="n">
        <v>18283.69</v>
      </c>
      <c r="G407" s="22" t="n"/>
    </row>
    <row r="408">
      <c r="A408" s="26" t="inlineStr">
        <is>
          <t>Difference (calculated - printed)</t>
        </is>
      </c>
      <c r="B408" s="22" t="n"/>
      <c r="C408" s="22" t="n"/>
      <c r="D408" s="22" t="n"/>
      <c r="E408" s="22" t="n"/>
      <c r="F408" s="27">
        <f>F406-F407</f>
        <v/>
      </c>
      <c r="G408" s="22" t="n"/>
    </row>
    <row r="409">
      <c r="A409" s="29" t="inlineStr">
        <is>
          <t>SAY (Rs.) - final DAR rate as printed (fixed value, not computed)</t>
        </is>
      </c>
      <c r="B409" s="30" t="n"/>
      <c r="C409" s="30" t="n"/>
      <c r="D409" s="30" t="n"/>
      <c r="E409" s="30" t="n"/>
      <c r="F409" s="31" t="n">
        <v>1023.55</v>
      </c>
      <c r="G409" s="30" t="n"/>
    </row>
    <row r="411" ht="18.5" customHeight="1">
      <c r="A411" s="8" t="inlineStr">
        <is>
          <t>5.9</t>
        </is>
      </c>
      <c r="B411" s="17" t="inlineStr">
        <is>
          <t>Centering and shuttering including strutting, propping etc. and removal of form for</t>
        </is>
      </c>
      <c r="C411" s="9" t="n"/>
      <c r="D411" s="9" t="n"/>
      <c r="E411" s="9" t="n"/>
      <c r="F411" s="9" t="n"/>
      <c r="G411" s="9" t="n"/>
    </row>
    <row r="412" ht="33" customHeight="1">
      <c r="A412" s="18" t="inlineStr">
        <is>
          <t>5.9.15</t>
        </is>
      </c>
      <c r="B412" s="19" t="inlineStr">
        <is>
          <t>Small lintels not exceeding 1.5 m clear span, moulding as in cornices, window sills, string courses, bands, copings, bed plates, anchor blocks and the like</t>
        </is>
      </c>
      <c r="C412" s="20" t="n"/>
      <c r="D412" s="20" t="n"/>
      <c r="E412" s="20" t="n"/>
      <c r="F412" s="20" t="n"/>
      <c r="G412" s="20" t="n"/>
    </row>
    <row r="413">
      <c r="A413" s="21" t="inlineStr">
        <is>
          <t>Details of cost for 10.8 sqm   |   Source: CivilDAR_2019_Vol_1.pdf, page 210</t>
        </is>
      </c>
    </row>
    <row r="414">
      <c r="A414" s="5" t="inlineStr">
        <is>
          <t>Code</t>
        </is>
      </c>
      <c r="B414" s="5" t="inlineStr">
        <is>
          <t>Description</t>
        </is>
      </c>
      <c r="C414" s="5" t="inlineStr">
        <is>
          <t>Unit</t>
        </is>
      </c>
      <c r="D414" s="5" t="inlineStr">
        <is>
          <t>Quantity</t>
        </is>
      </c>
      <c r="E414" s="5" t="inlineStr">
        <is>
          <t>Rate (Rs.)</t>
        </is>
      </c>
      <c r="F414" s="5" t="inlineStr">
        <is>
          <t>Amount (Rs.)</t>
        </is>
      </c>
      <c r="G414" s="5" t="inlineStr">
        <is>
          <t>Note</t>
        </is>
      </c>
    </row>
    <row r="415">
      <c r="A415" s="22" t="inlineStr">
        <is>
          <t>7319</t>
        </is>
      </c>
      <c r="B415" s="11" t="inlineStr">
        <is>
          <t>Wall form panel 1250x500 mm</t>
        </is>
      </c>
      <c r="C415" s="22" t="inlineStr">
        <is>
          <t>each</t>
        </is>
      </c>
      <c r="D415" s="23" t="n">
        <v>0.34</v>
      </c>
      <c r="E415" s="24" t="n">
        <v>860</v>
      </c>
      <c r="F415" s="24">
        <f>D415*E415</f>
        <v/>
      </c>
      <c r="G415" s="22" t="n"/>
    </row>
    <row r="416">
      <c r="A416" s="22" t="inlineStr">
        <is>
          <t>7326</t>
        </is>
      </c>
      <c r="B416" s="11" t="inlineStr">
        <is>
          <t>Corner angle 45x45x5 mm 1.50 m long</t>
        </is>
      </c>
      <c r="C416" s="22" t="inlineStr">
        <is>
          <t>each</t>
        </is>
      </c>
      <c r="D416" s="23" t="n">
        <v>0.08500000000000001</v>
      </c>
      <c r="E416" s="24" t="n">
        <v>240</v>
      </c>
      <c r="F416" s="24">
        <f>D416*E416</f>
        <v/>
      </c>
      <c r="G416" s="22" t="n"/>
    </row>
    <row r="417">
      <c r="A417" s="22" t="inlineStr">
        <is>
          <t>7327</t>
        </is>
      </c>
      <c r="B417" s="11" t="inlineStr">
        <is>
          <t>100 mm channel shoulder 2.5 m long</t>
        </is>
      </c>
      <c r="C417" s="22" t="inlineStr">
        <is>
          <t>each</t>
        </is>
      </c>
      <c r="D417" s="23" t="n">
        <v>0.17</v>
      </c>
      <c r="E417" s="24" t="n">
        <v>910</v>
      </c>
      <c r="F417" s="24">
        <f>D417*E417</f>
        <v/>
      </c>
      <c r="G417" s="22" t="n"/>
    </row>
    <row r="418">
      <c r="A418" s="22" t="inlineStr">
        <is>
          <t>7328</t>
        </is>
      </c>
      <c r="B418" s="11" t="inlineStr">
        <is>
          <t>Double clip ( bridge clip)</t>
        </is>
      </c>
      <c r="C418" s="22" t="inlineStr">
        <is>
          <t>each</t>
        </is>
      </c>
      <c r="D418" s="23" t="n">
        <v>0.34</v>
      </c>
      <c r="E418" s="24" t="n">
        <v>76</v>
      </c>
      <c r="F418" s="24">
        <f>D418*E418</f>
        <v/>
      </c>
      <c r="G418" s="22" t="n"/>
    </row>
    <row r="419">
      <c r="A419" s="22" t="inlineStr">
        <is>
          <t>7329</t>
        </is>
      </c>
      <c r="B419" s="11" t="inlineStr">
        <is>
          <t>Single clip</t>
        </is>
      </c>
      <c r="C419" s="22" t="inlineStr">
        <is>
          <t>each</t>
        </is>
      </c>
      <c r="D419" s="23" t="n">
        <v>0.17</v>
      </c>
      <c r="E419" s="24" t="n">
        <v>59</v>
      </c>
      <c r="F419" s="24">
        <f>D419*E419</f>
        <v/>
      </c>
      <c r="G419" s="22" t="n"/>
    </row>
    <row r="420">
      <c r="A420" s="22" t="inlineStr">
        <is>
          <t>7330</t>
        </is>
      </c>
      <c r="B420" s="11" t="inlineStr">
        <is>
          <t>M.S. tube 40 mm dia</t>
        </is>
      </c>
      <c r="C420" s="22" t="inlineStr">
        <is>
          <t>metre</t>
        </is>
      </c>
      <c r="D420" s="23" t="n">
        <v>0.2295</v>
      </c>
      <c r="E420" s="24" t="n">
        <v>215</v>
      </c>
      <c r="F420" s="24">
        <f>D420*E420</f>
        <v/>
      </c>
      <c r="G420" s="22" t="n"/>
    </row>
    <row r="421">
      <c r="A421" s="22" t="inlineStr">
        <is>
          <t>9999</t>
        </is>
      </c>
      <c r="B421" s="11" t="inlineStr">
        <is>
          <t>Assembly nuts &amp; bolts</t>
        </is>
      </c>
      <c r="C421" s="22" t="inlineStr">
        <is>
          <t>L.S.</t>
        </is>
      </c>
      <c r="D421" s="23" t="n">
        <v>22.1</v>
      </c>
      <c r="E421" s="24" t="n">
        <v>2</v>
      </c>
      <c r="F421" s="24">
        <f>D421*E421</f>
        <v/>
      </c>
      <c r="G421" s="22" t="n"/>
    </row>
    <row r="422">
      <c r="A422" s="22" t="inlineStr">
        <is>
          <t>9977</t>
        </is>
      </c>
      <c r="B422" s="11" t="inlineStr">
        <is>
          <t>Carriage</t>
        </is>
      </c>
      <c r="C422" s="22" t="inlineStr">
        <is>
          <t>L.S.</t>
        </is>
      </c>
      <c r="D422" s="23" t="n">
        <v>78</v>
      </c>
      <c r="E422" s="24" t="n">
        <v>2</v>
      </c>
      <c r="F422" s="24">
        <f>D422*E422</f>
        <v/>
      </c>
      <c r="G422" s="22" t="n"/>
    </row>
    <row r="423">
      <c r="A423" s="22" t="inlineStr">
        <is>
          <t>0116</t>
        </is>
      </c>
      <c r="B423" s="11" t="inlineStr">
        <is>
          <t>Fitter (grade 1)</t>
        </is>
      </c>
      <c r="C423" s="22" t="inlineStr">
        <is>
          <t>day</t>
        </is>
      </c>
      <c r="D423" s="23" t="n">
        <v>0.75</v>
      </c>
      <c r="E423" s="24" t="n">
        <v>738</v>
      </c>
      <c r="F423" s="24">
        <f>D423*E423</f>
        <v/>
      </c>
      <c r="G423" s="22" t="n"/>
    </row>
    <row r="424">
      <c r="A424" s="22" t="inlineStr">
        <is>
          <t>0114</t>
        </is>
      </c>
      <c r="B424" s="11" t="inlineStr">
        <is>
          <t>Beldar</t>
        </is>
      </c>
      <c r="C424" s="22" t="inlineStr">
        <is>
          <t>day</t>
        </is>
      </c>
      <c r="D424" s="23" t="n">
        <v>1.5</v>
      </c>
      <c r="E424" s="24" t="n">
        <v>558</v>
      </c>
      <c r="F424" s="24">
        <f>D424*E424</f>
        <v/>
      </c>
      <c r="G424" s="22" t="n"/>
    </row>
    <row r="425">
      <c r="A425" s="22" t="inlineStr">
        <is>
          <t>9999</t>
        </is>
      </c>
      <c r="B425" s="11" t="inlineStr">
        <is>
          <t>Shuttering oil</t>
        </is>
      </c>
      <c r="C425" s="22" t="inlineStr">
        <is>
          <t>L.S.</t>
        </is>
      </c>
      <c r="D425" s="23" t="n">
        <v>52</v>
      </c>
      <c r="E425" s="24" t="n">
        <v>2</v>
      </c>
      <c r="F425" s="24">
        <f>D425*E425</f>
        <v/>
      </c>
      <c r="G425" s="22" t="n"/>
    </row>
    <row r="426">
      <c r="A426" s="22" t="inlineStr">
        <is>
          <t>9999</t>
        </is>
      </c>
      <c r="B426" s="11" t="inlineStr">
        <is>
          <t>Sundries</t>
        </is>
      </c>
      <c r="C426" s="22" t="inlineStr">
        <is>
          <t>L.S.</t>
        </is>
      </c>
      <c r="D426" s="23" t="n">
        <v>26</v>
      </c>
      <c r="E426" s="24" t="n">
        <v>2</v>
      </c>
      <c r="F426" s="24">
        <f>D426*E426</f>
        <v/>
      </c>
      <c r="G426" s="22" t="n"/>
    </row>
    <row r="427">
      <c r="A427" s="8" t="inlineStr">
        <is>
          <t>Calculated W - SUM of the Amount column above</t>
        </is>
      </c>
      <c r="B427" s="9" t="n"/>
      <c r="C427" s="9" t="n"/>
      <c r="D427" s="9" t="n"/>
      <c r="E427" s="9" t="n"/>
      <c r="F427" s="25">
        <f>SUM(F415:F426)</f>
        <v/>
      </c>
      <c r="G427" s="9" t="n"/>
    </row>
    <row r="428">
      <c r="A428" s="26" t="inlineStr">
        <is>
          <t>W as printed in the DAR</t>
        </is>
      </c>
      <c r="B428" s="22" t="n"/>
      <c r="C428" s="22" t="n"/>
      <c r="D428" s="22" t="n"/>
      <c r="E428" s="22" t="n"/>
      <c r="F428" s="27" t="n">
        <v>2299.41</v>
      </c>
      <c r="G428" s="22" t="n"/>
    </row>
    <row r="429">
      <c r="A429" s="26" t="inlineStr">
        <is>
          <t>Difference (calculated - printed)</t>
        </is>
      </c>
      <c r="B429" s="22" t="n"/>
      <c r="C429" s="22" t="n"/>
      <c r="D429" s="22" t="n"/>
      <c r="E429" s="22" t="n"/>
      <c r="F429" s="27">
        <f>F427-F428</f>
        <v/>
      </c>
      <c r="G429" s="22" t="n"/>
    </row>
    <row r="430">
      <c r="A430" s="29" t="inlineStr">
        <is>
          <t>SAY (Rs.) - final DAR rate as printed (fixed value, not computed)</t>
        </is>
      </c>
      <c r="B430" s="30" t="n"/>
      <c r="C430" s="30" t="n"/>
      <c r="D430" s="30" t="n"/>
      <c r="E430" s="30" t="n"/>
      <c r="F430" s="31" t="n">
        <v>284.85</v>
      </c>
      <c r="G430" s="30" t="n"/>
    </row>
    <row r="432" ht="18.5" customHeight="1">
      <c r="A432" s="8" t="inlineStr">
        <is>
          <t>5.9</t>
        </is>
      </c>
      <c r="B432" s="17" t="inlineStr">
        <is>
          <t>Centering and shuttering including strutting, propping etc. and removal of form for</t>
        </is>
      </c>
      <c r="C432" s="9" t="n"/>
      <c r="D432" s="9" t="n"/>
      <c r="E432" s="9" t="n"/>
      <c r="F432" s="9" t="n"/>
      <c r="G432" s="9" t="n"/>
    </row>
    <row r="433" ht="18.5" customHeight="1">
      <c r="A433" s="8" t="inlineStr">
        <is>
          <t>5.9.16</t>
        </is>
      </c>
      <c r="B433" s="17" t="inlineStr">
        <is>
          <t>Edges of slabs and breaks in floors and walls</t>
        </is>
      </c>
      <c r="C433" s="9" t="n"/>
      <c r="D433" s="9" t="n"/>
      <c r="E433" s="9" t="n"/>
      <c r="F433" s="9" t="n"/>
      <c r="G433" s="9" t="n"/>
    </row>
    <row r="434" ht="18.5" customHeight="1">
      <c r="A434" s="18" t="inlineStr">
        <is>
          <t>5.9.16.1</t>
        </is>
      </c>
      <c r="B434" s="19" t="inlineStr">
        <is>
          <t>Under 20 cm wide</t>
        </is>
      </c>
      <c r="C434" s="20" t="n"/>
      <c r="D434" s="20" t="n"/>
      <c r="E434" s="20" t="n"/>
      <c r="F434" s="20" t="n"/>
      <c r="G434" s="20" t="n"/>
    </row>
    <row r="435">
      <c r="A435" s="21" t="inlineStr">
        <is>
          <t>Details of cost for 12 metres   |   Source: CivilDAR_2019_Vol_1.pdf, page 211</t>
        </is>
      </c>
    </row>
    <row r="436">
      <c r="A436" s="5" t="inlineStr">
        <is>
          <t>Code</t>
        </is>
      </c>
      <c r="B436" s="5" t="inlineStr">
        <is>
          <t>Description</t>
        </is>
      </c>
      <c r="C436" s="5" t="inlineStr">
        <is>
          <t>Unit</t>
        </is>
      </c>
      <c r="D436" s="5" t="inlineStr">
        <is>
          <t>Quantity</t>
        </is>
      </c>
      <c r="E436" s="5" t="inlineStr">
        <is>
          <t>Rate (Rs.)</t>
        </is>
      </c>
      <c r="F436" s="5" t="inlineStr">
        <is>
          <t>Amount (Rs.)</t>
        </is>
      </c>
      <c r="G436" s="5" t="inlineStr">
        <is>
          <t>Note</t>
        </is>
      </c>
    </row>
    <row r="437">
      <c r="A437" s="22" t="inlineStr">
        <is>
          <t>1198</t>
        </is>
      </c>
      <c r="B437" s="11" t="inlineStr">
        <is>
          <t>Second class kail wood in planks</t>
        </is>
      </c>
      <c r="C437" s="22" t="inlineStr">
        <is>
          <t>10 cudm</t>
        </is>
      </c>
      <c r="D437" s="23" t="n">
        <v>0.7125</v>
      </c>
      <c r="E437" s="24" t="n">
        <v>260</v>
      </c>
      <c r="F437" s="24">
        <f>D437*E437</f>
        <v/>
      </c>
      <c r="G437" s="22" t="n"/>
    </row>
    <row r="438">
      <c r="A438" s="22" t="inlineStr">
        <is>
          <t>1197</t>
        </is>
      </c>
      <c r="B438" s="11" t="inlineStr">
        <is>
          <t>Second class kail wood in scantling</t>
        </is>
      </c>
      <c r="C438" s="22" t="inlineStr">
        <is>
          <t>10 cudm</t>
        </is>
      </c>
      <c r="D438" s="23" t="n">
        <v>1.9375</v>
      </c>
      <c r="E438" s="24" t="n">
        <v>260</v>
      </c>
      <c r="F438" s="24">
        <f>D438*E438</f>
        <v/>
      </c>
      <c r="G438" s="22" t="n"/>
    </row>
    <row r="439">
      <c r="A439" s="22" t="inlineStr">
        <is>
          <t>2204</t>
        </is>
      </c>
      <c r="B439" s="11" t="inlineStr">
        <is>
          <t>Carriage of Timber</t>
        </is>
      </c>
      <c r="C439" s="22" t="inlineStr">
        <is>
          <t>cum</t>
        </is>
      </c>
      <c r="D439" s="23" t="n">
        <v>0.0265</v>
      </c>
      <c r="E439" s="24" t="n">
        <v>118.59</v>
      </c>
      <c r="F439" s="24">
        <f>D439*E439</f>
        <v/>
      </c>
      <c r="G439" s="22" t="n"/>
    </row>
    <row r="440">
      <c r="A440" s="22" t="inlineStr">
        <is>
          <t>0112</t>
        </is>
      </c>
      <c r="B440" s="11" t="inlineStr">
        <is>
          <t>Carpenter 2nd class</t>
        </is>
      </c>
      <c r="C440" s="22" t="inlineStr">
        <is>
          <t>day</t>
        </is>
      </c>
      <c r="D440" s="23" t="n">
        <v>0.8100000000000001</v>
      </c>
      <c r="E440" s="24" t="n">
        <v>679</v>
      </c>
      <c r="F440" s="24">
        <f>D440*E440</f>
        <v/>
      </c>
      <c r="G440" s="22" t="n"/>
    </row>
    <row r="441">
      <c r="A441" s="22" t="inlineStr">
        <is>
          <t>0114</t>
        </is>
      </c>
      <c r="B441" s="11" t="inlineStr">
        <is>
          <t>Beldar</t>
        </is>
      </c>
      <c r="C441" s="22" t="inlineStr">
        <is>
          <t>day</t>
        </is>
      </c>
      <c r="D441" s="23" t="n">
        <v>0.54</v>
      </c>
      <c r="E441" s="24" t="n">
        <v>558</v>
      </c>
      <c r="F441" s="24">
        <f>D441*E441</f>
        <v/>
      </c>
      <c r="G441" s="22" t="n"/>
    </row>
    <row r="442">
      <c r="A442" s="22" t="inlineStr">
        <is>
          <t>9999</t>
        </is>
      </c>
      <c r="B442" s="11" t="inlineStr">
        <is>
          <t>Sundries</t>
        </is>
      </c>
      <c r="C442" s="22" t="inlineStr">
        <is>
          <t>L.S.</t>
        </is>
      </c>
      <c r="D442" s="23" t="n">
        <v>5.2</v>
      </c>
      <c r="E442" s="24" t="n">
        <v>2</v>
      </c>
      <c r="F442" s="24">
        <f>D442*E442</f>
        <v/>
      </c>
      <c r="G442" s="22" t="n"/>
    </row>
    <row r="443">
      <c r="A443" s="8" t="inlineStr">
        <is>
          <t>Calculated W - SUM of the Amount column above</t>
        </is>
      </c>
      <c r="B443" s="9" t="n"/>
      <c r="C443" s="9" t="n"/>
      <c r="D443" s="9" t="n"/>
      <c r="E443" s="9" t="n"/>
      <c r="F443" s="25">
        <f>SUM(F437:F442)</f>
        <v/>
      </c>
      <c r="G443" s="9" t="n"/>
    </row>
    <row r="444">
      <c r="A444" s="26" t="inlineStr">
        <is>
          <t>W as printed in the DAR</t>
        </is>
      </c>
      <c r="B444" s="22" t="n"/>
      <c r="C444" s="22" t="n"/>
      <c r="D444" s="22" t="n"/>
      <c r="E444" s="22" t="n"/>
      <c r="F444" s="27" t="n">
        <v>1553.85</v>
      </c>
      <c r="G444" s="22" t="n"/>
    </row>
    <row r="445">
      <c r="A445" s="26" t="inlineStr">
        <is>
          <t>Difference (calculated - printed)</t>
        </is>
      </c>
      <c r="B445" s="22" t="n"/>
      <c r="C445" s="22" t="n"/>
      <c r="D445" s="22" t="n"/>
      <c r="E445" s="22" t="n"/>
      <c r="F445" s="27">
        <f>F443-F444</f>
        <v/>
      </c>
      <c r="G445" s="22" t="n"/>
    </row>
    <row r="446">
      <c r="A446" s="29" t="inlineStr">
        <is>
          <t>SAY (Rs.) - final DAR rate as printed (fixed value, not computed)</t>
        </is>
      </c>
      <c r="B446" s="30" t="n"/>
      <c r="C446" s="30" t="n"/>
      <c r="D446" s="30" t="n"/>
      <c r="E446" s="30" t="n"/>
      <c r="F446" s="31" t="n">
        <v>173.25</v>
      </c>
      <c r="G446" s="30" t="n"/>
    </row>
    <row r="448" ht="18.5" customHeight="1">
      <c r="A448" s="8" t="inlineStr">
        <is>
          <t>5.9</t>
        </is>
      </c>
      <c r="B448" s="17" t="inlineStr">
        <is>
          <t>Centering and shuttering including strutting, propping etc. and removal of form for</t>
        </is>
      </c>
      <c r="C448" s="9" t="n"/>
      <c r="D448" s="9" t="n"/>
      <c r="E448" s="9" t="n"/>
      <c r="F448" s="9" t="n"/>
      <c r="G448" s="9" t="n"/>
    </row>
    <row r="449" ht="18.5" customHeight="1">
      <c r="A449" s="8" t="inlineStr">
        <is>
          <t>5.9.16</t>
        </is>
      </c>
      <c r="B449" s="17" t="inlineStr">
        <is>
          <t>Edges of slabs and breaks in floors and walls</t>
        </is>
      </c>
      <c r="C449" s="9" t="n"/>
      <c r="D449" s="9" t="n"/>
      <c r="E449" s="9" t="n"/>
      <c r="F449" s="9" t="n"/>
      <c r="G449" s="9" t="n"/>
    </row>
    <row r="450" ht="18.5" customHeight="1">
      <c r="A450" s="18" t="inlineStr">
        <is>
          <t>5.9.16.2</t>
        </is>
      </c>
      <c r="B450" s="19" t="inlineStr">
        <is>
          <t>Above 20 cm wide</t>
        </is>
      </c>
      <c r="C450" s="20" t="n"/>
      <c r="D450" s="20" t="n"/>
      <c r="E450" s="20" t="n"/>
      <c r="F450" s="20" t="n"/>
      <c r="G450" s="20" t="n"/>
    </row>
    <row r="451">
      <c r="A451" s="21" t="inlineStr">
        <is>
          <t>Details of cost for 4 sqm   |   Source: CivilDAR_2019_Vol_1.pdf, page 212</t>
        </is>
      </c>
    </row>
    <row r="452">
      <c r="A452" s="5" t="inlineStr">
        <is>
          <t>Code</t>
        </is>
      </c>
      <c r="B452" s="5" t="inlineStr">
        <is>
          <t>Description</t>
        </is>
      </c>
      <c r="C452" s="5" t="inlineStr">
        <is>
          <t>Unit</t>
        </is>
      </c>
      <c r="D452" s="5" t="inlineStr">
        <is>
          <t>Quantity</t>
        </is>
      </c>
      <c r="E452" s="5" t="inlineStr">
        <is>
          <t>Rate (Rs.)</t>
        </is>
      </c>
      <c r="F452" s="5" t="inlineStr">
        <is>
          <t>Amount (Rs.)</t>
        </is>
      </c>
      <c r="G452" s="5" t="inlineStr">
        <is>
          <t>Note</t>
        </is>
      </c>
    </row>
    <row r="453">
      <c r="A453" s="22" t="inlineStr">
        <is>
          <t>1198</t>
        </is>
      </c>
      <c r="B453" s="11" t="inlineStr">
        <is>
          <t>Second class kail wood in planks</t>
        </is>
      </c>
      <c r="C453" s="22" t="inlineStr">
        <is>
          <t>10 cudm</t>
        </is>
      </c>
      <c r="D453" s="23" t="n">
        <v>2</v>
      </c>
      <c r="E453" s="24" t="n">
        <v>260</v>
      </c>
      <c r="F453" s="24">
        <f>D453*E453</f>
        <v/>
      </c>
      <c r="G453" s="22" t="n"/>
    </row>
    <row r="454">
      <c r="A454" s="22" t="inlineStr">
        <is>
          <t>1197</t>
        </is>
      </c>
      <c r="B454" s="11" t="inlineStr">
        <is>
          <t>Second class kail wood in scantling</t>
        </is>
      </c>
      <c r="C454" s="22" t="inlineStr">
        <is>
          <t>10 cudm</t>
        </is>
      </c>
      <c r="D454" s="23" t="n">
        <v>2.188</v>
      </c>
      <c r="E454" s="24" t="n">
        <v>260</v>
      </c>
      <c r="F454" s="24">
        <f>D454*E454</f>
        <v/>
      </c>
      <c r="G454" s="22" t="n"/>
    </row>
    <row r="455">
      <c r="A455" s="22" t="inlineStr">
        <is>
          <t>2204</t>
        </is>
      </c>
      <c r="B455" s="11" t="inlineStr">
        <is>
          <t>Carriage of Timber</t>
        </is>
      </c>
      <c r="C455" s="22" t="inlineStr">
        <is>
          <t>cum</t>
        </is>
      </c>
      <c r="D455" s="23" t="n">
        <v>0.0419</v>
      </c>
      <c r="E455" s="24" t="n">
        <v>118.59</v>
      </c>
      <c r="F455" s="24">
        <f>D455*E455</f>
        <v/>
      </c>
      <c r="G455" s="22" t="n"/>
    </row>
    <row r="456">
      <c r="A456" s="22" t="inlineStr">
        <is>
          <t>0112</t>
        </is>
      </c>
      <c r="B456" s="11" t="inlineStr">
        <is>
          <t>Carpenter 2nd class</t>
        </is>
      </c>
      <c r="C456" s="22" t="inlineStr">
        <is>
          <t>day</t>
        </is>
      </c>
      <c r="D456" s="23" t="n">
        <v>1</v>
      </c>
      <c r="E456" s="24" t="n">
        <v>679</v>
      </c>
      <c r="F456" s="24">
        <f>D456*E456</f>
        <v/>
      </c>
      <c r="G456" s="22" t="n"/>
    </row>
    <row r="457">
      <c r="A457" s="22" t="inlineStr">
        <is>
          <t>0114</t>
        </is>
      </c>
      <c r="B457" s="11" t="inlineStr">
        <is>
          <t>Beldar</t>
        </is>
      </c>
      <c r="C457" s="22" t="inlineStr">
        <is>
          <t>day</t>
        </is>
      </c>
      <c r="D457" s="23" t="n">
        <v>0.75</v>
      </c>
      <c r="E457" s="24" t="n">
        <v>558</v>
      </c>
      <c r="F457" s="24">
        <f>D457*E457</f>
        <v/>
      </c>
      <c r="G457" s="22" t="n"/>
    </row>
    <row r="458">
      <c r="A458" s="22" t="inlineStr">
        <is>
          <t>9999</t>
        </is>
      </c>
      <c r="B458" s="11" t="inlineStr">
        <is>
          <t>Sundries</t>
        </is>
      </c>
      <c r="C458" s="22" t="inlineStr">
        <is>
          <t>L.S.</t>
        </is>
      </c>
      <c r="D458" s="23" t="n">
        <v>6.5</v>
      </c>
      <c r="E458" s="24" t="n">
        <v>2</v>
      </c>
      <c r="F458" s="24">
        <f>D458*E458</f>
        <v/>
      </c>
      <c r="G458" s="22" t="n"/>
    </row>
    <row r="459">
      <c r="A459" s="8" t="inlineStr">
        <is>
          <t>Calculated W - SUM of the Amount column above</t>
        </is>
      </c>
      <c r="B459" s="9" t="n"/>
      <c r="C459" s="9" t="n"/>
      <c r="D459" s="9" t="n"/>
      <c r="E459" s="9" t="n"/>
      <c r="F459" s="25">
        <f>SUM(F453:F458)</f>
        <v/>
      </c>
      <c r="G459" s="9" t="n"/>
    </row>
    <row r="460">
      <c r="A460" s="26" t="inlineStr">
        <is>
          <t>W as printed in the DAR</t>
        </is>
      </c>
      <c r="B460" s="22" t="n"/>
      <c r="C460" s="22" t="n"/>
      <c r="D460" s="22" t="n"/>
      <c r="E460" s="22" t="n"/>
      <c r="F460" s="27" t="n">
        <v>2204.35</v>
      </c>
      <c r="G460" s="22" t="n"/>
    </row>
    <row r="461">
      <c r="A461" s="26" t="inlineStr">
        <is>
          <t>Difference (calculated - printed)</t>
        </is>
      </c>
      <c r="B461" s="22" t="n"/>
      <c r="C461" s="22" t="n"/>
      <c r="D461" s="22" t="n"/>
      <c r="E461" s="22" t="n"/>
      <c r="F461" s="27">
        <f>F459-F460</f>
        <v/>
      </c>
      <c r="G461" s="22" t="n"/>
    </row>
    <row r="462">
      <c r="A462" s="29" t="inlineStr">
        <is>
          <t>SAY (Rs.) - final DAR rate as printed (fixed value, not computed)</t>
        </is>
      </c>
      <c r="B462" s="30" t="n"/>
      <c r="C462" s="30" t="n"/>
      <c r="D462" s="30" t="n"/>
      <c r="E462" s="30" t="n"/>
      <c r="F462" s="31" t="n">
        <v>737.3</v>
      </c>
      <c r="G462" s="30" t="n"/>
    </row>
    <row r="464" ht="18.5" customHeight="1">
      <c r="A464" s="8" t="inlineStr">
        <is>
          <t>5.9</t>
        </is>
      </c>
      <c r="B464" s="17" t="inlineStr">
        <is>
          <t>Centering and shuttering including strutting, propping etc. and removal of form for</t>
        </is>
      </c>
      <c r="C464" s="9" t="n"/>
      <c r="D464" s="9" t="n"/>
      <c r="E464" s="9" t="n"/>
      <c r="F464" s="9" t="n"/>
      <c r="G464" s="9" t="n"/>
    </row>
    <row r="465" ht="18.5" customHeight="1">
      <c r="A465" s="18" t="inlineStr">
        <is>
          <t>5.9.17</t>
        </is>
      </c>
      <c r="B465" s="19" t="inlineStr">
        <is>
          <t>Cornices and mouldings</t>
        </is>
      </c>
      <c r="C465" s="20" t="n"/>
      <c r="D465" s="20" t="n"/>
      <c r="E465" s="20" t="n"/>
      <c r="F465" s="20" t="n"/>
      <c r="G465" s="20" t="n"/>
    </row>
    <row r="466">
      <c r="A466" s="21" t="inlineStr">
        <is>
          <t>Details of cost for 4 sqm   |   Source: CivilDAR_2019_Vol_1.pdf, page 213</t>
        </is>
      </c>
    </row>
    <row r="467">
      <c r="A467" s="5" t="inlineStr">
        <is>
          <t>Code</t>
        </is>
      </c>
      <c r="B467" s="5" t="inlineStr">
        <is>
          <t>Description</t>
        </is>
      </c>
      <c r="C467" s="5" t="inlineStr">
        <is>
          <t>Unit</t>
        </is>
      </c>
      <c r="D467" s="5" t="inlineStr">
        <is>
          <t>Quantity</t>
        </is>
      </c>
      <c r="E467" s="5" t="inlineStr">
        <is>
          <t>Rate (Rs.)</t>
        </is>
      </c>
      <c r="F467" s="5" t="inlineStr">
        <is>
          <t>Amount (Rs.)</t>
        </is>
      </c>
      <c r="G467" s="5" t="inlineStr">
        <is>
          <t>Note</t>
        </is>
      </c>
    </row>
    <row r="468">
      <c r="A468" s="22" t="inlineStr">
        <is>
          <t>1198</t>
        </is>
      </c>
      <c r="B468" s="11" t="inlineStr">
        <is>
          <t>Second class kail wood in planks</t>
        </is>
      </c>
      <c r="C468" s="22" t="inlineStr">
        <is>
          <t>10 cudm</t>
        </is>
      </c>
      <c r="D468" s="23" t="n">
        <v>2.275</v>
      </c>
      <c r="E468" s="24" t="n">
        <v>260</v>
      </c>
      <c r="F468" s="24">
        <f>D468*E468</f>
        <v/>
      </c>
      <c r="G468" s="22" t="n"/>
    </row>
    <row r="469">
      <c r="A469" s="22" t="inlineStr">
        <is>
          <t>1197</t>
        </is>
      </c>
      <c r="B469" s="11" t="inlineStr">
        <is>
          <t>Second class kail wood in scantling</t>
        </is>
      </c>
      <c r="C469" s="22" t="inlineStr">
        <is>
          <t>10 cudm</t>
        </is>
      </c>
      <c r="D469" s="23" t="n">
        <v>2.725</v>
      </c>
      <c r="E469" s="24" t="n">
        <v>260</v>
      </c>
      <c r="F469" s="24">
        <f>D469*E469</f>
        <v/>
      </c>
      <c r="G469" s="22" t="n"/>
    </row>
    <row r="470">
      <c r="A470" s="22" t="inlineStr">
        <is>
          <t>2447</t>
        </is>
      </c>
      <c r="B470" s="11" t="inlineStr">
        <is>
          <t>Hollock ballies 125 mm diameter</t>
        </is>
      </c>
      <c r="C470" s="22" t="inlineStr">
        <is>
          <t>metre</t>
        </is>
      </c>
      <c r="D470" s="23" t="n">
        <v>3.15</v>
      </c>
      <c r="E470" s="24" t="n">
        <v>35</v>
      </c>
      <c r="F470" s="24">
        <f>D470*E470</f>
        <v/>
      </c>
      <c r="G470" s="22" t="n"/>
    </row>
    <row r="471">
      <c r="A471" s="22" t="inlineStr">
        <is>
          <t>2204</t>
        </is>
      </c>
      <c r="B471" s="11" t="inlineStr">
        <is>
          <t>Carriage of Timber</t>
        </is>
      </c>
      <c r="C471" s="22" t="inlineStr">
        <is>
          <t>cum</t>
        </is>
      </c>
      <c r="D471" s="23" t="n">
        <v>0.0888</v>
      </c>
      <c r="E471" s="24" t="n">
        <v>118.59</v>
      </c>
      <c r="F471" s="24">
        <f>D471*E471</f>
        <v/>
      </c>
      <c r="G471" s="22" t="n"/>
    </row>
    <row r="472">
      <c r="A472" s="22" t="inlineStr">
        <is>
          <t>0112</t>
        </is>
      </c>
      <c r="B472" s="11" t="inlineStr">
        <is>
          <t>Carpenter 2nd class</t>
        </is>
      </c>
      <c r="C472" s="22" t="inlineStr">
        <is>
          <t>day</t>
        </is>
      </c>
      <c r="D472" s="23" t="n">
        <v>0.63</v>
      </c>
      <c r="E472" s="24" t="n">
        <v>679</v>
      </c>
      <c r="F472" s="24">
        <f>D472*E472</f>
        <v/>
      </c>
      <c r="G472" s="22" t="n"/>
    </row>
    <row r="473">
      <c r="A473" s="22" t="inlineStr">
        <is>
          <t>0114</t>
        </is>
      </c>
      <c r="B473" s="11" t="inlineStr">
        <is>
          <t>Beldar</t>
        </is>
      </c>
      <c r="C473" s="22" t="inlineStr">
        <is>
          <t>day</t>
        </is>
      </c>
      <c r="D473" s="23" t="n">
        <v>0.63</v>
      </c>
      <c r="E473" s="24" t="n">
        <v>558</v>
      </c>
      <c r="F473" s="24">
        <f>D473*E473</f>
        <v/>
      </c>
      <c r="G473" s="22" t="n"/>
    </row>
    <row r="474">
      <c r="A474" s="22" t="inlineStr">
        <is>
          <t>9999</t>
        </is>
      </c>
      <c r="B474" s="11" t="inlineStr">
        <is>
          <t>Sundries</t>
        </is>
      </c>
      <c r="C474" s="22" t="inlineStr">
        <is>
          <t>L.S.</t>
        </is>
      </c>
      <c r="D474" s="23" t="n">
        <v>6.5</v>
      </c>
      <c r="E474" s="24" t="n">
        <v>2</v>
      </c>
      <c r="F474" s="24">
        <f>D474*E474</f>
        <v/>
      </c>
      <c r="G474" s="22" t="n"/>
    </row>
    <row r="475">
      <c r="A475" s="8" t="inlineStr">
        <is>
          <t>Calculated W - SUM of the Amount column above</t>
        </is>
      </c>
      <c r="B475" s="9" t="n"/>
      <c r="C475" s="9" t="n"/>
      <c r="D475" s="9" t="n"/>
      <c r="E475" s="9" t="n"/>
      <c r="F475" s="25">
        <f>SUM(F468:F474)</f>
        <v/>
      </c>
      <c r="G475" s="9" t="n"/>
    </row>
    <row r="476">
      <c r="A476" s="26" t="inlineStr">
        <is>
          <t>W as printed in the DAR</t>
        </is>
      </c>
      <c r="B476" s="22" t="n"/>
      <c r="C476" s="22" t="n"/>
      <c r="D476" s="22" t="n"/>
      <c r="E476" s="22" t="n"/>
      <c r="F476" s="27" t="n">
        <v>2213.09</v>
      </c>
      <c r="G476" s="22" t="n"/>
    </row>
    <row r="477">
      <c r="A477" s="26" t="inlineStr">
        <is>
          <t>Difference (calculated - printed)</t>
        </is>
      </c>
      <c r="B477" s="22" t="n"/>
      <c r="C477" s="22" t="n"/>
      <c r="D477" s="22" t="n"/>
      <c r="E477" s="22" t="n"/>
      <c r="F477" s="27">
        <f>F475-F476</f>
        <v/>
      </c>
      <c r="G477" s="22" t="n"/>
    </row>
    <row r="478">
      <c r="A478" s="29" t="inlineStr">
        <is>
          <t>SAY (Rs.) - final DAR rate as printed (fixed value, not computed)</t>
        </is>
      </c>
      <c r="B478" s="30" t="n"/>
      <c r="C478" s="30" t="n"/>
      <c r="D478" s="30" t="n"/>
      <c r="E478" s="30" t="n"/>
      <c r="F478" s="31" t="n">
        <v>740.25</v>
      </c>
      <c r="G478" s="30" t="n"/>
    </row>
    <row r="480" ht="18.5" customHeight="1">
      <c r="A480" s="8" t="inlineStr">
        <is>
          <t>5.9</t>
        </is>
      </c>
      <c r="B480" s="17" t="inlineStr">
        <is>
          <t>Centering and shuttering including strutting, propping etc. and removal of form for</t>
        </is>
      </c>
      <c r="C480" s="9" t="n"/>
      <c r="D480" s="9" t="n"/>
      <c r="E480" s="9" t="n"/>
      <c r="F480" s="9" t="n"/>
      <c r="G480" s="9" t="n"/>
    </row>
    <row r="481" ht="18.5" customHeight="1">
      <c r="A481" s="18" t="inlineStr">
        <is>
          <t>5.9.18</t>
        </is>
      </c>
      <c r="B481" s="19" t="inlineStr">
        <is>
          <t>Small surfaces such as cantilever ends, brackets and ends of steps, caps and bases to pilasters and columns and the like</t>
        </is>
      </c>
      <c r="C481" s="20" t="n"/>
      <c r="D481" s="20" t="n"/>
      <c r="E481" s="20" t="n"/>
      <c r="F481" s="20" t="n"/>
      <c r="G481" s="20" t="n"/>
    </row>
    <row r="482">
      <c r="A482" s="21" t="inlineStr">
        <is>
          <t>Details of cost for 2.525 sqm   |   Source: CivilDAR_2019_Vol_1.pdf, page 214</t>
        </is>
      </c>
    </row>
    <row r="483">
      <c r="A483" s="5" t="inlineStr">
        <is>
          <t>Code</t>
        </is>
      </c>
      <c r="B483" s="5" t="inlineStr">
        <is>
          <t>Description</t>
        </is>
      </c>
      <c r="C483" s="5" t="inlineStr">
        <is>
          <t>Unit</t>
        </is>
      </c>
      <c r="D483" s="5" t="inlineStr">
        <is>
          <t>Quantity</t>
        </is>
      </c>
      <c r="E483" s="5" t="inlineStr">
        <is>
          <t>Rate (Rs.)</t>
        </is>
      </c>
      <c r="F483" s="5" t="inlineStr">
        <is>
          <t>Amount (Rs.)</t>
        </is>
      </c>
      <c r="G483" s="5" t="inlineStr">
        <is>
          <t>Note</t>
        </is>
      </c>
    </row>
    <row r="484">
      <c r="A484" s="22" t="inlineStr">
        <is>
          <t>1198</t>
        </is>
      </c>
      <c r="B484" s="11" t="inlineStr">
        <is>
          <t>Second class kail wood in planks</t>
        </is>
      </c>
      <c r="C484" s="22" t="inlineStr">
        <is>
          <t>10 cudm</t>
        </is>
      </c>
      <c r="D484" s="23" t="n">
        <v>1.3375</v>
      </c>
      <c r="E484" s="24" t="n">
        <v>260</v>
      </c>
      <c r="F484" s="24">
        <f>D484*E484</f>
        <v/>
      </c>
      <c r="G484" s="22" t="n"/>
    </row>
    <row r="485">
      <c r="A485" s="22" t="inlineStr">
        <is>
          <t>1197</t>
        </is>
      </c>
      <c r="B485" s="11" t="inlineStr">
        <is>
          <t>Second class kail wood in scantling</t>
        </is>
      </c>
      <c r="C485" s="22" t="inlineStr">
        <is>
          <t>10 cudm</t>
        </is>
      </c>
      <c r="D485" s="23" t="n">
        <v>0.315</v>
      </c>
      <c r="E485" s="24" t="n">
        <v>260</v>
      </c>
      <c r="F485" s="24">
        <f>D485*E485</f>
        <v/>
      </c>
      <c r="G485" s="22" t="n"/>
    </row>
    <row r="486">
      <c r="A486" s="22" t="inlineStr">
        <is>
          <t>2447</t>
        </is>
      </c>
      <c r="B486" s="11" t="inlineStr">
        <is>
          <t>Hollock ballies 125 mm diameter</t>
        </is>
      </c>
      <c r="C486" s="22" t="inlineStr">
        <is>
          <t>metre</t>
        </is>
      </c>
      <c r="D486" s="23" t="n">
        <v>0.6763</v>
      </c>
      <c r="E486" s="24" t="n">
        <v>35</v>
      </c>
      <c r="F486" s="24">
        <f>D486*E486</f>
        <v/>
      </c>
      <c r="G486" s="22" t="n"/>
    </row>
    <row r="487">
      <c r="A487" s="22" t="inlineStr">
        <is>
          <t>2204</t>
        </is>
      </c>
      <c r="B487" s="11" t="inlineStr">
        <is>
          <t>Carriage of Timber</t>
        </is>
      </c>
      <c r="C487" s="22" t="inlineStr">
        <is>
          <t>cum</t>
        </is>
      </c>
      <c r="D487" s="23" t="n">
        <v>0.0248</v>
      </c>
      <c r="E487" s="24" t="n">
        <v>118.59</v>
      </c>
      <c r="F487" s="24">
        <f>D487*E487</f>
        <v/>
      </c>
      <c r="G487" s="22" t="n"/>
    </row>
    <row r="488">
      <c r="A488" s="22" t="inlineStr">
        <is>
          <t>0112</t>
        </is>
      </c>
      <c r="B488" s="11" t="inlineStr">
        <is>
          <t>Carpenter 2nd class</t>
        </is>
      </c>
      <c r="C488" s="22" t="inlineStr">
        <is>
          <t>day</t>
        </is>
      </c>
      <c r="D488" s="23" t="n">
        <v>0.8</v>
      </c>
      <c r="E488" s="24" t="n">
        <v>679</v>
      </c>
      <c r="F488" s="24">
        <f>D488*E488</f>
        <v/>
      </c>
      <c r="G488" s="22" t="n"/>
    </row>
    <row r="489">
      <c r="A489" s="22" t="inlineStr">
        <is>
          <t>0114</t>
        </is>
      </c>
      <c r="B489" s="11" t="inlineStr">
        <is>
          <t>Beldar</t>
        </is>
      </c>
      <c r="C489" s="22" t="inlineStr">
        <is>
          <t>day</t>
        </is>
      </c>
      <c r="D489" s="23" t="n">
        <v>0.8</v>
      </c>
      <c r="E489" s="24" t="n">
        <v>558</v>
      </c>
      <c r="F489" s="24">
        <f>D489*E489</f>
        <v/>
      </c>
      <c r="G489" s="22" t="n"/>
    </row>
    <row r="490">
      <c r="A490" s="22" t="inlineStr">
        <is>
          <t>9999</t>
        </is>
      </c>
      <c r="B490" s="11" t="inlineStr">
        <is>
          <t>Sundries</t>
        </is>
      </c>
      <c r="C490" s="22" t="inlineStr">
        <is>
          <t>L.S.</t>
        </is>
      </c>
      <c r="D490" s="23" t="n">
        <v>7.15</v>
      </c>
      <c r="E490" s="24" t="n">
        <v>2</v>
      </c>
      <c r="F490" s="24">
        <f>D490*E490</f>
        <v/>
      </c>
      <c r="G490" s="22" t="n"/>
    </row>
    <row r="491">
      <c r="A491" s="8" t="inlineStr">
        <is>
          <t>Calculated W - SUM of the Amount column above</t>
        </is>
      </c>
      <c r="B491" s="9" t="n"/>
      <c r="C491" s="9" t="n"/>
      <c r="D491" s="9" t="n"/>
      <c r="E491" s="9" t="n"/>
      <c r="F491" s="25">
        <f>SUM(F484:F490)</f>
        <v/>
      </c>
      <c r="G491" s="9" t="n"/>
    </row>
    <row r="492">
      <c r="A492" s="26" t="inlineStr">
        <is>
          <t>W as printed in the DAR</t>
        </is>
      </c>
      <c r="B492" s="22" t="n"/>
      <c r="C492" s="22" t="n"/>
      <c r="D492" s="22" t="n"/>
      <c r="E492" s="22" t="n"/>
      <c r="F492" s="27" t="n">
        <v>1460.16</v>
      </c>
      <c r="G492" s="22" t="n"/>
    </row>
    <row r="493">
      <c r="A493" s="26" t="inlineStr">
        <is>
          <t>Difference (calculated - printed)</t>
        </is>
      </c>
      <c r="B493" s="22" t="n"/>
      <c r="C493" s="22" t="n"/>
      <c r="D493" s="22" t="n"/>
      <c r="E493" s="22" t="n"/>
      <c r="F493" s="27">
        <f>F491-F492</f>
        <v/>
      </c>
      <c r="G493" s="22" t="n"/>
    </row>
    <row r="494">
      <c r="A494" s="29" t="inlineStr">
        <is>
          <t>SAY (Rs.) - final DAR rate as printed (fixed value, not computed)</t>
        </is>
      </c>
      <c r="B494" s="30" t="n"/>
      <c r="C494" s="30" t="n"/>
      <c r="D494" s="30" t="n"/>
      <c r="E494" s="30" t="n"/>
      <c r="F494" s="31" t="n">
        <v>773.7</v>
      </c>
      <c r="G494" s="30" t="n"/>
    </row>
    <row r="496" ht="18.5" customHeight="1">
      <c r="A496" s="8" t="inlineStr">
        <is>
          <t>5.9</t>
        </is>
      </c>
      <c r="B496" s="17" t="inlineStr">
        <is>
          <t>Centering and shuttering including strutting, propping etc. and removal of form for</t>
        </is>
      </c>
      <c r="C496" s="9" t="n"/>
      <c r="D496" s="9" t="n"/>
      <c r="E496" s="9" t="n"/>
      <c r="F496" s="9" t="n"/>
      <c r="G496" s="9" t="n"/>
    </row>
    <row r="497" ht="18.5" customHeight="1">
      <c r="A497" s="18" t="inlineStr">
        <is>
          <t>5.9.19</t>
        </is>
      </c>
      <c r="B497" s="19" t="inlineStr">
        <is>
          <t>Weather shade, Chajjas, corbels etc., including edges</t>
        </is>
      </c>
      <c r="C497" s="20" t="n"/>
      <c r="D497" s="20" t="n"/>
      <c r="E497" s="20" t="n"/>
      <c r="F497" s="20" t="n"/>
      <c r="G497" s="20" t="n"/>
    </row>
    <row r="498">
      <c r="A498" s="21" t="inlineStr">
        <is>
          <t>Details of cost for 0.954 sqm   |   Source: CivilDAR_2019_Vol_1.pdf, page 216</t>
        </is>
      </c>
    </row>
    <row r="499">
      <c r="A499" s="5" t="inlineStr">
        <is>
          <t>Code</t>
        </is>
      </c>
      <c r="B499" s="5" t="inlineStr">
        <is>
          <t>Description</t>
        </is>
      </c>
      <c r="C499" s="5" t="inlineStr">
        <is>
          <t>Unit</t>
        </is>
      </c>
      <c r="D499" s="5" t="inlineStr">
        <is>
          <t>Quantity</t>
        </is>
      </c>
      <c r="E499" s="5" t="inlineStr">
        <is>
          <t>Rate (Rs.)</t>
        </is>
      </c>
      <c r="F499" s="5" t="inlineStr">
        <is>
          <t>Amount (Rs.)</t>
        </is>
      </c>
      <c r="G499" s="5" t="inlineStr">
        <is>
          <t>Note</t>
        </is>
      </c>
    </row>
    <row r="500">
      <c r="A500" s="22" t="inlineStr">
        <is>
          <t>1198</t>
        </is>
      </c>
      <c r="B500" s="11" t="inlineStr">
        <is>
          <t>Second class kail wood in planks</t>
        </is>
      </c>
      <c r="C500" s="22" t="inlineStr">
        <is>
          <t>10 cudm</t>
        </is>
      </c>
      <c r="D500" s="23" t="n">
        <v>0.5125</v>
      </c>
      <c r="E500" s="24" t="n">
        <v>260</v>
      </c>
      <c r="F500" s="24">
        <f>D500*E500</f>
        <v/>
      </c>
      <c r="G500" s="22" t="n"/>
    </row>
    <row r="501">
      <c r="A501" s="22" t="inlineStr">
        <is>
          <t>1197</t>
        </is>
      </c>
      <c r="B501" s="11" t="inlineStr">
        <is>
          <t>Second class kail wood in scantling</t>
        </is>
      </c>
      <c r="C501" s="22" t="inlineStr">
        <is>
          <t>10 cudm</t>
        </is>
      </c>
      <c r="D501" s="23" t="n">
        <v>0.15</v>
      </c>
      <c r="E501" s="24" t="n">
        <v>260</v>
      </c>
      <c r="F501" s="24">
        <f>D501*E501</f>
        <v/>
      </c>
      <c r="G501" s="22" t="n"/>
    </row>
    <row r="502">
      <c r="A502" s="22" t="inlineStr">
        <is>
          <t>2447</t>
        </is>
      </c>
      <c r="B502" s="11" t="inlineStr">
        <is>
          <t>Hollock ballies 125 mm diameter</t>
        </is>
      </c>
      <c r="C502" s="22" t="inlineStr">
        <is>
          <t>metre</t>
        </is>
      </c>
      <c r="D502" s="23" t="n">
        <v>0.5513</v>
      </c>
      <c r="E502" s="24" t="n">
        <v>35</v>
      </c>
      <c r="F502" s="24">
        <f>D502*E502</f>
        <v/>
      </c>
      <c r="G502" s="22" t="n"/>
    </row>
    <row r="503">
      <c r="A503" s="22" t="inlineStr">
        <is>
          <t>2204</t>
        </is>
      </c>
      <c r="B503" s="11" t="inlineStr">
        <is>
          <t>Carriage of Timber</t>
        </is>
      </c>
      <c r="C503" s="22" t="inlineStr">
        <is>
          <t>cum</t>
        </is>
      </c>
      <c r="D503" s="23" t="n">
        <v>0.01338</v>
      </c>
      <c r="E503" s="24" t="n">
        <v>118.59</v>
      </c>
      <c r="F503" s="24">
        <f>D503*E503</f>
        <v/>
      </c>
      <c r="G503" s="22" t="n"/>
    </row>
    <row r="504">
      <c r="A504" s="22" t="inlineStr">
        <is>
          <t>0112</t>
        </is>
      </c>
      <c r="B504" s="11" t="inlineStr">
        <is>
          <t>Carpenter 2nd class</t>
        </is>
      </c>
      <c r="C504" s="22" t="inlineStr">
        <is>
          <t>day</t>
        </is>
      </c>
      <c r="D504" s="23" t="n">
        <v>0.3</v>
      </c>
      <c r="E504" s="24" t="n">
        <v>679</v>
      </c>
      <c r="F504" s="24">
        <f>D504*E504</f>
        <v/>
      </c>
      <c r="G504" s="22" t="n"/>
    </row>
    <row r="505">
      <c r="A505" s="22" t="inlineStr">
        <is>
          <t>0114</t>
        </is>
      </c>
      <c r="B505" s="11" t="inlineStr">
        <is>
          <t>Beldar</t>
        </is>
      </c>
      <c r="C505" s="22" t="inlineStr">
        <is>
          <t>day</t>
        </is>
      </c>
      <c r="D505" s="23" t="n">
        <v>0.25</v>
      </c>
      <c r="E505" s="24" t="n">
        <v>558</v>
      </c>
      <c r="F505" s="24">
        <f>D505*E505</f>
        <v/>
      </c>
      <c r="G505" s="22" t="n"/>
    </row>
    <row r="506">
      <c r="A506" s="22" t="inlineStr">
        <is>
          <t>9999</t>
        </is>
      </c>
      <c r="B506" s="11" t="inlineStr">
        <is>
          <t>Sundries</t>
        </is>
      </c>
      <c r="C506" s="22" t="inlineStr">
        <is>
          <t>L.S.</t>
        </is>
      </c>
      <c r="D506" s="23" t="n">
        <v>5.2</v>
      </c>
      <c r="E506" s="24" t="n">
        <v>2</v>
      </c>
      <c r="F506" s="24">
        <f>D506*E506</f>
        <v/>
      </c>
      <c r="G506" s="22" t="n"/>
    </row>
    <row r="507">
      <c r="A507" s="8" t="inlineStr">
        <is>
          <t>Calculated W - SUM of the Amount column above</t>
        </is>
      </c>
      <c r="B507" s="9" t="n"/>
      <c r="C507" s="9" t="n"/>
      <c r="D507" s="9" t="n"/>
      <c r="E507" s="9" t="n"/>
      <c r="F507" s="25">
        <f>SUM(F500:F506)</f>
        <v/>
      </c>
      <c r="G507" s="9" t="n"/>
    </row>
    <row r="508">
      <c r="A508" s="26" t="inlineStr">
        <is>
          <t>W as printed in the DAR</t>
        </is>
      </c>
      <c r="B508" s="22" t="n"/>
      <c r="C508" s="22" t="n"/>
      <c r="D508" s="22" t="n"/>
      <c r="E508" s="22" t="n"/>
      <c r="F508" s="27" t="n">
        <v>546.73</v>
      </c>
      <c r="G508" s="22" t="n"/>
    </row>
    <row r="509">
      <c r="A509" s="26" t="inlineStr">
        <is>
          <t>Difference (calculated - printed)</t>
        </is>
      </c>
      <c r="B509" s="22" t="n"/>
      <c r="C509" s="22" t="n"/>
      <c r="D509" s="22" t="n"/>
      <c r="E509" s="22" t="n"/>
      <c r="F509" s="27">
        <f>F507-F508</f>
        <v/>
      </c>
      <c r="G509" s="22" t="n"/>
    </row>
    <row r="510">
      <c r="A510" s="29" t="inlineStr">
        <is>
          <t>SAY (Rs.) - final DAR rate as printed (fixed value, not computed)</t>
        </is>
      </c>
      <c r="B510" s="30" t="n"/>
      <c r="C510" s="30" t="n"/>
      <c r="D510" s="30" t="n"/>
      <c r="E510" s="30" t="n"/>
      <c r="F510" s="31" t="n">
        <v>766.75</v>
      </c>
      <c r="G510" s="30" t="n"/>
    </row>
    <row r="512" ht="18.5" customHeight="1">
      <c r="A512" s="8" t="inlineStr">
        <is>
          <t>5.9</t>
        </is>
      </c>
      <c r="B512" s="17" t="inlineStr">
        <is>
          <t>Centering and shuttering including strutting, propping etc. and removal of form for</t>
        </is>
      </c>
      <c r="C512" s="9" t="n"/>
      <c r="D512" s="9" t="n"/>
      <c r="E512" s="9" t="n"/>
      <c r="F512" s="9" t="n"/>
      <c r="G512" s="9" t="n"/>
    </row>
    <row r="513" ht="18.5" customHeight="1">
      <c r="A513" s="18" t="inlineStr">
        <is>
          <t>5.9.20</t>
        </is>
      </c>
      <c r="B513" s="19" t="inlineStr">
        <is>
          <t>Suspended floors, roofs, landings, balconies and access platform. with water proof ply 12 mm thick</t>
        </is>
      </c>
      <c r="C513" s="20" t="n"/>
      <c r="D513" s="20" t="n"/>
      <c r="E513" s="20" t="n"/>
      <c r="F513" s="20" t="n"/>
      <c r="G513" s="20" t="n"/>
    </row>
    <row r="514">
      <c r="A514" s="21" t="inlineStr">
        <is>
          <t>Details of cost for 13.5 sqm   |   Source: CivilDAR_2019_Vol_1.pdf, page 217</t>
        </is>
      </c>
    </row>
    <row r="515">
      <c r="A515" s="5" t="inlineStr">
        <is>
          <t>Code</t>
        </is>
      </c>
      <c r="B515" s="5" t="inlineStr">
        <is>
          <t>Description</t>
        </is>
      </c>
      <c r="C515" s="5" t="inlineStr">
        <is>
          <t>Unit</t>
        </is>
      </c>
      <c r="D515" s="5" t="inlineStr">
        <is>
          <t>Quantity</t>
        </is>
      </c>
      <c r="E515" s="5" t="inlineStr">
        <is>
          <t>Rate (Rs.)</t>
        </is>
      </c>
      <c r="F515" s="5" t="inlineStr">
        <is>
          <t>Amount (Rs.)</t>
        </is>
      </c>
      <c r="G515" s="5" t="inlineStr">
        <is>
          <t>Note</t>
        </is>
      </c>
    </row>
    <row r="516">
      <c r="A516" s="7" t="inlineStr">
        <is>
          <t>10.1</t>
        </is>
      </c>
      <c r="B516" s="11" t="inlineStr">
        <is>
          <t>Rate as per item 10.1 - Structural steel work in single section, fixed with or without connecting plate, including cutting, hoistin...</t>
        </is>
      </c>
      <c r="C516" s="22" t="inlineStr">
        <is>
          <t>kg</t>
        </is>
      </c>
      <c r="D516" s="23" t="n">
        <v>5.425</v>
      </c>
      <c r="E516" s="24" t="n">
        <v>86.05</v>
      </c>
      <c r="F516" s="24">
        <f>D516*E516</f>
        <v/>
      </c>
      <c r="G516" s="22" t="n"/>
    </row>
    <row r="517">
      <c r="A517" s="22" t="inlineStr">
        <is>
          <t>1215</t>
        </is>
      </c>
      <c r="B517" s="11" t="inlineStr">
        <is>
          <t>Welding by electric plant</t>
        </is>
      </c>
      <c r="C517" s="22" t="inlineStr">
        <is>
          <t>cm</t>
        </is>
      </c>
      <c r="D517" s="23" t="n">
        <v>24</v>
      </c>
      <c r="E517" s="24" t="n">
        <v>2</v>
      </c>
      <c r="F517" s="24">
        <f>D517*E517</f>
        <v/>
      </c>
      <c r="G517" s="22" t="n"/>
    </row>
    <row r="518">
      <c r="A518" s="22" t="inlineStr">
        <is>
          <t>8659</t>
        </is>
      </c>
      <c r="B518" s="11" t="inlineStr">
        <is>
          <t>Water proof ply 12mm thick.</t>
        </is>
      </c>
      <c r="C518" s="22" t="inlineStr">
        <is>
          <t>sqm</t>
        </is>
      </c>
      <c r="D518" s="23" t="n">
        <v>1.77</v>
      </c>
      <c r="E518" s="24" t="n">
        <v>517</v>
      </c>
      <c r="F518" s="24">
        <f>D518*E518</f>
        <v/>
      </c>
      <c r="G518" s="22" t="n"/>
    </row>
    <row r="519">
      <c r="A519" s="22" t="inlineStr">
        <is>
          <t>0112</t>
        </is>
      </c>
      <c r="B519" s="11" t="inlineStr">
        <is>
          <t>Carpenter 2nd class</t>
        </is>
      </c>
      <c r="C519" s="22" t="inlineStr">
        <is>
          <t>day</t>
        </is>
      </c>
      <c r="D519" s="23" t="n">
        <v>0.125</v>
      </c>
      <c r="E519" s="24" t="n">
        <v>679</v>
      </c>
      <c r="F519" s="24">
        <f>D519*E519</f>
        <v/>
      </c>
      <c r="G519" s="22" t="n"/>
    </row>
    <row r="520">
      <c r="A520" s="22" t="inlineStr">
        <is>
          <t>0114</t>
        </is>
      </c>
      <c r="B520" s="11" t="inlineStr">
        <is>
          <t>Beldar</t>
        </is>
      </c>
      <c r="C520" s="22" t="inlineStr">
        <is>
          <t>day</t>
        </is>
      </c>
      <c r="D520" s="23" t="n">
        <v>0.125</v>
      </c>
      <c r="E520" s="24" t="n">
        <v>558</v>
      </c>
      <c r="F520" s="24">
        <f>D520*E520</f>
        <v/>
      </c>
      <c r="G520" s="22" t="n"/>
    </row>
    <row r="521">
      <c r="A521" s="22" t="inlineStr">
        <is>
          <t>1034</t>
        </is>
      </c>
      <c r="B521" s="11" t="inlineStr">
        <is>
          <t>Bolts and nuts upto 300 mm in length</t>
        </is>
      </c>
      <c r="C521" s="22" t="inlineStr">
        <is>
          <t>quintal</t>
        </is>
      </c>
      <c r="D521" s="23" t="n">
        <v>0.0021</v>
      </c>
      <c r="E521" s="24" t="n">
        <v>4800</v>
      </c>
      <c r="F521" s="24">
        <f>D521*E521</f>
        <v/>
      </c>
      <c r="G521" s="22" t="n"/>
    </row>
    <row r="522">
      <c r="A522" s="22" t="inlineStr">
        <is>
          <t>7342</t>
        </is>
      </c>
      <c r="B522" s="11" t="inlineStr">
        <is>
          <t>Adjustable span ESO+SI (2.35-3.40)</t>
        </is>
      </c>
      <c r="C522" s="22" t="inlineStr">
        <is>
          <t>each</t>
        </is>
      </c>
      <c r="D522" s="23" t="n">
        <v>0.1063</v>
      </c>
      <c r="E522" s="24" t="n">
        <v>1480</v>
      </c>
      <c r="F522" s="24">
        <f>D522*E522</f>
        <v/>
      </c>
      <c r="G522" s="22" t="n"/>
    </row>
    <row r="523">
      <c r="A523" s="22" t="inlineStr">
        <is>
          <t>7343</t>
        </is>
      </c>
      <c r="B523" s="11" t="inlineStr">
        <is>
          <t>Adjustable telescopic prop 3 m (2.02-3.75 m)</t>
        </is>
      </c>
      <c r="C523" s="22" t="inlineStr">
        <is>
          <t>each</t>
        </is>
      </c>
      <c r="D523" s="23" t="n">
        <v>0.1275</v>
      </c>
      <c r="E523" s="24" t="n">
        <v>955</v>
      </c>
      <c r="F523" s="24">
        <f>D523*E523</f>
        <v/>
      </c>
      <c r="G523" s="22" t="n"/>
    </row>
    <row r="524">
      <c r="A524" s="22" t="inlineStr">
        <is>
          <t>9999</t>
        </is>
      </c>
      <c r="B524" s="11" t="inlineStr">
        <is>
          <t>Assembly nut &amp; bolts etc.</t>
        </is>
      </c>
      <c r="C524" s="22" t="inlineStr">
        <is>
          <t>L.S.</t>
        </is>
      </c>
      <c r="D524" s="23" t="n">
        <v>12.63</v>
      </c>
      <c r="E524" s="24" t="n">
        <v>2</v>
      </c>
      <c r="F524" s="24">
        <f>D524*E524</f>
        <v/>
      </c>
      <c r="G524" s="22" t="n"/>
    </row>
    <row r="525">
      <c r="A525" s="22" t="inlineStr">
        <is>
          <t>9977</t>
        </is>
      </c>
      <c r="B525" s="11" t="inlineStr">
        <is>
          <t>Carriage</t>
        </is>
      </c>
      <c r="C525" s="22" t="inlineStr">
        <is>
          <t>L.S.</t>
        </is>
      </c>
      <c r="D525" s="23" t="n">
        <v>130</v>
      </c>
      <c r="E525" s="24" t="n">
        <v>2</v>
      </c>
      <c r="F525" s="24">
        <f>D525*E525</f>
        <v/>
      </c>
      <c r="G525" s="22" t="n"/>
    </row>
    <row r="526">
      <c r="A526" s="22" t="inlineStr">
        <is>
          <t>0116</t>
        </is>
      </c>
      <c r="B526" s="11" t="inlineStr">
        <is>
          <t>Fitter (grade 1)</t>
        </is>
      </c>
      <c r="C526" s="22" t="inlineStr">
        <is>
          <t>day</t>
        </is>
      </c>
      <c r="D526" s="23" t="n">
        <v>3</v>
      </c>
      <c r="E526" s="24" t="n">
        <v>738</v>
      </c>
      <c r="F526" s="24">
        <f>D526*E526</f>
        <v/>
      </c>
      <c r="G526" s="22" t="n"/>
    </row>
    <row r="527">
      <c r="A527" s="22" t="inlineStr">
        <is>
          <t>0114</t>
        </is>
      </c>
      <c r="B527" s="11" t="inlineStr">
        <is>
          <t>Beldar</t>
        </is>
      </c>
      <c r="C527" s="22" t="inlineStr">
        <is>
          <t>day</t>
        </is>
      </c>
      <c r="D527" s="23" t="n">
        <v>6</v>
      </c>
      <c r="E527" s="24" t="n">
        <v>558</v>
      </c>
      <c r="F527" s="24">
        <f>D527*E527</f>
        <v/>
      </c>
      <c r="G527" s="22" t="n"/>
    </row>
    <row r="528">
      <c r="A528" s="22" t="inlineStr">
        <is>
          <t>9999</t>
        </is>
      </c>
      <c r="B528" s="11" t="inlineStr">
        <is>
          <t>Shuttering oil</t>
        </is>
      </c>
      <c r="C528" s="22" t="inlineStr">
        <is>
          <t>L.S.</t>
        </is>
      </c>
      <c r="D528" s="23" t="n">
        <v>78</v>
      </c>
      <c r="E528" s="24" t="n">
        <v>2</v>
      </c>
      <c r="F528" s="24">
        <f>D528*E528</f>
        <v/>
      </c>
      <c r="G528" s="22" t="n"/>
    </row>
    <row r="529">
      <c r="A529" s="22" t="inlineStr">
        <is>
          <t>9999</t>
        </is>
      </c>
      <c r="B529" s="11" t="inlineStr">
        <is>
          <t>Sundries</t>
        </is>
      </c>
      <c r="C529" s="22" t="inlineStr">
        <is>
          <t>L.S.</t>
        </is>
      </c>
      <c r="D529" s="23" t="n">
        <v>52</v>
      </c>
      <c r="E529" s="24" t="n">
        <v>2</v>
      </c>
      <c r="F529" s="24">
        <f>D529*E529</f>
        <v/>
      </c>
      <c r="G529" s="22" t="n"/>
    </row>
    <row r="530">
      <c r="A530" s="8" t="inlineStr">
        <is>
          <t>Calculated W - SUM of the Amount column above</t>
        </is>
      </c>
      <c r="B530" s="9" t="n"/>
      <c r="C530" s="9" t="n"/>
      <c r="D530" s="9" t="n"/>
      <c r="E530" s="9" t="n"/>
      <c r="F530" s="25">
        <f>SUM(F516:F529)</f>
        <v/>
      </c>
      <c r="G530" s="9" t="n"/>
    </row>
    <row r="531">
      <c r="A531" s="26" t="inlineStr">
        <is>
          <t>W as printed in the DAR</t>
        </is>
      </c>
      <c r="B531" s="22" t="n"/>
      <c r="C531" s="22" t="n"/>
      <c r="D531" s="22" t="n"/>
      <c r="E531" s="22" t="n"/>
      <c r="F531" s="27" t="n">
        <v>7980.96</v>
      </c>
      <c r="G531" s="22" t="n"/>
    </row>
    <row r="532">
      <c r="A532" s="26" t="inlineStr">
        <is>
          <t>Difference (calculated - printed)</t>
        </is>
      </c>
      <c r="B532" s="22" t="n"/>
      <c r="C532" s="22" t="n"/>
      <c r="D532" s="22" t="n"/>
      <c r="E532" s="22" t="n"/>
      <c r="F532" s="27">
        <f>F530-F531</f>
        <v/>
      </c>
      <c r="G532" s="22" t="n"/>
    </row>
    <row r="533">
      <c r="A533" s="29" t="inlineStr">
        <is>
          <t>SAY (Rs.) - final DAR rate as printed (fixed value, not computed)</t>
        </is>
      </c>
      <c r="B533" s="30" t="n"/>
      <c r="C533" s="30" t="n"/>
      <c r="D533" s="30" t="n"/>
      <c r="E533" s="30" t="n"/>
      <c r="F533" s="31" t="n">
        <v>779.3</v>
      </c>
      <c r="G533" s="30" t="n"/>
    </row>
    <row r="535" ht="18.5" customHeight="1">
      <c r="A535" s="8" t="inlineStr">
        <is>
          <t>5.9</t>
        </is>
      </c>
      <c r="B535" s="17" t="inlineStr">
        <is>
          <t>Centering and shuttering including strutting, propping etc. and removal of form for</t>
        </is>
      </c>
      <c r="C535" s="9" t="n"/>
      <c r="D535" s="9" t="n"/>
      <c r="E535" s="9" t="n"/>
      <c r="F535" s="9" t="n"/>
      <c r="G535" s="9" t="n"/>
    </row>
    <row r="536" ht="18.5" customHeight="1">
      <c r="A536" s="18" t="inlineStr">
        <is>
          <t>5.9.21</t>
        </is>
      </c>
      <c r="B536" s="19" t="inlineStr">
        <is>
          <t>Lintels, beams, plinth beams, girders, bressumers and cantilevers. with water proof ply 12 mm thick</t>
        </is>
      </c>
      <c r="C536" s="20" t="n"/>
      <c r="D536" s="20" t="n"/>
      <c r="E536" s="20" t="n"/>
      <c r="F536" s="20" t="n"/>
      <c r="G536" s="20" t="n"/>
    </row>
    <row r="537">
      <c r="A537" s="21" t="inlineStr">
        <is>
          <t>Details of cost for 7.8 sqm   |   Source: CivilDAR_2019_Vol_1.pdf, page 219</t>
        </is>
      </c>
    </row>
    <row r="538">
      <c r="A538" s="5" t="inlineStr">
        <is>
          <t>Code</t>
        </is>
      </c>
      <c r="B538" s="5" t="inlineStr">
        <is>
          <t>Description</t>
        </is>
      </c>
      <c r="C538" s="5" t="inlineStr">
        <is>
          <t>Unit</t>
        </is>
      </c>
      <c r="D538" s="5" t="inlineStr">
        <is>
          <t>Quantity</t>
        </is>
      </c>
      <c r="E538" s="5" t="inlineStr">
        <is>
          <t>Rate (Rs.)</t>
        </is>
      </c>
      <c r="F538" s="5" t="inlineStr">
        <is>
          <t>Amount (Rs.)</t>
        </is>
      </c>
      <c r="G538" s="5" t="inlineStr">
        <is>
          <t>Note</t>
        </is>
      </c>
    </row>
    <row r="539">
      <c r="A539" s="7" t="inlineStr">
        <is>
          <t>10.1</t>
        </is>
      </c>
      <c r="B539" s="11" t="inlineStr">
        <is>
          <t>Rate as per item 10.1 - Structural steel work in single section, fixed with or without connecting plate, including cutting, hoistin...</t>
        </is>
      </c>
      <c r="C539" s="22" t="inlineStr">
        <is>
          <t>kg</t>
        </is>
      </c>
      <c r="D539" s="23" t="n">
        <v>3.72</v>
      </c>
      <c r="E539" s="24" t="n">
        <v>86.05</v>
      </c>
      <c r="F539" s="24">
        <f>D539*E539</f>
        <v/>
      </c>
      <c r="G539" s="22" t="n"/>
    </row>
    <row r="540">
      <c r="A540" s="22" t="inlineStr">
        <is>
          <t>1215</t>
        </is>
      </c>
      <c r="B540" s="11" t="inlineStr">
        <is>
          <t>Welding by electric plant</t>
        </is>
      </c>
      <c r="C540" s="22" t="inlineStr">
        <is>
          <t>cm</t>
        </is>
      </c>
      <c r="D540" s="23" t="n">
        <v>12</v>
      </c>
      <c r="E540" s="24" t="n">
        <v>2</v>
      </c>
      <c r="F540" s="24">
        <f>D540*E540</f>
        <v/>
      </c>
      <c r="G540" s="22" t="n"/>
    </row>
    <row r="541">
      <c r="A541" s="22" t="inlineStr">
        <is>
          <t>8659</t>
        </is>
      </c>
      <c r="B541" s="11" t="inlineStr">
        <is>
          <t>Water proof ply 12mm thick.</t>
        </is>
      </c>
      <c r="C541" s="22" t="inlineStr">
        <is>
          <t>sqm</t>
        </is>
      </c>
      <c r="D541" s="23" t="n">
        <v>1.02</v>
      </c>
      <c r="E541" s="24" t="n">
        <v>517</v>
      </c>
      <c r="F541" s="24">
        <f>D541*E541</f>
        <v/>
      </c>
      <c r="G541" s="22" t="n"/>
    </row>
    <row r="542">
      <c r="A542" s="22" t="inlineStr">
        <is>
          <t>0112</t>
        </is>
      </c>
      <c r="B542" s="11" t="inlineStr">
        <is>
          <t>Carpenter 2nd class</t>
        </is>
      </c>
      <c r="C542" s="22" t="inlineStr">
        <is>
          <t>day</t>
        </is>
      </c>
      <c r="D542" s="23" t="n">
        <v>0.125</v>
      </c>
      <c r="E542" s="24" t="n">
        <v>679</v>
      </c>
      <c r="F542" s="24">
        <f>D542*E542</f>
        <v/>
      </c>
      <c r="G542" s="22" t="n"/>
    </row>
    <row r="543">
      <c r="A543" s="22" t="inlineStr">
        <is>
          <t>0114</t>
        </is>
      </c>
      <c r="B543" s="11" t="inlineStr">
        <is>
          <t>Beldar</t>
        </is>
      </c>
      <c r="C543" s="22" t="inlineStr">
        <is>
          <t>day</t>
        </is>
      </c>
      <c r="D543" s="23" t="n">
        <v>0.125</v>
      </c>
      <c r="E543" s="24" t="n">
        <v>558</v>
      </c>
      <c r="F543" s="24">
        <f>D543*E543</f>
        <v/>
      </c>
      <c r="G543" s="22" t="n"/>
    </row>
    <row r="544">
      <c r="A544" s="22" t="inlineStr">
        <is>
          <t>1034</t>
        </is>
      </c>
      <c r="B544" s="11" t="inlineStr">
        <is>
          <t>Bolts and nuts upto 300 mm in length</t>
        </is>
      </c>
      <c r="C544" s="22" t="inlineStr">
        <is>
          <t>quintal</t>
        </is>
      </c>
      <c r="D544" s="23" t="n">
        <v>0.0021</v>
      </c>
      <c r="E544" s="24" t="n">
        <v>4800</v>
      </c>
      <c r="F544" s="24">
        <f>D544*E544</f>
        <v/>
      </c>
      <c r="G544" s="22" t="n"/>
    </row>
    <row r="545">
      <c r="A545" s="22" t="inlineStr">
        <is>
          <t>7343</t>
        </is>
      </c>
      <c r="B545" s="11" t="inlineStr">
        <is>
          <t>Adjustable telescopic prop 3 m (2.02-3.75 m)</t>
        </is>
      </c>
      <c r="C545" s="22" t="inlineStr">
        <is>
          <t>each</t>
        </is>
      </c>
      <c r="D545" s="23" t="n">
        <v>0.1275</v>
      </c>
      <c r="E545" s="24" t="n">
        <v>955</v>
      </c>
      <c r="F545" s="24">
        <f>D545*E545</f>
        <v/>
      </c>
      <c r="G545" s="22" t="n"/>
    </row>
    <row r="546">
      <c r="A546" s="22" t="inlineStr">
        <is>
          <t>7344</t>
        </is>
      </c>
      <c r="B546" s="11" t="inlineStr">
        <is>
          <t>Beam clamp 300-380 mm (450-1070 mm) each</t>
        </is>
      </c>
      <c r="C546" s="22" t="inlineStr">
        <is>
          <t>set</t>
        </is>
      </c>
      <c r="D546" s="23" t="n">
        <v>0.1063</v>
      </c>
      <c r="E546" s="24" t="n">
        <v>355</v>
      </c>
      <c r="F546" s="24">
        <f>D546*E546</f>
        <v/>
      </c>
      <c r="G546" s="22" t="n"/>
    </row>
    <row r="547">
      <c r="A547" s="22" t="inlineStr">
        <is>
          <t>9999</t>
        </is>
      </c>
      <c r="B547" s="11" t="inlineStr">
        <is>
          <t>Assembly nut &amp; bolts etc.</t>
        </is>
      </c>
      <c r="C547" s="22" t="inlineStr">
        <is>
          <t>L.S.</t>
        </is>
      </c>
      <c r="D547" s="23" t="n">
        <v>11.05</v>
      </c>
      <c r="E547" s="24" t="n">
        <v>2</v>
      </c>
      <c r="F547" s="24">
        <f>D547*E547</f>
        <v/>
      </c>
      <c r="G547" s="22" t="n"/>
    </row>
    <row r="548">
      <c r="A548" s="22" t="inlineStr">
        <is>
          <t>9977</t>
        </is>
      </c>
      <c r="B548" s="11" t="inlineStr">
        <is>
          <t>Carriage</t>
        </is>
      </c>
      <c r="C548" s="22" t="inlineStr">
        <is>
          <t>L.S.</t>
        </is>
      </c>
      <c r="D548" s="23" t="n">
        <v>78</v>
      </c>
      <c r="E548" s="24" t="n">
        <v>2</v>
      </c>
      <c r="F548" s="24">
        <f>D548*E548</f>
        <v/>
      </c>
      <c r="G548" s="22" t="n"/>
    </row>
    <row r="549">
      <c r="A549" s="22" t="inlineStr">
        <is>
          <t>0116</t>
        </is>
      </c>
      <c r="B549" s="11" t="inlineStr">
        <is>
          <t>Fitter (grade 1)</t>
        </is>
      </c>
      <c r="C549" s="22" t="inlineStr">
        <is>
          <t>day</t>
        </is>
      </c>
      <c r="D549" s="23" t="n">
        <v>1.25</v>
      </c>
      <c r="E549" s="24" t="n">
        <v>738</v>
      </c>
      <c r="F549" s="24">
        <f>D549*E549</f>
        <v/>
      </c>
      <c r="G549" s="22" t="n"/>
    </row>
    <row r="550">
      <c r="A550" s="22" t="inlineStr">
        <is>
          <t>0114</t>
        </is>
      </c>
      <c r="B550" s="11" t="inlineStr">
        <is>
          <t>Beldar</t>
        </is>
      </c>
      <c r="C550" s="22" t="inlineStr">
        <is>
          <t>day</t>
        </is>
      </c>
      <c r="D550" s="23" t="n">
        <v>2.5</v>
      </c>
      <c r="E550" s="24" t="n">
        <v>558</v>
      </c>
      <c r="F550" s="24">
        <f>D550*E550</f>
        <v/>
      </c>
      <c r="G550" s="22" t="n"/>
    </row>
    <row r="551">
      <c r="A551" s="22" t="inlineStr">
        <is>
          <t>9999</t>
        </is>
      </c>
      <c r="B551" s="11" t="inlineStr">
        <is>
          <t>Shuttering oil</t>
        </is>
      </c>
      <c r="C551" s="22" t="inlineStr">
        <is>
          <t>L.S.</t>
        </is>
      </c>
      <c r="D551" s="23" t="n">
        <v>39</v>
      </c>
      <c r="E551" s="24" t="n">
        <v>2</v>
      </c>
      <c r="F551" s="24">
        <f>D551*E551</f>
        <v/>
      </c>
      <c r="G551" s="22" t="n"/>
    </row>
    <row r="552">
      <c r="A552" s="22" t="inlineStr">
        <is>
          <t>9999</t>
        </is>
      </c>
      <c r="B552" s="11" t="inlineStr">
        <is>
          <t>Sundries, paper tape etc.</t>
        </is>
      </c>
      <c r="C552" s="22" t="inlineStr">
        <is>
          <t>L.S.</t>
        </is>
      </c>
      <c r="D552" s="23" t="n">
        <v>26</v>
      </c>
      <c r="E552" s="24" t="n">
        <v>2</v>
      </c>
      <c r="F552" s="24">
        <f>D552*E552</f>
        <v/>
      </c>
      <c r="G552" s="22" t="n"/>
    </row>
    <row r="553">
      <c r="A553" s="8" t="inlineStr">
        <is>
          <t>Calculated W - SUM of the Amount column above</t>
        </is>
      </c>
      <c r="B553" s="9" t="n"/>
      <c r="C553" s="9" t="n"/>
      <c r="D553" s="9" t="n"/>
      <c r="E553" s="9" t="n"/>
      <c r="F553" s="25">
        <f>SUM(F539:F552)</f>
        <v/>
      </c>
      <c r="G553" s="9" t="n"/>
    </row>
    <row r="554">
      <c r="A554" s="26" t="inlineStr">
        <is>
          <t>W as printed in the DAR</t>
        </is>
      </c>
      <c r="B554" s="22" t="n"/>
      <c r="C554" s="22" t="n"/>
      <c r="D554" s="22" t="n"/>
      <c r="E554" s="22" t="n"/>
      <c r="F554" s="27" t="n">
        <v>3821.25</v>
      </c>
      <c r="G554" s="22" t="n"/>
    </row>
    <row r="555">
      <c r="A555" s="26" t="inlineStr">
        <is>
          <t>Difference (calculated - printed)</t>
        </is>
      </c>
      <c r="B555" s="22" t="n"/>
      <c r="C555" s="22" t="n"/>
      <c r="D555" s="22" t="n"/>
      <c r="E555" s="22" t="n"/>
      <c r="F555" s="27">
        <f>F553-F554</f>
        <v/>
      </c>
      <c r="G555" s="22" t="n"/>
    </row>
    <row r="556">
      <c r="A556" s="29" t="inlineStr">
        <is>
          <t>SAY (Rs.) - final DAR rate as printed (fixed value, not computed)</t>
        </is>
      </c>
      <c r="B556" s="30" t="n"/>
      <c r="C556" s="30" t="n"/>
      <c r="D556" s="30" t="n"/>
      <c r="E556" s="30" t="n"/>
      <c r="F556" s="31" t="n">
        <v>641.6</v>
      </c>
      <c r="G556" s="30" t="n"/>
    </row>
    <row r="558" ht="33" customHeight="1">
      <c r="A558" s="8" t="inlineStr">
        <is>
          <t>5.10</t>
        </is>
      </c>
      <c r="B558" s="17" t="inlineStr">
        <is>
          <t>Providing and fixing tie bolt, spring coil and plastic cone in wall shuttering complete as per the direction of Engineer-in-charge.</t>
        </is>
      </c>
      <c r="C558" s="9" t="n"/>
      <c r="D558" s="9" t="n"/>
      <c r="E558" s="9" t="n"/>
      <c r="F558" s="9" t="n"/>
      <c r="G558" s="9" t="n"/>
    </row>
    <row r="559" ht="18.5" customHeight="1">
      <c r="A559" s="18" t="inlineStr">
        <is>
          <t>5.10.1</t>
        </is>
      </c>
      <c r="B559" s="19" t="inlineStr">
        <is>
          <t>12 mm dia. &amp; 100 mm length</t>
        </is>
      </c>
      <c r="C559" s="20" t="n"/>
      <c r="D559" s="20" t="n"/>
      <c r="E559" s="20" t="n"/>
      <c r="F559" s="20" t="n"/>
      <c r="G559" s="20" t="n"/>
    </row>
    <row r="560">
      <c r="A560" s="21" t="inlineStr">
        <is>
          <t>Details of cost for 24 sets   |   Source: CivilDAR_2019_Vol_1.pdf, page 220</t>
        </is>
      </c>
    </row>
    <row r="561">
      <c r="A561" s="5" t="inlineStr">
        <is>
          <t>Code</t>
        </is>
      </c>
      <c r="B561" s="5" t="inlineStr">
        <is>
          <t>Description</t>
        </is>
      </c>
      <c r="C561" s="5" t="inlineStr">
        <is>
          <t>Unit</t>
        </is>
      </c>
      <c r="D561" s="5" t="inlineStr">
        <is>
          <t>Quantity</t>
        </is>
      </c>
      <c r="E561" s="5" t="inlineStr">
        <is>
          <t>Rate (Rs.)</t>
        </is>
      </c>
      <c r="F561" s="5" t="inlineStr">
        <is>
          <t>Amount (Rs.)</t>
        </is>
      </c>
      <c r="G561" s="5" t="inlineStr">
        <is>
          <t>Note</t>
        </is>
      </c>
    </row>
    <row r="562">
      <c r="A562" s="22" t="inlineStr">
        <is>
          <t>7320</t>
        </is>
      </c>
      <c r="B562" s="11" t="inlineStr">
        <is>
          <t>Tie bolt 12 mm dia 100 mm length</t>
        </is>
      </c>
      <c r="C562" s="22" t="inlineStr">
        <is>
          <t>each</t>
        </is>
      </c>
      <c r="D562" s="23" t="n">
        <v>24</v>
      </c>
      <c r="E562" s="24" t="n">
        <v>38</v>
      </c>
      <c r="F562" s="24">
        <f>D562*E562</f>
        <v/>
      </c>
      <c r="G562" s="22" t="n"/>
    </row>
    <row r="563">
      <c r="A563" s="22" t="inlineStr">
        <is>
          <t>7324</t>
        </is>
      </c>
      <c r="B563" s="11" t="inlineStr">
        <is>
          <t>Spring coil 12 mm</t>
        </is>
      </c>
      <c r="C563" s="22" t="inlineStr">
        <is>
          <t>each</t>
        </is>
      </c>
      <c r="D563" s="23" t="n">
        <v>48</v>
      </c>
      <c r="E563" s="24" t="n">
        <v>15</v>
      </c>
      <c r="F563" s="24">
        <f>D563*E563</f>
        <v/>
      </c>
      <c r="G563" s="22" t="n"/>
    </row>
    <row r="564">
      <c r="A564" s="22" t="inlineStr">
        <is>
          <t>7325</t>
        </is>
      </c>
      <c r="B564" s="11" t="inlineStr">
        <is>
          <t>Plastic cone 12 mm dia</t>
        </is>
      </c>
      <c r="C564" s="22" t="inlineStr">
        <is>
          <t>each</t>
        </is>
      </c>
      <c r="D564" s="23" t="n">
        <v>48</v>
      </c>
      <c r="E564" s="24" t="n">
        <v>17</v>
      </c>
      <c r="F564" s="24">
        <f>D564*E564</f>
        <v/>
      </c>
      <c r="G564" s="22" t="n"/>
    </row>
    <row r="565">
      <c r="A565" s="22" t="inlineStr">
        <is>
          <t>9977</t>
        </is>
      </c>
      <c r="B565" s="11" t="inlineStr">
        <is>
          <t>Carriage:</t>
        </is>
      </c>
      <c r="C565" s="22" t="inlineStr">
        <is>
          <t>L.S.</t>
        </is>
      </c>
      <c r="D565" s="23" t="n">
        <v>13</v>
      </c>
      <c r="E565" s="24" t="n">
        <v>2</v>
      </c>
      <c r="F565" s="24">
        <f>D565*E565</f>
        <v/>
      </c>
      <c r="G565" s="22" t="n"/>
    </row>
    <row r="566">
      <c r="A566" s="22" t="inlineStr">
        <is>
          <t>9999</t>
        </is>
      </c>
      <c r="B566" s="11" t="inlineStr">
        <is>
          <t>Sundries</t>
        </is>
      </c>
      <c r="C566" s="22" t="inlineStr">
        <is>
          <t>L.S.</t>
        </is>
      </c>
      <c r="D566" s="23" t="n">
        <v>26</v>
      </c>
      <c r="E566" s="24" t="n">
        <v>2</v>
      </c>
      <c r="F566" s="24">
        <f>D566*E566</f>
        <v/>
      </c>
      <c r="G566" s="22" t="n"/>
    </row>
    <row r="567">
      <c r="A567" s="8" t="inlineStr">
        <is>
          <t>Calculated W - SUM of the Amount column above</t>
        </is>
      </c>
      <c r="B567" s="9" t="n"/>
      <c r="C567" s="9" t="n"/>
      <c r="D567" s="9" t="n"/>
      <c r="E567" s="9" t="n"/>
      <c r="F567" s="25">
        <f>SUM(F562:F566)</f>
        <v/>
      </c>
      <c r="G567" s="9" t="n"/>
    </row>
    <row r="568">
      <c r="A568" s="26" t="inlineStr">
        <is>
          <t>W as printed in the DAR</t>
        </is>
      </c>
      <c r="B568" s="22" t="n"/>
      <c r="C568" s="22" t="n"/>
      <c r="D568" s="22" t="n"/>
      <c r="E568" s="22" t="n"/>
      <c r="F568" s="27" t="n">
        <v>2526</v>
      </c>
      <c r="G568" s="22" t="n"/>
    </row>
    <row r="569">
      <c r="A569" s="26" t="inlineStr">
        <is>
          <t>Difference (calculated - printed)</t>
        </is>
      </c>
      <c r="B569" s="22" t="n"/>
      <c r="C569" s="22" t="n"/>
      <c r="D569" s="22" t="n"/>
      <c r="E569" s="22" t="n"/>
      <c r="F569" s="27">
        <f>F567-F568</f>
        <v/>
      </c>
      <c r="G569" s="22" t="n"/>
    </row>
    <row r="570">
      <c r="A570" s="29" t="inlineStr">
        <is>
          <t>SAY (Rs.) - final DAR rate as printed (fixed value, not computed)</t>
        </is>
      </c>
      <c r="B570" s="30" t="n"/>
      <c r="C570" s="30" t="n"/>
      <c r="D570" s="30" t="n"/>
      <c r="E570" s="30" t="n"/>
      <c r="F570" s="31" t="n">
        <v>140.8</v>
      </c>
      <c r="G570" s="30" t="n"/>
    </row>
    <row r="572" ht="33" customHeight="1">
      <c r="A572" s="8" t="inlineStr">
        <is>
          <t>5.10</t>
        </is>
      </c>
      <c r="B572" s="17" t="inlineStr">
        <is>
          <t>Providing and fixing tie bolt, spring coil and plastic cone in wall shuttering complete as per the direction of Engineer-in-charge.</t>
        </is>
      </c>
      <c r="C572" s="9" t="n"/>
      <c r="D572" s="9" t="n"/>
      <c r="E572" s="9" t="n"/>
      <c r="F572" s="9" t="n"/>
      <c r="G572" s="9" t="n"/>
    </row>
    <row r="573" ht="18.5" customHeight="1">
      <c r="A573" s="18" t="inlineStr">
        <is>
          <t>5.10.2</t>
        </is>
      </c>
      <c r="B573" s="19" t="inlineStr">
        <is>
          <t>12 mm dia. &amp; 150 mm length</t>
        </is>
      </c>
      <c r="C573" s="20" t="n"/>
      <c r="D573" s="20" t="n"/>
      <c r="E573" s="20" t="n"/>
      <c r="F573" s="20" t="n"/>
      <c r="G573" s="20" t="n"/>
    </row>
    <row r="574">
      <c r="A574" s="21" t="inlineStr">
        <is>
          <t>Details of cost for 24 sets   |   Source: CivilDAR_2019_Vol_1.pdf, page 220</t>
        </is>
      </c>
    </row>
    <row r="575">
      <c r="A575" s="5" t="inlineStr">
        <is>
          <t>Code</t>
        </is>
      </c>
      <c r="B575" s="5" t="inlineStr">
        <is>
          <t>Description</t>
        </is>
      </c>
      <c r="C575" s="5" t="inlineStr">
        <is>
          <t>Unit</t>
        </is>
      </c>
      <c r="D575" s="5" t="inlineStr">
        <is>
          <t>Quantity</t>
        </is>
      </c>
      <c r="E575" s="5" t="inlineStr">
        <is>
          <t>Rate (Rs.)</t>
        </is>
      </c>
      <c r="F575" s="5" t="inlineStr">
        <is>
          <t>Amount (Rs.)</t>
        </is>
      </c>
      <c r="G575" s="5" t="inlineStr">
        <is>
          <t>Note</t>
        </is>
      </c>
    </row>
    <row r="576">
      <c r="A576" s="22" t="inlineStr">
        <is>
          <t>7321</t>
        </is>
      </c>
      <c r="B576" s="11" t="inlineStr">
        <is>
          <t>Tie bolt 12 mm dia 150 mm length</t>
        </is>
      </c>
      <c r="C576" s="22" t="inlineStr">
        <is>
          <t>each</t>
        </is>
      </c>
      <c r="D576" s="23" t="n">
        <v>24</v>
      </c>
      <c r="E576" s="24" t="n">
        <v>48</v>
      </c>
      <c r="F576" s="24">
        <f>D576*E576</f>
        <v/>
      </c>
      <c r="G576" s="22" t="n"/>
    </row>
    <row r="577">
      <c r="A577" s="22" t="inlineStr">
        <is>
          <t>7324</t>
        </is>
      </c>
      <c r="B577" s="11" t="inlineStr">
        <is>
          <t>Spring coil 12 mm</t>
        </is>
      </c>
      <c r="C577" s="22" t="inlineStr">
        <is>
          <t>each</t>
        </is>
      </c>
      <c r="D577" s="23" t="n">
        <v>48</v>
      </c>
      <c r="E577" s="24" t="n">
        <v>15</v>
      </c>
      <c r="F577" s="24">
        <f>D577*E577</f>
        <v/>
      </c>
      <c r="G577" s="22" t="n"/>
    </row>
    <row r="578">
      <c r="A578" s="22" t="inlineStr">
        <is>
          <t>7325</t>
        </is>
      </c>
      <c r="B578" s="11" t="inlineStr">
        <is>
          <t>Plastic cone 12 mm dia</t>
        </is>
      </c>
      <c r="C578" s="22" t="inlineStr">
        <is>
          <t>each</t>
        </is>
      </c>
      <c r="D578" s="23" t="n">
        <v>48</v>
      </c>
      <c r="E578" s="24" t="n">
        <v>17</v>
      </c>
      <c r="F578" s="24">
        <f>D578*E578</f>
        <v/>
      </c>
      <c r="G578" s="22" t="n"/>
    </row>
    <row r="579">
      <c r="A579" s="22" t="inlineStr">
        <is>
          <t>9977</t>
        </is>
      </c>
      <c r="B579" s="11" t="inlineStr">
        <is>
          <t>Carriage:</t>
        </is>
      </c>
      <c r="C579" s="22" t="inlineStr">
        <is>
          <t>L.S.</t>
        </is>
      </c>
      <c r="D579" s="23" t="n">
        <v>13</v>
      </c>
      <c r="E579" s="24" t="n">
        <v>2</v>
      </c>
      <c r="F579" s="24">
        <f>D579*E579</f>
        <v/>
      </c>
      <c r="G579" s="22" t="n"/>
    </row>
    <row r="580">
      <c r="A580" s="22" t="inlineStr">
        <is>
          <t>9999</t>
        </is>
      </c>
      <c r="B580" s="11" t="inlineStr">
        <is>
          <t>Sundries</t>
        </is>
      </c>
      <c r="C580" s="22" t="inlineStr">
        <is>
          <t>L.S.</t>
        </is>
      </c>
      <c r="D580" s="23" t="n">
        <v>26</v>
      </c>
      <c r="E580" s="24" t="n">
        <v>2</v>
      </c>
      <c r="F580" s="24">
        <f>D580*E580</f>
        <v/>
      </c>
      <c r="G580" s="22" t="n"/>
    </row>
    <row r="581">
      <c r="A581" s="8" t="inlineStr">
        <is>
          <t>Calculated W - SUM of the Amount column above</t>
        </is>
      </c>
      <c r="B581" s="9" t="n"/>
      <c r="C581" s="9" t="n"/>
      <c r="D581" s="9" t="n"/>
      <c r="E581" s="9" t="n"/>
      <c r="F581" s="25">
        <f>SUM(F576:F580)</f>
        <v/>
      </c>
      <c r="G581" s="9" t="n"/>
    </row>
    <row r="582">
      <c r="A582" s="26" t="inlineStr">
        <is>
          <t>W as printed in the DAR</t>
        </is>
      </c>
      <c r="B582" s="22" t="n"/>
      <c r="C582" s="22" t="n"/>
      <c r="D582" s="22" t="n"/>
      <c r="E582" s="22" t="n"/>
      <c r="F582" s="27" t="n">
        <v>2766</v>
      </c>
      <c r="G582" s="22" t="n"/>
    </row>
    <row r="583">
      <c r="A583" s="26" t="inlineStr">
        <is>
          <t>Difference (calculated - printed)</t>
        </is>
      </c>
      <c r="B583" s="22" t="n"/>
      <c r="C583" s="22" t="n"/>
      <c r="D583" s="22" t="n"/>
      <c r="E583" s="22" t="n"/>
      <c r="F583" s="27">
        <f>F581-F582</f>
        <v/>
      </c>
      <c r="G583" s="22" t="n"/>
    </row>
    <row r="584">
      <c r="A584" s="29" t="inlineStr">
        <is>
          <t>SAY (Rs.) - final DAR rate as printed (fixed value, not computed)</t>
        </is>
      </c>
      <c r="B584" s="30" t="n"/>
      <c r="C584" s="30" t="n"/>
      <c r="D584" s="30" t="n"/>
      <c r="E584" s="30" t="n"/>
      <c r="F584" s="31" t="n">
        <v>154.2</v>
      </c>
      <c r="G584" s="30" t="n"/>
    </row>
    <row r="586" ht="33" customHeight="1">
      <c r="A586" s="8" t="inlineStr">
        <is>
          <t>5.10</t>
        </is>
      </c>
      <c r="B586" s="17" t="inlineStr">
        <is>
          <t>Providing and fixing tie bolt, spring coil and plastic cone in wall shuttering complete as per the direction of Engineer-in-charge.</t>
        </is>
      </c>
      <c r="C586" s="9" t="n"/>
      <c r="D586" s="9" t="n"/>
      <c r="E586" s="9" t="n"/>
      <c r="F586" s="9" t="n"/>
      <c r="G586" s="9" t="n"/>
    </row>
    <row r="587" ht="18.5" customHeight="1">
      <c r="A587" s="18" t="inlineStr">
        <is>
          <t>5.10.3</t>
        </is>
      </c>
      <c r="B587" s="19" t="inlineStr">
        <is>
          <t>20 mm dia. &amp; 150 mm length</t>
        </is>
      </c>
      <c r="C587" s="20" t="n"/>
      <c r="D587" s="20" t="n"/>
      <c r="E587" s="20" t="n"/>
      <c r="F587" s="20" t="n"/>
      <c r="G587" s="20" t="n"/>
    </row>
    <row r="588">
      <c r="A588" s="21" t="inlineStr">
        <is>
          <t>Details of cost for 24 sets   |   Source: CivilDAR_2019_Vol_1.pdf, page 221</t>
        </is>
      </c>
    </row>
    <row r="589">
      <c r="A589" s="5" t="inlineStr">
        <is>
          <t>Code</t>
        </is>
      </c>
      <c r="B589" s="5" t="inlineStr">
        <is>
          <t>Description</t>
        </is>
      </c>
      <c r="C589" s="5" t="inlineStr">
        <is>
          <t>Unit</t>
        </is>
      </c>
      <c r="D589" s="5" t="inlineStr">
        <is>
          <t>Quantity</t>
        </is>
      </c>
      <c r="E589" s="5" t="inlineStr">
        <is>
          <t>Rate (Rs.)</t>
        </is>
      </c>
      <c r="F589" s="5" t="inlineStr">
        <is>
          <t>Amount (Rs.)</t>
        </is>
      </c>
      <c r="G589" s="5" t="inlineStr">
        <is>
          <t>Note</t>
        </is>
      </c>
    </row>
    <row r="590">
      <c r="A590" s="22" t="inlineStr">
        <is>
          <t>7322</t>
        </is>
      </c>
      <c r="B590" s="11" t="inlineStr">
        <is>
          <t>Tie bolt 20 mm dia 150 mm length</t>
        </is>
      </c>
      <c r="C590" s="22" t="inlineStr">
        <is>
          <t>each</t>
        </is>
      </c>
      <c r="D590" s="23" t="n">
        <v>24</v>
      </c>
      <c r="E590" s="24" t="n">
        <v>57</v>
      </c>
      <c r="F590" s="24">
        <f>D590*E590</f>
        <v/>
      </c>
      <c r="G590" s="22" t="n"/>
    </row>
    <row r="591">
      <c r="A591" s="22" t="inlineStr">
        <is>
          <t>7324</t>
        </is>
      </c>
      <c r="B591" s="11" t="inlineStr">
        <is>
          <t>Spring coil 12 mm</t>
        </is>
      </c>
      <c r="C591" s="22" t="inlineStr">
        <is>
          <t>each</t>
        </is>
      </c>
      <c r="D591" s="23" t="n">
        <v>48</v>
      </c>
      <c r="E591" s="24" t="n">
        <v>15</v>
      </c>
      <c r="F591" s="24">
        <f>D591*E591</f>
        <v/>
      </c>
      <c r="G591" s="22" t="n"/>
    </row>
    <row r="592">
      <c r="A592" s="22" t="inlineStr">
        <is>
          <t>7325</t>
        </is>
      </c>
      <c r="B592" s="11" t="inlineStr">
        <is>
          <t>Plastic cone 12 mm dia</t>
        </is>
      </c>
      <c r="C592" s="22" t="inlineStr">
        <is>
          <t>each</t>
        </is>
      </c>
      <c r="D592" s="23" t="n">
        <v>48</v>
      </c>
      <c r="E592" s="24" t="n">
        <v>17</v>
      </c>
      <c r="F592" s="24">
        <f>D592*E592</f>
        <v/>
      </c>
      <c r="G592" s="22" t="n"/>
    </row>
    <row r="593">
      <c r="A593" s="22" t="inlineStr">
        <is>
          <t>9977</t>
        </is>
      </c>
      <c r="B593" s="11" t="inlineStr">
        <is>
          <t>Carriage:</t>
        </is>
      </c>
      <c r="C593" s="22" t="inlineStr">
        <is>
          <t>L.S.</t>
        </is>
      </c>
      <c r="D593" s="23" t="n">
        <v>13</v>
      </c>
      <c r="E593" s="24" t="n">
        <v>2</v>
      </c>
      <c r="F593" s="24">
        <f>D593*E593</f>
        <v/>
      </c>
      <c r="G593" s="22" t="n"/>
    </row>
    <row r="594">
      <c r="A594" s="22" t="inlineStr">
        <is>
          <t>9999</t>
        </is>
      </c>
      <c r="B594" s="11" t="inlineStr">
        <is>
          <t>Sundries</t>
        </is>
      </c>
      <c r="C594" s="22" t="inlineStr">
        <is>
          <t>L.S.</t>
        </is>
      </c>
      <c r="D594" s="23" t="n">
        <v>26</v>
      </c>
      <c r="E594" s="24" t="n">
        <v>2</v>
      </c>
      <c r="F594" s="24">
        <f>D594*E594</f>
        <v/>
      </c>
      <c r="G594" s="22" t="n"/>
    </row>
    <row r="595">
      <c r="A595" s="8" t="inlineStr">
        <is>
          <t>Calculated W - SUM of the Amount column above</t>
        </is>
      </c>
      <c r="B595" s="9" t="n"/>
      <c r="C595" s="9" t="n"/>
      <c r="D595" s="9" t="n"/>
      <c r="E595" s="9" t="n"/>
      <c r="F595" s="25">
        <f>SUM(F590:F594)</f>
        <v/>
      </c>
      <c r="G595" s="9" t="n"/>
    </row>
    <row r="596">
      <c r="A596" s="26" t="inlineStr">
        <is>
          <t>W as printed in the DAR</t>
        </is>
      </c>
      <c r="B596" s="22" t="n"/>
      <c r="C596" s="22" t="n"/>
      <c r="D596" s="22" t="n"/>
      <c r="E596" s="22" t="n"/>
      <c r="F596" s="27" t="n">
        <v>2982</v>
      </c>
      <c r="G596" s="22" t="n"/>
    </row>
    <row r="597">
      <c r="A597" s="26" t="inlineStr">
        <is>
          <t>Difference (calculated - printed)</t>
        </is>
      </c>
      <c r="B597" s="22" t="n"/>
      <c r="C597" s="22" t="n"/>
      <c r="D597" s="22" t="n"/>
      <c r="E597" s="22" t="n"/>
      <c r="F597" s="27">
        <f>F595-F596</f>
        <v/>
      </c>
      <c r="G597" s="22" t="n"/>
    </row>
    <row r="598">
      <c r="A598" s="29" t="inlineStr">
        <is>
          <t>SAY (Rs.) - final DAR rate as printed (fixed value, not computed)</t>
        </is>
      </c>
      <c r="B598" s="30" t="n"/>
      <c r="C598" s="30" t="n"/>
      <c r="D598" s="30" t="n"/>
      <c r="E598" s="30" t="n"/>
      <c r="F598" s="31" t="n">
        <v>166.25</v>
      </c>
      <c r="G598" s="30" t="n"/>
    </row>
    <row r="600" ht="33" customHeight="1">
      <c r="A600" s="8" t="inlineStr">
        <is>
          <t>5.10</t>
        </is>
      </c>
      <c r="B600" s="17" t="inlineStr">
        <is>
          <t>Providing and fixing tie bolt, spring coil and plastic cone in wall shuttering complete as per the direction of Engineer-in-charge.</t>
        </is>
      </c>
      <c r="C600" s="9" t="n"/>
      <c r="D600" s="9" t="n"/>
      <c r="E600" s="9" t="n"/>
      <c r="F600" s="9" t="n"/>
      <c r="G600" s="9" t="n"/>
    </row>
    <row r="601" ht="18.5" customHeight="1">
      <c r="A601" s="18" t="inlineStr">
        <is>
          <t>5.10.4</t>
        </is>
      </c>
      <c r="B601" s="19" t="inlineStr">
        <is>
          <t>20 mm dia.&amp; 225 mm length</t>
        </is>
      </c>
      <c r="C601" s="20" t="n"/>
      <c r="D601" s="20" t="n"/>
      <c r="E601" s="20" t="n"/>
      <c r="F601" s="20" t="n"/>
      <c r="G601" s="20" t="n"/>
    </row>
    <row r="602">
      <c r="A602" s="21" t="inlineStr">
        <is>
          <t>Details of cost for 24 sets   |   Source: CivilDAR_2019_Vol_1.pdf, page 221</t>
        </is>
      </c>
    </row>
    <row r="603">
      <c r="A603" s="5" t="inlineStr">
        <is>
          <t>Code</t>
        </is>
      </c>
      <c r="B603" s="5" t="inlineStr">
        <is>
          <t>Description</t>
        </is>
      </c>
      <c r="C603" s="5" t="inlineStr">
        <is>
          <t>Unit</t>
        </is>
      </c>
      <c r="D603" s="5" t="inlineStr">
        <is>
          <t>Quantity</t>
        </is>
      </c>
      <c r="E603" s="5" t="inlineStr">
        <is>
          <t>Rate (Rs.)</t>
        </is>
      </c>
      <c r="F603" s="5" t="inlineStr">
        <is>
          <t>Amount (Rs.)</t>
        </is>
      </c>
      <c r="G603" s="5" t="inlineStr">
        <is>
          <t>Note</t>
        </is>
      </c>
    </row>
    <row r="604">
      <c r="A604" s="22" t="inlineStr">
        <is>
          <t>7323</t>
        </is>
      </c>
      <c r="B604" s="11" t="inlineStr">
        <is>
          <t>Tie bolt 20 mm dia 225 mm length</t>
        </is>
      </c>
      <c r="C604" s="22" t="inlineStr">
        <is>
          <t>each</t>
        </is>
      </c>
      <c r="D604" s="23" t="n">
        <v>24</v>
      </c>
      <c r="E604" s="24" t="n">
        <v>67</v>
      </c>
      <c r="F604" s="24">
        <f>D604*E604</f>
        <v/>
      </c>
      <c r="G604" s="22" t="n"/>
    </row>
    <row r="605">
      <c r="A605" s="22" t="inlineStr">
        <is>
          <t>7324</t>
        </is>
      </c>
      <c r="B605" s="11" t="inlineStr">
        <is>
          <t>Spring coil 12 mm</t>
        </is>
      </c>
      <c r="C605" s="22" t="inlineStr">
        <is>
          <t>each</t>
        </is>
      </c>
      <c r="D605" s="23" t="n">
        <v>48</v>
      </c>
      <c r="E605" s="24" t="n">
        <v>15</v>
      </c>
      <c r="F605" s="24">
        <f>D605*E605</f>
        <v/>
      </c>
      <c r="G605" s="22" t="n"/>
    </row>
    <row r="606">
      <c r="A606" s="22" t="inlineStr">
        <is>
          <t>7325</t>
        </is>
      </c>
      <c r="B606" s="11" t="inlineStr">
        <is>
          <t>Plastic cone 12 mm dia</t>
        </is>
      </c>
      <c r="C606" s="22" t="inlineStr">
        <is>
          <t>each</t>
        </is>
      </c>
      <c r="D606" s="23" t="n">
        <v>48</v>
      </c>
      <c r="E606" s="24" t="n">
        <v>17</v>
      </c>
      <c r="F606" s="24">
        <f>D606*E606</f>
        <v/>
      </c>
      <c r="G606" s="22" t="n"/>
    </row>
    <row r="607">
      <c r="A607" s="22" t="inlineStr">
        <is>
          <t>9977</t>
        </is>
      </c>
      <c r="B607" s="11" t="inlineStr">
        <is>
          <t>Carriage:</t>
        </is>
      </c>
      <c r="C607" s="22" t="inlineStr">
        <is>
          <t>L.S.</t>
        </is>
      </c>
      <c r="D607" s="23" t="n">
        <v>13</v>
      </c>
      <c r="E607" s="24" t="n">
        <v>2</v>
      </c>
      <c r="F607" s="24">
        <f>D607*E607</f>
        <v/>
      </c>
      <c r="G607" s="22" t="n"/>
    </row>
    <row r="608">
      <c r="A608" s="22" t="inlineStr">
        <is>
          <t>9999</t>
        </is>
      </c>
      <c r="B608" s="11" t="inlineStr">
        <is>
          <t>Sundries</t>
        </is>
      </c>
      <c r="C608" s="22" t="inlineStr">
        <is>
          <t>L.S.</t>
        </is>
      </c>
      <c r="D608" s="23" t="n">
        <v>26</v>
      </c>
      <c r="E608" s="24" t="n">
        <v>2</v>
      </c>
      <c r="F608" s="24">
        <f>D608*E608</f>
        <v/>
      </c>
      <c r="G608" s="22" t="n"/>
    </row>
    <row r="609">
      <c r="A609" s="8" t="inlineStr">
        <is>
          <t>Calculated W - SUM of the Amount column above</t>
        </is>
      </c>
      <c r="B609" s="9" t="n"/>
      <c r="C609" s="9" t="n"/>
      <c r="D609" s="9" t="n"/>
      <c r="E609" s="9" t="n"/>
      <c r="F609" s="25">
        <f>SUM(F604:F608)</f>
        <v/>
      </c>
      <c r="G609" s="9" t="n"/>
    </row>
    <row r="610">
      <c r="A610" s="26" t="inlineStr">
        <is>
          <t>W as printed in the DAR</t>
        </is>
      </c>
      <c r="B610" s="22" t="n"/>
      <c r="C610" s="22" t="n"/>
      <c r="D610" s="22" t="n"/>
      <c r="E610" s="22" t="n"/>
      <c r="F610" s="27" t="n">
        <v>3222</v>
      </c>
      <c r="G610" s="22" t="n"/>
    </row>
    <row r="611">
      <c r="A611" s="26" t="inlineStr">
        <is>
          <t>Difference (calculated - printed)</t>
        </is>
      </c>
      <c r="B611" s="22" t="n"/>
      <c r="C611" s="22" t="n"/>
      <c r="D611" s="22" t="n"/>
      <c r="E611" s="22" t="n"/>
      <c r="F611" s="27">
        <f>F609-F610</f>
        <v/>
      </c>
      <c r="G611" s="22" t="n"/>
    </row>
    <row r="612">
      <c r="A612" s="29" t="inlineStr">
        <is>
          <t>SAY (Rs.) - final DAR rate as printed (fixed value, not computed)</t>
        </is>
      </c>
      <c r="B612" s="30" t="n"/>
      <c r="C612" s="30" t="n"/>
      <c r="D612" s="30" t="n"/>
      <c r="E612" s="30" t="n"/>
      <c r="F612" s="31" t="n">
        <v>179.6</v>
      </c>
      <c r="G612" s="30" t="n"/>
    </row>
    <row r="614" ht="47.5" customHeight="1">
      <c r="A614" s="8" t="inlineStr">
        <is>
          <t>5.11</t>
        </is>
      </c>
      <c r="B614" s="17" t="inlineStr">
        <is>
          <t>Extra for additional height in centering, shuttering where ever required with adequate bracing, propping etc., including cost of de-shuttering and decentering at all levels, over a height of 3.5 m, for every additional height of 1 metre or part thereof (Plan area to be measured).</t>
        </is>
      </c>
      <c r="C614" s="9" t="n"/>
      <c r="D614" s="9" t="n"/>
      <c r="E614" s="9" t="n"/>
      <c r="F614" s="9" t="n"/>
      <c r="G614" s="9" t="n"/>
    </row>
    <row r="615" ht="18.5" customHeight="1">
      <c r="A615" s="18" t="inlineStr">
        <is>
          <t>5.11.1</t>
        </is>
      </c>
      <c r="B615" s="19" t="inlineStr">
        <is>
          <t>Suspended floors, roofs, landing, beams and balconies (Plan area to be measured)</t>
        </is>
      </c>
      <c r="C615" s="20" t="n"/>
      <c r="D615" s="20" t="n"/>
      <c r="E615" s="20" t="n"/>
      <c r="F615" s="20" t="n"/>
      <c r="G615" s="20" t="n"/>
    </row>
    <row r="616">
      <c r="A616" s="21" t="inlineStr">
        <is>
          <t>Details of cost for 28.8 sqm   |   Source: CivilDAR_2019_Vol_1.pdf, page 222</t>
        </is>
      </c>
    </row>
    <row r="617">
      <c r="A617" s="5" t="inlineStr">
        <is>
          <t>Code</t>
        </is>
      </c>
      <c r="B617" s="5" t="inlineStr">
        <is>
          <t>Description</t>
        </is>
      </c>
      <c r="C617" s="5" t="inlineStr">
        <is>
          <t>Unit</t>
        </is>
      </c>
      <c r="D617" s="5" t="inlineStr">
        <is>
          <t>Quantity</t>
        </is>
      </c>
      <c r="E617" s="5" t="inlineStr">
        <is>
          <t>Rate (Rs.)</t>
        </is>
      </c>
      <c r="F617" s="5" t="inlineStr">
        <is>
          <t>Amount (Rs.)</t>
        </is>
      </c>
      <c r="G617" s="5" t="inlineStr">
        <is>
          <t>Note</t>
        </is>
      </c>
    </row>
    <row r="618">
      <c r="A618" s="22" t="inlineStr">
        <is>
          <t>7345</t>
        </is>
      </c>
      <c r="B618" s="11" t="inlineStr">
        <is>
          <t>Prop 4 m</t>
        </is>
      </c>
      <c r="C618" s="22" t="inlineStr">
        <is>
          <t>each</t>
        </is>
      </c>
      <c r="D618" s="23" t="n">
        <v>0.4463</v>
      </c>
      <c r="E618" s="24" t="n">
        <v>910</v>
      </c>
      <c r="F618" s="24">
        <f>D618*E618</f>
        <v/>
      </c>
      <c r="G618" s="22" t="n"/>
    </row>
    <row r="619">
      <c r="A619" s="22" t="inlineStr">
        <is>
          <t>7343</t>
        </is>
      </c>
      <c r="B619" s="11" t="inlineStr">
        <is>
          <t>Adjustable telescopic prop 3 m (2.02-3.75 m)</t>
        </is>
      </c>
      <c r="C619" s="22" t="inlineStr">
        <is>
          <t>each</t>
        </is>
      </c>
      <c r="D619" s="23" t="n">
        <v>-0.4463</v>
      </c>
      <c r="E619" s="24" t="n">
        <v>955</v>
      </c>
      <c r="F619" s="24">
        <f>D619*E619</f>
        <v/>
      </c>
      <c r="G619" s="22" t="n"/>
    </row>
    <row r="620">
      <c r="A620" s="22" t="inlineStr">
        <is>
          <t>7330</t>
        </is>
      </c>
      <c r="B620" s="11" t="inlineStr">
        <is>
          <t>M.S. tube 40 mm dia</t>
        </is>
      </c>
      <c r="C620" s="22" t="inlineStr">
        <is>
          <t>metre</t>
        </is>
      </c>
      <c r="D620" s="23" t="n">
        <v>1.0965</v>
      </c>
      <c r="E620" s="24" t="n">
        <v>215</v>
      </c>
      <c r="F620" s="24">
        <f>D620*E620</f>
        <v/>
      </c>
      <c r="G620" s="22" t="n"/>
    </row>
    <row r="621">
      <c r="A621" s="22" t="inlineStr">
        <is>
          <t>7346</t>
        </is>
      </c>
      <c r="B621" s="11" t="inlineStr">
        <is>
          <t>Double coupler (40x40)</t>
        </is>
      </c>
      <c r="C621" s="22" t="inlineStr">
        <is>
          <t>each</t>
        </is>
      </c>
      <c r="D621" s="23" t="n">
        <v>0.4463</v>
      </c>
      <c r="E621" s="24" t="n">
        <v>46</v>
      </c>
      <c r="F621" s="24">
        <f>D621*E621</f>
        <v/>
      </c>
      <c r="G621" s="22" t="n"/>
    </row>
    <row r="622">
      <c r="A622" s="22" t="inlineStr">
        <is>
          <t>9977</t>
        </is>
      </c>
      <c r="B622" s="11" t="inlineStr">
        <is>
          <t>Carriage</t>
        </is>
      </c>
      <c r="C622" s="22" t="inlineStr">
        <is>
          <t>L.S.</t>
        </is>
      </c>
      <c r="D622" s="23" t="n">
        <v>65</v>
      </c>
      <c r="E622" s="24" t="n">
        <v>2</v>
      </c>
      <c r="F622" s="24">
        <f>D622*E622</f>
        <v/>
      </c>
      <c r="G622" s="22" t="n"/>
    </row>
    <row r="623">
      <c r="A623" s="22" t="inlineStr">
        <is>
          <t>0116</t>
        </is>
      </c>
      <c r="B623" s="11" t="inlineStr">
        <is>
          <t>Fitter (grade 1)</t>
        </is>
      </c>
      <c r="C623" s="22" t="inlineStr">
        <is>
          <t>day</t>
        </is>
      </c>
      <c r="D623" s="23" t="n">
        <v>3</v>
      </c>
      <c r="E623" s="24" t="n">
        <v>738</v>
      </c>
      <c r="F623" s="24">
        <f>D623*E623</f>
        <v/>
      </c>
      <c r="G623" s="22" t="n"/>
    </row>
    <row r="624">
      <c r="A624" s="22" t="inlineStr">
        <is>
          <t>0114</t>
        </is>
      </c>
      <c r="B624" s="11" t="inlineStr">
        <is>
          <t>Beldar</t>
        </is>
      </c>
      <c r="C624" s="22" t="inlineStr">
        <is>
          <t>day</t>
        </is>
      </c>
      <c r="D624" s="23" t="n">
        <v>6</v>
      </c>
      <c r="E624" s="24" t="n">
        <v>558</v>
      </c>
      <c r="F624" s="24">
        <f>D624*E624</f>
        <v/>
      </c>
      <c r="G624" s="22" t="n"/>
    </row>
    <row r="625">
      <c r="A625" s="22" t="inlineStr">
        <is>
          <t>9999</t>
        </is>
      </c>
      <c r="B625" s="11" t="inlineStr">
        <is>
          <t>Sundries</t>
        </is>
      </c>
      <c r="C625" s="22" t="inlineStr">
        <is>
          <t>L.S.</t>
        </is>
      </c>
      <c r="D625" s="23" t="n">
        <v>130</v>
      </c>
      <c r="E625" s="24" t="n">
        <v>2</v>
      </c>
      <c r="F625" s="24">
        <f>D625*E625</f>
        <v/>
      </c>
      <c r="G625" s="22" t="n"/>
    </row>
    <row r="626">
      <c r="A626" s="8" t="inlineStr">
        <is>
          <t>Calculated W - SUM of the Amount column above</t>
        </is>
      </c>
      <c r="B626" s="9" t="n"/>
      <c r="C626" s="9" t="n"/>
      <c r="D626" s="9" t="n"/>
      <c r="E626" s="9" t="n"/>
      <c r="F626" s="25">
        <f>SUM(F618:F625)</f>
        <v/>
      </c>
      <c r="G626" s="9" t="n"/>
    </row>
    <row r="627">
      <c r="A627" s="26" t="inlineStr">
        <is>
          <t>W as printed in the DAR</t>
        </is>
      </c>
      <c r="B627" s="22" t="n"/>
      <c r="C627" s="22" t="n"/>
      <c r="D627" s="22" t="n"/>
      <c r="E627" s="22" t="n"/>
      <c r="F627" s="27" t="n">
        <v>6188.19</v>
      </c>
      <c r="G627" s="22" t="n"/>
    </row>
    <row r="628">
      <c r="A628" s="26" t="inlineStr">
        <is>
          <t>Difference (calculated - printed)</t>
        </is>
      </c>
      <c r="B628" s="22" t="n"/>
      <c r="C628" s="22" t="n"/>
      <c r="D628" s="22" t="n"/>
      <c r="E628" s="22" t="n"/>
      <c r="F628" s="27">
        <f>F626-F627</f>
        <v/>
      </c>
      <c r="G628" s="22" t="n"/>
    </row>
    <row r="629">
      <c r="A629" s="29" t="inlineStr">
        <is>
          <t>SAY (Rs.) - final DAR rate as printed (fixed value, not computed)</t>
        </is>
      </c>
      <c r="B629" s="30" t="n"/>
      <c r="C629" s="30" t="n"/>
      <c r="D629" s="30" t="n"/>
      <c r="E629" s="30" t="n"/>
      <c r="F629" s="31" t="n">
        <v>287.5</v>
      </c>
      <c r="G629" s="30" t="n"/>
    </row>
    <row r="631" ht="62" customHeight="1">
      <c r="A631" s="18" t="inlineStr">
        <is>
          <t>5.12</t>
        </is>
      </c>
      <c r="B631" s="19" t="inlineStr">
        <is>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 3 graded stone aggregate 20 mm nominal size).</t>
        </is>
      </c>
      <c r="C631" s="20" t="n"/>
      <c r="D631" s="20" t="n"/>
      <c r="E631" s="20" t="n"/>
      <c r="F631" s="20" t="n"/>
      <c r="G631" s="20" t="n"/>
    </row>
    <row r="632">
      <c r="A632" s="21" t="inlineStr">
        <is>
          <t>Details of cost for 1 cum   |   Source: CivilDAR_2019_Vol_1.pdf, page 223</t>
        </is>
      </c>
    </row>
    <row r="633">
      <c r="A633" s="5" t="inlineStr">
        <is>
          <t>Code</t>
        </is>
      </c>
      <c r="B633" s="5" t="inlineStr">
        <is>
          <t>Description</t>
        </is>
      </c>
      <c r="C633" s="5" t="inlineStr">
        <is>
          <t>Unit</t>
        </is>
      </c>
      <c r="D633" s="5" t="inlineStr">
        <is>
          <t>Quantity</t>
        </is>
      </c>
      <c r="E633" s="5" t="inlineStr">
        <is>
          <t>Rate (Rs.)</t>
        </is>
      </c>
      <c r="F633" s="5" t="inlineStr">
        <is>
          <t>Amount (Rs.)</t>
        </is>
      </c>
      <c r="G633" s="5" t="inlineStr">
        <is>
          <t>Note</t>
        </is>
      </c>
    </row>
    <row r="634">
      <c r="A634" s="7" t="inlineStr">
        <is>
          <t>4.5.1</t>
        </is>
      </c>
      <c r="B634" s="11" t="inlineStr">
        <is>
          <t>Rate as per item 4.5.1 - Providing and fixing up to floor five level precast cement concrete string or lacing courses, copings, bed...</t>
        </is>
      </c>
      <c r="C634" s="22" t="inlineStr">
        <is>
          <t>cum</t>
        </is>
      </c>
      <c r="D634" s="23" t="n">
        <v>1</v>
      </c>
      <c r="E634" s="24" t="n">
        <v>8537.75</v>
      </c>
      <c r="F634" s="24">
        <f>D634*E634</f>
        <v/>
      </c>
      <c r="G634" s="22" t="n"/>
    </row>
    <row r="635">
      <c r="A635" s="22" t="inlineStr">
        <is>
          <t>0114</t>
        </is>
      </c>
      <c r="B635" s="11" t="inlineStr">
        <is>
          <t>Beldar</t>
        </is>
      </c>
      <c r="C635" s="22" t="inlineStr">
        <is>
          <t>day</t>
        </is>
      </c>
      <c r="D635" s="23" t="n">
        <v>0.1</v>
      </c>
      <c r="E635" s="24" t="n">
        <v>558</v>
      </c>
      <c r="F635" s="24">
        <f>D635*E635</f>
        <v/>
      </c>
      <c r="G635" s="22" t="n"/>
    </row>
    <row r="636">
      <c r="A636" s="22" t="inlineStr">
        <is>
          <t>0101</t>
        </is>
      </c>
      <c r="B636" s="11" t="inlineStr">
        <is>
          <t>Bhisti</t>
        </is>
      </c>
      <c r="C636" s="22" t="inlineStr">
        <is>
          <t>day</t>
        </is>
      </c>
      <c r="D636" s="23" t="n">
        <v>0.2</v>
      </c>
      <c r="E636" s="24" t="n">
        <v>617</v>
      </c>
      <c r="F636" s="24">
        <f>D636*E636</f>
        <v/>
      </c>
      <c r="G636" s="22" t="n"/>
    </row>
    <row r="637">
      <c r="A637" s="22" t="inlineStr">
        <is>
          <t>0123</t>
        </is>
      </c>
      <c r="B637" s="11" t="inlineStr">
        <is>
          <t>Mason (brick layer) 1st class</t>
        </is>
      </c>
      <c r="C637" s="22" t="inlineStr">
        <is>
          <t>day</t>
        </is>
      </c>
      <c r="D637" s="23" t="n">
        <v>0.04</v>
      </c>
      <c r="E637" s="24" t="n">
        <v>738</v>
      </c>
      <c r="F637" s="24">
        <f>D637*E637</f>
        <v/>
      </c>
      <c r="G637" s="22" t="n"/>
    </row>
    <row r="638">
      <c r="A638" s="22" t="inlineStr">
        <is>
          <t>0124</t>
        </is>
      </c>
      <c r="B638" s="11" t="inlineStr">
        <is>
          <t>Mason (brick layer) 2nd class</t>
        </is>
      </c>
      <c r="C638" s="22" t="inlineStr">
        <is>
          <t>day</t>
        </is>
      </c>
      <c r="D638" s="23" t="n">
        <v>0.04</v>
      </c>
      <c r="E638" s="24" t="n">
        <v>679</v>
      </c>
      <c r="F638" s="24">
        <f>D638*E638</f>
        <v/>
      </c>
      <c r="G638" s="22" t="n"/>
    </row>
    <row r="639">
      <c r="A639" s="22" t="inlineStr">
        <is>
          <t>0128</t>
        </is>
      </c>
      <c r="B639" s="11" t="inlineStr">
        <is>
          <t>Mate</t>
        </is>
      </c>
      <c r="C639" s="22" t="inlineStr">
        <is>
          <t>day</t>
        </is>
      </c>
      <c r="D639" s="23" t="n">
        <v>0.04</v>
      </c>
      <c r="E639" s="24" t="n">
        <v>617</v>
      </c>
      <c r="F639" s="24">
        <f>D639*E639</f>
        <v/>
      </c>
      <c r="G639" s="22" t="n"/>
    </row>
    <row r="640">
      <c r="A640" s="8" t="inlineStr">
        <is>
          <t>Calculated W - SUM of the Amount column above</t>
        </is>
      </c>
      <c r="B640" s="9" t="n"/>
      <c r="C640" s="9" t="n"/>
      <c r="D640" s="9" t="n"/>
      <c r="E640" s="9" t="n"/>
      <c r="F640" s="25">
        <f>SUM(F634:F639)</f>
        <v/>
      </c>
      <c r="G640" s="9" t="n"/>
    </row>
    <row r="641">
      <c r="A641" s="26" t="inlineStr">
        <is>
          <t>W as printed in the DAR</t>
        </is>
      </c>
      <c r="B641" s="22" t="n"/>
      <c r="C641" s="22" t="n"/>
      <c r="D641" s="22" t="n"/>
      <c r="E641" s="22" t="n"/>
      <c r="F641" s="27" t="n">
        <v>8798.309999999999</v>
      </c>
      <c r="G641" s="22" t="n"/>
    </row>
    <row r="642">
      <c r="A642" s="26" t="inlineStr">
        <is>
          <t>Difference (calculated - printed)</t>
        </is>
      </c>
      <c r="B642" s="22" t="n"/>
      <c r="C642" s="22" t="n"/>
      <c r="D642" s="22" t="n"/>
      <c r="E642" s="22" t="n"/>
      <c r="F642" s="27">
        <f>F640-F641</f>
        <v/>
      </c>
      <c r="G642" s="22" t="n"/>
    </row>
    <row r="643">
      <c r="A643" s="29" t="inlineStr">
        <is>
          <t>SAY (Rs.) - final DAR rate as printed (fixed value, not computed)</t>
        </is>
      </c>
      <c r="B643" s="30" t="n"/>
      <c r="C643" s="30" t="n"/>
      <c r="D643" s="30" t="n"/>
      <c r="E643" s="30" t="n"/>
      <c r="F643" s="31" t="n">
        <v>8886.35</v>
      </c>
      <c r="G643" s="30" t="n"/>
    </row>
    <row r="645" ht="47.5" customHeight="1">
      <c r="A645" s="18" t="inlineStr">
        <is>
          <t>5.13</t>
        </is>
      </c>
      <c r="B645" s="19" t="inlineStr">
        <is>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sand(zone-III) : 3 graded stone aggregate 20 mm nominal size).</t>
        </is>
      </c>
      <c r="C645" s="20" t="n"/>
      <c r="D645" s="20" t="n"/>
      <c r="E645" s="20" t="n"/>
      <c r="F645" s="20" t="n"/>
      <c r="G645" s="20" t="n"/>
    </row>
    <row r="646">
      <c r="A646" s="21" t="inlineStr">
        <is>
          <t>Details of cost for 0.054 cum   |   Source: CivilDAR_2019_Vol_1.pdf, page 224</t>
        </is>
      </c>
    </row>
    <row r="647">
      <c r="A647" s="5" t="inlineStr">
        <is>
          <t>Code</t>
        </is>
      </c>
      <c r="B647" s="5" t="inlineStr">
        <is>
          <t>Description</t>
        </is>
      </c>
      <c r="C647" s="5" t="inlineStr">
        <is>
          <t>Unit</t>
        </is>
      </c>
      <c r="D647" s="5" t="inlineStr">
        <is>
          <t>Quantity</t>
        </is>
      </c>
      <c r="E647" s="5" t="inlineStr">
        <is>
          <t>Rate (Rs.)</t>
        </is>
      </c>
      <c r="F647" s="5" t="inlineStr">
        <is>
          <t>Amount (Rs.)</t>
        </is>
      </c>
      <c r="G647" s="5" t="inlineStr">
        <is>
          <t>Note</t>
        </is>
      </c>
    </row>
    <row r="648">
      <c r="A648" s="7" t="inlineStr">
        <is>
          <t>4.2.2</t>
        </is>
      </c>
      <c r="B648" s="11" t="inlineStr">
        <is>
          <t>Rate as per item 4.2.2 - Providing and laying cement concrete in retaining walls, return walls, walls (any thickness) including atta...</t>
        </is>
      </c>
      <c r="C648" s="22" t="inlineStr">
        <is>
          <t>cum</t>
        </is>
      </c>
      <c r="D648" s="23" t="n">
        <v>0.054</v>
      </c>
      <c r="E648" s="24" t="n">
        <v>8976.450000000001</v>
      </c>
      <c r="F648" s="24">
        <f>D648*E648</f>
        <v/>
      </c>
      <c r="G648" s="22" t="n"/>
    </row>
    <row r="649">
      <c r="A649" s="7" t="inlineStr">
        <is>
          <t>4.3.1</t>
        </is>
      </c>
      <c r="B649" s="11" t="inlineStr">
        <is>
          <t>Rate as per item 4.3.1 - Centering and shuttering including strutting, propping etc. and removal of form work for - Foundations, foo...</t>
        </is>
      </c>
      <c r="C649" s="22" t="inlineStr">
        <is>
          <t>sqm</t>
        </is>
      </c>
      <c r="D649" s="23" t="n">
        <v>0.6</v>
      </c>
      <c r="E649" s="24" t="n">
        <v>284.85</v>
      </c>
      <c r="F649" s="24">
        <f>D649*E649</f>
        <v/>
      </c>
      <c r="G649" s="22" t="n"/>
    </row>
    <row r="650">
      <c r="A650" s="22" t="inlineStr">
        <is>
          <t>0114</t>
        </is>
      </c>
      <c r="B650" s="11" t="inlineStr">
        <is>
          <t>Beldar</t>
        </is>
      </c>
      <c r="C650" s="22" t="inlineStr">
        <is>
          <t>day</t>
        </is>
      </c>
      <c r="D650" s="23" t="n">
        <v>0.005</v>
      </c>
      <c r="E650" s="24" t="n">
        <v>558</v>
      </c>
      <c r="F650" s="24">
        <f>D650*E650</f>
        <v/>
      </c>
      <c r="G650" s="22" t="n"/>
    </row>
    <row r="651">
      <c r="A651" s="22" t="inlineStr">
        <is>
          <t>0101</t>
        </is>
      </c>
      <c r="B651" s="11" t="inlineStr">
        <is>
          <t>Bhisti</t>
        </is>
      </c>
      <c r="C651" s="22" t="inlineStr">
        <is>
          <t>day</t>
        </is>
      </c>
      <c r="D651" s="23" t="n">
        <v>0.01</v>
      </c>
      <c r="E651" s="24" t="n">
        <v>617</v>
      </c>
      <c r="F651" s="24">
        <f>D651*E651</f>
        <v/>
      </c>
      <c r="G651" s="22" t="n"/>
    </row>
    <row r="652">
      <c r="A652" s="22" t="inlineStr">
        <is>
          <t>0123</t>
        </is>
      </c>
      <c r="B652" s="11" t="inlineStr">
        <is>
          <t>Mason (brick layer) 1st class</t>
        </is>
      </c>
      <c r="C652" s="22" t="inlineStr">
        <is>
          <t>day</t>
        </is>
      </c>
      <c r="D652" s="23" t="n">
        <v>0.002</v>
      </c>
      <c r="E652" s="24" t="n">
        <v>738</v>
      </c>
      <c r="F652" s="24">
        <f>D652*E652</f>
        <v/>
      </c>
      <c r="G652" s="22" t="n"/>
    </row>
    <row r="653">
      <c r="A653" s="22" t="inlineStr">
        <is>
          <t>0124</t>
        </is>
      </c>
      <c r="B653" s="11" t="inlineStr">
        <is>
          <t>Mason (brick layer) 2nd class</t>
        </is>
      </c>
      <c r="C653" s="22" t="inlineStr">
        <is>
          <t>day</t>
        </is>
      </c>
      <c r="D653" s="23" t="n">
        <v>0.002</v>
      </c>
      <c r="E653" s="24" t="n">
        <v>679</v>
      </c>
      <c r="F653" s="24">
        <f>D653*E653</f>
        <v/>
      </c>
      <c r="G653" s="22" t="n"/>
    </row>
    <row r="654">
      <c r="A654" s="22" t="inlineStr">
        <is>
          <t>0128</t>
        </is>
      </c>
      <c r="B654" s="11" t="inlineStr">
        <is>
          <t>Mate</t>
        </is>
      </c>
      <c r="C654" s="22" t="inlineStr">
        <is>
          <t>day</t>
        </is>
      </c>
      <c r="D654" s="23" t="n">
        <v>0.002</v>
      </c>
      <c r="E654" s="24" t="n">
        <v>617</v>
      </c>
      <c r="F654" s="24">
        <f>D654*E654</f>
        <v/>
      </c>
      <c r="G654" s="22" t="n"/>
    </row>
    <row r="655">
      <c r="A655" s="8" t="inlineStr">
        <is>
          <t>Calculated W - SUM of the Amount column above</t>
        </is>
      </c>
      <c r="B655" s="9" t="n"/>
      <c r="C655" s="9" t="n"/>
      <c r="D655" s="9" t="n"/>
      <c r="E655" s="9" t="n"/>
      <c r="F655" s="25">
        <f>SUM(F648:F654)</f>
        <v/>
      </c>
      <c r="G655" s="9" t="n"/>
    </row>
    <row r="656">
      <c r="A656" s="26" t="inlineStr">
        <is>
          <t>W as printed in the DAR</t>
        </is>
      </c>
      <c r="B656" s="22" t="n"/>
      <c r="C656" s="22" t="n"/>
      <c r="D656" s="22" t="n"/>
      <c r="E656" s="22" t="n"/>
      <c r="F656" s="27" t="n">
        <v>668.67</v>
      </c>
      <c r="G656" s="22" t="n"/>
    </row>
    <row r="657">
      <c r="A657" s="26" t="inlineStr">
        <is>
          <t>Difference (calculated - printed)</t>
        </is>
      </c>
      <c r="B657" s="22" t="n"/>
      <c r="C657" s="22" t="n"/>
      <c r="D657" s="22" t="n"/>
      <c r="E657" s="22" t="n"/>
      <c r="F657" s="27">
        <f>F655-F656</f>
        <v/>
      </c>
      <c r="G657" s="22" t="n"/>
    </row>
    <row r="658">
      <c r="A658" s="29" t="inlineStr">
        <is>
          <t>SAY (Rs.) - final DAR rate as printed (fixed value, not computed)</t>
        </is>
      </c>
      <c r="B658" s="30" t="n"/>
      <c r="C658" s="30" t="n"/>
      <c r="D658" s="30" t="n"/>
      <c r="E658" s="30" t="n"/>
      <c r="F658" s="31" t="n">
        <v>12464.25</v>
      </c>
      <c r="G658" s="30" t="n"/>
    </row>
    <row r="660" ht="62" customHeight="1">
      <c r="A660" s="18" t="inlineStr">
        <is>
          <t>5.14</t>
        </is>
      </c>
      <c r="B660" s="19"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 3 graded stone aggregate 20 mm nominal size).</t>
        </is>
      </c>
      <c r="C660" s="20" t="n"/>
      <c r="D660" s="20" t="n"/>
      <c r="E660" s="20" t="n"/>
      <c r="F660" s="20" t="n"/>
      <c r="G660" s="20" t="n"/>
    </row>
    <row r="661">
      <c r="A661" s="21" t="inlineStr">
        <is>
          <t>Details of cost for 0.03 cum   |   Source: CivilDAR_2019_Vol_1.pdf, page 225</t>
        </is>
      </c>
    </row>
    <row r="662">
      <c r="A662" s="5" t="inlineStr">
        <is>
          <t>Code</t>
        </is>
      </c>
      <c r="B662" s="5" t="inlineStr">
        <is>
          <t>Description</t>
        </is>
      </c>
      <c r="C662" s="5" t="inlineStr">
        <is>
          <t>Unit</t>
        </is>
      </c>
      <c r="D662" s="5" t="inlineStr">
        <is>
          <t>Quantity</t>
        </is>
      </c>
      <c r="E662" s="5" t="inlineStr">
        <is>
          <t>Rate (Rs.)</t>
        </is>
      </c>
      <c r="F662" s="5" t="inlineStr">
        <is>
          <t>Amount (Rs.)</t>
        </is>
      </c>
      <c r="G662" s="5" t="inlineStr">
        <is>
          <t>Note</t>
        </is>
      </c>
    </row>
    <row r="663">
      <c r="A663" s="7" t="inlineStr">
        <is>
          <t>4.1.2</t>
        </is>
      </c>
      <c r="B663" s="11" t="inlineStr">
        <is>
          <t>Rate as per item 4.1.2 - Providing and laying in position cement concrete of specified grade excluding the cost of centering and shu...</t>
        </is>
      </c>
      <c r="C663" s="22" t="inlineStr">
        <is>
          <t>cum</t>
        </is>
      </c>
      <c r="D663" s="23" t="n">
        <v>0.03</v>
      </c>
      <c r="E663" s="24" t="n">
        <v>7210.55</v>
      </c>
      <c r="F663" s="24">
        <f>D663*E663</f>
        <v/>
      </c>
      <c r="G663" s="22" t="n"/>
    </row>
    <row r="664">
      <c r="A664" s="22" t="inlineStr">
        <is>
          <t>0115</t>
        </is>
      </c>
      <c r="B664" s="11" t="inlineStr">
        <is>
          <t>Coolie</t>
        </is>
      </c>
      <c r="C664" s="22" t="inlineStr">
        <is>
          <t>day</t>
        </is>
      </c>
      <c r="D664" s="23" t="n">
        <v>0.034</v>
      </c>
      <c r="E664" s="24" t="n">
        <v>558</v>
      </c>
      <c r="F664" s="24">
        <f>D664*E664</f>
        <v/>
      </c>
      <c r="G664" s="22" t="n"/>
    </row>
    <row r="665">
      <c r="A665" s="22" t="inlineStr">
        <is>
          <t>9999</t>
        </is>
      </c>
      <c r="B665" s="11" t="inlineStr">
        <is>
          <t>Mortar and labour for hoisting and for fixing</t>
        </is>
      </c>
      <c r="C665" s="22" t="inlineStr">
        <is>
          <t>L.S.</t>
        </is>
      </c>
      <c r="D665" s="23" t="n">
        <v>2.73</v>
      </c>
      <c r="E665" s="24" t="n">
        <v>2</v>
      </c>
      <c r="F665" s="24">
        <f>D665*E665</f>
        <v/>
      </c>
      <c r="G665" s="22" t="n"/>
    </row>
    <row r="666">
      <c r="A666" s="7" t="inlineStr">
        <is>
          <t>4.3.1</t>
        </is>
      </c>
      <c r="B666" s="11" t="inlineStr">
        <is>
          <t>Rate as per item 4.3.1 - Centering and shuttering including strutting, propping etc. and removal of form work for - Foundations, foo...</t>
        </is>
      </c>
      <c r="C666" s="22" t="inlineStr">
        <is>
          <t>sqm</t>
        </is>
      </c>
      <c r="D666" s="23" t="n">
        <v>0.36</v>
      </c>
      <c r="E666" s="24" t="n">
        <v>284.85</v>
      </c>
      <c r="F666" s="24">
        <f>D666*E666</f>
        <v/>
      </c>
      <c r="G666" s="22" t="n"/>
    </row>
    <row r="667">
      <c r="A667" s="22" t="inlineStr">
        <is>
          <t>9999</t>
        </is>
      </c>
      <c r="B667" s="11" t="inlineStr">
        <is>
          <t>Add for extra labour for hoisting</t>
        </is>
      </c>
      <c r="C667" s="22" t="inlineStr">
        <is>
          <t>L.S.</t>
        </is>
      </c>
      <c r="D667" s="23" t="n">
        <v>1.61</v>
      </c>
      <c r="E667" s="24" t="n">
        <v>2</v>
      </c>
      <c r="F667" s="24">
        <f>D667*E667</f>
        <v/>
      </c>
      <c r="G667" s="22" t="n"/>
    </row>
    <row r="668">
      <c r="A668" s="22" t="inlineStr">
        <is>
          <t>0123</t>
        </is>
      </c>
      <c r="B668" s="11" t="inlineStr">
        <is>
          <t>Mason (brick layer) 1st class</t>
        </is>
      </c>
      <c r="C668" s="22" t="inlineStr">
        <is>
          <t>day</t>
        </is>
      </c>
      <c r="D668" s="23" t="n">
        <v>0.0174</v>
      </c>
      <c r="E668" s="24" t="n">
        <v>738</v>
      </c>
      <c r="F668" s="24">
        <f>D668*E668</f>
        <v/>
      </c>
      <c r="G668" s="22" t="n"/>
    </row>
    <row r="669">
      <c r="A669" s="22" t="inlineStr">
        <is>
          <t>0124</t>
        </is>
      </c>
      <c r="B669" s="11" t="inlineStr">
        <is>
          <t>Mason (brick layer) 2nd class</t>
        </is>
      </c>
      <c r="C669" s="22" t="inlineStr">
        <is>
          <t>day</t>
        </is>
      </c>
      <c r="D669" s="23" t="n">
        <v>0.0174</v>
      </c>
      <c r="E669" s="24" t="n">
        <v>679</v>
      </c>
      <c r="F669" s="24">
        <f>D669*E669</f>
        <v/>
      </c>
      <c r="G669" s="22" t="n"/>
    </row>
    <row r="670">
      <c r="A670" s="22" t="inlineStr">
        <is>
          <t>0115</t>
        </is>
      </c>
      <c r="B670" s="11" t="inlineStr">
        <is>
          <t>Coolie</t>
        </is>
      </c>
      <c r="C670" s="22" t="inlineStr">
        <is>
          <t>day</t>
        </is>
      </c>
      <c r="D670" s="23" t="n">
        <v>0.045</v>
      </c>
      <c r="E670" s="24" t="n">
        <v>558</v>
      </c>
      <c r="F670" s="24">
        <f>D670*E670</f>
        <v/>
      </c>
      <c r="G670" s="22" t="n"/>
    </row>
    <row r="671">
      <c r="A671" s="22" t="inlineStr">
        <is>
          <t>0101</t>
        </is>
      </c>
      <c r="B671" s="11" t="inlineStr">
        <is>
          <t>Bhisti</t>
        </is>
      </c>
      <c r="C671" s="22" t="inlineStr">
        <is>
          <t>day</t>
        </is>
      </c>
      <c r="D671" s="23" t="n">
        <v>0.0018</v>
      </c>
      <c r="E671" s="24" t="n">
        <v>617</v>
      </c>
      <c r="F671" s="24">
        <f>D671*E671</f>
        <v/>
      </c>
      <c r="G671" s="22" t="n"/>
    </row>
    <row r="672">
      <c r="A672" s="22" t="inlineStr">
        <is>
          <t>0114</t>
        </is>
      </c>
      <c r="B672" s="11" t="inlineStr">
        <is>
          <t>Beldar</t>
        </is>
      </c>
      <c r="C672" s="22" t="inlineStr">
        <is>
          <t>day</t>
        </is>
      </c>
      <c r="D672" s="23" t="n">
        <v>0.003</v>
      </c>
      <c r="E672" s="24" t="n">
        <v>558</v>
      </c>
      <c r="F672" s="24">
        <f>D672*E672</f>
        <v/>
      </c>
      <c r="G672" s="22" t="n"/>
    </row>
    <row r="673">
      <c r="A673" s="22" t="inlineStr">
        <is>
          <t>0101</t>
        </is>
      </c>
      <c r="B673" s="11" t="inlineStr">
        <is>
          <t>Bhisti</t>
        </is>
      </c>
      <c r="C673" s="22" t="inlineStr">
        <is>
          <t>day</t>
        </is>
      </c>
      <c r="D673" s="23" t="n">
        <v>0.006</v>
      </c>
      <c r="E673" s="24" t="n">
        <v>617</v>
      </c>
      <c r="F673" s="24">
        <f>D673*E673</f>
        <v/>
      </c>
      <c r="G673" s="22" t="n"/>
    </row>
    <row r="674">
      <c r="A674" s="22" t="inlineStr">
        <is>
          <t>0123</t>
        </is>
      </c>
      <c r="B674" s="11" t="inlineStr">
        <is>
          <t>Mason (brick layer) 1st class</t>
        </is>
      </c>
      <c r="C674" s="22" t="inlineStr">
        <is>
          <t>day</t>
        </is>
      </c>
      <c r="D674" s="23" t="n">
        <v>0.0012</v>
      </c>
      <c r="E674" s="24" t="n">
        <v>738</v>
      </c>
      <c r="F674" s="24">
        <f>D674*E674</f>
        <v/>
      </c>
      <c r="G674" s="22" t="n"/>
    </row>
    <row r="675">
      <c r="A675" s="22" t="inlineStr">
        <is>
          <t>0124</t>
        </is>
      </c>
      <c r="B675" s="11" t="inlineStr">
        <is>
          <t>Mason (brick layer) 2nd class</t>
        </is>
      </c>
      <c r="C675" s="22" t="inlineStr">
        <is>
          <t>day</t>
        </is>
      </c>
      <c r="D675" s="23" t="n">
        <v>0.0012</v>
      </c>
      <c r="E675" s="24" t="n">
        <v>679</v>
      </c>
      <c r="F675" s="24">
        <f>D675*E675</f>
        <v/>
      </c>
      <c r="G675" s="22" t="n"/>
    </row>
    <row r="676">
      <c r="A676" s="22" t="inlineStr">
        <is>
          <t>0128</t>
        </is>
      </c>
      <c r="B676" s="11" t="inlineStr">
        <is>
          <t>Mate</t>
        </is>
      </c>
      <c r="C676" s="22" t="inlineStr">
        <is>
          <t>day</t>
        </is>
      </c>
      <c r="D676" s="23" t="n">
        <v>0.0012</v>
      </c>
      <c r="E676" s="24" t="n">
        <v>617</v>
      </c>
      <c r="F676" s="24">
        <f>D676*E676</f>
        <v/>
      </c>
      <c r="G676" s="22" t="n"/>
    </row>
    <row r="677">
      <c r="A677" s="8" t="inlineStr">
        <is>
          <t>Calculated W - SUM of the Amount column above</t>
        </is>
      </c>
      <c r="B677" s="9" t="n"/>
      <c r="C677" s="9" t="n"/>
      <c r="D677" s="9" t="n"/>
      <c r="E677" s="9" t="n"/>
      <c r="F677" s="25">
        <f>SUM(F663:F676)</f>
        <v/>
      </c>
      <c r="G677" s="9" t="n"/>
    </row>
    <row r="678">
      <c r="A678" s="26" t="inlineStr">
        <is>
          <t>W as printed in the DAR</t>
        </is>
      </c>
      <c r="B678" s="22" t="n"/>
      <c r="C678" s="22" t="n"/>
      <c r="D678" s="22" t="n"/>
      <c r="E678" s="22" t="n"/>
      <c r="F678" s="27" t="n">
        <v>405.21</v>
      </c>
      <c r="G678" s="22" t="n"/>
    </row>
    <row r="679">
      <c r="A679" s="26" t="inlineStr">
        <is>
          <t>Difference (calculated - printed)</t>
        </is>
      </c>
      <c r="B679" s="22" t="n"/>
      <c r="C679" s="22" t="n"/>
      <c r="D679" s="22" t="n"/>
      <c r="E679" s="22" t="n"/>
      <c r="F679" s="27">
        <f>F677-F678</f>
        <v/>
      </c>
      <c r="G679" s="22" t="n"/>
    </row>
    <row r="680">
      <c r="A680" s="29" t="inlineStr">
        <is>
          <t>SAY (Rs.) - final DAR rate as printed (fixed value, not computed)</t>
        </is>
      </c>
      <c r="B680" s="30" t="n"/>
      <c r="C680" s="30" t="n"/>
      <c r="D680" s="30" t="n"/>
      <c r="E680" s="30" t="n"/>
      <c r="F680" s="31" t="n">
        <v>14479.55</v>
      </c>
      <c r="G680" s="30" t="n"/>
    </row>
    <row r="682" ht="62" customHeight="1">
      <c r="A682" s="18" t="inlineStr">
        <is>
          <t>5.15</t>
        </is>
      </c>
      <c r="B682" s="19" t="inlineStr">
        <is>
          <t>Providing,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 3 graded stone aggregate 20 mm nominal size)</t>
        </is>
      </c>
      <c r="C682" s="20" t="n"/>
      <c r="D682" s="20" t="n"/>
      <c r="E682" s="20" t="n"/>
      <c r="F682" s="20" t="n"/>
      <c r="G682" s="20" t="n"/>
    </row>
    <row r="683">
      <c r="A683" s="21" t="inlineStr">
        <is>
          <t>Details of cost for 0.99 cum   |   Source: CivilDAR_2019_Vol_1.pdf, page 226</t>
        </is>
      </c>
    </row>
    <row r="684">
      <c r="A684" s="5" t="inlineStr">
        <is>
          <t>Code</t>
        </is>
      </c>
      <c r="B684" s="5" t="inlineStr">
        <is>
          <t>Description</t>
        </is>
      </c>
      <c r="C684" s="5" t="inlineStr">
        <is>
          <t>Unit</t>
        </is>
      </c>
      <c r="D684" s="5" t="inlineStr">
        <is>
          <t>Quantity</t>
        </is>
      </c>
      <c r="E684" s="5" t="inlineStr">
        <is>
          <t>Rate (Rs.)</t>
        </is>
      </c>
      <c r="F684" s="5" t="inlineStr">
        <is>
          <t>Amount (Rs.)</t>
        </is>
      </c>
      <c r="G684" s="5" t="inlineStr">
        <is>
          <t>Note</t>
        </is>
      </c>
    </row>
    <row r="685">
      <c r="A685" s="7" t="inlineStr">
        <is>
          <t>4.1.2</t>
        </is>
      </c>
      <c r="B685" s="11" t="inlineStr">
        <is>
          <t>Rate as per item 4.1.2 - Providing and laying in position cement concrete of specified grade excluding the cost of centering and shu...</t>
        </is>
      </c>
      <c r="C685" s="22" t="inlineStr">
        <is>
          <t>cum</t>
        </is>
      </c>
      <c r="D685" s="23" t="n">
        <v>0.99</v>
      </c>
      <c r="E685" s="24" t="n">
        <v>7210.55</v>
      </c>
      <c r="F685" s="24">
        <f>D685*E685</f>
        <v/>
      </c>
      <c r="G685" s="22" t="n"/>
    </row>
    <row r="686">
      <c r="A686" s="7" t="inlineStr">
        <is>
          <t>4.3.1</t>
        </is>
      </c>
      <c r="B686" s="11" t="inlineStr">
        <is>
          <t>Rate as per item 4.3.1 - Centering and shuttering including strutting, propping etc. and removal of form work for - Foundations, foo...</t>
        </is>
      </c>
      <c r="C686" s="22" t="inlineStr">
        <is>
          <t>sqm</t>
        </is>
      </c>
      <c r="D686" s="23" t="n">
        <v>6.9</v>
      </c>
      <c r="E686" s="24" t="n">
        <v>284.85</v>
      </c>
      <c r="F686" s="24">
        <f>D686*E686</f>
        <v/>
      </c>
      <c r="G686" s="22" t="n"/>
    </row>
    <row r="687">
      <c r="A687" s="22" t="inlineStr">
        <is>
          <t>0115</t>
        </is>
      </c>
      <c r="B687" s="11" t="inlineStr">
        <is>
          <t>Coolie</t>
        </is>
      </c>
      <c r="C687" s="22" t="inlineStr">
        <is>
          <t>day</t>
        </is>
      </c>
      <c r="D687" s="23" t="n">
        <v>1.11</v>
      </c>
      <c r="E687" s="24" t="n">
        <v>558</v>
      </c>
      <c r="F687" s="24">
        <f>D687*E687</f>
        <v/>
      </c>
      <c r="G687" s="22" t="n"/>
    </row>
    <row r="688">
      <c r="A688" s="22" t="inlineStr">
        <is>
          <t>0114</t>
        </is>
      </c>
      <c r="B688" s="11" t="inlineStr">
        <is>
          <t>Beldar</t>
        </is>
      </c>
      <c r="C688" s="22" t="inlineStr">
        <is>
          <t>day</t>
        </is>
      </c>
      <c r="D688" s="23" t="n">
        <v>0.099</v>
      </c>
      <c r="E688" s="24" t="n">
        <v>558</v>
      </c>
      <c r="F688" s="24">
        <f>D688*E688</f>
        <v/>
      </c>
      <c r="G688" s="22" t="n"/>
    </row>
    <row r="689">
      <c r="A689" s="22" t="inlineStr">
        <is>
          <t>0101</t>
        </is>
      </c>
      <c r="B689" s="11" t="inlineStr">
        <is>
          <t>Bhisti</t>
        </is>
      </c>
      <c r="C689" s="22" t="inlineStr">
        <is>
          <t>day</t>
        </is>
      </c>
      <c r="D689" s="23" t="n">
        <v>0.198</v>
      </c>
      <c r="E689" s="24" t="n">
        <v>617</v>
      </c>
      <c r="F689" s="24">
        <f>D689*E689</f>
        <v/>
      </c>
      <c r="G689" s="22" t="n"/>
    </row>
    <row r="690">
      <c r="A690" s="22" t="inlineStr">
        <is>
          <t>0123</t>
        </is>
      </c>
      <c r="B690" s="11" t="inlineStr">
        <is>
          <t>Mason (brick layer) 1st class</t>
        </is>
      </c>
      <c r="C690" s="22" t="inlineStr">
        <is>
          <t>day</t>
        </is>
      </c>
      <c r="D690" s="23" t="n">
        <v>0.0396</v>
      </c>
      <c r="E690" s="24" t="n">
        <v>738</v>
      </c>
      <c r="F690" s="24">
        <f>D690*E690</f>
        <v/>
      </c>
      <c r="G690" s="22" t="n"/>
    </row>
    <row r="691">
      <c r="A691" s="22" t="inlineStr">
        <is>
          <t>0124</t>
        </is>
      </c>
      <c r="B691" s="11" t="inlineStr">
        <is>
          <t>Mason (brick layer) 2nd class</t>
        </is>
      </c>
      <c r="C691" s="22" t="inlineStr">
        <is>
          <t>day</t>
        </is>
      </c>
      <c r="D691" s="23" t="n">
        <v>0.0396</v>
      </c>
      <c r="E691" s="24" t="n">
        <v>679</v>
      </c>
      <c r="F691" s="24">
        <f>D691*E691</f>
        <v/>
      </c>
      <c r="G691" s="22" t="n"/>
    </row>
    <row r="692">
      <c r="A692" s="22" t="inlineStr">
        <is>
          <t>0128</t>
        </is>
      </c>
      <c r="B692" s="11" t="inlineStr">
        <is>
          <t>Mate</t>
        </is>
      </c>
      <c r="C692" s="22" t="inlineStr">
        <is>
          <t>day</t>
        </is>
      </c>
      <c r="D692" s="23" t="n">
        <v>0.0396</v>
      </c>
      <c r="E692" s="24" t="n">
        <v>617</v>
      </c>
      <c r="F692" s="24">
        <f>D692*E692</f>
        <v/>
      </c>
      <c r="G692" s="22" t="n"/>
    </row>
    <row r="693">
      <c r="A693" s="22" t="inlineStr">
        <is>
          <t>9999</t>
        </is>
      </c>
      <c r="B693" s="11" t="inlineStr">
        <is>
          <t>Cement mortar 1:3 for fixing</t>
        </is>
      </c>
      <c r="C693" s="22" t="inlineStr">
        <is>
          <t>L.S.</t>
        </is>
      </c>
      <c r="D693" s="23" t="n">
        <v>89.7</v>
      </c>
      <c r="E693" s="24" t="n">
        <v>2</v>
      </c>
      <c r="F693" s="24">
        <f>D693*E693</f>
        <v/>
      </c>
      <c r="G693" s="22" t="n"/>
    </row>
    <row r="694">
      <c r="A694" s="22" t="inlineStr">
        <is>
          <t>9999</t>
        </is>
      </c>
      <c r="B694" s="11" t="inlineStr">
        <is>
          <t>Labour for hoisting, Transporting and setting in position</t>
        </is>
      </c>
      <c r="C694" s="22" t="inlineStr">
        <is>
          <t>L.S.</t>
        </is>
      </c>
      <c r="D694" s="23" t="n">
        <v>269.1</v>
      </c>
      <c r="E694" s="24" t="n">
        <v>2</v>
      </c>
      <c r="F694" s="24">
        <f>D694*E694</f>
        <v/>
      </c>
      <c r="G694" s="22" t="n"/>
    </row>
    <row r="695">
      <c r="A695" s="8" t="inlineStr">
        <is>
          <t>Calculated W - SUM of the Amount column above</t>
        </is>
      </c>
      <c r="B695" s="9" t="n"/>
      <c r="C695" s="9" t="n"/>
      <c r="D695" s="9" t="n"/>
      <c r="E695" s="9" t="n"/>
      <c r="F695" s="25">
        <f>SUM(F685:F694)</f>
        <v/>
      </c>
      <c r="G695" s="9" t="n"/>
    </row>
    <row r="696">
      <c r="A696" s="26" t="inlineStr">
        <is>
          <t>W as printed in the DAR</t>
        </is>
      </c>
      <c r="B696" s="22" t="n"/>
      <c r="C696" s="22" t="n"/>
      <c r="D696" s="22" t="n"/>
      <c r="E696" s="22" t="n"/>
      <c r="F696" s="27" t="n">
        <v>10698.84</v>
      </c>
      <c r="G696" s="22" t="n"/>
    </row>
    <row r="697">
      <c r="A697" s="26" t="inlineStr">
        <is>
          <t>Difference (calculated - printed)</t>
        </is>
      </c>
      <c r="B697" s="22" t="n"/>
      <c r="C697" s="22" t="n"/>
      <c r="D697" s="22" t="n"/>
      <c r="E697" s="22" t="n"/>
      <c r="F697" s="27">
        <f>F695-F696</f>
        <v/>
      </c>
      <c r="G697" s="22" t="n"/>
    </row>
    <row r="698">
      <c r="A698" s="29" t="inlineStr">
        <is>
          <t>SAY (Rs.) - final DAR rate as printed (fixed value, not computed)</t>
        </is>
      </c>
      <c r="B698" s="30" t="n"/>
      <c r="C698" s="30" t="n"/>
      <c r="D698" s="30" t="n"/>
      <c r="E698" s="30" t="n"/>
      <c r="F698" s="31" t="n">
        <v>11351.35</v>
      </c>
      <c r="G698" s="30" t="n"/>
    </row>
    <row r="700" ht="62" customHeight="1">
      <c r="A700" s="18" t="inlineStr">
        <is>
          <t>5.16</t>
        </is>
      </c>
      <c r="B700" s="19" t="inlineStr">
        <is>
          <t>Providing,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 3 graded stone aggregate 20 mm nominal size).</t>
        </is>
      </c>
      <c r="C700" s="20" t="n"/>
      <c r="D700" s="20" t="n"/>
      <c r="E700" s="20" t="n"/>
      <c r="F700" s="20" t="n"/>
      <c r="G700" s="20" t="n"/>
    </row>
    <row r="701">
      <c r="A701" s="21" t="inlineStr">
        <is>
          <t>Details of cost for 0.0162 cum   |   Source: CivilDAR_2019_Vol_1.pdf, page 227</t>
        </is>
      </c>
    </row>
    <row r="702">
      <c r="A702" s="5" t="inlineStr">
        <is>
          <t>Code</t>
        </is>
      </c>
      <c r="B702" s="5" t="inlineStr">
        <is>
          <t>Description</t>
        </is>
      </c>
      <c r="C702" s="5" t="inlineStr">
        <is>
          <t>Unit</t>
        </is>
      </c>
      <c r="D702" s="5" t="inlineStr">
        <is>
          <t>Quantity</t>
        </is>
      </c>
      <c r="E702" s="5" t="inlineStr">
        <is>
          <t>Rate (Rs.)</t>
        </is>
      </c>
      <c r="F702" s="5" t="inlineStr">
        <is>
          <t>Amount (Rs.)</t>
        </is>
      </c>
      <c r="G702" s="5" t="inlineStr">
        <is>
          <t>Note</t>
        </is>
      </c>
    </row>
    <row r="703">
      <c r="A703" s="7" t="inlineStr">
        <is>
          <t>4.1.2</t>
        </is>
      </c>
      <c r="B703" s="11" t="inlineStr">
        <is>
          <t>Rate as per item 4.1.2 - Providing and laying in position cement concrete of specified grade excluding the cost of centering and shu...</t>
        </is>
      </c>
      <c r="C703" s="22" t="inlineStr">
        <is>
          <t>cum</t>
        </is>
      </c>
      <c r="D703" s="23" t="n">
        <v>0.0162</v>
      </c>
      <c r="E703" s="24" t="n">
        <v>7210.55</v>
      </c>
      <c r="F703" s="24">
        <f>D703*E703</f>
        <v/>
      </c>
      <c r="G703" s="22" t="n"/>
    </row>
    <row r="704">
      <c r="A704" s="22" t="inlineStr">
        <is>
          <t>13.18</t>
        </is>
      </c>
      <c r="B704" s="11" t="inlineStr">
        <is>
          <t>Rate as per item 13.18 - Neat cement punning</t>
        </is>
      </c>
      <c r="C704" s="22" t="inlineStr">
        <is>
          <t>sqm</t>
        </is>
      </c>
      <c r="D704" s="23" t="n">
        <v>0.85</v>
      </c>
      <c r="E704" s="24" t="n">
        <v>62.75</v>
      </c>
      <c r="F704" s="24">
        <f>D704*E704</f>
        <v/>
      </c>
      <c r="G704" s="22" t="n"/>
    </row>
    <row r="705">
      <c r="A705" s="7" t="inlineStr">
        <is>
          <t>4.3.1</t>
        </is>
      </c>
      <c r="B705" s="11" t="inlineStr">
        <is>
          <t>Rate as per item 4.3.1 - Centering and shuttering including strutting, propping etc. and removal of form work for - Foundations, foo...</t>
        </is>
      </c>
      <c r="C705" s="22" t="inlineStr">
        <is>
          <t>sqm</t>
        </is>
      </c>
      <c r="D705" s="23" t="n">
        <v>0.108</v>
      </c>
      <c r="E705" s="24" t="n">
        <v>284.85</v>
      </c>
      <c r="F705" s="24">
        <f>D705*E705</f>
        <v/>
      </c>
      <c r="G705" s="22" t="n"/>
    </row>
    <row r="706">
      <c r="A706" s="22" t="inlineStr">
        <is>
          <t>0115</t>
        </is>
      </c>
      <c r="B706" s="11" t="inlineStr">
        <is>
          <t>Coolie</t>
        </is>
      </c>
      <c r="C706" s="22" t="inlineStr">
        <is>
          <t>day</t>
        </is>
      </c>
      <c r="D706" s="23" t="n">
        <v>0.018</v>
      </c>
      <c r="E706" s="24" t="n">
        <v>558</v>
      </c>
      <c r="F706" s="24">
        <f>D706*E706</f>
        <v/>
      </c>
      <c r="G706" s="22" t="n"/>
    </row>
    <row r="707">
      <c r="A707" s="22" t="inlineStr">
        <is>
          <t>0114</t>
        </is>
      </c>
      <c r="B707" s="11" t="inlineStr">
        <is>
          <t>Beldar</t>
        </is>
      </c>
      <c r="C707" s="22" t="inlineStr">
        <is>
          <t>day</t>
        </is>
      </c>
      <c r="D707" s="23" t="n">
        <v>0.016</v>
      </c>
      <c r="E707" s="24" t="n">
        <v>558</v>
      </c>
      <c r="F707" s="24">
        <f>D707*E707</f>
        <v/>
      </c>
      <c r="G707" s="22" t="n"/>
    </row>
    <row r="708">
      <c r="A708" s="22" t="inlineStr">
        <is>
          <t>0101</t>
        </is>
      </c>
      <c r="B708" s="11" t="inlineStr">
        <is>
          <t>Bhisti</t>
        </is>
      </c>
      <c r="C708" s="22" t="inlineStr">
        <is>
          <t>day</t>
        </is>
      </c>
      <c r="D708" s="23" t="n">
        <v>0.0032</v>
      </c>
      <c r="E708" s="24" t="n">
        <v>617</v>
      </c>
      <c r="F708" s="24">
        <f>D708*E708</f>
        <v/>
      </c>
      <c r="G708" s="22" t="n"/>
    </row>
    <row r="709">
      <c r="A709" s="22" t="inlineStr">
        <is>
          <t>0123</t>
        </is>
      </c>
      <c r="B709" s="11" t="inlineStr">
        <is>
          <t>Mason (brick layer) 1st class</t>
        </is>
      </c>
      <c r="C709" s="22" t="inlineStr">
        <is>
          <t>day</t>
        </is>
      </c>
      <c r="D709" s="23" t="n">
        <v>0.0005999999999999999</v>
      </c>
      <c r="E709" s="24" t="n">
        <v>738</v>
      </c>
      <c r="F709" s="24">
        <f>D709*E709</f>
        <v/>
      </c>
      <c r="G709" s="22" t="n"/>
    </row>
    <row r="710">
      <c r="A710" s="22" t="inlineStr">
        <is>
          <t>0124</t>
        </is>
      </c>
      <c r="B710" s="11" t="inlineStr">
        <is>
          <t>Mason (brick layer) 2nd class</t>
        </is>
      </c>
      <c r="C710" s="22" t="inlineStr">
        <is>
          <t>day</t>
        </is>
      </c>
      <c r="D710" s="23" t="n">
        <v>0.0005999999999999999</v>
      </c>
      <c r="E710" s="24" t="n">
        <v>679</v>
      </c>
      <c r="F710" s="24">
        <f>D710*E710</f>
        <v/>
      </c>
      <c r="G710" s="22" t="n"/>
    </row>
    <row r="711">
      <c r="A711" s="22" t="inlineStr">
        <is>
          <t>0128</t>
        </is>
      </c>
      <c r="B711" s="11" t="inlineStr">
        <is>
          <t>Mate</t>
        </is>
      </c>
      <c r="C711" s="22" t="inlineStr">
        <is>
          <t>day</t>
        </is>
      </c>
      <c r="D711" s="23" t="n">
        <v>0.0005999999999999999</v>
      </c>
      <c r="E711" s="24" t="n">
        <v>617</v>
      </c>
      <c r="F711" s="24">
        <f>D711*E711</f>
        <v/>
      </c>
      <c r="G711" s="22" t="n"/>
    </row>
    <row r="712">
      <c r="A712" s="22" t="inlineStr">
        <is>
          <t>9999</t>
        </is>
      </c>
      <c r="B712" s="11" t="inlineStr">
        <is>
          <t>Cement mortar 1:3 for fixing</t>
        </is>
      </c>
      <c r="C712" s="22" t="inlineStr">
        <is>
          <t>L.S.</t>
        </is>
      </c>
      <c r="D712" s="23" t="n">
        <v>4.42</v>
      </c>
      <c r="E712" s="24" t="n">
        <v>2</v>
      </c>
      <c r="F712" s="24">
        <f>D712*E712</f>
        <v/>
      </c>
      <c r="G712" s="22" t="n"/>
    </row>
    <row r="713">
      <c r="A713" s="22" t="inlineStr">
        <is>
          <t>9999</t>
        </is>
      </c>
      <c r="B713" s="11" t="inlineStr">
        <is>
          <t>Labour for hoisting, Transporting and setting in position</t>
        </is>
      </c>
      <c r="C713" s="22" t="inlineStr">
        <is>
          <t>L.S.</t>
        </is>
      </c>
      <c r="D713" s="23" t="n">
        <v>13.52</v>
      </c>
      <c r="E713" s="24" t="n">
        <v>2</v>
      </c>
      <c r="F713" s="24">
        <f>D713*E713</f>
        <v/>
      </c>
      <c r="G713" s="22" t="n"/>
    </row>
    <row r="714">
      <c r="A714" s="8" t="inlineStr">
        <is>
          <t>Calculated W - SUM of the Amount column above</t>
        </is>
      </c>
      <c r="B714" s="9" t="n"/>
      <c r="C714" s="9" t="n"/>
      <c r="D714" s="9" t="n"/>
      <c r="E714" s="9" t="n"/>
      <c r="F714" s="25">
        <f>SUM(F703:F713)</f>
        <v/>
      </c>
      <c r="G714" s="9" t="n"/>
    </row>
    <row r="715">
      <c r="A715" s="26" t="inlineStr">
        <is>
          <t>W as printed in the DAR</t>
        </is>
      </c>
      <c r="B715" s="22" t="n"/>
      <c r="C715" s="22" t="n"/>
      <c r="D715" s="22" t="n"/>
      <c r="E715" s="22" t="n"/>
      <c r="F715" s="27" t="n">
        <v>258.96</v>
      </c>
      <c r="G715" s="22" t="n"/>
    </row>
    <row r="716">
      <c r="A716" s="26" t="inlineStr">
        <is>
          <t>Difference (calculated - printed)</t>
        </is>
      </c>
      <c r="B716" s="22" t="n"/>
      <c r="C716" s="22" t="n"/>
      <c r="D716" s="22" t="n"/>
      <c r="E716" s="22" t="n"/>
      <c r="F716" s="27">
        <f>F714-F715</f>
        <v/>
      </c>
      <c r="G716" s="22" t="n"/>
    </row>
    <row r="717">
      <c r="A717" s="29" t="inlineStr">
        <is>
          <t>SAY (Rs.) - final DAR rate as printed (fixed value, not computed)</t>
        </is>
      </c>
      <c r="B717" s="30" t="n"/>
      <c r="C717" s="30" t="n"/>
      <c r="D717" s="30" t="n"/>
      <c r="E717" s="30" t="n"/>
      <c r="F717" s="31" t="n">
        <v>17196</v>
      </c>
      <c r="G717" s="30" t="n"/>
    </row>
    <row r="719" ht="62" customHeight="1">
      <c r="A719" s="18" t="inlineStr">
        <is>
          <t>5.17</t>
        </is>
      </c>
      <c r="B719" s="19" t="inlineStr">
        <is>
          <t>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 3 graded stone aggregate 20 mm nominal size).</t>
        </is>
      </c>
      <c r="C719" s="20" t="n"/>
      <c r="D719" s="20" t="n"/>
      <c r="E719" s="20" t="n"/>
      <c r="F719" s="20" t="n"/>
      <c r="G719" s="20" t="n"/>
    </row>
    <row r="720">
      <c r="A720" s="21" t="inlineStr">
        <is>
          <t>Details of cost for 0.66 cum   |   Source: CivilDAR_2019_Vol_1.pdf, page 228</t>
        </is>
      </c>
    </row>
    <row r="721">
      <c r="A721" s="5" t="inlineStr">
        <is>
          <t>Code</t>
        </is>
      </c>
      <c r="B721" s="5" t="inlineStr">
        <is>
          <t>Description</t>
        </is>
      </c>
      <c r="C721" s="5" t="inlineStr">
        <is>
          <t>Unit</t>
        </is>
      </c>
      <c r="D721" s="5" t="inlineStr">
        <is>
          <t>Quantity</t>
        </is>
      </c>
      <c r="E721" s="5" t="inlineStr">
        <is>
          <t>Rate (Rs.)</t>
        </is>
      </c>
      <c r="F721" s="5" t="inlineStr">
        <is>
          <t>Amount (Rs.)</t>
        </is>
      </c>
      <c r="G721" s="5" t="inlineStr">
        <is>
          <t>Note</t>
        </is>
      </c>
    </row>
    <row r="722">
      <c r="A722" s="7" t="inlineStr">
        <is>
          <t>4.1.2</t>
        </is>
      </c>
      <c r="B722" s="11" t="inlineStr">
        <is>
          <t>Rate as per item 4.1.2 - Providing and laying in position cement concrete of specified grade excluding the cost of centering and shu...</t>
        </is>
      </c>
      <c r="C722" s="22" t="inlineStr">
        <is>
          <t>cum</t>
        </is>
      </c>
      <c r="D722" s="23" t="n">
        <v>0.66</v>
      </c>
      <c r="E722" s="24" t="n">
        <v>7210.55</v>
      </c>
      <c r="F722" s="24">
        <f>D722*E722</f>
        <v/>
      </c>
      <c r="G722" s="22" t="n"/>
    </row>
    <row r="723">
      <c r="A723" s="7" t="inlineStr">
        <is>
          <t>4.3.1</t>
        </is>
      </c>
      <c r="B723" s="11" t="inlineStr">
        <is>
          <t>Rate as per item 4.3.1 - Centering and shuttering including strutting, propping etc. and removal of form work for - Foundations, foo...</t>
        </is>
      </c>
      <c r="C723" s="22" t="inlineStr">
        <is>
          <t>sqm</t>
        </is>
      </c>
      <c r="D723" s="23" t="n">
        <v>2.56</v>
      </c>
      <c r="E723" s="24" t="n">
        <v>284.85</v>
      </c>
      <c r="F723" s="24">
        <f>D723*E723</f>
        <v/>
      </c>
      <c r="G723" s="22" t="n"/>
    </row>
    <row r="724">
      <c r="A724" s="22" t="inlineStr">
        <is>
          <t>0115</t>
        </is>
      </c>
      <c r="B724" s="11" t="inlineStr">
        <is>
          <t>Coolie</t>
        </is>
      </c>
      <c r="C724" s="22" t="inlineStr">
        <is>
          <t>day</t>
        </is>
      </c>
      <c r="D724" s="23" t="n">
        <v>0.75</v>
      </c>
      <c r="E724" s="24" t="n">
        <v>558</v>
      </c>
      <c r="F724" s="24">
        <f>D724*E724</f>
        <v/>
      </c>
      <c r="G724" s="22" t="n"/>
    </row>
    <row r="725">
      <c r="A725" s="22" t="inlineStr">
        <is>
          <t>0114</t>
        </is>
      </c>
      <c r="B725" s="11" t="inlineStr">
        <is>
          <t>Beldar</t>
        </is>
      </c>
      <c r="C725" s="22" t="inlineStr">
        <is>
          <t>day</t>
        </is>
      </c>
      <c r="D725" s="23" t="n">
        <v>0.066</v>
      </c>
      <c r="E725" s="24" t="n">
        <v>558</v>
      </c>
      <c r="F725" s="24">
        <f>D725*E725</f>
        <v/>
      </c>
      <c r="G725" s="22" t="n"/>
    </row>
    <row r="726">
      <c r="A726" s="22" t="inlineStr">
        <is>
          <t>0101</t>
        </is>
      </c>
      <c r="B726" s="11" t="inlineStr">
        <is>
          <t>Bhisti</t>
        </is>
      </c>
      <c r="C726" s="22" t="inlineStr">
        <is>
          <t>day</t>
        </is>
      </c>
      <c r="D726" s="23" t="n">
        <v>0.132</v>
      </c>
      <c r="E726" s="24" t="n">
        <v>617</v>
      </c>
      <c r="F726" s="24">
        <f>D726*E726</f>
        <v/>
      </c>
      <c r="G726" s="22" t="n"/>
    </row>
    <row r="727">
      <c r="A727" s="22" t="inlineStr">
        <is>
          <t>0123</t>
        </is>
      </c>
      <c r="B727" s="11" t="inlineStr">
        <is>
          <t>Mason (brick layer) 1st class</t>
        </is>
      </c>
      <c r="C727" s="22" t="inlineStr">
        <is>
          <t>day</t>
        </is>
      </c>
      <c r="D727" s="23" t="n">
        <v>0.0264</v>
      </c>
      <c r="E727" s="24" t="n">
        <v>738</v>
      </c>
      <c r="F727" s="24">
        <f>D727*E727</f>
        <v/>
      </c>
      <c r="G727" s="22" t="n"/>
    </row>
    <row r="728">
      <c r="A728" s="22" t="inlineStr">
        <is>
          <t>0124</t>
        </is>
      </c>
      <c r="B728" s="11" t="inlineStr">
        <is>
          <t>Mason (brick layer) 2nd class</t>
        </is>
      </c>
      <c r="C728" s="22" t="inlineStr">
        <is>
          <t>day</t>
        </is>
      </c>
      <c r="D728" s="23" t="n">
        <v>0.0264</v>
      </c>
      <c r="E728" s="24" t="n">
        <v>679</v>
      </c>
      <c r="F728" s="24">
        <f>D728*E728</f>
        <v/>
      </c>
      <c r="G728" s="22" t="n"/>
    </row>
    <row r="729">
      <c r="A729" s="22" t="inlineStr">
        <is>
          <t>0128</t>
        </is>
      </c>
      <c r="B729" s="11" t="inlineStr">
        <is>
          <t>Mate</t>
        </is>
      </c>
      <c r="C729" s="22" t="inlineStr">
        <is>
          <t>day</t>
        </is>
      </c>
      <c r="D729" s="23" t="n">
        <v>0.0264</v>
      </c>
      <c r="E729" s="24" t="n">
        <v>617</v>
      </c>
      <c r="F729" s="24">
        <f>D729*E729</f>
        <v/>
      </c>
      <c r="G729" s="22" t="n"/>
    </row>
    <row r="730">
      <c r="A730" s="22" t="inlineStr">
        <is>
          <t>9999</t>
        </is>
      </c>
      <c r="B730" s="11" t="inlineStr">
        <is>
          <t>Cement mortar 1:3 for fixing</t>
        </is>
      </c>
      <c r="C730" s="22" t="inlineStr">
        <is>
          <t>L.S.</t>
        </is>
      </c>
      <c r="D730" s="23" t="n">
        <v>17.94</v>
      </c>
      <c r="E730" s="24" t="n">
        <v>2</v>
      </c>
      <c r="F730" s="24">
        <f>D730*E730</f>
        <v/>
      </c>
      <c r="G730" s="22" t="n"/>
    </row>
    <row r="731">
      <c r="A731" s="22" t="inlineStr">
        <is>
          <t>9999</t>
        </is>
      </c>
      <c r="B731" s="11" t="inlineStr">
        <is>
          <t>Labour for hoisting, Transporting and setting in position</t>
        </is>
      </c>
      <c r="C731" s="22" t="inlineStr">
        <is>
          <t>L.S.</t>
        </is>
      </c>
      <c r="D731" s="23" t="n">
        <v>71.76000000000001</v>
      </c>
      <c r="E731" s="24" t="n">
        <v>2</v>
      </c>
      <c r="F731" s="24">
        <f>D731*E731</f>
        <v/>
      </c>
      <c r="G731" s="22" t="n"/>
    </row>
    <row r="732">
      <c r="A732" s="22" t="inlineStr">
        <is>
          <t>9999</t>
        </is>
      </c>
      <c r="B732" s="11" t="inlineStr">
        <is>
          <t>Sundries</t>
        </is>
      </c>
      <c r="C732" s="22" t="inlineStr">
        <is>
          <t>L.S.</t>
        </is>
      </c>
      <c r="D732" s="23" t="n">
        <v>17.94</v>
      </c>
      <c r="E732" s="24" t="n">
        <v>2</v>
      </c>
      <c r="F732" s="24">
        <f>D732*E732</f>
        <v/>
      </c>
      <c r="G732" s="22" t="n"/>
    </row>
    <row r="733">
      <c r="A733" s="8" t="inlineStr">
        <is>
          <t>Calculated W - SUM of the Amount column above</t>
        </is>
      </c>
      <c r="B733" s="9" t="n"/>
      <c r="C733" s="9" t="n"/>
      <c r="D733" s="9" t="n"/>
      <c r="E733" s="9" t="n"/>
      <c r="F733" s="25">
        <f>SUM(F722:F732)</f>
        <v/>
      </c>
      <c r="G733" s="9" t="n"/>
    </row>
    <row r="734">
      <c r="A734" s="26" t="inlineStr">
        <is>
          <t>W as printed in the DAR</t>
        </is>
      </c>
      <c r="B734" s="22" t="n"/>
      <c r="C734" s="22" t="n"/>
      <c r="D734" s="22" t="n"/>
      <c r="E734" s="22" t="n"/>
      <c r="F734" s="27" t="n">
        <v>6293.93</v>
      </c>
      <c r="G734" s="22" t="n"/>
    </row>
    <row r="735">
      <c r="A735" s="26" t="inlineStr">
        <is>
          <t>Difference (calculated - printed)</t>
        </is>
      </c>
      <c r="B735" s="22" t="n"/>
      <c r="C735" s="22" t="n"/>
      <c r="D735" s="22" t="n"/>
      <c r="E735" s="22" t="n"/>
      <c r="F735" s="27">
        <f>F733-F734</f>
        <v/>
      </c>
      <c r="G735" s="22" t="n"/>
    </row>
    <row r="736">
      <c r="A736" s="29" t="inlineStr">
        <is>
          <t>SAY (Rs.) - final DAR rate as printed (fixed value, not computed)</t>
        </is>
      </c>
      <c r="B736" s="30" t="n"/>
      <c r="C736" s="30" t="n"/>
      <c r="D736" s="30" t="n"/>
      <c r="E736" s="30" t="n"/>
      <c r="F736" s="31" t="n">
        <v>9948.799999999999</v>
      </c>
      <c r="G736" s="30" t="n"/>
    </row>
    <row r="738" ht="47.5" customHeight="1">
      <c r="A738" s="8" t="inlineStr">
        <is>
          <t>5.18</t>
        </is>
      </c>
      <c r="B738" s="17"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is>
      </c>
      <c r="C738" s="9" t="n"/>
      <c r="D738" s="9" t="n"/>
      <c r="E738" s="9" t="n"/>
      <c r="F738" s="9" t="n"/>
      <c r="G738" s="9" t="n"/>
    </row>
    <row r="739" ht="18.5" customHeight="1">
      <c r="A739" s="18" t="inlineStr">
        <is>
          <t>5.18.1</t>
        </is>
      </c>
      <c r="B739" s="19" t="inlineStr">
        <is>
          <t>50 mm thick</t>
        </is>
      </c>
      <c r="C739" s="20" t="n"/>
      <c r="D739" s="20" t="n"/>
      <c r="E739" s="20" t="n"/>
      <c r="F739" s="20" t="n"/>
      <c r="G739" s="20" t="n"/>
    </row>
    <row r="740">
      <c r="A740" s="21" t="inlineStr">
        <is>
          <t>Details of cost for 1.5 sqm   |   Source: CivilDAR_2019_Vol_1.pdf, page 229</t>
        </is>
      </c>
    </row>
    <row r="741">
      <c r="A741" s="5" t="inlineStr">
        <is>
          <t>Code</t>
        </is>
      </c>
      <c r="B741" s="5" t="inlineStr">
        <is>
          <t>Description</t>
        </is>
      </c>
      <c r="C741" s="5" t="inlineStr">
        <is>
          <t>Unit</t>
        </is>
      </c>
      <c r="D741" s="5" t="inlineStr">
        <is>
          <t>Quantity</t>
        </is>
      </c>
      <c r="E741" s="5" t="inlineStr">
        <is>
          <t>Rate (Rs.)</t>
        </is>
      </c>
      <c r="F741" s="5" t="inlineStr">
        <is>
          <t>Amount (Rs.)</t>
        </is>
      </c>
      <c r="G741" s="5" t="inlineStr">
        <is>
          <t>Note</t>
        </is>
      </c>
    </row>
    <row r="742">
      <c r="A742" s="22" t="inlineStr">
        <is>
          <t>0768</t>
        </is>
      </c>
      <c r="B742" s="11" t="inlineStr">
        <is>
          <t>Cement Concrete Jali 50 mm thick</t>
        </is>
      </c>
      <c r="C742" s="22" t="inlineStr">
        <is>
          <t>sqm</t>
        </is>
      </c>
      <c r="D742" s="23" t="n">
        <v>1.5</v>
      </c>
      <c r="E742" s="24" t="n">
        <v>400</v>
      </c>
      <c r="F742" s="24">
        <f>D742*E742</f>
        <v/>
      </c>
      <c r="G742" s="22" t="n"/>
    </row>
    <row r="743">
      <c r="A743" s="22" t="inlineStr">
        <is>
          <t>9999</t>
        </is>
      </c>
      <c r="B743" s="11" t="inlineStr">
        <is>
          <t>Mortar for fixing</t>
        </is>
      </c>
      <c r="C743" s="22" t="inlineStr">
        <is>
          <t>L.S.</t>
        </is>
      </c>
      <c r="D743" s="23" t="n">
        <v>6.24</v>
      </c>
      <c r="E743" s="24" t="n">
        <v>2</v>
      </c>
      <c r="F743" s="24">
        <f>D743*E743</f>
        <v/>
      </c>
      <c r="G743" s="22" t="n"/>
    </row>
    <row r="744">
      <c r="A744" s="22" t="inlineStr">
        <is>
          <t>9988</t>
        </is>
      </c>
      <c r="B744" s="11" t="inlineStr">
        <is>
          <t>Carriage and sundries</t>
        </is>
      </c>
      <c r="C744" s="22" t="inlineStr">
        <is>
          <t>L.S.</t>
        </is>
      </c>
      <c r="D744" s="23" t="n">
        <v>6.2</v>
      </c>
      <c r="E744" s="24" t="n">
        <v>2</v>
      </c>
      <c r="F744" s="24">
        <f>D744*E744</f>
        <v/>
      </c>
      <c r="G744" s="22" t="n"/>
    </row>
    <row r="745">
      <c r="A745" s="22" t="inlineStr">
        <is>
          <t>0123</t>
        </is>
      </c>
      <c r="B745" s="11" t="inlineStr">
        <is>
          <t>Mason (brick layer) 1st class</t>
        </is>
      </c>
      <c r="C745" s="22" t="inlineStr">
        <is>
          <t>day</t>
        </is>
      </c>
      <c r="D745" s="23" t="n">
        <v>0.3</v>
      </c>
      <c r="E745" s="24" t="n">
        <v>738</v>
      </c>
      <c r="F745" s="24">
        <f>D745*E745</f>
        <v/>
      </c>
      <c r="G745" s="22" t="n"/>
    </row>
    <row r="746">
      <c r="A746" s="22" t="inlineStr">
        <is>
          <t>0124</t>
        </is>
      </c>
      <c r="B746" s="11" t="inlineStr">
        <is>
          <t>Mason (brick layer) 2nd class</t>
        </is>
      </c>
      <c r="C746" s="22" t="inlineStr">
        <is>
          <t>day</t>
        </is>
      </c>
      <c r="D746" s="23" t="n">
        <v>0.3</v>
      </c>
      <c r="E746" s="24" t="n">
        <v>679</v>
      </c>
      <c r="F746" s="24">
        <f>D746*E746</f>
        <v/>
      </c>
      <c r="G746" s="22" t="n"/>
    </row>
    <row r="747">
      <c r="A747" s="22" t="inlineStr">
        <is>
          <t>0114</t>
        </is>
      </c>
      <c r="B747" s="11" t="inlineStr">
        <is>
          <t>Beldar</t>
        </is>
      </c>
      <c r="C747" s="22" t="inlineStr">
        <is>
          <t>day</t>
        </is>
      </c>
      <c r="D747" s="23" t="n">
        <v>1.08</v>
      </c>
      <c r="E747" s="24" t="n">
        <v>558</v>
      </c>
      <c r="F747" s="24">
        <f>D747*E747</f>
        <v/>
      </c>
      <c r="G747" s="22" t="n"/>
    </row>
    <row r="748">
      <c r="A748" s="8" t="inlineStr">
        <is>
          <t>Calculated W - SUM of the Amount column above</t>
        </is>
      </c>
      <c r="B748" s="9" t="n"/>
      <c r="C748" s="9" t="n"/>
      <c r="D748" s="9" t="n"/>
      <c r="E748" s="9" t="n"/>
      <c r="F748" s="25">
        <f>SUM(F742:F747)</f>
        <v/>
      </c>
      <c r="G748" s="9" t="n"/>
    </row>
    <row r="749">
      <c r="A749" s="26" t="inlineStr">
        <is>
          <t>W as printed in the DAR</t>
        </is>
      </c>
      <c r="B749" s="22" t="n"/>
      <c r="C749" s="22" t="n"/>
      <c r="D749" s="22" t="n"/>
      <c r="E749" s="22" t="n"/>
      <c r="F749" s="27" t="n">
        <v>1652.62</v>
      </c>
      <c r="G749" s="22" t="n"/>
    </row>
    <row r="750">
      <c r="A750" s="26" t="inlineStr">
        <is>
          <t>Difference (calculated - printed)</t>
        </is>
      </c>
      <c r="B750" s="22" t="n"/>
      <c r="C750" s="22" t="n"/>
      <c r="D750" s="22" t="n"/>
      <c r="E750" s="22" t="n"/>
      <c r="F750" s="27">
        <f>F748-F749</f>
        <v/>
      </c>
      <c r="G750" s="22" t="n"/>
    </row>
    <row r="751">
      <c r="A751" s="29" t="inlineStr">
        <is>
          <t>SAY (Rs.) - final DAR rate as printed (fixed value, not computed)</t>
        </is>
      </c>
      <c r="B751" s="30" t="n"/>
      <c r="C751" s="30" t="n"/>
      <c r="D751" s="30" t="n"/>
      <c r="E751" s="30" t="n"/>
      <c r="F751" s="31" t="n">
        <v>1474.05</v>
      </c>
      <c r="G751" s="30" t="n"/>
    </row>
    <row r="753" ht="47.5" customHeight="1">
      <c r="A753" s="8" t="inlineStr">
        <is>
          <t>5.18</t>
        </is>
      </c>
      <c r="B753" s="17"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is>
      </c>
      <c r="C753" s="9" t="n"/>
      <c r="D753" s="9" t="n"/>
      <c r="E753" s="9" t="n"/>
      <c r="F753" s="9" t="n"/>
      <c r="G753" s="9" t="n"/>
    </row>
    <row r="754" ht="18.5" customHeight="1">
      <c r="A754" s="18" t="inlineStr">
        <is>
          <t>5.18.2</t>
        </is>
      </c>
      <c r="B754" s="19" t="inlineStr">
        <is>
          <t>40 mm thick</t>
        </is>
      </c>
      <c r="C754" s="20" t="n"/>
      <c r="D754" s="20" t="n"/>
      <c r="E754" s="20" t="n"/>
      <c r="F754" s="20" t="n"/>
      <c r="G754" s="20" t="n"/>
    </row>
    <row r="755">
      <c r="A755" s="21" t="inlineStr">
        <is>
          <t>Details of cost for 0.72 sqm   |   Source: CivilDAR_2019_Vol_1.pdf, page 229</t>
        </is>
      </c>
    </row>
    <row r="756">
      <c r="A756" s="5" t="inlineStr">
        <is>
          <t>Code</t>
        </is>
      </c>
      <c r="B756" s="5" t="inlineStr">
        <is>
          <t>Description</t>
        </is>
      </c>
      <c r="C756" s="5" t="inlineStr">
        <is>
          <t>Unit</t>
        </is>
      </c>
      <c r="D756" s="5" t="inlineStr">
        <is>
          <t>Quantity</t>
        </is>
      </c>
      <c r="E756" s="5" t="inlineStr">
        <is>
          <t>Rate (Rs.)</t>
        </is>
      </c>
      <c r="F756" s="5" t="inlineStr">
        <is>
          <t>Amount (Rs.)</t>
        </is>
      </c>
      <c r="G756" s="5" t="inlineStr">
        <is>
          <t>Note</t>
        </is>
      </c>
    </row>
    <row r="757">
      <c r="A757" s="22" t="inlineStr">
        <is>
          <t>0769</t>
        </is>
      </c>
      <c r="B757" s="11" t="inlineStr">
        <is>
          <t>Cement Concrete Jali 40 mm thick</t>
        </is>
      </c>
      <c r="C757" s="22" t="inlineStr">
        <is>
          <t>sqm</t>
        </is>
      </c>
      <c r="D757" s="23" t="n">
        <v>0.72</v>
      </c>
      <c r="E757" s="24" t="n">
        <v>350</v>
      </c>
      <c r="F757" s="24">
        <f>D757*E757</f>
        <v/>
      </c>
      <c r="G757" s="22" t="n"/>
    </row>
    <row r="758">
      <c r="A758" s="22" t="inlineStr">
        <is>
          <t>9999</t>
        </is>
      </c>
      <c r="B758" s="11" t="inlineStr">
        <is>
          <t>Mortar for fixing</t>
        </is>
      </c>
      <c r="C758" s="22" t="inlineStr">
        <is>
          <t>L.S.</t>
        </is>
      </c>
      <c r="D758" s="23" t="n">
        <v>3.64</v>
      </c>
      <c r="E758" s="24" t="n">
        <v>2</v>
      </c>
      <c r="F758" s="24">
        <f>D758*E758</f>
        <v/>
      </c>
      <c r="G758" s="22" t="n"/>
    </row>
    <row r="759">
      <c r="A759" s="22" t="inlineStr">
        <is>
          <t>9988</t>
        </is>
      </c>
      <c r="B759" s="11" t="inlineStr">
        <is>
          <t>Carriage and sundries</t>
        </is>
      </c>
      <c r="C759" s="22" t="inlineStr">
        <is>
          <t>L.S.</t>
        </is>
      </c>
      <c r="D759" s="23" t="n">
        <v>3.64</v>
      </c>
      <c r="E759" s="24" t="n">
        <v>2</v>
      </c>
      <c r="F759" s="24">
        <f>D759*E759</f>
        <v/>
      </c>
      <c r="G759" s="22" t="n"/>
    </row>
    <row r="760">
      <c r="A760" s="22" t="inlineStr">
        <is>
          <t>0123</t>
        </is>
      </c>
      <c r="B760" s="11" t="inlineStr">
        <is>
          <t>Mason (brick layer) 1st class</t>
        </is>
      </c>
      <c r="C760" s="22" t="inlineStr">
        <is>
          <t>day</t>
        </is>
      </c>
      <c r="D760" s="23" t="n">
        <v>0.12</v>
      </c>
      <c r="E760" s="24" t="n">
        <v>738</v>
      </c>
      <c r="F760" s="24">
        <f>D760*E760</f>
        <v/>
      </c>
      <c r="G760" s="22" t="n"/>
    </row>
    <row r="761">
      <c r="A761" s="22" t="inlineStr">
        <is>
          <t>0124</t>
        </is>
      </c>
      <c r="B761" s="11" t="inlineStr">
        <is>
          <t>Mason (brick layer) 2nd class</t>
        </is>
      </c>
      <c r="C761" s="22" t="inlineStr">
        <is>
          <t>day</t>
        </is>
      </c>
      <c r="D761" s="23" t="n">
        <v>0.12</v>
      </c>
      <c r="E761" s="24" t="n">
        <v>679</v>
      </c>
      <c r="F761" s="24">
        <f>D761*E761</f>
        <v/>
      </c>
      <c r="G761" s="22" t="n"/>
    </row>
    <row r="762">
      <c r="A762" s="22" t="inlineStr">
        <is>
          <t>0114</t>
        </is>
      </c>
      <c r="B762" s="11" t="inlineStr">
        <is>
          <t>Beldar</t>
        </is>
      </c>
      <c r="C762" s="22" t="inlineStr">
        <is>
          <t>day</t>
        </is>
      </c>
      <c r="D762" s="23" t="n">
        <v>0.5</v>
      </c>
      <c r="E762" s="24" t="n">
        <v>558</v>
      </c>
      <c r="F762" s="24">
        <f>D762*E762</f>
        <v/>
      </c>
      <c r="G762" s="22" t="n"/>
    </row>
    <row r="763">
      <c r="A763" s="8" t="inlineStr">
        <is>
          <t>Calculated W - SUM of the Amount column above</t>
        </is>
      </c>
      <c r="B763" s="9" t="n"/>
      <c r="C763" s="9" t="n"/>
      <c r="D763" s="9" t="n"/>
      <c r="E763" s="9" t="n"/>
      <c r="F763" s="25">
        <f>SUM(F757:F762)</f>
        <v/>
      </c>
      <c r="G763" s="9" t="n"/>
    </row>
    <row r="764">
      <c r="A764" s="26" t="inlineStr">
        <is>
          <t>W as printed in the DAR</t>
        </is>
      </c>
      <c r="B764" s="22" t="n"/>
      <c r="C764" s="22" t="n"/>
      <c r="D764" s="22" t="n"/>
      <c r="E764" s="22" t="n"/>
      <c r="F764" s="27" t="n">
        <v>715.6</v>
      </c>
      <c r="G764" s="22" t="n"/>
    </row>
    <row r="765">
      <c r="A765" s="26" t="inlineStr">
        <is>
          <t>Difference (calculated - printed)</t>
        </is>
      </c>
      <c r="B765" s="22" t="n"/>
      <c r="C765" s="22" t="n"/>
      <c r="D765" s="22" t="n"/>
      <c r="E765" s="22" t="n"/>
      <c r="F765" s="27">
        <f>F763-F764</f>
        <v/>
      </c>
      <c r="G765" s="22" t="n"/>
    </row>
    <row r="766">
      <c r="A766" s="29" t="inlineStr">
        <is>
          <t>SAY (Rs.) - final DAR rate as printed (fixed value, not computed)</t>
        </is>
      </c>
      <c r="B766" s="30" t="n"/>
      <c r="C766" s="30" t="n"/>
      <c r="D766" s="30" t="n"/>
      <c r="E766" s="30" t="n"/>
      <c r="F766" s="31" t="n">
        <v>1329.75</v>
      </c>
      <c r="G766" s="30" t="n"/>
    </row>
    <row r="768" ht="47.5" customHeight="1">
      <c r="A768" s="8" t="inlineStr">
        <is>
          <t>5.18</t>
        </is>
      </c>
      <c r="B768" s="17"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is>
      </c>
      <c r="C768" s="9" t="n"/>
      <c r="D768" s="9" t="n"/>
      <c r="E768" s="9" t="n"/>
      <c r="F768" s="9" t="n"/>
      <c r="G768" s="9" t="n"/>
    </row>
    <row r="769" ht="18.5" customHeight="1">
      <c r="A769" s="18" t="inlineStr">
        <is>
          <t>5.18.3</t>
        </is>
      </c>
      <c r="B769" s="19" t="inlineStr">
        <is>
          <t>25 mm thick</t>
        </is>
      </c>
      <c r="C769" s="20" t="n"/>
      <c r="D769" s="20" t="n"/>
      <c r="E769" s="20" t="n"/>
      <c r="F769" s="20" t="n"/>
      <c r="G769" s="20" t="n"/>
    </row>
    <row r="770">
      <c r="A770" s="21" t="inlineStr">
        <is>
          <t>Details of cost for 0.375 sqm   |   Source: CivilDAR_2019_Vol_1.pdf, page 230</t>
        </is>
      </c>
    </row>
    <row r="771">
      <c r="A771" s="5" t="inlineStr">
        <is>
          <t>Code</t>
        </is>
      </c>
      <c r="B771" s="5" t="inlineStr">
        <is>
          <t>Description</t>
        </is>
      </c>
      <c r="C771" s="5" t="inlineStr">
        <is>
          <t>Unit</t>
        </is>
      </c>
      <c r="D771" s="5" t="inlineStr">
        <is>
          <t>Quantity</t>
        </is>
      </c>
      <c r="E771" s="5" t="inlineStr">
        <is>
          <t>Rate (Rs.)</t>
        </is>
      </c>
      <c r="F771" s="5" t="inlineStr">
        <is>
          <t>Amount (Rs.)</t>
        </is>
      </c>
      <c r="G771" s="5" t="inlineStr">
        <is>
          <t>Note</t>
        </is>
      </c>
    </row>
    <row r="772">
      <c r="A772" s="22" t="inlineStr">
        <is>
          <t>0770</t>
        </is>
      </c>
      <c r="B772" s="11" t="inlineStr">
        <is>
          <t>Cement Concrete Jali 25 mm thick</t>
        </is>
      </c>
      <c r="C772" s="22" t="inlineStr">
        <is>
          <t>sqm</t>
        </is>
      </c>
      <c r="D772" s="23" t="n">
        <v>0.375</v>
      </c>
      <c r="E772" s="24" t="n">
        <v>275</v>
      </c>
      <c r="F772" s="24">
        <f>D772*E772</f>
        <v/>
      </c>
      <c r="G772" s="22" t="n"/>
    </row>
    <row r="773">
      <c r="A773" s="22" t="inlineStr">
        <is>
          <t>9999</t>
        </is>
      </c>
      <c r="B773" s="11" t="inlineStr">
        <is>
          <t>Mortar for fixing</t>
        </is>
      </c>
      <c r="C773" s="22" t="inlineStr">
        <is>
          <t>L.S.</t>
        </is>
      </c>
      <c r="D773" s="23" t="n">
        <v>1.82</v>
      </c>
      <c r="E773" s="24" t="n">
        <v>2</v>
      </c>
      <c r="F773" s="24">
        <f>D773*E773</f>
        <v/>
      </c>
      <c r="G773" s="22" t="n"/>
    </row>
    <row r="774">
      <c r="A774" s="22" t="inlineStr">
        <is>
          <t>9988</t>
        </is>
      </c>
      <c r="B774" s="11" t="inlineStr">
        <is>
          <t>Carriage and sundries</t>
        </is>
      </c>
      <c r="C774" s="22" t="inlineStr">
        <is>
          <t>L.S.</t>
        </is>
      </c>
      <c r="D774" s="23" t="n">
        <v>1.82</v>
      </c>
      <c r="E774" s="24" t="n">
        <v>2</v>
      </c>
      <c r="F774" s="24">
        <f>D774*E774</f>
        <v/>
      </c>
      <c r="G774" s="22" t="n"/>
    </row>
    <row r="775">
      <c r="A775" s="22" t="inlineStr">
        <is>
          <t>0123</t>
        </is>
      </c>
      <c r="B775" s="11" t="inlineStr">
        <is>
          <t>Mason (brick layer) 1st class</t>
        </is>
      </c>
      <c r="C775" s="22" t="inlineStr">
        <is>
          <t>day</t>
        </is>
      </c>
      <c r="D775" s="23" t="n">
        <v>0.06</v>
      </c>
      <c r="E775" s="24" t="n">
        <v>738</v>
      </c>
      <c r="F775" s="24">
        <f>D775*E775</f>
        <v/>
      </c>
      <c r="G775" s="22" t="n"/>
    </row>
    <row r="776">
      <c r="A776" s="22" t="inlineStr">
        <is>
          <t>0124</t>
        </is>
      </c>
      <c r="B776" s="11" t="inlineStr">
        <is>
          <t>Mason (brick layer) 2nd class</t>
        </is>
      </c>
      <c r="C776" s="22" t="inlineStr">
        <is>
          <t>day</t>
        </is>
      </c>
      <c r="D776" s="23" t="n">
        <v>0.06</v>
      </c>
      <c r="E776" s="24" t="n">
        <v>679</v>
      </c>
      <c r="F776" s="24">
        <f>D776*E776</f>
        <v/>
      </c>
      <c r="G776" s="22" t="n"/>
    </row>
    <row r="777">
      <c r="A777" s="22" t="inlineStr">
        <is>
          <t>0114</t>
        </is>
      </c>
      <c r="B777" s="11" t="inlineStr">
        <is>
          <t>Beldar</t>
        </is>
      </c>
      <c r="C777" s="22" t="inlineStr">
        <is>
          <t>day</t>
        </is>
      </c>
      <c r="D777" s="23" t="n">
        <v>0.25</v>
      </c>
      <c r="E777" s="24" t="n">
        <v>558</v>
      </c>
      <c r="F777" s="24">
        <f>D777*E777</f>
        <v/>
      </c>
      <c r="G777" s="22" t="n"/>
    </row>
    <row r="778">
      <c r="A778" s="8" t="inlineStr">
        <is>
          <t>Calculated W - SUM of the Amount column above</t>
        </is>
      </c>
      <c r="B778" s="9" t="n"/>
      <c r="C778" s="9" t="n"/>
      <c r="D778" s="9" t="n"/>
      <c r="E778" s="9" t="n"/>
      <c r="F778" s="25">
        <f>SUM(F772:F777)</f>
        <v/>
      </c>
      <c r="G778" s="9" t="n"/>
    </row>
    <row r="779">
      <c r="A779" s="26" t="inlineStr">
        <is>
          <t>W as printed in the DAR</t>
        </is>
      </c>
      <c r="B779" s="22" t="n"/>
      <c r="C779" s="22" t="n"/>
      <c r="D779" s="22" t="n"/>
      <c r="E779" s="22" t="n"/>
      <c r="F779" s="27" t="n">
        <v>334.93</v>
      </c>
      <c r="G779" s="22" t="n"/>
    </row>
    <row r="780">
      <c r="A780" s="26" t="inlineStr">
        <is>
          <t>Difference (calculated - printed)</t>
        </is>
      </c>
      <c r="B780" s="22" t="n"/>
      <c r="C780" s="22" t="n"/>
      <c r="D780" s="22" t="n"/>
      <c r="E780" s="22" t="n"/>
      <c r="F780" s="27">
        <f>F778-F779</f>
        <v/>
      </c>
      <c r="G780" s="22" t="n"/>
    </row>
    <row r="781">
      <c r="A781" s="29" t="inlineStr">
        <is>
          <t>SAY (Rs.) - final DAR rate as printed (fixed value, not computed)</t>
        </is>
      </c>
      <c r="B781" s="30" t="n"/>
      <c r="C781" s="30" t="n"/>
      <c r="D781" s="30" t="n"/>
      <c r="E781" s="30" t="n"/>
      <c r="F781" s="31" t="n">
        <v>1194.95</v>
      </c>
      <c r="G781" s="30" t="n"/>
    </row>
    <row r="783" ht="33" customHeight="1">
      <c r="A783" s="18" t="inlineStr">
        <is>
          <t>5.19</t>
        </is>
      </c>
      <c r="B783" s="19" t="inlineStr">
        <is>
          <t>Encasing rolled steel sections, in beams and columns, with cement concrete 1:1.5:3 (1 cement : 1.5 coarse sand(zone-III) : 3 graded stone aggregate 20 mm nominal size, including centering and shuttering complete but , excluding cost of reinforcement.</t>
        </is>
      </c>
      <c r="C783" s="20" t="n"/>
      <c r="D783" s="20" t="n"/>
      <c r="E783" s="20" t="n"/>
      <c r="F783" s="20" t="n"/>
      <c r="G783" s="20" t="n"/>
    </row>
    <row r="784">
      <c r="A784" s="21" t="inlineStr">
        <is>
          <t>Details of cost for 0.424 cum   |   Source: CivilDAR_2019_Vol_1.pdf, page 230</t>
        </is>
      </c>
    </row>
    <row r="785">
      <c r="A785" s="5" t="inlineStr">
        <is>
          <t>Code</t>
        </is>
      </c>
      <c r="B785" s="5" t="inlineStr">
        <is>
          <t>Description</t>
        </is>
      </c>
      <c r="C785" s="5" t="inlineStr">
        <is>
          <t>Unit</t>
        </is>
      </c>
      <c r="D785" s="5" t="inlineStr">
        <is>
          <t>Quantity</t>
        </is>
      </c>
      <c r="E785" s="5" t="inlineStr">
        <is>
          <t>Rate (Rs.)</t>
        </is>
      </c>
      <c r="F785" s="5" t="inlineStr">
        <is>
          <t>Amount (Rs.)</t>
        </is>
      </c>
      <c r="G785" s="5" t="inlineStr">
        <is>
          <t>Note</t>
        </is>
      </c>
    </row>
    <row r="786">
      <c r="A786" s="7" t="inlineStr">
        <is>
          <t>4.1.2</t>
        </is>
      </c>
      <c r="B786" s="11" t="inlineStr">
        <is>
          <t>Rate as per item 4.1.2 - Providing and laying in position cement concrete of specified grade excluding the cost of centering and shu...</t>
        </is>
      </c>
      <c r="C786" s="22" t="inlineStr">
        <is>
          <t>cum</t>
        </is>
      </c>
      <c r="D786" s="23" t="n">
        <v>0.424</v>
      </c>
      <c r="E786" s="24" t="n">
        <v>7210.55</v>
      </c>
      <c r="F786" s="24">
        <f>D786*E786</f>
        <v/>
      </c>
      <c r="G786" s="22" t="n"/>
    </row>
    <row r="787">
      <c r="A787" s="22" t="inlineStr">
        <is>
          <t>0114</t>
        </is>
      </c>
      <c r="B787" s="11" t="inlineStr">
        <is>
          <t>Beldar</t>
        </is>
      </c>
      <c r="C787" s="22" t="inlineStr">
        <is>
          <t>day</t>
        </is>
      </c>
      <c r="D787" s="23" t="n">
        <v>0.042</v>
      </c>
      <c r="E787" s="24" t="n">
        <v>558</v>
      </c>
      <c r="F787" s="24">
        <f>D787*E787</f>
        <v/>
      </c>
      <c r="G787" s="22" t="n"/>
    </row>
    <row r="788">
      <c r="A788" s="22" t="inlineStr">
        <is>
          <t>0101</t>
        </is>
      </c>
      <c r="B788" s="11" t="inlineStr">
        <is>
          <t>Bhisti</t>
        </is>
      </c>
      <c r="C788" s="22" t="inlineStr">
        <is>
          <t>day</t>
        </is>
      </c>
      <c r="D788" s="23" t="n">
        <v>0.08500000000000001</v>
      </c>
      <c r="E788" s="24" t="n">
        <v>617</v>
      </c>
      <c r="F788" s="24">
        <f>D788*E788</f>
        <v/>
      </c>
      <c r="G788" s="22" t="n"/>
    </row>
    <row r="789">
      <c r="A789" s="22" t="inlineStr">
        <is>
          <t>0123</t>
        </is>
      </c>
      <c r="B789" s="11" t="inlineStr">
        <is>
          <t>Mason (brick layer) 1st class</t>
        </is>
      </c>
      <c r="C789" s="22" t="inlineStr">
        <is>
          <t>day</t>
        </is>
      </c>
      <c r="D789" s="23" t="n">
        <v>0.017</v>
      </c>
      <c r="E789" s="24" t="n">
        <v>738</v>
      </c>
      <c r="F789" s="24">
        <f>D789*E789</f>
        <v/>
      </c>
      <c r="G789" s="22" t="n"/>
    </row>
    <row r="790">
      <c r="A790" s="22" t="inlineStr">
        <is>
          <t>0124</t>
        </is>
      </c>
      <c r="B790" s="11" t="inlineStr">
        <is>
          <t>Mason (brick layer) 2nd class</t>
        </is>
      </c>
      <c r="C790" s="22" t="inlineStr">
        <is>
          <t>day</t>
        </is>
      </c>
      <c r="D790" s="23" t="n">
        <v>0.017</v>
      </c>
      <c r="E790" s="24" t="n">
        <v>679</v>
      </c>
      <c r="F790" s="24">
        <f>D790*E790</f>
        <v/>
      </c>
      <c r="G790" s="22" t="n"/>
    </row>
    <row r="791">
      <c r="A791" s="22" t="inlineStr">
        <is>
          <t>0128</t>
        </is>
      </c>
      <c r="B791" s="11" t="inlineStr">
        <is>
          <t>Mate</t>
        </is>
      </c>
      <c r="C791" s="22" t="inlineStr">
        <is>
          <t>day</t>
        </is>
      </c>
      <c r="D791" s="23" t="n">
        <v>0.017</v>
      </c>
      <c r="E791" s="24" t="n">
        <v>617</v>
      </c>
      <c r="F791" s="24">
        <f>D791*E791</f>
        <v/>
      </c>
      <c r="G791" s="22" t="n"/>
    </row>
    <row r="792">
      <c r="A792" s="7" t="inlineStr">
        <is>
          <t>5.9.5</t>
        </is>
      </c>
      <c r="B792" s="11" t="inlineStr">
        <is>
          <t>Rate as per item 5.9.5 - Centering and shuttering including strutting, propping etc. and removal of form for - Lintels, beams, plint...</t>
        </is>
      </c>
      <c r="C792" s="22" t="inlineStr">
        <is>
          <t>sqm</t>
        </is>
      </c>
      <c r="D792" s="23" t="n">
        <v>4.09</v>
      </c>
      <c r="E792" s="24" t="n">
        <v>552.05</v>
      </c>
      <c r="F792" s="24">
        <f>D792*E792</f>
        <v/>
      </c>
      <c r="G792" s="22" t="n"/>
    </row>
    <row r="793">
      <c r="A793" s="22" t="inlineStr">
        <is>
          <t>9999</t>
        </is>
      </c>
      <c r="B793" s="11" t="inlineStr">
        <is>
          <t>Sundries and for lifting materials</t>
        </is>
      </c>
      <c r="C793" s="22" t="inlineStr">
        <is>
          <t>L.S.</t>
        </is>
      </c>
      <c r="D793" s="23" t="n">
        <v>21.58</v>
      </c>
      <c r="E793" s="24" t="n">
        <v>2</v>
      </c>
      <c r="F793" s="24">
        <f>D793*E793</f>
        <v/>
      </c>
      <c r="G793" s="22" t="n"/>
    </row>
    <row r="794">
      <c r="A794" s="8" t="inlineStr">
        <is>
          <t>Calculated W - SUM of the Amount column above</t>
        </is>
      </c>
      <c r="B794" s="9" t="n"/>
      <c r="C794" s="9" t="n"/>
      <c r="D794" s="9" t="n"/>
      <c r="E794" s="9" t="n"/>
      <c r="F794" s="25">
        <f>SUM(F786:F793)</f>
        <v/>
      </c>
      <c r="G794" s="9" t="n"/>
    </row>
    <row r="795">
      <c r="A795" s="26" t="inlineStr">
        <is>
          <t>W as printed in the DAR</t>
        </is>
      </c>
      <c r="B795" s="22" t="n"/>
      <c r="C795" s="22" t="n"/>
      <c r="D795" s="22" t="n"/>
      <c r="E795" s="22" t="n"/>
      <c r="F795" s="27" t="n">
        <v>5468.78</v>
      </c>
      <c r="G795" s="22" t="n"/>
    </row>
    <row r="796">
      <c r="A796" s="26" t="inlineStr">
        <is>
          <t>Difference (calculated - printed)</t>
        </is>
      </c>
      <c r="B796" s="22" t="n"/>
      <c r="C796" s="22" t="n"/>
      <c r="D796" s="22" t="n"/>
      <c r="E796" s="22" t="n"/>
      <c r="F796" s="27">
        <f>F794-F795</f>
        <v/>
      </c>
      <c r="G796" s="22" t="n"/>
    </row>
    <row r="797">
      <c r="A797" s="29" t="inlineStr">
        <is>
          <t>SAY (Rs.) - final DAR rate as printed (fixed value, not computed)</t>
        </is>
      </c>
      <c r="B797" s="30" t="n"/>
      <c r="C797" s="30" t="n"/>
      <c r="D797" s="30" t="n"/>
      <c r="E797" s="30" t="n"/>
      <c r="F797" s="31" t="n">
        <v>13020.5</v>
      </c>
      <c r="G797" s="30" t="n"/>
    </row>
    <row r="799" ht="18.5" customHeight="1">
      <c r="A799" s="18" t="inlineStr">
        <is>
          <t>5.20</t>
        </is>
      </c>
      <c r="B799" s="19" t="inlineStr">
        <is>
          <t>Encasing rolled steel section in grillages with cement concrete 1:1.5:3 (1 cement :</t>
        </is>
      </c>
      <c r="C799" s="20" t="n"/>
      <c r="D799" s="20" t="n"/>
      <c r="E799" s="20" t="n"/>
      <c r="F799" s="20" t="n"/>
      <c r="G799" s="20" t="n"/>
    </row>
    <row r="800">
      <c r="A800" s="21" t="inlineStr">
        <is>
          <t>Details of cost for 12.25 cum   |   Source: CivilDAR_2019_Vol_1.pdf, page 231</t>
        </is>
      </c>
    </row>
    <row r="801">
      <c r="A801" s="5" t="inlineStr">
        <is>
          <t>Code</t>
        </is>
      </c>
      <c r="B801" s="5" t="inlineStr">
        <is>
          <t>Description</t>
        </is>
      </c>
      <c r="C801" s="5" t="inlineStr">
        <is>
          <t>Unit</t>
        </is>
      </c>
      <c r="D801" s="5" t="inlineStr">
        <is>
          <t>Quantity</t>
        </is>
      </c>
      <c r="E801" s="5" t="inlineStr">
        <is>
          <t>Rate (Rs.)</t>
        </is>
      </c>
      <c r="F801" s="5" t="inlineStr">
        <is>
          <t>Amount (Rs.)</t>
        </is>
      </c>
      <c r="G801" s="5" t="inlineStr">
        <is>
          <t>Note</t>
        </is>
      </c>
    </row>
    <row r="802">
      <c r="A802" s="7" t="inlineStr">
        <is>
          <t>4.1.2</t>
        </is>
      </c>
      <c r="B802" s="11" t="inlineStr">
        <is>
          <t>Rate as per item 4.1.2 - Providing and laying in position cement concrete of specified grade excluding the cost of centering and shu...</t>
        </is>
      </c>
      <c r="C802" s="22" t="inlineStr">
        <is>
          <t>cum</t>
        </is>
      </c>
      <c r="D802" s="23" t="n">
        <v>12.25</v>
      </c>
      <c r="E802" s="24" t="n">
        <v>7210.55</v>
      </c>
      <c r="F802" s="24">
        <f>D802*E802</f>
        <v/>
      </c>
      <c r="G802" s="22" t="n"/>
    </row>
    <row r="803">
      <c r="A803" s="22" t="inlineStr">
        <is>
          <t>0114</t>
        </is>
      </c>
      <c r="B803" s="11" t="inlineStr">
        <is>
          <t>Beldar</t>
        </is>
      </c>
      <c r="C803" s="22" t="inlineStr">
        <is>
          <t>day</t>
        </is>
      </c>
      <c r="D803" s="23" t="n">
        <v>1.225</v>
      </c>
      <c r="E803" s="24" t="n">
        <v>558</v>
      </c>
      <c r="F803" s="24">
        <f>D803*E803</f>
        <v/>
      </c>
      <c r="G803" s="22" t="n"/>
    </row>
    <row r="804">
      <c r="A804" s="22" t="inlineStr">
        <is>
          <t>0101</t>
        </is>
      </c>
      <c r="B804" s="11" t="inlineStr">
        <is>
          <t>Bhisti</t>
        </is>
      </c>
      <c r="C804" s="22" t="inlineStr">
        <is>
          <t>day</t>
        </is>
      </c>
      <c r="D804" s="23" t="n">
        <v>2.45</v>
      </c>
      <c r="E804" s="24" t="n">
        <v>617</v>
      </c>
      <c r="F804" s="24">
        <f>D804*E804</f>
        <v/>
      </c>
      <c r="G804" s="22" t="n"/>
    </row>
    <row r="805">
      <c r="A805" s="22" t="inlineStr">
        <is>
          <t>0123</t>
        </is>
      </c>
      <c r="B805" s="11" t="inlineStr">
        <is>
          <t>Mason (brick layer) 1st class</t>
        </is>
      </c>
      <c r="C805" s="22" t="inlineStr">
        <is>
          <t>day</t>
        </is>
      </c>
      <c r="D805" s="23" t="n">
        <v>0.49</v>
      </c>
      <c r="E805" s="24" t="n">
        <v>738</v>
      </c>
      <c r="F805" s="24">
        <f>D805*E805</f>
        <v/>
      </c>
      <c r="G805" s="22" t="n"/>
    </row>
    <row r="806">
      <c r="A806" s="22" t="inlineStr">
        <is>
          <t>0124</t>
        </is>
      </c>
      <c r="B806" s="11" t="inlineStr">
        <is>
          <t>Mason (brick layer) 2nd class</t>
        </is>
      </c>
      <c r="C806" s="22" t="inlineStr">
        <is>
          <t>day</t>
        </is>
      </c>
      <c r="D806" s="23" t="n">
        <v>0.49</v>
      </c>
      <c r="E806" s="24" t="n">
        <v>679</v>
      </c>
      <c r="F806" s="24">
        <f>D806*E806</f>
        <v/>
      </c>
      <c r="G806" s="22" t="n"/>
    </row>
    <row r="807">
      <c r="A807" s="22" t="inlineStr">
        <is>
          <t>0128</t>
        </is>
      </c>
      <c r="B807" s="11" t="inlineStr">
        <is>
          <t>Mate</t>
        </is>
      </c>
      <c r="C807" s="22" t="inlineStr">
        <is>
          <t>day</t>
        </is>
      </c>
      <c r="D807" s="23" t="n">
        <v>0.49</v>
      </c>
      <c r="E807" s="24" t="n">
        <v>617</v>
      </c>
      <c r="F807" s="24">
        <f>D807*E807</f>
        <v/>
      </c>
      <c r="G807" s="22" t="n"/>
    </row>
    <row r="808">
      <c r="A808" s="7" t="inlineStr">
        <is>
          <t>5.9.5</t>
        </is>
      </c>
      <c r="B808" s="11" t="inlineStr">
        <is>
          <t>Rate as per item 5.9.5 - Centering and shuttering including strutting, propping etc. and removal of form for - Lintels, beams, plint...</t>
        </is>
      </c>
      <c r="C808" s="22" t="inlineStr">
        <is>
          <t>sqm</t>
        </is>
      </c>
      <c r="D808" s="23" t="n">
        <v>14</v>
      </c>
      <c r="E808" s="24" t="n">
        <v>552.05</v>
      </c>
      <c r="F808" s="24">
        <f>D808*E808</f>
        <v/>
      </c>
      <c r="G808" s="22" t="n"/>
    </row>
    <row r="809">
      <c r="A809" s="8" t="inlineStr">
        <is>
          <t>Calculated W - SUM of the Amount column above</t>
        </is>
      </c>
      <c r="B809" s="9" t="n"/>
      <c r="C809" s="9" t="n"/>
      <c r="D809" s="9" t="n"/>
      <c r="E809" s="9" t="n"/>
      <c r="F809" s="25">
        <f>SUM(F802:F808)</f>
        <v/>
      </c>
      <c r="G809" s="9" t="n"/>
    </row>
    <row r="810">
      <c r="A810" s="26" t="inlineStr">
        <is>
          <t>W as printed in the DAR</t>
        </is>
      </c>
      <c r="B810" s="22" t="n"/>
      <c r="C810" s="22" t="n"/>
      <c r="D810" s="22" t="n"/>
      <c r="E810" s="22" t="n"/>
      <c r="F810" s="27" t="n">
        <v>99249.8</v>
      </c>
      <c r="G810" s="22" t="n"/>
    </row>
    <row r="811">
      <c r="A811" s="26" t="inlineStr">
        <is>
          <t>Difference (calculated - printed)</t>
        </is>
      </c>
      <c r="B811" s="22" t="n"/>
      <c r="C811" s="22" t="n"/>
      <c r="D811" s="22" t="n"/>
      <c r="E811" s="22" t="n"/>
      <c r="F811" s="27">
        <f>F809-F810</f>
        <v/>
      </c>
      <c r="G811" s="22" t="n"/>
    </row>
    <row r="812">
      <c r="A812" s="29" t="inlineStr">
        <is>
          <t>SAY (Rs.) - final DAR rate as printed (fixed value, not computed)</t>
        </is>
      </c>
      <c r="B812" s="30" t="n"/>
      <c r="C812" s="30" t="n"/>
      <c r="D812" s="30" t="n"/>
      <c r="E812" s="30" t="n"/>
      <c r="F812" s="31" t="n">
        <v>8190.1</v>
      </c>
      <c r="G812" s="30" t="n"/>
    </row>
    <row r="814" ht="18.5" customHeight="1">
      <c r="A814" s="18" t="inlineStr">
        <is>
          <t>5.21</t>
        </is>
      </c>
      <c r="B814" s="19" t="inlineStr">
        <is>
          <t>Extra for providing and fixing expanded metal mesh of size 20x60 mm and strands</t>
        </is>
      </c>
      <c r="C814" s="20" t="n"/>
      <c r="D814" s="20" t="n"/>
      <c r="E814" s="20" t="n"/>
      <c r="F814" s="20" t="n"/>
      <c r="G814" s="20" t="n"/>
    </row>
    <row r="815">
      <c r="A815" s="21" t="inlineStr">
        <is>
          <t>Details of cost for 10 sqm   |   Source: CivilDAR_2019_Vol_1.pdf, page 232</t>
        </is>
      </c>
    </row>
    <row r="816">
      <c r="A816" s="5" t="inlineStr">
        <is>
          <t>Code</t>
        </is>
      </c>
      <c r="B816" s="5" t="inlineStr">
        <is>
          <t>Description</t>
        </is>
      </c>
      <c r="C816" s="5" t="inlineStr">
        <is>
          <t>Unit</t>
        </is>
      </c>
      <c r="D816" s="5" t="inlineStr">
        <is>
          <t>Quantity</t>
        </is>
      </c>
      <c r="E816" s="5" t="inlineStr">
        <is>
          <t>Rate (Rs.)</t>
        </is>
      </c>
      <c r="F816" s="5" t="inlineStr">
        <is>
          <t>Amount (Rs.)</t>
        </is>
      </c>
      <c r="G816" s="5" t="inlineStr">
        <is>
          <t>Note</t>
        </is>
      </c>
    </row>
    <row r="817">
      <c r="A817" s="22" t="inlineStr">
        <is>
          <t>1015</t>
        </is>
      </c>
      <c r="B817" s="11" t="inlineStr">
        <is>
          <t>Mild steel expanded metal 20x60 mm strands</t>
        </is>
      </c>
      <c r="C817" s="22" t="inlineStr">
        <is>
          <t>sqm</t>
        </is>
      </c>
      <c r="D817" s="23" t="n">
        <v>10.5</v>
      </c>
      <c r="E817" s="24" t="n">
        <v>280</v>
      </c>
      <c r="F817" s="24">
        <f>D817*E817</f>
        <v/>
      </c>
      <c r="G817" s="22" t="n"/>
    </row>
    <row r="818">
      <c r="A818" s="22" t="inlineStr">
        <is>
          <t>9977</t>
        </is>
      </c>
      <c r="B818" s="11" t="inlineStr">
        <is>
          <t>Carriage of expended metal</t>
        </is>
      </c>
      <c r="C818" s="22" t="inlineStr">
        <is>
          <t>L.S.</t>
        </is>
      </c>
      <c r="D818" s="23" t="n">
        <v>13.52</v>
      </c>
      <c r="E818" s="24" t="n">
        <v>2</v>
      </c>
      <c r="F818" s="24">
        <f>D818*E818</f>
        <v/>
      </c>
      <c r="G818" s="22" t="n"/>
    </row>
    <row r="819">
      <c r="A819" s="22" t="inlineStr">
        <is>
          <t>9999</t>
        </is>
      </c>
      <c r="B819" s="11" t="inlineStr">
        <is>
          <t>Wire for tieing</t>
        </is>
      </c>
      <c r="C819" s="22" t="inlineStr">
        <is>
          <t>L.S.</t>
        </is>
      </c>
      <c r="D819" s="23" t="n">
        <v>13.52</v>
      </c>
      <c r="E819" s="24" t="n">
        <v>2</v>
      </c>
      <c r="F819" s="24">
        <f>D819*E819</f>
        <v/>
      </c>
      <c r="G819" s="22" t="n"/>
    </row>
    <row r="820">
      <c r="A820" s="22" t="inlineStr">
        <is>
          <t>0102</t>
        </is>
      </c>
      <c r="B820" s="11" t="inlineStr">
        <is>
          <t>Blacksmith 1st class</t>
        </is>
      </c>
      <c r="C820" s="22" t="inlineStr">
        <is>
          <t>day</t>
        </is>
      </c>
      <c r="D820" s="23" t="n">
        <v>0.25</v>
      </c>
      <c r="E820" s="24" t="n">
        <v>738</v>
      </c>
      <c r="F820" s="24">
        <f>D820*E820</f>
        <v/>
      </c>
      <c r="G820" s="22" t="n"/>
    </row>
    <row r="821">
      <c r="A821" s="22" t="inlineStr">
        <is>
          <t>0114</t>
        </is>
      </c>
      <c r="B821" s="11" t="inlineStr">
        <is>
          <t>Beldar</t>
        </is>
      </c>
      <c r="C821" s="22" t="inlineStr">
        <is>
          <t>day</t>
        </is>
      </c>
      <c r="D821" s="23" t="n">
        <v>0.25</v>
      </c>
      <c r="E821" s="24" t="n">
        <v>558</v>
      </c>
      <c r="F821" s="24">
        <f>D821*E821</f>
        <v/>
      </c>
      <c r="G821" s="22" t="n"/>
    </row>
    <row r="822">
      <c r="A822" s="8" t="inlineStr">
        <is>
          <t>Calculated W - SUM of the Amount column above</t>
        </is>
      </c>
      <c r="B822" s="9" t="n"/>
      <c r="C822" s="9" t="n"/>
      <c r="D822" s="9" t="n"/>
      <c r="E822" s="9" t="n"/>
      <c r="F822" s="25">
        <f>SUM(F817:F821)</f>
        <v/>
      </c>
      <c r="G822" s="9" t="n"/>
    </row>
    <row r="823">
      <c r="A823" s="26" t="inlineStr">
        <is>
          <t>W as printed in the DAR</t>
        </is>
      </c>
      <c r="B823" s="22" t="n"/>
      <c r="C823" s="22" t="n"/>
      <c r="D823" s="22" t="n"/>
      <c r="E823" s="22" t="n"/>
      <c r="F823" s="27" t="n">
        <v>3318.08</v>
      </c>
      <c r="G823" s="22" t="n"/>
    </row>
    <row r="824">
      <c r="A824" s="26" t="inlineStr">
        <is>
          <t>Difference (calculated - printed)</t>
        </is>
      </c>
      <c r="B824" s="22" t="n"/>
      <c r="C824" s="22" t="n"/>
      <c r="D824" s="22" t="n"/>
      <c r="E824" s="22" t="n"/>
      <c r="F824" s="27">
        <f>F822-F823</f>
        <v/>
      </c>
      <c r="G824" s="22" t="n"/>
    </row>
    <row r="825">
      <c r="A825" s="29" t="inlineStr">
        <is>
          <t>SAY (Rs.) - final DAR rate as printed (fixed value, not computed)</t>
        </is>
      </c>
      <c r="B825" s="30" t="n"/>
      <c r="C825" s="30" t="n"/>
      <c r="D825" s="30" t="n"/>
      <c r="E825" s="30" t="n"/>
      <c r="F825" s="31" t="n">
        <v>443.95</v>
      </c>
      <c r="G825" s="30" t="n"/>
    </row>
    <row r="827" ht="33" customHeight="1">
      <c r="A827" s="8" t="inlineStr">
        <is>
          <t>5.22</t>
        </is>
      </c>
      <c r="B827" s="17" t="inlineStr">
        <is>
          <t>Steel reinforcement for R.C.C. work including straightening, cutting, bending, placing in position and binding all complete upto plinth level.</t>
        </is>
      </c>
      <c r="C827" s="9" t="n"/>
      <c r="D827" s="9" t="n"/>
      <c r="E827" s="9" t="n"/>
      <c r="F827" s="9" t="n"/>
      <c r="G827" s="9" t="n"/>
    </row>
    <row r="828" ht="18.5" customHeight="1">
      <c r="A828" s="18" t="inlineStr">
        <is>
          <t>5.22.1</t>
        </is>
      </c>
      <c r="B828" s="19" t="inlineStr">
        <is>
          <t>Mild steel and Medium Tensile steel bars</t>
        </is>
      </c>
      <c r="C828" s="20" t="n"/>
      <c r="D828" s="20" t="n"/>
      <c r="E828" s="20" t="n"/>
      <c r="F828" s="20" t="n"/>
      <c r="G828" s="20" t="n"/>
    </row>
    <row r="829">
      <c r="A829" s="21" t="inlineStr">
        <is>
          <t>Details of cost for 1 kg   |   Source: CivilDAR_2019_Vol_1.pdf, page 232</t>
        </is>
      </c>
    </row>
    <row r="830">
      <c r="A830" s="5" t="inlineStr">
        <is>
          <t>Code</t>
        </is>
      </c>
      <c r="B830" s="5" t="inlineStr">
        <is>
          <t>Description</t>
        </is>
      </c>
      <c r="C830" s="5" t="inlineStr">
        <is>
          <t>Unit</t>
        </is>
      </c>
      <c r="D830" s="5" t="inlineStr">
        <is>
          <t>Quantity</t>
        </is>
      </c>
      <c r="E830" s="5" t="inlineStr">
        <is>
          <t>Rate (Rs.)</t>
        </is>
      </c>
      <c r="F830" s="5" t="inlineStr">
        <is>
          <t>Amount (Rs.)</t>
        </is>
      </c>
      <c r="G830" s="5" t="inlineStr">
        <is>
          <t>Note</t>
        </is>
      </c>
    </row>
    <row r="831">
      <c r="A831" s="22" t="inlineStr">
        <is>
          <t>1004</t>
        </is>
      </c>
      <c r="B831" s="11" t="inlineStr">
        <is>
          <t>Average rate of Mild steel round bars for reinforcements</t>
        </is>
      </c>
      <c r="C831" s="22" t="inlineStr">
        <is>
          <t>quintal</t>
        </is>
      </c>
      <c r="D831" s="23" t="n">
        <v>1.05</v>
      </c>
      <c r="E831" s="24" t="n">
        <v>4500</v>
      </c>
      <c r="F831" s="24">
        <f>D831*E831</f>
        <v/>
      </c>
      <c r="G831" s="22" t="n"/>
    </row>
    <row r="832">
      <c r="A832" s="22" t="inlineStr">
        <is>
          <t>2205</t>
        </is>
      </c>
      <c r="B832" s="11" t="inlineStr">
        <is>
          <t>Carriage of Steel 1.05/10 = 0.105t</t>
        </is>
      </c>
      <c r="C832" s="22" t="inlineStr">
        <is>
          <t>tonne</t>
        </is>
      </c>
      <c r="D832" s="23" t="n">
        <v>0.105</v>
      </c>
      <c r="E832" s="24" t="n">
        <v>92.23999999999999</v>
      </c>
      <c r="F832" s="24">
        <f>D832*E832</f>
        <v/>
      </c>
      <c r="G832" s="22" t="n"/>
    </row>
    <row r="833">
      <c r="A833" s="22" t="inlineStr">
        <is>
          <t>9999</t>
        </is>
      </c>
      <c r="B833" s="11" t="inlineStr">
        <is>
          <t>Cover block</t>
        </is>
      </c>
      <c r="C833" s="22" t="inlineStr">
        <is>
          <t>L.S.</t>
        </is>
      </c>
      <c r="D833" s="23" t="n">
        <v>26</v>
      </c>
      <c r="E833" s="24" t="n">
        <v>2</v>
      </c>
      <c r="F833" s="24">
        <f>D833*E833</f>
        <v/>
      </c>
      <c r="G833" s="22" t="n"/>
    </row>
    <row r="834">
      <c r="A834" s="22" t="inlineStr">
        <is>
          <t>0102</t>
        </is>
      </c>
      <c r="B834" s="11" t="inlineStr">
        <is>
          <t>Blacksmith 1st class</t>
        </is>
      </c>
      <c r="C834" s="22" t="inlineStr">
        <is>
          <t>day</t>
        </is>
      </c>
      <c r="D834" s="23" t="n">
        <v>1</v>
      </c>
      <c r="E834" s="24" t="n">
        <v>738</v>
      </c>
      <c r="F834" s="24">
        <f>D834*E834</f>
        <v/>
      </c>
      <c r="G834" s="22" t="n"/>
    </row>
    <row r="835">
      <c r="A835" s="22" t="inlineStr">
        <is>
          <t>0114</t>
        </is>
      </c>
      <c r="B835" s="11" t="inlineStr">
        <is>
          <t>Beldar</t>
        </is>
      </c>
      <c r="C835" s="22" t="inlineStr">
        <is>
          <t>day</t>
        </is>
      </c>
      <c r="D835" s="23" t="n">
        <v>1</v>
      </c>
      <c r="E835" s="24" t="n">
        <v>558</v>
      </c>
      <c r="F835" s="24">
        <f>D835*E835</f>
        <v/>
      </c>
      <c r="G835" s="22" t="n"/>
    </row>
    <row r="836">
      <c r="A836" s="22" t="inlineStr">
        <is>
          <t>9999</t>
        </is>
      </c>
      <c r="B836" s="11" t="inlineStr">
        <is>
          <t>Sundries and binding wire</t>
        </is>
      </c>
      <c r="C836" s="22" t="inlineStr">
        <is>
          <t>L.S.</t>
        </is>
      </c>
      <c r="D836" s="23" t="n">
        <v>26.91</v>
      </c>
      <c r="E836" s="24" t="n">
        <v>2</v>
      </c>
      <c r="F836" s="24">
        <f>D836*E836</f>
        <v/>
      </c>
      <c r="G836" s="22" t="n"/>
    </row>
    <row r="837">
      <c r="A837" s="8" t="inlineStr">
        <is>
          <t>Calculated W - SUM of the Amount column above</t>
        </is>
      </c>
      <c r="B837" s="9" t="n"/>
      <c r="C837" s="9" t="n"/>
      <c r="D837" s="9" t="n"/>
      <c r="E837" s="9" t="n"/>
      <c r="F837" s="25">
        <f>SUM(F831:F836)</f>
        <v/>
      </c>
      <c r="G837" s="9" t="n"/>
    </row>
    <row r="838">
      <c r="A838" s="26" t="inlineStr">
        <is>
          <t>W as printed in the DAR</t>
        </is>
      </c>
      <c r="B838" s="22" t="n"/>
      <c r="C838" s="22" t="n"/>
      <c r="D838" s="22" t="n"/>
      <c r="E838" s="22" t="n"/>
      <c r="F838" s="27" t="n">
        <v>6136.51</v>
      </c>
      <c r="G838" s="22" t="n"/>
    </row>
    <row r="839">
      <c r="A839" s="26" t="inlineStr">
        <is>
          <t>Difference (calculated - printed)</t>
        </is>
      </c>
      <c r="B839" s="22" t="n"/>
      <c r="C839" s="22" t="n"/>
      <c r="D839" s="22" t="n"/>
      <c r="E839" s="22" t="n"/>
      <c r="F839" s="27">
        <f>F837-F838</f>
        <v/>
      </c>
      <c r="G839" s="22" t="n"/>
    </row>
    <row r="840">
      <c r="A840" s="29" t="inlineStr">
        <is>
          <t>SAY (Rs.) - final DAR rate as printed (fixed value, not computed)</t>
        </is>
      </c>
      <c r="B840" s="30" t="n"/>
      <c r="C840" s="30" t="n"/>
      <c r="D840" s="30" t="n"/>
      <c r="E840" s="30" t="n"/>
      <c r="F840" s="31" t="n">
        <v>82.09999999999999</v>
      </c>
      <c r="G840" s="30" t="n"/>
    </row>
    <row r="842" ht="33" customHeight="1">
      <c r="A842" s="8" t="inlineStr">
        <is>
          <t>5.22</t>
        </is>
      </c>
      <c r="B842" s="17" t="inlineStr">
        <is>
          <t>Steel reinforcement for R.C.C. work including straightening, cutting, bending, placing in position and binding all complete upto plinth level.</t>
        </is>
      </c>
      <c r="C842" s="9" t="n"/>
      <c r="D842" s="9" t="n"/>
      <c r="E842" s="9" t="n"/>
      <c r="F842" s="9" t="n"/>
      <c r="G842" s="9" t="n"/>
    </row>
    <row r="843" ht="18.5" customHeight="1">
      <c r="A843" s="18" t="inlineStr">
        <is>
          <t>5.22.2</t>
        </is>
      </c>
      <c r="B843" s="19" t="inlineStr">
        <is>
          <t>Hard drawn steel wire</t>
        </is>
      </c>
      <c r="C843" s="20" t="n"/>
      <c r="D843" s="20" t="n"/>
      <c r="E843" s="20" t="n"/>
      <c r="F843" s="20" t="n"/>
      <c r="G843" s="20" t="n"/>
    </row>
    <row r="844">
      <c r="A844" s="21" t="inlineStr">
        <is>
          <t>Details of cost for 1 kg   |   Source: CivilDAR_2019_Vol_1.pdf, page 233</t>
        </is>
      </c>
    </row>
    <row r="845">
      <c r="A845" s="5" t="inlineStr">
        <is>
          <t>Code</t>
        </is>
      </c>
      <c r="B845" s="5" t="inlineStr">
        <is>
          <t>Description</t>
        </is>
      </c>
      <c r="C845" s="5" t="inlineStr">
        <is>
          <t>Unit</t>
        </is>
      </c>
      <c r="D845" s="5" t="inlineStr">
        <is>
          <t>Quantity</t>
        </is>
      </c>
      <c r="E845" s="5" t="inlineStr">
        <is>
          <t>Rate (Rs.)</t>
        </is>
      </c>
      <c r="F845" s="5" t="inlineStr">
        <is>
          <t>Amount (Rs.)</t>
        </is>
      </c>
      <c r="G845" s="5" t="inlineStr">
        <is>
          <t>Note</t>
        </is>
      </c>
    </row>
    <row r="846">
      <c r="A846" s="22" t="inlineStr">
        <is>
          <t>1224</t>
        </is>
      </c>
      <c r="B846" s="11" t="inlineStr">
        <is>
          <t>Hard drawn steel wire</t>
        </is>
      </c>
      <c r="C846" s="22" t="inlineStr">
        <is>
          <t>quintal</t>
        </is>
      </c>
      <c r="D846" s="23" t="n">
        <v>1.05</v>
      </c>
      <c r="E846" s="24" t="n">
        <v>4800</v>
      </c>
      <c r="F846" s="24">
        <f>D846*E846</f>
        <v/>
      </c>
      <c r="G846" s="22" t="n"/>
    </row>
    <row r="847">
      <c r="A847" s="22" t="inlineStr">
        <is>
          <t>2205</t>
        </is>
      </c>
      <c r="B847" s="11" t="inlineStr">
        <is>
          <t>Carriage of Steel 1.05q = 0.105 tonne</t>
        </is>
      </c>
      <c r="C847" s="22" t="inlineStr">
        <is>
          <t>tonne</t>
        </is>
      </c>
      <c r="D847" s="23" t="n">
        <v>0.105</v>
      </c>
      <c r="E847" s="24" t="n">
        <v>92.23999999999999</v>
      </c>
      <c r="F847" s="24">
        <f>D847*E847</f>
        <v/>
      </c>
      <c r="G847" s="22" t="n"/>
    </row>
    <row r="848">
      <c r="A848" s="22" t="inlineStr">
        <is>
          <t>0102</t>
        </is>
      </c>
      <c r="B848" s="11" t="inlineStr">
        <is>
          <t>Blacksmith 1st class</t>
        </is>
      </c>
      <c r="C848" s="22" t="inlineStr">
        <is>
          <t>day</t>
        </is>
      </c>
      <c r="D848" s="23" t="n">
        <v>1</v>
      </c>
      <c r="E848" s="24" t="n">
        <v>738</v>
      </c>
      <c r="F848" s="24">
        <f>D848*E848</f>
        <v/>
      </c>
      <c r="G848" s="22" t="n"/>
    </row>
    <row r="849">
      <c r="A849" s="22" t="inlineStr">
        <is>
          <t>0114</t>
        </is>
      </c>
      <c r="B849" s="11" t="inlineStr">
        <is>
          <t>Beldar</t>
        </is>
      </c>
      <c r="C849" s="22" t="inlineStr">
        <is>
          <t>day</t>
        </is>
      </c>
      <c r="D849" s="23" t="n">
        <v>1</v>
      </c>
      <c r="E849" s="24" t="n">
        <v>558</v>
      </c>
      <c r="F849" s="24">
        <f>D849*E849</f>
        <v/>
      </c>
      <c r="G849" s="22" t="n"/>
    </row>
    <row r="850">
      <c r="A850" s="22" t="inlineStr">
        <is>
          <t>9999</t>
        </is>
      </c>
      <c r="B850" s="11" t="inlineStr">
        <is>
          <t>Sundries</t>
        </is>
      </c>
      <c r="C850" s="22" t="inlineStr">
        <is>
          <t>L.S.</t>
        </is>
      </c>
      <c r="D850" s="23" t="n">
        <v>26.91</v>
      </c>
      <c r="E850" s="24" t="n">
        <v>2</v>
      </c>
      <c r="F850" s="24">
        <f>D850*E850</f>
        <v/>
      </c>
      <c r="G850" s="22" t="n"/>
    </row>
    <row r="851">
      <c r="A851" s="8" t="inlineStr">
        <is>
          <t>Calculated W - SUM of the Amount column above</t>
        </is>
      </c>
      <c r="B851" s="9" t="n"/>
      <c r="C851" s="9" t="n"/>
      <c r="D851" s="9" t="n"/>
      <c r="E851" s="9" t="n"/>
      <c r="F851" s="25">
        <f>SUM(F846:F850)</f>
        <v/>
      </c>
      <c r="G851" s="9" t="n"/>
    </row>
    <row r="852">
      <c r="A852" s="26" t="inlineStr">
        <is>
          <t>W as printed in the DAR</t>
        </is>
      </c>
      <c r="B852" s="22" t="n"/>
      <c r="C852" s="22" t="n"/>
      <c r="D852" s="22" t="n"/>
      <c r="E852" s="22" t="n"/>
      <c r="F852" s="27" t="n">
        <v>6399.51</v>
      </c>
      <c r="G852" s="22" t="n"/>
    </row>
    <row r="853">
      <c r="A853" s="26" t="inlineStr">
        <is>
          <t>Difference (calculated - printed)</t>
        </is>
      </c>
      <c r="B853" s="22" t="n"/>
      <c r="C853" s="22" t="n"/>
      <c r="D853" s="22" t="n"/>
      <c r="E853" s="22" t="n"/>
      <c r="F853" s="27">
        <f>F851-F852</f>
        <v/>
      </c>
      <c r="G853" s="22" t="n"/>
    </row>
    <row r="854">
      <c r="A854" s="29" t="inlineStr">
        <is>
          <t>SAY (Rs.) - final DAR rate as printed (fixed value, not computed)</t>
        </is>
      </c>
      <c r="B854" s="30" t="n"/>
      <c r="C854" s="30" t="n"/>
      <c r="D854" s="30" t="n"/>
      <c r="E854" s="30" t="n"/>
      <c r="F854" s="31" t="n">
        <v>85.59999999999999</v>
      </c>
      <c r="G854" s="30" t="n"/>
    </row>
    <row r="856" ht="33" customHeight="1">
      <c r="A856" s="8" t="inlineStr">
        <is>
          <t>5.22</t>
        </is>
      </c>
      <c r="B856" s="17" t="inlineStr">
        <is>
          <t>Steel reinforcement for R.C.C. work including straightening, cutting, bending, placing in position and binding all complete upto plinth level.</t>
        </is>
      </c>
      <c r="C856" s="9" t="n"/>
      <c r="D856" s="9" t="n"/>
      <c r="E856" s="9" t="n"/>
      <c r="F856" s="9" t="n"/>
      <c r="G856" s="9" t="n"/>
    </row>
    <row r="857" ht="18.5" customHeight="1">
      <c r="A857" s="18" t="inlineStr">
        <is>
          <t>5.22.3</t>
        </is>
      </c>
      <c r="B857" s="19" t="inlineStr">
        <is>
          <t>Cold twisted bars</t>
        </is>
      </c>
      <c r="C857" s="20" t="n"/>
      <c r="D857" s="20" t="n"/>
      <c r="E857" s="20" t="n"/>
      <c r="F857" s="20" t="n"/>
      <c r="G857" s="20" t="n"/>
    </row>
    <row r="858">
      <c r="A858" s="21" t="inlineStr">
        <is>
          <t>Details of cost for 1 kg   |   Source: CivilDAR_2019_Vol_1.pdf, page 233</t>
        </is>
      </c>
    </row>
    <row r="859">
      <c r="A859" s="5" t="inlineStr">
        <is>
          <t>Code</t>
        </is>
      </c>
      <c r="B859" s="5" t="inlineStr">
        <is>
          <t>Description</t>
        </is>
      </c>
      <c r="C859" s="5" t="inlineStr">
        <is>
          <t>Unit</t>
        </is>
      </c>
      <c r="D859" s="5" t="inlineStr">
        <is>
          <t>Quantity</t>
        </is>
      </c>
      <c r="E859" s="5" t="inlineStr">
        <is>
          <t>Rate (Rs.)</t>
        </is>
      </c>
      <c r="F859" s="5" t="inlineStr">
        <is>
          <t>Amount (Rs.)</t>
        </is>
      </c>
      <c r="G859" s="5" t="inlineStr">
        <is>
          <t>Note</t>
        </is>
      </c>
    </row>
    <row r="860">
      <c r="A860" s="22" t="inlineStr">
        <is>
          <t>1005</t>
        </is>
      </c>
      <c r="B860" s="11" t="inlineStr">
        <is>
          <t>Twisted steel / deformed bars</t>
        </is>
      </c>
      <c r="C860" s="22" t="inlineStr">
        <is>
          <t>quintal</t>
        </is>
      </c>
      <c r="D860" s="23" t="n">
        <v>1.05</v>
      </c>
      <c r="E860" s="24" t="n">
        <v>4600</v>
      </c>
      <c r="F860" s="24">
        <f>D860*E860</f>
        <v/>
      </c>
      <c r="G860" s="22" t="n"/>
    </row>
    <row r="861">
      <c r="A861" s="22" t="inlineStr">
        <is>
          <t>2205</t>
        </is>
      </c>
      <c r="B861" s="11" t="inlineStr">
        <is>
          <t>Carriage of Steel 1.05/10 = 0.105t</t>
        </is>
      </c>
      <c r="C861" s="22" t="inlineStr">
        <is>
          <t>tonne</t>
        </is>
      </c>
      <c r="D861" s="23" t="n">
        <v>0.105</v>
      </c>
      <c r="E861" s="24" t="n">
        <v>92.23999999999999</v>
      </c>
      <c r="F861" s="24">
        <f>D861*E861</f>
        <v/>
      </c>
      <c r="G861" s="22" t="n"/>
    </row>
    <row r="862">
      <c r="A862" s="22" t="inlineStr">
        <is>
          <t>9999</t>
        </is>
      </c>
      <c r="B862" s="11" t="inlineStr">
        <is>
          <t>Cover block</t>
        </is>
      </c>
      <c r="C862" s="22" t="inlineStr">
        <is>
          <t>L.S.</t>
        </is>
      </c>
      <c r="D862" s="23" t="n">
        <v>26</v>
      </c>
      <c r="E862" s="24" t="n">
        <v>2</v>
      </c>
      <c r="F862" s="24">
        <f>D862*E862</f>
        <v/>
      </c>
      <c r="G862" s="22" t="n"/>
    </row>
    <row r="863">
      <c r="A863" s="22" t="inlineStr">
        <is>
          <t>0102</t>
        </is>
      </c>
      <c r="B863" s="11" t="inlineStr">
        <is>
          <t>Blacksmith 1st class</t>
        </is>
      </c>
      <c r="C863" s="22" t="inlineStr">
        <is>
          <t>day</t>
        </is>
      </c>
      <c r="D863" s="23" t="n">
        <v>1</v>
      </c>
      <c r="E863" s="24" t="n">
        <v>738</v>
      </c>
      <c r="F863" s="24">
        <f>D863*E863</f>
        <v/>
      </c>
      <c r="G863" s="22" t="n"/>
    </row>
    <row r="864">
      <c r="A864" s="22" t="inlineStr">
        <is>
          <t>0114</t>
        </is>
      </c>
      <c r="B864" s="11" t="inlineStr">
        <is>
          <t>Beldar</t>
        </is>
      </c>
      <c r="C864" s="22" t="inlineStr">
        <is>
          <t>day</t>
        </is>
      </c>
      <c r="D864" s="23" t="n">
        <v>1</v>
      </c>
      <c r="E864" s="24" t="n">
        <v>558</v>
      </c>
      <c r="F864" s="24">
        <f>D864*E864</f>
        <v/>
      </c>
      <c r="G864" s="22" t="n"/>
    </row>
    <row r="865">
      <c r="A865" s="22" t="inlineStr">
        <is>
          <t>9999</t>
        </is>
      </c>
      <c r="B865" s="11" t="inlineStr">
        <is>
          <t>Sundries and binding wire</t>
        </is>
      </c>
      <c r="C865" s="22" t="inlineStr">
        <is>
          <t>L.S.</t>
        </is>
      </c>
      <c r="D865" s="23" t="n">
        <v>26.91</v>
      </c>
      <c r="E865" s="24" t="n">
        <v>2</v>
      </c>
      <c r="F865" s="24">
        <f>D865*E865</f>
        <v/>
      </c>
      <c r="G865" s="22" t="n"/>
    </row>
    <row r="866">
      <c r="A866" s="8" t="inlineStr">
        <is>
          <t>Calculated W - SUM of the Amount column above</t>
        </is>
      </c>
      <c r="B866" s="9" t="n"/>
      <c r="C866" s="9" t="n"/>
      <c r="D866" s="9" t="n"/>
      <c r="E866" s="9" t="n"/>
      <c r="F866" s="25">
        <f>SUM(F860:F865)</f>
        <v/>
      </c>
      <c r="G866" s="9" t="n"/>
    </row>
    <row r="867">
      <c r="A867" s="26" t="inlineStr">
        <is>
          <t>W as printed in the DAR</t>
        </is>
      </c>
      <c r="B867" s="22" t="n"/>
      <c r="C867" s="22" t="n"/>
      <c r="D867" s="22" t="n"/>
      <c r="E867" s="22" t="n"/>
      <c r="F867" s="27" t="n">
        <v>6241.51</v>
      </c>
      <c r="G867" s="22" t="n"/>
    </row>
    <row r="868">
      <c r="A868" s="26" t="inlineStr">
        <is>
          <t>Difference (calculated - printed)</t>
        </is>
      </c>
      <c r="B868" s="22" t="n"/>
      <c r="C868" s="22" t="n"/>
      <c r="D868" s="22" t="n"/>
      <c r="E868" s="22" t="n"/>
      <c r="F868" s="27">
        <f>F866-F867</f>
        <v/>
      </c>
      <c r="G868" s="22" t="n"/>
    </row>
    <row r="869">
      <c r="A869" s="29" t="inlineStr">
        <is>
          <t>SAY (Rs.) - final DAR rate as printed (fixed value, not computed)</t>
        </is>
      </c>
      <c r="B869" s="30" t="n"/>
      <c r="C869" s="30" t="n"/>
      <c r="D869" s="30" t="n"/>
      <c r="E869" s="30" t="n"/>
      <c r="F869" s="31" t="n">
        <v>83.5</v>
      </c>
      <c r="G869" s="30" t="n"/>
    </row>
    <row r="871" ht="33" customHeight="1">
      <c r="A871" s="8" t="inlineStr">
        <is>
          <t>5.22</t>
        </is>
      </c>
      <c r="B871" s="17" t="inlineStr">
        <is>
          <t>Steel reinforcement for R.C.C. work including straightening, cutting, bending, placing in position and binding all complete upto plinth level.</t>
        </is>
      </c>
      <c r="C871" s="9" t="n"/>
      <c r="D871" s="9" t="n"/>
      <c r="E871" s="9" t="n"/>
      <c r="F871" s="9" t="n"/>
      <c r="G871" s="9" t="n"/>
    </row>
    <row r="872" ht="18.5" customHeight="1">
      <c r="A872" s="18" t="inlineStr">
        <is>
          <t>5.22.4</t>
        </is>
      </c>
      <c r="B872" s="19" t="inlineStr">
        <is>
          <t>Hot rolled deformed bars</t>
        </is>
      </c>
      <c r="C872" s="20" t="n"/>
      <c r="D872" s="20" t="n"/>
      <c r="E872" s="20" t="n"/>
      <c r="F872" s="20" t="n"/>
      <c r="G872" s="20" t="n"/>
    </row>
    <row r="873">
      <c r="A873" s="21" t="inlineStr">
        <is>
          <t>Details of cost for 1 kg   |   Source: CivilDAR_2019_Vol_1.pdf, page 234</t>
        </is>
      </c>
    </row>
    <row r="874">
      <c r="A874" s="5" t="inlineStr">
        <is>
          <t>Code</t>
        </is>
      </c>
      <c r="B874" s="5" t="inlineStr">
        <is>
          <t>Description</t>
        </is>
      </c>
      <c r="C874" s="5" t="inlineStr">
        <is>
          <t>Unit</t>
        </is>
      </c>
      <c r="D874" s="5" t="inlineStr">
        <is>
          <t>Quantity</t>
        </is>
      </c>
      <c r="E874" s="5" t="inlineStr">
        <is>
          <t>Rate (Rs.)</t>
        </is>
      </c>
      <c r="F874" s="5" t="inlineStr">
        <is>
          <t>Amount (Rs.)</t>
        </is>
      </c>
      <c r="G874" s="5" t="inlineStr">
        <is>
          <t>Note</t>
        </is>
      </c>
    </row>
    <row r="875">
      <c r="A875" s="22" t="inlineStr">
        <is>
          <t>1005</t>
        </is>
      </c>
      <c r="B875" s="11" t="inlineStr">
        <is>
          <t>Twisted steel / deformed bars</t>
        </is>
      </c>
      <c r="C875" s="22" t="inlineStr">
        <is>
          <t>quintal</t>
        </is>
      </c>
      <c r="D875" s="23" t="n">
        <v>1.05</v>
      </c>
      <c r="E875" s="24" t="n">
        <v>4600</v>
      </c>
      <c r="F875" s="24">
        <f>D875*E875</f>
        <v/>
      </c>
      <c r="G875" s="22" t="n"/>
    </row>
    <row r="876">
      <c r="A876" s="22" t="inlineStr">
        <is>
          <t>2205</t>
        </is>
      </c>
      <c r="B876" s="11" t="inlineStr">
        <is>
          <t>Carriage of Steel 1.05/10 = 0.105t</t>
        </is>
      </c>
      <c r="C876" s="22" t="inlineStr">
        <is>
          <t>tonne</t>
        </is>
      </c>
      <c r="D876" s="23" t="n">
        <v>0.105</v>
      </c>
      <c r="E876" s="24" t="n">
        <v>92.23999999999999</v>
      </c>
      <c r="F876" s="24">
        <f>D876*E876</f>
        <v/>
      </c>
      <c r="G876" s="22" t="n"/>
    </row>
    <row r="877">
      <c r="A877" s="22" t="inlineStr">
        <is>
          <t>9999</t>
        </is>
      </c>
      <c r="B877" s="11" t="inlineStr">
        <is>
          <t>Cover block</t>
        </is>
      </c>
      <c r="C877" s="22" t="inlineStr">
        <is>
          <t>L.S.</t>
        </is>
      </c>
      <c r="D877" s="23" t="n">
        <v>26</v>
      </c>
      <c r="E877" s="24" t="n">
        <v>2</v>
      </c>
      <c r="F877" s="24">
        <f>D877*E877</f>
        <v/>
      </c>
      <c r="G877" s="22" t="n"/>
    </row>
    <row r="878">
      <c r="A878" s="22" t="inlineStr">
        <is>
          <t>0102</t>
        </is>
      </c>
      <c r="B878" s="11" t="inlineStr">
        <is>
          <t>Blacksmith 1st class</t>
        </is>
      </c>
      <c r="C878" s="22" t="inlineStr">
        <is>
          <t>day</t>
        </is>
      </c>
      <c r="D878" s="23" t="n">
        <v>1</v>
      </c>
      <c r="E878" s="24" t="n">
        <v>738</v>
      </c>
      <c r="F878" s="24">
        <f>D878*E878</f>
        <v/>
      </c>
      <c r="G878" s="22" t="n"/>
    </row>
    <row r="879">
      <c r="A879" s="22" t="inlineStr">
        <is>
          <t>0114</t>
        </is>
      </c>
      <c r="B879" s="11" t="inlineStr">
        <is>
          <t>Beldar</t>
        </is>
      </c>
      <c r="C879" s="22" t="inlineStr">
        <is>
          <t>day</t>
        </is>
      </c>
      <c r="D879" s="23" t="n">
        <v>1</v>
      </c>
      <c r="E879" s="24" t="n">
        <v>558</v>
      </c>
      <c r="F879" s="24">
        <f>D879*E879</f>
        <v/>
      </c>
      <c r="G879" s="22" t="n"/>
    </row>
    <row r="880">
      <c r="A880" s="22" t="inlineStr">
        <is>
          <t>9999</t>
        </is>
      </c>
      <c r="B880" s="11" t="inlineStr">
        <is>
          <t>Sundries and binding wire</t>
        </is>
      </c>
      <c r="C880" s="22" t="inlineStr">
        <is>
          <t>L.S.</t>
        </is>
      </c>
      <c r="D880" s="23" t="n">
        <v>26.91</v>
      </c>
      <c r="E880" s="24" t="n">
        <v>2</v>
      </c>
      <c r="F880" s="24">
        <f>D880*E880</f>
        <v/>
      </c>
      <c r="G880" s="22" t="n"/>
    </row>
    <row r="881">
      <c r="A881" s="8" t="inlineStr">
        <is>
          <t>Calculated W - SUM of the Amount column above</t>
        </is>
      </c>
      <c r="B881" s="9" t="n"/>
      <c r="C881" s="9" t="n"/>
      <c r="D881" s="9" t="n"/>
      <c r="E881" s="9" t="n"/>
      <c r="F881" s="25">
        <f>SUM(F875:F880)</f>
        <v/>
      </c>
      <c r="G881" s="9" t="n"/>
    </row>
    <row r="882">
      <c r="A882" s="26" t="inlineStr">
        <is>
          <t>W as printed in the DAR</t>
        </is>
      </c>
      <c r="B882" s="22" t="n"/>
      <c r="C882" s="22" t="n"/>
      <c r="D882" s="22" t="n"/>
      <c r="E882" s="22" t="n"/>
      <c r="F882" s="27" t="n">
        <v>6241.51</v>
      </c>
      <c r="G882" s="22" t="n"/>
    </row>
    <row r="883">
      <c r="A883" s="26" t="inlineStr">
        <is>
          <t>Difference (calculated - printed)</t>
        </is>
      </c>
      <c r="B883" s="22" t="n"/>
      <c r="C883" s="22" t="n"/>
      <c r="D883" s="22" t="n"/>
      <c r="E883" s="22" t="n"/>
      <c r="F883" s="27">
        <f>F881-F882</f>
        <v/>
      </c>
      <c r="G883" s="22" t="n"/>
    </row>
    <row r="884">
      <c r="A884" s="29" t="inlineStr">
        <is>
          <t>SAY (Rs.) - final DAR rate as printed (fixed value, not computed)</t>
        </is>
      </c>
      <c r="B884" s="30" t="n"/>
      <c r="C884" s="30" t="n"/>
      <c r="D884" s="30" t="n"/>
      <c r="E884" s="30" t="n"/>
      <c r="F884" s="31" t="n">
        <v>83.5</v>
      </c>
      <c r="G884" s="30" t="n"/>
    </row>
    <row r="886" ht="33" customHeight="1">
      <c r="A886" s="8" t="inlineStr">
        <is>
          <t>5.22</t>
        </is>
      </c>
      <c r="B886" s="17" t="inlineStr">
        <is>
          <t>Steel reinforcement for R.C.C. work including straightening, cutting, bending, placing in position and binding all complete upto plinth level.</t>
        </is>
      </c>
      <c r="C886" s="9" t="n"/>
      <c r="D886" s="9" t="n"/>
      <c r="E886" s="9" t="n"/>
      <c r="F886" s="9" t="n"/>
      <c r="G886" s="9" t="n"/>
    </row>
    <row r="887" ht="18.5" customHeight="1">
      <c r="A887" s="18" t="inlineStr">
        <is>
          <t>5.22.5</t>
        </is>
      </c>
      <c r="B887" s="19" t="inlineStr">
        <is>
          <t>Hard drawn steel wire fabric</t>
        </is>
      </c>
      <c r="C887" s="20" t="n"/>
      <c r="D887" s="20" t="n"/>
      <c r="E887" s="20" t="n"/>
      <c r="F887" s="20" t="n"/>
      <c r="G887" s="20" t="n"/>
    </row>
    <row r="888">
      <c r="A888" s="21" t="inlineStr">
        <is>
          <t>Details of cost for 1 kg   |   Source: CivilDAR_2019_Vol_1.pdf, page 235</t>
        </is>
      </c>
    </row>
    <row r="889">
      <c r="A889" s="5" t="inlineStr">
        <is>
          <t>Code</t>
        </is>
      </c>
      <c r="B889" s="5" t="inlineStr">
        <is>
          <t>Description</t>
        </is>
      </c>
      <c r="C889" s="5" t="inlineStr">
        <is>
          <t>Unit</t>
        </is>
      </c>
      <c r="D889" s="5" t="inlineStr">
        <is>
          <t>Quantity</t>
        </is>
      </c>
      <c r="E889" s="5" t="inlineStr">
        <is>
          <t>Rate (Rs.)</t>
        </is>
      </c>
      <c r="F889" s="5" t="inlineStr">
        <is>
          <t>Amount (Rs.)</t>
        </is>
      </c>
      <c r="G889" s="5" t="inlineStr">
        <is>
          <t>Note</t>
        </is>
      </c>
    </row>
    <row r="890">
      <c r="A890" s="22" t="inlineStr">
        <is>
          <t>1021</t>
        </is>
      </c>
      <c r="B890" s="11" t="inlineStr">
        <is>
          <t>Hard drawn steel wire fabric</t>
        </is>
      </c>
      <c r="C890" s="22" t="inlineStr">
        <is>
          <t>sqm</t>
        </is>
      </c>
      <c r="D890" s="23" t="n">
        <v>13.548</v>
      </c>
      <c r="E890" s="24" t="n">
        <v>430</v>
      </c>
      <c r="F890" s="24">
        <f>D890*E890</f>
        <v/>
      </c>
      <c r="G890" s="22" t="n"/>
    </row>
    <row r="891">
      <c r="A891" s="22" t="inlineStr">
        <is>
          <t>2205</t>
        </is>
      </c>
      <c r="B891" s="11" t="inlineStr">
        <is>
          <t>Carriage 1.05q = 0.105 tonne</t>
        </is>
      </c>
      <c r="C891" s="22" t="inlineStr">
        <is>
          <t>tonne</t>
        </is>
      </c>
      <c r="D891" s="23" t="n">
        <v>0.105</v>
      </c>
      <c r="E891" s="24" t="n">
        <v>92.23999999999999</v>
      </c>
      <c r="F891" s="24">
        <f>D891*E891</f>
        <v/>
      </c>
      <c r="G891" s="22" t="n"/>
    </row>
    <row r="892">
      <c r="A892" s="22" t="inlineStr">
        <is>
          <t>9999</t>
        </is>
      </c>
      <c r="B892" s="11" t="inlineStr">
        <is>
          <t>Cover block</t>
        </is>
      </c>
      <c r="C892" s="22" t="inlineStr">
        <is>
          <t>L.S.</t>
        </is>
      </c>
      <c r="D892" s="23" t="n">
        <v>26</v>
      </c>
      <c r="E892" s="24" t="n">
        <v>2</v>
      </c>
      <c r="F892" s="24">
        <f>D892*E892</f>
        <v/>
      </c>
      <c r="G892" s="22" t="n"/>
    </row>
    <row r="893">
      <c r="A893" s="22" t="inlineStr">
        <is>
          <t>0103</t>
        </is>
      </c>
      <c r="B893" s="11" t="inlineStr">
        <is>
          <t>Blacksmith 2nd class</t>
        </is>
      </c>
      <c r="C893" s="22" t="inlineStr">
        <is>
          <t>day</t>
        </is>
      </c>
      <c r="D893" s="23" t="n">
        <v>0.2</v>
      </c>
      <c r="E893" s="24" t="n">
        <v>679</v>
      </c>
      <c r="F893" s="24">
        <f>D893*E893</f>
        <v/>
      </c>
      <c r="G893" s="22" t="n"/>
    </row>
    <row r="894">
      <c r="A894" s="22" t="inlineStr">
        <is>
          <t>0114</t>
        </is>
      </c>
      <c r="B894" s="11" t="inlineStr">
        <is>
          <t>Beldar</t>
        </is>
      </c>
      <c r="C894" s="22" t="inlineStr">
        <is>
          <t>day</t>
        </is>
      </c>
      <c r="D894" s="23" t="n">
        <v>1.5</v>
      </c>
      <c r="E894" s="24" t="n">
        <v>558</v>
      </c>
      <c r="F894" s="24">
        <f>D894*E894</f>
        <v/>
      </c>
      <c r="G894" s="22" t="n"/>
    </row>
    <row r="895">
      <c r="A895" s="22" t="inlineStr">
        <is>
          <t>9999</t>
        </is>
      </c>
      <c r="B895" s="11" t="inlineStr">
        <is>
          <t>Sundries and binding wire</t>
        </is>
      </c>
      <c r="C895" s="22" t="inlineStr">
        <is>
          <t>L.S.</t>
        </is>
      </c>
      <c r="D895" s="23" t="n">
        <v>13.52</v>
      </c>
      <c r="E895" s="24" t="n">
        <v>2</v>
      </c>
      <c r="F895" s="24">
        <f>D895*E895</f>
        <v/>
      </c>
      <c r="G895" s="22" t="n"/>
    </row>
    <row r="896">
      <c r="A896" s="8" t="inlineStr">
        <is>
          <t>Calculated W - SUM of the Amount column above</t>
        </is>
      </c>
      <c r="B896" s="9" t="n"/>
      <c r="C896" s="9" t="n"/>
      <c r="D896" s="9" t="n"/>
      <c r="E896" s="9" t="n"/>
      <c r="F896" s="25">
        <f>SUM(F890:F895)</f>
        <v/>
      </c>
      <c r="G896" s="9" t="n"/>
    </row>
    <row r="897">
      <c r="A897" s="26" t="inlineStr">
        <is>
          <t>W as printed in the DAR</t>
        </is>
      </c>
      <c r="B897" s="22" t="n"/>
      <c r="C897" s="22" t="n"/>
      <c r="D897" s="22" t="n"/>
      <c r="E897" s="22" t="n"/>
      <c r="F897" s="27" t="n">
        <v>6887.17</v>
      </c>
      <c r="G897" s="22" t="n"/>
    </row>
    <row r="898">
      <c r="A898" s="26" t="inlineStr">
        <is>
          <t>Difference (calculated - printed)</t>
        </is>
      </c>
      <c r="B898" s="22" t="n"/>
      <c r="C898" s="22" t="n"/>
      <c r="D898" s="22" t="n"/>
      <c r="E898" s="22" t="n"/>
      <c r="F898" s="27">
        <f>F896-F897</f>
        <v/>
      </c>
      <c r="G898" s="22" t="n"/>
    </row>
    <row r="899">
      <c r="A899" s="29" t="inlineStr">
        <is>
          <t>SAY (Rs.) - final DAR rate as printed (fixed value, not computed)</t>
        </is>
      </c>
      <c r="B899" s="30" t="n"/>
      <c r="C899" s="30" t="n"/>
      <c r="D899" s="30" t="n"/>
      <c r="E899" s="30" t="n"/>
      <c r="F899" s="31" t="n">
        <v>92.15000000000001</v>
      </c>
      <c r="G899" s="30" t="n"/>
    </row>
    <row r="901" ht="33" customHeight="1">
      <c r="A901" s="8" t="inlineStr">
        <is>
          <t>5.22</t>
        </is>
      </c>
      <c r="B901" s="17" t="inlineStr">
        <is>
          <t>Steel reinforcement for R.C.C. work including straightening, cutting, bending, placing in position and binding all complete upto plinth level.</t>
        </is>
      </c>
      <c r="C901" s="9" t="n"/>
      <c r="D901" s="9" t="n"/>
      <c r="E901" s="9" t="n"/>
      <c r="F901" s="9" t="n"/>
      <c r="G901" s="9" t="n"/>
    </row>
    <row r="902" ht="18.5" customHeight="1">
      <c r="A902" s="18" t="inlineStr">
        <is>
          <t>5.22.6</t>
        </is>
      </c>
      <c r="B902" s="19" t="inlineStr">
        <is>
          <t>Thermo-Mechanically Treated bars of grade Fe-500D or more.</t>
        </is>
      </c>
      <c r="C902" s="20" t="n"/>
      <c r="D902" s="20" t="n"/>
      <c r="E902" s="20" t="n"/>
      <c r="F902" s="20" t="n"/>
      <c r="G902" s="20" t="n"/>
    </row>
    <row r="903">
      <c r="A903" s="21" t="inlineStr">
        <is>
          <t>Details of cost for 1 kg   |   Source: CivilDAR_2019_Vol_1.pdf, page 235</t>
        </is>
      </c>
    </row>
    <row r="904">
      <c r="A904" s="5" t="inlineStr">
        <is>
          <t>Code</t>
        </is>
      </c>
      <c r="B904" s="5" t="inlineStr">
        <is>
          <t>Description</t>
        </is>
      </c>
      <c r="C904" s="5" t="inlineStr">
        <is>
          <t>Unit</t>
        </is>
      </c>
      <c r="D904" s="5" t="inlineStr">
        <is>
          <t>Quantity</t>
        </is>
      </c>
      <c r="E904" s="5" t="inlineStr">
        <is>
          <t>Rate (Rs.)</t>
        </is>
      </c>
      <c r="F904" s="5" t="inlineStr">
        <is>
          <t>Amount (Rs.)</t>
        </is>
      </c>
      <c r="G904" s="5" t="inlineStr">
        <is>
          <t>Note</t>
        </is>
      </c>
    </row>
    <row r="905">
      <c r="A905" s="22" t="inlineStr">
        <is>
          <t>1005</t>
        </is>
      </c>
      <c r="B905" s="11" t="inlineStr">
        <is>
          <t>Twisted steel / deformed bars</t>
        </is>
      </c>
      <c r="C905" s="22" t="inlineStr">
        <is>
          <t>quintal</t>
        </is>
      </c>
      <c r="D905" s="23" t="n">
        <v>1.05</v>
      </c>
      <c r="E905" s="24" t="n">
        <v>4600</v>
      </c>
      <c r="F905" s="24">
        <f>D905*E905</f>
        <v/>
      </c>
      <c r="G905" s="22" t="n"/>
    </row>
    <row r="906">
      <c r="A906" s="22" t="inlineStr">
        <is>
          <t>2205</t>
        </is>
      </c>
      <c r="B906" s="11" t="inlineStr">
        <is>
          <t>Carriage of steel 1.05/10 = 0.105t</t>
        </is>
      </c>
      <c r="C906" s="22" t="inlineStr">
        <is>
          <t>tonne</t>
        </is>
      </c>
      <c r="D906" s="23" t="n">
        <v>0.105</v>
      </c>
      <c r="E906" s="24" t="n">
        <v>92.23999999999999</v>
      </c>
      <c r="F906" s="24">
        <f>D906*E906</f>
        <v/>
      </c>
      <c r="G906" s="22" t="n"/>
    </row>
    <row r="907">
      <c r="A907" s="22" t="inlineStr">
        <is>
          <t>9999</t>
        </is>
      </c>
      <c r="B907" s="11" t="inlineStr">
        <is>
          <t>Cover block</t>
        </is>
      </c>
      <c r="C907" s="22" t="inlineStr">
        <is>
          <t>L.S.</t>
        </is>
      </c>
      <c r="D907" s="23" t="n">
        <v>26</v>
      </c>
      <c r="E907" s="24" t="n">
        <v>2</v>
      </c>
      <c r="F907" s="24">
        <f>D907*E907</f>
        <v/>
      </c>
      <c r="G907" s="22" t="n"/>
    </row>
    <row r="908">
      <c r="A908" s="22" t="inlineStr">
        <is>
          <t>0102</t>
        </is>
      </c>
      <c r="B908" s="11" t="inlineStr">
        <is>
          <t>Blacksmith 1st class</t>
        </is>
      </c>
      <c r="C908" s="22" t="inlineStr">
        <is>
          <t>day</t>
        </is>
      </c>
      <c r="D908" s="23" t="n">
        <v>1</v>
      </c>
      <c r="E908" s="24" t="n">
        <v>738</v>
      </c>
      <c r="F908" s="24">
        <f>D908*E908</f>
        <v/>
      </c>
      <c r="G908" s="22" t="n"/>
    </row>
    <row r="909">
      <c r="A909" s="22" t="inlineStr">
        <is>
          <t>0114</t>
        </is>
      </c>
      <c r="B909" s="11" t="inlineStr">
        <is>
          <t>Beldar</t>
        </is>
      </c>
      <c r="C909" s="22" t="inlineStr">
        <is>
          <t>day</t>
        </is>
      </c>
      <c r="D909" s="23" t="n">
        <v>1</v>
      </c>
      <c r="E909" s="24" t="n">
        <v>558</v>
      </c>
      <c r="F909" s="24">
        <f>D909*E909</f>
        <v/>
      </c>
      <c r="G909" s="22" t="n"/>
    </row>
    <row r="910">
      <c r="A910" s="22" t="inlineStr">
        <is>
          <t>9999</t>
        </is>
      </c>
      <c r="B910" s="11" t="inlineStr">
        <is>
          <t>Sundries and binding wire</t>
        </is>
      </c>
      <c r="C910" s="22" t="inlineStr">
        <is>
          <t>L.S.</t>
        </is>
      </c>
      <c r="D910" s="23" t="n">
        <v>26.91</v>
      </c>
      <c r="E910" s="24" t="n">
        <v>2</v>
      </c>
      <c r="F910" s="24">
        <f>D910*E910</f>
        <v/>
      </c>
      <c r="G910" s="22" t="n"/>
    </row>
    <row r="911">
      <c r="A911" s="8" t="inlineStr">
        <is>
          <t>Calculated W - SUM of the Amount column above</t>
        </is>
      </c>
      <c r="B911" s="9" t="n"/>
      <c r="C911" s="9" t="n"/>
      <c r="D911" s="9" t="n"/>
      <c r="E911" s="9" t="n"/>
      <c r="F911" s="25">
        <f>SUM(F905:F910)</f>
        <v/>
      </c>
      <c r="G911" s="9" t="n"/>
    </row>
    <row r="912">
      <c r="A912" s="26" t="inlineStr">
        <is>
          <t>W as printed in the DAR</t>
        </is>
      </c>
      <c r="B912" s="22" t="n"/>
      <c r="C912" s="22" t="n"/>
      <c r="D912" s="22" t="n"/>
      <c r="E912" s="22" t="n"/>
      <c r="F912" s="27" t="n">
        <v>6241.51</v>
      </c>
      <c r="G912" s="22" t="n"/>
    </row>
    <row r="913">
      <c r="A913" s="26" t="inlineStr">
        <is>
          <t>Difference (calculated - printed)</t>
        </is>
      </c>
      <c r="B913" s="22" t="n"/>
      <c r="C913" s="22" t="n"/>
      <c r="D913" s="22" t="n"/>
      <c r="E913" s="22" t="n"/>
      <c r="F913" s="27">
        <f>F911-F912</f>
        <v/>
      </c>
      <c r="G913" s="22" t="n"/>
    </row>
    <row r="914">
      <c r="A914" s="29" t="inlineStr">
        <is>
          <t>SAY (Rs.) - final DAR rate as printed (fixed value, not computed)</t>
        </is>
      </c>
      <c r="B914" s="30" t="n"/>
      <c r="C914" s="30" t="n"/>
      <c r="D914" s="30" t="n"/>
      <c r="E914" s="30" t="n"/>
      <c r="F914" s="31" t="n">
        <v>83.5</v>
      </c>
      <c r="G914" s="30" t="n"/>
    </row>
    <row r="916" ht="33" customHeight="1">
      <c r="A916" s="8" t="inlineStr">
        <is>
          <t>5.22A</t>
        </is>
      </c>
      <c r="B916" s="17" t="inlineStr">
        <is>
          <t>Steel reinforcement for R.C.C. work including straightening, cutting, bending, placing in position and binding all complete above plinth level.</t>
        </is>
      </c>
      <c r="C916" s="9" t="n"/>
      <c r="D916" s="9" t="n"/>
      <c r="E916" s="9" t="n"/>
      <c r="F916" s="9" t="n"/>
      <c r="G916" s="9" t="n"/>
    </row>
    <row r="917" ht="18.5" customHeight="1">
      <c r="A917" s="18" t="inlineStr">
        <is>
          <t>5.22A.1</t>
        </is>
      </c>
      <c r="B917" s="19" t="inlineStr">
        <is>
          <t>Mild steel and Medium Tensile steel bars</t>
        </is>
      </c>
      <c r="C917" s="20" t="n"/>
      <c r="D917" s="20" t="n"/>
      <c r="E917" s="20" t="n"/>
      <c r="F917" s="20" t="n"/>
      <c r="G917" s="20" t="n"/>
    </row>
    <row r="918">
      <c r="A918" s="21" t="inlineStr">
        <is>
          <t>Details of cost for 1 kg   |   Source: CivilDAR_2019_Vol_1.pdf, page 236</t>
        </is>
      </c>
    </row>
    <row r="919">
      <c r="A919" s="5" t="inlineStr">
        <is>
          <t>Code</t>
        </is>
      </c>
      <c r="B919" s="5" t="inlineStr">
        <is>
          <t>Description</t>
        </is>
      </c>
      <c r="C919" s="5" t="inlineStr">
        <is>
          <t>Unit</t>
        </is>
      </c>
      <c r="D919" s="5" t="inlineStr">
        <is>
          <t>Quantity</t>
        </is>
      </c>
      <c r="E919" s="5" t="inlineStr">
        <is>
          <t>Rate (Rs.)</t>
        </is>
      </c>
      <c r="F919" s="5" t="inlineStr">
        <is>
          <t>Amount (Rs.)</t>
        </is>
      </c>
      <c r="G919" s="5" t="inlineStr">
        <is>
          <t>Note</t>
        </is>
      </c>
    </row>
    <row r="920">
      <c r="A920" s="22" t="inlineStr">
        <is>
          <t>1004</t>
        </is>
      </c>
      <c r="B920" s="11" t="inlineStr">
        <is>
          <t>Average rate of Mild steel round bars for reinforcements</t>
        </is>
      </c>
      <c r="C920" s="22" t="inlineStr">
        <is>
          <t>quintal</t>
        </is>
      </c>
      <c r="D920" s="23" t="n">
        <v>1.05</v>
      </c>
      <c r="E920" s="24" t="n">
        <v>4500</v>
      </c>
      <c r="F920" s="24">
        <f>D920*E920</f>
        <v/>
      </c>
      <c r="G920" s="22" t="n"/>
    </row>
    <row r="921">
      <c r="A921" s="22" t="inlineStr">
        <is>
          <t>2205</t>
        </is>
      </c>
      <c r="B921" s="11" t="inlineStr">
        <is>
          <t>Carriage of Steel NOS/ 10 = 0.105 t</t>
        </is>
      </c>
      <c r="C921" s="22" t="inlineStr">
        <is>
          <t>tonne</t>
        </is>
      </c>
      <c r="D921" s="23" t="n">
        <v>0.105</v>
      </c>
      <c r="E921" s="24" t="n">
        <v>92.23999999999999</v>
      </c>
      <c r="F921" s="24">
        <f>D921*E921</f>
        <v/>
      </c>
      <c r="G921" s="22" t="n"/>
    </row>
    <row r="922">
      <c r="A922" s="22" t="inlineStr">
        <is>
          <t>9999</t>
        </is>
      </c>
      <c r="B922" s="11" t="inlineStr">
        <is>
          <t>Cover block</t>
        </is>
      </c>
      <c r="C922" s="22" t="inlineStr">
        <is>
          <t>L.S.</t>
        </is>
      </c>
      <c r="D922" s="23" t="n">
        <v>26</v>
      </c>
      <c r="E922" s="24" t="n">
        <v>2</v>
      </c>
      <c r="F922" s="24">
        <f>D922*E922</f>
        <v/>
      </c>
      <c r="G922" s="22" t="n"/>
    </row>
    <row r="923">
      <c r="A923" s="22" t="inlineStr">
        <is>
          <t>0102</t>
        </is>
      </c>
      <c r="B923" s="11" t="inlineStr">
        <is>
          <t>Blacksmith 1st class</t>
        </is>
      </c>
      <c r="C923" s="22" t="inlineStr">
        <is>
          <t>day</t>
        </is>
      </c>
      <c r="D923" s="23" t="n">
        <v>1</v>
      </c>
      <c r="E923" s="24" t="n">
        <v>738</v>
      </c>
      <c r="F923" s="24">
        <f>D923*E923</f>
        <v/>
      </c>
      <c r="G923" s="22" t="n"/>
    </row>
    <row r="924">
      <c r="A924" s="22" t="inlineStr">
        <is>
          <t>0114</t>
        </is>
      </c>
      <c r="B924" s="11" t="inlineStr">
        <is>
          <t>Beldar</t>
        </is>
      </c>
      <c r="C924" s="22" t="inlineStr">
        <is>
          <t>day</t>
        </is>
      </c>
      <c r="D924" s="23" t="n">
        <v>1</v>
      </c>
      <c r="E924" s="24" t="n">
        <v>558</v>
      </c>
      <c r="F924" s="24">
        <f>D924*E924</f>
        <v/>
      </c>
      <c r="G924" s="22" t="n"/>
    </row>
    <row r="925">
      <c r="A925" s="22" t="inlineStr">
        <is>
          <t>9999</t>
        </is>
      </c>
      <c r="B925" s="11" t="inlineStr">
        <is>
          <t>Sundries and binding wire</t>
        </is>
      </c>
      <c r="C925" s="22" t="inlineStr">
        <is>
          <t>L.S.</t>
        </is>
      </c>
      <c r="D925" s="23" t="n">
        <v>26.91</v>
      </c>
      <c r="E925" s="24" t="n">
        <v>2</v>
      </c>
      <c r="F925" s="24">
        <f>D925*E925</f>
        <v/>
      </c>
      <c r="G925" s="22" t="n"/>
    </row>
    <row r="926">
      <c r="A926" s="8" t="inlineStr">
        <is>
          <t>Calculated W - SUM of the Amount column above</t>
        </is>
      </c>
      <c r="B926" s="9" t="n"/>
      <c r="C926" s="9" t="n"/>
      <c r="D926" s="9" t="n"/>
      <c r="E926" s="9" t="n"/>
      <c r="F926" s="25">
        <f>SUM(F920:F925)</f>
        <v/>
      </c>
      <c r="G926" s="9" t="n"/>
    </row>
    <row r="927">
      <c r="A927" s="26" t="inlineStr">
        <is>
          <t>W as printed in the DAR</t>
        </is>
      </c>
      <c r="B927" s="22" t="n"/>
      <c r="C927" s="22" t="n"/>
      <c r="D927" s="22" t="n"/>
      <c r="E927" s="22" t="n"/>
      <c r="F927" s="27" t="n">
        <v>6136.51</v>
      </c>
      <c r="G927" s="22" t="n"/>
    </row>
    <row r="928">
      <c r="A928" s="26" t="inlineStr">
        <is>
          <t>Difference (calculated - printed)</t>
        </is>
      </c>
      <c r="B928" s="22" t="n"/>
      <c r="C928" s="22" t="n"/>
      <c r="D928" s="22" t="n"/>
      <c r="E928" s="22" t="n"/>
      <c r="F928" s="27">
        <f>F926-F927</f>
        <v/>
      </c>
      <c r="G928" s="22" t="n"/>
    </row>
    <row r="929">
      <c r="A929" s="29" t="inlineStr">
        <is>
          <t>SAY (Rs.) - final DAR rate as printed (fixed value, not computed)</t>
        </is>
      </c>
      <c r="B929" s="30" t="n"/>
      <c r="C929" s="30" t="n"/>
      <c r="D929" s="30" t="n"/>
      <c r="E929" s="30" t="n"/>
      <c r="F929" s="31" t="n">
        <v>82.09999999999999</v>
      </c>
      <c r="G929" s="30" t="n"/>
    </row>
    <row r="931" ht="33" customHeight="1">
      <c r="A931" s="8" t="inlineStr">
        <is>
          <t>5.22A</t>
        </is>
      </c>
      <c r="B931" s="17" t="inlineStr">
        <is>
          <t>Steel reinforcement for R.C.C. work including straightening, cutting, bending, placing in position and binding all complete above plinth level.</t>
        </is>
      </c>
      <c r="C931" s="9" t="n"/>
      <c r="D931" s="9" t="n"/>
      <c r="E931" s="9" t="n"/>
      <c r="F931" s="9" t="n"/>
      <c r="G931" s="9" t="n"/>
    </row>
    <row r="932" ht="18.5" customHeight="1">
      <c r="A932" s="18" t="inlineStr">
        <is>
          <t>5.22A.2</t>
        </is>
      </c>
      <c r="B932" s="19" t="inlineStr">
        <is>
          <t>Hard drawn steel wire</t>
        </is>
      </c>
      <c r="C932" s="20" t="n"/>
      <c r="D932" s="20" t="n"/>
      <c r="E932" s="20" t="n"/>
      <c r="F932" s="20" t="n"/>
      <c r="G932" s="20" t="n"/>
    </row>
    <row r="933">
      <c r="A933" s="21" t="inlineStr">
        <is>
          <t>Details of cost for 1 kg   |   Source: CivilDAR_2019_Vol_1.pdf, page 237</t>
        </is>
      </c>
    </row>
    <row r="934">
      <c r="A934" s="5" t="inlineStr">
        <is>
          <t>Code</t>
        </is>
      </c>
      <c r="B934" s="5" t="inlineStr">
        <is>
          <t>Description</t>
        </is>
      </c>
      <c r="C934" s="5" t="inlineStr">
        <is>
          <t>Unit</t>
        </is>
      </c>
      <c r="D934" s="5" t="inlineStr">
        <is>
          <t>Quantity</t>
        </is>
      </c>
      <c r="E934" s="5" t="inlineStr">
        <is>
          <t>Rate (Rs.)</t>
        </is>
      </c>
      <c r="F934" s="5" t="inlineStr">
        <is>
          <t>Amount (Rs.)</t>
        </is>
      </c>
      <c r="G934" s="5" t="inlineStr">
        <is>
          <t>Note</t>
        </is>
      </c>
    </row>
    <row r="935">
      <c r="A935" s="22" t="inlineStr">
        <is>
          <t>1224</t>
        </is>
      </c>
      <c r="B935" s="11" t="inlineStr">
        <is>
          <t>Hard drawn steel wire</t>
        </is>
      </c>
      <c r="C935" s="22" t="inlineStr">
        <is>
          <t>quintal</t>
        </is>
      </c>
      <c r="D935" s="23" t="n">
        <v>1.05</v>
      </c>
      <c r="E935" s="24" t="n">
        <v>4800</v>
      </c>
      <c r="F935" s="24">
        <f>D935*E935</f>
        <v/>
      </c>
      <c r="G935" s="22" t="n"/>
    </row>
    <row r="936">
      <c r="A936" s="22" t="inlineStr">
        <is>
          <t>2205</t>
        </is>
      </c>
      <c r="B936" s="11" t="inlineStr">
        <is>
          <t>Carriage of Steel</t>
        </is>
      </c>
      <c r="C936" s="22" t="inlineStr">
        <is>
          <t>tonne</t>
        </is>
      </c>
      <c r="D936" s="23" t="n">
        <v>0.105</v>
      </c>
      <c r="E936" s="24" t="n">
        <v>92.23999999999999</v>
      </c>
      <c r="F936" s="24">
        <f>D936*E936</f>
        <v/>
      </c>
      <c r="G936" s="22" t="n"/>
    </row>
    <row r="937">
      <c r="A937" s="22" t="inlineStr">
        <is>
          <t>0102</t>
        </is>
      </c>
      <c r="B937" s="11" t="inlineStr">
        <is>
          <t>Blacksmith 1st class</t>
        </is>
      </c>
      <c r="C937" s="22" t="inlineStr">
        <is>
          <t>day</t>
        </is>
      </c>
      <c r="D937" s="23" t="n">
        <v>1</v>
      </c>
      <c r="E937" s="24" t="n">
        <v>738</v>
      </c>
      <c r="F937" s="24">
        <f>D937*E937</f>
        <v/>
      </c>
      <c r="G937" s="22" t="n"/>
    </row>
    <row r="938">
      <c r="A938" s="22" t="inlineStr">
        <is>
          <t>0114</t>
        </is>
      </c>
      <c r="B938" s="11" t="inlineStr">
        <is>
          <t>Beldar</t>
        </is>
      </c>
      <c r="C938" s="22" t="inlineStr">
        <is>
          <t>day</t>
        </is>
      </c>
      <c r="D938" s="23" t="n">
        <v>1</v>
      </c>
      <c r="E938" s="24" t="n">
        <v>558</v>
      </c>
      <c r="F938" s="24">
        <f>D938*E938</f>
        <v/>
      </c>
      <c r="G938" s="22" t="n"/>
    </row>
    <row r="939">
      <c r="A939" s="22" t="inlineStr">
        <is>
          <t>9999</t>
        </is>
      </c>
      <c r="B939" s="11" t="inlineStr">
        <is>
          <t>Sundries</t>
        </is>
      </c>
      <c r="C939" s="22" t="inlineStr">
        <is>
          <t>L.S.</t>
        </is>
      </c>
      <c r="D939" s="23" t="n">
        <v>26.91</v>
      </c>
      <c r="E939" s="24" t="n">
        <v>2</v>
      </c>
      <c r="F939" s="24">
        <f>D939*E939</f>
        <v/>
      </c>
      <c r="G939" s="22" t="n"/>
    </row>
    <row r="940">
      <c r="A940" s="8" t="inlineStr">
        <is>
          <t>Calculated W - SUM of the Amount column above</t>
        </is>
      </c>
      <c r="B940" s="9" t="n"/>
      <c r="C940" s="9" t="n"/>
      <c r="D940" s="9" t="n"/>
      <c r="E940" s="9" t="n"/>
      <c r="F940" s="25">
        <f>SUM(F935:F939)</f>
        <v/>
      </c>
      <c r="G940" s="9" t="n"/>
    </row>
    <row r="941">
      <c r="A941" s="26" t="inlineStr">
        <is>
          <t>W as printed in the DAR</t>
        </is>
      </c>
      <c r="B941" s="22" t="n"/>
      <c r="C941" s="22" t="n"/>
      <c r="D941" s="22" t="n"/>
      <c r="E941" s="22" t="n"/>
      <c r="F941" s="27" t="n">
        <v>6399.51</v>
      </c>
      <c r="G941" s="22" t="n"/>
    </row>
    <row r="942">
      <c r="A942" s="26" t="inlineStr">
        <is>
          <t>Difference (calculated - printed)</t>
        </is>
      </c>
      <c r="B942" s="22" t="n"/>
      <c r="C942" s="22" t="n"/>
      <c r="D942" s="22" t="n"/>
      <c r="E942" s="22" t="n"/>
      <c r="F942" s="27">
        <f>F940-F941</f>
        <v/>
      </c>
      <c r="G942" s="22" t="n"/>
    </row>
    <row r="943">
      <c r="A943" s="29" t="inlineStr">
        <is>
          <t>SAY (Rs.) - final DAR rate as printed (fixed value, not computed)</t>
        </is>
      </c>
      <c r="B943" s="30" t="n"/>
      <c r="C943" s="30" t="n"/>
      <c r="D943" s="30" t="n"/>
      <c r="E943" s="30" t="n"/>
      <c r="F943" s="31" t="n">
        <v>85.59999999999999</v>
      </c>
      <c r="G943" s="30" t="n"/>
    </row>
    <row r="945" ht="33" customHeight="1">
      <c r="A945" s="8" t="inlineStr">
        <is>
          <t>5.22A</t>
        </is>
      </c>
      <c r="B945" s="17" t="inlineStr">
        <is>
          <t>Steel reinforcement for R.C.C. work including straightening, cutting, bending, placing in position and binding all complete above plinth level.</t>
        </is>
      </c>
      <c r="C945" s="9" t="n"/>
      <c r="D945" s="9" t="n"/>
      <c r="E945" s="9" t="n"/>
      <c r="F945" s="9" t="n"/>
      <c r="G945" s="9" t="n"/>
    </row>
    <row r="946" ht="18.5" customHeight="1">
      <c r="A946" s="18" t="inlineStr">
        <is>
          <t>5.22A.3</t>
        </is>
      </c>
      <c r="B946" s="19" t="inlineStr">
        <is>
          <t>Cold twisted bars</t>
        </is>
      </c>
      <c r="C946" s="20" t="n"/>
      <c r="D946" s="20" t="n"/>
      <c r="E946" s="20" t="n"/>
      <c r="F946" s="20" t="n"/>
      <c r="G946" s="20" t="n"/>
    </row>
    <row r="947">
      <c r="A947" s="21" t="inlineStr">
        <is>
          <t>Details of cost for 1 kg   |   Source: CivilDAR_2019_Vol_1.pdf, page 237</t>
        </is>
      </c>
    </row>
    <row r="948">
      <c r="A948" s="5" t="inlineStr">
        <is>
          <t>Code</t>
        </is>
      </c>
      <c r="B948" s="5" t="inlineStr">
        <is>
          <t>Description</t>
        </is>
      </c>
      <c r="C948" s="5" t="inlineStr">
        <is>
          <t>Unit</t>
        </is>
      </c>
      <c r="D948" s="5" t="inlineStr">
        <is>
          <t>Quantity</t>
        </is>
      </c>
      <c r="E948" s="5" t="inlineStr">
        <is>
          <t>Rate (Rs.)</t>
        </is>
      </c>
      <c r="F948" s="5" t="inlineStr">
        <is>
          <t>Amount (Rs.)</t>
        </is>
      </c>
      <c r="G948" s="5" t="inlineStr">
        <is>
          <t>Note</t>
        </is>
      </c>
    </row>
    <row r="949">
      <c r="A949" s="22" t="inlineStr">
        <is>
          <t>1005</t>
        </is>
      </c>
      <c r="B949" s="11" t="inlineStr">
        <is>
          <t>Twisted steel / deformed bars</t>
        </is>
      </c>
      <c r="C949" s="22" t="inlineStr">
        <is>
          <t>quintal</t>
        </is>
      </c>
      <c r="D949" s="23" t="n">
        <v>1.05</v>
      </c>
      <c r="E949" s="24" t="n">
        <v>4600</v>
      </c>
      <c r="F949" s="24">
        <f>D949*E949</f>
        <v/>
      </c>
      <c r="G949" s="22" t="n"/>
    </row>
    <row r="950">
      <c r="A950" s="22" t="inlineStr">
        <is>
          <t>2205</t>
        </is>
      </c>
      <c r="B950" s="11" t="inlineStr">
        <is>
          <t>Carriage of Steel</t>
        </is>
      </c>
      <c r="C950" s="22" t="inlineStr">
        <is>
          <t>tonne</t>
        </is>
      </c>
      <c r="D950" s="23" t="n">
        <v>0.105</v>
      </c>
      <c r="E950" s="24" t="n">
        <v>92.23999999999999</v>
      </c>
      <c r="F950" s="24">
        <f>D950*E950</f>
        <v/>
      </c>
      <c r="G950" s="22" t="n"/>
    </row>
    <row r="951">
      <c r="A951" s="22" t="inlineStr">
        <is>
          <t>9999</t>
        </is>
      </c>
      <c r="B951" s="11" t="inlineStr">
        <is>
          <t>Cover block</t>
        </is>
      </c>
      <c r="C951" s="22" t="inlineStr">
        <is>
          <t>L.S.</t>
        </is>
      </c>
      <c r="D951" s="23" t="n">
        <v>26</v>
      </c>
      <c r="E951" s="24" t="n">
        <v>2</v>
      </c>
      <c r="F951" s="24">
        <f>D951*E951</f>
        <v/>
      </c>
      <c r="G951" s="22" t="n"/>
    </row>
    <row r="952">
      <c r="A952" s="22" t="inlineStr">
        <is>
          <t>0102</t>
        </is>
      </c>
      <c r="B952" s="11" t="inlineStr">
        <is>
          <t>Blacksmith 1st class</t>
        </is>
      </c>
      <c r="C952" s="22" t="inlineStr">
        <is>
          <t>day</t>
        </is>
      </c>
      <c r="D952" s="23" t="n">
        <v>1</v>
      </c>
      <c r="E952" s="24" t="n">
        <v>738</v>
      </c>
      <c r="F952" s="24">
        <f>D952*E952</f>
        <v/>
      </c>
      <c r="G952" s="22" t="n"/>
    </row>
    <row r="953">
      <c r="A953" s="22" t="inlineStr">
        <is>
          <t>0114</t>
        </is>
      </c>
      <c r="B953" s="11" t="inlineStr">
        <is>
          <t>Beldar</t>
        </is>
      </c>
      <c r="C953" s="22" t="inlineStr">
        <is>
          <t>day</t>
        </is>
      </c>
      <c r="D953" s="23" t="n">
        <v>1</v>
      </c>
      <c r="E953" s="24" t="n">
        <v>558</v>
      </c>
      <c r="F953" s="24">
        <f>D953*E953</f>
        <v/>
      </c>
      <c r="G953" s="22" t="n"/>
    </row>
    <row r="954">
      <c r="A954" s="22" t="inlineStr">
        <is>
          <t>9999</t>
        </is>
      </c>
      <c r="B954" s="11" t="inlineStr">
        <is>
          <t>Sundries and binding wire</t>
        </is>
      </c>
      <c r="C954" s="22" t="inlineStr">
        <is>
          <t>L.S.</t>
        </is>
      </c>
      <c r="D954" s="23" t="n">
        <v>26.91</v>
      </c>
      <c r="E954" s="24" t="n">
        <v>2</v>
      </c>
      <c r="F954" s="24">
        <f>D954*E954</f>
        <v/>
      </c>
      <c r="G954" s="22" t="n"/>
    </row>
    <row r="955">
      <c r="A955" s="8" t="inlineStr">
        <is>
          <t>Calculated W - SUM of the Amount column above</t>
        </is>
      </c>
      <c r="B955" s="9" t="n"/>
      <c r="C955" s="9" t="n"/>
      <c r="D955" s="9" t="n"/>
      <c r="E955" s="9" t="n"/>
      <c r="F955" s="25">
        <f>SUM(F949:F954)</f>
        <v/>
      </c>
      <c r="G955" s="9" t="n"/>
    </row>
    <row r="956">
      <c r="A956" s="26" t="inlineStr">
        <is>
          <t>W as printed in the DAR</t>
        </is>
      </c>
      <c r="B956" s="22" t="n"/>
      <c r="C956" s="22" t="n"/>
      <c r="D956" s="22" t="n"/>
      <c r="E956" s="22" t="n"/>
      <c r="F956" s="27" t="n">
        <v>6241.51</v>
      </c>
      <c r="G956" s="22" t="n"/>
    </row>
    <row r="957">
      <c r="A957" s="26" t="inlineStr">
        <is>
          <t>Difference (calculated - printed)</t>
        </is>
      </c>
      <c r="B957" s="22" t="n"/>
      <c r="C957" s="22" t="n"/>
      <c r="D957" s="22" t="n"/>
      <c r="E957" s="22" t="n"/>
      <c r="F957" s="27">
        <f>F955-F956</f>
        <v/>
      </c>
      <c r="G957" s="22" t="n"/>
    </row>
    <row r="958">
      <c r="A958" s="29" t="inlineStr">
        <is>
          <t>SAY (Rs.) - final DAR rate as printed (fixed value, not computed)</t>
        </is>
      </c>
      <c r="B958" s="30" t="n"/>
      <c r="C958" s="30" t="n"/>
      <c r="D958" s="30" t="n"/>
      <c r="E958" s="30" t="n"/>
      <c r="F958" s="31" t="n">
        <v>83.5</v>
      </c>
      <c r="G958" s="30" t="n"/>
    </row>
    <row r="960" ht="33" customHeight="1">
      <c r="A960" s="8" t="inlineStr">
        <is>
          <t>5.22A</t>
        </is>
      </c>
      <c r="B960" s="17" t="inlineStr">
        <is>
          <t>Steel reinforcement for R.C.C. work including straightening, cutting, bending, placing in position and binding all complete above plinth level.</t>
        </is>
      </c>
      <c r="C960" s="9" t="n"/>
      <c r="D960" s="9" t="n"/>
      <c r="E960" s="9" t="n"/>
      <c r="F960" s="9" t="n"/>
      <c r="G960" s="9" t="n"/>
    </row>
    <row r="961" ht="18.5" customHeight="1">
      <c r="A961" s="18" t="inlineStr">
        <is>
          <t>5.22A.4</t>
        </is>
      </c>
      <c r="B961" s="19" t="inlineStr">
        <is>
          <t>Hot rolled deformed bars</t>
        </is>
      </c>
      <c r="C961" s="20" t="n"/>
      <c r="D961" s="20" t="n"/>
      <c r="E961" s="20" t="n"/>
      <c r="F961" s="20" t="n"/>
      <c r="G961" s="20" t="n"/>
    </row>
    <row r="962">
      <c r="A962" s="21" t="inlineStr">
        <is>
          <t>Details of cost for 1 kg   |   Source: CivilDAR_2019_Vol_1.pdf, page 238</t>
        </is>
      </c>
    </row>
    <row r="963">
      <c r="A963" s="5" t="inlineStr">
        <is>
          <t>Code</t>
        </is>
      </c>
      <c r="B963" s="5" t="inlineStr">
        <is>
          <t>Description</t>
        </is>
      </c>
      <c r="C963" s="5" t="inlineStr">
        <is>
          <t>Unit</t>
        </is>
      </c>
      <c r="D963" s="5" t="inlineStr">
        <is>
          <t>Quantity</t>
        </is>
      </c>
      <c r="E963" s="5" t="inlineStr">
        <is>
          <t>Rate (Rs.)</t>
        </is>
      </c>
      <c r="F963" s="5" t="inlineStr">
        <is>
          <t>Amount (Rs.)</t>
        </is>
      </c>
      <c r="G963" s="5" t="inlineStr">
        <is>
          <t>Note</t>
        </is>
      </c>
    </row>
    <row r="964">
      <c r="A964" s="22" t="inlineStr">
        <is>
          <t>1005</t>
        </is>
      </c>
      <c r="B964" s="11" t="inlineStr">
        <is>
          <t>Twisted steel / deformed bars</t>
        </is>
      </c>
      <c r="C964" s="22" t="inlineStr">
        <is>
          <t>quintal</t>
        </is>
      </c>
      <c r="D964" s="23" t="n">
        <v>1.05</v>
      </c>
      <c r="E964" s="24" t="n">
        <v>4600</v>
      </c>
      <c r="F964" s="24">
        <f>D964*E964</f>
        <v/>
      </c>
      <c r="G964" s="22" t="n"/>
    </row>
    <row r="965">
      <c r="A965" s="22" t="inlineStr">
        <is>
          <t>2205</t>
        </is>
      </c>
      <c r="B965" s="11" t="inlineStr">
        <is>
          <t>Carriage of Steel</t>
        </is>
      </c>
      <c r="C965" s="22" t="inlineStr">
        <is>
          <t>tonne</t>
        </is>
      </c>
      <c r="D965" s="23" t="n">
        <v>0.105</v>
      </c>
      <c r="E965" s="24" t="n">
        <v>92.23999999999999</v>
      </c>
      <c r="F965" s="24">
        <f>D965*E965</f>
        <v/>
      </c>
      <c r="G965" s="22" t="n"/>
    </row>
    <row r="966">
      <c r="A966" s="22" t="inlineStr">
        <is>
          <t>9999</t>
        </is>
      </c>
      <c r="B966" s="11" t="inlineStr">
        <is>
          <t>Cover block</t>
        </is>
      </c>
      <c r="C966" s="22" t="inlineStr">
        <is>
          <t>L.S.</t>
        </is>
      </c>
      <c r="D966" s="23" t="n">
        <v>26</v>
      </c>
      <c r="E966" s="24" t="n">
        <v>2</v>
      </c>
      <c r="F966" s="24">
        <f>D966*E966</f>
        <v/>
      </c>
      <c r="G966" s="22" t="n"/>
    </row>
    <row r="967">
      <c r="A967" s="22" t="inlineStr">
        <is>
          <t>0102</t>
        </is>
      </c>
      <c r="B967" s="11" t="inlineStr">
        <is>
          <t>Blacksmith 1st class</t>
        </is>
      </c>
      <c r="C967" s="22" t="inlineStr">
        <is>
          <t>day</t>
        </is>
      </c>
      <c r="D967" s="23" t="n">
        <v>1</v>
      </c>
      <c r="E967" s="24" t="n">
        <v>738</v>
      </c>
      <c r="F967" s="24">
        <f>D967*E967</f>
        <v/>
      </c>
      <c r="G967" s="22" t="n"/>
    </row>
    <row r="968">
      <c r="A968" s="22" t="inlineStr">
        <is>
          <t>0114</t>
        </is>
      </c>
      <c r="B968" s="11" t="inlineStr">
        <is>
          <t>Beldar</t>
        </is>
      </c>
      <c r="C968" s="22" t="inlineStr">
        <is>
          <t>day</t>
        </is>
      </c>
      <c r="D968" s="23" t="n">
        <v>1</v>
      </c>
      <c r="E968" s="24" t="n">
        <v>558</v>
      </c>
      <c r="F968" s="24">
        <f>D968*E968</f>
        <v/>
      </c>
      <c r="G968" s="22" t="n"/>
    </row>
    <row r="969">
      <c r="A969" s="22" t="inlineStr">
        <is>
          <t>9999</t>
        </is>
      </c>
      <c r="B969" s="11" t="inlineStr">
        <is>
          <t>Sundries and binding wire</t>
        </is>
      </c>
      <c r="C969" s="22" t="inlineStr">
        <is>
          <t>L.S.</t>
        </is>
      </c>
      <c r="D969" s="23" t="n">
        <v>26.91</v>
      </c>
      <c r="E969" s="24" t="n">
        <v>2</v>
      </c>
      <c r="F969" s="24">
        <f>D969*E969</f>
        <v/>
      </c>
      <c r="G969" s="22" t="n"/>
    </row>
    <row r="970">
      <c r="A970" s="8" t="inlineStr">
        <is>
          <t>Calculated W - SUM of the Amount column above</t>
        </is>
      </c>
      <c r="B970" s="9" t="n"/>
      <c r="C970" s="9" t="n"/>
      <c r="D970" s="9" t="n"/>
      <c r="E970" s="9" t="n"/>
      <c r="F970" s="25">
        <f>SUM(F964:F969)</f>
        <v/>
      </c>
      <c r="G970" s="9" t="n"/>
    </row>
    <row r="971">
      <c r="A971" s="26" t="inlineStr">
        <is>
          <t>W as printed in the DAR</t>
        </is>
      </c>
      <c r="B971" s="22" t="n"/>
      <c r="C971" s="22" t="n"/>
      <c r="D971" s="22" t="n"/>
      <c r="E971" s="22" t="n"/>
      <c r="F971" s="27" t="n">
        <v>6241.51</v>
      </c>
      <c r="G971" s="22" t="n"/>
    </row>
    <row r="972">
      <c r="A972" s="26" t="inlineStr">
        <is>
          <t>Difference (calculated - printed)</t>
        </is>
      </c>
      <c r="B972" s="22" t="n"/>
      <c r="C972" s="22" t="n"/>
      <c r="D972" s="22" t="n"/>
      <c r="E972" s="22" t="n"/>
      <c r="F972" s="27">
        <f>F970-F971</f>
        <v/>
      </c>
      <c r="G972" s="22" t="n"/>
    </row>
    <row r="973">
      <c r="A973" s="29" t="inlineStr">
        <is>
          <t>SAY (Rs.) - final DAR rate as printed (fixed value, not computed)</t>
        </is>
      </c>
      <c r="B973" s="30" t="n"/>
      <c r="C973" s="30" t="n"/>
      <c r="D973" s="30" t="n"/>
      <c r="E973" s="30" t="n"/>
      <c r="F973" s="31" t="n">
        <v>83.5</v>
      </c>
      <c r="G973" s="30" t="n"/>
    </row>
    <row r="975" ht="33" customHeight="1">
      <c r="A975" s="8" t="inlineStr">
        <is>
          <t>5.22A</t>
        </is>
      </c>
      <c r="B975" s="17" t="inlineStr">
        <is>
          <t>Steel reinforcement for R.C.C. work including straightening, cutting, bending, placing in position and binding all complete above plinth level.</t>
        </is>
      </c>
      <c r="C975" s="9" t="n"/>
      <c r="D975" s="9" t="n"/>
      <c r="E975" s="9" t="n"/>
      <c r="F975" s="9" t="n"/>
      <c r="G975" s="9" t="n"/>
    </row>
    <row r="976" ht="18.5" customHeight="1">
      <c r="A976" s="18" t="inlineStr">
        <is>
          <t>5.22A.5</t>
        </is>
      </c>
      <c r="B976" s="19" t="inlineStr">
        <is>
          <t>Hard drawn steel wire fabric</t>
        </is>
      </c>
      <c r="C976" s="20" t="n"/>
      <c r="D976" s="20" t="n"/>
      <c r="E976" s="20" t="n"/>
      <c r="F976" s="20" t="n"/>
      <c r="G976" s="20" t="n"/>
    </row>
    <row r="977">
      <c r="A977" s="21" t="inlineStr">
        <is>
          <t>Details of cost for 1 kg   |   Source: CivilDAR_2019_Vol_1.pdf, page 238</t>
        </is>
      </c>
    </row>
    <row r="978">
      <c r="A978" s="5" t="inlineStr">
        <is>
          <t>Code</t>
        </is>
      </c>
      <c r="B978" s="5" t="inlineStr">
        <is>
          <t>Description</t>
        </is>
      </c>
      <c r="C978" s="5" t="inlineStr">
        <is>
          <t>Unit</t>
        </is>
      </c>
      <c r="D978" s="5" t="inlineStr">
        <is>
          <t>Quantity</t>
        </is>
      </c>
      <c r="E978" s="5" t="inlineStr">
        <is>
          <t>Rate (Rs.)</t>
        </is>
      </c>
      <c r="F978" s="5" t="inlineStr">
        <is>
          <t>Amount (Rs.)</t>
        </is>
      </c>
      <c r="G978" s="5" t="inlineStr">
        <is>
          <t>Note</t>
        </is>
      </c>
    </row>
    <row r="979">
      <c r="A979" s="22" t="inlineStr">
        <is>
          <t>1021</t>
        </is>
      </c>
      <c r="B979" s="11" t="inlineStr">
        <is>
          <t>Hard drawn steel wire fabric</t>
        </is>
      </c>
      <c r="C979" s="22" t="inlineStr">
        <is>
          <t>sqm</t>
        </is>
      </c>
      <c r="D979" s="23" t="n">
        <v>13.548</v>
      </c>
      <c r="E979" s="24" t="n">
        <v>430</v>
      </c>
      <c r="F979" s="24">
        <f>D979*E979</f>
        <v/>
      </c>
      <c r="G979" s="22" t="n"/>
    </row>
    <row r="980">
      <c r="A980" s="22" t="inlineStr">
        <is>
          <t>2205</t>
        </is>
      </c>
      <c r="B980" s="11" t="inlineStr">
        <is>
          <t>Carriage of Steel</t>
        </is>
      </c>
      <c r="C980" s="22" t="inlineStr">
        <is>
          <t>tonne</t>
        </is>
      </c>
      <c r="D980" s="23" t="n">
        <v>0.105</v>
      </c>
      <c r="E980" s="24" t="n">
        <v>92.23999999999999</v>
      </c>
      <c r="F980" s="24">
        <f>D980*E980</f>
        <v/>
      </c>
      <c r="G980" s="22" t="n"/>
    </row>
    <row r="981">
      <c r="A981" s="22" t="inlineStr">
        <is>
          <t>9999</t>
        </is>
      </c>
      <c r="B981" s="11" t="inlineStr">
        <is>
          <t>Cover block</t>
        </is>
      </c>
      <c r="C981" s="22" t="inlineStr">
        <is>
          <t>L.S.</t>
        </is>
      </c>
      <c r="D981" s="23" t="n">
        <v>26</v>
      </c>
      <c r="E981" s="24" t="n">
        <v>2</v>
      </c>
      <c r="F981" s="24">
        <f>D981*E981</f>
        <v/>
      </c>
      <c r="G981" s="22" t="n"/>
    </row>
    <row r="982">
      <c r="A982" s="22" t="inlineStr">
        <is>
          <t>0103</t>
        </is>
      </c>
      <c r="B982" s="11" t="inlineStr">
        <is>
          <t>Blacksmith 2nd class</t>
        </is>
      </c>
      <c r="C982" s="22" t="inlineStr">
        <is>
          <t>day</t>
        </is>
      </c>
      <c r="D982" s="23" t="n">
        <v>0.2</v>
      </c>
      <c r="E982" s="24" t="n">
        <v>679</v>
      </c>
      <c r="F982" s="24">
        <f>D982*E982</f>
        <v/>
      </c>
      <c r="G982" s="22" t="n"/>
    </row>
    <row r="983">
      <c r="A983" s="22" t="inlineStr">
        <is>
          <t>0114</t>
        </is>
      </c>
      <c r="B983" s="11" t="inlineStr">
        <is>
          <t>Beldar</t>
        </is>
      </c>
      <c r="C983" s="22" t="inlineStr">
        <is>
          <t>day</t>
        </is>
      </c>
      <c r="D983" s="23" t="n">
        <v>1.5</v>
      </c>
      <c r="E983" s="24" t="n">
        <v>558</v>
      </c>
      <c r="F983" s="24">
        <f>D983*E983</f>
        <v/>
      </c>
      <c r="G983" s="22" t="n"/>
    </row>
    <row r="984">
      <c r="A984" s="22" t="inlineStr">
        <is>
          <t>9999</t>
        </is>
      </c>
      <c r="B984" s="11" t="inlineStr">
        <is>
          <t>Sundries and binding wire</t>
        </is>
      </c>
      <c r="C984" s="22" t="inlineStr">
        <is>
          <t>L.S.</t>
        </is>
      </c>
      <c r="D984" s="23" t="n">
        <v>13.52</v>
      </c>
      <c r="E984" s="24" t="n">
        <v>2</v>
      </c>
      <c r="F984" s="24">
        <f>D984*E984</f>
        <v/>
      </c>
      <c r="G984" s="22" t="n"/>
    </row>
    <row r="985">
      <c r="A985" s="8" t="inlineStr">
        <is>
          <t>Calculated W - SUM of the Amount column above</t>
        </is>
      </c>
      <c r="B985" s="9" t="n"/>
      <c r="C985" s="9" t="n"/>
      <c r="D985" s="9" t="n"/>
      <c r="E985" s="9" t="n"/>
      <c r="F985" s="25">
        <f>SUM(F979:F984)</f>
        <v/>
      </c>
      <c r="G985" s="9" t="n"/>
    </row>
    <row r="986">
      <c r="A986" s="26" t="inlineStr">
        <is>
          <t>W as printed in the DAR</t>
        </is>
      </c>
      <c r="B986" s="22" t="n"/>
      <c r="C986" s="22" t="n"/>
      <c r="D986" s="22" t="n"/>
      <c r="E986" s="22" t="n"/>
      <c r="F986" s="27" t="n">
        <v>6887.17</v>
      </c>
      <c r="G986" s="22" t="n"/>
    </row>
    <row r="987">
      <c r="A987" s="26" t="inlineStr">
        <is>
          <t>Difference (calculated - printed)</t>
        </is>
      </c>
      <c r="B987" s="22" t="n"/>
      <c r="C987" s="22" t="n"/>
      <c r="D987" s="22" t="n"/>
      <c r="E987" s="22" t="n"/>
      <c r="F987" s="27">
        <f>F985-F986</f>
        <v/>
      </c>
      <c r="G987" s="22" t="n"/>
    </row>
    <row r="988">
      <c r="A988" s="29" t="inlineStr">
        <is>
          <t>SAY (Rs.) - final DAR rate as printed (fixed value, not computed)</t>
        </is>
      </c>
      <c r="B988" s="30" t="n"/>
      <c r="C988" s="30" t="n"/>
      <c r="D988" s="30" t="n"/>
      <c r="E988" s="30" t="n"/>
      <c r="F988" s="31" t="n">
        <v>92.15000000000001</v>
      </c>
      <c r="G988" s="30" t="n"/>
    </row>
    <row r="990" ht="33" customHeight="1">
      <c r="A990" s="8" t="inlineStr">
        <is>
          <t>5.22A</t>
        </is>
      </c>
      <c r="B990" s="17" t="inlineStr">
        <is>
          <t>Steel reinforcement for R.C.C. work including straightening, cutting, bending, placing in position and binding all complete above plinth level.</t>
        </is>
      </c>
      <c r="C990" s="9" t="n"/>
      <c r="D990" s="9" t="n"/>
      <c r="E990" s="9" t="n"/>
      <c r="F990" s="9" t="n"/>
      <c r="G990" s="9" t="n"/>
    </row>
    <row r="991" ht="18.5" customHeight="1">
      <c r="A991" s="18" t="inlineStr">
        <is>
          <t>5.22A.6</t>
        </is>
      </c>
      <c r="B991" s="19" t="inlineStr">
        <is>
          <t>Thermo-Mechanically Treated bars of grade Fe-500D or more.</t>
        </is>
      </c>
      <c r="C991" s="20" t="n"/>
      <c r="D991" s="20" t="n"/>
      <c r="E991" s="20" t="n"/>
      <c r="F991" s="20" t="n"/>
      <c r="G991" s="20" t="n"/>
    </row>
    <row r="992">
      <c r="A992" s="21" t="inlineStr">
        <is>
          <t>Details of cost for 1 kg   |   Source: CivilDAR_2019_Vol_1.pdf, page 239</t>
        </is>
      </c>
    </row>
    <row r="993">
      <c r="A993" s="5" t="inlineStr">
        <is>
          <t>Code</t>
        </is>
      </c>
      <c r="B993" s="5" t="inlineStr">
        <is>
          <t>Description</t>
        </is>
      </c>
      <c r="C993" s="5" t="inlineStr">
        <is>
          <t>Unit</t>
        </is>
      </c>
      <c r="D993" s="5" t="inlineStr">
        <is>
          <t>Quantity</t>
        </is>
      </c>
      <c r="E993" s="5" t="inlineStr">
        <is>
          <t>Rate (Rs.)</t>
        </is>
      </c>
      <c r="F993" s="5" t="inlineStr">
        <is>
          <t>Amount (Rs.)</t>
        </is>
      </c>
      <c r="G993" s="5" t="inlineStr">
        <is>
          <t>Note</t>
        </is>
      </c>
    </row>
    <row r="994">
      <c r="A994" s="22" t="inlineStr">
        <is>
          <t>1005</t>
        </is>
      </c>
      <c r="B994" s="11" t="inlineStr">
        <is>
          <t>Twisted steel / deformed bars</t>
        </is>
      </c>
      <c r="C994" s="22" t="inlineStr">
        <is>
          <t>quintal</t>
        </is>
      </c>
      <c r="D994" s="23" t="n">
        <v>1.05</v>
      </c>
      <c r="E994" s="24" t="n">
        <v>4600</v>
      </c>
      <c r="F994" s="24">
        <f>D994*E994</f>
        <v/>
      </c>
      <c r="G994" s="22" t="n"/>
    </row>
    <row r="995">
      <c r="A995" s="22" t="inlineStr">
        <is>
          <t>2205</t>
        </is>
      </c>
      <c r="B995" s="11" t="inlineStr">
        <is>
          <t>Carriage of Steel</t>
        </is>
      </c>
      <c r="C995" s="22" t="inlineStr">
        <is>
          <t>tonne</t>
        </is>
      </c>
      <c r="D995" s="23" t="n">
        <v>0.105</v>
      </c>
      <c r="E995" s="24" t="n">
        <v>92.23999999999999</v>
      </c>
      <c r="F995" s="24">
        <f>D995*E995</f>
        <v/>
      </c>
      <c r="G995" s="22" t="n"/>
    </row>
    <row r="996">
      <c r="A996" s="22" t="inlineStr">
        <is>
          <t>9999</t>
        </is>
      </c>
      <c r="B996" s="11" t="inlineStr">
        <is>
          <t>Cover block</t>
        </is>
      </c>
      <c r="C996" s="22" t="inlineStr">
        <is>
          <t>L.S.</t>
        </is>
      </c>
      <c r="D996" s="23" t="n">
        <v>26</v>
      </c>
      <c r="E996" s="24" t="n">
        <v>2</v>
      </c>
      <c r="F996" s="24">
        <f>D996*E996</f>
        <v/>
      </c>
      <c r="G996" s="22" t="n"/>
    </row>
    <row r="997">
      <c r="A997" s="22" t="inlineStr">
        <is>
          <t>0102</t>
        </is>
      </c>
      <c r="B997" s="11" t="inlineStr">
        <is>
          <t>Blacksmith 1st class</t>
        </is>
      </c>
      <c r="C997" s="22" t="inlineStr">
        <is>
          <t>day</t>
        </is>
      </c>
      <c r="D997" s="23" t="n">
        <v>1</v>
      </c>
      <c r="E997" s="24" t="n">
        <v>738</v>
      </c>
      <c r="F997" s="24">
        <f>D997*E997</f>
        <v/>
      </c>
      <c r="G997" s="22" t="n"/>
    </row>
    <row r="998">
      <c r="A998" s="22" t="inlineStr">
        <is>
          <t>0114</t>
        </is>
      </c>
      <c r="B998" s="11" t="inlineStr">
        <is>
          <t>Beldar</t>
        </is>
      </c>
      <c r="C998" s="22" t="inlineStr">
        <is>
          <t>day</t>
        </is>
      </c>
      <c r="D998" s="23" t="n">
        <v>1</v>
      </c>
      <c r="E998" s="24" t="n">
        <v>558</v>
      </c>
      <c r="F998" s="24">
        <f>D998*E998</f>
        <v/>
      </c>
      <c r="G998" s="22" t="n"/>
    </row>
    <row r="999">
      <c r="A999" s="22" t="inlineStr">
        <is>
          <t>9999</t>
        </is>
      </c>
      <c r="B999" s="11" t="inlineStr">
        <is>
          <t>Sundries and binding wire</t>
        </is>
      </c>
      <c r="C999" s="22" t="inlineStr">
        <is>
          <t>L.S.</t>
        </is>
      </c>
      <c r="D999" s="23" t="n">
        <v>26.91</v>
      </c>
      <c r="E999" s="24" t="n">
        <v>2</v>
      </c>
      <c r="F999" s="24">
        <f>D999*E999</f>
        <v/>
      </c>
      <c r="G999" s="22" t="n"/>
    </row>
    <row r="1000">
      <c r="A1000" s="8" t="inlineStr">
        <is>
          <t>Calculated W - SUM of the Amount column above</t>
        </is>
      </c>
      <c r="B1000" s="9" t="n"/>
      <c r="C1000" s="9" t="n"/>
      <c r="D1000" s="9" t="n"/>
      <c r="E1000" s="9" t="n"/>
      <c r="F1000" s="25">
        <f>SUM(F994:F999)</f>
        <v/>
      </c>
      <c r="G1000" s="9" t="n"/>
    </row>
    <row r="1001">
      <c r="A1001" s="26" t="inlineStr">
        <is>
          <t>W as printed in the DAR</t>
        </is>
      </c>
      <c r="B1001" s="22" t="n"/>
      <c r="C1001" s="22" t="n"/>
      <c r="D1001" s="22" t="n"/>
      <c r="E1001" s="22" t="n"/>
      <c r="F1001" s="27" t="n">
        <v>6241.51</v>
      </c>
      <c r="G1001" s="22" t="n"/>
    </row>
    <row r="1002">
      <c r="A1002" s="26" t="inlineStr">
        <is>
          <t>Difference (calculated - printed)</t>
        </is>
      </c>
      <c r="B1002" s="22" t="n"/>
      <c r="C1002" s="22" t="n"/>
      <c r="D1002" s="22" t="n"/>
      <c r="E1002" s="22" t="n"/>
      <c r="F1002" s="27">
        <f>F1000-F1001</f>
        <v/>
      </c>
      <c r="G1002" s="22" t="n"/>
    </row>
    <row r="1003">
      <c r="A1003" s="29" t="inlineStr">
        <is>
          <t>SAY (Rs.) - final DAR rate as printed (fixed value, not computed)</t>
        </is>
      </c>
      <c r="B1003" s="30" t="n"/>
      <c r="C1003" s="30" t="n"/>
      <c r="D1003" s="30" t="n"/>
      <c r="E1003" s="30" t="n"/>
      <c r="F1003" s="31" t="n">
        <v>83.5</v>
      </c>
      <c r="G1003" s="30" t="n"/>
    </row>
    <row r="1005" ht="33" customHeight="1">
      <c r="A1005" s="8" t="inlineStr">
        <is>
          <t>5.22B</t>
        </is>
      </c>
      <c r="B1005" s="17" t="inlineStr">
        <is>
          <t>Steel reinforcement for R.C.C. work ready to use "cut and bend" rebars of approved make from factory/workshop to construction site including placing in position and binding all complete upto plinth level.</t>
        </is>
      </c>
      <c r="C1005" s="9" t="n"/>
      <c r="D1005" s="9" t="n"/>
      <c r="E1005" s="9" t="n"/>
      <c r="F1005" s="9" t="n"/>
      <c r="G1005" s="9" t="n"/>
    </row>
    <row r="1006" ht="18.5" customHeight="1">
      <c r="A1006" s="18" t="inlineStr">
        <is>
          <t>5.22B.1</t>
        </is>
      </c>
      <c r="B1006" s="19" t="inlineStr">
        <is>
          <t>Thermo-Mechanically Treated bars of grade Fe-500D or more.</t>
        </is>
      </c>
      <c r="C1006" s="20" t="n"/>
      <c r="D1006" s="20" t="n"/>
      <c r="E1006" s="20" t="n"/>
      <c r="F1006" s="20" t="n"/>
      <c r="G1006" s="20" t="n"/>
    </row>
    <row r="1007">
      <c r="A1007" s="21" t="inlineStr">
        <is>
          <t>Details of cost for 1 kg   |   Source: CivilDAR_2019_Vol_1.pdf, page 239</t>
        </is>
      </c>
    </row>
    <row r="1008">
      <c r="A1008" s="5" t="inlineStr">
        <is>
          <t>Code</t>
        </is>
      </c>
      <c r="B1008" s="5" t="inlineStr">
        <is>
          <t>Description</t>
        </is>
      </c>
      <c r="C1008" s="5" t="inlineStr">
        <is>
          <t>Unit</t>
        </is>
      </c>
      <c r="D1008" s="5" t="inlineStr">
        <is>
          <t>Quantity</t>
        </is>
      </c>
      <c r="E1008" s="5" t="inlineStr">
        <is>
          <t>Rate (Rs.)</t>
        </is>
      </c>
      <c r="F1008" s="5" t="inlineStr">
        <is>
          <t>Amount (Rs.)</t>
        </is>
      </c>
      <c r="G1008" s="5" t="inlineStr">
        <is>
          <t>Note</t>
        </is>
      </c>
    </row>
    <row r="1009">
      <c r="A1009" s="22" t="inlineStr">
        <is>
          <t>1005</t>
        </is>
      </c>
      <c r="B1009" s="11" t="inlineStr">
        <is>
          <t>Twisted steel / deformed bars</t>
        </is>
      </c>
      <c r="C1009" s="22" t="inlineStr">
        <is>
          <t>quintal</t>
        </is>
      </c>
      <c r="D1009" s="23" t="n">
        <v>1</v>
      </c>
      <c r="E1009" s="24" t="n">
        <v>4600</v>
      </c>
      <c r="F1009" s="24">
        <f>D1009*E1009</f>
        <v/>
      </c>
      <c r="G1009" s="22" t="n"/>
    </row>
    <row r="1010">
      <c r="A1010" s="22" t="inlineStr">
        <is>
          <t>2205</t>
        </is>
      </c>
      <c r="B1010" s="11" t="inlineStr">
        <is>
          <t>Carriage of steel 1.0/10 = 0.1t</t>
        </is>
      </c>
      <c r="C1010" s="22" t="inlineStr">
        <is>
          <t>tonne</t>
        </is>
      </c>
      <c r="D1010" s="23" t="n">
        <v>0.1</v>
      </c>
      <c r="E1010" s="24" t="n">
        <v>92.23999999999999</v>
      </c>
      <c r="F1010" s="24">
        <f>D1010*E1010</f>
        <v/>
      </c>
      <c r="G1010" s="22" t="n"/>
    </row>
    <row r="1011">
      <c r="A1011" s="22" t="inlineStr">
        <is>
          <t>9999</t>
        </is>
      </c>
      <c r="B1011" s="11" t="inlineStr">
        <is>
          <t>Cover block</t>
        </is>
      </c>
      <c r="C1011" s="22" t="inlineStr">
        <is>
          <t>L.S.</t>
        </is>
      </c>
      <c r="D1011" s="23" t="n">
        <v>26</v>
      </c>
      <c r="E1011" s="24" t="n">
        <v>2</v>
      </c>
      <c r="F1011" s="24">
        <f>D1011*E1011</f>
        <v/>
      </c>
      <c r="G1011" s="22" t="n"/>
    </row>
    <row r="1012">
      <c r="A1012" s="22" t="inlineStr">
        <is>
          <t>9999</t>
        </is>
      </c>
      <c r="B1012" s="11" t="inlineStr">
        <is>
          <t>For cut and bend</t>
        </is>
      </c>
      <c r="C1012" s="22" t="inlineStr">
        <is>
          <t>L.S.</t>
        </is>
      </c>
      <c r="D1012" s="23" t="n">
        <v>156</v>
      </c>
      <c r="E1012" s="24" t="n">
        <v>2</v>
      </c>
      <c r="F1012" s="24">
        <f>D1012*E1012</f>
        <v/>
      </c>
      <c r="G1012" s="22" t="n"/>
    </row>
    <row r="1013">
      <c r="A1013" s="22" t="inlineStr">
        <is>
          <t>0102</t>
        </is>
      </c>
      <c r="B1013" s="11" t="inlineStr">
        <is>
          <t>Blacksmith 1st class</t>
        </is>
      </c>
      <c r="C1013" s="22" t="inlineStr">
        <is>
          <t>day</t>
        </is>
      </c>
      <c r="D1013" s="23" t="n">
        <v>0.6</v>
      </c>
      <c r="E1013" s="24" t="n">
        <v>738</v>
      </c>
      <c r="F1013" s="24">
        <f>D1013*E1013</f>
        <v/>
      </c>
      <c r="G1013" s="22" t="n"/>
    </row>
    <row r="1014">
      <c r="A1014" s="22" t="inlineStr">
        <is>
          <t>0114</t>
        </is>
      </c>
      <c r="B1014" s="11" t="inlineStr">
        <is>
          <t>Beldar</t>
        </is>
      </c>
      <c r="C1014" s="22" t="inlineStr">
        <is>
          <t>day</t>
        </is>
      </c>
      <c r="D1014" s="23" t="n">
        <v>0.6</v>
      </c>
      <c r="E1014" s="24" t="n">
        <v>558</v>
      </c>
      <c r="F1014" s="24">
        <f>D1014*E1014</f>
        <v/>
      </c>
      <c r="G1014" s="22" t="n"/>
    </row>
    <row r="1015">
      <c r="A1015" s="22" t="inlineStr">
        <is>
          <t>9999</t>
        </is>
      </c>
      <c r="B1015" s="11" t="inlineStr">
        <is>
          <t>Sundries and binding wire</t>
        </is>
      </c>
      <c r="C1015" s="22" t="inlineStr">
        <is>
          <t>L.S.</t>
        </is>
      </c>
      <c r="D1015" s="23" t="n">
        <v>26.91</v>
      </c>
      <c r="E1015" s="24" t="n">
        <v>2</v>
      </c>
      <c r="F1015" s="24">
        <f>D1015*E1015</f>
        <v/>
      </c>
      <c r="G1015" s="22" t="n"/>
    </row>
    <row r="1016">
      <c r="A1016" s="8" t="inlineStr">
        <is>
          <t>Calculated W - SUM of the Amount column above</t>
        </is>
      </c>
      <c r="B1016" s="9" t="n"/>
      <c r="C1016" s="9" t="n"/>
      <c r="D1016" s="9" t="n"/>
      <c r="E1016" s="9" t="n"/>
      <c r="F1016" s="25">
        <f>SUM(F1009:F1015)</f>
        <v/>
      </c>
      <c r="G1016" s="9" t="n"/>
    </row>
    <row r="1017">
      <c r="A1017" s="26" t="inlineStr">
        <is>
          <t>W as printed in the DAR</t>
        </is>
      </c>
      <c r="B1017" s="22" t="n"/>
      <c r="C1017" s="22" t="n"/>
      <c r="D1017" s="22" t="n"/>
      <c r="E1017" s="22" t="n"/>
      <c r="F1017" s="27" t="n">
        <v>5804.64</v>
      </c>
      <c r="G1017" s="22" t="n"/>
    </row>
    <row r="1018">
      <c r="A1018" s="26" t="inlineStr">
        <is>
          <t>Difference (calculated - printed)</t>
        </is>
      </c>
      <c r="B1018" s="22" t="n"/>
      <c r="C1018" s="22" t="n"/>
      <c r="D1018" s="22" t="n"/>
      <c r="E1018" s="22" t="n"/>
      <c r="F1018" s="27">
        <f>F1016-F1017</f>
        <v/>
      </c>
      <c r="G1018" s="22" t="n"/>
    </row>
    <row r="1019">
      <c r="A1019" s="29" t="inlineStr">
        <is>
          <t>SAY (Rs.) - final DAR rate as printed (fixed value, not computed)</t>
        </is>
      </c>
      <c r="B1019" s="30" t="n"/>
      <c r="C1019" s="30" t="n"/>
      <c r="D1019" s="30" t="n"/>
      <c r="E1019" s="30" t="n"/>
      <c r="F1019" s="31" t="n">
        <v>77.65000000000001</v>
      </c>
      <c r="G1019" s="30" t="n"/>
    </row>
    <row r="1021" ht="33" customHeight="1">
      <c r="A1021" s="8" t="inlineStr">
        <is>
          <t>5.22C</t>
        </is>
      </c>
      <c r="B1021" s="17" t="inlineStr">
        <is>
          <t>Steel reinforcement for R.C.C. work ready to use "cut and bend" rebars of approved make from factory/workshop to construction site including placing in position and binding all complete above plinth level.</t>
        </is>
      </c>
      <c r="C1021" s="9" t="n"/>
      <c r="D1021" s="9" t="n"/>
      <c r="E1021" s="9" t="n"/>
      <c r="F1021" s="9" t="n"/>
      <c r="G1021" s="9" t="n"/>
    </row>
    <row r="1022" ht="18.5" customHeight="1">
      <c r="A1022" s="18" t="inlineStr">
        <is>
          <t>5.22C.1</t>
        </is>
      </c>
      <c r="B1022" s="19" t="inlineStr">
        <is>
          <t>Thermo-Mechanically Treated bars of grade Fe-500D or more.</t>
        </is>
      </c>
      <c r="C1022" s="20" t="n"/>
      <c r="D1022" s="20" t="n"/>
      <c r="E1022" s="20" t="n"/>
      <c r="F1022" s="20" t="n"/>
      <c r="G1022" s="20" t="n"/>
    </row>
    <row r="1023">
      <c r="A1023" s="21" t="inlineStr">
        <is>
          <t>Details of cost for 1 kg   |   Source: CivilDAR_2019_Vol_1.pdf, page 240</t>
        </is>
      </c>
    </row>
    <row r="1024">
      <c r="A1024" s="5" t="inlineStr">
        <is>
          <t>Code</t>
        </is>
      </c>
      <c r="B1024" s="5" t="inlineStr">
        <is>
          <t>Description</t>
        </is>
      </c>
      <c r="C1024" s="5" t="inlineStr">
        <is>
          <t>Unit</t>
        </is>
      </c>
      <c r="D1024" s="5" t="inlineStr">
        <is>
          <t>Quantity</t>
        </is>
      </c>
      <c r="E1024" s="5" t="inlineStr">
        <is>
          <t>Rate (Rs.)</t>
        </is>
      </c>
      <c r="F1024" s="5" t="inlineStr">
        <is>
          <t>Amount (Rs.)</t>
        </is>
      </c>
      <c r="G1024" s="5" t="inlineStr">
        <is>
          <t>Note</t>
        </is>
      </c>
    </row>
    <row r="1025">
      <c r="A1025" s="22" t="inlineStr">
        <is>
          <t>1005</t>
        </is>
      </c>
      <c r="B1025" s="11" t="inlineStr">
        <is>
          <t>Twisted steel / deformed bars</t>
        </is>
      </c>
      <c r="C1025" s="22" t="inlineStr">
        <is>
          <t>quintal</t>
        </is>
      </c>
      <c r="D1025" s="23" t="n">
        <v>1</v>
      </c>
      <c r="E1025" s="24" t="n">
        <v>4600</v>
      </c>
      <c r="F1025" s="24">
        <f>D1025*E1025</f>
        <v/>
      </c>
      <c r="G1025" s="22" t="n"/>
    </row>
    <row r="1026">
      <c r="A1026" s="22" t="inlineStr">
        <is>
          <t>2205</t>
        </is>
      </c>
      <c r="B1026" s="11" t="inlineStr">
        <is>
          <t>Carriage of steel 1.0/10 = 0.1t</t>
        </is>
      </c>
      <c r="C1026" s="22" t="inlineStr">
        <is>
          <t>tonne</t>
        </is>
      </c>
      <c r="D1026" s="23" t="n">
        <v>0.1</v>
      </c>
      <c r="E1026" s="24" t="n">
        <v>92.23999999999999</v>
      </c>
      <c r="F1026" s="24">
        <f>D1026*E1026</f>
        <v/>
      </c>
      <c r="G1026" s="22" t="n"/>
    </row>
    <row r="1027">
      <c r="A1027" s="22" t="inlineStr">
        <is>
          <t>9999</t>
        </is>
      </c>
      <c r="B1027" s="11" t="inlineStr">
        <is>
          <t>Cover block</t>
        </is>
      </c>
      <c r="C1027" s="22" t="inlineStr">
        <is>
          <t>L.S.</t>
        </is>
      </c>
      <c r="D1027" s="23" t="n">
        <v>26</v>
      </c>
      <c r="E1027" s="24" t="n">
        <v>2</v>
      </c>
      <c r="F1027" s="24">
        <f>D1027*E1027</f>
        <v/>
      </c>
      <c r="G1027" s="22" t="n"/>
    </row>
    <row r="1028">
      <c r="A1028" s="22" t="inlineStr">
        <is>
          <t>9999</t>
        </is>
      </c>
      <c r="B1028" s="11" t="inlineStr">
        <is>
          <t>For cut and bend</t>
        </is>
      </c>
      <c r="C1028" s="22" t="inlineStr">
        <is>
          <t>L.S.</t>
        </is>
      </c>
      <c r="D1028" s="23" t="n">
        <v>156</v>
      </c>
      <c r="E1028" s="24" t="n">
        <v>2</v>
      </c>
      <c r="F1028" s="24">
        <f>D1028*E1028</f>
        <v/>
      </c>
      <c r="G1028" s="22" t="n"/>
    </row>
    <row r="1029">
      <c r="A1029" s="22" t="inlineStr">
        <is>
          <t>0102</t>
        </is>
      </c>
      <c r="B1029" s="11" t="inlineStr">
        <is>
          <t>Blacksmith 1st class</t>
        </is>
      </c>
      <c r="C1029" s="22" t="inlineStr">
        <is>
          <t>day</t>
        </is>
      </c>
      <c r="D1029" s="23" t="n">
        <v>0.6</v>
      </c>
      <c r="E1029" s="24" t="n">
        <v>738</v>
      </c>
      <c r="F1029" s="24">
        <f>D1029*E1029</f>
        <v/>
      </c>
      <c r="G1029" s="22" t="n"/>
    </row>
    <row r="1030">
      <c r="A1030" s="22" t="inlineStr">
        <is>
          <t>0114</t>
        </is>
      </c>
      <c r="B1030" s="11" t="inlineStr">
        <is>
          <t>Beldar</t>
        </is>
      </c>
      <c r="C1030" s="22" t="inlineStr">
        <is>
          <t>day</t>
        </is>
      </c>
      <c r="D1030" s="23" t="n">
        <v>0.6</v>
      </c>
      <c r="E1030" s="24" t="n">
        <v>558</v>
      </c>
      <c r="F1030" s="24">
        <f>D1030*E1030</f>
        <v/>
      </c>
      <c r="G1030" s="22" t="n"/>
    </row>
    <row r="1031">
      <c r="A1031" s="22" t="inlineStr">
        <is>
          <t>9999</t>
        </is>
      </c>
      <c r="B1031" s="11" t="inlineStr">
        <is>
          <t>Sundries and binding wire</t>
        </is>
      </c>
      <c r="C1031" s="22" t="inlineStr">
        <is>
          <t>L.S.</t>
        </is>
      </c>
      <c r="D1031" s="23" t="n">
        <v>26.91</v>
      </c>
      <c r="E1031" s="24" t="n">
        <v>2</v>
      </c>
      <c r="F1031" s="24">
        <f>D1031*E1031</f>
        <v/>
      </c>
      <c r="G1031" s="22" t="n"/>
    </row>
    <row r="1032">
      <c r="A1032" s="8" t="inlineStr">
        <is>
          <t>Calculated W - SUM of the Amount column above</t>
        </is>
      </c>
      <c r="B1032" s="9" t="n"/>
      <c r="C1032" s="9" t="n"/>
      <c r="D1032" s="9" t="n"/>
      <c r="E1032" s="9" t="n"/>
      <c r="F1032" s="25">
        <f>SUM(F1025:F1031)</f>
        <v/>
      </c>
      <c r="G1032" s="9" t="n"/>
    </row>
    <row r="1033">
      <c r="A1033" s="26" t="inlineStr">
        <is>
          <t>W as printed in the DAR</t>
        </is>
      </c>
      <c r="B1033" s="22" t="n"/>
      <c r="C1033" s="22" t="n"/>
      <c r="D1033" s="22" t="n"/>
      <c r="E1033" s="22" t="n"/>
      <c r="F1033" s="27" t="n">
        <v>5804.64</v>
      </c>
      <c r="G1033" s="22" t="n"/>
    </row>
    <row r="1034">
      <c r="A1034" s="26" t="inlineStr">
        <is>
          <t>Difference (calculated - printed)</t>
        </is>
      </c>
      <c r="B1034" s="22" t="n"/>
      <c r="C1034" s="22" t="n"/>
      <c r="D1034" s="22" t="n"/>
      <c r="E1034" s="22" t="n"/>
      <c r="F1034" s="27">
        <f>F1032-F1033</f>
        <v/>
      </c>
      <c r="G1034" s="22" t="n"/>
    </row>
    <row r="1035">
      <c r="A1035" s="29" t="inlineStr">
        <is>
          <t>SAY (Rs.) - final DAR rate as printed (fixed value, not computed)</t>
        </is>
      </c>
      <c r="B1035" s="30" t="n"/>
      <c r="C1035" s="30" t="n"/>
      <c r="D1035" s="30" t="n"/>
      <c r="E1035" s="30" t="n"/>
      <c r="F1035" s="31" t="n">
        <v>77.65000000000001</v>
      </c>
      <c r="G1035" s="30" t="n"/>
    </row>
    <row r="1037" ht="18.5" customHeight="1">
      <c r="A1037" s="18" t="inlineStr">
        <is>
          <t>5.23</t>
        </is>
      </c>
      <c r="B1037" s="19" t="inlineStr">
        <is>
          <t>Smooth finishing of the exposed surface of R.C.C. work with 6 mm thick cement mortar 1:3 (1 Cement : 3 fine sand).</t>
        </is>
      </c>
      <c r="C1037" s="20" t="n"/>
      <c r="D1037" s="20" t="n"/>
      <c r="E1037" s="20" t="n"/>
      <c r="F1037" s="20" t="n"/>
      <c r="G1037" s="20" t="n"/>
    </row>
    <row r="1038">
      <c r="A1038" s="21" t="inlineStr">
        <is>
          <t>Details of cost for 10 sqm   |   Source: CivilDAR_2019_Vol_1.pdf, page 241</t>
        </is>
      </c>
    </row>
    <row r="1039">
      <c r="A1039" s="5" t="inlineStr">
        <is>
          <t>Code</t>
        </is>
      </c>
      <c r="B1039" s="5" t="inlineStr">
        <is>
          <t>Description</t>
        </is>
      </c>
      <c r="C1039" s="5" t="inlineStr">
        <is>
          <t>Unit</t>
        </is>
      </c>
      <c r="D1039" s="5" t="inlineStr">
        <is>
          <t>Quantity</t>
        </is>
      </c>
      <c r="E1039" s="5" t="inlineStr">
        <is>
          <t>Rate (Rs.)</t>
        </is>
      </c>
      <c r="F1039" s="5" t="inlineStr">
        <is>
          <t>Amount (Rs.)</t>
        </is>
      </c>
      <c r="G1039" s="5" t="inlineStr">
        <is>
          <t>Note</t>
        </is>
      </c>
    </row>
    <row r="1040">
      <c r="A1040" s="7" t="inlineStr">
        <is>
          <t>3.3</t>
        </is>
      </c>
      <c r="B1040" s="11" t="inlineStr">
        <is>
          <t>Rate as per item 3.3 - Cement mortar 1:3 (1 cement : 3 fine sand)</t>
        </is>
      </c>
      <c r="C1040" s="22" t="inlineStr">
        <is>
          <t>cum</t>
        </is>
      </c>
      <c r="D1040" s="23" t="n">
        <v>0.07199999999999999</v>
      </c>
      <c r="E1040" s="24" t="n">
        <v>4183.05</v>
      </c>
      <c r="F1040" s="24">
        <f>D1040*E1040</f>
        <v/>
      </c>
      <c r="G1040" s="22" t="n"/>
    </row>
    <row r="1041">
      <c r="A1041" s="22" t="inlineStr">
        <is>
          <t>0155</t>
        </is>
      </c>
      <c r="B1041" s="11" t="inlineStr">
        <is>
          <t>Mason (average)</t>
        </is>
      </c>
      <c r="C1041" s="22" t="inlineStr">
        <is>
          <t>day</t>
        </is>
      </c>
      <c r="D1041" s="23" t="n">
        <v>0.51</v>
      </c>
      <c r="E1041" s="24" t="n">
        <v>709</v>
      </c>
      <c r="F1041" s="24">
        <f>D1041*E1041</f>
        <v/>
      </c>
      <c r="G1041" s="22" t="n"/>
    </row>
    <row r="1042">
      <c r="A1042" s="22" t="inlineStr">
        <is>
          <t>0115</t>
        </is>
      </c>
      <c r="B1042" s="11" t="inlineStr">
        <is>
          <t>Coolie</t>
        </is>
      </c>
      <c r="C1042" s="22" t="inlineStr">
        <is>
          <t>day</t>
        </is>
      </c>
      <c r="D1042" s="23" t="n">
        <v>0.75</v>
      </c>
      <c r="E1042" s="24" t="n">
        <v>558</v>
      </c>
      <c r="F1042" s="24">
        <f>D1042*E1042</f>
        <v/>
      </c>
      <c r="G1042" s="22" t="n"/>
    </row>
    <row r="1043">
      <c r="A1043" s="22" t="inlineStr">
        <is>
          <t>0101</t>
        </is>
      </c>
      <c r="B1043" s="11" t="inlineStr">
        <is>
          <t>Bhisti</t>
        </is>
      </c>
      <c r="C1043" s="22" t="inlineStr">
        <is>
          <t>day</t>
        </is>
      </c>
      <c r="D1043" s="23" t="n">
        <v>0.92</v>
      </c>
      <c r="E1043" s="24" t="n">
        <v>617</v>
      </c>
      <c r="F1043" s="24">
        <f>D1043*E1043</f>
        <v/>
      </c>
      <c r="G1043" s="22" t="n"/>
    </row>
    <row r="1044">
      <c r="A1044" s="22" t="inlineStr">
        <is>
          <t>9999</t>
        </is>
      </c>
      <c r="B1044" s="11" t="inlineStr">
        <is>
          <t>Extra for removing burrs, cleaning with wire brushes pock marking with pointed tool etc. complete</t>
        </is>
      </c>
      <c r="C1044" s="22" t="inlineStr">
        <is>
          <t>L.S.</t>
        </is>
      </c>
      <c r="D1044" s="23" t="n">
        <v>13.39</v>
      </c>
      <c r="E1044" s="24" t="n">
        <v>2</v>
      </c>
      <c r="F1044" s="24">
        <f>D1044*E1044</f>
        <v/>
      </c>
      <c r="G1044" s="22" t="n"/>
    </row>
    <row r="1045">
      <c r="A1045" s="22" t="inlineStr">
        <is>
          <t>9999</t>
        </is>
      </c>
      <c r="B1045" s="11" t="inlineStr">
        <is>
          <t>Scaffolding and Sundries</t>
        </is>
      </c>
      <c r="C1045" s="22" t="inlineStr">
        <is>
          <t>L.S.</t>
        </is>
      </c>
      <c r="D1045" s="23" t="n">
        <v>11.7</v>
      </c>
      <c r="E1045" s="24" t="n">
        <v>2</v>
      </c>
      <c r="F1045" s="24">
        <f>D1045*E1045</f>
        <v/>
      </c>
      <c r="G1045" s="22" t="n"/>
    </row>
    <row r="1046">
      <c r="A1046" s="8" t="inlineStr">
        <is>
          <t>Calculated W - SUM of the Amount column above</t>
        </is>
      </c>
      <c r="B1046" s="9" t="n"/>
      <c r="C1046" s="9" t="n"/>
      <c r="D1046" s="9" t="n"/>
      <c r="E1046" s="9" t="n"/>
      <c r="F1046" s="25">
        <f>SUM(F1040:F1045)</f>
        <v/>
      </c>
      <c r="G1046" s="9" t="n"/>
    </row>
    <row r="1047">
      <c r="A1047" s="26" t="inlineStr">
        <is>
          <t>W as printed in the DAR</t>
        </is>
      </c>
      <c r="B1047" s="22" t="n"/>
      <c r="C1047" s="22" t="n"/>
      <c r="D1047" s="22" t="n"/>
      <c r="E1047" s="22" t="n"/>
      <c r="F1047" s="27" t="n">
        <v>1699.09</v>
      </c>
      <c r="G1047" s="22" t="n"/>
    </row>
    <row r="1048">
      <c r="A1048" s="26" t="inlineStr">
        <is>
          <t>Difference (calculated - printed)</t>
        </is>
      </c>
      <c r="B1048" s="22" t="n"/>
      <c r="C1048" s="22" t="n"/>
      <c r="D1048" s="22" t="n"/>
      <c r="E1048" s="22" t="n"/>
      <c r="F1048" s="27">
        <f>F1046-F1047</f>
        <v/>
      </c>
      <c r="G1048" s="22" t="n"/>
    </row>
    <row r="1049">
      <c r="A1049" s="29" t="inlineStr">
        <is>
          <t>SAY (Rs.) - final DAR rate as printed (fixed value, not computed)</t>
        </is>
      </c>
      <c r="B1049" s="30" t="n"/>
      <c r="C1049" s="30" t="n"/>
      <c r="D1049" s="30" t="n"/>
      <c r="E1049" s="30" t="n"/>
      <c r="F1049" s="31" t="n">
        <v>227.35</v>
      </c>
      <c r="G1049" s="30" t="n"/>
    </row>
    <row r="1051" ht="62" customHeight="1">
      <c r="A1051" s="18" t="inlineStr">
        <is>
          <t>5.24</t>
        </is>
      </c>
      <c r="B1051" s="19" t="inlineStr">
        <is>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is>
      </c>
      <c r="C1051" s="20" t="n"/>
      <c r="D1051" s="20" t="n"/>
      <c r="E1051" s="20" t="n"/>
      <c r="F1051" s="20" t="n"/>
      <c r="G1051" s="20" t="n"/>
    </row>
    <row r="1052">
      <c r="A1052" s="21" t="inlineStr">
        <is>
          <t>Details of cost for 10 sqm   |   Source: CivilDAR_2019_Vol_1.pdf, page 241</t>
        </is>
      </c>
    </row>
    <row r="1053">
      <c r="A1053" s="5" t="inlineStr">
        <is>
          <t>Code</t>
        </is>
      </c>
      <c r="B1053" s="5" t="inlineStr">
        <is>
          <t>Description</t>
        </is>
      </c>
      <c r="C1053" s="5" t="inlineStr">
        <is>
          <t>Unit</t>
        </is>
      </c>
      <c r="D1053" s="5" t="inlineStr">
        <is>
          <t>Quantity</t>
        </is>
      </c>
      <c r="E1053" s="5" t="inlineStr">
        <is>
          <t>Rate (Rs.)</t>
        </is>
      </c>
      <c r="F1053" s="5" t="inlineStr">
        <is>
          <t>Amount (Rs.)</t>
        </is>
      </c>
      <c r="G1053" s="5" t="inlineStr">
        <is>
          <t>Note</t>
        </is>
      </c>
    </row>
    <row r="1054">
      <c r="A1054" s="7" t="inlineStr">
        <is>
          <t>3.7</t>
        </is>
      </c>
      <c r="B1054" s="11" t="inlineStr">
        <is>
          <t>Rate as per item 3.7 - Cement mortar 1:2 (1 cement : 2 coarse sand)</t>
        </is>
      </c>
      <c r="C1054" s="22" t="inlineStr">
        <is>
          <t>cum</t>
        </is>
      </c>
      <c r="D1054" s="23" t="n">
        <v>0.03</v>
      </c>
      <c r="E1054" s="24" t="n">
        <v>5345.55</v>
      </c>
      <c r="F1054" s="24">
        <f>D1054*E1054</f>
        <v/>
      </c>
      <c r="G1054" s="22" t="n"/>
    </row>
    <row r="1055">
      <c r="A1055" s="22" t="inlineStr">
        <is>
          <t>0367</t>
        </is>
      </c>
      <c r="B1055" s="11" t="inlineStr">
        <is>
          <t>Portland Cement</t>
        </is>
      </c>
      <c r="C1055" s="22" t="inlineStr">
        <is>
          <t>tonne</t>
        </is>
      </c>
      <c r="D1055" s="23" t="n">
        <v>0.0213</v>
      </c>
      <c r="E1055" s="24" t="n">
        <v>4940</v>
      </c>
      <c r="F1055" s="24">
        <f>D1055*E1055</f>
        <v/>
      </c>
      <c r="G1055" s="22" t="n"/>
    </row>
    <row r="1056">
      <c r="A1056" s="22" t="inlineStr">
        <is>
          <t>2209</t>
        </is>
      </c>
      <c r="B1056" s="11" t="inlineStr">
        <is>
          <t>Carriage of Cement</t>
        </is>
      </c>
      <c r="C1056" s="22" t="inlineStr">
        <is>
          <t>tonne</t>
        </is>
      </c>
      <c r="D1056" s="23" t="n">
        <v>0.0213</v>
      </c>
      <c r="E1056" s="24" t="n">
        <v>92.23999999999999</v>
      </c>
      <c r="F1056" s="24">
        <f>D1056*E1056</f>
        <v/>
      </c>
      <c r="G1056" s="22" t="n"/>
    </row>
    <row r="1057">
      <c r="A1057" s="22" t="inlineStr">
        <is>
          <t>0123</t>
        </is>
      </c>
      <c r="B1057" s="11" t="inlineStr">
        <is>
          <t>Mason (brick layer) 1st class</t>
        </is>
      </c>
      <c r="C1057" s="22" t="inlineStr">
        <is>
          <t>day</t>
        </is>
      </c>
      <c r="D1057" s="23" t="n">
        <v>0.2</v>
      </c>
      <c r="E1057" s="24" t="n">
        <v>738</v>
      </c>
      <c r="F1057" s="24">
        <f>D1057*E1057</f>
        <v/>
      </c>
      <c r="G1057" s="22" t="n"/>
    </row>
    <row r="1058">
      <c r="A1058" s="22" t="inlineStr">
        <is>
          <t>0124</t>
        </is>
      </c>
      <c r="B1058" s="11" t="inlineStr">
        <is>
          <t>Mason (brick layer) 2nd class</t>
        </is>
      </c>
      <c r="C1058" s="22" t="inlineStr">
        <is>
          <t>day</t>
        </is>
      </c>
      <c r="D1058" s="23" t="n">
        <v>0.2</v>
      </c>
      <c r="E1058" s="24" t="n">
        <v>679</v>
      </c>
      <c r="F1058" s="24">
        <f>D1058*E1058</f>
        <v/>
      </c>
      <c r="G1058" s="22" t="n"/>
    </row>
    <row r="1059">
      <c r="A1059" s="22" t="inlineStr">
        <is>
          <t>0114</t>
        </is>
      </c>
      <c r="B1059" s="11" t="inlineStr">
        <is>
          <t>Beldar</t>
        </is>
      </c>
      <c r="C1059" s="22" t="inlineStr">
        <is>
          <t>day</t>
        </is>
      </c>
      <c r="D1059" s="23" t="n">
        <v>0.25</v>
      </c>
      <c r="E1059" s="24" t="n">
        <v>558</v>
      </c>
      <c r="F1059" s="24">
        <f>D1059*E1059</f>
        <v/>
      </c>
      <c r="G1059" s="22" t="n"/>
    </row>
    <row r="1060">
      <c r="A1060" s="22" t="inlineStr">
        <is>
          <t>9999</t>
        </is>
      </c>
      <c r="B1060" s="11" t="inlineStr">
        <is>
          <t>Spreading earth on floor (7.5mm thick)</t>
        </is>
      </c>
      <c r="C1060" s="22" t="inlineStr">
        <is>
          <t>L.S.</t>
        </is>
      </c>
      <c r="D1060" s="23" t="n">
        <v>35.49</v>
      </c>
      <c r="E1060" s="24" t="n">
        <v>2</v>
      </c>
      <c r="F1060" s="24">
        <f>D1060*E1060</f>
        <v/>
      </c>
      <c r="G1060" s="22" t="n"/>
    </row>
    <row r="1061">
      <c r="A1061" s="22" t="inlineStr">
        <is>
          <t>0983</t>
        </is>
      </c>
      <c r="B1061" s="11" t="inlineStr">
        <is>
          <t>Fine sand (zone IV)</t>
        </is>
      </c>
      <c r="C1061" s="22" t="inlineStr">
        <is>
          <t>cum</t>
        </is>
      </c>
      <c r="D1061" s="23" t="n">
        <v>0.15</v>
      </c>
      <c r="E1061" s="24" t="n">
        <v>900</v>
      </c>
      <c r="F1061" s="24">
        <f>D1061*E1061</f>
        <v/>
      </c>
      <c r="G1061" s="22" t="n"/>
    </row>
    <row r="1062">
      <c r="A1062" s="22" t="inlineStr">
        <is>
          <t>2261</t>
        </is>
      </c>
      <c r="B1062" s="11" t="inlineStr">
        <is>
          <t>Carriage of Fine sand (1 part badarpur sand : 2 parts jamuna sand)</t>
        </is>
      </c>
      <c r="C1062" s="22" t="inlineStr">
        <is>
          <t>cum</t>
        </is>
      </c>
      <c r="D1062" s="23" t="n">
        <v>0.15</v>
      </c>
      <c r="E1062" s="24" t="n">
        <v>103.77</v>
      </c>
      <c r="F1062" s="24">
        <f>D1062*E1062</f>
        <v/>
      </c>
      <c r="G1062" s="22" t="n"/>
    </row>
    <row r="1063">
      <c r="A1063" s="22" t="inlineStr">
        <is>
          <t>9999</t>
        </is>
      </c>
      <c r="B1063" s="11" t="inlineStr">
        <is>
          <t>Disposal of earth spread over floor protectIron</t>
        </is>
      </c>
      <c r="C1063" s="22" t="inlineStr">
        <is>
          <t>L.S.</t>
        </is>
      </c>
      <c r="D1063" s="23" t="n">
        <v>5.33</v>
      </c>
      <c r="E1063" s="24" t="n">
        <v>2</v>
      </c>
      <c r="F1063" s="24">
        <f>D1063*E1063</f>
        <v/>
      </c>
      <c r="G1063" s="22" t="n"/>
    </row>
    <row r="1064">
      <c r="A1064" s="22" t="inlineStr">
        <is>
          <t>9999</t>
        </is>
      </c>
      <c r="B1064" s="11" t="inlineStr">
        <is>
          <t>Sundries</t>
        </is>
      </c>
      <c r="C1064" s="22" t="inlineStr">
        <is>
          <t>L.S.</t>
        </is>
      </c>
      <c r="D1064" s="23" t="n">
        <v>6.24</v>
      </c>
      <c r="E1064" s="24" t="n">
        <v>2</v>
      </c>
      <c r="F1064" s="24">
        <f>D1064*E1064</f>
        <v/>
      </c>
      <c r="G1064" s="22" t="n"/>
    </row>
    <row r="1065">
      <c r="A1065" s="8" t="inlineStr">
        <is>
          <t>Calculated W - SUM of the Amount column above</t>
        </is>
      </c>
      <c r="B1065" s="9" t="n"/>
      <c r="C1065" s="9" t="n"/>
      <c r="D1065" s="9" t="n"/>
      <c r="E1065" s="9" t="n"/>
      <c r="F1065" s="25">
        <f>SUM(F1054:F1064)</f>
        <v/>
      </c>
      <c r="G1065" s="9" t="n"/>
    </row>
    <row r="1066">
      <c r="A1066" s="26" t="inlineStr">
        <is>
          <t>W as printed in the DAR</t>
        </is>
      </c>
      <c r="B1066" s="22" t="n"/>
      <c r="C1066" s="22" t="n"/>
      <c r="D1066" s="22" t="n"/>
      <c r="E1066" s="22" t="n"/>
      <c r="F1066" s="27" t="n">
        <v>935.14</v>
      </c>
      <c r="G1066" s="22" t="n"/>
    </row>
    <row r="1067">
      <c r="A1067" s="26" t="inlineStr">
        <is>
          <t>Difference (calculated - printed)</t>
        </is>
      </c>
      <c r="B1067" s="22" t="n"/>
      <c r="C1067" s="22" t="n"/>
      <c r="D1067" s="22" t="n"/>
      <c r="E1067" s="22" t="n"/>
      <c r="F1067" s="27">
        <f>F1065-F1066</f>
        <v/>
      </c>
      <c r="G1067" s="22" t="n"/>
    </row>
    <row r="1068">
      <c r="A1068" s="29" t="inlineStr">
        <is>
          <t>SAY (Rs.) - final DAR rate as printed (fixed value, not computed)</t>
        </is>
      </c>
      <c r="B1068" s="30" t="n"/>
      <c r="C1068" s="30" t="n"/>
      <c r="D1068" s="30" t="n"/>
      <c r="E1068" s="30" t="n"/>
      <c r="F1068" s="31" t="n">
        <v>125.1</v>
      </c>
      <c r="G1068" s="30" t="n"/>
    </row>
    <row r="1070" ht="18.5" customHeight="1">
      <c r="A1070" s="18" t="inlineStr">
        <is>
          <t>5.25</t>
        </is>
      </c>
      <c r="B1070" s="19" t="inlineStr">
        <is>
          <t>Providing and fixing in position copper plate as per design for expansion joints.</t>
        </is>
      </c>
      <c r="C1070" s="20" t="n"/>
      <c r="D1070" s="20" t="n"/>
      <c r="E1070" s="20" t="n"/>
      <c r="F1070" s="20" t="n"/>
      <c r="G1070" s="20" t="n"/>
    </row>
    <row r="1071">
      <c r="A1071" s="21" t="inlineStr">
        <is>
          <t>Details of cost for 10.56 kg   |   Source: CivilDAR_2019_Vol_1.pdf, page 242</t>
        </is>
      </c>
    </row>
    <row r="1072">
      <c r="A1072" s="5" t="inlineStr">
        <is>
          <t>Code</t>
        </is>
      </c>
      <c r="B1072" s="5" t="inlineStr">
        <is>
          <t>Description</t>
        </is>
      </c>
      <c r="C1072" s="5" t="inlineStr">
        <is>
          <t>Unit</t>
        </is>
      </c>
      <c r="D1072" s="5" t="inlineStr">
        <is>
          <t>Quantity</t>
        </is>
      </c>
      <c r="E1072" s="5" t="inlineStr">
        <is>
          <t>Rate (Rs.)</t>
        </is>
      </c>
      <c r="F1072" s="5" t="inlineStr">
        <is>
          <t>Amount (Rs.)</t>
        </is>
      </c>
      <c r="G1072" s="5" t="inlineStr">
        <is>
          <t>Note</t>
        </is>
      </c>
    </row>
    <row r="1073">
      <c r="A1073" s="22" t="inlineStr">
        <is>
          <t>0967</t>
        </is>
      </c>
      <c r="B1073" s="11" t="inlineStr">
        <is>
          <t>Copper plate</t>
        </is>
      </c>
      <c r="C1073" s="22" t="inlineStr">
        <is>
          <t>kilogram</t>
        </is>
      </c>
      <c r="D1073" s="23" t="n">
        <v>10.56</v>
      </c>
      <c r="E1073" s="24" t="n">
        <v>527</v>
      </c>
      <c r="F1073" s="24">
        <f>D1073*E1073</f>
        <v/>
      </c>
      <c r="G1073" s="22" t="n"/>
    </row>
    <row r="1074">
      <c r="A1074" s="22" t="inlineStr">
        <is>
          <t>0103</t>
        </is>
      </c>
      <c r="B1074" s="11" t="inlineStr">
        <is>
          <t>Blacksmith 2nd class</t>
        </is>
      </c>
      <c r="C1074" s="22" t="inlineStr">
        <is>
          <t>day</t>
        </is>
      </c>
      <c r="D1074" s="23" t="n">
        <v>0.25</v>
      </c>
      <c r="E1074" s="24" t="n">
        <v>679</v>
      </c>
      <c r="F1074" s="24">
        <f>D1074*E1074</f>
        <v/>
      </c>
      <c r="G1074" s="22" t="n"/>
    </row>
    <row r="1075">
      <c r="A1075" s="22" t="inlineStr">
        <is>
          <t>9999</t>
        </is>
      </c>
      <c r="B1075" s="11" t="inlineStr">
        <is>
          <t>Sundries</t>
        </is>
      </c>
      <c r="C1075" s="22" t="inlineStr">
        <is>
          <t>L.S.</t>
        </is>
      </c>
      <c r="D1075" s="23" t="n">
        <v>6.24</v>
      </c>
      <c r="E1075" s="24" t="n">
        <v>2</v>
      </c>
      <c r="F1075" s="24">
        <f>D1075*E1075</f>
        <v/>
      </c>
      <c r="G1075" s="22" t="n"/>
    </row>
    <row r="1076">
      <c r="A1076" s="8" t="inlineStr">
        <is>
          <t>Calculated W - SUM of the Amount column above</t>
        </is>
      </c>
      <c r="B1076" s="9" t="n"/>
      <c r="C1076" s="9" t="n"/>
      <c r="D1076" s="9" t="n"/>
      <c r="E1076" s="9" t="n"/>
      <c r="F1076" s="25">
        <f>SUM(F1073:F1075)</f>
        <v/>
      </c>
      <c r="G1076" s="9" t="n"/>
    </row>
    <row r="1077">
      <c r="A1077" s="26" t="inlineStr">
        <is>
          <t>W as printed in the DAR</t>
        </is>
      </c>
      <c r="B1077" s="22" t="n"/>
      <c r="C1077" s="22" t="n"/>
      <c r="D1077" s="22" t="n"/>
      <c r="E1077" s="22" t="n"/>
      <c r="F1077" s="27" t="n">
        <v>5747.35</v>
      </c>
      <c r="G1077" s="22" t="n"/>
    </row>
    <row r="1078">
      <c r="A1078" s="26" t="inlineStr">
        <is>
          <t>Difference (calculated - printed)</t>
        </is>
      </c>
      <c r="B1078" s="22" t="n"/>
      <c r="C1078" s="22" t="n"/>
      <c r="D1078" s="22" t="n"/>
      <c r="E1078" s="22" t="n"/>
      <c r="F1078" s="27">
        <f>F1076-F1077</f>
        <v/>
      </c>
      <c r="G1078" s="22" t="n"/>
    </row>
    <row r="1079">
      <c r="A1079" s="29" t="inlineStr">
        <is>
          <t>SAY (Rs.) - final DAR rate as printed (fixed value, not computed)</t>
        </is>
      </c>
      <c r="B1079" s="30" t="n"/>
      <c r="C1079" s="30" t="n"/>
      <c r="D1079" s="30" t="n"/>
      <c r="E1079" s="30" t="n"/>
      <c r="F1079" s="31" t="n">
        <v>728.2</v>
      </c>
      <c r="G1079" s="30" t="n"/>
    </row>
    <row r="1081" ht="18.5" customHeight="1">
      <c r="A1081" s="18" t="inlineStr">
        <is>
          <t>5.26</t>
        </is>
      </c>
      <c r="B1081" s="19" t="inlineStr">
        <is>
          <t>Providing and filling in position, blown bitumen in expansion joints.</t>
        </is>
      </c>
      <c r="C1081" s="20" t="n"/>
      <c r="D1081" s="20" t="n"/>
      <c r="E1081" s="20" t="n"/>
      <c r="F1081" s="20" t="n"/>
      <c r="G1081" s="20" t="n"/>
    </row>
    <row r="1082">
      <c r="A1082" s="21" t="inlineStr">
        <is>
          <t>Details of cost for 1.125 cum   |   Source: CivilDAR_2019_Vol_1.pdf, page 242</t>
        </is>
      </c>
    </row>
    <row r="1083">
      <c r="A1083" s="5" t="inlineStr">
        <is>
          <t>Code</t>
        </is>
      </c>
      <c r="B1083" s="5" t="inlineStr">
        <is>
          <t>Description</t>
        </is>
      </c>
      <c r="C1083" s="5" t="inlineStr">
        <is>
          <t>Unit</t>
        </is>
      </c>
      <c r="D1083" s="5" t="inlineStr">
        <is>
          <t>Quantity</t>
        </is>
      </c>
      <c r="E1083" s="5" t="inlineStr">
        <is>
          <t>Rate (Rs.)</t>
        </is>
      </c>
      <c r="F1083" s="5" t="inlineStr">
        <is>
          <t>Amount (Rs.)</t>
        </is>
      </c>
      <c r="G1083" s="5" t="inlineStr">
        <is>
          <t>Note</t>
        </is>
      </c>
    </row>
    <row r="1084">
      <c r="A1084" s="22" t="inlineStr">
        <is>
          <t>0313</t>
        </is>
      </c>
      <c r="B1084" s="11" t="inlineStr">
        <is>
          <t>Blown type petroleum bitumen of penetration 85/25 of approved quality</t>
        </is>
      </c>
      <c r="C1084" s="22" t="inlineStr">
        <is>
          <t>tonne</t>
        </is>
      </c>
      <c r="D1084" s="23" t="n">
        <v>1.24</v>
      </c>
      <c r="E1084" s="24" t="n">
        <v>34000</v>
      </c>
      <c r="F1084" s="24">
        <f>D1084*E1084</f>
        <v/>
      </c>
      <c r="G1084" s="22" t="n"/>
    </row>
    <row r="1085">
      <c r="A1085" s="22" t="inlineStr">
        <is>
          <t>2211</t>
        </is>
      </c>
      <c r="B1085" s="11" t="inlineStr">
        <is>
          <t>Carriage of Tar/ bitumen</t>
        </is>
      </c>
      <c r="C1085" s="22" t="inlineStr">
        <is>
          <t>tonne</t>
        </is>
      </c>
      <c r="D1085" s="23" t="n">
        <v>1.24</v>
      </c>
      <c r="E1085" s="24" t="n">
        <v>103.77</v>
      </c>
      <c r="F1085" s="24">
        <f>D1085*E1085</f>
        <v/>
      </c>
      <c r="G1085" s="22" t="n"/>
    </row>
    <row r="1086">
      <c r="A1086" s="22" t="inlineStr">
        <is>
          <t>0370</t>
        </is>
      </c>
      <c r="B1086" s="11" t="inlineStr">
        <is>
          <t>Coal (steam)</t>
        </is>
      </c>
      <c r="C1086" s="22" t="inlineStr">
        <is>
          <t>quintal</t>
        </is>
      </c>
      <c r="D1086" s="23" t="n">
        <v>2.48</v>
      </c>
      <c r="E1086" s="24" t="n">
        <v>440</v>
      </c>
      <c r="F1086" s="24">
        <f>D1086*E1086</f>
        <v/>
      </c>
      <c r="G1086" s="22" t="n"/>
    </row>
    <row r="1087">
      <c r="A1087" s="22" t="inlineStr">
        <is>
          <t>2200</t>
        </is>
      </c>
      <c r="B1087" s="11" t="inlineStr">
        <is>
          <t>Carriage of steam coal</t>
        </is>
      </c>
      <c r="C1087" s="22" t="inlineStr">
        <is>
          <t>tonne</t>
        </is>
      </c>
      <c r="D1087" s="23" t="n">
        <v>0.248</v>
      </c>
      <c r="E1087" s="24" t="n">
        <v>120</v>
      </c>
      <c r="F1087" s="24">
        <f>D1087*E1087</f>
        <v/>
      </c>
      <c r="G1087" s="22" t="n"/>
    </row>
    <row r="1088">
      <c r="A1088" s="22" t="inlineStr">
        <is>
          <t>0123</t>
        </is>
      </c>
      <c r="B1088" s="11" t="inlineStr">
        <is>
          <t>Mason (brick layer) 1st class</t>
        </is>
      </c>
      <c r="C1088" s="22" t="inlineStr">
        <is>
          <t>day</t>
        </is>
      </c>
      <c r="D1088" s="23" t="n">
        <v>2.52</v>
      </c>
      <c r="E1088" s="24" t="n">
        <v>738</v>
      </c>
      <c r="F1088" s="24">
        <f>D1088*E1088</f>
        <v/>
      </c>
      <c r="G1088" s="22" t="n"/>
    </row>
    <row r="1089">
      <c r="A1089" s="22" t="inlineStr">
        <is>
          <t>0124</t>
        </is>
      </c>
      <c r="B1089" s="11" t="inlineStr">
        <is>
          <t>Mason (brick layer) 2nd class</t>
        </is>
      </c>
      <c r="C1089" s="22" t="inlineStr">
        <is>
          <t>day</t>
        </is>
      </c>
      <c r="D1089" s="23" t="n">
        <v>2.52</v>
      </c>
      <c r="E1089" s="24" t="n">
        <v>679</v>
      </c>
      <c r="F1089" s="24">
        <f>D1089*E1089</f>
        <v/>
      </c>
      <c r="G1089" s="22" t="n"/>
    </row>
    <row r="1090">
      <c r="A1090" s="22" t="inlineStr">
        <is>
          <t>0114</t>
        </is>
      </c>
      <c r="B1090" s="11" t="inlineStr">
        <is>
          <t>Beldar</t>
        </is>
      </c>
      <c r="C1090" s="22" t="inlineStr">
        <is>
          <t>day</t>
        </is>
      </c>
      <c r="D1090" s="23" t="n">
        <v>8.06</v>
      </c>
      <c r="E1090" s="24" t="n">
        <v>558</v>
      </c>
      <c r="F1090" s="24">
        <f>D1090*E1090</f>
        <v/>
      </c>
      <c r="G1090" s="22" t="n"/>
    </row>
    <row r="1091">
      <c r="A1091" s="22" t="inlineStr">
        <is>
          <t>9999</t>
        </is>
      </c>
      <c r="B1091" s="11" t="inlineStr">
        <is>
          <t>Sundries</t>
        </is>
      </c>
      <c r="C1091" s="22" t="inlineStr">
        <is>
          <t>L.S.</t>
        </is>
      </c>
      <c r="D1091" s="23" t="n">
        <v>121.16</v>
      </c>
      <c r="E1091" s="24" t="n">
        <v>2</v>
      </c>
      <c r="F1091" s="24">
        <f>D1091*E1091</f>
        <v/>
      </c>
      <c r="G1091" s="22" t="n"/>
    </row>
    <row r="1092">
      <c r="A1092" s="8" t="inlineStr">
        <is>
          <t>Calculated W - SUM of the Amount column above</t>
        </is>
      </c>
      <c r="B1092" s="9" t="n"/>
      <c r="C1092" s="9" t="n"/>
      <c r="D1092" s="9" t="n"/>
      <c r="E1092" s="9" t="n"/>
      <c r="F1092" s="25">
        <f>SUM(F1084:F1091)</f>
        <v/>
      </c>
      <c r="G1092" s="9" t="n"/>
    </row>
    <row r="1093">
      <c r="A1093" s="26" t="inlineStr">
        <is>
          <t>W as printed in the DAR</t>
        </is>
      </c>
      <c r="B1093" s="22" t="n"/>
      <c r="C1093" s="22" t="n"/>
      <c r="D1093" s="22" t="n"/>
      <c r="E1093" s="22" t="n"/>
      <c r="F1093" s="27" t="n">
        <v>51720.27</v>
      </c>
      <c r="G1093" s="22" t="n"/>
    </row>
    <row r="1094">
      <c r="A1094" s="26" t="inlineStr">
        <is>
          <t>Difference (calculated - printed)</t>
        </is>
      </c>
      <c r="B1094" s="22" t="n"/>
      <c r="C1094" s="22" t="n"/>
      <c r="D1094" s="22" t="n"/>
      <c r="E1094" s="22" t="n"/>
      <c r="F1094" s="27">
        <f>F1092-F1093</f>
        <v/>
      </c>
      <c r="G1094" s="22" t="n"/>
    </row>
    <row r="1095">
      <c r="A1095" s="29" t="inlineStr">
        <is>
          <t>SAY (Rs.) - final DAR rate as printed (fixed value, not computed)</t>
        </is>
      </c>
      <c r="B1095" s="30" t="n"/>
      <c r="C1095" s="30" t="n"/>
      <c r="D1095" s="30" t="n"/>
      <c r="E1095" s="30" t="n"/>
      <c r="F1095" s="31" t="n">
        <v>61509.8</v>
      </c>
      <c r="G1095" s="30" t="n"/>
    </row>
    <row r="1097" ht="33" customHeight="1">
      <c r="A1097" s="18" t="inlineStr">
        <is>
          <t>5.27</t>
        </is>
      </c>
      <c r="B1097" s="19" t="inlineStr">
        <is>
          <t>Providing and filling in position bitumen mix filler of Proportion 80 kg. of hot bitumen, 1 kg. of cement and 0.25 cubic metre of coarse sand for expansion joints.</t>
        </is>
      </c>
      <c r="C1097" s="20" t="n"/>
      <c r="D1097" s="20" t="n"/>
      <c r="E1097" s="20" t="n"/>
      <c r="F1097" s="20" t="n"/>
      <c r="G1097" s="20" t="n"/>
    </row>
    <row r="1098">
      <c r="A1098" s="21" t="inlineStr">
        <is>
          <t>Details of cost for 1.125 cum   |   Source: CivilDAR_2019_Vol_1.pdf, page 243</t>
        </is>
      </c>
    </row>
    <row r="1099">
      <c r="A1099" s="5" t="inlineStr">
        <is>
          <t>Code</t>
        </is>
      </c>
      <c r="B1099" s="5" t="inlineStr">
        <is>
          <t>Description</t>
        </is>
      </c>
      <c r="C1099" s="5" t="inlineStr">
        <is>
          <t>Unit</t>
        </is>
      </c>
      <c r="D1099" s="5" t="inlineStr">
        <is>
          <t>Quantity</t>
        </is>
      </c>
      <c r="E1099" s="5" t="inlineStr">
        <is>
          <t>Rate (Rs.)</t>
        </is>
      </c>
      <c r="F1099" s="5" t="inlineStr">
        <is>
          <t>Amount (Rs.)</t>
        </is>
      </c>
      <c r="G1099" s="5" t="inlineStr">
        <is>
          <t>Note</t>
        </is>
      </c>
    </row>
    <row r="1100">
      <c r="A1100" s="22" t="inlineStr">
        <is>
          <t>0309</t>
        </is>
      </c>
      <c r="B1100" s="11" t="inlineStr">
        <is>
          <t>Paving bitumen VG-10 of approved quality</t>
        </is>
      </c>
      <c r="C1100" s="22" t="inlineStr">
        <is>
          <t>tonne</t>
        </is>
      </c>
      <c r="D1100" s="23" t="n">
        <v>0.303</v>
      </c>
      <c r="E1100" s="24" t="n">
        <v>25614</v>
      </c>
      <c r="F1100" s="24">
        <f>D1100*E1100</f>
        <v/>
      </c>
      <c r="G1100" s="22" t="n"/>
    </row>
    <row r="1101">
      <c r="A1101" s="22" t="inlineStr">
        <is>
          <t>2211</t>
        </is>
      </c>
      <c r="B1101" s="11" t="inlineStr">
        <is>
          <t>Carriage of Tar bitumen</t>
        </is>
      </c>
      <c r="C1101" s="22" t="inlineStr">
        <is>
          <t>tonne</t>
        </is>
      </c>
      <c r="D1101" s="23" t="n">
        <v>0.303</v>
      </c>
      <c r="E1101" s="24" t="n">
        <v>103.77</v>
      </c>
      <c r="F1101" s="24">
        <f>D1101*E1101</f>
        <v/>
      </c>
      <c r="G1101" s="22" t="n"/>
    </row>
    <row r="1102">
      <c r="A1102" s="22" t="inlineStr">
        <is>
          <t>0370</t>
        </is>
      </c>
      <c r="B1102" s="11" t="inlineStr">
        <is>
          <t>Coal (steam)</t>
        </is>
      </c>
      <c r="C1102" s="22" t="inlineStr">
        <is>
          <t>quintal</t>
        </is>
      </c>
      <c r="D1102" s="23" t="n">
        <v>0.606</v>
      </c>
      <c r="E1102" s="24" t="n">
        <v>440</v>
      </c>
      <c r="F1102" s="24">
        <f>D1102*E1102</f>
        <v/>
      </c>
      <c r="G1102" s="22" t="n"/>
    </row>
    <row r="1103">
      <c r="A1103" s="22" t="inlineStr">
        <is>
          <t>2200</t>
        </is>
      </c>
      <c r="B1103" s="11" t="inlineStr">
        <is>
          <t>Carriage of steam coal</t>
        </is>
      </c>
      <c r="C1103" s="22" t="inlineStr">
        <is>
          <t>tonne</t>
        </is>
      </c>
      <c r="D1103" s="23" t="n">
        <v>0.061</v>
      </c>
      <c r="E1103" s="24" t="n">
        <v>120</v>
      </c>
      <c r="F1103" s="24">
        <f>D1103*E1103</f>
        <v/>
      </c>
      <c r="G1103" s="22" t="n"/>
    </row>
    <row r="1104">
      <c r="A1104" s="22" t="inlineStr">
        <is>
          <t>0367</t>
        </is>
      </c>
      <c r="B1104" s="11" t="inlineStr">
        <is>
          <t>Portland Cement</t>
        </is>
      </c>
      <c r="C1104" s="22" t="inlineStr">
        <is>
          <t>tonne</t>
        </is>
      </c>
      <c r="D1104" s="23" t="n">
        <v>0.0036</v>
      </c>
      <c r="E1104" s="24" t="n">
        <v>4940</v>
      </c>
      <c r="F1104" s="24">
        <f>D1104*E1104</f>
        <v/>
      </c>
      <c r="G1104" s="22" t="n"/>
    </row>
    <row r="1105">
      <c r="A1105" s="22" t="inlineStr">
        <is>
          <t>2209</t>
        </is>
      </c>
      <c r="B1105" s="11" t="inlineStr">
        <is>
          <t>Carriage of Cement</t>
        </is>
      </c>
      <c r="C1105" s="22" t="inlineStr">
        <is>
          <t>tonne</t>
        </is>
      </c>
      <c r="D1105" s="23" t="n">
        <v>0.0036</v>
      </c>
      <c r="E1105" s="24" t="n">
        <v>92.23999999999999</v>
      </c>
      <c r="F1105" s="24">
        <f>D1105*E1105</f>
        <v/>
      </c>
      <c r="G1105" s="22" t="n"/>
    </row>
    <row r="1106">
      <c r="A1106" s="22" t="inlineStr">
        <is>
          <t>0982</t>
        </is>
      </c>
      <c r="B1106" s="11" t="inlineStr">
        <is>
          <t>Coarse sand (zone III)</t>
        </is>
      </c>
      <c r="C1106" s="22" t="inlineStr">
        <is>
          <t>cum</t>
        </is>
      </c>
      <c r="D1106" s="23" t="n">
        <v>0.9</v>
      </c>
      <c r="E1106" s="24" t="n">
        <v>1350</v>
      </c>
      <c r="F1106" s="24">
        <f>D1106*E1106</f>
        <v/>
      </c>
      <c r="G1106" s="22" t="n"/>
    </row>
    <row r="1107">
      <c r="A1107" s="22" t="inlineStr">
        <is>
          <t>2203</t>
        </is>
      </c>
      <c r="B1107" s="11" t="inlineStr">
        <is>
          <t>Carriage of Coarse sand</t>
        </is>
      </c>
      <c r="C1107" s="22" t="inlineStr">
        <is>
          <t>cum</t>
        </is>
      </c>
      <c r="D1107" s="23" t="n">
        <v>0.9</v>
      </c>
      <c r="E1107" s="24" t="n">
        <v>103.77</v>
      </c>
      <c r="F1107" s="24">
        <f>D1107*E1107</f>
        <v/>
      </c>
      <c r="G1107" s="22" t="n"/>
    </row>
    <row r="1108">
      <c r="A1108" s="22" t="inlineStr">
        <is>
          <t>0123</t>
        </is>
      </c>
      <c r="B1108" s="11" t="inlineStr">
        <is>
          <t>Mason (brick layer) 1st class</t>
        </is>
      </c>
      <c r="C1108" s="22" t="inlineStr">
        <is>
          <t>day</t>
        </is>
      </c>
      <c r="D1108" s="23" t="n">
        <v>2.52</v>
      </c>
      <c r="E1108" s="24" t="n">
        <v>738</v>
      </c>
      <c r="F1108" s="24">
        <f>D1108*E1108</f>
        <v/>
      </c>
      <c r="G1108" s="22" t="n"/>
    </row>
    <row r="1109">
      <c r="A1109" s="22" t="inlineStr">
        <is>
          <t>0124</t>
        </is>
      </c>
      <c r="B1109" s="11" t="inlineStr">
        <is>
          <t>Mason (brick layer) 2nd class</t>
        </is>
      </c>
      <c r="C1109" s="22" t="inlineStr">
        <is>
          <t>day</t>
        </is>
      </c>
      <c r="D1109" s="23" t="n">
        <v>2.52</v>
      </c>
      <c r="E1109" s="24" t="n">
        <v>679</v>
      </c>
      <c r="F1109" s="24">
        <f>D1109*E1109</f>
        <v/>
      </c>
      <c r="G1109" s="22" t="n"/>
    </row>
    <row r="1110">
      <c r="A1110" s="22" t="inlineStr">
        <is>
          <t>0114</t>
        </is>
      </c>
      <c r="B1110" s="11" t="inlineStr">
        <is>
          <t>Beldar</t>
        </is>
      </c>
      <c r="C1110" s="22" t="inlineStr">
        <is>
          <t>day</t>
        </is>
      </c>
      <c r="D1110" s="23" t="n">
        <v>8.06</v>
      </c>
      <c r="E1110" s="24" t="n">
        <v>558</v>
      </c>
      <c r="F1110" s="24">
        <f>D1110*E1110</f>
        <v/>
      </c>
      <c r="G1110" s="22" t="n"/>
    </row>
    <row r="1111">
      <c r="A1111" s="22" t="inlineStr">
        <is>
          <t>9999</t>
        </is>
      </c>
      <c r="B1111" s="11" t="inlineStr">
        <is>
          <t>Sundries</t>
        </is>
      </c>
      <c r="C1111" s="22" t="inlineStr">
        <is>
          <t>L.S.</t>
        </is>
      </c>
      <c r="D1111" s="23" t="n">
        <v>121.16</v>
      </c>
      <c r="E1111" s="24" t="n">
        <v>2</v>
      </c>
      <c r="F1111" s="24">
        <f>D1111*E1111</f>
        <v/>
      </c>
      <c r="G1111" s="22" t="n"/>
    </row>
    <row r="1112">
      <c r="A1112" s="8" t="inlineStr">
        <is>
          <t>Calculated W - SUM of the Amount column above</t>
        </is>
      </c>
      <c r="B1112" s="9" t="n"/>
      <c r="C1112" s="9" t="n"/>
      <c r="D1112" s="9" t="n"/>
      <c r="E1112" s="9" t="n"/>
      <c r="F1112" s="25">
        <f>SUM(F1100:F1111)</f>
        <v/>
      </c>
      <c r="G1112" s="9" t="n"/>
    </row>
    <row r="1113">
      <c r="A1113" s="26" t="inlineStr">
        <is>
          <t>W as printed in the DAR</t>
        </is>
      </c>
      <c r="B1113" s="22" t="n"/>
      <c r="C1113" s="22" t="n"/>
      <c r="D1113" s="22" t="n"/>
      <c r="E1113" s="22" t="n"/>
      <c r="F1113" s="27" t="n">
        <v>17703.59</v>
      </c>
      <c r="G1113" s="22" t="n"/>
    </row>
    <row r="1114">
      <c r="A1114" s="26" t="inlineStr">
        <is>
          <t>Difference (calculated - printed)</t>
        </is>
      </c>
      <c r="B1114" s="22" t="n"/>
      <c r="C1114" s="22" t="n"/>
      <c r="D1114" s="22" t="n"/>
      <c r="E1114" s="22" t="n"/>
      <c r="F1114" s="27">
        <f>F1112-F1113</f>
        <v/>
      </c>
      <c r="G1114" s="22" t="n"/>
    </row>
    <row r="1115">
      <c r="A1115" s="29" t="inlineStr">
        <is>
          <t>SAY (Rs.) - final DAR rate as printed (fixed value, not computed)</t>
        </is>
      </c>
      <c r="B1115" s="30" t="n"/>
      <c r="C1115" s="30" t="n"/>
      <c r="D1115" s="30" t="n"/>
      <c r="E1115" s="30" t="n"/>
      <c r="F1115" s="31" t="n">
        <v>21054.5</v>
      </c>
      <c r="G1115" s="30" t="n"/>
    </row>
    <row r="1117" ht="33" customHeight="1">
      <c r="A1117" s="18" t="inlineStr">
        <is>
          <t>5.28</t>
        </is>
      </c>
      <c r="B1117" s="19" t="inlineStr">
        <is>
          <t>Providing and fixing in position 12mm thick bitumen impregnated fiber board conforming to IS: 1838, including cost of primer, sealing compound Grade-A in expansion joints.</t>
        </is>
      </c>
      <c r="C1117" s="20" t="n"/>
      <c r="D1117" s="20" t="n"/>
      <c r="E1117" s="20" t="n"/>
      <c r="F1117" s="20" t="n"/>
      <c r="G1117" s="20" t="n"/>
    </row>
    <row r="1118">
      <c r="A1118" s="21" t="inlineStr">
        <is>
          <t>Details of cost for 100 m   |   Source: CivilDAR_2019_Vol_1.pdf, page 244</t>
        </is>
      </c>
    </row>
    <row r="1119">
      <c r="A1119" s="5" t="inlineStr">
        <is>
          <t>Code</t>
        </is>
      </c>
      <c r="B1119" s="5" t="inlineStr">
        <is>
          <t>Description</t>
        </is>
      </c>
      <c r="C1119" s="5" t="inlineStr">
        <is>
          <t>Unit</t>
        </is>
      </c>
      <c r="D1119" s="5" t="inlineStr">
        <is>
          <t>Quantity</t>
        </is>
      </c>
      <c r="E1119" s="5" t="inlineStr">
        <is>
          <t>Rate (Rs.)</t>
        </is>
      </c>
      <c r="F1119" s="5" t="inlineStr">
        <is>
          <t>Amount (Rs.)</t>
        </is>
      </c>
      <c r="G1119" s="5" t="inlineStr">
        <is>
          <t>Note</t>
        </is>
      </c>
    </row>
    <row r="1120">
      <c r="A1120" s="22" t="inlineStr">
        <is>
          <t>0339</t>
        </is>
      </c>
      <c r="B1120" s="11" t="inlineStr">
        <is>
          <t>Flame retardent face insulating, Impregnated fibre board 12 mm thick</t>
        </is>
      </c>
      <c r="C1120" s="22" t="inlineStr">
        <is>
          <t>sqm</t>
        </is>
      </c>
      <c r="D1120" s="23" t="n">
        <v>7.5</v>
      </c>
      <c r="E1120" s="24" t="n">
        <v>375</v>
      </c>
      <c r="F1120" s="24">
        <f>D1120*E1120</f>
        <v/>
      </c>
      <c r="G1120" s="22" t="n"/>
    </row>
    <row r="1121">
      <c r="A1121" s="22" t="inlineStr">
        <is>
          <t>0316</t>
        </is>
      </c>
      <c r="B1121" s="11" t="inlineStr">
        <is>
          <t>Bitumen solution primer of approved quality</t>
        </is>
      </c>
      <c r="C1121" s="22" t="inlineStr">
        <is>
          <t>litre</t>
        </is>
      </c>
      <c r="D1121" s="23" t="n">
        <v>1.25</v>
      </c>
      <c r="E1121" s="24" t="n">
        <v>45</v>
      </c>
      <c r="F1121" s="24">
        <f>D1121*E1121</f>
        <v/>
      </c>
      <c r="G1121" s="22" t="n"/>
    </row>
    <row r="1122">
      <c r="A1122" s="22" t="inlineStr">
        <is>
          <t>0314</t>
        </is>
      </c>
      <c r="B1122" s="11" t="inlineStr">
        <is>
          <t>Bitumen hot sealing compound : grade A</t>
        </is>
      </c>
      <c r="C1122" s="22" t="inlineStr">
        <is>
          <t>kilogram</t>
        </is>
      </c>
      <c r="D1122" s="23" t="n">
        <v>31.5</v>
      </c>
      <c r="E1122" s="24" t="n">
        <v>28</v>
      </c>
      <c r="F1122" s="24">
        <f>D1122*E1122</f>
        <v/>
      </c>
      <c r="G1122" s="22" t="n"/>
    </row>
    <row r="1123">
      <c r="A1123" s="22" t="inlineStr">
        <is>
          <t>9977</t>
        </is>
      </c>
      <c r="B1123" s="11" t="inlineStr">
        <is>
          <t>Carriage</t>
        </is>
      </c>
      <c r="C1123" s="22" t="inlineStr">
        <is>
          <t>L.S.</t>
        </is>
      </c>
      <c r="D1123" s="23" t="n">
        <v>26.91</v>
      </c>
      <c r="E1123" s="24" t="n">
        <v>2</v>
      </c>
      <c r="F1123" s="24">
        <f>D1123*E1123</f>
        <v/>
      </c>
      <c r="G1123" s="22" t="n"/>
    </row>
    <row r="1124">
      <c r="A1124" s="22" t="inlineStr">
        <is>
          <t>0123</t>
        </is>
      </c>
      <c r="B1124" s="11" t="inlineStr">
        <is>
          <t>Mason (brick layer) 1st class</t>
        </is>
      </c>
      <c r="C1124" s="22" t="inlineStr">
        <is>
          <t>day</t>
        </is>
      </c>
      <c r="D1124" s="23" t="n">
        <v>0.12</v>
      </c>
      <c r="E1124" s="24" t="n">
        <v>738</v>
      </c>
      <c r="F1124" s="24">
        <f>D1124*E1124</f>
        <v/>
      </c>
      <c r="G1124" s="22" t="n"/>
    </row>
    <row r="1125">
      <c r="A1125" s="22" t="inlineStr">
        <is>
          <t>0124</t>
        </is>
      </c>
      <c r="B1125" s="11" t="inlineStr">
        <is>
          <t>Mason (brick layer) 2nd class</t>
        </is>
      </c>
      <c r="C1125" s="22" t="inlineStr">
        <is>
          <t>day</t>
        </is>
      </c>
      <c r="D1125" s="23" t="n">
        <v>0.12</v>
      </c>
      <c r="E1125" s="24" t="n">
        <v>679</v>
      </c>
      <c r="F1125" s="24">
        <f>D1125*E1125</f>
        <v/>
      </c>
      <c r="G1125" s="22" t="n"/>
    </row>
    <row r="1126">
      <c r="A1126" s="22" t="inlineStr">
        <is>
          <t>0114</t>
        </is>
      </c>
      <c r="B1126" s="11" t="inlineStr">
        <is>
          <t>Beldar</t>
        </is>
      </c>
      <c r="C1126" s="22" t="inlineStr">
        <is>
          <t>day</t>
        </is>
      </c>
      <c r="D1126" s="23" t="n">
        <v>0.25</v>
      </c>
      <c r="E1126" s="24" t="n">
        <v>558</v>
      </c>
      <c r="F1126" s="24">
        <f>D1126*E1126</f>
        <v/>
      </c>
      <c r="G1126" s="22" t="n"/>
    </row>
    <row r="1127">
      <c r="A1127" s="22" t="inlineStr">
        <is>
          <t>9999</t>
        </is>
      </c>
      <c r="B1127" s="11" t="inlineStr">
        <is>
          <t>Sundries</t>
        </is>
      </c>
      <c r="C1127" s="22" t="inlineStr">
        <is>
          <t>L.S.</t>
        </is>
      </c>
      <c r="D1127" s="23" t="n">
        <v>26.91</v>
      </c>
      <c r="E1127" s="24" t="n">
        <v>2</v>
      </c>
      <c r="F1127" s="24">
        <f>D1127*E1127</f>
        <v/>
      </c>
      <c r="G1127" s="22" t="n"/>
    </row>
    <row r="1128">
      <c r="A1128" s="8" t="inlineStr">
        <is>
          <t>Calculated W - SUM of the Amount column above</t>
        </is>
      </c>
      <c r="B1128" s="9" t="n"/>
      <c r="C1128" s="9" t="n"/>
      <c r="D1128" s="9" t="n"/>
      <c r="E1128" s="9" t="n"/>
      <c r="F1128" s="25">
        <f>SUM(F1120:F1127)</f>
        <v/>
      </c>
      <c r="G1128" s="9" t="n"/>
    </row>
    <row r="1129">
      <c r="A1129" s="26" t="inlineStr">
        <is>
          <t>W as printed in the DAR</t>
        </is>
      </c>
      <c r="B1129" s="22" t="n"/>
      <c r="C1129" s="22" t="n"/>
      <c r="D1129" s="22" t="n"/>
      <c r="E1129" s="22" t="n"/>
      <c r="F1129" s="27" t="n">
        <v>4167.93</v>
      </c>
      <c r="G1129" s="22" t="n"/>
    </row>
    <row r="1130">
      <c r="A1130" s="26" t="inlineStr">
        <is>
          <t>Difference (calculated - printed)</t>
        </is>
      </c>
      <c r="B1130" s="22" t="n"/>
      <c r="C1130" s="22" t="n"/>
      <c r="D1130" s="22" t="n"/>
      <c r="E1130" s="22" t="n"/>
      <c r="F1130" s="27">
        <f>F1128-F1129</f>
        <v/>
      </c>
      <c r="G1130" s="22" t="n"/>
    </row>
    <row r="1131">
      <c r="A1131" s="29" t="inlineStr">
        <is>
          <t>SAY (Rs.) - final DAR rate as printed (fixed value, not computed)</t>
        </is>
      </c>
      <c r="B1131" s="30" t="n"/>
      <c r="C1131" s="30" t="n"/>
      <c r="D1131" s="30" t="n"/>
      <c r="E1131" s="30" t="n"/>
      <c r="F1131" s="31" t="n">
        <v>557.65</v>
      </c>
      <c r="G1131" s="30" t="n"/>
    </row>
    <row r="1133" ht="18.5" customHeight="1">
      <c r="A1133" s="8" t="inlineStr">
        <is>
          <t>5.29</t>
        </is>
      </c>
      <c r="B1133" s="17" t="inlineStr">
        <is>
          <t>Providing and fixing sheet covering over expansion joints with iron screws as per design.</t>
        </is>
      </c>
      <c r="C1133" s="9" t="n"/>
      <c r="D1133" s="9" t="n"/>
      <c r="E1133" s="9" t="n"/>
      <c r="F1133" s="9" t="n"/>
      <c r="G1133" s="9" t="n"/>
    </row>
    <row r="1134" ht="18.5" customHeight="1">
      <c r="A1134" s="8" t="inlineStr">
        <is>
          <t>5.29.1</t>
        </is>
      </c>
      <c r="B1134" s="17" t="inlineStr">
        <is>
          <t>Non-asbestos fibre cement board 6 mm thick as per IS: 14862.</t>
        </is>
      </c>
      <c r="C1134" s="9" t="n"/>
      <c r="D1134" s="9" t="n"/>
      <c r="E1134" s="9" t="n"/>
      <c r="F1134" s="9" t="n"/>
      <c r="G1134" s="9" t="n"/>
    </row>
    <row r="1135" ht="18.5" customHeight="1">
      <c r="A1135" s="18" t="inlineStr">
        <is>
          <t>5.29.1.1</t>
        </is>
      </c>
      <c r="B1135" s="19" t="inlineStr">
        <is>
          <t>150mm wide</t>
        </is>
      </c>
      <c r="C1135" s="20" t="n"/>
      <c r="D1135" s="20" t="n"/>
      <c r="E1135" s="20" t="n"/>
      <c r="F1135" s="20" t="n"/>
      <c r="G1135" s="20" t="n"/>
    </row>
    <row r="1136">
      <c r="A1136" s="21" t="inlineStr">
        <is>
          <t>Details of cost for 3 metre   |   Source: CivilDAR_2019_Vol_1.pdf, page 245</t>
        </is>
      </c>
    </row>
    <row r="1137">
      <c r="A1137" s="5" t="inlineStr">
        <is>
          <t>Code</t>
        </is>
      </c>
      <c r="B1137" s="5" t="inlineStr">
        <is>
          <t>Description</t>
        </is>
      </c>
      <c r="C1137" s="5" t="inlineStr">
        <is>
          <t>Unit</t>
        </is>
      </c>
      <c r="D1137" s="5" t="inlineStr">
        <is>
          <t>Quantity</t>
        </is>
      </c>
      <c r="E1137" s="5" t="inlineStr">
        <is>
          <t>Rate (Rs.)</t>
        </is>
      </c>
      <c r="F1137" s="5" t="inlineStr">
        <is>
          <t>Amount (Rs.)</t>
        </is>
      </c>
      <c r="G1137" s="5" t="inlineStr">
        <is>
          <t>Note</t>
        </is>
      </c>
    </row>
    <row r="1138">
      <c r="A1138" s="22" t="inlineStr">
        <is>
          <t>0236</t>
        </is>
      </c>
      <c r="B1138" s="11" t="inlineStr">
        <is>
          <t>Non - Asbestos multi purpose fibre (high impact poly propelene reinforced) cement board 6mm thick.</t>
        </is>
      </c>
      <c r="C1138" s="22" t="inlineStr">
        <is>
          <t>sqm</t>
        </is>
      </c>
      <c r="D1138" s="23" t="n">
        <v>0.47</v>
      </c>
      <c r="E1138" s="24" t="n">
        <v>210</v>
      </c>
      <c r="F1138" s="24">
        <f>D1138*E1138</f>
        <v/>
      </c>
      <c r="G1138" s="22" t="n"/>
    </row>
    <row r="1139">
      <c r="A1139" s="22" t="inlineStr">
        <is>
          <t>2273</t>
        </is>
      </c>
      <c r="B1139" s="11" t="inlineStr">
        <is>
          <t>Carriage of A.C.sheet and accessories</t>
        </is>
      </c>
      <c r="C1139" s="22" t="inlineStr">
        <is>
          <t>tonne</t>
        </is>
      </c>
      <c r="D1139" s="23" t="n">
        <v>0.0049</v>
      </c>
      <c r="E1139" s="24" t="n">
        <v>92.23999999999999</v>
      </c>
      <c r="F1139" s="24">
        <f>D1139*E1139</f>
        <v/>
      </c>
      <c r="G1139" s="22" t="n"/>
    </row>
    <row r="1140">
      <c r="A1140" s="22" t="inlineStr">
        <is>
          <t>9999</t>
        </is>
      </c>
      <c r="B1140" s="11" t="inlineStr">
        <is>
          <t>50mm iron screws with washer and rawl plugs</t>
        </is>
      </c>
      <c r="C1140" s="22" t="inlineStr">
        <is>
          <t>L.S.</t>
        </is>
      </c>
      <c r="D1140" s="23" t="n">
        <v>40.3</v>
      </c>
      <c r="E1140" s="24" t="n">
        <v>2</v>
      </c>
      <c r="F1140" s="24">
        <f>D1140*E1140</f>
        <v/>
      </c>
      <c r="G1140" s="22" t="n"/>
    </row>
    <row r="1141">
      <c r="A1141" s="22" t="inlineStr">
        <is>
          <t>0112</t>
        </is>
      </c>
      <c r="B1141" s="11" t="inlineStr">
        <is>
          <t>Carpenter 2nd class</t>
        </is>
      </c>
      <c r="C1141" s="22" t="inlineStr">
        <is>
          <t>day</t>
        </is>
      </c>
      <c r="D1141" s="23" t="n">
        <v>0.2</v>
      </c>
      <c r="E1141" s="24" t="n">
        <v>679</v>
      </c>
      <c r="F1141" s="24">
        <f>D1141*E1141</f>
        <v/>
      </c>
      <c r="G1141" s="22" t="n"/>
    </row>
    <row r="1142">
      <c r="A1142" s="22" t="inlineStr">
        <is>
          <t>0114</t>
        </is>
      </c>
      <c r="B1142" s="11" t="inlineStr">
        <is>
          <t>Beldar</t>
        </is>
      </c>
      <c r="C1142" s="22" t="inlineStr">
        <is>
          <t>day</t>
        </is>
      </c>
      <c r="D1142" s="23" t="n">
        <v>0.2</v>
      </c>
      <c r="E1142" s="24" t="n">
        <v>558</v>
      </c>
      <c r="F1142" s="24">
        <f>D1142*E1142</f>
        <v/>
      </c>
      <c r="G1142" s="22" t="n"/>
    </row>
    <row r="1143">
      <c r="A1143" s="8" t="inlineStr">
        <is>
          <t>Calculated W - SUM of the Amount column above</t>
        </is>
      </c>
      <c r="B1143" s="9" t="n"/>
      <c r="C1143" s="9" t="n"/>
      <c r="D1143" s="9" t="n"/>
      <c r="E1143" s="9" t="n"/>
      <c r="F1143" s="25">
        <f>SUM(F1138:F1142)</f>
        <v/>
      </c>
      <c r="G1143" s="9" t="n"/>
    </row>
    <row r="1144">
      <c r="A1144" s="26" t="inlineStr">
        <is>
          <t>W as printed in the DAR</t>
        </is>
      </c>
      <c r="B1144" s="22" t="n"/>
      <c r="C1144" s="22" t="n"/>
      <c r="D1144" s="22" t="n"/>
      <c r="E1144" s="22" t="n"/>
      <c r="F1144" s="27" t="n">
        <v>427.15</v>
      </c>
      <c r="G1144" s="22" t="n"/>
    </row>
    <row r="1145">
      <c r="A1145" s="26" t="inlineStr">
        <is>
          <t>Difference (calculated - printed)</t>
        </is>
      </c>
      <c r="B1145" s="22" t="n"/>
      <c r="C1145" s="22" t="n"/>
      <c r="D1145" s="22" t="n"/>
      <c r="E1145" s="22" t="n"/>
      <c r="F1145" s="27">
        <f>F1143-F1144</f>
        <v/>
      </c>
      <c r="G1145" s="22" t="n"/>
    </row>
    <row r="1146">
      <c r="A1146" s="29" t="inlineStr">
        <is>
          <t>SAY (Rs.) - final DAR rate as printed (fixed value, not computed)</t>
        </is>
      </c>
      <c r="B1146" s="30" t="n"/>
      <c r="C1146" s="30" t="n"/>
      <c r="D1146" s="30" t="n"/>
      <c r="E1146" s="30" t="n"/>
      <c r="F1146" s="31" t="n">
        <v>190.5</v>
      </c>
      <c r="G1146" s="30" t="n"/>
    </row>
    <row r="1148" ht="18.5" customHeight="1">
      <c r="A1148" s="8" t="inlineStr">
        <is>
          <t>5.29</t>
        </is>
      </c>
      <c r="B1148" s="17" t="inlineStr">
        <is>
          <t>Providing and fixing sheet covering over expansion joints with iron screws as per design.</t>
        </is>
      </c>
      <c r="C1148" s="9" t="n"/>
      <c r="D1148" s="9" t="n"/>
      <c r="E1148" s="9" t="n"/>
      <c r="F1148" s="9" t="n"/>
      <c r="G1148" s="9" t="n"/>
    </row>
    <row r="1149" ht="18.5" customHeight="1">
      <c r="A1149" s="8" t="inlineStr">
        <is>
          <t>5.29.1</t>
        </is>
      </c>
      <c r="B1149" s="17" t="inlineStr">
        <is>
          <t>Non-asbestos fibre cement board 6 mm thick as per IS: 14862.</t>
        </is>
      </c>
      <c r="C1149" s="9" t="n"/>
      <c r="D1149" s="9" t="n"/>
      <c r="E1149" s="9" t="n"/>
      <c r="F1149" s="9" t="n"/>
      <c r="G1149" s="9" t="n"/>
    </row>
    <row r="1150" ht="18.5" customHeight="1">
      <c r="A1150" s="18" t="inlineStr">
        <is>
          <t>5.29.1.2</t>
        </is>
      </c>
      <c r="B1150" s="19" t="inlineStr">
        <is>
          <t>200mm wide</t>
        </is>
      </c>
      <c r="C1150" s="20" t="n"/>
      <c r="D1150" s="20" t="n"/>
      <c r="E1150" s="20" t="n"/>
      <c r="F1150" s="20" t="n"/>
      <c r="G1150" s="20" t="n"/>
    </row>
    <row r="1151">
      <c r="A1151" s="21" t="inlineStr">
        <is>
          <t>Details of cost for 3 metre   |   Source: CivilDAR_2019_Vol_1.pdf, page 246</t>
        </is>
      </c>
    </row>
    <row r="1152">
      <c r="A1152" s="5" t="inlineStr">
        <is>
          <t>Code</t>
        </is>
      </c>
      <c r="B1152" s="5" t="inlineStr">
        <is>
          <t>Description</t>
        </is>
      </c>
      <c r="C1152" s="5" t="inlineStr">
        <is>
          <t>Unit</t>
        </is>
      </c>
      <c r="D1152" s="5" t="inlineStr">
        <is>
          <t>Quantity</t>
        </is>
      </c>
      <c r="E1152" s="5" t="inlineStr">
        <is>
          <t>Rate (Rs.)</t>
        </is>
      </c>
      <c r="F1152" s="5" t="inlineStr">
        <is>
          <t>Amount (Rs.)</t>
        </is>
      </c>
      <c r="G1152" s="5" t="inlineStr">
        <is>
          <t>Note</t>
        </is>
      </c>
    </row>
    <row r="1153">
      <c r="A1153" s="22" t="inlineStr">
        <is>
          <t>0236</t>
        </is>
      </c>
      <c r="B1153" s="11" t="inlineStr">
        <is>
          <t>Non - Asbestos multi purpose fibre (high impact poly propelene reinforced) cement board 6mm thick.</t>
        </is>
      </c>
      <c r="C1153" s="22" t="inlineStr">
        <is>
          <t>sqm</t>
        </is>
      </c>
      <c r="D1153" s="23" t="n">
        <v>0.63</v>
      </c>
      <c r="E1153" s="24" t="n">
        <v>210</v>
      </c>
      <c r="F1153" s="24">
        <f>D1153*E1153</f>
        <v/>
      </c>
      <c r="G1153" s="22" t="n"/>
    </row>
    <row r="1154">
      <c r="A1154" s="22" t="inlineStr">
        <is>
          <t>2273</t>
        </is>
      </c>
      <c r="B1154" s="11" t="inlineStr">
        <is>
          <t>Carriage of A.C.sheet and accessories</t>
        </is>
      </c>
      <c r="C1154" s="22" t="inlineStr">
        <is>
          <t>tonne</t>
        </is>
      </c>
      <c r="D1154" s="23" t="n">
        <v>0.0065</v>
      </c>
      <c r="E1154" s="24" t="n">
        <v>92.23999999999999</v>
      </c>
      <c r="F1154" s="24">
        <f>D1154*E1154</f>
        <v/>
      </c>
      <c r="G1154" s="22" t="n"/>
    </row>
    <row r="1155">
      <c r="A1155" s="22" t="inlineStr">
        <is>
          <t>9999</t>
        </is>
      </c>
      <c r="B1155" s="11" t="inlineStr">
        <is>
          <t>50mm iron screws with washer and rawl plugs</t>
        </is>
      </c>
      <c r="C1155" s="22" t="inlineStr">
        <is>
          <t>L.S.</t>
        </is>
      </c>
      <c r="D1155" s="23" t="n">
        <v>53.82</v>
      </c>
      <c r="E1155" s="24" t="n">
        <v>2</v>
      </c>
      <c r="F1155" s="24">
        <f>D1155*E1155</f>
        <v/>
      </c>
      <c r="G1155" s="22" t="n"/>
    </row>
    <row r="1156">
      <c r="A1156" s="22" t="inlineStr">
        <is>
          <t>0112</t>
        </is>
      </c>
      <c r="B1156" s="11" t="inlineStr">
        <is>
          <t>Carpenter 2nd class</t>
        </is>
      </c>
      <c r="C1156" s="22" t="inlineStr">
        <is>
          <t>day</t>
        </is>
      </c>
      <c r="D1156" s="23" t="n">
        <v>0.27</v>
      </c>
      <c r="E1156" s="24" t="n">
        <v>679</v>
      </c>
      <c r="F1156" s="24">
        <f>D1156*E1156</f>
        <v/>
      </c>
      <c r="G1156" s="22" t="n"/>
    </row>
    <row r="1157">
      <c r="A1157" s="22" t="inlineStr">
        <is>
          <t>0114</t>
        </is>
      </c>
      <c r="B1157" s="11" t="inlineStr">
        <is>
          <t>Beldar</t>
        </is>
      </c>
      <c r="C1157" s="22" t="inlineStr">
        <is>
          <t>day</t>
        </is>
      </c>
      <c r="D1157" s="23" t="n">
        <v>0.27</v>
      </c>
      <c r="E1157" s="24" t="n">
        <v>558</v>
      </c>
      <c r="F1157" s="24">
        <f>D1157*E1157</f>
        <v/>
      </c>
      <c r="G1157" s="22" t="n"/>
    </row>
    <row r="1158">
      <c r="A1158" s="8" t="inlineStr">
        <is>
          <t>Calculated W - SUM of the Amount column above</t>
        </is>
      </c>
      <c r="B1158" s="9" t="n"/>
      <c r="C1158" s="9" t="n"/>
      <c r="D1158" s="9" t="n"/>
      <c r="E1158" s="9" t="n"/>
      <c r="F1158" s="25">
        <f>SUM(F1153:F1157)</f>
        <v/>
      </c>
      <c r="G1158" s="9" t="n"/>
    </row>
    <row r="1159">
      <c r="A1159" s="26" t="inlineStr">
        <is>
          <t>W as printed in the DAR</t>
        </is>
      </c>
      <c r="B1159" s="22" t="n"/>
      <c r="C1159" s="22" t="n"/>
      <c r="D1159" s="22" t="n"/>
      <c r="E1159" s="22" t="n"/>
      <c r="F1159" s="27" t="n">
        <v>574.53</v>
      </c>
      <c r="G1159" s="22" t="n"/>
    </row>
    <row r="1160">
      <c r="A1160" s="26" t="inlineStr">
        <is>
          <t>Difference (calculated - printed)</t>
        </is>
      </c>
      <c r="B1160" s="22" t="n"/>
      <c r="C1160" s="22" t="n"/>
      <c r="D1160" s="22" t="n"/>
      <c r="E1160" s="22" t="n"/>
      <c r="F1160" s="27">
        <f>F1158-F1159</f>
        <v/>
      </c>
      <c r="G1160" s="22" t="n"/>
    </row>
    <row r="1161">
      <c r="A1161" s="29" t="inlineStr">
        <is>
          <t>SAY (Rs.) - final DAR rate as printed (fixed value, not computed)</t>
        </is>
      </c>
      <c r="B1161" s="30" t="n"/>
      <c r="C1161" s="30" t="n"/>
      <c r="D1161" s="30" t="n"/>
      <c r="E1161" s="30" t="n"/>
      <c r="F1161" s="31" t="n">
        <v>256.25</v>
      </c>
      <c r="G1161" s="30" t="n"/>
    </row>
    <row r="1163" ht="18.5" customHeight="1">
      <c r="A1163" s="8" t="inlineStr">
        <is>
          <t>5.29</t>
        </is>
      </c>
      <c r="B1163" s="17" t="inlineStr">
        <is>
          <t>Providing and fixing sheet covering over expansion joints with iron screws as per design.</t>
        </is>
      </c>
      <c r="C1163" s="9" t="n"/>
      <c r="D1163" s="9" t="n"/>
      <c r="E1163" s="9" t="n"/>
      <c r="F1163" s="9" t="n"/>
      <c r="G1163" s="9" t="n"/>
    </row>
    <row r="1164" ht="18.5" customHeight="1">
      <c r="A1164" s="8" t="inlineStr">
        <is>
          <t>5.29.2</t>
        </is>
      </c>
      <c r="B1164" s="17" t="inlineStr">
        <is>
          <t>Aluminium fluted strips 3.15 mm thick.</t>
        </is>
      </c>
      <c r="C1164" s="9" t="n"/>
      <c r="D1164" s="9" t="n"/>
      <c r="E1164" s="9" t="n"/>
      <c r="F1164" s="9" t="n"/>
      <c r="G1164" s="9" t="n"/>
    </row>
    <row r="1165" ht="18.5" customHeight="1">
      <c r="A1165" s="18" t="inlineStr">
        <is>
          <t>5.29.2.1</t>
        </is>
      </c>
      <c r="B1165" s="19" t="inlineStr">
        <is>
          <t>150 mm wide</t>
        </is>
      </c>
      <c r="C1165" s="20" t="n"/>
      <c r="D1165" s="20" t="n"/>
      <c r="E1165" s="20" t="n"/>
      <c r="F1165" s="20" t="n"/>
      <c r="G1165" s="20" t="n"/>
    </row>
    <row r="1166">
      <c r="A1166" s="21" t="inlineStr">
        <is>
          <t>Details of cost for 1 metre   |   Source: CivilDAR_2019_Vol_1.pdf, page 246</t>
        </is>
      </c>
    </row>
    <row r="1167">
      <c r="A1167" s="5" t="inlineStr">
        <is>
          <t>Code</t>
        </is>
      </c>
      <c r="B1167" s="5" t="inlineStr">
        <is>
          <t>Description</t>
        </is>
      </c>
      <c r="C1167" s="5" t="inlineStr">
        <is>
          <t>Unit</t>
        </is>
      </c>
      <c r="D1167" s="5" t="inlineStr">
        <is>
          <t>Quantity</t>
        </is>
      </c>
      <c r="E1167" s="5" t="inlineStr">
        <is>
          <t>Rate (Rs.)</t>
        </is>
      </c>
      <c r="F1167" s="5" t="inlineStr">
        <is>
          <t>Amount (Rs.)</t>
        </is>
      </c>
      <c r="G1167" s="5" t="inlineStr">
        <is>
          <t>Note</t>
        </is>
      </c>
    </row>
    <row r="1168">
      <c r="A1168" s="22" t="inlineStr">
        <is>
          <t>2391</t>
        </is>
      </c>
      <c r="B1168" s="11" t="inlineStr">
        <is>
          <t>Strips-Aluminium fluted 3.15mm thick and 150mm wide</t>
        </is>
      </c>
      <c r="C1168" s="22" t="inlineStr">
        <is>
          <t>metre</t>
        </is>
      </c>
      <c r="D1168" s="23" t="n">
        <v>1</v>
      </c>
      <c r="E1168" s="24" t="n">
        <v>278</v>
      </c>
      <c r="F1168" s="24">
        <f>D1168*E1168</f>
        <v/>
      </c>
      <c r="G1168" s="22" t="n"/>
    </row>
    <row r="1169">
      <c r="A1169" s="22" t="inlineStr">
        <is>
          <t>0639</t>
        </is>
      </c>
      <c r="B1169" s="11" t="inlineStr">
        <is>
          <t>Bright finished or black enamelled mild steel screws 25 mm</t>
        </is>
      </c>
      <c r="C1169" s="22" t="inlineStr">
        <is>
          <t>100 Nos</t>
        </is>
      </c>
      <c r="D1169" s="23" t="n">
        <v>0.06</v>
      </c>
      <c r="E1169" s="24" t="n">
        <v>36</v>
      </c>
      <c r="F1169" s="24">
        <f>D1169*E1169</f>
        <v/>
      </c>
      <c r="G1169" s="22" t="n"/>
    </row>
    <row r="1170">
      <c r="A1170" s="22" t="inlineStr">
        <is>
          <t>9977</t>
        </is>
      </c>
      <c r="B1170" s="11" t="inlineStr">
        <is>
          <t>Carriage of materials</t>
        </is>
      </c>
      <c r="C1170" s="22" t="inlineStr">
        <is>
          <t>L.S.</t>
        </is>
      </c>
      <c r="D1170" s="23" t="n">
        <v>1.04</v>
      </c>
      <c r="E1170" s="24" t="n">
        <v>2</v>
      </c>
      <c r="F1170" s="24">
        <f>D1170*E1170</f>
        <v/>
      </c>
      <c r="G1170" s="22" t="n"/>
    </row>
    <row r="1171">
      <c r="A1171" s="22" t="inlineStr">
        <is>
          <t>0112</t>
        </is>
      </c>
      <c r="B1171" s="11" t="inlineStr">
        <is>
          <t>Carpenter 2nd class</t>
        </is>
      </c>
      <c r="C1171" s="22" t="inlineStr">
        <is>
          <t>day</t>
        </is>
      </c>
      <c r="D1171" s="23" t="n">
        <v>0.067</v>
      </c>
      <c r="E1171" s="24" t="n">
        <v>679</v>
      </c>
      <c r="F1171" s="24">
        <f>D1171*E1171</f>
        <v/>
      </c>
      <c r="G1171" s="22" t="n"/>
    </row>
    <row r="1172">
      <c r="A1172" s="22" t="inlineStr">
        <is>
          <t>0114</t>
        </is>
      </c>
      <c r="B1172" s="11" t="inlineStr">
        <is>
          <t>Beldar</t>
        </is>
      </c>
      <c r="C1172" s="22" t="inlineStr">
        <is>
          <t>day</t>
        </is>
      </c>
      <c r="D1172" s="23" t="n">
        <v>0.067</v>
      </c>
      <c r="E1172" s="24" t="n">
        <v>558</v>
      </c>
      <c r="F1172" s="24">
        <f>D1172*E1172</f>
        <v/>
      </c>
      <c r="G1172" s="22" t="n"/>
    </row>
    <row r="1173">
      <c r="A1173" s="22" t="inlineStr">
        <is>
          <t>9999</t>
        </is>
      </c>
      <c r="B1173" s="11" t="inlineStr">
        <is>
          <t>Sundries</t>
        </is>
      </c>
      <c r="C1173" s="22" t="inlineStr">
        <is>
          <t>L.S.</t>
        </is>
      </c>
      <c r="D1173" s="23" t="n">
        <v>1.82</v>
      </c>
      <c r="E1173" s="24" t="n">
        <v>2</v>
      </c>
      <c r="F1173" s="24">
        <f>D1173*E1173</f>
        <v/>
      </c>
      <c r="G1173" s="22" t="n"/>
    </row>
    <row r="1174">
      <c r="A1174" s="8" t="inlineStr">
        <is>
          <t>Calculated W - SUM of the Amount column above</t>
        </is>
      </c>
      <c r="B1174" s="9" t="n"/>
      <c r="C1174" s="9" t="n"/>
      <c r="D1174" s="9" t="n"/>
      <c r="E1174" s="9" t="n"/>
      <c r="F1174" s="25">
        <f>SUM(F1168:F1173)</f>
        <v/>
      </c>
      <c r="G1174" s="9" t="n"/>
    </row>
    <row r="1175">
      <c r="A1175" s="26" t="inlineStr">
        <is>
          <t>W as printed in the DAR</t>
        </is>
      </c>
      <c r="B1175" s="22" t="n"/>
      <c r="C1175" s="22" t="n"/>
      <c r="D1175" s="22" t="n"/>
      <c r="E1175" s="22" t="n"/>
      <c r="F1175" s="27" t="n">
        <v>368.76</v>
      </c>
      <c r="G1175" s="22" t="n"/>
    </row>
    <row r="1176">
      <c r="A1176" s="26" t="inlineStr">
        <is>
          <t>Difference (calculated - printed)</t>
        </is>
      </c>
      <c r="B1176" s="22" t="n"/>
      <c r="C1176" s="22" t="n"/>
      <c r="D1176" s="22" t="n"/>
      <c r="E1176" s="22" t="n"/>
      <c r="F1176" s="27">
        <f>F1174-F1175</f>
        <v/>
      </c>
      <c r="G1176" s="22" t="n"/>
    </row>
    <row r="1177">
      <c r="A1177" s="29" t="inlineStr">
        <is>
          <t>SAY (Rs.) - final DAR rate as printed (fixed value, not computed)</t>
        </is>
      </c>
      <c r="B1177" s="30" t="n"/>
      <c r="C1177" s="30" t="n"/>
      <c r="D1177" s="30" t="n"/>
      <c r="E1177" s="30" t="n"/>
      <c r="F1177" s="31" t="n">
        <v>493.4</v>
      </c>
      <c r="G1177" s="30" t="n"/>
    </row>
    <row r="1179" ht="18.5" customHeight="1">
      <c r="A1179" s="8" t="inlineStr">
        <is>
          <t>5.29</t>
        </is>
      </c>
      <c r="B1179" s="17" t="inlineStr">
        <is>
          <t>Providing and fixing sheet covering over expansion joints with iron screws as per design.</t>
        </is>
      </c>
      <c r="C1179" s="9" t="n"/>
      <c r="D1179" s="9" t="n"/>
      <c r="E1179" s="9" t="n"/>
      <c r="F1179" s="9" t="n"/>
      <c r="G1179" s="9" t="n"/>
    </row>
    <row r="1180" ht="18.5" customHeight="1">
      <c r="A1180" s="8" t="inlineStr">
        <is>
          <t>5.29.2</t>
        </is>
      </c>
      <c r="B1180" s="17" t="inlineStr">
        <is>
          <t>Aluminium fluted strips 3.15 mm thick.</t>
        </is>
      </c>
      <c r="C1180" s="9" t="n"/>
      <c r="D1180" s="9" t="n"/>
      <c r="E1180" s="9" t="n"/>
      <c r="F1180" s="9" t="n"/>
      <c r="G1180" s="9" t="n"/>
    </row>
    <row r="1181" ht="18.5" customHeight="1">
      <c r="A1181" s="18" t="inlineStr">
        <is>
          <t>5.29.2.2</t>
        </is>
      </c>
      <c r="B1181" s="19" t="inlineStr">
        <is>
          <t>200 mm wide</t>
        </is>
      </c>
      <c r="C1181" s="20" t="n"/>
      <c r="D1181" s="20" t="n"/>
      <c r="E1181" s="20" t="n"/>
      <c r="F1181" s="20" t="n"/>
      <c r="G1181" s="20" t="n"/>
    </row>
    <row r="1182">
      <c r="A1182" s="21" t="inlineStr">
        <is>
          <t>Details of cost for 1 metre   |   Source: CivilDAR_2019_Vol_1.pdf, page 247</t>
        </is>
      </c>
    </row>
    <row r="1183">
      <c r="A1183" s="5" t="inlineStr">
        <is>
          <t>Code</t>
        </is>
      </c>
      <c r="B1183" s="5" t="inlineStr">
        <is>
          <t>Description</t>
        </is>
      </c>
      <c r="C1183" s="5" t="inlineStr">
        <is>
          <t>Unit</t>
        </is>
      </c>
      <c r="D1183" s="5" t="inlineStr">
        <is>
          <t>Quantity</t>
        </is>
      </c>
      <c r="E1183" s="5" t="inlineStr">
        <is>
          <t>Rate (Rs.)</t>
        </is>
      </c>
      <c r="F1183" s="5" t="inlineStr">
        <is>
          <t>Amount (Rs.)</t>
        </is>
      </c>
      <c r="G1183" s="5" t="inlineStr">
        <is>
          <t>Note</t>
        </is>
      </c>
    </row>
    <row r="1184">
      <c r="A1184" s="22" t="inlineStr">
        <is>
          <t>2392</t>
        </is>
      </c>
      <c r="B1184" s="11" t="inlineStr">
        <is>
          <t>Strips Aluminium fluted 3.15mm thick and 200mm wide metre</t>
        </is>
      </c>
      <c r="C1184" s="22" t="inlineStr">
        <is>
          <t>metre</t>
        </is>
      </c>
      <c r="D1184" s="23" t="n">
        <v>1</v>
      </c>
      <c r="E1184" s="24" t="n">
        <v>370</v>
      </c>
      <c r="F1184" s="24">
        <f>D1184*E1184</f>
        <v/>
      </c>
      <c r="G1184" s="22" t="n"/>
    </row>
    <row r="1185">
      <c r="A1185" s="22" t="inlineStr">
        <is>
          <t>0639</t>
        </is>
      </c>
      <c r="B1185" s="11" t="inlineStr">
        <is>
          <t>Bright finished or black enamelled mild steel screws 25 mm</t>
        </is>
      </c>
      <c r="C1185" s="22" t="inlineStr">
        <is>
          <t>100 Nos</t>
        </is>
      </c>
      <c r="D1185" s="23" t="n">
        <v>0.06</v>
      </c>
      <c r="E1185" s="24" t="n">
        <v>36</v>
      </c>
      <c r="F1185" s="24">
        <f>D1185*E1185</f>
        <v/>
      </c>
      <c r="G1185" s="22" t="n"/>
    </row>
    <row r="1186">
      <c r="A1186" s="22" t="inlineStr">
        <is>
          <t>9977</t>
        </is>
      </c>
      <c r="B1186" s="11" t="inlineStr">
        <is>
          <t>Carriage of materials</t>
        </is>
      </c>
      <c r="C1186" s="22" t="inlineStr">
        <is>
          <t>L.S.</t>
        </is>
      </c>
      <c r="D1186" s="23" t="n">
        <v>1.3</v>
      </c>
      <c r="E1186" s="24" t="n">
        <v>2</v>
      </c>
      <c r="F1186" s="24">
        <f>D1186*E1186</f>
        <v/>
      </c>
      <c r="G1186" s="22" t="n"/>
    </row>
    <row r="1187">
      <c r="A1187" s="22" t="inlineStr">
        <is>
          <t>0112</t>
        </is>
      </c>
      <c r="B1187" s="11" t="inlineStr">
        <is>
          <t>Carpenter 2nd class</t>
        </is>
      </c>
      <c r="C1187" s="22" t="inlineStr">
        <is>
          <t>day</t>
        </is>
      </c>
      <c r="D1187" s="23" t="n">
        <v>0.089</v>
      </c>
      <c r="E1187" s="24" t="n">
        <v>679</v>
      </c>
      <c r="F1187" s="24">
        <f>D1187*E1187</f>
        <v/>
      </c>
      <c r="G1187" s="22" t="n"/>
    </row>
    <row r="1188">
      <c r="A1188" s="22" t="inlineStr">
        <is>
          <t>0114</t>
        </is>
      </c>
      <c r="B1188" s="11" t="inlineStr">
        <is>
          <t>Beldar</t>
        </is>
      </c>
      <c r="C1188" s="22" t="inlineStr">
        <is>
          <t>day</t>
        </is>
      </c>
      <c r="D1188" s="23" t="n">
        <v>0.089</v>
      </c>
      <c r="E1188" s="24" t="n">
        <v>558</v>
      </c>
      <c r="F1188" s="24">
        <f>D1188*E1188</f>
        <v/>
      </c>
      <c r="G1188" s="22" t="n"/>
    </row>
    <row r="1189">
      <c r="A1189" s="22" t="inlineStr">
        <is>
          <t>9999</t>
        </is>
      </c>
      <c r="B1189" s="11" t="inlineStr">
        <is>
          <t>Sundries</t>
        </is>
      </c>
      <c r="C1189" s="22" t="inlineStr">
        <is>
          <t>L.S.</t>
        </is>
      </c>
      <c r="D1189" s="23" t="n">
        <v>2.34</v>
      </c>
      <c r="E1189" s="24" t="n">
        <v>2</v>
      </c>
      <c r="F1189" s="24">
        <f>D1189*E1189</f>
        <v/>
      </c>
      <c r="G1189" s="22" t="n"/>
    </row>
    <row r="1190">
      <c r="A1190" s="8" t="inlineStr">
        <is>
          <t>Calculated W - SUM of the Amount column above</t>
        </is>
      </c>
      <c r="B1190" s="9" t="n"/>
      <c r="C1190" s="9" t="n"/>
      <c r="D1190" s="9" t="n"/>
      <c r="E1190" s="9" t="n"/>
      <c r="F1190" s="25">
        <f>SUM(F1184:F1189)</f>
        <v/>
      </c>
      <c r="G1190" s="9" t="n"/>
    </row>
    <row r="1191">
      <c r="A1191" s="26" t="inlineStr">
        <is>
          <t>W as printed in the DAR</t>
        </is>
      </c>
      <c r="B1191" s="22" t="n"/>
      <c r="C1191" s="22" t="n"/>
      <c r="D1191" s="22" t="n"/>
      <c r="E1191" s="22" t="n"/>
      <c r="F1191" s="27" t="n">
        <v>489.53</v>
      </c>
      <c r="G1191" s="22" t="n"/>
    </row>
    <row r="1192">
      <c r="A1192" s="26" t="inlineStr">
        <is>
          <t>Difference (calculated - printed)</t>
        </is>
      </c>
      <c r="B1192" s="22" t="n"/>
      <c r="C1192" s="22" t="n"/>
      <c r="D1192" s="22" t="n"/>
      <c r="E1192" s="22" t="n"/>
      <c r="F1192" s="27">
        <f>F1190-F1191</f>
        <v/>
      </c>
      <c r="G1192" s="22" t="n"/>
    </row>
    <row r="1193">
      <c r="A1193" s="29" t="inlineStr">
        <is>
          <t>SAY (Rs.) - final DAR rate as printed (fixed value, not computed)</t>
        </is>
      </c>
      <c r="B1193" s="30" t="n"/>
      <c r="C1193" s="30" t="n"/>
      <c r="D1193" s="30" t="n"/>
      <c r="E1193" s="30" t="n"/>
      <c r="F1193" s="31" t="n">
        <v>654.95</v>
      </c>
      <c r="G1193" s="30" t="n"/>
    </row>
    <row r="1195" ht="18.5" customHeight="1">
      <c r="A1195" s="8" t="inlineStr">
        <is>
          <t>5.29</t>
        </is>
      </c>
      <c r="B1195" s="17" t="inlineStr">
        <is>
          <t>Providing and fixing sheet covering over expansion joints with iron screws as per design.</t>
        </is>
      </c>
      <c r="C1195" s="9" t="n"/>
      <c r="D1195" s="9" t="n"/>
      <c r="E1195" s="9" t="n"/>
      <c r="F1195" s="9" t="n"/>
      <c r="G1195" s="9" t="n"/>
    </row>
    <row r="1196" ht="18.5" customHeight="1">
      <c r="A1196" s="8" t="inlineStr">
        <is>
          <t>5.29.3</t>
        </is>
      </c>
      <c r="B1196" s="17" t="inlineStr">
        <is>
          <t>Cement bonded wood particle board 6mm thick as per IS : 14276</t>
        </is>
      </c>
      <c r="C1196" s="9" t="n"/>
      <c r="D1196" s="9" t="n"/>
      <c r="E1196" s="9" t="n"/>
      <c r="F1196" s="9" t="n"/>
      <c r="G1196" s="9" t="n"/>
    </row>
    <row r="1197" ht="18.5" customHeight="1">
      <c r="A1197" s="18" t="inlineStr">
        <is>
          <t>5.29.3.1</t>
        </is>
      </c>
      <c r="B1197" s="19" t="inlineStr">
        <is>
          <t>150 mm wide</t>
        </is>
      </c>
      <c r="C1197" s="20" t="n"/>
      <c r="D1197" s="20" t="n"/>
      <c r="E1197" s="20" t="n"/>
      <c r="F1197" s="20" t="n"/>
      <c r="G1197" s="20" t="n"/>
    </row>
    <row r="1198">
      <c r="A1198" s="21" t="inlineStr">
        <is>
          <t>Details of cost for 3 metre   |   Source: CivilDAR_2019_Vol_1.pdf, page 247</t>
        </is>
      </c>
    </row>
    <row r="1199">
      <c r="A1199" s="5" t="inlineStr">
        <is>
          <t>Code</t>
        </is>
      </c>
      <c r="B1199" s="5" t="inlineStr">
        <is>
          <t>Description</t>
        </is>
      </c>
      <c r="C1199" s="5" t="inlineStr">
        <is>
          <t>Unit</t>
        </is>
      </c>
      <c r="D1199" s="5" t="inlineStr">
        <is>
          <t>Quantity</t>
        </is>
      </c>
      <c r="E1199" s="5" t="inlineStr">
        <is>
          <t>Rate (Rs.)</t>
        </is>
      </c>
      <c r="F1199" s="5" t="inlineStr">
        <is>
          <t>Amount (Rs.)</t>
        </is>
      </c>
      <c r="G1199" s="5" t="inlineStr">
        <is>
          <t>Note</t>
        </is>
      </c>
    </row>
    <row r="1200">
      <c r="A1200" s="22" t="inlineStr">
        <is>
          <t>0242</t>
        </is>
      </c>
      <c r="B1200" s="11" t="inlineStr">
        <is>
          <t>Multi purpose cement bonded wood particle board 6 mm thick</t>
        </is>
      </c>
      <c r="C1200" s="22" t="inlineStr">
        <is>
          <t>sqm</t>
        </is>
      </c>
      <c r="D1200" s="23" t="n">
        <v>0.47</v>
      </c>
      <c r="E1200" s="24" t="n">
        <v>195</v>
      </c>
      <c r="F1200" s="24">
        <f>D1200*E1200</f>
        <v/>
      </c>
      <c r="G1200" s="22" t="n"/>
    </row>
    <row r="1201">
      <c r="A1201" s="22" t="inlineStr">
        <is>
          <t>2273</t>
        </is>
      </c>
      <c r="B1201" s="11" t="inlineStr">
        <is>
          <t>Carriage of board and accessories</t>
        </is>
      </c>
      <c r="C1201" s="22" t="inlineStr">
        <is>
          <t>tonne</t>
        </is>
      </c>
      <c r="D1201" s="23" t="n">
        <v>0.005</v>
      </c>
      <c r="E1201" s="24" t="n">
        <v>92.23999999999999</v>
      </c>
      <c r="F1201" s="24">
        <f>D1201*E1201</f>
        <v/>
      </c>
      <c r="G1201" s="22" t="n"/>
    </row>
    <row r="1202">
      <c r="A1202" s="22" t="inlineStr">
        <is>
          <t>9999</t>
        </is>
      </c>
      <c r="B1202" s="11" t="inlineStr">
        <is>
          <t>50mm iron screws with washer and rawl plugs</t>
        </is>
      </c>
      <c r="C1202" s="22" t="inlineStr">
        <is>
          <t>L.S</t>
        </is>
      </c>
      <c r="D1202" s="23" t="n">
        <v>40.3</v>
      </c>
      <c r="E1202" s="24" t="n">
        <v>2</v>
      </c>
      <c r="F1202" s="24">
        <f>D1202*E1202</f>
        <v/>
      </c>
      <c r="G1202" s="22" t="n"/>
    </row>
    <row r="1203">
      <c r="A1203" s="22" t="inlineStr">
        <is>
          <t>0112</t>
        </is>
      </c>
      <c r="B1203" s="11" t="inlineStr">
        <is>
          <t>Carpenter 2nd class</t>
        </is>
      </c>
      <c r="C1203" s="22" t="inlineStr">
        <is>
          <t>day</t>
        </is>
      </c>
      <c r="D1203" s="23" t="n">
        <v>0.2</v>
      </c>
      <c r="E1203" s="24" t="n">
        <v>679</v>
      </c>
      <c r="F1203" s="24">
        <f>D1203*E1203</f>
        <v/>
      </c>
      <c r="G1203" s="22" t="n"/>
    </row>
    <row r="1204">
      <c r="A1204" s="22" t="inlineStr">
        <is>
          <t>0114</t>
        </is>
      </c>
      <c r="B1204" s="11" t="inlineStr">
        <is>
          <t>Beldar</t>
        </is>
      </c>
      <c r="C1204" s="22" t="inlineStr">
        <is>
          <t>day</t>
        </is>
      </c>
      <c r="D1204" s="23" t="n">
        <v>0.2</v>
      </c>
      <c r="E1204" s="24" t="n">
        <v>558</v>
      </c>
      <c r="F1204" s="24">
        <f>D1204*E1204</f>
        <v/>
      </c>
      <c r="G1204" s="22" t="n"/>
    </row>
    <row r="1205">
      <c r="A1205" s="8" t="inlineStr">
        <is>
          <t>Calculated W - SUM of the Amount column above</t>
        </is>
      </c>
      <c r="B1205" s="9" t="n"/>
      <c r="C1205" s="9" t="n"/>
      <c r="D1205" s="9" t="n"/>
      <c r="E1205" s="9" t="n"/>
      <c r="F1205" s="25">
        <f>SUM(F1200:F1204)</f>
        <v/>
      </c>
      <c r="G1205" s="9" t="n"/>
    </row>
    <row r="1206">
      <c r="A1206" s="26" t="inlineStr">
        <is>
          <t>W as printed in the DAR</t>
        </is>
      </c>
      <c r="B1206" s="22" t="n"/>
      <c r="C1206" s="22" t="n"/>
      <c r="D1206" s="22" t="n"/>
      <c r="E1206" s="22" t="n"/>
      <c r="F1206" s="27" t="n">
        <v>420.11</v>
      </c>
      <c r="G1206" s="22" t="n"/>
    </row>
    <row r="1207">
      <c r="A1207" s="26" t="inlineStr">
        <is>
          <t>Difference (calculated - printed)</t>
        </is>
      </c>
      <c r="B1207" s="22" t="n"/>
      <c r="C1207" s="22" t="n"/>
      <c r="D1207" s="22" t="n"/>
      <c r="E1207" s="22" t="n"/>
      <c r="F1207" s="27">
        <f>F1205-F1206</f>
        <v/>
      </c>
      <c r="G1207" s="22" t="n"/>
    </row>
    <row r="1208">
      <c r="A1208" s="29" t="inlineStr">
        <is>
          <t>SAY (Rs.) - final DAR rate as printed (fixed value, not computed)</t>
        </is>
      </c>
      <c r="B1208" s="30" t="n"/>
      <c r="C1208" s="30" t="n"/>
      <c r="D1208" s="30" t="n"/>
      <c r="E1208" s="30" t="n"/>
      <c r="F1208" s="31" t="n">
        <v>187.35</v>
      </c>
      <c r="G1208" s="30" t="n"/>
    </row>
    <row r="1210" ht="18.5" customHeight="1">
      <c r="A1210" s="8" t="inlineStr">
        <is>
          <t>5.29</t>
        </is>
      </c>
      <c r="B1210" s="17" t="inlineStr">
        <is>
          <t>Providing and fixing sheet covering over expansion joints with iron screws as per design.</t>
        </is>
      </c>
      <c r="C1210" s="9" t="n"/>
      <c r="D1210" s="9" t="n"/>
      <c r="E1210" s="9" t="n"/>
      <c r="F1210" s="9" t="n"/>
      <c r="G1210" s="9" t="n"/>
    </row>
    <row r="1211" ht="18.5" customHeight="1">
      <c r="A1211" s="8" t="inlineStr">
        <is>
          <t>5.29.3</t>
        </is>
      </c>
      <c r="B1211" s="17" t="inlineStr">
        <is>
          <t>Cement bonded wood particle board 6mm thick as per IS : 14276</t>
        </is>
      </c>
      <c r="C1211" s="9" t="n"/>
      <c r="D1211" s="9" t="n"/>
      <c r="E1211" s="9" t="n"/>
      <c r="F1211" s="9" t="n"/>
      <c r="G1211" s="9" t="n"/>
    </row>
    <row r="1212" ht="18.5" customHeight="1">
      <c r="A1212" s="18" t="inlineStr">
        <is>
          <t>5.29.3.2</t>
        </is>
      </c>
      <c r="B1212" s="19" t="inlineStr">
        <is>
          <t>200 mm wide</t>
        </is>
      </c>
      <c r="C1212" s="20" t="n"/>
      <c r="D1212" s="20" t="n"/>
      <c r="E1212" s="20" t="n"/>
      <c r="F1212" s="20" t="n"/>
      <c r="G1212" s="20" t="n"/>
    </row>
    <row r="1213">
      <c r="A1213" s="21" t="inlineStr">
        <is>
          <t>Details of cost for 3 metre   |   Source: CivilDAR_2019_Vol_1.pdf, page 248</t>
        </is>
      </c>
    </row>
    <row r="1214">
      <c r="A1214" s="5" t="inlineStr">
        <is>
          <t>Code</t>
        </is>
      </c>
      <c r="B1214" s="5" t="inlineStr">
        <is>
          <t>Description</t>
        </is>
      </c>
      <c r="C1214" s="5" t="inlineStr">
        <is>
          <t>Unit</t>
        </is>
      </c>
      <c r="D1214" s="5" t="inlineStr">
        <is>
          <t>Quantity</t>
        </is>
      </c>
      <c r="E1214" s="5" t="inlineStr">
        <is>
          <t>Rate (Rs.)</t>
        </is>
      </c>
      <c r="F1214" s="5" t="inlineStr">
        <is>
          <t>Amount (Rs.)</t>
        </is>
      </c>
      <c r="G1214" s="5" t="inlineStr">
        <is>
          <t>Note</t>
        </is>
      </c>
    </row>
    <row r="1215">
      <c r="A1215" s="22" t="inlineStr">
        <is>
          <t>0242</t>
        </is>
      </c>
      <c r="B1215" s="11" t="inlineStr">
        <is>
          <t>Multi purpose cement bonded wood particle board 6 mm thick</t>
        </is>
      </c>
      <c r="C1215" s="22" t="inlineStr">
        <is>
          <t>sqm</t>
        </is>
      </c>
      <c r="D1215" s="23" t="n">
        <v>0.63</v>
      </c>
      <c r="E1215" s="24" t="n">
        <v>195</v>
      </c>
      <c r="F1215" s="24">
        <f>D1215*E1215</f>
        <v/>
      </c>
      <c r="G1215" s="22" t="n"/>
    </row>
    <row r="1216">
      <c r="A1216" s="22" t="inlineStr">
        <is>
          <t>2273</t>
        </is>
      </c>
      <c r="B1216" s="11" t="inlineStr">
        <is>
          <t>Carriage of board and accessories</t>
        </is>
      </c>
      <c r="C1216" s="22" t="inlineStr">
        <is>
          <t>tonne</t>
        </is>
      </c>
      <c r="D1216" s="23" t="n">
        <v>0.0065</v>
      </c>
      <c r="E1216" s="24" t="n">
        <v>92.23999999999999</v>
      </c>
      <c r="F1216" s="24">
        <f>D1216*E1216</f>
        <v/>
      </c>
      <c r="G1216" s="22" t="n"/>
    </row>
    <row r="1217">
      <c r="A1217" s="22" t="inlineStr">
        <is>
          <t>9999</t>
        </is>
      </c>
      <c r="B1217" s="11" t="inlineStr">
        <is>
          <t>50mm iron screws with washer and rawl plugs</t>
        </is>
      </c>
      <c r="C1217" s="22" t="inlineStr">
        <is>
          <t>L.S</t>
        </is>
      </c>
      <c r="D1217" s="23" t="n">
        <v>53.82</v>
      </c>
      <c r="E1217" s="24" t="n">
        <v>2</v>
      </c>
      <c r="F1217" s="24">
        <f>D1217*E1217</f>
        <v/>
      </c>
      <c r="G1217" s="22" t="n"/>
    </row>
    <row r="1218">
      <c r="A1218" s="22" t="inlineStr">
        <is>
          <t>0112</t>
        </is>
      </c>
      <c r="B1218" s="11" t="inlineStr">
        <is>
          <t>Carpenter 2nd class</t>
        </is>
      </c>
      <c r="C1218" s="22" t="inlineStr">
        <is>
          <t>day</t>
        </is>
      </c>
      <c r="D1218" s="23" t="n">
        <v>0.27</v>
      </c>
      <c r="E1218" s="24" t="n">
        <v>679</v>
      </c>
      <c r="F1218" s="24">
        <f>D1218*E1218</f>
        <v/>
      </c>
      <c r="G1218" s="22" t="n"/>
    </row>
    <row r="1219">
      <c r="A1219" s="22" t="inlineStr">
        <is>
          <t>0114</t>
        </is>
      </c>
      <c r="B1219" s="11" t="inlineStr">
        <is>
          <t>Beldar</t>
        </is>
      </c>
      <c r="C1219" s="22" t="inlineStr">
        <is>
          <t>day</t>
        </is>
      </c>
      <c r="D1219" s="23" t="n">
        <v>0.27</v>
      </c>
      <c r="E1219" s="24" t="n">
        <v>558</v>
      </c>
      <c r="F1219" s="24">
        <f>D1219*E1219</f>
        <v/>
      </c>
      <c r="G1219" s="22" t="n"/>
    </row>
    <row r="1220">
      <c r="A1220" s="8" t="inlineStr">
        <is>
          <t>Calculated W - SUM of the Amount column above</t>
        </is>
      </c>
      <c r="B1220" s="9" t="n"/>
      <c r="C1220" s="9" t="n"/>
      <c r="D1220" s="9" t="n"/>
      <c r="E1220" s="9" t="n"/>
      <c r="F1220" s="25">
        <f>SUM(F1215:F1219)</f>
        <v/>
      </c>
      <c r="G1220" s="9" t="n"/>
    </row>
    <row r="1221">
      <c r="A1221" s="26" t="inlineStr">
        <is>
          <t>W as printed in the DAR</t>
        </is>
      </c>
      <c r="B1221" s="22" t="n"/>
      <c r="C1221" s="22" t="n"/>
      <c r="D1221" s="22" t="n"/>
      <c r="E1221" s="22" t="n"/>
      <c r="F1221" s="27" t="n">
        <v>565.08</v>
      </c>
      <c r="G1221" s="22" t="n"/>
    </row>
    <row r="1222">
      <c r="A1222" s="26" t="inlineStr">
        <is>
          <t>Difference (calculated - printed)</t>
        </is>
      </c>
      <c r="B1222" s="22" t="n"/>
      <c r="C1222" s="22" t="n"/>
      <c r="D1222" s="22" t="n"/>
      <c r="E1222" s="22" t="n"/>
      <c r="F1222" s="27">
        <f>F1220-F1221</f>
        <v/>
      </c>
      <c r="G1222" s="22" t="n"/>
    </row>
    <row r="1223">
      <c r="A1223" s="29" t="inlineStr">
        <is>
          <t>SAY (Rs.) - final DAR rate as printed (fixed value, not computed)</t>
        </is>
      </c>
      <c r="B1223" s="30" t="n"/>
      <c r="C1223" s="30" t="n"/>
      <c r="D1223" s="30" t="n"/>
      <c r="E1223" s="30" t="n"/>
      <c r="F1223" s="31" t="n">
        <v>252</v>
      </c>
      <c r="G1223" s="30" t="n"/>
    </row>
    <row r="1225" ht="18.5" customHeight="1">
      <c r="A1225" s="18" t="inlineStr">
        <is>
          <t>5.30</t>
        </is>
      </c>
      <c r="B1225" s="19" t="inlineStr">
        <is>
          <t>Add for plaster drip course/ groove in plastered surface or moulding to R.C.C. projections.</t>
        </is>
      </c>
      <c r="C1225" s="20" t="n"/>
      <c r="D1225" s="20" t="n"/>
      <c r="E1225" s="20" t="n"/>
      <c r="F1225" s="20" t="n"/>
      <c r="G1225" s="20" t="n"/>
    </row>
    <row r="1226">
      <c r="A1226" s="21" t="inlineStr">
        <is>
          <t>Details of cost for 30 metre   |   Source: CivilDAR_2019_Vol_1.pdf, page 248</t>
        </is>
      </c>
    </row>
    <row r="1227">
      <c r="A1227" s="5" t="inlineStr">
        <is>
          <t>Code</t>
        </is>
      </c>
      <c r="B1227" s="5" t="inlineStr">
        <is>
          <t>Description</t>
        </is>
      </c>
      <c r="C1227" s="5" t="inlineStr">
        <is>
          <t>Unit</t>
        </is>
      </c>
      <c r="D1227" s="5" t="inlineStr">
        <is>
          <t>Quantity</t>
        </is>
      </c>
      <c r="E1227" s="5" t="inlineStr">
        <is>
          <t>Rate (Rs.)</t>
        </is>
      </c>
      <c r="F1227" s="5" t="inlineStr">
        <is>
          <t>Amount (Rs.)</t>
        </is>
      </c>
      <c r="G1227" s="5" t="inlineStr">
        <is>
          <t>Note</t>
        </is>
      </c>
    </row>
    <row r="1228">
      <c r="A1228" s="22" t="inlineStr">
        <is>
          <t>0123</t>
        </is>
      </c>
      <c r="B1228" s="11" t="inlineStr">
        <is>
          <t>Mason (brick layer) 1st class</t>
        </is>
      </c>
      <c r="C1228" s="22" t="inlineStr">
        <is>
          <t>day</t>
        </is>
      </c>
      <c r="D1228" s="23" t="n">
        <v>0.5</v>
      </c>
      <c r="E1228" s="24" t="n">
        <v>738</v>
      </c>
      <c r="F1228" s="24">
        <f>D1228*E1228</f>
        <v/>
      </c>
      <c r="G1228" s="22" t="n"/>
    </row>
    <row r="1229">
      <c r="A1229" s="22" t="inlineStr">
        <is>
          <t>0124</t>
        </is>
      </c>
      <c r="B1229" s="11" t="inlineStr">
        <is>
          <t>Mason (brick layer) 2nd class</t>
        </is>
      </c>
      <c r="C1229" s="22" t="inlineStr">
        <is>
          <t>day</t>
        </is>
      </c>
      <c r="D1229" s="23" t="n">
        <v>0.5</v>
      </c>
      <c r="E1229" s="24" t="n">
        <v>679</v>
      </c>
      <c r="F1229" s="24">
        <f>D1229*E1229</f>
        <v/>
      </c>
      <c r="G1229" s="22" t="n"/>
    </row>
    <row r="1230">
      <c r="A1230" s="22" t="inlineStr">
        <is>
          <t>0115</t>
        </is>
      </c>
      <c r="B1230" s="11" t="inlineStr">
        <is>
          <t>Coolie</t>
        </is>
      </c>
      <c r="C1230" s="22" t="inlineStr">
        <is>
          <t>day</t>
        </is>
      </c>
      <c r="D1230" s="23" t="n">
        <v>1</v>
      </c>
      <c r="E1230" s="24" t="n">
        <v>558</v>
      </c>
      <c r="F1230" s="24">
        <f>D1230*E1230</f>
        <v/>
      </c>
      <c r="G1230" s="22" t="n"/>
    </row>
    <row r="1231">
      <c r="A1231" s="22" t="inlineStr">
        <is>
          <t>9999</t>
        </is>
      </c>
      <c r="B1231" s="11" t="inlineStr">
        <is>
          <t>Add for materials (cement mortar etc.)</t>
        </is>
      </c>
      <c r="C1231" s="22" t="inlineStr">
        <is>
          <t>L.S.</t>
        </is>
      </c>
      <c r="D1231" s="23" t="n">
        <v>26.91</v>
      </c>
      <c r="E1231" s="24" t="n">
        <v>2</v>
      </c>
      <c r="F1231" s="24">
        <f>D1231*E1231</f>
        <v/>
      </c>
      <c r="G1231" s="22" t="n"/>
    </row>
    <row r="1232">
      <c r="A1232" s="8" t="inlineStr">
        <is>
          <t>Calculated W - SUM of the Amount column above</t>
        </is>
      </c>
      <c r="B1232" s="9" t="n"/>
      <c r="C1232" s="9" t="n"/>
      <c r="D1232" s="9" t="n"/>
      <c r="E1232" s="9" t="n"/>
      <c r="F1232" s="25">
        <f>SUM(F1228:F1231)</f>
        <v/>
      </c>
      <c r="G1232" s="9" t="n"/>
    </row>
    <row r="1233">
      <c r="A1233" s="26" t="inlineStr">
        <is>
          <t>W as printed in the DAR</t>
        </is>
      </c>
      <c r="B1233" s="22" t="n"/>
      <c r="C1233" s="22" t="n"/>
      <c r="D1233" s="22" t="n"/>
      <c r="E1233" s="22" t="n"/>
      <c r="F1233" s="27" t="n">
        <v>1320.32</v>
      </c>
      <c r="G1233" s="22" t="n"/>
    </row>
    <row r="1234">
      <c r="A1234" s="26" t="inlineStr">
        <is>
          <t>Difference (calculated - printed)</t>
        </is>
      </c>
      <c r="B1234" s="22" t="n"/>
      <c r="C1234" s="22" t="n"/>
      <c r="D1234" s="22" t="n"/>
      <c r="E1234" s="22" t="n"/>
      <c r="F1234" s="27">
        <f>F1232-F1233</f>
        <v/>
      </c>
      <c r="G1234" s="22" t="n"/>
    </row>
    <row r="1235">
      <c r="A1235" s="29" t="inlineStr">
        <is>
          <t>SAY (Rs.) - final DAR rate as printed (fixed value, not computed)</t>
        </is>
      </c>
      <c r="B1235" s="30" t="n"/>
      <c r="C1235" s="30" t="n"/>
      <c r="D1235" s="30" t="n"/>
      <c r="E1235" s="30" t="n"/>
      <c r="F1235" s="31" t="n">
        <v>58.9</v>
      </c>
      <c r="G1235" s="30" t="n"/>
    </row>
    <row r="1237" ht="62" customHeight="1">
      <c r="A1237" s="18" t="inlineStr">
        <is>
          <t>5.31</t>
        </is>
      </c>
      <c r="B1237" s="19" t="inlineStr">
        <is>
          <t>Extra for laying reinforced cement concrete in or under water and/ or liquid mud, including cost of pumping or bailing out water and removing slush etc., complete. 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t>
        </is>
      </c>
      <c r="C1237" s="20" t="n"/>
      <c r="D1237" s="20" t="n"/>
      <c r="E1237" s="20" t="n"/>
      <c r="F1237" s="20" t="n"/>
      <c r="G1237" s="20" t="n"/>
    </row>
    <row r="1238">
      <c r="A1238" s="21" t="inlineStr">
        <is>
          <t>Details of cost for 14 cum   |   Source: CivilDAR_2019_Vol_1.pdf, page 249</t>
        </is>
      </c>
    </row>
    <row r="1239">
      <c r="A1239" s="5" t="inlineStr">
        <is>
          <t>Code</t>
        </is>
      </c>
      <c r="B1239" s="5" t="inlineStr">
        <is>
          <t>Description</t>
        </is>
      </c>
      <c r="C1239" s="5" t="inlineStr">
        <is>
          <t>Unit</t>
        </is>
      </c>
      <c r="D1239" s="5" t="inlineStr">
        <is>
          <t>Quantity</t>
        </is>
      </c>
      <c r="E1239" s="5" t="inlineStr">
        <is>
          <t>Rate (Rs.)</t>
        </is>
      </c>
      <c r="F1239" s="5" t="inlineStr">
        <is>
          <t>Amount (Rs.)</t>
        </is>
      </c>
      <c r="G1239" s="5" t="inlineStr">
        <is>
          <t>Note</t>
        </is>
      </c>
    </row>
    <row r="1240">
      <c r="A1240" s="22" t="inlineStr">
        <is>
          <t>0011</t>
        </is>
      </c>
      <c r="B1240" s="11" t="inlineStr">
        <is>
          <t>Hire charges of Pumpset of capacity 4000 litres/hour. for cleaning slush</t>
        </is>
      </c>
      <c r="C1240" s="22" t="inlineStr">
        <is>
          <t>day</t>
        </is>
      </c>
      <c r="D1240" s="23" t="n">
        <v>0.375</v>
      </c>
      <c r="E1240" s="24" t="n">
        <v>700</v>
      </c>
      <c r="F1240" s="24">
        <f>D1240*E1240</f>
        <v/>
      </c>
      <c r="G1240" s="22" t="n"/>
    </row>
    <row r="1241">
      <c r="A1241" s="22" t="inlineStr">
        <is>
          <t>0114</t>
        </is>
      </c>
      <c r="B1241" s="11" t="inlineStr">
        <is>
          <t>Beldar</t>
        </is>
      </c>
      <c r="C1241" s="22" t="inlineStr">
        <is>
          <t>day</t>
        </is>
      </c>
      <c r="D1241" s="23" t="n">
        <v>4</v>
      </c>
      <c r="E1241" s="24" t="n">
        <v>558</v>
      </c>
      <c r="F1241" s="24">
        <f>D1241*E1241</f>
        <v/>
      </c>
      <c r="G1241" s="22" t="n"/>
    </row>
    <row r="1242">
      <c r="A1242" s="8" t="inlineStr">
        <is>
          <t>Calculated W - SUM of the Amount column above</t>
        </is>
      </c>
      <c r="B1242" s="9" t="n"/>
      <c r="C1242" s="9" t="n"/>
      <c r="D1242" s="9" t="n"/>
      <c r="E1242" s="9" t="n"/>
      <c r="F1242" s="25">
        <f>SUM(F1240:F1241)</f>
        <v/>
      </c>
      <c r="G1242" s="9" t="n"/>
    </row>
    <row r="1243">
      <c r="A1243" s="26" t="inlineStr">
        <is>
          <t>W as printed in the DAR</t>
        </is>
      </c>
      <c r="B1243" s="22" t="n"/>
      <c r="C1243" s="22" t="n"/>
      <c r="D1243" s="22" t="n"/>
      <c r="E1243" s="22" t="n"/>
      <c r="F1243" s="27" t="n">
        <v>2494.5</v>
      </c>
      <c r="G1243" s="22" t="n"/>
    </row>
    <row r="1244">
      <c r="A1244" s="26" t="inlineStr">
        <is>
          <t>Difference (calculated - printed)</t>
        </is>
      </c>
      <c r="B1244" s="22" t="n"/>
      <c r="C1244" s="22" t="n"/>
      <c r="D1244" s="22" t="n"/>
      <c r="E1244" s="22" t="n"/>
      <c r="F1244" s="27">
        <f>F1242-F1243</f>
        <v/>
      </c>
      <c r="G1244" s="22" t="n"/>
    </row>
    <row r="1245">
      <c r="A1245" s="29" t="inlineStr">
        <is>
          <t>SAY (Rs.) - final DAR rate as printed (fixed value, not computed)</t>
        </is>
      </c>
      <c r="B1245" s="30" t="n"/>
      <c r="C1245" s="30" t="n"/>
      <c r="D1245" s="30" t="n"/>
      <c r="E1245" s="30" t="n"/>
      <c r="F1245" s="31" t="n">
        <v>794.65</v>
      </c>
      <c r="G1245" s="30" t="n"/>
    </row>
    <row r="1247" ht="18.5" customHeight="1">
      <c r="A1247" s="18" t="inlineStr">
        <is>
          <t>5.32</t>
        </is>
      </c>
      <c r="B1247" s="19" t="inlineStr">
        <is>
          <t>Extra for laying reinforced cement concrete in or under foul positions.</t>
        </is>
      </c>
      <c r="C1247" s="20" t="n"/>
      <c r="D1247" s="20" t="n"/>
      <c r="E1247" s="20" t="n"/>
      <c r="F1247" s="20" t="n"/>
      <c r="G1247" s="20" t="n"/>
    </row>
    <row r="1248">
      <c r="A1248" s="21" t="inlineStr">
        <is>
          <t>Details of cost for 1 cum   |   Source: CivilDAR_2019_Vol_1.pdf, page 249</t>
        </is>
      </c>
    </row>
    <row r="1249">
      <c r="A1249" s="5" t="inlineStr">
        <is>
          <t>Code</t>
        </is>
      </c>
      <c r="B1249" s="5" t="inlineStr">
        <is>
          <t>Description</t>
        </is>
      </c>
      <c r="C1249" s="5" t="inlineStr">
        <is>
          <t>Unit</t>
        </is>
      </c>
      <c r="D1249" s="5" t="inlineStr">
        <is>
          <t>Quantity</t>
        </is>
      </c>
      <c r="E1249" s="5" t="inlineStr">
        <is>
          <t>Rate (Rs.)</t>
        </is>
      </c>
      <c r="F1249" s="5" t="inlineStr">
        <is>
          <t>Amount (Rs.)</t>
        </is>
      </c>
      <c r="G1249" s="5" t="inlineStr">
        <is>
          <t>Note</t>
        </is>
      </c>
    </row>
    <row r="1250">
      <c r="A1250" s="22" t="inlineStr">
        <is>
          <t>0123</t>
        </is>
      </c>
      <c r="B1250" s="11" t="inlineStr">
        <is>
          <t>Mason (brick layer) 1st class</t>
        </is>
      </c>
      <c r="C1250" s="22" t="inlineStr">
        <is>
          <t>day</t>
        </is>
      </c>
      <c r="D1250" s="23" t="n">
        <v>0.02</v>
      </c>
      <c r="E1250" s="24" t="n">
        <v>738</v>
      </c>
      <c r="F1250" s="24">
        <f>D1250*E1250</f>
        <v/>
      </c>
      <c r="G1250" s="22" t="n"/>
    </row>
    <row r="1251">
      <c r="A1251" s="22" t="inlineStr">
        <is>
          <t>0124</t>
        </is>
      </c>
      <c r="B1251" s="11" t="inlineStr">
        <is>
          <t>Mason (brick layer) 2nd class</t>
        </is>
      </c>
      <c r="C1251" s="22" t="inlineStr">
        <is>
          <t>day</t>
        </is>
      </c>
      <c r="D1251" s="23" t="n">
        <v>0.02</v>
      </c>
      <c r="E1251" s="24" t="n">
        <v>679</v>
      </c>
      <c r="F1251" s="24">
        <f>D1251*E1251</f>
        <v/>
      </c>
      <c r="G1251" s="22" t="n"/>
    </row>
    <row r="1252">
      <c r="A1252" s="22" t="inlineStr">
        <is>
          <t>0114</t>
        </is>
      </c>
      <c r="B1252" s="11" t="inlineStr">
        <is>
          <t>Beldar</t>
        </is>
      </c>
      <c r="C1252" s="22" t="inlineStr">
        <is>
          <t>day</t>
        </is>
      </c>
      <c r="D1252" s="23" t="n">
        <v>0.25</v>
      </c>
      <c r="E1252" s="24" t="n">
        <v>558</v>
      </c>
      <c r="F1252" s="24">
        <f>D1252*E1252</f>
        <v/>
      </c>
      <c r="G1252" s="22" t="n"/>
    </row>
    <row r="1253">
      <c r="A1253" s="22" t="inlineStr">
        <is>
          <t>0115</t>
        </is>
      </c>
      <c r="B1253" s="11" t="inlineStr">
        <is>
          <t>Coolie</t>
        </is>
      </c>
      <c r="C1253" s="22" t="inlineStr">
        <is>
          <t>day</t>
        </is>
      </c>
      <c r="D1253" s="23" t="n">
        <v>0.15</v>
      </c>
      <c r="E1253" s="24" t="n">
        <v>558</v>
      </c>
      <c r="F1253" s="24">
        <f>D1253*E1253</f>
        <v/>
      </c>
      <c r="G1253" s="22" t="n"/>
    </row>
    <row r="1254">
      <c r="A1254" s="8" t="inlineStr">
        <is>
          <t>Calculated W - SUM of the Amount column above</t>
        </is>
      </c>
      <c r="B1254" s="9" t="n"/>
      <c r="C1254" s="9" t="n"/>
      <c r="D1254" s="9" t="n"/>
      <c r="E1254" s="9" t="n"/>
      <c r="F1254" s="25">
        <f>SUM(F1250:F1253)</f>
        <v/>
      </c>
      <c r="G1254" s="9" t="n"/>
    </row>
    <row r="1255">
      <c r="A1255" s="26" t="inlineStr">
        <is>
          <t>W as printed in the DAR</t>
        </is>
      </c>
      <c r="B1255" s="22" t="n"/>
      <c r="C1255" s="22" t="n"/>
      <c r="D1255" s="22" t="n"/>
      <c r="E1255" s="22" t="n"/>
      <c r="F1255" s="27" t="n">
        <v>251.54</v>
      </c>
      <c r="G1255" s="22" t="n"/>
    </row>
    <row r="1256">
      <c r="A1256" s="26" t="inlineStr">
        <is>
          <t>Difference (calculated - printed)</t>
        </is>
      </c>
      <c r="B1256" s="22" t="n"/>
      <c r="C1256" s="22" t="n"/>
      <c r="D1256" s="22" t="n"/>
      <c r="E1256" s="22" t="n"/>
      <c r="F1256" s="27">
        <f>F1254-F1255</f>
        <v/>
      </c>
      <c r="G1256" s="22" t="n"/>
    </row>
    <row r="1257">
      <c r="A1257" s="29" t="inlineStr">
        <is>
          <t>SAY (Rs.) - final DAR rate as printed (fixed value, not computed)</t>
        </is>
      </c>
      <c r="B1257" s="30" t="n"/>
      <c r="C1257" s="30" t="n"/>
      <c r="D1257" s="30" t="n"/>
      <c r="E1257" s="30" t="n"/>
      <c r="F1257" s="31" t="n">
        <v>336.55</v>
      </c>
      <c r="G1257" s="30" t="n"/>
    </row>
    <row r="1259" ht="91" customHeight="1">
      <c r="A1259" s="8" t="inlineStr">
        <is>
          <t>5.33</t>
        </is>
      </c>
      <c r="B1259" s="17" t="inlineStr">
        <is>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 Cement content considered in this item is @ 330 kg/cum. Excess/ less cement used as per design mix is payable/recoverable separately).</t>
        </is>
      </c>
      <c r="C1259" s="9" t="n"/>
      <c r="D1259" s="9" t="n"/>
      <c r="E1259" s="9" t="n"/>
      <c r="F1259" s="9" t="n"/>
      <c r="G1259" s="9" t="n"/>
    </row>
    <row r="1260" ht="18.5" customHeight="1">
      <c r="A1260" s="18" t="inlineStr">
        <is>
          <t>5.33.1</t>
        </is>
      </c>
      <c r="B1260" s="19" t="inlineStr">
        <is>
          <t>All works upto plinth level</t>
        </is>
      </c>
      <c r="C1260" s="20" t="n"/>
      <c r="D1260" s="20" t="n"/>
      <c r="E1260" s="20" t="n"/>
      <c r="F1260" s="20" t="n"/>
      <c r="G1260" s="20" t="n"/>
    </row>
    <row r="1261">
      <c r="A1261" s="21" t="inlineStr">
        <is>
          <t>Details of cost for 1 cum   |   Source: CivilDAR_2019_Vol_1.pdf, page 250</t>
        </is>
      </c>
    </row>
    <row r="1262">
      <c r="A1262" s="5" t="inlineStr">
        <is>
          <t>Code</t>
        </is>
      </c>
      <c r="B1262" s="5" t="inlineStr">
        <is>
          <t>Description</t>
        </is>
      </c>
      <c r="C1262" s="5" t="inlineStr">
        <is>
          <t>Unit</t>
        </is>
      </c>
      <c r="D1262" s="5" t="inlineStr">
        <is>
          <t>Quantity</t>
        </is>
      </c>
      <c r="E1262" s="5" t="inlineStr">
        <is>
          <t>Rate (Rs.)</t>
        </is>
      </c>
      <c r="F1262" s="5" t="inlineStr">
        <is>
          <t>Amount (Rs.)</t>
        </is>
      </c>
      <c r="G1262" s="5" t="inlineStr">
        <is>
          <t>Note</t>
        </is>
      </c>
    </row>
    <row r="1263">
      <c r="A1263" s="22" t="inlineStr">
        <is>
          <t>0295</t>
        </is>
      </c>
      <c r="B1263" s="11" t="inlineStr">
        <is>
          <t>Stone Aggregate (Single size) : 20 mm nominal size</t>
        </is>
      </c>
      <c r="C1263" s="22" t="inlineStr">
        <is>
          <t>cum</t>
        </is>
      </c>
      <c r="D1263" s="23" t="n">
        <v>0.57</v>
      </c>
      <c r="E1263" s="24" t="n">
        <v>1350</v>
      </c>
      <c r="F1263" s="24">
        <f>D1263*E1263</f>
        <v/>
      </c>
      <c r="G1263" s="22" t="n"/>
    </row>
    <row r="1264">
      <c r="A1264" s="22" t="inlineStr">
        <is>
          <t>0297</t>
        </is>
      </c>
      <c r="B1264" s="11" t="inlineStr">
        <is>
          <t>Stone Aggregate (Single size) : 10 mm nominal size</t>
        </is>
      </c>
      <c r="C1264" s="22" t="inlineStr">
        <is>
          <t>cum</t>
        </is>
      </c>
      <c r="D1264" s="23" t="n">
        <v>0.28</v>
      </c>
      <c r="E1264" s="24" t="n">
        <v>1350</v>
      </c>
      <c r="F1264" s="24">
        <f>D1264*E1264</f>
        <v/>
      </c>
      <c r="G1264" s="22" t="n"/>
    </row>
    <row r="1265">
      <c r="A1265" s="22" t="inlineStr">
        <is>
          <t>2202</t>
        </is>
      </c>
      <c r="B1265" s="11" t="inlineStr">
        <is>
          <t>Carriage of Stone aggregate below 40 mm nominal size</t>
        </is>
      </c>
      <c r="C1265" s="22" t="inlineStr">
        <is>
          <t>cum</t>
        </is>
      </c>
      <c r="D1265" s="23" t="n">
        <v>0.85</v>
      </c>
      <c r="E1265" s="24" t="n">
        <v>103.77</v>
      </c>
      <c r="F1265" s="24">
        <f>D1265*E1265</f>
        <v/>
      </c>
      <c r="G1265" s="22" t="n"/>
    </row>
    <row r="1266">
      <c r="A1266" s="22" t="inlineStr">
        <is>
          <t>0982</t>
        </is>
      </c>
      <c r="B1266" s="11" t="inlineStr">
        <is>
          <t>Coarse sand (zone III)</t>
        </is>
      </c>
      <c r="C1266" s="22" t="inlineStr">
        <is>
          <t>cum</t>
        </is>
      </c>
      <c r="D1266" s="23" t="n">
        <v>0.425</v>
      </c>
      <c r="E1266" s="24" t="n">
        <v>1350</v>
      </c>
      <c r="F1266" s="24">
        <f>D1266*E1266</f>
        <v/>
      </c>
      <c r="G1266" s="22" t="n"/>
    </row>
    <row r="1267">
      <c r="A1267" s="22" t="inlineStr">
        <is>
          <t>2203</t>
        </is>
      </c>
      <c r="B1267" s="11" t="inlineStr">
        <is>
          <t>Carriage of Coarse sand</t>
        </is>
      </c>
      <c r="C1267" s="22" t="inlineStr">
        <is>
          <t>cum</t>
        </is>
      </c>
      <c r="D1267" s="23" t="n">
        <v>0.425</v>
      </c>
      <c r="E1267" s="24" t="n">
        <v>103.77</v>
      </c>
      <c r="F1267" s="24">
        <f>D1267*E1267</f>
        <v/>
      </c>
      <c r="G1267" s="22" t="n"/>
    </row>
    <row r="1268">
      <c r="A1268" s="22" t="inlineStr">
        <is>
          <t>0367</t>
        </is>
      </c>
      <c r="B1268" s="11" t="inlineStr">
        <is>
          <t>Portland Cement</t>
        </is>
      </c>
      <c r="C1268" s="22" t="inlineStr">
        <is>
          <t>tonne</t>
        </is>
      </c>
      <c r="D1268" s="23" t="n">
        <v>0.33</v>
      </c>
      <c r="E1268" s="24" t="n">
        <v>4940</v>
      </c>
      <c r="F1268" s="24">
        <f>D1268*E1268</f>
        <v/>
      </c>
      <c r="G1268" s="22" t="n"/>
    </row>
    <row r="1269">
      <c r="A1269" s="22" t="inlineStr">
        <is>
          <t>2209</t>
        </is>
      </c>
      <c r="B1269" s="11" t="inlineStr">
        <is>
          <t>Carriage of Cement</t>
        </is>
      </c>
      <c r="C1269" s="22" t="inlineStr">
        <is>
          <t>tonne</t>
        </is>
      </c>
      <c r="D1269" s="23" t="n">
        <v>0.33</v>
      </c>
      <c r="E1269" s="24" t="n">
        <v>92.23999999999999</v>
      </c>
      <c r="F1269" s="24">
        <f>D1269*E1269</f>
        <v/>
      </c>
      <c r="G1269" s="22" t="n"/>
    </row>
    <row r="1270">
      <c r="A1270" s="22" t="inlineStr">
        <is>
          <t>7318</t>
        </is>
      </c>
      <c r="B1270" s="11" t="inlineStr">
        <is>
          <t>Plasticizer / super plasticizer</t>
        </is>
      </c>
      <c r="C1270" s="22" t="inlineStr">
        <is>
          <t>kilogram</t>
        </is>
      </c>
      <c r="D1270" s="23" t="n">
        <v>1.65</v>
      </c>
      <c r="E1270" s="24" t="n">
        <v>36</v>
      </c>
      <c r="F1270" s="24">
        <f>D1270*E1270</f>
        <v/>
      </c>
      <c r="G1270" s="22" t="n"/>
    </row>
    <row r="1271">
      <c r="A1271" s="22" t="inlineStr">
        <is>
          <t>0004</t>
        </is>
      </c>
      <c r="B1271" s="11" t="inlineStr">
        <is>
          <t>Production cost of concrete by batch mix plant.</t>
        </is>
      </c>
      <c r="C1271" s="22" t="inlineStr">
        <is>
          <t>cum</t>
        </is>
      </c>
      <c r="D1271" s="23" t="n">
        <v>1</v>
      </c>
      <c r="E1271" s="24" t="n">
        <v>350</v>
      </c>
      <c r="F1271" s="24">
        <f>D1271*E1271</f>
        <v/>
      </c>
      <c r="G1271" s="22" t="n"/>
    </row>
    <row r="1272">
      <c r="A1272" s="22" t="inlineStr">
        <is>
          <t>0009</t>
        </is>
      </c>
      <c r="B1272" s="11" t="inlineStr">
        <is>
          <t>Pumping charges of concrete including Hire charges of pump, piping work &amp; accessories etc.</t>
        </is>
      </c>
      <c r="C1272" s="22" t="inlineStr">
        <is>
          <t>cum</t>
        </is>
      </c>
      <c r="D1272" s="23" t="n">
        <v>1</v>
      </c>
      <c r="E1272" s="24" t="n">
        <v>210</v>
      </c>
      <c r="F1272" s="24">
        <f>D1272*E1272</f>
        <v/>
      </c>
      <c r="G1272" s="22" t="n"/>
    </row>
    <row r="1273">
      <c r="A1273" s="22" t="inlineStr">
        <is>
          <t>0155</t>
        </is>
      </c>
      <c r="B1273" s="11" t="inlineStr">
        <is>
          <t>Mason (average)</t>
        </is>
      </c>
      <c r="C1273" s="22" t="inlineStr">
        <is>
          <t>day</t>
        </is>
      </c>
      <c r="D1273" s="23" t="n">
        <v>0.17</v>
      </c>
      <c r="E1273" s="24" t="n">
        <v>709</v>
      </c>
      <c r="F1273" s="24">
        <f>D1273*E1273</f>
        <v/>
      </c>
      <c r="G1273" s="22" t="n"/>
    </row>
    <row r="1274">
      <c r="A1274" s="22" t="inlineStr">
        <is>
          <t>0114</t>
        </is>
      </c>
      <c r="B1274" s="11" t="inlineStr">
        <is>
          <t>Beldar</t>
        </is>
      </c>
      <c r="C1274" s="22" t="inlineStr">
        <is>
          <t>day</t>
        </is>
      </c>
      <c r="D1274" s="23" t="n">
        <v>2</v>
      </c>
      <c r="E1274" s="24" t="n">
        <v>558</v>
      </c>
      <c r="F1274" s="24">
        <f>D1274*E1274</f>
        <v/>
      </c>
      <c r="G1274" s="22" t="n"/>
    </row>
    <row r="1275">
      <c r="A1275" s="22" t="inlineStr">
        <is>
          <t>0101</t>
        </is>
      </c>
      <c r="B1275" s="11" t="inlineStr">
        <is>
          <t>Bhisti</t>
        </is>
      </c>
      <c r="C1275" s="22" t="inlineStr">
        <is>
          <t>day</t>
        </is>
      </c>
      <c r="D1275" s="23" t="n">
        <v>0.9</v>
      </c>
      <c r="E1275" s="24" t="n">
        <v>617</v>
      </c>
      <c r="F1275" s="24">
        <f>D1275*E1275</f>
        <v/>
      </c>
      <c r="G1275" s="22" t="n"/>
    </row>
    <row r="1276">
      <c r="A1276" s="22" t="inlineStr">
        <is>
          <t>0012</t>
        </is>
      </c>
      <c r="B1276" s="11" t="inlineStr">
        <is>
          <t>Vibrator(Needle type 40mm)</t>
        </is>
      </c>
      <c r="C1276" s="22" t="inlineStr">
        <is>
          <t>day</t>
        </is>
      </c>
      <c r="D1276" s="23" t="n">
        <v>0.07000000000000001</v>
      </c>
      <c r="E1276" s="24" t="n">
        <v>370</v>
      </c>
      <c r="F1276" s="24">
        <f>D1276*E1276</f>
        <v/>
      </c>
      <c r="G1276" s="22" t="n"/>
    </row>
    <row r="1277">
      <c r="A1277" s="22" t="inlineStr">
        <is>
          <t>9999</t>
        </is>
      </c>
      <c r="B1277" s="11" t="inlineStr">
        <is>
          <t>Sundries</t>
        </is>
      </c>
      <c r="C1277" s="22" t="inlineStr">
        <is>
          <t>L.S.</t>
        </is>
      </c>
      <c r="D1277" s="23" t="n">
        <v>13</v>
      </c>
      <c r="E1277" s="24" t="n">
        <v>2</v>
      </c>
      <c r="F1277" s="24">
        <f>D1277*E1277</f>
        <v/>
      </c>
      <c r="G1277" s="22" t="n"/>
    </row>
    <row r="1278">
      <c r="A1278" s="8" t="inlineStr">
        <is>
          <t>Calculated W - SUM of the Amount column above</t>
        </is>
      </c>
      <c r="B1278" s="9" t="n"/>
      <c r="C1278" s="9" t="n"/>
      <c r="D1278" s="9" t="n"/>
      <c r="E1278" s="9" t="n"/>
      <c r="F1278" s="25">
        <f>SUM(F1263:F1277)</f>
        <v/>
      </c>
      <c r="G1278" s="9" t="n"/>
    </row>
    <row r="1279">
      <c r="A1279" s="26" t="inlineStr">
        <is>
          <t>W as printed in the DAR</t>
        </is>
      </c>
      <c r="B1279" s="22" t="n"/>
      <c r="C1279" s="22" t="n"/>
      <c r="D1279" s="22" t="n"/>
      <c r="E1279" s="22" t="n"/>
      <c r="F1279" s="27" t="n">
        <v>5977.33</v>
      </c>
      <c r="G1279" s="22" t="n"/>
    </row>
    <row r="1280">
      <c r="A1280" s="26" t="inlineStr">
        <is>
          <t>Difference (calculated - printed)</t>
        </is>
      </c>
      <c r="B1280" s="22" t="n"/>
      <c r="C1280" s="22" t="n"/>
      <c r="D1280" s="22" t="n"/>
      <c r="E1280" s="22" t="n"/>
      <c r="F1280" s="27">
        <f>F1278-F1279</f>
        <v/>
      </c>
      <c r="G1280" s="22" t="n"/>
    </row>
    <row r="1281">
      <c r="A1281" s="29" t="inlineStr">
        <is>
          <t>SAY (Rs.) - final DAR rate as printed (fixed value, not computed)</t>
        </is>
      </c>
      <c r="B1281" s="30" t="n"/>
      <c r="C1281" s="30" t="n"/>
      <c r="D1281" s="30" t="n"/>
      <c r="E1281" s="30" t="n"/>
      <c r="F1281" s="31" t="n">
        <v>7997.3</v>
      </c>
      <c r="G1281" s="30" t="n"/>
    </row>
    <row r="1283" ht="91" customHeight="1">
      <c r="A1283" s="8" t="inlineStr">
        <is>
          <t>5.33</t>
        </is>
      </c>
      <c r="B1283" s="17" t="inlineStr">
        <is>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 Cement content considered in this item is @ 330 kg/cum. Excess/ less cement used as per design mix is payable/recoverable separately).</t>
        </is>
      </c>
      <c r="C1283" s="9" t="n"/>
      <c r="D1283" s="9" t="n"/>
      <c r="E1283" s="9" t="n"/>
      <c r="F1283" s="9" t="n"/>
      <c r="G1283" s="9" t="n"/>
    </row>
    <row r="1284" ht="18.5" customHeight="1">
      <c r="A1284" s="18" t="inlineStr">
        <is>
          <t>5.33.2</t>
        </is>
      </c>
      <c r="B1284" s="19" t="inlineStr">
        <is>
          <t>All works above plinth level upto floor V level</t>
        </is>
      </c>
      <c r="C1284" s="20" t="n"/>
      <c r="D1284" s="20" t="n"/>
      <c r="E1284" s="20" t="n"/>
      <c r="F1284" s="20" t="n"/>
      <c r="G1284" s="20" t="n"/>
    </row>
    <row r="1285">
      <c r="A1285" s="21" t="inlineStr">
        <is>
          <t>Details of cost for 1 cum   |   Source: CivilDAR_2019_Vol_1.pdf, page 251</t>
        </is>
      </c>
    </row>
    <row r="1286">
      <c r="A1286" s="5" t="inlineStr">
        <is>
          <t>Code</t>
        </is>
      </c>
      <c r="B1286" s="5" t="inlineStr">
        <is>
          <t>Description</t>
        </is>
      </c>
      <c r="C1286" s="5" t="inlineStr">
        <is>
          <t>Unit</t>
        </is>
      </c>
      <c r="D1286" s="5" t="inlineStr">
        <is>
          <t>Quantity</t>
        </is>
      </c>
      <c r="E1286" s="5" t="inlineStr">
        <is>
          <t>Rate (Rs.)</t>
        </is>
      </c>
      <c r="F1286" s="5" t="inlineStr">
        <is>
          <t>Amount (Rs.)</t>
        </is>
      </c>
      <c r="G1286" s="5" t="inlineStr">
        <is>
          <t>Note</t>
        </is>
      </c>
    </row>
    <row r="1287">
      <c r="A1287" s="22" t="inlineStr">
        <is>
          <t>0295</t>
        </is>
      </c>
      <c r="B1287" s="11" t="inlineStr">
        <is>
          <t>Stone Aggregate (Single size) : 20 mm nominal size</t>
        </is>
      </c>
      <c r="C1287" s="22" t="inlineStr">
        <is>
          <t>cum</t>
        </is>
      </c>
      <c r="D1287" s="23" t="n">
        <v>0.57</v>
      </c>
      <c r="E1287" s="24" t="n">
        <v>1350</v>
      </c>
      <c r="F1287" s="24">
        <f>D1287*E1287</f>
        <v/>
      </c>
      <c r="G1287" s="22" t="n"/>
    </row>
    <row r="1288">
      <c r="A1288" s="22" t="inlineStr">
        <is>
          <t>0297</t>
        </is>
      </c>
      <c r="B1288" s="11" t="inlineStr">
        <is>
          <t>Stone Aggregate (Single size) : 10 mm nominal size</t>
        </is>
      </c>
      <c r="C1288" s="22" t="inlineStr">
        <is>
          <t>cum</t>
        </is>
      </c>
      <c r="D1288" s="23" t="n">
        <v>0.28</v>
      </c>
      <c r="E1288" s="24" t="n">
        <v>1350</v>
      </c>
      <c r="F1288" s="24">
        <f>D1288*E1288</f>
        <v/>
      </c>
      <c r="G1288" s="22" t="n"/>
    </row>
    <row r="1289">
      <c r="A1289" s="22" t="inlineStr">
        <is>
          <t>2202</t>
        </is>
      </c>
      <c r="B1289" s="11" t="inlineStr">
        <is>
          <t>Carriage of Stone aggregate below 40 mm nominal size</t>
        </is>
      </c>
      <c r="C1289" s="22" t="inlineStr">
        <is>
          <t>cum</t>
        </is>
      </c>
      <c r="D1289" s="23" t="n">
        <v>0.85</v>
      </c>
      <c r="E1289" s="24" t="n">
        <v>103.77</v>
      </c>
      <c r="F1289" s="24">
        <f>D1289*E1289</f>
        <v/>
      </c>
      <c r="G1289" s="22" t="n"/>
    </row>
    <row r="1290">
      <c r="A1290" s="22" t="inlineStr">
        <is>
          <t>0982</t>
        </is>
      </c>
      <c r="B1290" s="11" t="inlineStr">
        <is>
          <t>Coarse sand (zone III)</t>
        </is>
      </c>
      <c r="C1290" s="22" t="inlineStr">
        <is>
          <t>cum</t>
        </is>
      </c>
      <c r="D1290" s="23" t="n">
        <v>0.425</v>
      </c>
      <c r="E1290" s="24" t="n">
        <v>1350</v>
      </c>
      <c r="F1290" s="24">
        <f>D1290*E1290</f>
        <v/>
      </c>
      <c r="G1290" s="22" t="n"/>
    </row>
    <row r="1291">
      <c r="A1291" s="22" t="inlineStr">
        <is>
          <t>2203</t>
        </is>
      </c>
      <c r="B1291" s="11" t="inlineStr">
        <is>
          <t>Carriage of Coarse sand</t>
        </is>
      </c>
      <c r="C1291" s="22" t="inlineStr">
        <is>
          <t>cum</t>
        </is>
      </c>
      <c r="D1291" s="23" t="n">
        <v>0.425</v>
      </c>
      <c r="E1291" s="24" t="n">
        <v>103.77</v>
      </c>
      <c r="F1291" s="24">
        <f>D1291*E1291</f>
        <v/>
      </c>
      <c r="G1291" s="22" t="n"/>
    </row>
    <row r="1292">
      <c r="A1292" s="22" t="inlineStr">
        <is>
          <t>0367</t>
        </is>
      </c>
      <c r="B1292" s="11" t="inlineStr">
        <is>
          <t>Portland cement</t>
        </is>
      </c>
      <c r="C1292" s="22" t="inlineStr">
        <is>
          <t>tonne</t>
        </is>
      </c>
      <c r="D1292" s="23" t="n">
        <v>0.33</v>
      </c>
      <c r="E1292" s="24" t="n">
        <v>4940</v>
      </c>
      <c r="F1292" s="24">
        <f>D1292*E1292</f>
        <v/>
      </c>
      <c r="G1292" s="22" t="n"/>
    </row>
    <row r="1293">
      <c r="A1293" s="22" t="inlineStr">
        <is>
          <t>2209</t>
        </is>
      </c>
      <c r="B1293" s="11" t="inlineStr">
        <is>
          <t>Carriage of Cement</t>
        </is>
      </c>
      <c r="C1293" s="22" t="inlineStr">
        <is>
          <t>tonne</t>
        </is>
      </c>
      <c r="D1293" s="23" t="n">
        <v>0.33</v>
      </c>
      <c r="E1293" s="24" t="n">
        <v>92.23999999999999</v>
      </c>
      <c r="F1293" s="24">
        <f>D1293*E1293</f>
        <v/>
      </c>
      <c r="G1293" s="22" t="n"/>
    </row>
    <row r="1294">
      <c r="A1294" s="22" t="inlineStr">
        <is>
          <t>7318</t>
        </is>
      </c>
      <c r="B1294" s="11" t="inlineStr">
        <is>
          <t>Plasticizer / super plasticizer</t>
        </is>
      </c>
      <c r="C1294" s="22" t="inlineStr">
        <is>
          <t>kilogram</t>
        </is>
      </c>
      <c r="D1294" s="23" t="n">
        <v>1.65</v>
      </c>
      <c r="E1294" s="24" t="n">
        <v>36</v>
      </c>
      <c r="F1294" s="24">
        <f>D1294*E1294</f>
        <v/>
      </c>
      <c r="G1294" s="22" t="n"/>
    </row>
    <row r="1295">
      <c r="A1295" s="22" t="inlineStr">
        <is>
          <t>0004</t>
        </is>
      </c>
      <c r="B1295" s="11" t="inlineStr">
        <is>
          <t>Production cost of concrete by batch mix plant.</t>
        </is>
      </c>
      <c r="C1295" s="22" t="inlineStr">
        <is>
          <t>cum</t>
        </is>
      </c>
      <c r="D1295" s="23" t="n">
        <v>1</v>
      </c>
      <c r="E1295" s="24" t="n">
        <v>350</v>
      </c>
      <c r="F1295" s="24">
        <f>D1295*E1295</f>
        <v/>
      </c>
      <c r="G1295" s="22" t="n"/>
    </row>
    <row r="1296">
      <c r="A1296" s="22" t="inlineStr">
        <is>
          <t>0009</t>
        </is>
      </c>
      <c r="B1296" s="11" t="inlineStr">
        <is>
          <t>Pumping charges of concrete including Hire charges of pump, piping work &amp; accessories etc.</t>
        </is>
      </c>
      <c r="C1296" s="22" t="inlineStr">
        <is>
          <t>cum</t>
        </is>
      </c>
      <c r="D1296" s="23" t="n">
        <v>1</v>
      </c>
      <c r="E1296" s="24" t="n">
        <v>210</v>
      </c>
      <c r="F1296" s="24">
        <f>D1296*E1296</f>
        <v/>
      </c>
      <c r="G1296" s="22" t="n"/>
    </row>
    <row r="1297">
      <c r="A1297" s="22" t="inlineStr">
        <is>
          <t>0155</t>
        </is>
      </c>
      <c r="B1297" s="11" t="inlineStr">
        <is>
          <t>Mason (average)</t>
        </is>
      </c>
      <c r="C1297" s="22" t="inlineStr">
        <is>
          <t>day</t>
        </is>
      </c>
      <c r="D1297" s="23" t="n">
        <v>0.17</v>
      </c>
      <c r="E1297" s="24" t="n">
        <v>709</v>
      </c>
      <c r="F1297" s="24">
        <f>D1297*E1297</f>
        <v/>
      </c>
      <c r="G1297" s="22" t="n"/>
    </row>
    <row r="1298">
      <c r="A1298" s="22" t="inlineStr">
        <is>
          <t>0114</t>
        </is>
      </c>
      <c r="B1298" s="11" t="inlineStr">
        <is>
          <t>Beldar</t>
        </is>
      </c>
      <c r="C1298" s="22" t="inlineStr">
        <is>
          <t>day</t>
        </is>
      </c>
      <c r="D1298" s="23" t="n">
        <v>2</v>
      </c>
      <c r="E1298" s="24" t="n">
        <v>558</v>
      </c>
      <c r="F1298" s="24">
        <f>D1298*E1298</f>
        <v/>
      </c>
      <c r="G1298" s="22" t="n"/>
    </row>
    <row r="1299">
      <c r="A1299" s="22" t="inlineStr">
        <is>
          <t>0101</t>
        </is>
      </c>
      <c r="B1299" s="11" t="inlineStr">
        <is>
          <t>Bhisti</t>
        </is>
      </c>
      <c r="C1299" s="22" t="inlineStr">
        <is>
          <t>day</t>
        </is>
      </c>
      <c r="D1299" s="23" t="n">
        <v>0.9</v>
      </c>
      <c r="E1299" s="24" t="n">
        <v>617</v>
      </c>
      <c r="F1299" s="24">
        <f>D1299*E1299</f>
        <v/>
      </c>
      <c r="G1299" s="22" t="n"/>
    </row>
    <row r="1300">
      <c r="A1300" s="22" t="inlineStr">
        <is>
          <t>0012</t>
        </is>
      </c>
      <c r="B1300" s="11" t="inlineStr">
        <is>
          <t>Vibrator(Needle type 40mm)</t>
        </is>
      </c>
      <c r="C1300" s="22" t="inlineStr">
        <is>
          <t>day</t>
        </is>
      </c>
      <c r="D1300" s="23" t="n">
        <v>0.07000000000000001</v>
      </c>
      <c r="E1300" s="24" t="n">
        <v>370</v>
      </c>
      <c r="F1300" s="24">
        <f>D1300*E1300</f>
        <v/>
      </c>
      <c r="G1300" s="22" t="n"/>
    </row>
    <row r="1301">
      <c r="A1301" s="22" t="inlineStr">
        <is>
          <t>9999</t>
        </is>
      </c>
      <c r="B1301" s="11" t="inlineStr">
        <is>
          <t>Sundries</t>
        </is>
      </c>
      <c r="C1301" s="22" t="inlineStr">
        <is>
          <t>L.S.</t>
        </is>
      </c>
      <c r="D1301" s="23" t="n">
        <v>13</v>
      </c>
      <c r="E1301" s="24" t="n">
        <v>2</v>
      </c>
      <c r="F1301" s="24">
        <f>D1301*E1301</f>
        <v/>
      </c>
      <c r="G1301" s="22" t="n"/>
    </row>
    <row r="1302">
      <c r="A1302" s="22" t="inlineStr">
        <is>
          <t>0115</t>
        </is>
      </c>
      <c r="B1302" s="11" t="inlineStr">
        <is>
          <t>Coolie</t>
        </is>
      </c>
      <c r="C1302" s="22" t="inlineStr">
        <is>
          <t>day</t>
        </is>
      </c>
      <c r="D1302" s="23" t="n">
        <v>1.88</v>
      </c>
      <c r="E1302" s="24" t="n">
        <v>558</v>
      </c>
      <c r="F1302" s="24">
        <f>D1302*E1302</f>
        <v/>
      </c>
      <c r="G1302" s="22" t="n"/>
    </row>
    <row r="1303">
      <c r="A1303" s="8" t="inlineStr">
        <is>
          <t>Calculated W - SUM of the Amount column above</t>
        </is>
      </c>
      <c r="B1303" s="9" t="n"/>
      <c r="C1303" s="9" t="n"/>
      <c r="D1303" s="9" t="n"/>
      <c r="E1303" s="9" t="n"/>
      <c r="F1303" s="25">
        <f>SUM(F1287:F1302)</f>
        <v/>
      </c>
      <c r="G1303" s="9" t="n"/>
    </row>
    <row r="1304">
      <c r="A1304" s="26" t="inlineStr">
        <is>
          <t>W as printed in the DAR</t>
        </is>
      </c>
      <c r="B1304" s="22" t="n"/>
      <c r="C1304" s="22" t="n"/>
      <c r="D1304" s="22" t="n"/>
      <c r="E1304" s="22" t="n"/>
      <c r="F1304" s="27" t="n">
        <v>7026.37</v>
      </c>
      <c r="G1304" s="22" t="n"/>
    </row>
    <row r="1305">
      <c r="A1305" s="26" t="inlineStr">
        <is>
          <t>Difference (calculated - printed)</t>
        </is>
      </c>
      <c r="B1305" s="22" t="n"/>
      <c r="C1305" s="22" t="n"/>
      <c r="D1305" s="22" t="n"/>
      <c r="E1305" s="22" t="n"/>
      <c r="F1305" s="27">
        <f>F1303-F1304</f>
        <v/>
      </c>
      <c r="G1305" s="22" t="n"/>
    </row>
    <row r="1306">
      <c r="A1306" s="29" t="inlineStr">
        <is>
          <t>SAY (Rs.) - final DAR rate as printed (fixed value, not computed)</t>
        </is>
      </c>
      <c r="B1306" s="30" t="n"/>
      <c r="C1306" s="30" t="n"/>
      <c r="D1306" s="30" t="n"/>
      <c r="E1306" s="30" t="n"/>
      <c r="F1306" s="31" t="n">
        <v>9400.85</v>
      </c>
      <c r="G1306" s="30" t="n"/>
    </row>
    <row r="1308" ht="33" customHeight="1">
      <c r="A1308" s="8" t="inlineStr">
        <is>
          <t>5.34</t>
        </is>
      </c>
      <c r="B1308" s="17" t="inlineStr">
        <is>
          <t>Extra for providing richer mixes at all floor levels. Note:- Excess/less cement over the specified cement content used is payable / recoverable separately.</t>
        </is>
      </c>
      <c r="C1308" s="9" t="n"/>
      <c r="D1308" s="9" t="n"/>
      <c r="E1308" s="9" t="n"/>
      <c r="F1308" s="9" t="n"/>
      <c r="G1308" s="9" t="n"/>
    </row>
    <row r="1309" ht="18.5" customHeight="1">
      <c r="A1309" s="18" t="inlineStr">
        <is>
          <t>5.34.1</t>
        </is>
      </c>
      <c r="B1309" s="19" t="inlineStr">
        <is>
          <t>Providing M-30 grade concrete instead of M-25 grade BMC/ RMC. (Note:- Cement content considered in M-30 is @ 340 kg/cum)</t>
        </is>
      </c>
      <c r="C1309" s="20" t="n"/>
      <c r="D1309" s="20" t="n"/>
      <c r="E1309" s="20" t="n"/>
      <c r="F1309" s="20" t="n"/>
      <c r="G1309" s="20" t="n"/>
    </row>
    <row r="1310">
      <c r="A1310" s="21" t="inlineStr">
        <is>
          <t>Details of cost for 1 cum   |   Source: CivilDAR_2019_Vol_1.pdf, page 251</t>
        </is>
      </c>
    </row>
    <row r="1311">
      <c r="A1311" s="5" t="inlineStr">
        <is>
          <t>Code</t>
        </is>
      </c>
      <c r="B1311" s="5" t="inlineStr">
        <is>
          <t>Description</t>
        </is>
      </c>
      <c r="C1311" s="5" t="inlineStr">
        <is>
          <t>Unit</t>
        </is>
      </c>
      <c r="D1311" s="5" t="inlineStr">
        <is>
          <t>Quantity</t>
        </is>
      </c>
      <c r="E1311" s="5" t="inlineStr">
        <is>
          <t>Rate (Rs.)</t>
        </is>
      </c>
      <c r="F1311" s="5" t="inlineStr">
        <is>
          <t>Amount (Rs.)</t>
        </is>
      </c>
      <c r="G1311" s="5" t="inlineStr">
        <is>
          <t>Note</t>
        </is>
      </c>
    </row>
    <row r="1312">
      <c r="A1312" s="22" t="inlineStr">
        <is>
          <t>0367</t>
        </is>
      </c>
      <c r="B1312" s="11" t="inlineStr">
        <is>
          <t>Portland Cement</t>
        </is>
      </c>
      <c r="C1312" s="22" t="inlineStr">
        <is>
          <t>tonne</t>
        </is>
      </c>
      <c r="D1312" s="23" t="n">
        <v>0.01</v>
      </c>
      <c r="E1312" s="24" t="n">
        <v>4940</v>
      </c>
      <c r="F1312" s="24">
        <f>D1312*E1312</f>
        <v/>
      </c>
      <c r="G1312" s="22" t="n"/>
    </row>
    <row r="1313">
      <c r="A1313" s="22" t="inlineStr">
        <is>
          <t>2209</t>
        </is>
      </c>
      <c r="B1313" s="11" t="inlineStr">
        <is>
          <t>Carriage of Cement</t>
        </is>
      </c>
      <c r="C1313" s="22" t="inlineStr">
        <is>
          <t>tonne</t>
        </is>
      </c>
      <c r="D1313" s="23" t="n">
        <v>0.01</v>
      </c>
      <c r="E1313" s="24" t="n">
        <v>92.23999999999999</v>
      </c>
      <c r="F1313" s="24">
        <f>D1313*E1313</f>
        <v/>
      </c>
      <c r="G1313" s="22" t="n"/>
    </row>
    <row r="1314">
      <c r="A1314" s="22" t="inlineStr">
        <is>
          <t>7318</t>
        </is>
      </c>
      <c r="B1314" s="11" t="inlineStr">
        <is>
          <t>Plasticizer / super plasticizer</t>
        </is>
      </c>
      <c r="C1314" s="22" t="inlineStr">
        <is>
          <t>kilogram</t>
        </is>
      </c>
      <c r="D1314" s="23" t="n">
        <v>0.05</v>
      </c>
      <c r="E1314" s="24" t="n">
        <v>36</v>
      </c>
      <c r="F1314" s="24">
        <f>D1314*E1314</f>
        <v/>
      </c>
      <c r="G1314" s="22" t="n"/>
    </row>
    <row r="1315">
      <c r="A1315" s="8" t="inlineStr">
        <is>
          <t>Calculated W - SUM of the Amount column above</t>
        </is>
      </c>
      <c r="B1315" s="9" t="n"/>
      <c r="C1315" s="9" t="n"/>
      <c r="D1315" s="9" t="n"/>
      <c r="E1315" s="9" t="n"/>
      <c r="F1315" s="25">
        <f>SUM(F1312:F1314)</f>
        <v/>
      </c>
      <c r="G1315" s="9" t="n"/>
    </row>
    <row r="1316">
      <c r="A1316" s="26" t="inlineStr">
        <is>
          <t>W as printed in the DAR</t>
        </is>
      </c>
      <c r="B1316" s="22" t="n"/>
      <c r="C1316" s="22" t="n"/>
      <c r="D1316" s="22" t="n"/>
      <c r="E1316" s="22" t="n"/>
      <c r="F1316" s="27" t="n">
        <v>52.12</v>
      </c>
      <c r="G1316" s="22" t="n"/>
    </row>
    <row r="1317">
      <c r="A1317" s="26" t="inlineStr">
        <is>
          <t>Difference (calculated - printed)</t>
        </is>
      </c>
      <c r="B1317" s="22" t="n"/>
      <c r="C1317" s="22" t="n"/>
      <c r="D1317" s="22" t="n"/>
      <c r="E1317" s="22" t="n"/>
      <c r="F1317" s="27">
        <f>F1315-F1316</f>
        <v/>
      </c>
      <c r="G1317" s="22" t="n"/>
    </row>
    <row r="1318">
      <c r="A1318" s="29" t="inlineStr">
        <is>
          <t>SAY (Rs.) - final DAR rate as printed (fixed value, not computed)</t>
        </is>
      </c>
      <c r="B1318" s="30" t="n"/>
      <c r="C1318" s="30" t="n"/>
      <c r="D1318" s="30" t="n"/>
      <c r="E1318" s="30" t="n"/>
      <c r="F1318" s="31" t="n">
        <v>69.75</v>
      </c>
      <c r="G1318" s="30" t="n"/>
    </row>
    <row r="1320" ht="33" customHeight="1">
      <c r="A1320" s="8" t="inlineStr">
        <is>
          <t>5.34</t>
        </is>
      </c>
      <c r="B1320" s="17" t="inlineStr">
        <is>
          <t>Extra for providing richer mixes at all floor levels. Note:- Excess/less cement over the specified cement content used is payable / recoverable separately.</t>
        </is>
      </c>
      <c r="C1320" s="9" t="n"/>
      <c r="D1320" s="9" t="n"/>
      <c r="E1320" s="9" t="n"/>
      <c r="F1320" s="9" t="n"/>
      <c r="G1320" s="9" t="n"/>
    </row>
    <row r="1321" ht="18.5" customHeight="1">
      <c r="A1321" s="18" t="inlineStr">
        <is>
          <t>5.34.2</t>
        </is>
      </c>
      <c r="B1321" s="19" t="inlineStr">
        <is>
          <t>Providing M-35 grade concrete instead of M-25 grade BMC/ RMC. (Note : Cement content considered in M-35 is @ 350 kg/ cum)</t>
        </is>
      </c>
      <c r="C1321" s="20" t="n"/>
      <c r="D1321" s="20" t="n"/>
      <c r="E1321" s="20" t="n"/>
      <c r="F1321" s="20" t="n"/>
      <c r="G1321" s="20" t="n"/>
    </row>
    <row r="1322">
      <c r="A1322" s="21" t="inlineStr">
        <is>
          <t>Details of cost for 1 cum   |   Source: CivilDAR_2019_Vol_1.pdf, page 252</t>
        </is>
      </c>
    </row>
    <row r="1323">
      <c r="A1323" s="5" t="inlineStr">
        <is>
          <t>Code</t>
        </is>
      </c>
      <c r="B1323" s="5" t="inlineStr">
        <is>
          <t>Description</t>
        </is>
      </c>
      <c r="C1323" s="5" t="inlineStr">
        <is>
          <t>Unit</t>
        </is>
      </c>
      <c r="D1323" s="5" t="inlineStr">
        <is>
          <t>Quantity</t>
        </is>
      </c>
      <c r="E1323" s="5" t="inlineStr">
        <is>
          <t>Rate (Rs.)</t>
        </is>
      </c>
      <c r="F1323" s="5" t="inlineStr">
        <is>
          <t>Amount (Rs.)</t>
        </is>
      </c>
      <c r="G1323" s="5" t="inlineStr">
        <is>
          <t>Note</t>
        </is>
      </c>
    </row>
    <row r="1324">
      <c r="A1324" s="22" t="inlineStr">
        <is>
          <t>0367</t>
        </is>
      </c>
      <c r="B1324" s="11" t="inlineStr">
        <is>
          <t>Portland Cement</t>
        </is>
      </c>
      <c r="C1324" s="22" t="inlineStr">
        <is>
          <t>tonne</t>
        </is>
      </c>
      <c r="D1324" s="23" t="n">
        <v>0.02</v>
      </c>
      <c r="E1324" s="24" t="n">
        <v>4940</v>
      </c>
      <c r="F1324" s="24">
        <f>D1324*E1324</f>
        <v/>
      </c>
      <c r="G1324" s="22" t="n"/>
    </row>
    <row r="1325">
      <c r="A1325" s="22" t="inlineStr">
        <is>
          <t>2209</t>
        </is>
      </c>
      <c r="B1325" s="11" t="inlineStr">
        <is>
          <t>Carriage of Cement</t>
        </is>
      </c>
      <c r="C1325" s="22" t="inlineStr">
        <is>
          <t>tonne</t>
        </is>
      </c>
      <c r="D1325" s="23" t="n">
        <v>0.02</v>
      </c>
      <c r="E1325" s="24" t="n">
        <v>92.23999999999999</v>
      </c>
      <c r="F1325" s="24">
        <f>D1325*E1325</f>
        <v/>
      </c>
      <c r="G1325" s="22" t="n"/>
    </row>
    <row r="1326">
      <c r="A1326" s="22" t="inlineStr">
        <is>
          <t>7318</t>
        </is>
      </c>
      <c r="B1326" s="11" t="inlineStr">
        <is>
          <t>Plasticizer / super plasticizer</t>
        </is>
      </c>
      <c r="C1326" s="22" t="inlineStr">
        <is>
          <t>kilogram</t>
        </is>
      </c>
      <c r="D1326" s="23" t="n">
        <v>0.1</v>
      </c>
      <c r="E1326" s="24" t="n">
        <v>36</v>
      </c>
      <c r="F1326" s="24">
        <f>D1326*E1326</f>
        <v/>
      </c>
      <c r="G1326" s="22" t="n"/>
    </row>
    <row r="1327">
      <c r="A1327" s="8" t="inlineStr">
        <is>
          <t>Calculated W - SUM of the Amount column above</t>
        </is>
      </c>
      <c r="B1327" s="9" t="n"/>
      <c r="C1327" s="9" t="n"/>
      <c r="D1327" s="9" t="n"/>
      <c r="E1327" s="9" t="n"/>
      <c r="F1327" s="25">
        <f>SUM(F1324:F1326)</f>
        <v/>
      </c>
      <c r="G1327" s="9" t="n"/>
    </row>
    <row r="1328">
      <c r="A1328" s="26" t="inlineStr">
        <is>
          <t>W as printed in the DAR</t>
        </is>
      </c>
      <c r="B1328" s="22" t="n"/>
      <c r="C1328" s="22" t="n"/>
      <c r="D1328" s="22" t="n"/>
      <c r="E1328" s="22" t="n"/>
      <c r="F1328" s="27" t="n">
        <v>104.24</v>
      </c>
      <c r="G1328" s="22" t="n"/>
    </row>
    <row r="1329">
      <c r="A1329" s="26" t="inlineStr">
        <is>
          <t>Difference (calculated - printed)</t>
        </is>
      </c>
      <c r="B1329" s="22" t="n"/>
      <c r="C1329" s="22" t="n"/>
      <c r="D1329" s="22" t="n"/>
      <c r="E1329" s="22" t="n"/>
      <c r="F1329" s="27">
        <f>F1327-F1328</f>
        <v/>
      </c>
      <c r="G1329" s="22" t="n"/>
    </row>
    <row r="1330">
      <c r="A1330" s="29" t="inlineStr">
        <is>
          <t>SAY (Rs.) - final DAR rate as printed (fixed value, not computed)</t>
        </is>
      </c>
      <c r="B1330" s="30" t="n"/>
      <c r="C1330" s="30" t="n"/>
      <c r="D1330" s="30" t="n"/>
      <c r="E1330" s="30" t="n"/>
      <c r="F1330" s="31" t="n">
        <v>139.45</v>
      </c>
      <c r="G1330" s="30" t="n"/>
    </row>
    <row r="1332" ht="33" customHeight="1">
      <c r="A1332" s="8" t="inlineStr">
        <is>
          <t>5.34</t>
        </is>
      </c>
      <c r="B1332" s="17" t="inlineStr">
        <is>
          <t>Extra for providing richer mixes at all floor levels. Note:- Excess/less cement over the specified cement content used is payable / recoverable separately.</t>
        </is>
      </c>
      <c r="C1332" s="9" t="n"/>
      <c r="D1332" s="9" t="n"/>
      <c r="E1332" s="9" t="n"/>
      <c r="F1332" s="9" t="n"/>
      <c r="G1332" s="9" t="n"/>
    </row>
    <row r="1333" ht="18.5" customHeight="1">
      <c r="A1333" s="18" t="inlineStr">
        <is>
          <t>5.34.3</t>
        </is>
      </c>
      <c r="B1333" s="19" t="inlineStr">
        <is>
          <t>Providing M-40 grade concrete instead of M-25 grade BMC/ RMC.(Note : Cement content considered in M-40 is @ 360 kg/ cum)</t>
        </is>
      </c>
      <c r="C1333" s="20" t="n"/>
      <c r="D1333" s="20" t="n"/>
      <c r="E1333" s="20" t="n"/>
      <c r="F1333" s="20" t="n"/>
      <c r="G1333" s="20" t="n"/>
    </row>
    <row r="1334">
      <c r="A1334" s="21" t="inlineStr">
        <is>
          <t>Details of cost for 1 cum   |   Source: CivilDAR_2019_Vol_1.pdf, page 253</t>
        </is>
      </c>
    </row>
    <row r="1335">
      <c r="A1335" s="5" t="inlineStr">
        <is>
          <t>Code</t>
        </is>
      </c>
      <c r="B1335" s="5" t="inlineStr">
        <is>
          <t>Description</t>
        </is>
      </c>
      <c r="C1335" s="5" t="inlineStr">
        <is>
          <t>Unit</t>
        </is>
      </c>
      <c r="D1335" s="5" t="inlineStr">
        <is>
          <t>Quantity</t>
        </is>
      </c>
      <c r="E1335" s="5" t="inlineStr">
        <is>
          <t>Rate (Rs.)</t>
        </is>
      </c>
      <c r="F1335" s="5" t="inlineStr">
        <is>
          <t>Amount (Rs.)</t>
        </is>
      </c>
      <c r="G1335" s="5" t="inlineStr">
        <is>
          <t>Note</t>
        </is>
      </c>
    </row>
    <row r="1336">
      <c r="A1336" s="22" t="inlineStr">
        <is>
          <t>0367</t>
        </is>
      </c>
      <c r="B1336" s="11" t="inlineStr">
        <is>
          <t>Portland Cement</t>
        </is>
      </c>
      <c r="C1336" s="22" t="inlineStr">
        <is>
          <t>tonne</t>
        </is>
      </c>
      <c r="D1336" s="23" t="n">
        <v>0.03</v>
      </c>
      <c r="E1336" s="24" t="n">
        <v>4940</v>
      </c>
      <c r="F1336" s="24">
        <f>D1336*E1336</f>
        <v/>
      </c>
      <c r="G1336" s="22" t="n"/>
    </row>
    <row r="1337">
      <c r="A1337" s="22" t="inlineStr">
        <is>
          <t>2209</t>
        </is>
      </c>
      <c r="B1337" s="11" t="inlineStr">
        <is>
          <t>Carriage of Cement</t>
        </is>
      </c>
      <c r="C1337" s="22" t="inlineStr">
        <is>
          <t>tonne</t>
        </is>
      </c>
      <c r="D1337" s="23" t="n">
        <v>0.03</v>
      </c>
      <c r="E1337" s="24" t="n">
        <v>92.23999999999999</v>
      </c>
      <c r="F1337" s="24">
        <f>D1337*E1337</f>
        <v/>
      </c>
      <c r="G1337" s="22" t="n"/>
    </row>
    <row r="1338">
      <c r="A1338" s="22" t="inlineStr">
        <is>
          <t>7318</t>
        </is>
      </c>
      <c r="B1338" s="11" t="inlineStr">
        <is>
          <t>Plasticizer / super plasticizer</t>
        </is>
      </c>
      <c r="C1338" s="22" t="inlineStr">
        <is>
          <t>kilogram</t>
        </is>
      </c>
      <c r="D1338" s="23" t="n">
        <v>0.15</v>
      </c>
      <c r="E1338" s="24" t="n">
        <v>36</v>
      </c>
      <c r="F1338" s="24">
        <f>D1338*E1338</f>
        <v/>
      </c>
      <c r="G1338" s="22" t="n"/>
    </row>
    <row r="1339">
      <c r="A1339" s="8" t="inlineStr">
        <is>
          <t>Calculated W - SUM of the Amount column above</t>
        </is>
      </c>
      <c r="B1339" s="9" t="n"/>
      <c r="C1339" s="9" t="n"/>
      <c r="D1339" s="9" t="n"/>
      <c r="E1339" s="9" t="n"/>
      <c r="F1339" s="25">
        <f>SUM(F1336:F1338)</f>
        <v/>
      </c>
      <c r="G1339" s="9" t="n"/>
    </row>
    <row r="1340">
      <c r="A1340" s="26" t="inlineStr">
        <is>
          <t>W as printed in the DAR</t>
        </is>
      </c>
      <c r="B1340" s="22" t="n"/>
      <c r="C1340" s="22" t="n"/>
      <c r="D1340" s="22" t="n"/>
      <c r="E1340" s="22" t="n"/>
      <c r="F1340" s="27" t="n">
        <v>156.37</v>
      </c>
      <c r="G1340" s="22" t="n"/>
    </row>
    <row r="1341">
      <c r="A1341" s="26" t="inlineStr">
        <is>
          <t>Difference (calculated - printed)</t>
        </is>
      </c>
      <c r="B1341" s="22" t="n"/>
      <c r="C1341" s="22" t="n"/>
      <c r="D1341" s="22" t="n"/>
      <c r="E1341" s="22" t="n"/>
      <c r="F1341" s="27">
        <f>F1339-F1340</f>
        <v/>
      </c>
      <c r="G1341" s="22" t="n"/>
    </row>
    <row r="1342">
      <c r="A1342" s="29" t="inlineStr">
        <is>
          <t>SAY (Rs.) - final DAR rate as printed (fixed value, not computed)</t>
        </is>
      </c>
      <c r="B1342" s="30" t="n"/>
      <c r="C1342" s="30" t="n"/>
      <c r="D1342" s="30" t="n"/>
      <c r="E1342" s="30" t="n"/>
      <c r="F1342" s="31" t="n">
        <v>209.2</v>
      </c>
      <c r="G1342" s="30" t="n"/>
    </row>
    <row r="1344" ht="18.5" customHeight="1">
      <c r="A1344" s="18" t="inlineStr">
        <is>
          <t>5.35</t>
        </is>
      </c>
      <c r="B1344" s="19" t="inlineStr">
        <is>
          <t>Add for using extra cement in the items of design mix over and above the specified cement content therein.</t>
        </is>
      </c>
      <c r="C1344" s="20" t="n"/>
      <c r="D1344" s="20" t="n"/>
      <c r="E1344" s="20" t="n"/>
      <c r="F1344" s="20" t="n"/>
      <c r="G1344" s="20" t="n"/>
    </row>
    <row r="1345">
      <c r="A1345" s="21" t="inlineStr">
        <is>
          <t>Details of cost for 1 quintal   |   Source: CivilDAR_2019_Vol_1.pdf, page 253</t>
        </is>
      </c>
    </row>
    <row r="1346">
      <c r="A1346" s="5" t="inlineStr">
        <is>
          <t>Code</t>
        </is>
      </c>
      <c r="B1346" s="5" t="inlineStr">
        <is>
          <t>Description</t>
        </is>
      </c>
      <c r="C1346" s="5" t="inlineStr">
        <is>
          <t>Unit</t>
        </is>
      </c>
      <c r="D1346" s="5" t="inlineStr">
        <is>
          <t>Quantity</t>
        </is>
      </c>
      <c r="E1346" s="5" t="inlineStr">
        <is>
          <t>Rate (Rs.)</t>
        </is>
      </c>
      <c r="F1346" s="5" t="inlineStr">
        <is>
          <t>Amount (Rs.)</t>
        </is>
      </c>
      <c r="G1346" s="5" t="inlineStr">
        <is>
          <t>Note</t>
        </is>
      </c>
    </row>
    <row r="1347">
      <c r="A1347" s="22" t="inlineStr">
        <is>
          <t>0367</t>
        </is>
      </c>
      <c r="B1347" s="11" t="inlineStr">
        <is>
          <t>Portland Cement</t>
        </is>
      </c>
      <c r="C1347" s="22" t="inlineStr">
        <is>
          <t>tonne</t>
        </is>
      </c>
      <c r="D1347" s="23" t="n">
        <v>0.1</v>
      </c>
      <c r="E1347" s="24" t="n">
        <v>4940</v>
      </c>
      <c r="F1347" s="24">
        <f>D1347*E1347</f>
        <v/>
      </c>
      <c r="G1347" s="22" t="n"/>
    </row>
    <row r="1348">
      <c r="A1348" s="22" t="inlineStr">
        <is>
          <t>2209</t>
        </is>
      </c>
      <c r="B1348" s="11" t="inlineStr">
        <is>
          <t>Carriage of Cement</t>
        </is>
      </c>
      <c r="C1348" s="22" t="inlineStr">
        <is>
          <t>tonne</t>
        </is>
      </c>
      <c r="D1348" s="23" t="n">
        <v>0.1</v>
      </c>
      <c r="E1348" s="24" t="n">
        <v>92.23999999999999</v>
      </c>
      <c r="F1348" s="24">
        <f>D1348*E1348</f>
        <v/>
      </c>
      <c r="G1348" s="22" t="n"/>
    </row>
    <row r="1349">
      <c r="A1349" s="8" t="inlineStr">
        <is>
          <t>Calculated W - SUM of the Amount column above</t>
        </is>
      </c>
      <c r="B1349" s="9" t="n"/>
      <c r="C1349" s="9" t="n"/>
      <c r="D1349" s="9" t="n"/>
      <c r="E1349" s="9" t="n"/>
      <c r="F1349" s="25">
        <f>SUM(F1347:F1348)</f>
        <v/>
      </c>
      <c r="G1349" s="9" t="n"/>
    </row>
    <row r="1350">
      <c r="A1350" s="26" t="inlineStr">
        <is>
          <t>W as printed in the DAR</t>
        </is>
      </c>
      <c r="B1350" s="22" t="n"/>
      <c r="C1350" s="22" t="n"/>
      <c r="D1350" s="22" t="n"/>
      <c r="E1350" s="22" t="n"/>
      <c r="F1350" s="27" t="n">
        <v>503.22</v>
      </c>
      <c r="G1350" s="22" t="n"/>
    </row>
    <row r="1351">
      <c r="A1351" s="26" t="inlineStr">
        <is>
          <t>Difference (calculated - printed)</t>
        </is>
      </c>
      <c r="B1351" s="22" t="n"/>
      <c r="C1351" s="22" t="n"/>
      <c r="D1351" s="22" t="n"/>
      <c r="E1351" s="22" t="n"/>
      <c r="F1351" s="27">
        <f>F1349-F1350</f>
        <v/>
      </c>
      <c r="G1351" s="22" t="n"/>
    </row>
    <row r="1352">
      <c r="A1352" s="29" t="inlineStr">
        <is>
          <t>SAY (Rs.) - final DAR rate as printed (fixed value, not computed)</t>
        </is>
      </c>
      <c r="B1352" s="30" t="n"/>
      <c r="C1352" s="30" t="n"/>
      <c r="D1352" s="30" t="n"/>
      <c r="E1352" s="30" t="n"/>
      <c r="F1352" s="31" t="n">
        <v>673.3</v>
      </c>
      <c r="G1352" s="30" t="n"/>
    </row>
    <row r="1354" ht="76.5" customHeight="1">
      <c r="A1354" s="18" t="inlineStr">
        <is>
          <t>5.36</t>
        </is>
      </c>
      <c r="B1354" s="19" t="inlineStr">
        <is>
          <t>Providing and placing in position precast reinforced cement concrete waffle units, square or rectangular, as per design and shape for floors and roofs in 1:1½:3 (1 Cement : 1½ coarse sand (zone-III)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is>
      </c>
      <c r="C1354" s="20" t="n"/>
      <c r="D1354" s="20" t="n"/>
      <c r="E1354" s="20" t="n"/>
      <c r="F1354" s="20" t="n"/>
      <c r="G1354" s="20" t="n"/>
    </row>
    <row r="1355">
      <c r="A1355" s="21" t="inlineStr">
        <is>
          <t>Details of cost for 1.38 cum   |   Source: CivilDAR_2019_Vol_1.pdf, page 254</t>
        </is>
      </c>
    </row>
    <row r="1356">
      <c r="A1356" s="5" t="inlineStr">
        <is>
          <t>Code</t>
        </is>
      </c>
      <c r="B1356" s="5" t="inlineStr">
        <is>
          <t>Description</t>
        </is>
      </c>
      <c r="C1356" s="5" t="inlineStr">
        <is>
          <t>Unit</t>
        </is>
      </c>
      <c r="D1356" s="5" t="inlineStr">
        <is>
          <t>Quantity</t>
        </is>
      </c>
      <c r="E1356" s="5" t="inlineStr">
        <is>
          <t>Rate (Rs.)</t>
        </is>
      </c>
      <c r="F1356" s="5" t="inlineStr">
        <is>
          <t>Amount (Rs.)</t>
        </is>
      </c>
      <c r="G1356" s="5" t="inlineStr">
        <is>
          <t>Note</t>
        </is>
      </c>
    </row>
    <row r="1357">
      <c r="A1357" s="7" t="inlineStr">
        <is>
          <t>5.2.2</t>
        </is>
      </c>
      <c r="B1357" s="11" t="inlineStr">
        <is>
          <t>Rate as per item 5.2.2 - Reinforced cement concrete work in walls (any thickness), including attached pilasters, buttresses, plinth...</t>
        </is>
      </c>
      <c r="C1357" s="22" t="inlineStr">
        <is>
          <t>cum</t>
        </is>
      </c>
      <c r="D1357" s="23" t="n">
        <v>1.38</v>
      </c>
      <c r="E1357" s="24" t="n">
        <v>9306</v>
      </c>
      <c r="F1357" s="24">
        <f>D1357*E1357</f>
        <v/>
      </c>
      <c r="G1357" s="22" t="n"/>
    </row>
    <row r="1358">
      <c r="A1358" s="7" t="inlineStr">
        <is>
          <t>5.9.15</t>
        </is>
      </c>
      <c r="B1358" s="11" t="inlineStr">
        <is>
          <t>Rate as per item 5.9.15 - Centering and shuttering including strutting, propping etc. and removal of form for - Small lintels not exc...</t>
        </is>
      </c>
      <c r="C1358" s="22" t="inlineStr">
        <is>
          <t>sqm</t>
        </is>
      </c>
      <c r="D1358" s="23" t="n">
        <v>45.86</v>
      </c>
      <c r="E1358" s="24" t="n">
        <v>284.85</v>
      </c>
      <c r="F1358" s="24">
        <f>D1358*E1358</f>
        <v/>
      </c>
      <c r="G1358" s="22" t="n"/>
    </row>
    <row r="1359">
      <c r="A1359" s="7" t="inlineStr">
        <is>
          <t>10.2</t>
        </is>
      </c>
      <c r="B1359" s="11" t="inlineStr">
        <is>
          <t>Rate as per item 10.2 - Structural steel work riveted, bolted or welded in built up sections, trusses and framed work, including cu...</t>
        </is>
      </c>
      <c r="C1359" s="22" t="inlineStr">
        <is>
          <t>kg</t>
        </is>
      </c>
      <c r="D1359" s="23" t="n">
        <v>9</v>
      </c>
      <c r="E1359" s="24" t="n">
        <v>101.75</v>
      </c>
      <c r="F1359" s="24">
        <f>D1359*E1359</f>
        <v/>
      </c>
      <c r="G1359" s="22" t="n"/>
    </row>
    <row r="1360">
      <c r="A1360" s="22" t="inlineStr">
        <is>
          <t>9988</t>
        </is>
      </c>
      <c r="B1360" s="11" t="inlineStr">
        <is>
          <t>(iii) 10mm dia. Bolts 60mm long with nuts and washers 2x2 = 4 Nos. including carriage of bolts</t>
        </is>
      </c>
      <c r="C1360" s="22" t="inlineStr">
        <is>
          <t>L.S.</t>
        </is>
      </c>
      <c r="D1360" s="23" t="n">
        <v>13</v>
      </c>
      <c r="E1360" s="24" t="n">
        <v>2</v>
      </c>
      <c r="F1360" s="24">
        <f>D1360*E1360</f>
        <v/>
      </c>
      <c r="G1360" s="22" t="n"/>
    </row>
    <row r="1361">
      <c r="A1361" s="22" t="inlineStr">
        <is>
          <t>9999</t>
        </is>
      </c>
      <c r="B1361" s="11" t="inlineStr">
        <is>
          <t>Sundries</t>
        </is>
      </c>
      <c r="C1361" s="22" t="inlineStr">
        <is>
          <t>L.S.</t>
        </is>
      </c>
      <c r="D1361" s="23" t="n">
        <v>79.95</v>
      </c>
      <c r="E1361" s="24" t="n">
        <v>2</v>
      </c>
      <c r="F1361" s="24">
        <f>D1361*E1361</f>
        <v/>
      </c>
      <c r="G1361" s="22" t="n"/>
    </row>
    <row r="1362">
      <c r="A1362" s="22" t="inlineStr">
        <is>
          <t>0126</t>
        </is>
      </c>
      <c r="B1362" s="11" t="inlineStr">
        <is>
          <t>Mason (for ornamental stone work) 1st class</t>
        </is>
      </c>
      <c r="C1362" s="22" t="inlineStr">
        <is>
          <t>day</t>
        </is>
      </c>
      <c r="D1362" s="23" t="n">
        <v>1</v>
      </c>
      <c r="E1362" s="24" t="n">
        <v>738</v>
      </c>
      <c r="F1362" s="24">
        <f>D1362*E1362</f>
        <v/>
      </c>
      <c r="G1362" s="22" t="n"/>
    </row>
    <row r="1363">
      <c r="A1363" s="22" t="inlineStr">
        <is>
          <t>0114</t>
        </is>
      </c>
      <c r="B1363" s="11" t="inlineStr">
        <is>
          <t>Beldar</t>
        </is>
      </c>
      <c r="C1363" s="22" t="inlineStr">
        <is>
          <t>day</t>
        </is>
      </c>
      <c r="D1363" s="23" t="n">
        <v>6</v>
      </c>
      <c r="E1363" s="24" t="n">
        <v>558</v>
      </c>
      <c r="F1363" s="24">
        <f>D1363*E1363</f>
        <v/>
      </c>
      <c r="G1363" s="22" t="n"/>
    </row>
    <row r="1364">
      <c r="A1364" s="22" t="inlineStr">
        <is>
          <t>13.35.1</t>
        </is>
      </c>
      <c r="B1364" s="11" t="inlineStr">
        <is>
          <t>Rate as per item 13.35.1 - Pointing on stone slab ceiling with cement mortar 1:2 (1 cement : 2 fine sand) - Flush/ Ruled pointing</t>
        </is>
      </c>
      <c r="C1364" s="22" t="inlineStr">
        <is>
          <t>sqm</t>
        </is>
      </c>
      <c r="D1364" s="23" t="n">
        <v>16.54</v>
      </c>
      <c r="E1364" s="24" t="n">
        <v>159</v>
      </c>
      <c r="F1364" s="24">
        <f>D1364*E1364</f>
        <v/>
      </c>
      <c r="G1364" s="22" t="n"/>
    </row>
    <row r="1365">
      <c r="A1365" s="8" t="inlineStr">
        <is>
          <t>Calculated W - SUM of the Amount column above</t>
        </is>
      </c>
      <c r="B1365" s="9" t="n"/>
      <c r="C1365" s="9" t="n"/>
      <c r="D1365" s="9" t="n"/>
      <c r="E1365" s="9" t="n"/>
      <c r="F1365" s="25">
        <f>SUM(F1357:F1364)</f>
        <v/>
      </c>
      <c r="G1365" s="9" t="n"/>
    </row>
    <row r="1366">
      <c r="A1366" s="26" t="inlineStr">
        <is>
          <t>W as printed in the DAR</t>
        </is>
      </c>
      <c r="B1366" s="22" t="n"/>
      <c r="C1366" s="22" t="n"/>
      <c r="D1366" s="22" t="n"/>
      <c r="E1366" s="22" t="n"/>
      <c r="F1366" s="27" t="n">
        <v>33723.01</v>
      </c>
      <c r="G1366" s="22" t="n"/>
    </row>
    <row r="1367">
      <c r="A1367" s="26" t="inlineStr">
        <is>
          <t>Difference (calculated - printed)</t>
        </is>
      </c>
      <c r="B1367" s="22" t="n"/>
      <c r="C1367" s="22" t="n"/>
      <c r="D1367" s="22" t="n"/>
      <c r="E1367" s="22" t="n"/>
      <c r="F1367" s="27">
        <f>F1365-F1366</f>
        <v/>
      </c>
      <c r="G1367" s="22" t="n"/>
    </row>
    <row r="1368">
      <c r="A1368" s="29" t="inlineStr">
        <is>
          <t>SAY (Rs.) - final DAR rate as printed (fixed value, not computed)</t>
        </is>
      </c>
      <c r="B1368" s="30" t="n"/>
      <c r="C1368" s="30" t="n"/>
      <c r="D1368" s="30" t="n"/>
      <c r="E1368" s="30" t="n"/>
      <c r="F1368" s="31" t="n">
        <v>25483.1</v>
      </c>
      <c r="G1368" s="30" t="n"/>
    </row>
    <row r="1370" ht="120" customHeight="1">
      <c r="A1370" s="8" t="inlineStr">
        <is>
          <t>5.37</t>
        </is>
      </c>
      <c r="B1370" s="17" t="inlineStr">
        <is>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 excluding the cost of centering, shuttering finishing and reinforcement, including cost of admixtures in recommended proportions as per IS : 9103 to accelerate/ retard setting of concrete, improve workability without impairing strength and durability as per direction of the Engineer-in-charge. (Note :- Cement content considered in this item is @ 330 kg/cum.Excess/less cement used as per design mix is payable/recoverable separately).</t>
        </is>
      </c>
      <c r="C1370" s="9" t="n"/>
      <c r="D1370" s="9" t="n"/>
      <c r="E1370" s="9" t="n"/>
      <c r="F1370" s="9" t="n"/>
      <c r="G1370" s="9" t="n"/>
    </row>
    <row r="1371" ht="18.5" customHeight="1">
      <c r="A1371" s="18" t="inlineStr">
        <is>
          <t>5.37.1</t>
        </is>
      </c>
      <c r="B1371" s="19" t="inlineStr">
        <is>
          <t>All works upto plinth level</t>
        </is>
      </c>
      <c r="C1371" s="20" t="n"/>
      <c r="D1371" s="20" t="n"/>
      <c r="E1371" s="20" t="n"/>
      <c r="F1371" s="20" t="n"/>
      <c r="G1371" s="20" t="n"/>
    </row>
    <row r="1372">
      <c r="A1372" s="21" t="inlineStr">
        <is>
          <t>Details of cost for 1 cum   |   Source: CivilDAR_2019_Vol_1.pdf, page 255</t>
        </is>
      </c>
    </row>
    <row r="1373">
      <c r="A1373" s="5" t="inlineStr">
        <is>
          <t>Code</t>
        </is>
      </c>
      <c r="B1373" s="5" t="inlineStr">
        <is>
          <t>Description</t>
        </is>
      </c>
      <c r="C1373" s="5" t="inlineStr">
        <is>
          <t>Unit</t>
        </is>
      </c>
      <c r="D1373" s="5" t="inlineStr">
        <is>
          <t>Quantity</t>
        </is>
      </c>
      <c r="E1373" s="5" t="inlineStr">
        <is>
          <t>Rate (Rs.)</t>
        </is>
      </c>
      <c r="F1373" s="5" t="inlineStr">
        <is>
          <t>Amount (Rs.)</t>
        </is>
      </c>
      <c r="G1373" s="5" t="inlineStr">
        <is>
          <t>Note</t>
        </is>
      </c>
    </row>
    <row r="1374">
      <c r="A1374" s="22" t="inlineStr">
        <is>
          <t>0295</t>
        </is>
      </c>
      <c r="B1374" s="11" t="inlineStr">
        <is>
          <t>Stone Aggregate (Single size) : 20 mm nominal size</t>
        </is>
      </c>
      <c r="C1374" s="22" t="inlineStr">
        <is>
          <t>cum</t>
        </is>
      </c>
      <c r="D1374" s="23" t="n">
        <v>0.57</v>
      </c>
      <c r="E1374" s="24" t="n">
        <v>1350</v>
      </c>
      <c r="F1374" s="24">
        <f>D1374*E1374</f>
        <v/>
      </c>
      <c r="G1374" s="22" t="n"/>
    </row>
    <row r="1375">
      <c r="A1375" s="22" t="inlineStr">
        <is>
          <t>0297</t>
        </is>
      </c>
      <c r="B1375" s="11" t="inlineStr">
        <is>
          <t>Stone Aggregate (Single size) : 10 mm nominal size</t>
        </is>
      </c>
      <c r="C1375" s="22" t="inlineStr">
        <is>
          <t>cum</t>
        </is>
      </c>
      <c r="D1375" s="23" t="n">
        <v>0.28</v>
      </c>
      <c r="E1375" s="24" t="n">
        <v>1350</v>
      </c>
      <c r="F1375" s="24">
        <f>D1375*E1375</f>
        <v/>
      </c>
      <c r="G1375" s="22" t="n"/>
    </row>
    <row r="1376">
      <c r="A1376" s="22" t="inlineStr">
        <is>
          <t>2202</t>
        </is>
      </c>
      <c r="B1376" s="11" t="inlineStr">
        <is>
          <t>Carriage of Stone aggregate below 40 mm nominal size</t>
        </is>
      </c>
      <c r="C1376" s="22" t="inlineStr">
        <is>
          <t>cum</t>
        </is>
      </c>
      <c r="D1376" s="23" t="n">
        <v>0.85</v>
      </c>
      <c r="E1376" s="24" t="n">
        <v>103.77</v>
      </c>
      <c r="F1376" s="24">
        <f>D1376*E1376</f>
        <v/>
      </c>
      <c r="G1376" s="22" t="n"/>
    </row>
    <row r="1377">
      <c r="A1377" s="22" t="inlineStr">
        <is>
          <t>0982</t>
        </is>
      </c>
      <c r="B1377" s="11" t="inlineStr">
        <is>
          <t>Coarse sand (zone III)</t>
        </is>
      </c>
      <c r="C1377" s="22" t="inlineStr">
        <is>
          <t>cum</t>
        </is>
      </c>
      <c r="D1377" s="23" t="n">
        <v>0.425</v>
      </c>
      <c r="E1377" s="24" t="n">
        <v>1350</v>
      </c>
      <c r="F1377" s="24">
        <f>D1377*E1377</f>
        <v/>
      </c>
      <c r="G1377" s="22" t="n"/>
    </row>
    <row r="1378">
      <c r="A1378" s="22" t="inlineStr">
        <is>
          <t>2203</t>
        </is>
      </c>
      <c r="B1378" s="11" t="inlineStr">
        <is>
          <t>Carriage of Coarse sand</t>
        </is>
      </c>
      <c r="C1378" s="22" t="inlineStr">
        <is>
          <t>cum</t>
        </is>
      </c>
      <c r="D1378" s="23" t="n">
        <v>0.425</v>
      </c>
      <c r="E1378" s="24" t="n">
        <v>103.77</v>
      </c>
      <c r="F1378" s="24">
        <f>D1378*E1378</f>
        <v/>
      </c>
      <c r="G1378" s="22" t="n"/>
    </row>
    <row r="1379">
      <c r="A1379" s="22" t="inlineStr">
        <is>
          <t>0367</t>
        </is>
      </c>
      <c r="B1379" s="11" t="inlineStr">
        <is>
          <t>Portland Cement</t>
        </is>
      </c>
      <c r="C1379" s="22" t="inlineStr">
        <is>
          <t>tonne</t>
        </is>
      </c>
      <c r="D1379" s="23" t="n">
        <v>0.33</v>
      </c>
      <c r="E1379" s="24" t="n">
        <v>4940</v>
      </c>
      <c r="F1379" s="24">
        <f>D1379*E1379</f>
        <v/>
      </c>
      <c r="G1379" s="22" t="n"/>
    </row>
    <row r="1380">
      <c r="A1380" s="22" t="inlineStr">
        <is>
          <t>2209</t>
        </is>
      </c>
      <c r="B1380" s="11" t="inlineStr">
        <is>
          <t>Carriage of Cement</t>
        </is>
      </c>
      <c r="C1380" s="22" t="inlineStr">
        <is>
          <t>tonne</t>
        </is>
      </c>
      <c r="D1380" s="23" t="n">
        <v>0.33</v>
      </c>
      <c r="E1380" s="24" t="n">
        <v>92.23999999999999</v>
      </c>
      <c r="F1380" s="24">
        <f>D1380*E1380</f>
        <v/>
      </c>
      <c r="G1380" s="22" t="n"/>
    </row>
    <row r="1381">
      <c r="A1381" s="22" t="inlineStr">
        <is>
          <t>7318</t>
        </is>
      </c>
      <c r="B1381" s="11" t="inlineStr">
        <is>
          <t>Plasticizer / super plasticizer</t>
        </is>
      </c>
      <c r="C1381" s="22" t="inlineStr">
        <is>
          <t>kilogram</t>
        </is>
      </c>
      <c r="D1381" s="23" t="n">
        <v>1.65</v>
      </c>
      <c r="E1381" s="24" t="n">
        <v>36</v>
      </c>
      <c r="F1381" s="24">
        <f>D1381*E1381</f>
        <v/>
      </c>
      <c r="G1381" s="22" t="n"/>
    </row>
    <row r="1382">
      <c r="A1382" s="22" t="inlineStr">
        <is>
          <t>0004</t>
        </is>
      </c>
      <c r="B1382" s="11" t="inlineStr">
        <is>
          <t>Production cost of concrete by batch mix plant.</t>
        </is>
      </c>
      <c r="C1382" s="22" t="inlineStr">
        <is>
          <t>cum</t>
        </is>
      </c>
      <c r="D1382" s="23" t="n">
        <v>1</v>
      </c>
      <c r="E1382" s="24" t="n">
        <v>350</v>
      </c>
      <c r="F1382" s="24">
        <f>D1382*E1382</f>
        <v/>
      </c>
      <c r="G1382" s="22" t="n"/>
    </row>
    <row r="1383">
      <c r="A1383" s="22" t="inlineStr">
        <is>
          <t>0029</t>
        </is>
      </c>
      <c r="B1383" s="11" t="inlineStr">
        <is>
          <t>Carriage of concrete by transit mixer. km/</t>
        </is>
      </c>
      <c r="C1383" s="22" t="inlineStr">
        <is>
          <t>cum</t>
        </is>
      </c>
      <c r="D1383" s="23" t="n">
        <v>10</v>
      </c>
      <c r="E1383" s="24" t="n">
        <v>30</v>
      </c>
      <c r="F1383" s="24">
        <f>D1383*E1383</f>
        <v/>
      </c>
      <c r="G1383" s="22" t="n"/>
    </row>
    <row r="1384">
      <c r="A1384" s="22" t="inlineStr">
        <is>
          <t>0009</t>
        </is>
      </c>
      <c r="B1384" s="11" t="inlineStr">
        <is>
          <t>Pumping charges of concrete including Hire charges of pump, piping work &amp; accessories etc.</t>
        </is>
      </c>
      <c r="C1384" s="22" t="inlineStr">
        <is>
          <t>cum</t>
        </is>
      </c>
      <c r="D1384" s="23" t="n">
        <v>1</v>
      </c>
      <c r="E1384" s="24" t="n">
        <v>210</v>
      </c>
      <c r="F1384" s="24">
        <f>D1384*E1384</f>
        <v/>
      </c>
      <c r="G1384" s="22" t="n"/>
    </row>
    <row r="1385">
      <c r="A1385" s="22" t="inlineStr">
        <is>
          <t>0155</t>
        </is>
      </c>
      <c r="B1385" s="11" t="inlineStr">
        <is>
          <t>Mason (average)</t>
        </is>
      </c>
      <c r="C1385" s="22" t="inlineStr">
        <is>
          <t>day</t>
        </is>
      </c>
      <c r="D1385" s="23" t="n">
        <v>0.17</v>
      </c>
      <c r="E1385" s="24" t="n">
        <v>709</v>
      </c>
      <c r="F1385" s="24">
        <f>D1385*E1385</f>
        <v/>
      </c>
      <c r="G1385" s="22" t="n"/>
    </row>
    <row r="1386">
      <c r="A1386" s="22" t="inlineStr">
        <is>
          <t>0114</t>
        </is>
      </c>
      <c r="B1386" s="11" t="inlineStr">
        <is>
          <t>Beldar</t>
        </is>
      </c>
      <c r="C1386" s="22" t="inlineStr">
        <is>
          <t>day</t>
        </is>
      </c>
      <c r="D1386" s="23" t="n">
        <v>2</v>
      </c>
      <c r="E1386" s="24" t="n">
        <v>558</v>
      </c>
      <c r="F1386" s="24">
        <f>D1386*E1386</f>
        <v/>
      </c>
      <c r="G1386" s="22" t="n"/>
    </row>
    <row r="1387">
      <c r="A1387" s="22" t="inlineStr">
        <is>
          <t>0101</t>
        </is>
      </c>
      <c r="B1387" s="11" t="inlineStr">
        <is>
          <t>Bhisti</t>
        </is>
      </c>
      <c r="C1387" s="22" t="inlineStr">
        <is>
          <t>day</t>
        </is>
      </c>
      <c r="D1387" s="23" t="n">
        <v>0.9</v>
      </c>
      <c r="E1387" s="24" t="n">
        <v>617</v>
      </c>
      <c r="F1387" s="24">
        <f>D1387*E1387</f>
        <v/>
      </c>
      <c r="G1387" s="22" t="n"/>
    </row>
    <row r="1388">
      <c r="A1388" s="22" t="inlineStr">
        <is>
          <t>0012</t>
        </is>
      </c>
      <c r="B1388" s="11" t="inlineStr">
        <is>
          <t>Vibrator(Needle type 40mm)</t>
        </is>
      </c>
      <c r="C1388" s="22" t="inlineStr">
        <is>
          <t>day</t>
        </is>
      </c>
      <c r="D1388" s="23" t="n">
        <v>0.07000000000000001</v>
      </c>
      <c r="E1388" s="24" t="n">
        <v>370</v>
      </c>
      <c r="F1388" s="24">
        <f>D1388*E1388</f>
        <v/>
      </c>
      <c r="G1388" s="22" t="n"/>
    </row>
    <row r="1389">
      <c r="A1389" s="22" t="inlineStr">
        <is>
          <t>9999</t>
        </is>
      </c>
      <c r="B1389" s="11" t="inlineStr">
        <is>
          <t>Sundries</t>
        </is>
      </c>
      <c r="C1389" s="22" t="inlineStr">
        <is>
          <t>L.S.</t>
        </is>
      </c>
      <c r="D1389" s="23" t="n">
        <v>13</v>
      </c>
      <c r="E1389" s="24" t="n">
        <v>2</v>
      </c>
      <c r="F1389" s="24">
        <f>D1389*E1389</f>
        <v/>
      </c>
      <c r="G1389" s="22" t="n"/>
    </row>
    <row r="1390">
      <c r="A1390" s="8" t="inlineStr">
        <is>
          <t>Calculated W - SUM of the Amount column above</t>
        </is>
      </c>
      <c r="B1390" s="9" t="n"/>
      <c r="C1390" s="9" t="n"/>
      <c r="D1390" s="9" t="n"/>
      <c r="E1390" s="9" t="n"/>
      <c r="F1390" s="25">
        <f>SUM(F1374:F1389)</f>
        <v/>
      </c>
      <c r="G1390" s="9" t="n"/>
    </row>
    <row r="1391">
      <c r="A1391" s="26" t="inlineStr">
        <is>
          <t>W as printed in the DAR</t>
        </is>
      </c>
      <c r="B1391" s="22" t="n"/>
      <c r="C1391" s="22" t="n"/>
      <c r="D1391" s="22" t="n"/>
      <c r="E1391" s="22" t="n"/>
      <c r="F1391" s="27" t="n">
        <v>6277.33</v>
      </c>
      <c r="G1391" s="22" t="n"/>
    </row>
    <row r="1392">
      <c r="A1392" s="26" t="inlineStr">
        <is>
          <t>Difference (calculated - printed)</t>
        </is>
      </c>
      <c r="B1392" s="22" t="n"/>
      <c r="C1392" s="22" t="n"/>
      <c r="D1392" s="22" t="n"/>
      <c r="E1392" s="22" t="n"/>
      <c r="F1392" s="27">
        <f>F1390-F1391</f>
        <v/>
      </c>
      <c r="G1392" s="22" t="n"/>
    </row>
    <row r="1393">
      <c r="A1393" s="29" t="inlineStr">
        <is>
          <t>SAY (Rs.) - final DAR rate as printed (fixed value, not computed)</t>
        </is>
      </c>
      <c r="B1393" s="30" t="n"/>
      <c r="C1393" s="30" t="n"/>
      <c r="D1393" s="30" t="n"/>
      <c r="E1393" s="30" t="n"/>
      <c r="F1393" s="31" t="n">
        <v>8398.65</v>
      </c>
      <c r="G1393" s="30" t="n"/>
    </row>
    <row r="1395" ht="120" customHeight="1">
      <c r="A1395" s="8" t="inlineStr">
        <is>
          <t>5.37</t>
        </is>
      </c>
      <c r="B1395" s="17" t="inlineStr">
        <is>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 excluding the cost of centering, shuttering finishing and reinforcement, including cost of admixtures in recommended proportions as per IS : 9103 to accelerate/ retard setting of concrete, improve workability without impairing strength and durability as per direction of the Engineer-in-charge. (Note :- Cement content considered in this item is @ 330 kg/cum.Excess/less cement used as per design mix is payable/recoverable separately).</t>
        </is>
      </c>
      <c r="C1395" s="9" t="n"/>
      <c r="D1395" s="9" t="n"/>
      <c r="E1395" s="9" t="n"/>
      <c r="F1395" s="9" t="n"/>
      <c r="G1395" s="9" t="n"/>
    </row>
    <row r="1396" ht="18.5" customHeight="1">
      <c r="A1396" s="18" t="inlineStr">
        <is>
          <t>5.37.2</t>
        </is>
      </c>
      <c r="B1396" s="19" t="inlineStr">
        <is>
          <t>All works above plinth level upto floor V level</t>
        </is>
      </c>
      <c r="C1396" s="20" t="n"/>
      <c r="D1396" s="20" t="n"/>
      <c r="E1396" s="20" t="n"/>
      <c r="F1396" s="20" t="n"/>
      <c r="G1396" s="20" t="n"/>
    </row>
    <row r="1397">
      <c r="A1397" s="21" t="inlineStr">
        <is>
          <t>Details of cost for 1 cum   |   Source: CivilDAR_2019_Vol_1.pdf, page 256</t>
        </is>
      </c>
    </row>
    <row r="1398">
      <c r="A1398" s="5" t="inlineStr">
        <is>
          <t>Code</t>
        </is>
      </c>
      <c r="B1398" s="5" t="inlineStr">
        <is>
          <t>Description</t>
        </is>
      </c>
      <c r="C1398" s="5" t="inlineStr">
        <is>
          <t>Unit</t>
        </is>
      </c>
      <c r="D1398" s="5" t="inlineStr">
        <is>
          <t>Quantity</t>
        </is>
      </c>
      <c r="E1398" s="5" t="inlineStr">
        <is>
          <t>Rate (Rs.)</t>
        </is>
      </c>
      <c r="F1398" s="5" t="inlineStr">
        <is>
          <t>Amount (Rs.)</t>
        </is>
      </c>
      <c r="G1398" s="5" t="inlineStr">
        <is>
          <t>Note</t>
        </is>
      </c>
    </row>
    <row r="1399">
      <c r="A1399" s="22" t="inlineStr">
        <is>
          <t>0295</t>
        </is>
      </c>
      <c r="B1399" s="11" t="inlineStr">
        <is>
          <t>Stone Aggregate (Single size) : 20 mm nominal size</t>
        </is>
      </c>
      <c r="C1399" s="22" t="inlineStr">
        <is>
          <t>cum</t>
        </is>
      </c>
      <c r="D1399" s="23" t="n">
        <v>0.57</v>
      </c>
      <c r="E1399" s="24" t="n">
        <v>1350</v>
      </c>
      <c r="F1399" s="24">
        <f>D1399*E1399</f>
        <v/>
      </c>
      <c r="G1399" s="22" t="n"/>
    </row>
    <row r="1400">
      <c r="A1400" s="22" t="inlineStr">
        <is>
          <t>0297</t>
        </is>
      </c>
      <c r="B1400" s="11" t="inlineStr">
        <is>
          <t>Stone Aggregate (Single size) : 10 mm nominal size</t>
        </is>
      </c>
      <c r="C1400" s="22" t="inlineStr">
        <is>
          <t>cum</t>
        </is>
      </c>
      <c r="D1400" s="23" t="n">
        <v>0.28</v>
      </c>
      <c r="E1400" s="24" t="n">
        <v>1350</v>
      </c>
      <c r="F1400" s="24">
        <f>D1400*E1400</f>
        <v/>
      </c>
      <c r="G1400" s="22" t="n"/>
    </row>
    <row r="1401">
      <c r="A1401" s="22" t="inlineStr">
        <is>
          <t>2202</t>
        </is>
      </c>
      <c r="B1401" s="11" t="inlineStr">
        <is>
          <t>Carriage of Stone aggregate below 40 mm nominal size</t>
        </is>
      </c>
      <c r="C1401" s="22" t="inlineStr">
        <is>
          <t>cum</t>
        </is>
      </c>
      <c r="D1401" s="23" t="n">
        <v>0.85</v>
      </c>
      <c r="E1401" s="24" t="n">
        <v>103.77</v>
      </c>
      <c r="F1401" s="24">
        <f>D1401*E1401</f>
        <v/>
      </c>
      <c r="G1401" s="22" t="n"/>
    </row>
    <row r="1402">
      <c r="A1402" s="22" t="inlineStr">
        <is>
          <t>0982</t>
        </is>
      </c>
      <c r="B1402" s="11" t="inlineStr">
        <is>
          <t>Coarse sand (zone III)</t>
        </is>
      </c>
      <c r="C1402" s="22" t="inlineStr">
        <is>
          <t>cum</t>
        </is>
      </c>
      <c r="D1402" s="23" t="n">
        <v>0.425</v>
      </c>
      <c r="E1402" s="24" t="n">
        <v>1350</v>
      </c>
      <c r="F1402" s="24">
        <f>D1402*E1402</f>
        <v/>
      </c>
      <c r="G1402" s="22" t="n"/>
    </row>
    <row r="1403">
      <c r="A1403" s="22" t="inlineStr">
        <is>
          <t>2203</t>
        </is>
      </c>
      <c r="B1403" s="11" t="inlineStr">
        <is>
          <t>Carriage of Coarse sand</t>
        </is>
      </c>
      <c r="C1403" s="22" t="inlineStr">
        <is>
          <t>cum</t>
        </is>
      </c>
      <c r="D1403" s="23" t="n">
        <v>0.425</v>
      </c>
      <c r="E1403" s="24" t="n">
        <v>103.77</v>
      </c>
      <c r="F1403" s="24">
        <f>D1403*E1403</f>
        <v/>
      </c>
      <c r="G1403" s="22" t="n"/>
    </row>
    <row r="1404">
      <c r="A1404" s="22" t="inlineStr">
        <is>
          <t>0367</t>
        </is>
      </c>
      <c r="B1404" s="11" t="inlineStr">
        <is>
          <t>Portland Cement</t>
        </is>
      </c>
      <c r="C1404" s="22" t="inlineStr">
        <is>
          <t>tonne</t>
        </is>
      </c>
      <c r="D1404" s="23" t="n">
        <v>0.33</v>
      </c>
      <c r="E1404" s="24" t="n">
        <v>4940</v>
      </c>
      <c r="F1404" s="24">
        <f>D1404*E1404</f>
        <v/>
      </c>
      <c r="G1404" s="22" t="n"/>
    </row>
    <row r="1405">
      <c r="A1405" s="22" t="inlineStr">
        <is>
          <t>2209</t>
        </is>
      </c>
      <c r="B1405" s="11" t="inlineStr">
        <is>
          <t>Carriage of Cement</t>
        </is>
      </c>
      <c r="C1405" s="22" t="inlineStr">
        <is>
          <t>tonne</t>
        </is>
      </c>
      <c r="D1405" s="23" t="n">
        <v>0.33</v>
      </c>
      <c r="E1405" s="24" t="n">
        <v>92.23999999999999</v>
      </c>
      <c r="F1405" s="24">
        <f>D1405*E1405</f>
        <v/>
      </c>
      <c r="G1405" s="22" t="n"/>
    </row>
    <row r="1406">
      <c r="A1406" s="22" t="inlineStr">
        <is>
          <t>7318</t>
        </is>
      </c>
      <c r="B1406" s="11" t="inlineStr">
        <is>
          <t>Plasticizer / super plasticizer</t>
        </is>
      </c>
      <c r="C1406" s="22" t="inlineStr">
        <is>
          <t>kilogram</t>
        </is>
      </c>
      <c r="D1406" s="23" t="n">
        <v>1.65</v>
      </c>
      <c r="E1406" s="24" t="n">
        <v>36</v>
      </c>
      <c r="F1406" s="24">
        <f>D1406*E1406</f>
        <v/>
      </c>
      <c r="G1406" s="22" t="n"/>
    </row>
    <row r="1407">
      <c r="A1407" s="22" t="inlineStr">
        <is>
          <t>0004</t>
        </is>
      </c>
      <c r="B1407" s="11" t="inlineStr">
        <is>
          <t>Production cost of concrete by batch mix plant.</t>
        </is>
      </c>
      <c r="C1407" s="22" t="inlineStr">
        <is>
          <t>cum</t>
        </is>
      </c>
      <c r="D1407" s="23" t="n">
        <v>1</v>
      </c>
      <c r="E1407" s="24" t="n">
        <v>350</v>
      </c>
      <c r="F1407" s="24">
        <f>D1407*E1407</f>
        <v/>
      </c>
      <c r="G1407" s="22" t="n"/>
    </row>
    <row r="1408">
      <c r="A1408" s="22" t="inlineStr">
        <is>
          <t>0029</t>
        </is>
      </c>
      <c r="B1408" s="11" t="inlineStr">
        <is>
          <t>Carriage of concrete by transit mixer. km/</t>
        </is>
      </c>
      <c r="C1408" s="22" t="inlineStr">
        <is>
          <t>cum</t>
        </is>
      </c>
      <c r="D1408" s="23" t="n">
        <v>10</v>
      </c>
      <c r="E1408" s="24" t="n">
        <v>30</v>
      </c>
      <c r="F1408" s="24">
        <f>D1408*E1408</f>
        <v/>
      </c>
      <c r="G1408" s="22" t="n"/>
    </row>
    <row r="1409">
      <c r="A1409" s="22" t="inlineStr">
        <is>
          <t>0009</t>
        </is>
      </c>
      <c r="B1409" s="11" t="inlineStr">
        <is>
          <t>Pumping charges of concrete including Hire charges of pump, piping work &amp; accessories etc.</t>
        </is>
      </c>
      <c r="C1409" s="22" t="inlineStr">
        <is>
          <t>cum</t>
        </is>
      </c>
      <c r="D1409" s="23" t="n">
        <v>1</v>
      </c>
      <c r="E1409" s="24" t="n">
        <v>210</v>
      </c>
      <c r="F1409" s="24">
        <f>D1409*E1409</f>
        <v/>
      </c>
      <c r="G1409" s="22" t="n"/>
    </row>
    <row r="1410">
      <c r="A1410" s="22" t="inlineStr">
        <is>
          <t>0155</t>
        </is>
      </c>
      <c r="B1410" s="11" t="inlineStr">
        <is>
          <t>Mason (average)</t>
        </is>
      </c>
      <c r="C1410" s="22" t="inlineStr">
        <is>
          <t>day</t>
        </is>
      </c>
      <c r="D1410" s="23" t="n">
        <v>0.17</v>
      </c>
      <c r="E1410" s="24" t="n">
        <v>709</v>
      </c>
      <c r="F1410" s="24">
        <f>D1410*E1410</f>
        <v/>
      </c>
      <c r="G1410" s="22" t="n"/>
    </row>
    <row r="1411">
      <c r="A1411" s="22" t="inlineStr">
        <is>
          <t>0114</t>
        </is>
      </c>
      <c r="B1411" s="11" t="inlineStr">
        <is>
          <t>Beldar</t>
        </is>
      </c>
      <c r="C1411" s="22" t="inlineStr">
        <is>
          <t>day</t>
        </is>
      </c>
      <c r="D1411" s="23" t="n">
        <v>2</v>
      </c>
      <c r="E1411" s="24" t="n">
        <v>558</v>
      </c>
      <c r="F1411" s="24">
        <f>D1411*E1411</f>
        <v/>
      </c>
      <c r="G1411" s="22" t="n"/>
    </row>
    <row r="1412">
      <c r="A1412" s="22" t="inlineStr">
        <is>
          <t>0101</t>
        </is>
      </c>
      <c r="B1412" s="11" t="inlineStr">
        <is>
          <t>Bhisti</t>
        </is>
      </c>
      <c r="C1412" s="22" t="inlineStr">
        <is>
          <t>day</t>
        </is>
      </c>
      <c r="D1412" s="23" t="n">
        <v>0.9</v>
      </c>
      <c r="E1412" s="24" t="n">
        <v>617</v>
      </c>
      <c r="F1412" s="24">
        <f>D1412*E1412</f>
        <v/>
      </c>
      <c r="G1412" s="22" t="n"/>
    </row>
    <row r="1413">
      <c r="A1413" s="22" t="inlineStr">
        <is>
          <t>0012</t>
        </is>
      </c>
      <c r="B1413" s="11" t="inlineStr">
        <is>
          <t>Vibrator(Needle type 40mm)</t>
        </is>
      </c>
      <c r="C1413" s="22" t="inlineStr">
        <is>
          <t>day</t>
        </is>
      </c>
      <c r="D1413" s="23" t="n">
        <v>0.07000000000000001</v>
      </c>
      <c r="E1413" s="24" t="n">
        <v>370</v>
      </c>
      <c r="F1413" s="24">
        <f>D1413*E1413</f>
        <v/>
      </c>
      <c r="G1413" s="22" t="n"/>
    </row>
    <row r="1414">
      <c r="A1414" s="22" t="inlineStr">
        <is>
          <t>9999</t>
        </is>
      </c>
      <c r="B1414" s="11" t="inlineStr">
        <is>
          <t>Sundries</t>
        </is>
      </c>
      <c r="C1414" s="22" t="inlineStr">
        <is>
          <t>L.S.</t>
        </is>
      </c>
      <c r="D1414" s="23" t="n">
        <v>13</v>
      </c>
      <c r="E1414" s="24" t="n">
        <v>2</v>
      </c>
      <c r="F1414" s="24">
        <f>D1414*E1414</f>
        <v/>
      </c>
      <c r="G1414" s="22" t="n"/>
    </row>
    <row r="1415">
      <c r="A1415" s="22" t="inlineStr">
        <is>
          <t>0115</t>
        </is>
      </c>
      <c r="B1415" s="11" t="inlineStr">
        <is>
          <t>Coolie</t>
        </is>
      </c>
      <c r="C1415" s="22" t="inlineStr">
        <is>
          <t>day</t>
        </is>
      </c>
      <c r="D1415" s="23" t="n">
        <v>1.88</v>
      </c>
      <c r="E1415" s="24" t="n">
        <v>558</v>
      </c>
      <c r="F1415" s="24">
        <f>D1415*E1415</f>
        <v/>
      </c>
      <c r="G1415" s="22" t="n"/>
    </row>
    <row r="1416">
      <c r="A1416" s="8" t="inlineStr">
        <is>
          <t>Calculated W - SUM of the Amount column above</t>
        </is>
      </c>
      <c r="B1416" s="9" t="n"/>
      <c r="C1416" s="9" t="n"/>
      <c r="D1416" s="9" t="n"/>
      <c r="E1416" s="9" t="n"/>
      <c r="F1416" s="25">
        <f>SUM(F1399:F1415)</f>
        <v/>
      </c>
      <c r="G1416" s="9" t="n"/>
    </row>
    <row r="1417">
      <c r="A1417" s="26" t="inlineStr">
        <is>
          <t>W as printed in the DAR</t>
        </is>
      </c>
      <c r="B1417" s="22" t="n"/>
      <c r="C1417" s="22" t="n"/>
      <c r="D1417" s="22" t="n"/>
      <c r="E1417" s="22" t="n"/>
      <c r="F1417" s="27" t="n">
        <v>7326.37</v>
      </c>
      <c r="G1417" s="22" t="n"/>
    </row>
    <row r="1418">
      <c r="A1418" s="26" t="inlineStr">
        <is>
          <t>Difference (calculated - printed)</t>
        </is>
      </c>
      <c r="B1418" s="22" t="n"/>
      <c r="C1418" s="22" t="n"/>
      <c r="D1418" s="22" t="n"/>
      <c r="E1418" s="22" t="n"/>
      <c r="F1418" s="27">
        <f>F1416-F1417</f>
        <v/>
      </c>
      <c r="G1418" s="22" t="n"/>
    </row>
    <row r="1419">
      <c r="A1419" s="29" t="inlineStr">
        <is>
          <t>SAY (Rs.) - final DAR rate as printed (fixed value, not computed)</t>
        </is>
      </c>
      <c r="B1419" s="30" t="n"/>
      <c r="C1419" s="30" t="n"/>
      <c r="D1419" s="30" t="n"/>
      <c r="E1419" s="30" t="n"/>
      <c r="F1419" s="31" t="n">
        <v>9802.200000000001</v>
      </c>
      <c r="G1419" s="30" t="n"/>
    </row>
    <row r="1421" ht="18.5" customHeight="1">
      <c r="A1421" s="18" t="inlineStr">
        <is>
          <t>5.38</t>
        </is>
      </c>
      <c r="B1421" s="19" t="inlineStr">
        <is>
          <t>Extra for R.C.C./ B.M.C/ R.M.C. work above floor V level for each four floors or part thereof.</t>
        </is>
      </c>
      <c r="C1421" s="20" t="n"/>
      <c r="D1421" s="20" t="n"/>
      <c r="E1421" s="20" t="n"/>
      <c r="F1421" s="20" t="n"/>
      <c r="G1421" s="20" t="n"/>
    </row>
    <row r="1422">
      <c r="A1422" s="21" t="inlineStr">
        <is>
          <t>Details of cost for 1 cum   |   Source: CivilDAR_2019_Vol_1.pdf, page 257</t>
        </is>
      </c>
    </row>
    <row r="1423">
      <c r="A1423" s="5" t="inlineStr">
        <is>
          <t>Code</t>
        </is>
      </c>
      <c r="B1423" s="5" t="inlineStr">
        <is>
          <t>Description</t>
        </is>
      </c>
      <c r="C1423" s="5" t="inlineStr">
        <is>
          <t>Unit</t>
        </is>
      </c>
      <c r="D1423" s="5" t="inlineStr">
        <is>
          <t>Quantity</t>
        </is>
      </c>
      <c r="E1423" s="5" t="inlineStr">
        <is>
          <t>Rate (Rs.)</t>
        </is>
      </c>
      <c r="F1423" s="5" t="inlineStr">
        <is>
          <t>Amount (Rs.)</t>
        </is>
      </c>
      <c r="G1423" s="5" t="inlineStr">
        <is>
          <t>Note</t>
        </is>
      </c>
    </row>
    <row r="1424">
      <c r="A1424" s="22" t="inlineStr">
        <is>
          <t>0009</t>
        </is>
      </c>
      <c r="B1424" s="11" t="inlineStr">
        <is>
          <t>Pumping charges of concrete including Hire charges of pump, piping work &amp; accessories etc</t>
        </is>
      </c>
      <c r="C1424" s="22" t="inlineStr">
        <is>
          <t>cum</t>
        </is>
      </c>
      <c r="D1424" s="23" t="n">
        <v>1</v>
      </c>
      <c r="E1424" s="24" t="n">
        <v>210</v>
      </c>
      <c r="F1424" s="24">
        <f>D1424*E1424</f>
        <v/>
      </c>
      <c r="G1424" s="22" t="n"/>
    </row>
    <row r="1425">
      <c r="A1425" s="8" t="inlineStr">
        <is>
          <t>Calculated W - SUM of the Amount column above</t>
        </is>
      </c>
      <c r="B1425" s="9" t="n"/>
      <c r="C1425" s="9" t="n"/>
      <c r="D1425" s="9" t="n"/>
      <c r="E1425" s="9" t="n"/>
      <c r="F1425" s="25">
        <f>SUM(F1424:F1424)</f>
        <v/>
      </c>
      <c r="G1425" s="9" t="n"/>
    </row>
    <row r="1426">
      <c r="A1426" s="26" t="inlineStr">
        <is>
          <t>W as printed in the DAR</t>
        </is>
      </c>
      <c r="B1426" s="22" t="n"/>
      <c r="C1426" s="22" t="n"/>
      <c r="D1426" s="22" t="n"/>
      <c r="E1426" s="22" t="n"/>
      <c r="F1426" s="27" t="n">
        <v>210</v>
      </c>
      <c r="G1426" s="22" t="n"/>
    </row>
    <row r="1427">
      <c r="A1427" s="26" t="inlineStr">
        <is>
          <t>Difference (calculated - printed)</t>
        </is>
      </c>
      <c r="B1427" s="22" t="n"/>
      <c r="C1427" s="22" t="n"/>
      <c r="D1427" s="22" t="n"/>
      <c r="E1427" s="22" t="n"/>
      <c r="F1427" s="27">
        <f>F1425-F1426</f>
        <v/>
      </c>
      <c r="G1427" s="22" t="n"/>
    </row>
    <row r="1428">
      <c r="A1428" s="29" t="inlineStr">
        <is>
          <t>SAY (Rs.) - final DAR rate as printed (fixed value, not computed)</t>
        </is>
      </c>
      <c r="B1428" s="30" t="n"/>
      <c r="C1428" s="30" t="n"/>
      <c r="D1428" s="30" t="n"/>
      <c r="E1428" s="30" t="n"/>
      <c r="F1428" s="31" t="n">
        <v>280.95</v>
      </c>
      <c r="G1428" s="30" t="n"/>
    </row>
    <row r="1430" ht="120" customHeight="1">
      <c r="A1430" s="8" t="inlineStr">
        <is>
          <t>5.40</t>
        </is>
      </c>
      <c r="B1430" s="17" t="inlineStr">
        <is>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 retard setting of concrete, improve workability without impairing strength and durability as per direction of the Engineer - in - charge. NOTE- (1) Cement content considered in this item is @ 330 kg/cum. Excess/ less cement used as per design mix is payable/ recoverable</t>
        </is>
      </c>
      <c r="C1430" s="9" t="n"/>
      <c r="D1430" s="9" t="n"/>
      <c r="E1430" s="9" t="n"/>
      <c r="F1430" s="9" t="n"/>
      <c r="G1430" s="9" t="n"/>
    </row>
    <row r="1431" ht="18.5" customHeight="1">
      <c r="A1431" s="9" t="n"/>
      <c r="B1431" s="17" t="inlineStr">
        <is>
          <t>separately. (2) Fly ash</t>
        </is>
      </c>
      <c r="C1431" s="9" t="n"/>
      <c r="D1431" s="9" t="n"/>
      <c r="E1431" s="9" t="n"/>
      <c r="F1431" s="9" t="n"/>
      <c r="G1431" s="9" t="n"/>
    </row>
    <row r="1432" ht="18.5" customHeight="1">
      <c r="A1432" s="18" t="inlineStr">
        <is>
          <t>5.40.1</t>
        </is>
      </c>
      <c r="B1432" s="19" t="inlineStr">
        <is>
          <t>All works up to Plinth level.</t>
        </is>
      </c>
      <c r="C1432" s="20" t="n"/>
      <c r="D1432" s="20" t="n"/>
      <c r="E1432" s="20" t="n"/>
      <c r="F1432" s="20" t="n"/>
      <c r="G1432" s="20" t="n"/>
    </row>
    <row r="1433">
      <c r="A1433" s="21" t="inlineStr">
        <is>
          <t>Details of cost for 1 cum   |   Source: CivilDAR_2019_Vol_1.pdf, page 258</t>
        </is>
      </c>
    </row>
    <row r="1434">
      <c r="A1434" s="5" t="inlineStr">
        <is>
          <t>Code</t>
        </is>
      </c>
      <c r="B1434" s="5" t="inlineStr">
        <is>
          <t>Description</t>
        </is>
      </c>
      <c r="C1434" s="5" t="inlineStr">
        <is>
          <t>Unit</t>
        </is>
      </c>
      <c r="D1434" s="5" t="inlineStr">
        <is>
          <t>Quantity</t>
        </is>
      </c>
      <c r="E1434" s="5" t="inlineStr">
        <is>
          <t>Rate (Rs.)</t>
        </is>
      </c>
      <c r="F1434" s="5" t="inlineStr">
        <is>
          <t>Amount (Rs.)</t>
        </is>
      </c>
      <c r="G1434" s="5" t="inlineStr">
        <is>
          <t>Note</t>
        </is>
      </c>
    </row>
    <row r="1435">
      <c r="A1435" s="22" t="inlineStr">
        <is>
          <t>0293</t>
        </is>
      </c>
      <c r="B1435" s="11" t="inlineStr">
        <is>
          <t>Stone Aggregate (Single size) : 40 mm nominal size</t>
        </is>
      </c>
      <c r="C1435" s="22" t="inlineStr">
        <is>
          <t>cum</t>
        </is>
      </c>
      <c r="D1435" s="23" t="n">
        <v>0.65</v>
      </c>
      <c r="E1435" s="24" t="n">
        <v>1300</v>
      </c>
      <c r="F1435" s="24">
        <f>D1435*E1435</f>
        <v/>
      </c>
      <c r="G1435" s="22" t="n"/>
    </row>
    <row r="1436">
      <c r="A1436" s="22" t="inlineStr">
        <is>
          <t>0295</t>
        </is>
      </c>
      <c r="B1436" s="11" t="inlineStr">
        <is>
          <t>Stone Aggregate (Single size) : 20 mm nominal size</t>
        </is>
      </c>
      <c r="C1436" s="22" t="inlineStr">
        <is>
          <t>cum</t>
        </is>
      </c>
      <c r="D1436" s="23" t="n">
        <v>0.24</v>
      </c>
      <c r="E1436" s="24" t="n">
        <v>1350</v>
      </c>
      <c r="F1436" s="24">
        <f>D1436*E1436</f>
        <v/>
      </c>
      <c r="G1436" s="22" t="n"/>
    </row>
    <row r="1437">
      <c r="A1437" s="22" t="inlineStr">
        <is>
          <t>2206</t>
        </is>
      </c>
      <c r="B1437" s="11" t="inlineStr">
        <is>
          <t>Carriage of Stone aggregate 40 mm nominal size and above</t>
        </is>
      </c>
      <c r="C1437" s="22" t="inlineStr">
        <is>
          <t>cum</t>
        </is>
      </c>
      <c r="D1437" s="23" t="n">
        <v>0.65</v>
      </c>
      <c r="E1437" s="24" t="n">
        <v>112.79</v>
      </c>
      <c r="F1437" s="24">
        <f>D1437*E1437</f>
        <v/>
      </c>
      <c r="G1437" s="22" t="n"/>
    </row>
    <row r="1438">
      <c r="A1438" s="22" t="inlineStr">
        <is>
          <t>2202</t>
        </is>
      </c>
      <c r="B1438" s="11" t="inlineStr">
        <is>
          <t>Carriage of Stone aggregate below 40 mm nominal size</t>
        </is>
      </c>
      <c r="C1438" s="22" t="inlineStr">
        <is>
          <t>cum</t>
        </is>
      </c>
      <c r="D1438" s="23" t="n">
        <v>0.24</v>
      </c>
      <c r="E1438" s="24" t="n">
        <v>103.77</v>
      </c>
      <c r="F1438" s="24">
        <f>D1438*E1438</f>
        <v/>
      </c>
      <c r="G1438" s="22" t="n"/>
    </row>
    <row r="1439">
      <c r="A1439" s="22" t="inlineStr">
        <is>
          <t>0982</t>
        </is>
      </c>
      <c r="B1439" s="11" t="inlineStr">
        <is>
          <t>Coarse sand (zone III)</t>
        </is>
      </c>
      <c r="C1439" s="22" t="inlineStr">
        <is>
          <t>cum</t>
        </is>
      </c>
      <c r="D1439" s="23" t="n">
        <v>0.37</v>
      </c>
      <c r="E1439" s="24" t="n">
        <v>1350</v>
      </c>
      <c r="F1439" s="24">
        <f>D1439*E1439</f>
        <v/>
      </c>
      <c r="G1439" s="22" t="n"/>
    </row>
    <row r="1440">
      <c r="A1440" s="22" t="inlineStr">
        <is>
          <t>2203</t>
        </is>
      </c>
      <c r="B1440" s="11" t="inlineStr">
        <is>
          <t>Carriage of Coarse sand</t>
        </is>
      </c>
      <c r="C1440" s="22" t="inlineStr">
        <is>
          <t>cum</t>
        </is>
      </c>
      <c r="D1440" s="23" t="n">
        <v>0.37</v>
      </c>
      <c r="E1440" s="24" t="n">
        <v>103.77</v>
      </c>
      <c r="F1440" s="24">
        <f>D1440*E1440</f>
        <v/>
      </c>
      <c r="G1440" s="22" t="n"/>
    </row>
    <row r="1441">
      <c r="A1441" s="22" t="inlineStr">
        <is>
          <t>1980</t>
        </is>
      </c>
      <c r="B1441" s="11" t="inlineStr">
        <is>
          <t>Flyash</t>
        </is>
      </c>
      <c r="C1441" s="22" t="inlineStr">
        <is>
          <t>cum</t>
        </is>
      </c>
      <c r="D1441" s="23" t="n">
        <v>0.21</v>
      </c>
      <c r="E1441" s="24" t="n">
        <v>10</v>
      </c>
      <c r="F1441" s="24">
        <f>D1441*E1441</f>
        <v/>
      </c>
      <c r="G1441" s="22" t="n"/>
    </row>
    <row r="1442">
      <c r="A1442" s="22" t="inlineStr">
        <is>
          <t>2262</t>
        </is>
      </c>
      <c r="B1442" s="11" t="inlineStr">
        <is>
          <t>Carriage of Flyash</t>
        </is>
      </c>
      <c r="C1442" s="22" t="inlineStr">
        <is>
          <t>cum</t>
        </is>
      </c>
      <c r="D1442" s="23" t="n">
        <v>0.21</v>
      </c>
      <c r="E1442" s="24" t="n">
        <v>103.77</v>
      </c>
      <c r="F1442" s="24">
        <f>D1442*E1442</f>
        <v/>
      </c>
      <c r="G1442" s="22" t="n"/>
    </row>
    <row r="1443">
      <c r="A1443" s="22" t="inlineStr">
        <is>
          <t>0367</t>
        </is>
      </c>
      <c r="B1443" s="11" t="inlineStr">
        <is>
          <t>Portland Cement</t>
        </is>
      </c>
      <c r="C1443" s="22" t="inlineStr">
        <is>
          <t>tonne</t>
        </is>
      </c>
      <c r="D1443" s="23" t="n">
        <v>0.33</v>
      </c>
      <c r="E1443" s="24" t="n">
        <v>4940</v>
      </c>
      <c r="F1443" s="24">
        <f>D1443*E1443</f>
        <v/>
      </c>
      <c r="G1443" s="22" t="n"/>
    </row>
    <row r="1444">
      <c r="A1444" s="22" t="inlineStr">
        <is>
          <t>2209</t>
        </is>
      </c>
      <c r="B1444" s="11" t="inlineStr">
        <is>
          <t>Carriage of Cement</t>
        </is>
      </c>
      <c r="C1444" s="22" t="inlineStr">
        <is>
          <t>tonne</t>
        </is>
      </c>
      <c r="D1444" s="23" t="n">
        <v>0.33</v>
      </c>
      <c r="E1444" s="24" t="n">
        <v>92.23999999999999</v>
      </c>
      <c r="F1444" s="24">
        <f>D1444*E1444</f>
        <v/>
      </c>
      <c r="G1444" s="22" t="n"/>
    </row>
    <row r="1445">
      <c r="A1445" s="22" t="inlineStr">
        <is>
          <t>7318</t>
        </is>
      </c>
      <c r="B1445" s="11" t="inlineStr">
        <is>
          <t>Plasticizer / super plasticizer</t>
        </is>
      </c>
      <c r="C1445" s="22" t="inlineStr">
        <is>
          <t>kilogram</t>
        </is>
      </c>
      <c r="D1445" s="23" t="n">
        <v>1.65</v>
      </c>
      <c r="E1445" s="24" t="n">
        <v>36</v>
      </c>
      <c r="F1445" s="24">
        <f>D1445*E1445</f>
        <v/>
      </c>
      <c r="G1445" s="22" t="n"/>
    </row>
    <row r="1446">
      <c r="A1446" s="22" t="inlineStr">
        <is>
          <t>0004</t>
        </is>
      </c>
      <c r="B1446" s="11" t="inlineStr">
        <is>
          <t>Production cost of concrete by batch mix plant.</t>
        </is>
      </c>
      <c r="C1446" s="22" t="inlineStr">
        <is>
          <t>cum</t>
        </is>
      </c>
      <c r="D1446" s="23" t="n">
        <v>1</v>
      </c>
      <c r="E1446" s="24" t="n">
        <v>350</v>
      </c>
      <c r="F1446" s="24">
        <f>D1446*E1446</f>
        <v/>
      </c>
      <c r="G1446" s="22" t="n"/>
    </row>
    <row r="1447">
      <c r="A1447" s="22" t="inlineStr">
        <is>
          <t>0029</t>
        </is>
      </c>
      <c r="B1447" s="11" t="inlineStr">
        <is>
          <t>Carriage of concrete by transit mixer. km/</t>
        </is>
      </c>
      <c r="C1447" s="22" t="inlineStr">
        <is>
          <t>cum</t>
        </is>
      </c>
      <c r="D1447" s="23" t="n">
        <v>10</v>
      </c>
      <c r="E1447" s="24" t="n">
        <v>30</v>
      </c>
      <c r="F1447" s="24">
        <f>D1447*E1447</f>
        <v/>
      </c>
      <c r="G1447" s="22" t="n"/>
    </row>
    <row r="1448">
      <c r="A1448" s="22" t="inlineStr">
        <is>
          <t>0009</t>
        </is>
      </c>
      <c r="B1448" s="11" t="inlineStr">
        <is>
          <t>Pumping charges of concrete including Hire charges of pump, piping work &amp; accessories etc.</t>
        </is>
      </c>
      <c r="C1448" s="22" t="inlineStr">
        <is>
          <t>cum</t>
        </is>
      </c>
      <c r="D1448" s="23" t="n">
        <v>1</v>
      </c>
      <c r="E1448" s="24" t="n">
        <v>210</v>
      </c>
      <c r="F1448" s="24">
        <f>D1448*E1448</f>
        <v/>
      </c>
      <c r="G1448" s="22" t="n"/>
    </row>
    <row r="1449">
      <c r="A1449" s="22" t="inlineStr">
        <is>
          <t>0155</t>
        </is>
      </c>
      <c r="B1449" s="11" t="inlineStr">
        <is>
          <t>Mason (average)</t>
        </is>
      </c>
      <c r="C1449" s="22" t="inlineStr">
        <is>
          <t>day</t>
        </is>
      </c>
      <c r="D1449" s="23" t="n">
        <v>0.17</v>
      </c>
      <c r="E1449" s="24" t="n">
        <v>709</v>
      </c>
      <c r="F1449" s="24">
        <f>D1449*E1449</f>
        <v/>
      </c>
      <c r="G1449" s="22" t="n"/>
    </row>
    <row r="1450">
      <c r="A1450" s="22" t="inlineStr">
        <is>
          <t>0114</t>
        </is>
      </c>
      <c r="B1450" s="11" t="inlineStr">
        <is>
          <t>Beldar</t>
        </is>
      </c>
      <c r="C1450" s="22" t="inlineStr">
        <is>
          <t>day</t>
        </is>
      </c>
      <c r="D1450" s="23" t="n">
        <v>2</v>
      </c>
      <c r="E1450" s="24" t="n">
        <v>558</v>
      </c>
      <c r="F1450" s="24">
        <f>D1450*E1450</f>
        <v/>
      </c>
      <c r="G1450" s="22" t="n"/>
    </row>
    <row r="1451">
      <c r="A1451" s="22" t="inlineStr">
        <is>
          <t>0101</t>
        </is>
      </c>
      <c r="B1451" s="11" t="inlineStr">
        <is>
          <t>Bhisti</t>
        </is>
      </c>
      <c r="C1451" s="22" t="inlineStr">
        <is>
          <t>day</t>
        </is>
      </c>
      <c r="D1451" s="23" t="n">
        <v>0.9</v>
      </c>
      <c r="E1451" s="24" t="n">
        <v>617</v>
      </c>
      <c r="F1451" s="24">
        <f>D1451*E1451</f>
        <v/>
      </c>
      <c r="G1451" s="22" t="n"/>
    </row>
    <row r="1452">
      <c r="A1452" s="22" t="inlineStr">
        <is>
          <t>0012</t>
        </is>
      </c>
      <c r="B1452" s="11" t="inlineStr">
        <is>
          <t>Vibrator(Needle type 40mm)</t>
        </is>
      </c>
      <c r="C1452" s="22" t="inlineStr">
        <is>
          <t>day</t>
        </is>
      </c>
      <c r="D1452" s="23" t="n">
        <v>0.07000000000000001</v>
      </c>
      <c r="E1452" s="24" t="n">
        <v>370</v>
      </c>
      <c r="F1452" s="24">
        <f>D1452*E1452</f>
        <v/>
      </c>
      <c r="G1452" s="22" t="n"/>
    </row>
    <row r="1453">
      <c r="A1453" s="22" t="inlineStr">
        <is>
          <t>9999</t>
        </is>
      </c>
      <c r="B1453" s="11" t="inlineStr">
        <is>
          <t>Sundries</t>
        </is>
      </c>
      <c r="C1453" s="22" t="inlineStr">
        <is>
          <t>L.S.</t>
        </is>
      </c>
      <c r="D1453" s="23" t="n">
        <v>13</v>
      </c>
      <c r="E1453" s="24" t="n">
        <v>2</v>
      </c>
      <c r="F1453" s="24">
        <f>D1453*E1453</f>
        <v/>
      </c>
      <c r="G1453" s="22" t="n"/>
    </row>
    <row r="1454">
      <c r="A1454" s="8" t="inlineStr">
        <is>
          <t>Calculated W - SUM of the Amount column above</t>
        </is>
      </c>
      <c r="B1454" s="9" t="n"/>
      <c r="C1454" s="9" t="n"/>
      <c r="D1454" s="9" t="n"/>
      <c r="E1454" s="9" t="n"/>
      <c r="F1454" s="25">
        <f>SUM(F1435:F1453)</f>
        <v/>
      </c>
      <c r="G1454" s="9" t="n"/>
    </row>
    <row r="1455">
      <c r="A1455" s="26" t="inlineStr">
        <is>
          <t>W as printed in the DAR</t>
        </is>
      </c>
      <c r="B1455" s="22" t="n"/>
      <c r="C1455" s="22" t="n"/>
      <c r="D1455" s="22" t="n"/>
      <c r="E1455" s="22" t="n"/>
      <c r="F1455" s="27" t="n">
        <v>6252.77</v>
      </c>
      <c r="G1455" s="22" t="n"/>
    </row>
    <row r="1456">
      <c r="A1456" s="26" t="inlineStr">
        <is>
          <t>Difference (calculated - printed)</t>
        </is>
      </c>
      <c r="B1456" s="22" t="n"/>
      <c r="C1456" s="22" t="n"/>
      <c r="D1456" s="22" t="n"/>
      <c r="E1456" s="22" t="n"/>
      <c r="F1456" s="27">
        <f>F1454-F1455</f>
        <v/>
      </c>
      <c r="G1456" s="22" t="n"/>
    </row>
    <row r="1457">
      <c r="A1457" s="29" t="inlineStr">
        <is>
          <t>SAY (Rs.) - final DAR rate as printed (fixed value, not computed)</t>
        </is>
      </c>
      <c r="B1457" s="30" t="n"/>
      <c r="C1457" s="30" t="n"/>
      <c r="D1457" s="30" t="n"/>
      <c r="E1457" s="30" t="n"/>
      <c r="F1457" s="31" t="n">
        <v>8365.799999999999</v>
      </c>
      <c r="G1457" s="30" t="n"/>
    </row>
    <row r="1459" ht="120" customHeight="1">
      <c r="A1459" s="8" t="inlineStr">
        <is>
          <t>5.40</t>
        </is>
      </c>
      <c r="B1459" s="17" t="inlineStr">
        <is>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 retard setting of concrete, improve workability without impairing strength and durability as per direction of the Engineer - in - charge. NOTE- (1) Cement content considered in this item is @ 330 kg/cum. Excess/ less cement used as per design mix is payable/ recoverable</t>
        </is>
      </c>
      <c r="C1459" s="9" t="n"/>
      <c r="D1459" s="9" t="n"/>
      <c r="E1459" s="9" t="n"/>
      <c r="F1459" s="9" t="n"/>
      <c r="G1459" s="9" t="n"/>
    </row>
    <row r="1460" ht="18.5" customHeight="1">
      <c r="A1460" s="9" t="n"/>
      <c r="B1460" s="17" t="inlineStr">
        <is>
          <t>separately. (2) Fly ash</t>
        </is>
      </c>
      <c r="C1460" s="9" t="n"/>
      <c r="D1460" s="9" t="n"/>
      <c r="E1460" s="9" t="n"/>
      <c r="F1460" s="9" t="n"/>
      <c r="G1460" s="9" t="n"/>
    </row>
    <row r="1461" ht="18.5" customHeight="1">
      <c r="A1461" s="18" t="inlineStr">
        <is>
          <t>5.40.2</t>
        </is>
      </c>
      <c r="B1461" s="19" t="inlineStr">
        <is>
          <t>All works above plinth &amp; up to floor V level.</t>
        </is>
      </c>
      <c r="C1461" s="20" t="n"/>
      <c r="D1461" s="20" t="n"/>
      <c r="E1461" s="20" t="n"/>
      <c r="F1461" s="20" t="n"/>
      <c r="G1461" s="20" t="n"/>
    </row>
    <row r="1462">
      <c r="A1462" s="21" t="inlineStr">
        <is>
          <t>Details of cost for 1 cum   |   Source: CivilDAR_2019_Vol_1.pdf, page 259</t>
        </is>
      </c>
    </row>
    <row r="1463">
      <c r="A1463" s="5" t="inlineStr">
        <is>
          <t>Code</t>
        </is>
      </c>
      <c r="B1463" s="5" t="inlineStr">
        <is>
          <t>Description</t>
        </is>
      </c>
      <c r="C1463" s="5" t="inlineStr">
        <is>
          <t>Unit</t>
        </is>
      </c>
      <c r="D1463" s="5" t="inlineStr">
        <is>
          <t>Quantity</t>
        </is>
      </c>
      <c r="E1463" s="5" t="inlineStr">
        <is>
          <t>Rate (Rs.)</t>
        </is>
      </c>
      <c r="F1463" s="5" t="inlineStr">
        <is>
          <t>Amount (Rs.)</t>
        </is>
      </c>
      <c r="G1463" s="5" t="inlineStr">
        <is>
          <t>Note</t>
        </is>
      </c>
    </row>
    <row r="1464">
      <c r="A1464" s="22" t="inlineStr">
        <is>
          <t>0293</t>
        </is>
      </c>
      <c r="B1464" s="11" t="inlineStr">
        <is>
          <t>Stone Aggregate (Single size) : 40 mm nominal size</t>
        </is>
      </c>
      <c r="C1464" s="22" t="inlineStr">
        <is>
          <t>cum</t>
        </is>
      </c>
      <c r="D1464" s="23" t="n">
        <v>0.65</v>
      </c>
      <c r="E1464" s="24" t="n">
        <v>1300</v>
      </c>
      <c r="F1464" s="24">
        <f>D1464*E1464</f>
        <v/>
      </c>
      <c r="G1464" s="22" t="n"/>
    </row>
    <row r="1465">
      <c r="A1465" s="22" t="inlineStr">
        <is>
          <t>0295</t>
        </is>
      </c>
      <c r="B1465" s="11" t="inlineStr">
        <is>
          <t>Stone Aggregate (Single size) : 20 mm nominal size</t>
        </is>
      </c>
      <c r="C1465" s="22" t="inlineStr">
        <is>
          <t>cum</t>
        </is>
      </c>
      <c r="D1465" s="23" t="n">
        <v>0.24</v>
      </c>
      <c r="E1465" s="24" t="n">
        <v>1350</v>
      </c>
      <c r="F1465" s="24">
        <f>D1465*E1465</f>
        <v/>
      </c>
      <c r="G1465" s="22" t="n"/>
    </row>
    <row r="1466">
      <c r="A1466" s="22" t="inlineStr">
        <is>
          <t>2206</t>
        </is>
      </c>
      <c r="B1466" s="11" t="inlineStr">
        <is>
          <t>Carriage of Stone aggregate 40 mm nominal size and above</t>
        </is>
      </c>
      <c r="C1466" s="22" t="inlineStr">
        <is>
          <t>cum</t>
        </is>
      </c>
      <c r="D1466" s="23" t="n">
        <v>0.65</v>
      </c>
      <c r="E1466" s="24" t="n">
        <v>112.79</v>
      </c>
      <c r="F1466" s="24">
        <f>D1466*E1466</f>
        <v/>
      </c>
      <c r="G1466" s="22" t="n"/>
    </row>
    <row r="1467">
      <c r="A1467" s="22" t="inlineStr">
        <is>
          <t>2202</t>
        </is>
      </c>
      <c r="B1467" s="11" t="inlineStr">
        <is>
          <t>Carriage of Stone aggregate below 40 mm nominal size</t>
        </is>
      </c>
      <c r="C1467" s="22" t="inlineStr">
        <is>
          <t>cum</t>
        </is>
      </c>
      <c r="D1467" s="23" t="n">
        <v>0.24</v>
      </c>
      <c r="E1467" s="24" t="n">
        <v>103.77</v>
      </c>
      <c r="F1467" s="24">
        <f>D1467*E1467</f>
        <v/>
      </c>
      <c r="G1467" s="22" t="n"/>
    </row>
    <row r="1468">
      <c r="A1468" s="22" t="inlineStr">
        <is>
          <t>0982</t>
        </is>
      </c>
      <c r="B1468" s="11" t="inlineStr">
        <is>
          <t>Coarse sand (zone III)</t>
        </is>
      </c>
      <c r="C1468" s="22" t="inlineStr">
        <is>
          <t>cum</t>
        </is>
      </c>
      <c r="D1468" s="23" t="n">
        <v>0.37</v>
      </c>
      <c r="E1468" s="24" t="n">
        <v>1350</v>
      </c>
      <c r="F1468" s="24">
        <f>D1468*E1468</f>
        <v/>
      </c>
      <c r="G1468" s="22" t="n"/>
    </row>
    <row r="1469">
      <c r="A1469" s="22" t="inlineStr">
        <is>
          <t>2203</t>
        </is>
      </c>
      <c r="B1469" s="11" t="inlineStr">
        <is>
          <t>Carriage of Coarse sand</t>
        </is>
      </c>
      <c r="C1469" s="22" t="inlineStr">
        <is>
          <t>cum</t>
        </is>
      </c>
      <c r="D1469" s="23" t="n">
        <v>0.37</v>
      </c>
      <c r="E1469" s="24" t="n">
        <v>103.77</v>
      </c>
      <c r="F1469" s="24">
        <f>D1469*E1469</f>
        <v/>
      </c>
      <c r="G1469" s="22" t="n"/>
    </row>
    <row r="1470">
      <c r="A1470" s="22" t="inlineStr">
        <is>
          <t>1980</t>
        </is>
      </c>
      <c r="B1470" s="11" t="inlineStr">
        <is>
          <t>Flyash</t>
        </is>
      </c>
      <c r="C1470" s="22" t="inlineStr">
        <is>
          <t>cum</t>
        </is>
      </c>
      <c r="D1470" s="23" t="n">
        <v>0.21</v>
      </c>
      <c r="E1470" s="24" t="n">
        <v>10</v>
      </c>
      <c r="F1470" s="24">
        <f>D1470*E1470</f>
        <v/>
      </c>
      <c r="G1470" s="22" t="n"/>
    </row>
    <row r="1471">
      <c r="A1471" s="22" t="inlineStr">
        <is>
          <t>2262</t>
        </is>
      </c>
      <c r="B1471" s="11" t="inlineStr">
        <is>
          <t>Carriage of Flyash</t>
        </is>
      </c>
      <c r="C1471" s="22" t="inlineStr">
        <is>
          <t>cum</t>
        </is>
      </c>
      <c r="D1471" s="23" t="n">
        <v>0.21</v>
      </c>
      <c r="E1471" s="24" t="n">
        <v>103.77</v>
      </c>
      <c r="F1471" s="24">
        <f>D1471*E1471</f>
        <v/>
      </c>
      <c r="G1471" s="22" t="n"/>
    </row>
    <row r="1472">
      <c r="A1472" s="22" t="inlineStr">
        <is>
          <t>0367</t>
        </is>
      </c>
      <c r="B1472" s="11" t="inlineStr">
        <is>
          <t>Portland Cement</t>
        </is>
      </c>
      <c r="C1472" s="22" t="inlineStr">
        <is>
          <t>tonne</t>
        </is>
      </c>
      <c r="D1472" s="23" t="n">
        <v>0.33</v>
      </c>
      <c r="E1472" s="24" t="n">
        <v>4940</v>
      </c>
      <c r="F1472" s="24">
        <f>D1472*E1472</f>
        <v/>
      </c>
      <c r="G1472" s="22" t="n"/>
    </row>
    <row r="1473">
      <c r="A1473" s="22" t="inlineStr">
        <is>
          <t>2209</t>
        </is>
      </c>
      <c r="B1473" s="11" t="inlineStr">
        <is>
          <t>Carriage of Cement</t>
        </is>
      </c>
      <c r="C1473" s="22" t="inlineStr">
        <is>
          <t>tonne</t>
        </is>
      </c>
      <c r="D1473" s="23" t="n">
        <v>0.33</v>
      </c>
      <c r="E1473" s="24" t="n">
        <v>92.23999999999999</v>
      </c>
      <c r="F1473" s="24">
        <f>D1473*E1473</f>
        <v/>
      </c>
      <c r="G1473" s="22" t="n"/>
    </row>
    <row r="1474">
      <c r="A1474" s="22" t="inlineStr">
        <is>
          <t>7318</t>
        </is>
      </c>
      <c r="B1474" s="11" t="inlineStr">
        <is>
          <t>Plasticizer / super plasticizer</t>
        </is>
      </c>
      <c r="C1474" s="22" t="inlineStr">
        <is>
          <t>kilogram</t>
        </is>
      </c>
      <c r="D1474" s="23" t="n">
        <v>1.65</v>
      </c>
      <c r="E1474" s="24" t="n">
        <v>36</v>
      </c>
      <c r="F1474" s="24">
        <f>D1474*E1474</f>
        <v/>
      </c>
      <c r="G1474" s="22" t="n"/>
    </row>
    <row r="1475">
      <c r="A1475" s="22" t="inlineStr">
        <is>
          <t>0004</t>
        </is>
      </c>
      <c r="B1475" s="11" t="inlineStr">
        <is>
          <t>Production cost of concrete by batch mix plant.</t>
        </is>
      </c>
      <c r="C1475" s="22" t="inlineStr">
        <is>
          <t>cum</t>
        </is>
      </c>
      <c r="D1475" s="23" t="n">
        <v>1</v>
      </c>
      <c r="E1475" s="24" t="n">
        <v>350</v>
      </c>
      <c r="F1475" s="24">
        <f>D1475*E1475</f>
        <v/>
      </c>
      <c r="G1475" s="22" t="n"/>
    </row>
    <row r="1476">
      <c r="A1476" s="22" t="inlineStr">
        <is>
          <t>0029</t>
        </is>
      </c>
      <c r="B1476" s="11" t="inlineStr">
        <is>
          <t>Carriage of concrete by transit mixer. km/</t>
        </is>
      </c>
      <c r="C1476" s="22" t="inlineStr">
        <is>
          <t>cum</t>
        </is>
      </c>
      <c r="D1476" s="23" t="n">
        <v>10</v>
      </c>
      <c r="E1476" s="24" t="n">
        <v>30</v>
      </c>
      <c r="F1476" s="24">
        <f>D1476*E1476</f>
        <v/>
      </c>
      <c r="G1476" s="22" t="n"/>
    </row>
    <row r="1477">
      <c r="A1477" s="22" t="inlineStr">
        <is>
          <t>0009</t>
        </is>
      </c>
      <c r="B1477" s="11" t="inlineStr">
        <is>
          <t>Pumping charges of concrete including Hire charges of pump, piping work &amp; accessories etc.</t>
        </is>
      </c>
      <c r="C1477" s="22" t="inlineStr">
        <is>
          <t>cum</t>
        </is>
      </c>
      <c r="D1477" s="23" t="n">
        <v>1</v>
      </c>
      <c r="E1477" s="24" t="n">
        <v>210</v>
      </c>
      <c r="F1477" s="24">
        <f>D1477*E1477</f>
        <v/>
      </c>
      <c r="G1477" s="22" t="n"/>
    </row>
    <row r="1478">
      <c r="A1478" s="22" t="inlineStr">
        <is>
          <t>0155</t>
        </is>
      </c>
      <c r="B1478" s="11" t="inlineStr">
        <is>
          <t>Mason (average)</t>
        </is>
      </c>
      <c r="C1478" s="22" t="inlineStr">
        <is>
          <t>day</t>
        </is>
      </c>
      <c r="D1478" s="23" t="n">
        <v>0.17</v>
      </c>
      <c r="E1478" s="24" t="n">
        <v>709</v>
      </c>
      <c r="F1478" s="24">
        <f>D1478*E1478</f>
        <v/>
      </c>
      <c r="G1478" s="22" t="n"/>
    </row>
    <row r="1479">
      <c r="A1479" s="22" t="inlineStr">
        <is>
          <t>0114</t>
        </is>
      </c>
      <c r="B1479" s="11" t="inlineStr">
        <is>
          <t>Beldar</t>
        </is>
      </c>
      <c r="C1479" s="22" t="inlineStr">
        <is>
          <t>day</t>
        </is>
      </c>
      <c r="D1479" s="23" t="n">
        <v>2</v>
      </c>
      <c r="E1479" s="24" t="n">
        <v>558</v>
      </c>
      <c r="F1479" s="24">
        <f>D1479*E1479</f>
        <v/>
      </c>
      <c r="G1479" s="22" t="n"/>
    </row>
    <row r="1480">
      <c r="A1480" s="22" t="inlineStr">
        <is>
          <t>0101</t>
        </is>
      </c>
      <c r="B1480" s="11" t="inlineStr">
        <is>
          <t>Bhisti</t>
        </is>
      </c>
      <c r="C1480" s="22" t="inlineStr">
        <is>
          <t>day</t>
        </is>
      </c>
      <c r="D1480" s="23" t="n">
        <v>0.9</v>
      </c>
      <c r="E1480" s="24" t="n">
        <v>617</v>
      </c>
      <c r="F1480" s="24">
        <f>D1480*E1480</f>
        <v/>
      </c>
      <c r="G1480" s="22" t="n"/>
    </row>
    <row r="1481">
      <c r="A1481" s="22" t="inlineStr">
        <is>
          <t>0012</t>
        </is>
      </c>
      <c r="B1481" s="11" t="inlineStr">
        <is>
          <t>Vibrator(Needle type 40mm)</t>
        </is>
      </c>
      <c r="C1481" s="22" t="inlineStr">
        <is>
          <t>day</t>
        </is>
      </c>
      <c r="D1481" s="23" t="n">
        <v>0.07000000000000001</v>
      </c>
      <c r="E1481" s="24" t="n">
        <v>370</v>
      </c>
      <c r="F1481" s="24">
        <f>D1481*E1481</f>
        <v/>
      </c>
      <c r="G1481" s="22" t="n"/>
    </row>
    <row r="1482">
      <c r="A1482" s="22" t="inlineStr">
        <is>
          <t>9999</t>
        </is>
      </c>
      <c r="B1482" s="11" t="inlineStr">
        <is>
          <t>Sundries</t>
        </is>
      </c>
      <c r="C1482" s="22" t="inlineStr">
        <is>
          <t>L.S.</t>
        </is>
      </c>
      <c r="D1482" s="23" t="n">
        <v>13</v>
      </c>
      <c r="E1482" s="24" t="n">
        <v>2</v>
      </c>
      <c r="F1482" s="24">
        <f>D1482*E1482</f>
        <v/>
      </c>
      <c r="G1482" s="22" t="n"/>
    </row>
    <row r="1483">
      <c r="A1483" s="22" t="inlineStr">
        <is>
          <t>0115</t>
        </is>
      </c>
      <c r="B1483" s="11" t="inlineStr">
        <is>
          <t>Coolie</t>
        </is>
      </c>
      <c r="C1483" s="22" t="inlineStr">
        <is>
          <t>day</t>
        </is>
      </c>
      <c r="D1483" s="23" t="n">
        <v>1.88</v>
      </c>
      <c r="E1483" s="24" t="n">
        <v>558</v>
      </c>
      <c r="F1483" s="24">
        <f>D1483*E1483</f>
        <v/>
      </c>
      <c r="G1483" s="22" t="n"/>
    </row>
    <row r="1484">
      <c r="A1484" s="8" t="inlineStr">
        <is>
          <t>Calculated W - SUM of the Amount column above</t>
        </is>
      </c>
      <c r="B1484" s="9" t="n"/>
      <c r="C1484" s="9" t="n"/>
      <c r="D1484" s="9" t="n"/>
      <c r="E1484" s="9" t="n"/>
      <c r="F1484" s="25">
        <f>SUM(F1464:F1483)</f>
        <v/>
      </c>
      <c r="G1484" s="9" t="n"/>
    </row>
    <row r="1485">
      <c r="A1485" s="26" t="inlineStr">
        <is>
          <t>W as printed in the DAR</t>
        </is>
      </c>
      <c r="B1485" s="22" t="n"/>
      <c r="C1485" s="22" t="n"/>
      <c r="D1485" s="22" t="n"/>
      <c r="E1485" s="22" t="n"/>
      <c r="F1485" s="27" t="n">
        <v>7301.81</v>
      </c>
      <c r="G1485" s="22" t="n"/>
    </row>
    <row r="1486">
      <c r="A1486" s="26" t="inlineStr">
        <is>
          <t>Difference (calculated - printed)</t>
        </is>
      </c>
      <c r="B1486" s="22" t="n"/>
      <c r="C1486" s="22" t="n"/>
      <c r="D1486" s="22" t="n"/>
      <c r="E1486" s="22" t="n"/>
      <c r="F1486" s="27">
        <f>F1484-F1485</f>
        <v/>
      </c>
      <c r="G1486" s="22" t="n"/>
    </row>
    <row r="1487">
      <c r="A1487" s="29" t="inlineStr">
        <is>
          <t>SAY (Rs.) - final DAR rate as printed (fixed value, not computed)</t>
        </is>
      </c>
      <c r="B1487" s="30" t="n"/>
      <c r="C1487" s="30" t="n"/>
      <c r="D1487" s="30" t="n"/>
      <c r="E1487" s="30" t="n"/>
      <c r="F1487" s="31" t="n">
        <v>9769.35</v>
      </c>
      <c r="G1487" s="30" t="n"/>
    </row>
    <row r="1489" ht="33" customHeight="1">
      <c r="A1489" s="8" t="inlineStr">
        <is>
          <t>5.41</t>
        </is>
      </c>
      <c r="B1489" s="17" t="inlineStr">
        <is>
          <t>Supplying and applying pre tested and approved water based concrete curing compound to concrete/ masonry surface, all as per manufacturer’s specification and direction of Engineer-in-charge.</t>
        </is>
      </c>
      <c r="C1489" s="9" t="n"/>
      <c r="D1489" s="9" t="n"/>
      <c r="E1489" s="9" t="n"/>
      <c r="F1489" s="9" t="n"/>
      <c r="G1489" s="9" t="n"/>
    </row>
    <row r="1490" ht="18.5" customHeight="1">
      <c r="A1490" s="18" t="inlineStr">
        <is>
          <t>5.41.1</t>
        </is>
      </c>
      <c r="B1490" s="19" t="inlineStr">
        <is>
          <t>Non pigmented wet curing compound</t>
        </is>
      </c>
      <c r="C1490" s="20" t="n"/>
      <c r="D1490" s="20" t="n"/>
      <c r="E1490" s="20" t="n"/>
      <c r="F1490" s="20" t="n"/>
      <c r="G1490" s="20" t="n"/>
    </row>
    <row r="1491">
      <c r="A1491" s="21" t="inlineStr">
        <is>
          <t>Details of cost for 10 sqm   |   Source: CivilDAR_2019_Vol_1.pdf, page 260</t>
        </is>
      </c>
    </row>
    <row r="1492">
      <c r="A1492" s="5" t="inlineStr">
        <is>
          <t>Code</t>
        </is>
      </c>
      <c r="B1492" s="5" t="inlineStr">
        <is>
          <t>Description</t>
        </is>
      </c>
      <c r="C1492" s="5" t="inlineStr">
        <is>
          <t>Unit</t>
        </is>
      </c>
      <c r="D1492" s="5" t="inlineStr">
        <is>
          <t>Quantity</t>
        </is>
      </c>
      <c r="E1492" s="5" t="inlineStr">
        <is>
          <t>Rate (Rs.)</t>
        </is>
      </c>
      <c r="F1492" s="5" t="inlineStr">
        <is>
          <t>Amount (Rs.)</t>
        </is>
      </c>
      <c r="G1492" s="5" t="inlineStr">
        <is>
          <t>Note</t>
        </is>
      </c>
    </row>
    <row r="1493">
      <c r="A1493" s="22" t="inlineStr">
        <is>
          <t>0349</t>
        </is>
      </c>
      <c r="B1493" s="11" t="inlineStr">
        <is>
          <t>Curing compound</t>
        </is>
      </c>
      <c r="C1493" s="22" t="inlineStr">
        <is>
          <t>litre</t>
        </is>
      </c>
      <c r="D1493" s="23" t="n">
        <v>2</v>
      </c>
      <c r="E1493" s="24" t="n">
        <v>38</v>
      </c>
      <c r="F1493" s="24">
        <f>D1493*E1493</f>
        <v/>
      </c>
      <c r="G1493" s="22" t="n"/>
    </row>
    <row r="1494">
      <c r="A1494" s="22" t="inlineStr">
        <is>
          <t>9977</t>
        </is>
      </c>
      <c r="B1494" s="11" t="inlineStr">
        <is>
          <t>Carriage of material</t>
        </is>
      </c>
      <c r="C1494" s="22" t="inlineStr">
        <is>
          <t>L.S.</t>
        </is>
      </c>
      <c r="D1494" s="23" t="n">
        <v>1</v>
      </c>
      <c r="E1494" s="24" t="n">
        <v>2</v>
      </c>
      <c r="F1494" s="24">
        <f>D1494*E1494</f>
        <v/>
      </c>
      <c r="G1494" s="22" t="n"/>
    </row>
    <row r="1495">
      <c r="A1495" s="22" t="inlineStr">
        <is>
          <t>0131</t>
        </is>
      </c>
      <c r="B1495" s="11" t="inlineStr">
        <is>
          <t>Painter</t>
        </is>
      </c>
      <c r="C1495" s="22" t="inlineStr">
        <is>
          <t>day</t>
        </is>
      </c>
      <c r="D1495" s="23" t="n">
        <v>0.33</v>
      </c>
      <c r="E1495" s="24" t="n">
        <v>679</v>
      </c>
      <c r="F1495" s="24">
        <f>D1495*E1495</f>
        <v/>
      </c>
      <c r="G1495" s="22" t="n"/>
    </row>
    <row r="1496">
      <c r="A1496" s="22" t="inlineStr">
        <is>
          <t>0114</t>
        </is>
      </c>
      <c r="B1496" s="11" t="inlineStr">
        <is>
          <t>Beldar</t>
        </is>
      </c>
      <c r="C1496" s="22" t="inlineStr">
        <is>
          <t>day</t>
        </is>
      </c>
      <c r="D1496" s="23" t="n">
        <v>0.17</v>
      </c>
      <c r="E1496" s="24" t="n">
        <v>558</v>
      </c>
      <c r="F1496" s="24">
        <f>D1496*E1496</f>
        <v/>
      </c>
      <c r="G1496" s="22" t="n"/>
    </row>
    <row r="1497">
      <c r="A1497" s="22" t="inlineStr">
        <is>
          <t>9999</t>
        </is>
      </c>
      <c r="B1497" s="11" t="inlineStr">
        <is>
          <t>Sundries, Brush</t>
        </is>
      </c>
      <c r="C1497" s="22" t="inlineStr">
        <is>
          <t>L.S.</t>
        </is>
      </c>
      <c r="D1497" s="23" t="n">
        <v>3</v>
      </c>
      <c r="E1497" s="24" t="n">
        <v>2</v>
      </c>
      <c r="F1497" s="24">
        <f>D1497*E1497</f>
        <v/>
      </c>
      <c r="G1497" s="22" t="n"/>
    </row>
    <row r="1498">
      <c r="A1498" s="8" t="inlineStr">
        <is>
          <t>Calculated W - SUM of the Amount column above</t>
        </is>
      </c>
      <c r="B1498" s="9" t="n"/>
      <c r="C1498" s="9" t="n"/>
      <c r="D1498" s="9" t="n"/>
      <c r="E1498" s="9" t="n"/>
      <c r="F1498" s="25">
        <f>SUM(F1493:F1497)</f>
        <v/>
      </c>
      <c r="G1498" s="9" t="n"/>
    </row>
    <row r="1499">
      <c r="A1499" s="26" t="inlineStr">
        <is>
          <t>W as printed in the DAR</t>
        </is>
      </c>
      <c r="B1499" s="22" t="n"/>
      <c r="C1499" s="22" t="n"/>
      <c r="D1499" s="22" t="n"/>
      <c r="E1499" s="22" t="n"/>
      <c r="F1499" s="27" t="n">
        <v>402.93</v>
      </c>
      <c r="G1499" s="22" t="n"/>
    </row>
    <row r="1500">
      <c r="A1500" s="26" t="inlineStr">
        <is>
          <t>Difference (calculated - printed)</t>
        </is>
      </c>
      <c r="B1500" s="22" t="n"/>
      <c r="C1500" s="22" t="n"/>
      <c r="D1500" s="22" t="n"/>
      <c r="E1500" s="22" t="n"/>
      <c r="F1500" s="27">
        <f>F1498-F1499</f>
        <v/>
      </c>
      <c r="G1500" s="22" t="n"/>
    </row>
    <row r="1501">
      <c r="A1501" s="29" t="inlineStr">
        <is>
          <t>SAY (Rs.) - final DAR rate as printed (fixed value, not computed)</t>
        </is>
      </c>
      <c r="B1501" s="30" t="n"/>
      <c r="C1501" s="30" t="n"/>
      <c r="D1501" s="30" t="n"/>
      <c r="E1501" s="30" t="n"/>
      <c r="F1501" s="31" t="n">
        <v>53.9</v>
      </c>
      <c r="G1501" s="30" t="n"/>
    </row>
    <row r="1503" ht="62" customHeight="1">
      <c r="A1503" s="8" t="inlineStr">
        <is>
          <t>5.42</t>
        </is>
      </c>
      <c r="B1503" s="17"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C1503" s="9" t="n"/>
      <c r="D1503" s="9" t="n"/>
      <c r="E1503" s="9" t="n"/>
      <c r="F1503" s="9" t="n"/>
      <c r="G1503" s="9" t="n"/>
    </row>
    <row r="1504" ht="18.5" customHeight="1">
      <c r="A1504" s="18" t="inlineStr">
        <is>
          <t>5.42.1</t>
        </is>
      </c>
      <c r="B1504" s="19" t="inlineStr">
        <is>
          <t>Coupler for 16 mm diameter reinforcement bar</t>
        </is>
      </c>
      <c r="C1504" s="20" t="n"/>
      <c r="D1504" s="20" t="n"/>
      <c r="E1504" s="20" t="n"/>
      <c r="F1504" s="20" t="n"/>
      <c r="G1504" s="20" t="n"/>
    </row>
    <row r="1505">
      <c r="A1505" s="21" t="inlineStr">
        <is>
          <t>Details of cost for 1 no   |   Source: CivilDAR_2019_Vol_1.pdf, page 260</t>
        </is>
      </c>
    </row>
    <row r="1506">
      <c r="A1506" s="5" t="inlineStr">
        <is>
          <t>Code</t>
        </is>
      </c>
      <c r="B1506" s="5" t="inlineStr">
        <is>
          <t>Description</t>
        </is>
      </c>
      <c r="C1506" s="5" t="inlineStr">
        <is>
          <t>Unit</t>
        </is>
      </c>
      <c r="D1506" s="5" t="inlineStr">
        <is>
          <t>Quantity</t>
        </is>
      </c>
      <c r="E1506" s="5" t="inlineStr">
        <is>
          <t>Rate (Rs.)</t>
        </is>
      </c>
      <c r="F1506" s="5" t="inlineStr">
        <is>
          <t>Amount (Rs.)</t>
        </is>
      </c>
      <c r="G1506" s="5" t="inlineStr">
        <is>
          <t>Note</t>
        </is>
      </c>
    </row>
    <row r="1507">
      <c r="A1507" s="22" t="inlineStr">
        <is>
          <t>2394</t>
        </is>
      </c>
      <c r="B1507" s="11" t="inlineStr">
        <is>
          <t>Coupler 16 mm dia</t>
        </is>
      </c>
      <c r="C1507" s="22" t="inlineStr">
        <is>
          <t>each</t>
        </is>
      </c>
      <c r="D1507" s="23" t="n">
        <v>1</v>
      </c>
      <c r="E1507" s="24" t="n">
        <v>30</v>
      </c>
      <c r="F1507" s="24">
        <f>D1507*E1507</f>
        <v/>
      </c>
      <c r="G1507" s="22" t="n"/>
    </row>
    <row r="1508">
      <c r="A1508" s="22" t="inlineStr">
        <is>
          <t>9999</t>
        </is>
      </c>
      <c r="B1508" s="11" t="inlineStr">
        <is>
          <t>For placing in position and fixing</t>
        </is>
      </c>
      <c r="C1508" s="22" t="inlineStr">
        <is>
          <t>L.S.</t>
        </is>
      </c>
      <c r="D1508" s="23" t="n">
        <v>3.77</v>
      </c>
      <c r="E1508" s="24" t="n">
        <v>2</v>
      </c>
      <c r="F1508" s="24">
        <f>D1508*E1508</f>
        <v/>
      </c>
      <c r="G1508" s="22" t="n"/>
    </row>
    <row r="1509">
      <c r="A1509" s="22" t="inlineStr">
        <is>
          <t>9999</t>
        </is>
      </c>
      <c r="B1509" s="11" t="inlineStr">
        <is>
          <t>Tapard/Parallel threading charges</t>
        </is>
      </c>
      <c r="C1509" s="22" t="inlineStr">
        <is>
          <t>L.S.</t>
        </is>
      </c>
      <c r="D1509" s="23" t="n">
        <v>17.77</v>
      </c>
      <c r="E1509" s="24" t="n">
        <v>2</v>
      </c>
      <c r="F1509" s="24">
        <f>D1509*E1509</f>
        <v/>
      </c>
      <c r="G1509" s="22" t="n"/>
    </row>
    <row r="1510">
      <c r="A1510" s="8" t="inlineStr">
        <is>
          <t>Calculated W - SUM of the Amount column above</t>
        </is>
      </c>
      <c r="B1510" s="9" t="n"/>
      <c r="C1510" s="9" t="n"/>
      <c r="D1510" s="9" t="n"/>
      <c r="E1510" s="9" t="n"/>
      <c r="F1510" s="25">
        <f>SUM(F1507:F1509)</f>
        <v/>
      </c>
      <c r="G1510" s="9" t="n"/>
    </row>
    <row r="1511">
      <c r="A1511" s="26" t="inlineStr">
        <is>
          <t>W as printed in the DAR</t>
        </is>
      </c>
      <c r="B1511" s="22" t="n"/>
      <c r="C1511" s="22" t="n"/>
      <c r="D1511" s="22" t="n"/>
      <c r="E1511" s="22" t="n"/>
      <c r="F1511" s="27" t="n">
        <v>73.08</v>
      </c>
      <c r="G1511" s="22" t="n"/>
    </row>
    <row r="1512">
      <c r="A1512" s="26" t="inlineStr">
        <is>
          <t>Difference (calculated - printed)</t>
        </is>
      </c>
      <c r="B1512" s="22" t="n"/>
      <c r="C1512" s="22" t="n"/>
      <c r="D1512" s="22" t="n"/>
      <c r="E1512" s="22" t="n"/>
      <c r="F1512" s="27">
        <f>F1510-F1511</f>
        <v/>
      </c>
      <c r="G1512" s="22" t="n"/>
    </row>
    <row r="1513">
      <c r="A1513" s="29" t="inlineStr">
        <is>
          <t>SAY (Rs.) - final DAR rate as printed (fixed value, not computed)</t>
        </is>
      </c>
      <c r="B1513" s="30" t="n"/>
      <c r="C1513" s="30" t="n"/>
      <c r="D1513" s="30" t="n"/>
      <c r="E1513" s="30" t="n"/>
      <c r="F1513" s="31" t="n">
        <v>97.8</v>
      </c>
      <c r="G1513" s="30" t="n"/>
    </row>
    <row r="1515" ht="62" customHeight="1">
      <c r="A1515" s="8" t="inlineStr">
        <is>
          <t>5.42</t>
        </is>
      </c>
      <c r="B1515" s="17"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C1515" s="9" t="n"/>
      <c r="D1515" s="9" t="n"/>
      <c r="E1515" s="9" t="n"/>
      <c r="F1515" s="9" t="n"/>
      <c r="G1515" s="9" t="n"/>
    </row>
    <row r="1516" ht="18.5" customHeight="1">
      <c r="A1516" s="18" t="inlineStr">
        <is>
          <t>5.42.2</t>
        </is>
      </c>
      <c r="B1516" s="19" t="inlineStr">
        <is>
          <t>Coupler for 20 mm diameter reinforcement bar</t>
        </is>
      </c>
      <c r="C1516" s="20" t="n"/>
      <c r="D1516" s="20" t="n"/>
      <c r="E1516" s="20" t="n"/>
      <c r="F1516" s="20" t="n"/>
      <c r="G1516" s="20" t="n"/>
    </row>
    <row r="1517">
      <c r="A1517" s="21" t="inlineStr">
        <is>
          <t>Details of cost for 1 no   |   Source: CivilDAR_2019_Vol_1.pdf, page 261</t>
        </is>
      </c>
    </row>
    <row r="1518">
      <c r="A1518" s="5" t="inlineStr">
        <is>
          <t>Code</t>
        </is>
      </c>
      <c r="B1518" s="5" t="inlineStr">
        <is>
          <t>Description</t>
        </is>
      </c>
      <c r="C1518" s="5" t="inlineStr">
        <is>
          <t>Unit</t>
        </is>
      </c>
      <c r="D1518" s="5" t="inlineStr">
        <is>
          <t>Quantity</t>
        </is>
      </c>
      <c r="E1518" s="5" t="inlineStr">
        <is>
          <t>Rate (Rs.)</t>
        </is>
      </c>
      <c r="F1518" s="5" t="inlineStr">
        <is>
          <t>Amount (Rs.)</t>
        </is>
      </c>
      <c r="G1518" s="5" t="inlineStr">
        <is>
          <t>Note</t>
        </is>
      </c>
    </row>
    <row r="1519">
      <c r="A1519" s="22" t="inlineStr">
        <is>
          <t>2395</t>
        </is>
      </c>
      <c r="B1519" s="11" t="inlineStr">
        <is>
          <t>Coupler 20 mm dia</t>
        </is>
      </c>
      <c r="C1519" s="22" t="inlineStr">
        <is>
          <t>each</t>
        </is>
      </c>
      <c r="D1519" s="23" t="n">
        <v>1</v>
      </c>
      <c r="E1519" s="24" t="n">
        <v>39</v>
      </c>
      <c r="F1519" s="24">
        <f>D1519*E1519</f>
        <v/>
      </c>
      <c r="G1519" s="22" t="n"/>
    </row>
    <row r="1520">
      <c r="A1520" s="22" t="inlineStr">
        <is>
          <t>9999</t>
        </is>
      </c>
      <c r="B1520" s="11" t="inlineStr">
        <is>
          <t>For placing in position and fixing</t>
        </is>
      </c>
      <c r="C1520" s="22" t="inlineStr">
        <is>
          <t>L.S.</t>
        </is>
      </c>
      <c r="D1520" s="23" t="n">
        <v>5.9</v>
      </c>
      <c r="E1520" s="24" t="n">
        <v>2</v>
      </c>
      <c r="F1520" s="24">
        <f>D1520*E1520</f>
        <v/>
      </c>
      <c r="G1520" s="22" t="n"/>
    </row>
    <row r="1521">
      <c r="A1521" s="22" t="inlineStr">
        <is>
          <t>9999</t>
        </is>
      </c>
      <c r="B1521" s="11" t="inlineStr">
        <is>
          <t>Tapard/Parallel threading charges</t>
        </is>
      </c>
      <c r="C1521" s="22" t="inlineStr">
        <is>
          <t>L.S.</t>
        </is>
      </c>
      <c r="D1521" s="23" t="n">
        <v>25.17</v>
      </c>
      <c r="E1521" s="24" t="n">
        <v>2</v>
      </c>
      <c r="F1521" s="24">
        <f>D1521*E1521</f>
        <v/>
      </c>
      <c r="G1521" s="22" t="n"/>
    </row>
    <row r="1522">
      <c r="A1522" s="8" t="inlineStr">
        <is>
          <t>Calculated W - SUM of the Amount column above</t>
        </is>
      </c>
      <c r="B1522" s="9" t="n"/>
      <c r="C1522" s="9" t="n"/>
      <c r="D1522" s="9" t="n"/>
      <c r="E1522" s="9" t="n"/>
      <c r="F1522" s="25">
        <f>SUM(F1519:F1521)</f>
        <v/>
      </c>
      <c r="G1522" s="9" t="n"/>
    </row>
    <row r="1523">
      <c r="A1523" s="26" t="inlineStr">
        <is>
          <t>W as printed in the DAR</t>
        </is>
      </c>
      <c r="B1523" s="22" t="n"/>
      <c r="C1523" s="22" t="n"/>
      <c r="D1523" s="22" t="n"/>
      <c r="E1523" s="22" t="n"/>
      <c r="F1523" s="27" t="n">
        <v>101.14</v>
      </c>
      <c r="G1523" s="22" t="n"/>
    </row>
    <row r="1524">
      <c r="A1524" s="26" t="inlineStr">
        <is>
          <t>Difference (calculated - printed)</t>
        </is>
      </c>
      <c r="B1524" s="22" t="n"/>
      <c r="C1524" s="22" t="n"/>
      <c r="D1524" s="22" t="n"/>
      <c r="E1524" s="22" t="n"/>
      <c r="F1524" s="27">
        <f>F1522-F1523</f>
        <v/>
      </c>
      <c r="G1524" s="22" t="n"/>
    </row>
    <row r="1525">
      <c r="A1525" s="29" t="inlineStr">
        <is>
          <t>SAY (Rs.) - final DAR rate as printed (fixed value, not computed)</t>
        </is>
      </c>
      <c r="B1525" s="30" t="n"/>
      <c r="C1525" s="30" t="n"/>
      <c r="D1525" s="30" t="n"/>
      <c r="E1525" s="30" t="n"/>
      <c r="F1525" s="31" t="n">
        <v>135.3</v>
      </c>
      <c r="G1525" s="30" t="n"/>
    </row>
    <row r="1527" ht="62" customHeight="1">
      <c r="A1527" s="8" t="inlineStr">
        <is>
          <t>5.42</t>
        </is>
      </c>
      <c r="B1527" s="17"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C1527" s="9" t="n"/>
      <c r="D1527" s="9" t="n"/>
      <c r="E1527" s="9" t="n"/>
      <c r="F1527" s="9" t="n"/>
      <c r="G1527" s="9" t="n"/>
    </row>
    <row r="1528" ht="18.5" customHeight="1">
      <c r="A1528" s="18" t="inlineStr">
        <is>
          <t>5.42.3</t>
        </is>
      </c>
      <c r="B1528" s="19" t="inlineStr">
        <is>
          <t>Coupler for 25 mm diameter reinforcement bar</t>
        </is>
      </c>
      <c r="C1528" s="20" t="n"/>
      <c r="D1528" s="20" t="n"/>
      <c r="E1528" s="20" t="n"/>
      <c r="F1528" s="20" t="n"/>
      <c r="G1528" s="20" t="n"/>
    </row>
    <row r="1529">
      <c r="A1529" s="21" t="inlineStr">
        <is>
          <t>Details of cost for 1 no   |   Source: CivilDAR_2019_Vol_1.pdf, page 261</t>
        </is>
      </c>
    </row>
    <row r="1530">
      <c r="A1530" s="5" t="inlineStr">
        <is>
          <t>Code</t>
        </is>
      </c>
      <c r="B1530" s="5" t="inlineStr">
        <is>
          <t>Description</t>
        </is>
      </c>
      <c r="C1530" s="5" t="inlineStr">
        <is>
          <t>Unit</t>
        </is>
      </c>
      <c r="D1530" s="5" t="inlineStr">
        <is>
          <t>Quantity</t>
        </is>
      </c>
      <c r="E1530" s="5" t="inlineStr">
        <is>
          <t>Rate (Rs.)</t>
        </is>
      </c>
      <c r="F1530" s="5" t="inlineStr">
        <is>
          <t>Amount (Rs.)</t>
        </is>
      </c>
      <c r="G1530" s="5" t="inlineStr">
        <is>
          <t>Note</t>
        </is>
      </c>
    </row>
    <row r="1531">
      <c r="A1531" s="22" t="inlineStr">
        <is>
          <t>2396</t>
        </is>
      </c>
      <c r="B1531" s="11" t="inlineStr">
        <is>
          <t>Coupler 25 mm dia</t>
        </is>
      </c>
      <c r="C1531" s="22" t="inlineStr">
        <is>
          <t>each</t>
        </is>
      </c>
      <c r="D1531" s="23" t="n">
        <v>1</v>
      </c>
      <c r="E1531" s="24" t="n">
        <v>69.5</v>
      </c>
      <c r="F1531" s="24">
        <f>D1531*E1531</f>
        <v/>
      </c>
      <c r="G1531" s="22" t="n"/>
    </row>
    <row r="1532">
      <c r="A1532" s="22" t="inlineStr">
        <is>
          <t>9999</t>
        </is>
      </c>
      <c r="B1532" s="11" t="inlineStr">
        <is>
          <t>For placing in position and fixing</t>
        </is>
      </c>
      <c r="C1532" s="22" t="inlineStr">
        <is>
          <t>L.S.</t>
        </is>
      </c>
      <c r="D1532" s="23" t="n">
        <v>8.69</v>
      </c>
      <c r="E1532" s="24" t="n">
        <v>2</v>
      </c>
      <c r="F1532" s="24">
        <f>D1532*E1532</f>
        <v/>
      </c>
      <c r="G1532" s="22" t="n"/>
    </row>
    <row r="1533">
      <c r="A1533" s="22" t="inlineStr">
        <is>
          <t>9999</t>
        </is>
      </c>
      <c r="B1533" s="11" t="inlineStr">
        <is>
          <t>Tapard/Parallel threading charges</t>
        </is>
      </c>
      <c r="C1533" s="22" t="inlineStr">
        <is>
          <t>L.S.</t>
        </is>
      </c>
      <c r="D1533" s="23" t="n">
        <v>29.61</v>
      </c>
      <c r="E1533" s="24" t="n">
        <v>2</v>
      </c>
      <c r="F1533" s="24">
        <f>D1533*E1533</f>
        <v/>
      </c>
      <c r="G1533" s="22" t="n"/>
    </row>
    <row r="1534">
      <c r="A1534" s="8" t="inlineStr">
        <is>
          <t>Calculated W - SUM of the Amount column above</t>
        </is>
      </c>
      <c r="B1534" s="9" t="n"/>
      <c r="C1534" s="9" t="n"/>
      <c r="D1534" s="9" t="n"/>
      <c r="E1534" s="9" t="n"/>
      <c r="F1534" s="25">
        <f>SUM(F1531:F1533)</f>
        <v/>
      </c>
      <c r="G1534" s="9" t="n"/>
    </row>
    <row r="1535">
      <c r="A1535" s="26" t="inlineStr">
        <is>
          <t>W as printed in the DAR</t>
        </is>
      </c>
      <c r="B1535" s="22" t="n"/>
      <c r="C1535" s="22" t="n"/>
      <c r="D1535" s="22" t="n"/>
      <c r="E1535" s="22" t="n"/>
      <c r="F1535" s="27" t="n">
        <v>146.1</v>
      </c>
      <c r="G1535" s="22" t="n"/>
    </row>
    <row r="1536">
      <c r="A1536" s="26" t="inlineStr">
        <is>
          <t>Difference (calculated - printed)</t>
        </is>
      </c>
      <c r="B1536" s="22" t="n"/>
      <c r="C1536" s="22" t="n"/>
      <c r="D1536" s="22" t="n"/>
      <c r="E1536" s="22" t="n"/>
      <c r="F1536" s="27">
        <f>F1534-F1535</f>
        <v/>
      </c>
      <c r="G1536" s="22" t="n"/>
    </row>
    <row r="1537">
      <c r="A1537" s="29" t="inlineStr">
        <is>
          <t>SAY (Rs.) - final DAR rate as printed (fixed value, not computed)</t>
        </is>
      </c>
      <c r="B1537" s="30" t="n"/>
      <c r="C1537" s="30" t="n"/>
      <c r="D1537" s="30" t="n"/>
      <c r="E1537" s="30" t="n"/>
      <c r="F1537" s="31" t="n">
        <v>195.45</v>
      </c>
      <c r="G1537" s="30" t="n"/>
    </row>
    <row r="1539" ht="62" customHeight="1">
      <c r="A1539" s="8" t="inlineStr">
        <is>
          <t>5.42</t>
        </is>
      </c>
      <c r="B1539" s="17"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C1539" s="9" t="n"/>
      <c r="D1539" s="9" t="n"/>
      <c r="E1539" s="9" t="n"/>
      <c r="F1539" s="9" t="n"/>
      <c r="G1539" s="9" t="n"/>
    </row>
    <row r="1540" ht="18.5" customHeight="1">
      <c r="A1540" s="18" t="inlineStr">
        <is>
          <t>5.42.4</t>
        </is>
      </c>
      <c r="B1540" s="19" t="inlineStr">
        <is>
          <t>Coupler for 28 mm diameter reinforcement bar</t>
        </is>
      </c>
      <c r="C1540" s="20" t="n"/>
      <c r="D1540" s="20" t="n"/>
      <c r="E1540" s="20" t="n"/>
      <c r="F1540" s="20" t="n"/>
      <c r="G1540" s="20" t="n"/>
    </row>
    <row r="1541">
      <c r="A1541" s="21" t="inlineStr">
        <is>
          <t>Details of cost for 1 no   |   Source: CivilDAR_2019_Vol_1.pdf, page 261</t>
        </is>
      </c>
    </row>
    <row r="1542">
      <c r="A1542" s="5" t="inlineStr">
        <is>
          <t>Code</t>
        </is>
      </c>
      <c r="B1542" s="5" t="inlineStr">
        <is>
          <t>Description</t>
        </is>
      </c>
      <c r="C1542" s="5" t="inlineStr">
        <is>
          <t>Unit</t>
        </is>
      </c>
      <c r="D1542" s="5" t="inlineStr">
        <is>
          <t>Quantity</t>
        </is>
      </c>
      <c r="E1542" s="5" t="inlineStr">
        <is>
          <t>Rate (Rs.)</t>
        </is>
      </c>
      <c r="F1542" s="5" t="inlineStr">
        <is>
          <t>Amount (Rs.)</t>
        </is>
      </c>
      <c r="G1542" s="5" t="inlineStr">
        <is>
          <t>Note</t>
        </is>
      </c>
    </row>
    <row r="1543">
      <c r="A1543" s="22" t="inlineStr">
        <is>
          <t>2397</t>
        </is>
      </c>
      <c r="B1543" s="11" t="inlineStr">
        <is>
          <t>Coupler 28 mm dia</t>
        </is>
      </c>
      <c r="C1543" s="22" t="inlineStr">
        <is>
          <t>each</t>
        </is>
      </c>
      <c r="D1543" s="23" t="n">
        <v>1</v>
      </c>
      <c r="E1543" s="24" t="n">
        <v>80</v>
      </c>
      <c r="F1543" s="24">
        <f>D1543*E1543</f>
        <v/>
      </c>
      <c r="G1543" s="22" t="n"/>
    </row>
    <row r="1544">
      <c r="A1544" s="22" t="inlineStr">
        <is>
          <t>9999</t>
        </is>
      </c>
      <c r="B1544" s="11" t="inlineStr">
        <is>
          <t>For placing in position and fixing</t>
        </is>
      </c>
      <c r="C1544" s="22" t="inlineStr">
        <is>
          <t>L.S.</t>
        </is>
      </c>
      <c r="D1544" s="23" t="n">
        <v>12.84</v>
      </c>
      <c r="E1544" s="24" t="n">
        <v>2</v>
      </c>
      <c r="F1544" s="24">
        <f>D1544*E1544</f>
        <v/>
      </c>
      <c r="G1544" s="22" t="n"/>
    </row>
    <row r="1545">
      <c r="A1545" s="22" t="inlineStr">
        <is>
          <t>9999</t>
        </is>
      </c>
      <c r="B1545" s="11" t="inlineStr">
        <is>
          <t>Tapard/Parallel threading charges</t>
        </is>
      </c>
      <c r="C1545" s="22" t="inlineStr">
        <is>
          <t>L.S.</t>
        </is>
      </c>
      <c r="D1545" s="23" t="n">
        <v>32.57</v>
      </c>
      <c r="E1545" s="24" t="n">
        <v>2</v>
      </c>
      <c r="F1545" s="24">
        <f>D1545*E1545</f>
        <v/>
      </c>
      <c r="G1545" s="22" t="n"/>
    </row>
    <row r="1546">
      <c r="A1546" s="8" t="inlineStr">
        <is>
          <t>Calculated W - SUM of the Amount column above</t>
        </is>
      </c>
      <c r="B1546" s="9" t="n"/>
      <c r="C1546" s="9" t="n"/>
      <c r="D1546" s="9" t="n"/>
      <c r="E1546" s="9" t="n"/>
      <c r="F1546" s="25">
        <f>SUM(F1543:F1545)</f>
        <v/>
      </c>
      <c r="G1546" s="9" t="n"/>
    </row>
    <row r="1547">
      <c r="A1547" s="26" t="inlineStr">
        <is>
          <t>W as printed in the DAR</t>
        </is>
      </c>
      <c r="B1547" s="22" t="n"/>
      <c r="C1547" s="22" t="n"/>
      <c r="D1547" s="22" t="n"/>
      <c r="E1547" s="22" t="n"/>
      <c r="F1547" s="27" t="n">
        <v>170.82</v>
      </c>
      <c r="G1547" s="22" t="n"/>
    </row>
    <row r="1548">
      <c r="A1548" s="26" t="inlineStr">
        <is>
          <t>Difference (calculated - printed)</t>
        </is>
      </c>
      <c r="B1548" s="22" t="n"/>
      <c r="C1548" s="22" t="n"/>
      <c r="D1548" s="22" t="n"/>
      <c r="E1548" s="22" t="n"/>
      <c r="F1548" s="27">
        <f>F1546-F1547</f>
        <v/>
      </c>
      <c r="G1548" s="22" t="n"/>
    </row>
    <row r="1549">
      <c r="A1549" s="29" t="inlineStr">
        <is>
          <t>SAY (Rs.) - final DAR rate as printed (fixed value, not computed)</t>
        </is>
      </c>
      <c r="B1549" s="30" t="n"/>
      <c r="C1549" s="30" t="n"/>
      <c r="D1549" s="30" t="n"/>
      <c r="E1549" s="30" t="n"/>
      <c r="F1549" s="31" t="n">
        <v>228.55</v>
      </c>
      <c r="G1549" s="30" t="n"/>
    </row>
    <row r="1551" ht="62" customHeight="1">
      <c r="A1551" s="8" t="inlineStr">
        <is>
          <t>5.42</t>
        </is>
      </c>
      <c r="B1551" s="17"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is>
      </c>
      <c r="C1551" s="9" t="n"/>
      <c r="D1551" s="9" t="n"/>
      <c r="E1551" s="9" t="n"/>
      <c r="F1551" s="9" t="n"/>
      <c r="G1551" s="9" t="n"/>
    </row>
    <row r="1552" ht="18.5" customHeight="1">
      <c r="A1552" s="18" t="inlineStr">
        <is>
          <t>5.42.5</t>
        </is>
      </c>
      <c r="B1552" s="19" t="inlineStr">
        <is>
          <t>Coupler for 32 mm diameter reinforcement bar</t>
        </is>
      </c>
      <c r="C1552" s="20" t="n"/>
      <c r="D1552" s="20" t="n"/>
      <c r="E1552" s="20" t="n"/>
      <c r="F1552" s="20" t="n"/>
      <c r="G1552" s="20" t="n"/>
    </row>
    <row r="1553">
      <c r="A1553" s="21" t="inlineStr">
        <is>
          <t>Details of cost for 1 no   |   Source: CivilDAR_2019_Vol_1.pdf, page 262</t>
        </is>
      </c>
    </row>
    <row r="1554">
      <c r="A1554" s="5" t="inlineStr">
        <is>
          <t>Code</t>
        </is>
      </c>
      <c r="B1554" s="5" t="inlineStr">
        <is>
          <t>Description</t>
        </is>
      </c>
      <c r="C1554" s="5" t="inlineStr">
        <is>
          <t>Unit</t>
        </is>
      </c>
      <c r="D1554" s="5" t="inlineStr">
        <is>
          <t>Quantity</t>
        </is>
      </c>
      <c r="E1554" s="5" t="inlineStr">
        <is>
          <t>Rate (Rs.)</t>
        </is>
      </c>
      <c r="F1554" s="5" t="inlineStr">
        <is>
          <t>Amount (Rs.)</t>
        </is>
      </c>
      <c r="G1554" s="5" t="inlineStr">
        <is>
          <t>Note</t>
        </is>
      </c>
    </row>
    <row r="1555">
      <c r="A1555" s="22" t="inlineStr">
        <is>
          <t>2398</t>
        </is>
      </c>
      <c r="B1555" s="11" t="inlineStr">
        <is>
          <t>Coupler 32 mm dia</t>
        </is>
      </c>
      <c r="C1555" s="22" t="inlineStr">
        <is>
          <t>each</t>
        </is>
      </c>
      <c r="D1555" s="23" t="n">
        <v>1</v>
      </c>
      <c r="E1555" s="24" t="n">
        <v>110</v>
      </c>
      <c r="F1555" s="24">
        <f>D1555*E1555</f>
        <v/>
      </c>
      <c r="G1555" s="22" t="n"/>
    </row>
    <row r="1556">
      <c r="A1556" s="22" t="inlineStr">
        <is>
          <t>9999</t>
        </is>
      </c>
      <c r="B1556" s="11" t="inlineStr">
        <is>
          <t>For placing in position and fixing</t>
        </is>
      </c>
      <c r="C1556" s="22" t="inlineStr">
        <is>
          <t>L.S.</t>
        </is>
      </c>
      <c r="D1556" s="23" t="n">
        <v>15.48</v>
      </c>
      <c r="E1556" s="24" t="n">
        <v>2</v>
      </c>
      <c r="F1556" s="24">
        <f>D1556*E1556</f>
        <v/>
      </c>
      <c r="G1556" s="22" t="n"/>
    </row>
    <row r="1557">
      <c r="A1557" s="22" t="inlineStr">
        <is>
          <t>9999</t>
        </is>
      </c>
      <c r="B1557" s="11" t="inlineStr">
        <is>
          <t>Tapard/Parallel threading charges</t>
        </is>
      </c>
      <c r="C1557" s="22" t="inlineStr">
        <is>
          <t>L.S.</t>
        </is>
      </c>
      <c r="D1557" s="23" t="n">
        <v>32.57</v>
      </c>
      <c r="E1557" s="24" t="n">
        <v>2</v>
      </c>
      <c r="F1557" s="24">
        <f>D1557*E1557</f>
        <v/>
      </c>
      <c r="G1557" s="22" t="n"/>
    </row>
    <row r="1558">
      <c r="A1558" s="8" t="inlineStr">
        <is>
          <t>Calculated W - SUM of the Amount column above</t>
        </is>
      </c>
      <c r="B1558" s="9" t="n"/>
      <c r="C1558" s="9" t="n"/>
      <c r="D1558" s="9" t="n"/>
      <c r="E1558" s="9" t="n"/>
      <c r="F1558" s="25">
        <f>SUM(F1555:F1557)</f>
        <v/>
      </c>
      <c r="G1558" s="9" t="n"/>
    </row>
    <row r="1559">
      <c r="A1559" s="26" t="inlineStr">
        <is>
          <t>W as printed in the DAR</t>
        </is>
      </c>
      <c r="B1559" s="22" t="n"/>
      <c r="C1559" s="22" t="n"/>
      <c r="D1559" s="22" t="n"/>
      <c r="E1559" s="22" t="n"/>
      <c r="F1559" s="27" t="n">
        <v>206.1</v>
      </c>
      <c r="G1559" s="22" t="n"/>
    </row>
    <row r="1560">
      <c r="A1560" s="26" t="inlineStr">
        <is>
          <t>Difference (calculated - printed)</t>
        </is>
      </c>
      <c r="B1560" s="22" t="n"/>
      <c r="C1560" s="22" t="n"/>
      <c r="D1560" s="22" t="n"/>
      <c r="E1560" s="22" t="n"/>
      <c r="F1560" s="27">
        <f>F1558-F1559</f>
        <v/>
      </c>
      <c r="G1560" s="22" t="n"/>
    </row>
    <row r="1561">
      <c r="A1561" s="29" t="inlineStr">
        <is>
          <t>SAY (Rs.) - final DAR rate as printed (fixed value, not computed)</t>
        </is>
      </c>
      <c r="B1561" s="30" t="n"/>
      <c r="C1561" s="30" t="n"/>
      <c r="D1561" s="30" t="n"/>
      <c r="E1561" s="30" t="n"/>
      <c r="F1561" s="31" t="n">
        <v>275.75</v>
      </c>
      <c r="G1561" s="30" t="n"/>
    </row>
    <row r="1563" ht="18.5" customHeight="1">
      <c r="A1563" s="8" t="inlineStr">
        <is>
          <t>5.43</t>
        </is>
      </c>
      <c r="B1563" s="17" t="inlineStr">
        <is>
          <t>Providing and fixing in position Stainless steel Grade 304 plate-1.0 mm thick as per design for expansion joints.</t>
        </is>
      </c>
      <c r="C1563" s="9" t="n"/>
      <c r="D1563" s="9" t="n"/>
      <c r="E1563" s="9" t="n"/>
      <c r="F1563" s="9" t="n"/>
      <c r="G1563" s="9" t="n"/>
    </row>
    <row r="1564" ht="18.5" customHeight="1">
      <c r="A1564" s="18" t="inlineStr">
        <is>
          <t>5.43.1</t>
        </is>
      </c>
      <c r="B1564" s="19" t="inlineStr">
        <is>
          <t>200 mm wide.</t>
        </is>
      </c>
      <c r="C1564" s="20" t="n"/>
      <c r="D1564" s="20" t="n"/>
      <c r="E1564" s="20" t="n"/>
      <c r="F1564" s="20" t="n"/>
      <c r="G1564" s="20" t="n"/>
    </row>
    <row r="1565">
      <c r="A1565" s="21" t="inlineStr">
        <is>
          <t>Details of cost for 1 metre   |   Source: CivilDAR_2019_Vol_1.pdf, page 262</t>
        </is>
      </c>
    </row>
    <row r="1566">
      <c r="A1566" s="5" t="inlineStr">
        <is>
          <t>Code</t>
        </is>
      </c>
      <c r="B1566" s="5" t="inlineStr">
        <is>
          <t>Description</t>
        </is>
      </c>
      <c r="C1566" s="5" t="inlineStr">
        <is>
          <t>Unit</t>
        </is>
      </c>
      <c r="D1566" s="5" t="inlineStr">
        <is>
          <t>Quantity</t>
        </is>
      </c>
      <c r="E1566" s="5" t="inlineStr">
        <is>
          <t>Rate (Rs.)</t>
        </is>
      </c>
      <c r="F1566" s="5" t="inlineStr">
        <is>
          <t>Amount (Rs.)</t>
        </is>
      </c>
      <c r="G1566" s="5" t="inlineStr">
        <is>
          <t>Note</t>
        </is>
      </c>
    </row>
    <row r="1567">
      <c r="A1567" s="22" t="inlineStr">
        <is>
          <t>2393</t>
        </is>
      </c>
      <c r="B1567" s="11" t="inlineStr">
        <is>
          <t>1 mm thick Stainless Steel Cover plate grade</t>
        </is>
      </c>
      <c r="C1567" s="22" t="inlineStr">
        <is>
          <t>304 kg</t>
        </is>
      </c>
      <c r="D1567" s="23" t="n">
        <v>1.6</v>
      </c>
      <c r="E1567" s="24" t="n">
        <v>275</v>
      </c>
      <c r="F1567" s="24">
        <f>D1567*E1567</f>
        <v/>
      </c>
      <c r="G1567" s="22" t="n"/>
    </row>
    <row r="1568">
      <c r="A1568" s="22" t="inlineStr">
        <is>
          <t>8647</t>
        </is>
      </c>
      <c r="B1568" s="11" t="inlineStr">
        <is>
          <t>Stainless steal screws 30mm x4mm.</t>
        </is>
      </c>
      <c r="C1568" s="22" t="inlineStr">
        <is>
          <t>100 nos</t>
        </is>
      </c>
      <c r="D1568" s="23" t="n">
        <v>0.06</v>
      </c>
      <c r="E1568" s="24" t="n">
        <v>32</v>
      </c>
      <c r="F1568" s="24">
        <f>D1568*E1568</f>
        <v/>
      </c>
      <c r="G1568" s="22" t="n"/>
    </row>
    <row r="1569">
      <c r="A1569" s="22" t="inlineStr">
        <is>
          <t>9977</t>
        </is>
      </c>
      <c r="B1569" s="11" t="inlineStr">
        <is>
          <t>Carriage of material</t>
        </is>
      </c>
      <c r="C1569" s="22" t="inlineStr">
        <is>
          <t>L.S.</t>
        </is>
      </c>
      <c r="D1569" s="23" t="n">
        <v>1.3</v>
      </c>
      <c r="E1569" s="24" t="n">
        <v>2</v>
      </c>
      <c r="F1569" s="24">
        <f>D1569*E1569</f>
        <v/>
      </c>
      <c r="G1569" s="22" t="n"/>
    </row>
    <row r="1570">
      <c r="A1570" s="22" t="inlineStr">
        <is>
          <t>0103</t>
        </is>
      </c>
      <c r="B1570" s="11" t="inlineStr">
        <is>
          <t>Blacksmith 2nd class</t>
        </is>
      </c>
      <c r="C1570" s="22" t="inlineStr">
        <is>
          <t>day</t>
        </is>
      </c>
      <c r="D1570" s="23" t="n">
        <v>0.067</v>
      </c>
      <c r="E1570" s="24" t="n">
        <v>679</v>
      </c>
      <c r="F1570" s="24">
        <f>D1570*E1570</f>
        <v/>
      </c>
      <c r="G1570" s="22" t="n"/>
    </row>
    <row r="1571">
      <c r="A1571" s="22" t="inlineStr">
        <is>
          <t>0114</t>
        </is>
      </c>
      <c r="B1571" s="11" t="inlineStr">
        <is>
          <t>Beldar</t>
        </is>
      </c>
      <c r="C1571" s="22" t="inlineStr">
        <is>
          <t>day</t>
        </is>
      </c>
      <c r="D1571" s="23" t="n">
        <v>0.067</v>
      </c>
      <c r="E1571" s="24" t="n">
        <v>558</v>
      </c>
      <c r="F1571" s="24">
        <f>D1571*E1571</f>
        <v/>
      </c>
      <c r="G1571" s="22" t="n"/>
    </row>
    <row r="1572">
      <c r="A1572" s="22" t="inlineStr">
        <is>
          <t>9999</t>
        </is>
      </c>
      <c r="B1572" s="11" t="inlineStr">
        <is>
          <t>Sundries</t>
        </is>
      </c>
      <c r="C1572" s="22" t="inlineStr">
        <is>
          <t>L.S.</t>
        </is>
      </c>
      <c r="D1572" s="23" t="n">
        <v>2.34</v>
      </c>
      <c r="E1572" s="24" t="n">
        <v>2</v>
      </c>
      <c r="F1572" s="24">
        <f>D1572*E1572</f>
        <v/>
      </c>
      <c r="G1572" s="22" t="n"/>
    </row>
    <row r="1573">
      <c r="A1573" s="8" t="inlineStr">
        <is>
          <t>Calculated W - SUM of the Amount column above</t>
        </is>
      </c>
      <c r="B1573" s="9" t="n"/>
      <c r="C1573" s="9" t="n"/>
      <c r="D1573" s="9" t="n"/>
      <c r="E1573" s="9" t="n"/>
      <c r="F1573" s="25">
        <f>SUM(F1567:F1572)</f>
        <v/>
      </c>
      <c r="G1573" s="9" t="n"/>
    </row>
    <row r="1574">
      <c r="A1574" s="26" t="inlineStr">
        <is>
          <t>W as printed in the DAR</t>
        </is>
      </c>
      <c r="B1574" s="22" t="n"/>
      <c r="C1574" s="22" t="n"/>
      <c r="D1574" s="22" t="n"/>
      <c r="E1574" s="22" t="n"/>
      <c r="F1574" s="27" t="n">
        <v>532.08</v>
      </c>
      <c r="G1574" s="22" t="n"/>
    </row>
    <row r="1575">
      <c r="A1575" s="26" t="inlineStr">
        <is>
          <t>Difference (calculated - printed)</t>
        </is>
      </c>
      <c r="B1575" s="22" t="n"/>
      <c r="C1575" s="22" t="n"/>
      <c r="D1575" s="22" t="n"/>
      <c r="E1575" s="22" t="n"/>
      <c r="F1575" s="27">
        <f>F1573-F1574</f>
        <v/>
      </c>
      <c r="G1575" s="22" t="n"/>
    </row>
    <row r="1576">
      <c r="A1576" s="29" t="inlineStr">
        <is>
          <t>SAY (Rs.) - final DAR rate as printed (fixed value, not computed)</t>
        </is>
      </c>
      <c r="B1576" s="30" t="n"/>
      <c r="C1576" s="30" t="n"/>
      <c r="D1576" s="30" t="n"/>
      <c r="E1576" s="30" t="n"/>
      <c r="F1576" s="31" t="n">
        <v>711.9</v>
      </c>
      <c r="G1576" s="30" t="n"/>
    </row>
    <row r="1578" ht="18.5" customHeight="1">
      <c r="A1578" s="8" t="inlineStr">
        <is>
          <t>5.43</t>
        </is>
      </c>
      <c r="B1578" s="17" t="inlineStr">
        <is>
          <t>Providing and fixing in position Stainless steel Grade 304 plate-1.0 mm thick as per design for expansion joints.</t>
        </is>
      </c>
      <c r="C1578" s="9" t="n"/>
      <c r="D1578" s="9" t="n"/>
      <c r="E1578" s="9" t="n"/>
      <c r="F1578" s="9" t="n"/>
      <c r="G1578" s="9" t="n"/>
    </row>
    <row r="1579" ht="18.5" customHeight="1">
      <c r="A1579" s="18" t="inlineStr">
        <is>
          <t>5.43.2</t>
        </is>
      </c>
      <c r="B1579" s="19" t="inlineStr">
        <is>
          <t>300 mm wide.</t>
        </is>
      </c>
      <c r="C1579" s="20" t="n"/>
      <c r="D1579" s="20" t="n"/>
      <c r="E1579" s="20" t="n"/>
      <c r="F1579" s="20" t="n"/>
      <c r="G1579" s="20" t="n"/>
    </row>
    <row r="1580">
      <c r="A1580" s="21" t="inlineStr">
        <is>
          <t>Details of cost for 1 metre   |   Source: CivilDAR_2019_Vol_1.pdf, page 263</t>
        </is>
      </c>
    </row>
    <row r="1581">
      <c r="A1581" s="5" t="inlineStr">
        <is>
          <t>Code</t>
        </is>
      </c>
      <c r="B1581" s="5" t="inlineStr">
        <is>
          <t>Description</t>
        </is>
      </c>
      <c r="C1581" s="5" t="inlineStr">
        <is>
          <t>Unit</t>
        </is>
      </c>
      <c r="D1581" s="5" t="inlineStr">
        <is>
          <t>Quantity</t>
        </is>
      </c>
      <c r="E1581" s="5" t="inlineStr">
        <is>
          <t>Rate (Rs.)</t>
        </is>
      </c>
      <c r="F1581" s="5" t="inlineStr">
        <is>
          <t>Amount (Rs.)</t>
        </is>
      </c>
      <c r="G1581" s="5" t="inlineStr">
        <is>
          <t>Note</t>
        </is>
      </c>
    </row>
    <row r="1582">
      <c r="A1582" s="22" t="inlineStr">
        <is>
          <t>2393</t>
        </is>
      </c>
      <c r="B1582" s="11" t="inlineStr">
        <is>
          <t>1 mm thick Stainless Steel Cover plate grade</t>
        </is>
      </c>
      <c r="C1582" s="22" t="inlineStr">
        <is>
          <t>304 kg</t>
        </is>
      </c>
      <c r="D1582" s="23" t="n">
        <v>2.4</v>
      </c>
      <c r="E1582" s="24" t="n">
        <v>275</v>
      </c>
      <c r="F1582" s="24">
        <f>D1582*E1582</f>
        <v/>
      </c>
      <c r="G1582" s="22" t="n"/>
    </row>
    <row r="1583">
      <c r="A1583" s="22" t="inlineStr">
        <is>
          <t>8647</t>
        </is>
      </c>
      <c r="B1583" s="11" t="inlineStr">
        <is>
          <t>Stainless steal screws 30mm x4mm.</t>
        </is>
      </c>
      <c r="C1583" s="22" t="inlineStr">
        <is>
          <t>100 nos</t>
        </is>
      </c>
      <c r="D1583" s="23" t="n">
        <v>0.06</v>
      </c>
      <c r="E1583" s="24" t="n">
        <v>32</v>
      </c>
      <c r="F1583" s="24">
        <f>D1583*E1583</f>
        <v/>
      </c>
      <c r="G1583" s="22" t="n"/>
    </row>
    <row r="1584">
      <c r="A1584" s="22" t="inlineStr">
        <is>
          <t>9977</t>
        </is>
      </c>
      <c r="B1584" s="11" t="inlineStr">
        <is>
          <t>Carriage of material</t>
        </is>
      </c>
      <c r="C1584" s="22" t="inlineStr">
        <is>
          <t>L.S.</t>
        </is>
      </c>
      <c r="D1584" s="23" t="n">
        <v>1.3</v>
      </c>
      <c r="E1584" s="24" t="n">
        <v>2</v>
      </c>
      <c r="F1584" s="24">
        <f>D1584*E1584</f>
        <v/>
      </c>
      <c r="G1584" s="22" t="n"/>
    </row>
    <row r="1585">
      <c r="A1585" s="22" t="inlineStr">
        <is>
          <t>0103</t>
        </is>
      </c>
      <c r="B1585" s="11" t="inlineStr">
        <is>
          <t>Blacksmith 2nd class</t>
        </is>
      </c>
      <c r="C1585" s="22" t="inlineStr">
        <is>
          <t>day</t>
        </is>
      </c>
      <c r="D1585" s="23" t="n">
        <v>0.067</v>
      </c>
      <c r="E1585" s="24" t="n">
        <v>679</v>
      </c>
      <c r="F1585" s="24">
        <f>D1585*E1585</f>
        <v/>
      </c>
      <c r="G1585" s="22" t="n"/>
    </row>
    <row r="1586">
      <c r="A1586" s="22" t="inlineStr">
        <is>
          <t>0114</t>
        </is>
      </c>
      <c r="B1586" s="11" t="inlineStr">
        <is>
          <t>Beldar</t>
        </is>
      </c>
      <c r="C1586" s="22" t="inlineStr">
        <is>
          <t>day</t>
        </is>
      </c>
      <c r="D1586" s="23" t="n">
        <v>0.067</v>
      </c>
      <c r="E1586" s="24" t="n">
        <v>558</v>
      </c>
      <c r="F1586" s="24">
        <f>D1586*E1586</f>
        <v/>
      </c>
      <c r="G1586" s="22" t="n"/>
    </row>
    <row r="1587">
      <c r="A1587" s="22" t="inlineStr">
        <is>
          <t>9999</t>
        </is>
      </c>
      <c r="B1587" s="11" t="inlineStr">
        <is>
          <t>Sundries</t>
        </is>
      </c>
      <c r="C1587" s="22" t="inlineStr">
        <is>
          <t>L.S.</t>
        </is>
      </c>
      <c r="D1587" s="23" t="n">
        <v>2.34</v>
      </c>
      <c r="E1587" s="24" t="n">
        <v>2</v>
      </c>
      <c r="F1587" s="24">
        <f>D1587*E1587</f>
        <v/>
      </c>
      <c r="G1587" s="22" t="n"/>
    </row>
    <row r="1588">
      <c r="A1588" s="8" t="inlineStr">
        <is>
          <t>Calculated W - SUM of the Amount column above</t>
        </is>
      </c>
      <c r="B1588" s="9" t="n"/>
      <c r="C1588" s="9" t="n"/>
      <c r="D1588" s="9" t="n"/>
      <c r="E1588" s="9" t="n"/>
      <c r="F1588" s="25">
        <f>SUM(F1582:F1587)</f>
        <v/>
      </c>
      <c r="G1588" s="9" t="n"/>
    </row>
    <row r="1589">
      <c r="A1589" s="26" t="inlineStr">
        <is>
          <t>W as printed in the DAR</t>
        </is>
      </c>
      <c r="B1589" s="22" t="n"/>
      <c r="C1589" s="22" t="n"/>
      <c r="D1589" s="22" t="n"/>
      <c r="E1589" s="22" t="n"/>
      <c r="F1589" s="27" t="n">
        <v>752.08</v>
      </c>
      <c r="G1589" s="22" t="n"/>
    </row>
    <row r="1590">
      <c r="A1590" s="26" t="inlineStr">
        <is>
          <t>Difference (calculated - printed)</t>
        </is>
      </c>
      <c r="B1590" s="22" t="n"/>
      <c r="C1590" s="22" t="n"/>
      <c r="D1590" s="22" t="n"/>
      <c r="E1590" s="22" t="n"/>
      <c r="F1590" s="27">
        <f>F1588-F1589</f>
        <v/>
      </c>
      <c r="G1590" s="22" t="n"/>
    </row>
    <row r="1591">
      <c r="A1591" s="29" t="inlineStr">
        <is>
          <t>SAY (Rs.) - final DAR rate as printed (fixed value, not computed)</t>
        </is>
      </c>
      <c r="B1591" s="30" t="n"/>
      <c r="C1591" s="30" t="n"/>
      <c r="D1591" s="30" t="n"/>
      <c r="E1591" s="30" t="n"/>
      <c r="F1591" s="31" t="n">
        <v>1006.25</v>
      </c>
      <c r="G1591" s="30" t="n"/>
    </row>
    <row r="1593" ht="120" customHeight="1">
      <c r="A1593" s="8" t="inlineStr">
        <is>
          <t>5.44</t>
        </is>
      </c>
      <c r="B1593" s="17"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t>
        </is>
      </c>
      <c r="C1593" s="9" t="n"/>
      <c r="D1593" s="9" t="n"/>
      <c r="E1593" s="9" t="n"/>
      <c r="F1593" s="9" t="n"/>
      <c r="G1593" s="9" t="n"/>
    </row>
    <row r="1594" ht="18.5" customHeight="1">
      <c r="A1594" s="9" t="n"/>
      <c r="B1594" s="17" t="inlineStr">
        <is>
          <t>freely rotates / moves in all directions. The Self - centering</t>
        </is>
      </c>
      <c r="C1594" s="9" t="n"/>
      <c r="D1594" s="9" t="n"/>
      <c r="E1594" s="9" t="n"/>
      <c r="F1594" s="9" t="n"/>
      <c r="G1594" s="9" t="n"/>
    </row>
    <row r="1595" ht="18.5" customHeight="1">
      <c r="A1595" s="18" t="inlineStr">
        <is>
          <t>5.44.1</t>
        </is>
      </c>
      <c r="B1595" s="19" t="inlineStr">
        <is>
          <t>Floor Joint of 100 mm gap</t>
        </is>
      </c>
      <c r="C1595" s="20" t="n"/>
      <c r="D1595" s="20" t="n"/>
      <c r="E1595" s="20" t="n"/>
      <c r="F1595" s="20" t="n"/>
      <c r="G1595" s="20" t="n"/>
    </row>
    <row r="1596">
      <c r="A1596" s="21" t="inlineStr">
        <is>
          <t>Details of cost for 1 metre   |   Source: CivilDAR_2019_Vol_1.pdf, page 264</t>
        </is>
      </c>
    </row>
    <row r="1597">
      <c r="A1597" s="5" t="inlineStr">
        <is>
          <t>Code</t>
        </is>
      </c>
      <c r="B1597" s="5" t="inlineStr">
        <is>
          <t>Description</t>
        </is>
      </c>
      <c r="C1597" s="5" t="inlineStr">
        <is>
          <t>Unit</t>
        </is>
      </c>
      <c r="D1597" s="5" t="inlineStr">
        <is>
          <t>Quantity</t>
        </is>
      </c>
      <c r="E1597" s="5" t="inlineStr">
        <is>
          <t>Rate (Rs.)</t>
        </is>
      </c>
      <c r="F1597" s="5" t="inlineStr">
        <is>
          <t>Amount (Rs.)</t>
        </is>
      </c>
      <c r="G1597" s="5" t="inlineStr">
        <is>
          <t>Note</t>
        </is>
      </c>
    </row>
    <row r="1598">
      <c r="A1598" s="22" t="inlineStr">
        <is>
          <t>2403</t>
        </is>
      </c>
      <c r="B1598" s="11" t="inlineStr">
        <is>
          <t>Floor Joint of 100 mm</t>
        </is>
      </c>
      <c r="C1598" s="22" t="inlineStr">
        <is>
          <t>metre</t>
        </is>
      </c>
      <c r="D1598" s="23" t="n">
        <v>1</v>
      </c>
      <c r="E1598" s="24" t="n">
        <v>3100</v>
      </c>
      <c r="F1598" s="24">
        <f>D1598*E1598</f>
        <v/>
      </c>
      <c r="G1598" s="22" t="n"/>
    </row>
    <row r="1599">
      <c r="A1599" s="22" t="inlineStr">
        <is>
          <t>2402</t>
        </is>
      </c>
      <c r="B1599" s="11" t="inlineStr">
        <is>
          <t>Epoxy adhesive</t>
        </is>
      </c>
      <c r="C1599" s="22" t="inlineStr">
        <is>
          <t>kg</t>
        </is>
      </c>
      <c r="D1599" s="23" t="n">
        <v>4.25</v>
      </c>
      <c r="E1599" s="24" t="n">
        <v>150</v>
      </c>
      <c r="F1599" s="24">
        <f>D1599*E1599</f>
        <v/>
      </c>
      <c r="G1599" s="22" t="n"/>
    </row>
    <row r="1600">
      <c r="A1600" s="22" t="inlineStr">
        <is>
          <t>9977</t>
        </is>
      </c>
      <c r="B1600" s="11" t="inlineStr">
        <is>
          <t>Carriage</t>
        </is>
      </c>
      <c r="C1600" s="22" t="inlineStr">
        <is>
          <t>L.S.</t>
        </is>
      </c>
      <c r="D1600" s="23" t="n">
        <v>124.9</v>
      </c>
      <c r="E1600" s="24" t="n">
        <v>2</v>
      </c>
      <c r="F1600" s="24">
        <f>D1600*E1600</f>
        <v/>
      </c>
      <c r="G1600" s="22" t="n"/>
    </row>
    <row r="1601">
      <c r="A1601" s="22" t="inlineStr">
        <is>
          <t>0102</t>
        </is>
      </c>
      <c r="B1601" s="11" t="inlineStr">
        <is>
          <t>Blacksmith 1st class</t>
        </is>
      </c>
      <c r="C1601" s="22" t="inlineStr">
        <is>
          <t>day</t>
        </is>
      </c>
      <c r="D1601" s="23" t="n">
        <v>0.05</v>
      </c>
      <c r="E1601" s="24" t="n">
        <v>738</v>
      </c>
      <c r="F1601" s="24">
        <f>D1601*E1601</f>
        <v/>
      </c>
      <c r="G1601" s="22" t="n"/>
    </row>
    <row r="1602">
      <c r="A1602" s="22" t="inlineStr">
        <is>
          <t>0123</t>
        </is>
      </c>
      <c r="B1602" s="11" t="inlineStr">
        <is>
          <t>Mason (brick layer) 1st class</t>
        </is>
      </c>
      <c r="C1602" s="22" t="inlineStr">
        <is>
          <t>day</t>
        </is>
      </c>
      <c r="D1602" s="23" t="n">
        <v>0.1</v>
      </c>
      <c r="E1602" s="24" t="n">
        <v>738</v>
      </c>
      <c r="F1602" s="24">
        <f>D1602*E1602</f>
        <v/>
      </c>
      <c r="G1602" s="22" t="n"/>
    </row>
    <row r="1603">
      <c r="A1603" s="22" t="inlineStr">
        <is>
          <t>0114</t>
        </is>
      </c>
      <c r="B1603" s="11" t="inlineStr">
        <is>
          <t>Beldar</t>
        </is>
      </c>
      <c r="C1603" s="22" t="inlineStr">
        <is>
          <t>day</t>
        </is>
      </c>
      <c r="D1603" s="23" t="n">
        <v>0.15</v>
      </c>
      <c r="E1603" s="24" t="n">
        <v>558</v>
      </c>
      <c r="F1603" s="24">
        <f>D1603*E1603</f>
        <v/>
      </c>
      <c r="G1603" s="22" t="n"/>
    </row>
    <row r="1604">
      <c r="A1604" s="8" t="inlineStr">
        <is>
          <t>Calculated W - SUM of the Amount column above</t>
        </is>
      </c>
      <c r="B1604" s="9" t="n"/>
      <c r="C1604" s="9" t="n"/>
      <c r="D1604" s="9" t="n"/>
      <c r="E1604" s="9" t="n"/>
      <c r="F1604" s="25">
        <f>SUM(F1598:F1603)</f>
        <v/>
      </c>
      <c r="G1604" s="9" t="n"/>
    </row>
    <row r="1605">
      <c r="A1605" s="26" t="inlineStr">
        <is>
          <t>W as printed in the DAR</t>
        </is>
      </c>
      <c r="B1605" s="22" t="n"/>
      <c r="C1605" s="22" t="n"/>
      <c r="D1605" s="22" t="n"/>
      <c r="E1605" s="22" t="n"/>
      <c r="F1605" s="27" t="n">
        <v>4181.7</v>
      </c>
      <c r="G1605" s="22" t="n"/>
    </row>
    <row r="1606">
      <c r="A1606" s="26" t="inlineStr">
        <is>
          <t>Difference (calculated - printed)</t>
        </is>
      </c>
      <c r="B1606" s="22" t="n"/>
      <c r="C1606" s="22" t="n"/>
      <c r="D1606" s="22" t="n"/>
      <c r="E1606" s="22" t="n"/>
      <c r="F1606" s="27">
        <f>F1604-F1605</f>
        <v/>
      </c>
      <c r="G1606" s="22" t="n"/>
    </row>
    <row r="1607">
      <c r="A1607" s="29" t="inlineStr">
        <is>
          <t>SAY (Rs.) - final DAR rate as printed (fixed value, not computed)</t>
        </is>
      </c>
      <c r="B1607" s="30" t="n"/>
      <c r="C1607" s="30" t="n"/>
      <c r="D1607" s="30" t="n"/>
      <c r="E1607" s="30" t="n"/>
      <c r="F1607" s="31" t="n">
        <v>5594.85</v>
      </c>
      <c r="G1607" s="30" t="n"/>
    </row>
    <row r="1609" ht="120" customHeight="1">
      <c r="A1609" s="8" t="inlineStr">
        <is>
          <t>5.44</t>
        </is>
      </c>
      <c r="B1609" s="17"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t>
        </is>
      </c>
      <c r="C1609" s="9" t="n"/>
      <c r="D1609" s="9" t="n"/>
      <c r="E1609" s="9" t="n"/>
      <c r="F1609" s="9" t="n"/>
      <c r="G1609" s="9" t="n"/>
    </row>
    <row r="1610" ht="18.5" customHeight="1">
      <c r="A1610" s="9" t="n"/>
      <c r="B1610" s="17" t="inlineStr">
        <is>
          <t>freely rotates / moves in all directions. The Self - centering</t>
        </is>
      </c>
      <c r="C1610" s="9" t="n"/>
      <c r="D1610" s="9" t="n"/>
      <c r="E1610" s="9" t="n"/>
      <c r="F1610" s="9" t="n"/>
      <c r="G1610" s="9" t="n"/>
    </row>
    <row r="1611" ht="18.5" customHeight="1">
      <c r="A1611" s="18" t="inlineStr">
        <is>
          <t>5.44.2</t>
        </is>
      </c>
      <c r="B1611" s="19" t="inlineStr">
        <is>
          <t>Floor Joint of 150 mm gap</t>
        </is>
      </c>
      <c r="C1611" s="20" t="n"/>
      <c r="D1611" s="20" t="n"/>
      <c r="E1611" s="20" t="n"/>
      <c r="F1611" s="20" t="n"/>
      <c r="G1611" s="20" t="n"/>
    </row>
    <row r="1612">
      <c r="A1612" s="21" t="inlineStr">
        <is>
          <t>Details of cost for 1 metre   |   Source: CivilDAR_2019_Vol_1.pdf, page 264</t>
        </is>
      </c>
    </row>
    <row r="1613">
      <c r="A1613" s="5" t="inlineStr">
        <is>
          <t>Code</t>
        </is>
      </c>
      <c r="B1613" s="5" t="inlineStr">
        <is>
          <t>Description</t>
        </is>
      </c>
      <c r="C1613" s="5" t="inlineStr">
        <is>
          <t>Unit</t>
        </is>
      </c>
      <c r="D1613" s="5" t="inlineStr">
        <is>
          <t>Quantity</t>
        </is>
      </c>
      <c r="E1613" s="5" t="inlineStr">
        <is>
          <t>Rate (Rs.)</t>
        </is>
      </c>
      <c r="F1613" s="5" t="inlineStr">
        <is>
          <t>Amount (Rs.)</t>
        </is>
      </c>
      <c r="G1613" s="5" t="inlineStr">
        <is>
          <t>Note</t>
        </is>
      </c>
    </row>
    <row r="1614">
      <c r="A1614" s="22" t="inlineStr">
        <is>
          <t>2404</t>
        </is>
      </c>
      <c r="B1614" s="11" t="inlineStr">
        <is>
          <t>Floor Joint of 150 mm</t>
        </is>
      </c>
      <c r="C1614" s="22" t="inlineStr">
        <is>
          <t>metre</t>
        </is>
      </c>
      <c r="D1614" s="23" t="n">
        <v>1</v>
      </c>
      <c r="E1614" s="24" t="n">
        <v>4000</v>
      </c>
      <c r="F1614" s="24">
        <f>D1614*E1614</f>
        <v/>
      </c>
      <c r="G1614" s="22" t="n"/>
    </row>
    <row r="1615">
      <c r="A1615" s="22" t="inlineStr">
        <is>
          <t>2402</t>
        </is>
      </c>
      <c r="B1615" s="11" t="inlineStr">
        <is>
          <t>Epoxy adhesive</t>
        </is>
      </c>
      <c r="C1615" s="22" t="inlineStr">
        <is>
          <t>kg</t>
        </is>
      </c>
      <c r="D1615" s="23" t="n">
        <v>4.5</v>
      </c>
      <c r="E1615" s="24" t="n">
        <v>150</v>
      </c>
      <c r="F1615" s="24">
        <f>D1615*E1615</f>
        <v/>
      </c>
      <c r="G1615" s="22" t="n"/>
    </row>
    <row r="1616">
      <c r="A1616" s="22" t="inlineStr">
        <is>
          <t>9977</t>
        </is>
      </c>
      <c r="B1616" s="11" t="inlineStr">
        <is>
          <t>Carriage</t>
        </is>
      </c>
      <c r="C1616" s="22" t="inlineStr">
        <is>
          <t>L.S.</t>
        </is>
      </c>
      <c r="D1616" s="23" t="n">
        <v>124.9</v>
      </c>
      <c r="E1616" s="24" t="n">
        <v>2</v>
      </c>
      <c r="F1616" s="24">
        <f>D1616*E1616</f>
        <v/>
      </c>
      <c r="G1616" s="22" t="n"/>
    </row>
    <row r="1617">
      <c r="A1617" s="22" t="inlineStr">
        <is>
          <t>0102</t>
        </is>
      </c>
      <c r="B1617" s="11" t="inlineStr">
        <is>
          <t>Blacksmith 1st class</t>
        </is>
      </c>
      <c r="C1617" s="22" t="inlineStr">
        <is>
          <t>day</t>
        </is>
      </c>
      <c r="D1617" s="23" t="n">
        <v>0.05</v>
      </c>
      <c r="E1617" s="24" t="n">
        <v>738</v>
      </c>
      <c r="F1617" s="24">
        <f>D1617*E1617</f>
        <v/>
      </c>
      <c r="G1617" s="22" t="n"/>
    </row>
    <row r="1618">
      <c r="A1618" s="22" t="inlineStr">
        <is>
          <t>0123</t>
        </is>
      </c>
      <c r="B1618" s="11" t="inlineStr">
        <is>
          <t>Mason (brick layer) 1st class</t>
        </is>
      </c>
      <c r="C1618" s="22" t="inlineStr">
        <is>
          <t>day</t>
        </is>
      </c>
      <c r="D1618" s="23" t="n">
        <v>0.1</v>
      </c>
      <c r="E1618" s="24" t="n">
        <v>738</v>
      </c>
      <c r="F1618" s="24">
        <f>D1618*E1618</f>
        <v/>
      </c>
      <c r="G1618" s="22" t="n"/>
    </row>
    <row r="1619">
      <c r="A1619" s="22" t="inlineStr">
        <is>
          <t>0114</t>
        </is>
      </c>
      <c r="B1619" s="11" t="inlineStr">
        <is>
          <t>Beldar</t>
        </is>
      </c>
      <c r="C1619" s="22" t="inlineStr">
        <is>
          <t>day</t>
        </is>
      </c>
      <c r="D1619" s="23" t="n">
        <v>0.15</v>
      </c>
      <c r="E1619" s="24" t="n">
        <v>558</v>
      </c>
      <c r="F1619" s="24">
        <f>D1619*E1619</f>
        <v/>
      </c>
      <c r="G1619" s="22" t="n"/>
    </row>
    <row r="1620">
      <c r="A1620" s="8" t="inlineStr">
        <is>
          <t>Calculated W - SUM of the Amount column above</t>
        </is>
      </c>
      <c r="B1620" s="9" t="n"/>
      <c r="C1620" s="9" t="n"/>
      <c r="D1620" s="9" t="n"/>
      <c r="E1620" s="9" t="n"/>
      <c r="F1620" s="25">
        <f>SUM(F1614:F1619)</f>
        <v/>
      </c>
      <c r="G1620" s="9" t="n"/>
    </row>
    <row r="1621">
      <c r="A1621" s="26" t="inlineStr">
        <is>
          <t>W as printed in the DAR</t>
        </is>
      </c>
      <c r="B1621" s="22" t="n"/>
      <c r="C1621" s="22" t="n"/>
      <c r="D1621" s="22" t="n"/>
      <c r="E1621" s="22" t="n"/>
      <c r="F1621" s="27" t="n">
        <v>5119.2</v>
      </c>
      <c r="G1621" s="22" t="n"/>
    </row>
    <row r="1622">
      <c r="A1622" s="26" t="inlineStr">
        <is>
          <t>Difference (calculated - printed)</t>
        </is>
      </c>
      <c r="B1622" s="22" t="n"/>
      <c r="C1622" s="22" t="n"/>
      <c r="D1622" s="22" t="n"/>
      <c r="E1622" s="22" t="n"/>
      <c r="F1622" s="27">
        <f>F1620-F1621</f>
        <v/>
      </c>
      <c r="G1622" s="22" t="n"/>
    </row>
    <row r="1623">
      <c r="A1623" s="29" t="inlineStr">
        <is>
          <t>SAY (Rs.) - final DAR rate as printed (fixed value, not computed)</t>
        </is>
      </c>
      <c r="B1623" s="30" t="n"/>
      <c r="C1623" s="30" t="n"/>
      <c r="D1623" s="30" t="n"/>
      <c r="E1623" s="30" t="n"/>
      <c r="F1623" s="31" t="n">
        <v>6849.15</v>
      </c>
      <c r="G1623" s="30" t="n"/>
    </row>
    <row r="1625" ht="120" customHeight="1">
      <c r="A1625" s="8" t="inlineStr">
        <is>
          <t>5.44</t>
        </is>
      </c>
      <c r="B1625" s="17"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t>
        </is>
      </c>
      <c r="C1625" s="9" t="n"/>
      <c r="D1625" s="9" t="n"/>
      <c r="E1625" s="9" t="n"/>
      <c r="F1625" s="9" t="n"/>
      <c r="G1625" s="9" t="n"/>
    </row>
    <row r="1626" ht="18.5" customHeight="1">
      <c r="A1626" s="9" t="n"/>
      <c r="B1626" s="17" t="inlineStr">
        <is>
          <t>freely rotates / moves in all directions. The Self - centering</t>
        </is>
      </c>
      <c r="C1626" s="9" t="n"/>
      <c r="D1626" s="9" t="n"/>
      <c r="E1626" s="9" t="n"/>
      <c r="F1626" s="9" t="n"/>
      <c r="G1626" s="9" t="n"/>
    </row>
    <row r="1627" ht="18.5" customHeight="1">
      <c r="A1627" s="18" t="inlineStr">
        <is>
          <t>5.44.3</t>
        </is>
      </c>
      <c r="B1627" s="19" t="inlineStr">
        <is>
          <t>Floor Joint of 200 mm gap</t>
        </is>
      </c>
      <c r="C1627" s="20" t="n"/>
      <c r="D1627" s="20" t="n"/>
      <c r="E1627" s="20" t="n"/>
      <c r="F1627" s="20" t="n"/>
      <c r="G1627" s="20" t="n"/>
    </row>
    <row r="1628">
      <c r="A1628" s="21" t="inlineStr">
        <is>
          <t>Details of cost for 1 metre   |   Source: CivilDAR_2019_Vol_1.pdf, page 265</t>
        </is>
      </c>
    </row>
    <row r="1629">
      <c r="A1629" s="5" t="inlineStr">
        <is>
          <t>Code</t>
        </is>
      </c>
      <c r="B1629" s="5" t="inlineStr">
        <is>
          <t>Description</t>
        </is>
      </c>
      <c r="C1629" s="5" t="inlineStr">
        <is>
          <t>Unit</t>
        </is>
      </c>
      <c r="D1629" s="5" t="inlineStr">
        <is>
          <t>Quantity</t>
        </is>
      </c>
      <c r="E1629" s="5" t="inlineStr">
        <is>
          <t>Rate (Rs.)</t>
        </is>
      </c>
      <c r="F1629" s="5" t="inlineStr">
        <is>
          <t>Amount (Rs.)</t>
        </is>
      </c>
      <c r="G1629" s="5" t="inlineStr">
        <is>
          <t>Note</t>
        </is>
      </c>
    </row>
    <row r="1630">
      <c r="A1630" s="22" t="inlineStr">
        <is>
          <t>2405</t>
        </is>
      </c>
      <c r="B1630" s="11" t="inlineStr">
        <is>
          <t>Floor Joint of 200 mm</t>
        </is>
      </c>
      <c r="C1630" s="22" t="inlineStr">
        <is>
          <t>metre</t>
        </is>
      </c>
      <c r="D1630" s="23" t="n">
        <v>1</v>
      </c>
      <c r="E1630" s="24" t="n">
        <v>5400</v>
      </c>
      <c r="F1630" s="24">
        <f>D1630*E1630</f>
        <v/>
      </c>
      <c r="G1630" s="22" t="n"/>
    </row>
    <row r="1631">
      <c r="A1631" s="22" t="inlineStr">
        <is>
          <t>2402</t>
        </is>
      </c>
      <c r="B1631" s="11" t="inlineStr">
        <is>
          <t>Epoxy adhesive</t>
        </is>
      </c>
      <c r="C1631" s="22" t="inlineStr">
        <is>
          <t>kg</t>
        </is>
      </c>
      <c r="D1631" s="23" t="n">
        <v>4.75</v>
      </c>
      <c r="E1631" s="24" t="n">
        <v>150</v>
      </c>
      <c r="F1631" s="24">
        <f>D1631*E1631</f>
        <v/>
      </c>
      <c r="G1631" s="22" t="n"/>
    </row>
    <row r="1632">
      <c r="A1632" s="22" t="inlineStr">
        <is>
          <t>9977</t>
        </is>
      </c>
      <c r="B1632" s="11" t="inlineStr">
        <is>
          <t>Carriage</t>
        </is>
      </c>
      <c r="C1632" s="22" t="inlineStr">
        <is>
          <t>L.S.</t>
        </is>
      </c>
      <c r="D1632" s="23" t="n">
        <v>124.9</v>
      </c>
      <c r="E1632" s="24" t="n">
        <v>2</v>
      </c>
      <c r="F1632" s="24">
        <f>D1632*E1632</f>
        <v/>
      </c>
      <c r="G1632" s="22" t="n"/>
    </row>
    <row r="1633">
      <c r="A1633" s="22" t="inlineStr">
        <is>
          <t>0102</t>
        </is>
      </c>
      <c r="B1633" s="11" t="inlineStr">
        <is>
          <t>Blacksmith 1st class</t>
        </is>
      </c>
      <c r="C1633" s="22" t="inlineStr">
        <is>
          <t>day</t>
        </is>
      </c>
      <c r="D1633" s="23" t="n">
        <v>0.05</v>
      </c>
      <c r="E1633" s="24" t="n">
        <v>738</v>
      </c>
      <c r="F1633" s="24">
        <f>D1633*E1633</f>
        <v/>
      </c>
      <c r="G1633" s="22" t="n"/>
    </row>
    <row r="1634">
      <c r="A1634" s="22" t="inlineStr">
        <is>
          <t>0123</t>
        </is>
      </c>
      <c r="B1634" s="11" t="inlineStr">
        <is>
          <t>Mason (brick layer) 1st class</t>
        </is>
      </c>
      <c r="C1634" s="22" t="inlineStr">
        <is>
          <t>day</t>
        </is>
      </c>
      <c r="D1634" s="23" t="n">
        <v>0.1</v>
      </c>
      <c r="E1634" s="24" t="n">
        <v>738</v>
      </c>
      <c r="F1634" s="24">
        <f>D1634*E1634</f>
        <v/>
      </c>
      <c r="G1634" s="22" t="n"/>
    </row>
    <row r="1635">
      <c r="A1635" s="22" t="inlineStr">
        <is>
          <t>0114</t>
        </is>
      </c>
      <c r="B1635" s="11" t="inlineStr">
        <is>
          <t>Beldar</t>
        </is>
      </c>
      <c r="C1635" s="22" t="inlineStr">
        <is>
          <t>day</t>
        </is>
      </c>
      <c r="D1635" s="23" t="n">
        <v>0.15</v>
      </c>
      <c r="E1635" s="24" t="n">
        <v>558</v>
      </c>
      <c r="F1635" s="24">
        <f>D1635*E1635</f>
        <v/>
      </c>
      <c r="G1635" s="22" t="n"/>
    </row>
    <row r="1636">
      <c r="A1636" s="8" t="inlineStr">
        <is>
          <t>Calculated W - SUM of the Amount column above</t>
        </is>
      </c>
      <c r="B1636" s="9" t="n"/>
      <c r="C1636" s="9" t="n"/>
      <c r="D1636" s="9" t="n"/>
      <c r="E1636" s="9" t="n"/>
      <c r="F1636" s="25">
        <f>SUM(F1630:F1635)</f>
        <v/>
      </c>
      <c r="G1636" s="9" t="n"/>
    </row>
    <row r="1637">
      <c r="A1637" s="26" t="inlineStr">
        <is>
          <t>W as printed in the DAR</t>
        </is>
      </c>
      <c r="B1637" s="22" t="n"/>
      <c r="C1637" s="22" t="n"/>
      <c r="D1637" s="22" t="n"/>
      <c r="E1637" s="22" t="n"/>
      <c r="F1637" s="27" t="n">
        <v>6556.7</v>
      </c>
      <c r="G1637" s="22" t="n"/>
    </row>
    <row r="1638">
      <c r="A1638" s="26" t="inlineStr">
        <is>
          <t>Difference (calculated - printed)</t>
        </is>
      </c>
      <c r="B1638" s="22" t="n"/>
      <c r="C1638" s="22" t="n"/>
      <c r="D1638" s="22" t="n"/>
      <c r="E1638" s="22" t="n"/>
      <c r="F1638" s="27">
        <f>F1636-F1637</f>
        <v/>
      </c>
      <c r="G1638" s="22" t="n"/>
    </row>
    <row r="1639">
      <c r="A1639" s="29" t="inlineStr">
        <is>
          <t>SAY (Rs.) - final DAR rate as printed (fixed value, not computed)</t>
        </is>
      </c>
      <c r="B1639" s="30" t="n"/>
      <c r="C1639" s="30" t="n"/>
      <c r="D1639" s="30" t="n"/>
      <c r="E1639" s="30" t="n"/>
      <c r="F1639" s="31" t="n">
        <v>8772.450000000001</v>
      </c>
      <c r="G1639" s="30" t="n"/>
    </row>
    <row r="1641" ht="105.5" customHeight="1">
      <c r="A1641" s="8" t="inlineStr">
        <is>
          <t>5.45</t>
        </is>
      </c>
      <c r="B1641" s="17"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is>
      </c>
      <c r="C1641" s="9" t="n"/>
      <c r="D1641" s="9" t="n"/>
      <c r="E1641" s="9" t="n"/>
      <c r="F1641" s="9" t="n"/>
      <c r="G1641" s="9" t="n"/>
    </row>
    <row r="1642" ht="18.5" customHeight="1">
      <c r="A1642" s="18" t="inlineStr">
        <is>
          <t>5.45.1</t>
        </is>
      </c>
      <c r="B1642" s="19" t="inlineStr">
        <is>
          <t>Wall Joint of 100 mm gap</t>
        </is>
      </c>
      <c r="C1642" s="20" t="n"/>
      <c r="D1642" s="20" t="n"/>
      <c r="E1642" s="20" t="n"/>
      <c r="F1642" s="20" t="n"/>
      <c r="G1642" s="20" t="n"/>
    </row>
    <row r="1643">
      <c r="A1643" s="21" t="inlineStr">
        <is>
          <t>Details of cost for 1 metre   |   Source: CivilDAR_2019_Vol_1.pdf, page 265</t>
        </is>
      </c>
    </row>
    <row r="1644">
      <c r="A1644" s="5" t="inlineStr">
        <is>
          <t>Code</t>
        </is>
      </c>
      <c r="B1644" s="5" t="inlineStr">
        <is>
          <t>Description</t>
        </is>
      </c>
      <c r="C1644" s="5" t="inlineStr">
        <is>
          <t>Unit</t>
        </is>
      </c>
      <c r="D1644" s="5" t="inlineStr">
        <is>
          <t>Quantity</t>
        </is>
      </c>
      <c r="E1644" s="5" t="inlineStr">
        <is>
          <t>Rate (Rs.)</t>
        </is>
      </c>
      <c r="F1644" s="5" t="inlineStr">
        <is>
          <t>Amount (Rs.)</t>
        </is>
      </c>
      <c r="G1644" s="5" t="inlineStr">
        <is>
          <t>Note</t>
        </is>
      </c>
    </row>
    <row r="1645">
      <c r="A1645" s="22" t="inlineStr">
        <is>
          <t>2409</t>
        </is>
      </c>
      <c r="B1645" s="11" t="inlineStr">
        <is>
          <t>Wall Joint of 100 mm</t>
        </is>
      </c>
      <c r="C1645" s="22" t="inlineStr">
        <is>
          <t>metre</t>
        </is>
      </c>
      <c r="D1645" s="23" t="n">
        <v>1</v>
      </c>
      <c r="E1645" s="24" t="n">
        <v>2400</v>
      </c>
      <c r="F1645" s="24">
        <f>D1645*E1645</f>
        <v/>
      </c>
      <c r="G1645" s="22" t="n"/>
    </row>
    <row r="1646">
      <c r="A1646" s="22" t="inlineStr">
        <is>
          <t>2402</t>
        </is>
      </c>
      <c r="B1646" s="11" t="inlineStr">
        <is>
          <t>Epoxy adhesive</t>
        </is>
      </c>
      <c r="C1646" s="22" t="inlineStr">
        <is>
          <t>kg</t>
        </is>
      </c>
      <c r="D1646" s="23" t="n">
        <v>4.25</v>
      </c>
      <c r="E1646" s="24" t="n">
        <v>150</v>
      </c>
      <c r="F1646" s="24">
        <f>D1646*E1646</f>
        <v/>
      </c>
      <c r="G1646" s="22" t="n"/>
    </row>
    <row r="1647">
      <c r="A1647" s="22" t="inlineStr">
        <is>
          <t>9977</t>
        </is>
      </c>
      <c r="B1647" s="11" t="inlineStr">
        <is>
          <t>Carriage</t>
        </is>
      </c>
      <c r="C1647" s="22" t="inlineStr">
        <is>
          <t>L.S.</t>
        </is>
      </c>
      <c r="D1647" s="23" t="n">
        <v>124.9</v>
      </c>
      <c r="E1647" s="24" t="n">
        <v>2</v>
      </c>
      <c r="F1647" s="24">
        <f>D1647*E1647</f>
        <v/>
      </c>
      <c r="G1647" s="22" t="n"/>
    </row>
    <row r="1648">
      <c r="A1648" s="22" t="inlineStr">
        <is>
          <t>0102</t>
        </is>
      </c>
      <c r="B1648" s="11" t="inlineStr">
        <is>
          <t>Blacksmith 1st class</t>
        </is>
      </c>
      <c r="C1648" s="22" t="inlineStr">
        <is>
          <t>day</t>
        </is>
      </c>
      <c r="D1648" s="23" t="n">
        <v>0.05</v>
      </c>
      <c r="E1648" s="24" t="n">
        <v>738</v>
      </c>
      <c r="F1648" s="24">
        <f>D1648*E1648</f>
        <v/>
      </c>
      <c r="G1648" s="22" t="n"/>
    </row>
    <row r="1649">
      <c r="A1649" s="22" t="inlineStr">
        <is>
          <t>0123</t>
        </is>
      </c>
      <c r="B1649" s="11" t="inlineStr">
        <is>
          <t>Mason (brick layer) 1st class</t>
        </is>
      </c>
      <c r="C1649" s="22" t="inlineStr">
        <is>
          <t>day</t>
        </is>
      </c>
      <c r="D1649" s="23" t="n">
        <v>0.1</v>
      </c>
      <c r="E1649" s="24" t="n">
        <v>738</v>
      </c>
      <c r="F1649" s="24">
        <f>D1649*E1649</f>
        <v/>
      </c>
      <c r="G1649" s="22" t="n"/>
    </row>
    <row r="1650">
      <c r="A1650" s="22" t="inlineStr">
        <is>
          <t>0114</t>
        </is>
      </c>
      <c r="B1650" s="11" t="inlineStr">
        <is>
          <t>Beldar</t>
        </is>
      </c>
      <c r="C1650" s="22" t="inlineStr">
        <is>
          <t>day</t>
        </is>
      </c>
      <c r="D1650" s="23" t="n">
        <v>0.15</v>
      </c>
      <c r="E1650" s="24" t="n">
        <v>558</v>
      </c>
      <c r="F1650" s="24">
        <f>D1650*E1650</f>
        <v/>
      </c>
      <c r="G1650" s="22" t="n"/>
    </row>
    <row r="1651">
      <c r="A1651" s="8" t="inlineStr">
        <is>
          <t>Calculated W - SUM of the Amount column above</t>
        </is>
      </c>
      <c r="B1651" s="9" t="n"/>
      <c r="C1651" s="9" t="n"/>
      <c r="D1651" s="9" t="n"/>
      <c r="E1651" s="9" t="n"/>
      <c r="F1651" s="25">
        <f>SUM(F1645:F1650)</f>
        <v/>
      </c>
      <c r="G1651" s="9" t="n"/>
    </row>
    <row r="1652">
      <c r="A1652" s="26" t="inlineStr">
        <is>
          <t>W as printed in the DAR</t>
        </is>
      </c>
      <c r="B1652" s="22" t="n"/>
      <c r="C1652" s="22" t="n"/>
      <c r="D1652" s="22" t="n"/>
      <c r="E1652" s="22" t="n"/>
      <c r="F1652" s="27" t="n">
        <v>3481.7</v>
      </c>
      <c r="G1652" s="22" t="n"/>
    </row>
    <row r="1653">
      <c r="A1653" s="26" t="inlineStr">
        <is>
          <t>Difference (calculated - printed)</t>
        </is>
      </c>
      <c r="B1653" s="22" t="n"/>
      <c r="C1653" s="22" t="n"/>
      <c r="D1653" s="22" t="n"/>
      <c r="E1653" s="22" t="n"/>
      <c r="F1653" s="27">
        <f>F1651-F1652</f>
        <v/>
      </c>
      <c r="G1653" s="22" t="n"/>
    </row>
    <row r="1654">
      <c r="A1654" s="29" t="inlineStr">
        <is>
          <t>SAY (Rs.) - final DAR rate as printed (fixed value, not computed)</t>
        </is>
      </c>
      <c r="B1654" s="30" t="n"/>
      <c r="C1654" s="30" t="n"/>
      <c r="D1654" s="30" t="n"/>
      <c r="E1654" s="30" t="n"/>
      <c r="F1654" s="31" t="n">
        <v>4658.3</v>
      </c>
      <c r="G1654" s="30" t="n"/>
    </row>
    <row r="1656" ht="105.5" customHeight="1">
      <c r="A1656" s="8" t="inlineStr">
        <is>
          <t>5.45</t>
        </is>
      </c>
      <c r="B1656" s="17"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is>
      </c>
      <c r="C1656" s="9" t="n"/>
      <c r="D1656" s="9" t="n"/>
      <c r="E1656" s="9" t="n"/>
      <c r="F1656" s="9" t="n"/>
      <c r="G1656" s="9" t="n"/>
    </row>
    <row r="1657" ht="18.5" customHeight="1">
      <c r="A1657" s="18" t="inlineStr">
        <is>
          <t>5.45.2</t>
        </is>
      </c>
      <c r="B1657" s="19" t="inlineStr">
        <is>
          <t>Wall Joint of 150 mm gap</t>
        </is>
      </c>
      <c r="C1657" s="20" t="n"/>
      <c r="D1657" s="20" t="n"/>
      <c r="E1657" s="20" t="n"/>
      <c r="F1657" s="20" t="n"/>
      <c r="G1657" s="20" t="n"/>
    </row>
    <row r="1658">
      <c r="A1658" s="21" t="inlineStr">
        <is>
          <t>Details of cost for 1 metre   |   Source: CivilDAR_2019_Vol_1.pdf, page 266</t>
        </is>
      </c>
    </row>
    <row r="1659">
      <c r="A1659" s="5" t="inlineStr">
        <is>
          <t>Code</t>
        </is>
      </c>
      <c r="B1659" s="5" t="inlineStr">
        <is>
          <t>Description</t>
        </is>
      </c>
      <c r="C1659" s="5" t="inlineStr">
        <is>
          <t>Unit</t>
        </is>
      </c>
      <c r="D1659" s="5" t="inlineStr">
        <is>
          <t>Quantity</t>
        </is>
      </c>
      <c r="E1659" s="5" t="inlineStr">
        <is>
          <t>Rate (Rs.)</t>
        </is>
      </c>
      <c r="F1659" s="5" t="inlineStr">
        <is>
          <t>Amount (Rs.)</t>
        </is>
      </c>
      <c r="G1659" s="5" t="inlineStr">
        <is>
          <t>Note</t>
        </is>
      </c>
    </row>
    <row r="1660">
      <c r="A1660" s="22" t="inlineStr">
        <is>
          <t>2410</t>
        </is>
      </c>
      <c r="B1660" s="11" t="inlineStr">
        <is>
          <t>Wall Joint of 150 mm</t>
        </is>
      </c>
      <c r="C1660" s="22" t="inlineStr">
        <is>
          <t>metre</t>
        </is>
      </c>
      <c r="D1660" s="23" t="n">
        <v>1</v>
      </c>
      <c r="E1660" s="24" t="n">
        <v>2800</v>
      </c>
      <c r="F1660" s="24">
        <f>D1660*E1660</f>
        <v/>
      </c>
      <c r="G1660" s="22" t="n"/>
    </row>
    <row r="1661">
      <c r="A1661" s="22" t="inlineStr">
        <is>
          <t>2402</t>
        </is>
      </c>
      <c r="B1661" s="11" t="inlineStr">
        <is>
          <t>Epoxy adhesive</t>
        </is>
      </c>
      <c r="C1661" s="22" t="inlineStr">
        <is>
          <t>kg</t>
        </is>
      </c>
      <c r="D1661" s="23" t="n">
        <v>4.5</v>
      </c>
      <c r="E1661" s="24" t="n">
        <v>150</v>
      </c>
      <c r="F1661" s="24">
        <f>D1661*E1661</f>
        <v/>
      </c>
      <c r="G1661" s="22" t="n"/>
    </row>
    <row r="1662">
      <c r="A1662" s="22" t="inlineStr">
        <is>
          <t>9977</t>
        </is>
      </c>
      <c r="B1662" s="11" t="inlineStr">
        <is>
          <t>Carriage</t>
        </is>
      </c>
      <c r="C1662" s="22" t="inlineStr">
        <is>
          <t>L.S.</t>
        </is>
      </c>
      <c r="D1662" s="23" t="n">
        <v>124.9</v>
      </c>
      <c r="E1662" s="24" t="n">
        <v>2</v>
      </c>
      <c r="F1662" s="24">
        <f>D1662*E1662</f>
        <v/>
      </c>
      <c r="G1662" s="22" t="n"/>
    </row>
    <row r="1663">
      <c r="A1663" s="22" t="inlineStr">
        <is>
          <t>0102</t>
        </is>
      </c>
      <c r="B1663" s="11" t="inlineStr">
        <is>
          <t>Blacksmith 1st class</t>
        </is>
      </c>
      <c r="C1663" s="22" t="inlineStr">
        <is>
          <t>day</t>
        </is>
      </c>
      <c r="D1663" s="23" t="n">
        <v>0.05</v>
      </c>
      <c r="E1663" s="24" t="n">
        <v>738</v>
      </c>
      <c r="F1663" s="24">
        <f>D1663*E1663</f>
        <v/>
      </c>
      <c r="G1663" s="22" t="n"/>
    </row>
    <row r="1664">
      <c r="A1664" s="22" t="inlineStr">
        <is>
          <t>0123</t>
        </is>
      </c>
      <c r="B1664" s="11" t="inlineStr">
        <is>
          <t>Mason (brick layer) 1st class</t>
        </is>
      </c>
      <c r="C1664" s="22" t="inlineStr">
        <is>
          <t>day</t>
        </is>
      </c>
      <c r="D1664" s="23" t="n">
        <v>0.1</v>
      </c>
      <c r="E1664" s="24" t="n">
        <v>738</v>
      </c>
      <c r="F1664" s="24">
        <f>D1664*E1664</f>
        <v/>
      </c>
      <c r="G1664" s="22" t="n"/>
    </row>
    <row r="1665">
      <c r="A1665" s="22" t="inlineStr">
        <is>
          <t>0114</t>
        </is>
      </c>
      <c r="B1665" s="11" t="inlineStr">
        <is>
          <t>Beldar</t>
        </is>
      </c>
      <c r="C1665" s="22" t="inlineStr">
        <is>
          <t>day</t>
        </is>
      </c>
      <c r="D1665" s="23" t="n">
        <v>0.15</v>
      </c>
      <c r="E1665" s="24" t="n">
        <v>558</v>
      </c>
      <c r="F1665" s="24">
        <f>D1665*E1665</f>
        <v/>
      </c>
      <c r="G1665" s="22" t="n"/>
    </row>
    <row r="1666">
      <c r="A1666" s="8" t="inlineStr">
        <is>
          <t>Calculated W - SUM of the Amount column above</t>
        </is>
      </c>
      <c r="B1666" s="9" t="n"/>
      <c r="C1666" s="9" t="n"/>
      <c r="D1666" s="9" t="n"/>
      <c r="E1666" s="9" t="n"/>
      <c r="F1666" s="25">
        <f>SUM(F1660:F1665)</f>
        <v/>
      </c>
      <c r="G1666" s="9" t="n"/>
    </row>
    <row r="1667">
      <c r="A1667" s="26" t="inlineStr">
        <is>
          <t>W as printed in the DAR</t>
        </is>
      </c>
      <c r="B1667" s="22" t="n"/>
      <c r="C1667" s="22" t="n"/>
      <c r="D1667" s="22" t="n"/>
      <c r="E1667" s="22" t="n"/>
      <c r="F1667" s="27" t="n">
        <v>3919.2</v>
      </c>
      <c r="G1667" s="22" t="n"/>
    </row>
    <row r="1668">
      <c r="A1668" s="26" t="inlineStr">
        <is>
          <t>Difference (calculated - printed)</t>
        </is>
      </c>
      <c r="B1668" s="22" t="n"/>
      <c r="C1668" s="22" t="n"/>
      <c r="D1668" s="22" t="n"/>
      <c r="E1668" s="22" t="n"/>
      <c r="F1668" s="27">
        <f>F1666-F1667</f>
        <v/>
      </c>
      <c r="G1668" s="22" t="n"/>
    </row>
    <row r="1669">
      <c r="A1669" s="29" t="inlineStr">
        <is>
          <t>SAY (Rs.) - final DAR rate as printed (fixed value, not computed)</t>
        </is>
      </c>
      <c r="B1669" s="30" t="n"/>
      <c r="C1669" s="30" t="n"/>
      <c r="D1669" s="30" t="n"/>
      <c r="E1669" s="30" t="n"/>
      <c r="F1669" s="31" t="n">
        <v>5243.65</v>
      </c>
      <c r="G1669" s="30" t="n"/>
    </row>
    <row r="1671" ht="105.5" customHeight="1">
      <c r="A1671" s="8" t="inlineStr">
        <is>
          <t>5.45</t>
        </is>
      </c>
      <c r="B1671" s="17"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is>
      </c>
      <c r="C1671" s="9" t="n"/>
      <c r="D1671" s="9" t="n"/>
      <c r="E1671" s="9" t="n"/>
      <c r="F1671" s="9" t="n"/>
      <c r="G1671" s="9" t="n"/>
    </row>
    <row r="1672" ht="18.5" customHeight="1">
      <c r="A1672" s="18" t="inlineStr">
        <is>
          <t>5.45.3</t>
        </is>
      </c>
      <c r="B1672" s="19" t="inlineStr">
        <is>
          <t>Wall Joint of 200 mm gap</t>
        </is>
      </c>
      <c r="C1672" s="20" t="n"/>
      <c r="D1672" s="20" t="n"/>
      <c r="E1672" s="20" t="n"/>
      <c r="F1672" s="20" t="n"/>
      <c r="G1672" s="20" t="n"/>
    </row>
    <row r="1673">
      <c r="A1673" s="21" t="inlineStr">
        <is>
          <t>Details of cost for 1 metre   |   Source: CivilDAR_2019_Vol_1.pdf, page 266</t>
        </is>
      </c>
    </row>
    <row r="1674">
      <c r="A1674" s="5" t="inlineStr">
        <is>
          <t>Code</t>
        </is>
      </c>
      <c r="B1674" s="5" t="inlineStr">
        <is>
          <t>Description</t>
        </is>
      </c>
      <c r="C1674" s="5" t="inlineStr">
        <is>
          <t>Unit</t>
        </is>
      </c>
      <c r="D1674" s="5" t="inlineStr">
        <is>
          <t>Quantity</t>
        </is>
      </c>
      <c r="E1674" s="5" t="inlineStr">
        <is>
          <t>Rate (Rs.)</t>
        </is>
      </c>
      <c r="F1674" s="5" t="inlineStr">
        <is>
          <t>Amount (Rs.)</t>
        </is>
      </c>
      <c r="G1674" s="5" t="inlineStr">
        <is>
          <t>Note</t>
        </is>
      </c>
    </row>
    <row r="1675">
      <c r="A1675" s="22" t="inlineStr">
        <is>
          <t>2411</t>
        </is>
      </c>
      <c r="B1675" s="11" t="inlineStr">
        <is>
          <t>Wall Joint of 200 mm</t>
        </is>
      </c>
      <c r="C1675" s="22" t="inlineStr">
        <is>
          <t>metre</t>
        </is>
      </c>
      <c r="D1675" s="23" t="n">
        <v>1</v>
      </c>
      <c r="E1675" s="24" t="n">
        <v>3400</v>
      </c>
      <c r="F1675" s="24">
        <f>D1675*E1675</f>
        <v/>
      </c>
      <c r="G1675" s="22" t="n"/>
    </row>
    <row r="1676">
      <c r="A1676" s="22" t="inlineStr">
        <is>
          <t>2402</t>
        </is>
      </c>
      <c r="B1676" s="11" t="inlineStr">
        <is>
          <t>Epoxy adhesive</t>
        </is>
      </c>
      <c r="C1676" s="22" t="inlineStr">
        <is>
          <t>kg</t>
        </is>
      </c>
      <c r="D1676" s="23" t="n">
        <v>4.75</v>
      </c>
      <c r="E1676" s="24" t="n">
        <v>150</v>
      </c>
      <c r="F1676" s="24">
        <f>D1676*E1676</f>
        <v/>
      </c>
      <c r="G1676" s="22" t="n"/>
    </row>
    <row r="1677">
      <c r="A1677" s="22" t="inlineStr">
        <is>
          <t>9977</t>
        </is>
      </c>
      <c r="B1677" s="11" t="inlineStr">
        <is>
          <t>Carriage</t>
        </is>
      </c>
      <c r="C1677" s="22" t="inlineStr">
        <is>
          <t>L.S.</t>
        </is>
      </c>
      <c r="D1677" s="23" t="n">
        <v>124.9</v>
      </c>
      <c r="E1677" s="24" t="n">
        <v>2</v>
      </c>
      <c r="F1677" s="24">
        <f>D1677*E1677</f>
        <v/>
      </c>
      <c r="G1677" s="22" t="n"/>
    </row>
    <row r="1678">
      <c r="A1678" s="22" t="inlineStr">
        <is>
          <t>0102</t>
        </is>
      </c>
      <c r="B1678" s="11" t="inlineStr">
        <is>
          <t>Blacksmith 1st class</t>
        </is>
      </c>
      <c r="C1678" s="22" t="inlineStr">
        <is>
          <t>day</t>
        </is>
      </c>
      <c r="D1678" s="23" t="n">
        <v>0.05</v>
      </c>
      <c r="E1678" s="24" t="n">
        <v>738</v>
      </c>
      <c r="F1678" s="24">
        <f>D1678*E1678</f>
        <v/>
      </c>
      <c r="G1678" s="22" t="n"/>
    </row>
    <row r="1679">
      <c r="A1679" s="22" t="inlineStr">
        <is>
          <t>0123</t>
        </is>
      </c>
      <c r="B1679" s="11" t="inlineStr">
        <is>
          <t>Mason (brick layer) 1st class</t>
        </is>
      </c>
      <c r="C1679" s="22" t="inlineStr">
        <is>
          <t>day</t>
        </is>
      </c>
      <c r="D1679" s="23" t="n">
        <v>0.1</v>
      </c>
      <c r="E1679" s="24" t="n">
        <v>738</v>
      </c>
      <c r="F1679" s="24">
        <f>D1679*E1679</f>
        <v/>
      </c>
      <c r="G1679" s="22" t="n"/>
    </row>
    <row r="1680">
      <c r="A1680" s="22" t="inlineStr">
        <is>
          <t>0114</t>
        </is>
      </c>
      <c r="B1680" s="11" t="inlineStr">
        <is>
          <t>Beldar</t>
        </is>
      </c>
      <c r="C1680" s="22" t="inlineStr">
        <is>
          <t>day</t>
        </is>
      </c>
      <c r="D1680" s="23" t="n">
        <v>0.15</v>
      </c>
      <c r="E1680" s="24" t="n">
        <v>558</v>
      </c>
      <c r="F1680" s="24">
        <f>D1680*E1680</f>
        <v/>
      </c>
      <c r="G1680" s="22" t="n"/>
    </row>
    <row r="1681">
      <c r="A1681" s="8" t="inlineStr">
        <is>
          <t>Calculated W - SUM of the Amount column above</t>
        </is>
      </c>
      <c r="B1681" s="9" t="n"/>
      <c r="C1681" s="9" t="n"/>
      <c r="D1681" s="9" t="n"/>
      <c r="E1681" s="9" t="n"/>
      <c r="F1681" s="25">
        <f>SUM(F1675:F1680)</f>
        <v/>
      </c>
      <c r="G1681" s="9" t="n"/>
    </row>
    <row r="1682">
      <c r="A1682" s="26" t="inlineStr">
        <is>
          <t>W as printed in the DAR</t>
        </is>
      </c>
      <c r="B1682" s="22" t="n"/>
      <c r="C1682" s="22" t="n"/>
      <c r="D1682" s="22" t="n"/>
      <c r="E1682" s="22" t="n"/>
      <c r="F1682" s="27" t="n">
        <v>4556.7</v>
      </c>
      <c r="G1682" s="22" t="n"/>
    </row>
    <row r="1683">
      <c r="A1683" s="26" t="inlineStr">
        <is>
          <t>Difference (calculated - printed)</t>
        </is>
      </c>
      <c r="B1683" s="22" t="n"/>
      <c r="C1683" s="22" t="n"/>
      <c r="D1683" s="22" t="n"/>
      <c r="E1683" s="22" t="n"/>
      <c r="F1683" s="27">
        <f>F1681-F1682</f>
        <v/>
      </c>
      <c r="G1683" s="22" t="n"/>
    </row>
    <row r="1684">
      <c r="A1684" s="29" t="inlineStr">
        <is>
          <t>SAY (Rs.) - final DAR rate as printed (fixed value, not computed)</t>
        </is>
      </c>
      <c r="B1684" s="30" t="n"/>
      <c r="C1684" s="30" t="n"/>
      <c r="D1684" s="30" t="n"/>
      <c r="E1684" s="30" t="n"/>
      <c r="F1684" s="31" t="n">
        <v>6096.6</v>
      </c>
      <c r="G1684" s="30" t="n"/>
    </row>
    <row r="1686" ht="105.5" customHeight="1">
      <c r="A1686" s="8" t="inlineStr">
        <is>
          <t>5.46</t>
        </is>
      </c>
      <c r="B1686" s="17"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t>
        </is>
      </c>
      <c r="C1686" s="9" t="n"/>
      <c r="D1686" s="9" t="n"/>
      <c r="E1686" s="9" t="n"/>
      <c r="F1686" s="9" t="n"/>
      <c r="G1686" s="9" t="n"/>
    </row>
    <row r="1687" ht="18.5" customHeight="1">
      <c r="A1687" s="18" t="inlineStr">
        <is>
          <t>5.46.1</t>
        </is>
      </c>
      <c r="B1687" s="19" t="inlineStr">
        <is>
          <t>Roof Joint of 100 mm gap</t>
        </is>
      </c>
      <c r="C1687" s="20" t="n"/>
      <c r="D1687" s="20" t="n"/>
      <c r="E1687" s="20" t="n"/>
      <c r="F1687" s="20" t="n"/>
      <c r="G1687" s="20" t="n"/>
    </row>
    <row r="1688">
      <c r="A1688" s="21" t="inlineStr">
        <is>
          <t>Details of cost for 1 metre   |   Source: CivilDAR_2019_Vol_1.pdf, page 267</t>
        </is>
      </c>
    </row>
    <row r="1689">
      <c r="A1689" s="5" t="inlineStr">
        <is>
          <t>Code</t>
        </is>
      </c>
      <c r="B1689" s="5" t="inlineStr">
        <is>
          <t>Description</t>
        </is>
      </c>
      <c r="C1689" s="5" t="inlineStr">
        <is>
          <t>Unit</t>
        </is>
      </c>
      <c r="D1689" s="5" t="inlineStr">
        <is>
          <t>Quantity</t>
        </is>
      </c>
      <c r="E1689" s="5" t="inlineStr">
        <is>
          <t>Rate (Rs.)</t>
        </is>
      </c>
      <c r="F1689" s="5" t="inlineStr">
        <is>
          <t>Amount (Rs.)</t>
        </is>
      </c>
      <c r="G1689" s="5" t="inlineStr">
        <is>
          <t>Note</t>
        </is>
      </c>
    </row>
    <row r="1690">
      <c r="A1690" s="22" t="inlineStr">
        <is>
          <t>2399</t>
        </is>
      </c>
      <c r="B1690" s="11" t="inlineStr">
        <is>
          <t>Complete Roof Joint of 100 mm</t>
        </is>
      </c>
      <c r="C1690" s="22" t="inlineStr">
        <is>
          <t>metre</t>
        </is>
      </c>
      <c r="D1690" s="23" t="n">
        <v>1</v>
      </c>
      <c r="E1690" s="24" t="n">
        <v>2800</v>
      </c>
      <c r="F1690" s="24">
        <f>D1690*E1690</f>
        <v/>
      </c>
      <c r="G1690" s="22" t="n"/>
    </row>
    <row r="1691">
      <c r="A1691" s="22" t="inlineStr">
        <is>
          <t>2402</t>
        </is>
      </c>
      <c r="B1691" s="11" t="inlineStr">
        <is>
          <t>Epoxy adhesive</t>
        </is>
      </c>
      <c r="C1691" s="22" t="inlineStr">
        <is>
          <t>kg</t>
        </is>
      </c>
      <c r="D1691" s="23" t="n">
        <v>4.25</v>
      </c>
      <c r="E1691" s="24" t="n">
        <v>150</v>
      </c>
      <c r="F1691" s="24">
        <f>D1691*E1691</f>
        <v/>
      </c>
      <c r="G1691" s="22" t="n"/>
    </row>
    <row r="1692">
      <c r="A1692" s="22" t="inlineStr">
        <is>
          <t>9977</t>
        </is>
      </c>
      <c r="B1692" s="11" t="inlineStr">
        <is>
          <t>Carriage</t>
        </is>
      </c>
      <c r="C1692" s="22" t="inlineStr">
        <is>
          <t>L.S.</t>
        </is>
      </c>
      <c r="D1692" s="23" t="n">
        <v>124.9</v>
      </c>
      <c r="E1692" s="24" t="n">
        <v>2</v>
      </c>
      <c r="F1692" s="24">
        <f>D1692*E1692</f>
        <v/>
      </c>
      <c r="G1692" s="22" t="n"/>
    </row>
    <row r="1693">
      <c r="A1693" s="22" t="inlineStr">
        <is>
          <t>0102</t>
        </is>
      </c>
      <c r="B1693" s="11" t="inlineStr">
        <is>
          <t>Blacksmith 1st class</t>
        </is>
      </c>
      <c r="C1693" s="22" t="inlineStr">
        <is>
          <t>day</t>
        </is>
      </c>
      <c r="D1693" s="23" t="n">
        <v>0.05</v>
      </c>
      <c r="E1693" s="24" t="n">
        <v>738</v>
      </c>
      <c r="F1693" s="24">
        <f>D1693*E1693</f>
        <v/>
      </c>
      <c r="G1693" s="22" t="n"/>
    </row>
    <row r="1694">
      <c r="A1694" s="22" t="inlineStr">
        <is>
          <t>0123</t>
        </is>
      </c>
      <c r="B1694" s="11" t="inlineStr">
        <is>
          <t>Mason (brick layer) 1st class</t>
        </is>
      </c>
      <c r="C1694" s="22" t="inlineStr">
        <is>
          <t>day</t>
        </is>
      </c>
      <c r="D1694" s="23" t="n">
        <v>0.1</v>
      </c>
      <c r="E1694" s="24" t="n">
        <v>738</v>
      </c>
      <c r="F1694" s="24">
        <f>D1694*E1694</f>
        <v/>
      </c>
      <c r="G1694" s="22" t="n"/>
    </row>
    <row r="1695">
      <c r="A1695" s="22" t="inlineStr">
        <is>
          <t>0114</t>
        </is>
      </c>
      <c r="B1695" s="11" t="inlineStr">
        <is>
          <t>Beldar</t>
        </is>
      </c>
      <c r="C1695" s="22" t="inlineStr">
        <is>
          <t>day</t>
        </is>
      </c>
      <c r="D1695" s="23" t="n">
        <v>0.15</v>
      </c>
      <c r="E1695" s="24" t="n">
        <v>558</v>
      </c>
      <c r="F1695" s="24">
        <f>D1695*E1695</f>
        <v/>
      </c>
      <c r="G1695" s="22" t="n"/>
    </row>
    <row r="1696">
      <c r="A1696" s="8" t="inlineStr">
        <is>
          <t>Calculated W - SUM of the Amount column above</t>
        </is>
      </c>
      <c r="B1696" s="9" t="n"/>
      <c r="C1696" s="9" t="n"/>
      <c r="D1696" s="9" t="n"/>
      <c r="E1696" s="9" t="n"/>
      <c r="F1696" s="25">
        <f>SUM(F1690:F1695)</f>
        <v/>
      </c>
      <c r="G1696" s="9" t="n"/>
    </row>
    <row r="1697">
      <c r="A1697" s="26" t="inlineStr">
        <is>
          <t>W as printed in the DAR</t>
        </is>
      </c>
      <c r="B1697" s="22" t="n"/>
      <c r="C1697" s="22" t="n"/>
      <c r="D1697" s="22" t="n"/>
      <c r="E1697" s="22" t="n"/>
      <c r="F1697" s="27" t="n">
        <v>3881.7</v>
      </c>
      <c r="G1697" s="22" t="n"/>
    </row>
    <row r="1698">
      <c r="A1698" s="26" t="inlineStr">
        <is>
          <t>Difference (calculated - printed)</t>
        </is>
      </c>
      <c r="B1698" s="22" t="n"/>
      <c r="C1698" s="22" t="n"/>
      <c r="D1698" s="22" t="n"/>
      <c r="E1698" s="22" t="n"/>
      <c r="F1698" s="27">
        <f>F1696-F1697</f>
        <v/>
      </c>
      <c r="G1698" s="22" t="n"/>
    </row>
    <row r="1699">
      <c r="A1699" s="29" t="inlineStr">
        <is>
          <t>SAY (Rs.) - final DAR rate as printed (fixed value, not computed)</t>
        </is>
      </c>
      <c r="B1699" s="30" t="n"/>
      <c r="C1699" s="30" t="n"/>
      <c r="D1699" s="30" t="n"/>
      <c r="E1699" s="30" t="n"/>
      <c r="F1699" s="31" t="n">
        <v>5193.45</v>
      </c>
      <c r="G1699" s="30" t="n"/>
    </row>
    <row r="1701" ht="105.5" customHeight="1">
      <c r="A1701" s="8" t="inlineStr">
        <is>
          <t>5.46</t>
        </is>
      </c>
      <c r="B1701" s="17"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t>
        </is>
      </c>
      <c r="C1701" s="9" t="n"/>
      <c r="D1701" s="9" t="n"/>
      <c r="E1701" s="9" t="n"/>
      <c r="F1701" s="9" t="n"/>
      <c r="G1701" s="9" t="n"/>
    </row>
    <row r="1702" ht="18.5" customHeight="1">
      <c r="A1702" s="18" t="inlineStr">
        <is>
          <t>5.46.2</t>
        </is>
      </c>
      <c r="B1702" s="19" t="inlineStr">
        <is>
          <t>Roof Joint of 150 mm gap</t>
        </is>
      </c>
      <c r="C1702" s="20" t="n"/>
      <c r="D1702" s="20" t="n"/>
      <c r="E1702" s="20" t="n"/>
      <c r="F1702" s="20" t="n"/>
      <c r="G1702" s="20" t="n"/>
    </row>
    <row r="1703">
      <c r="A1703" s="21" t="inlineStr">
        <is>
          <t>Details of cost for 1 metre   |   Source: CivilDAR_2019_Vol_1.pdf, page 268</t>
        </is>
      </c>
    </row>
    <row r="1704">
      <c r="A1704" s="5" t="inlineStr">
        <is>
          <t>Code</t>
        </is>
      </c>
      <c r="B1704" s="5" t="inlineStr">
        <is>
          <t>Description</t>
        </is>
      </c>
      <c r="C1704" s="5" t="inlineStr">
        <is>
          <t>Unit</t>
        </is>
      </c>
      <c r="D1704" s="5" t="inlineStr">
        <is>
          <t>Quantity</t>
        </is>
      </c>
      <c r="E1704" s="5" t="inlineStr">
        <is>
          <t>Rate (Rs.)</t>
        </is>
      </c>
      <c r="F1704" s="5" t="inlineStr">
        <is>
          <t>Amount (Rs.)</t>
        </is>
      </c>
      <c r="G1704" s="5" t="inlineStr">
        <is>
          <t>Note</t>
        </is>
      </c>
    </row>
    <row r="1705">
      <c r="A1705" s="22" t="inlineStr">
        <is>
          <t>2400</t>
        </is>
      </c>
      <c r="B1705" s="11" t="inlineStr">
        <is>
          <t>Complete Roof Joint of 150 mm</t>
        </is>
      </c>
      <c r="C1705" s="22" t="inlineStr">
        <is>
          <t>metre</t>
        </is>
      </c>
      <c r="D1705" s="23" t="n">
        <v>1</v>
      </c>
      <c r="E1705" s="24" t="n">
        <v>3200</v>
      </c>
      <c r="F1705" s="24">
        <f>D1705*E1705</f>
        <v/>
      </c>
      <c r="G1705" s="22" t="n"/>
    </row>
    <row r="1706">
      <c r="A1706" s="22" t="inlineStr">
        <is>
          <t>2402</t>
        </is>
      </c>
      <c r="B1706" s="11" t="inlineStr">
        <is>
          <t>Epoxy adhesive</t>
        </is>
      </c>
      <c r="C1706" s="22" t="inlineStr">
        <is>
          <t>kg</t>
        </is>
      </c>
      <c r="D1706" s="23" t="n">
        <v>4.5</v>
      </c>
      <c r="E1706" s="24" t="n">
        <v>150</v>
      </c>
      <c r="F1706" s="24">
        <f>D1706*E1706</f>
        <v/>
      </c>
      <c r="G1706" s="22" t="n"/>
    </row>
    <row r="1707">
      <c r="A1707" s="22" t="inlineStr">
        <is>
          <t>9977</t>
        </is>
      </c>
      <c r="B1707" s="11" t="inlineStr">
        <is>
          <t>Carriage</t>
        </is>
      </c>
      <c r="C1707" s="22" t="inlineStr">
        <is>
          <t>L.S.</t>
        </is>
      </c>
      <c r="D1707" s="23" t="n">
        <v>124.9</v>
      </c>
      <c r="E1707" s="24" t="n">
        <v>2</v>
      </c>
      <c r="F1707" s="24">
        <f>D1707*E1707</f>
        <v/>
      </c>
      <c r="G1707" s="22" t="n"/>
    </row>
    <row r="1708">
      <c r="A1708" s="22" t="inlineStr">
        <is>
          <t>0102</t>
        </is>
      </c>
      <c r="B1708" s="11" t="inlineStr">
        <is>
          <t>Blacksmith 1st class</t>
        </is>
      </c>
      <c r="C1708" s="22" t="inlineStr">
        <is>
          <t>day</t>
        </is>
      </c>
      <c r="D1708" s="23" t="n">
        <v>0.05</v>
      </c>
      <c r="E1708" s="24" t="n">
        <v>738</v>
      </c>
      <c r="F1708" s="24">
        <f>D1708*E1708</f>
        <v/>
      </c>
      <c r="G1708" s="22" t="n"/>
    </row>
    <row r="1709">
      <c r="A1709" s="22" t="inlineStr">
        <is>
          <t>0123</t>
        </is>
      </c>
      <c r="B1709" s="11" t="inlineStr">
        <is>
          <t>Mason (brick layer) 1st class</t>
        </is>
      </c>
      <c r="C1709" s="22" t="inlineStr">
        <is>
          <t>day</t>
        </is>
      </c>
      <c r="D1709" s="23" t="n">
        <v>0.1</v>
      </c>
      <c r="E1709" s="24" t="n">
        <v>738</v>
      </c>
      <c r="F1709" s="24">
        <f>D1709*E1709</f>
        <v/>
      </c>
      <c r="G1709" s="22" t="n"/>
    </row>
    <row r="1710">
      <c r="A1710" s="22" t="inlineStr">
        <is>
          <t>0114</t>
        </is>
      </c>
      <c r="B1710" s="11" t="inlineStr">
        <is>
          <t>Beldar</t>
        </is>
      </c>
      <c r="C1710" s="22" t="inlineStr">
        <is>
          <t>day</t>
        </is>
      </c>
      <c r="D1710" s="23" t="n">
        <v>0.15</v>
      </c>
      <c r="E1710" s="24" t="n">
        <v>558</v>
      </c>
      <c r="F1710" s="24">
        <f>D1710*E1710</f>
        <v/>
      </c>
      <c r="G1710" s="22" t="n"/>
    </row>
    <row r="1711">
      <c r="A1711" s="8" t="inlineStr">
        <is>
          <t>Calculated W - SUM of the Amount column above</t>
        </is>
      </c>
      <c r="B1711" s="9" t="n"/>
      <c r="C1711" s="9" t="n"/>
      <c r="D1711" s="9" t="n"/>
      <c r="E1711" s="9" t="n"/>
      <c r="F1711" s="25">
        <f>SUM(F1705:F1710)</f>
        <v/>
      </c>
      <c r="G1711" s="9" t="n"/>
    </row>
    <row r="1712">
      <c r="A1712" s="26" t="inlineStr">
        <is>
          <t>W as printed in the DAR</t>
        </is>
      </c>
      <c r="B1712" s="22" t="n"/>
      <c r="C1712" s="22" t="n"/>
      <c r="D1712" s="22" t="n"/>
      <c r="E1712" s="22" t="n"/>
      <c r="F1712" s="27" t="n">
        <v>4319.2</v>
      </c>
      <c r="G1712" s="22" t="n"/>
    </row>
    <row r="1713">
      <c r="A1713" s="26" t="inlineStr">
        <is>
          <t>Difference (calculated - printed)</t>
        </is>
      </c>
      <c r="B1713" s="22" t="n"/>
      <c r="C1713" s="22" t="n"/>
      <c r="D1713" s="22" t="n"/>
      <c r="E1713" s="22" t="n"/>
      <c r="F1713" s="27">
        <f>F1711-F1712</f>
        <v/>
      </c>
      <c r="G1713" s="22" t="n"/>
    </row>
    <row r="1714">
      <c r="A1714" s="29" t="inlineStr">
        <is>
          <t>SAY (Rs.) - final DAR rate as printed (fixed value, not computed)</t>
        </is>
      </c>
      <c r="B1714" s="30" t="n"/>
      <c r="C1714" s="30" t="n"/>
      <c r="D1714" s="30" t="n"/>
      <c r="E1714" s="30" t="n"/>
      <c r="F1714" s="31" t="n">
        <v>5778.8</v>
      </c>
      <c r="G1714" s="30" t="n"/>
    </row>
    <row r="1716" ht="105.5" customHeight="1">
      <c r="A1716" s="8" t="inlineStr">
        <is>
          <t>5.46</t>
        </is>
      </c>
      <c r="B1716" s="17"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t>
        </is>
      </c>
      <c r="C1716" s="9" t="n"/>
      <c r="D1716" s="9" t="n"/>
      <c r="E1716" s="9" t="n"/>
      <c r="F1716" s="9" t="n"/>
      <c r="G1716" s="9" t="n"/>
    </row>
    <row r="1717" ht="18.5" customHeight="1">
      <c r="A1717" s="18" t="inlineStr">
        <is>
          <t>5.46.3</t>
        </is>
      </c>
      <c r="B1717" s="19" t="inlineStr">
        <is>
          <t>Roof Joint of 200 mm gap</t>
        </is>
      </c>
      <c r="C1717" s="20" t="n"/>
      <c r="D1717" s="20" t="n"/>
      <c r="E1717" s="20" t="n"/>
      <c r="F1717" s="20" t="n"/>
      <c r="G1717" s="20" t="n"/>
    </row>
    <row r="1718">
      <c r="A1718" s="21" t="inlineStr">
        <is>
          <t>Details of cost for 1 metre   |   Source: CivilDAR_2019_Vol_1.pdf, page 268</t>
        </is>
      </c>
    </row>
    <row r="1719">
      <c r="A1719" s="5" t="inlineStr">
        <is>
          <t>Code</t>
        </is>
      </c>
      <c r="B1719" s="5" t="inlineStr">
        <is>
          <t>Description</t>
        </is>
      </c>
      <c r="C1719" s="5" t="inlineStr">
        <is>
          <t>Unit</t>
        </is>
      </c>
      <c r="D1719" s="5" t="inlineStr">
        <is>
          <t>Quantity</t>
        </is>
      </c>
      <c r="E1719" s="5" t="inlineStr">
        <is>
          <t>Rate (Rs.)</t>
        </is>
      </c>
      <c r="F1719" s="5" t="inlineStr">
        <is>
          <t>Amount (Rs.)</t>
        </is>
      </c>
      <c r="G1719" s="5" t="inlineStr">
        <is>
          <t>Note</t>
        </is>
      </c>
    </row>
    <row r="1720">
      <c r="A1720" s="22" t="inlineStr">
        <is>
          <t>2401</t>
        </is>
      </c>
      <c r="B1720" s="11" t="inlineStr">
        <is>
          <t>Complete Roof Joint of 200 mm</t>
        </is>
      </c>
      <c r="C1720" s="22" t="inlineStr">
        <is>
          <t>metre</t>
        </is>
      </c>
      <c r="D1720" s="23" t="n">
        <v>1</v>
      </c>
      <c r="E1720" s="24" t="n">
        <v>4000</v>
      </c>
      <c r="F1720" s="24">
        <f>D1720*E1720</f>
        <v/>
      </c>
      <c r="G1720" s="22" t="n"/>
    </row>
    <row r="1721">
      <c r="A1721" s="22" t="inlineStr">
        <is>
          <t>2402</t>
        </is>
      </c>
      <c r="B1721" s="11" t="inlineStr">
        <is>
          <t>Epoxy adhesive</t>
        </is>
      </c>
      <c r="C1721" s="22" t="inlineStr">
        <is>
          <t>kg</t>
        </is>
      </c>
      <c r="D1721" s="23" t="n">
        <v>4.75</v>
      </c>
      <c r="E1721" s="24" t="n">
        <v>150</v>
      </c>
      <c r="F1721" s="24">
        <f>D1721*E1721</f>
        <v/>
      </c>
      <c r="G1721" s="22" t="n"/>
    </row>
    <row r="1722">
      <c r="A1722" s="22" t="inlineStr">
        <is>
          <t>9977</t>
        </is>
      </c>
      <c r="B1722" s="11" t="inlineStr">
        <is>
          <t>Carriage</t>
        </is>
      </c>
      <c r="C1722" s="22" t="inlineStr">
        <is>
          <t>L.S.</t>
        </is>
      </c>
      <c r="D1722" s="23" t="n">
        <v>124.9</v>
      </c>
      <c r="E1722" s="24" t="n">
        <v>1.73</v>
      </c>
      <c r="F1722" s="24">
        <f>D1722*E1722</f>
        <v/>
      </c>
      <c r="G1722" s="22" t="n"/>
    </row>
    <row r="1723">
      <c r="A1723" s="22" t="inlineStr">
        <is>
          <t>0102</t>
        </is>
      </c>
      <c r="B1723" s="11" t="inlineStr">
        <is>
          <t>Blacksmith 1st class</t>
        </is>
      </c>
      <c r="C1723" s="22" t="inlineStr">
        <is>
          <t>day</t>
        </is>
      </c>
      <c r="D1723" s="23" t="n">
        <v>0.05</v>
      </c>
      <c r="E1723" s="24" t="n">
        <v>738</v>
      </c>
      <c r="F1723" s="24">
        <f>D1723*E1723</f>
        <v/>
      </c>
      <c r="G1723" s="22" t="n"/>
    </row>
    <row r="1724">
      <c r="A1724" s="22" t="inlineStr">
        <is>
          <t>0123</t>
        </is>
      </c>
      <c r="B1724" s="11" t="inlineStr">
        <is>
          <t>Mason (brick layer) 1st class</t>
        </is>
      </c>
      <c r="C1724" s="22" t="inlineStr">
        <is>
          <t>day</t>
        </is>
      </c>
      <c r="D1724" s="23" t="n">
        <v>0.1</v>
      </c>
      <c r="E1724" s="24" t="n">
        <v>738</v>
      </c>
      <c r="F1724" s="24">
        <f>D1724*E1724</f>
        <v/>
      </c>
      <c r="G1724" s="22" t="n"/>
    </row>
    <row r="1725">
      <c r="A1725" s="22" t="inlineStr">
        <is>
          <t>0114</t>
        </is>
      </c>
      <c r="B1725" s="11" t="inlineStr">
        <is>
          <t>Beldar</t>
        </is>
      </c>
      <c r="C1725" s="22" t="inlineStr">
        <is>
          <t>day</t>
        </is>
      </c>
      <c r="D1725" s="23" t="n">
        <v>0.15</v>
      </c>
      <c r="E1725" s="24" t="n">
        <v>558</v>
      </c>
      <c r="F1725" s="24">
        <f>D1725*E1725</f>
        <v/>
      </c>
      <c r="G1725" s="22" t="n"/>
    </row>
    <row r="1726">
      <c r="A1726" s="8" t="inlineStr">
        <is>
          <t>Calculated W - SUM of the Amount column above</t>
        </is>
      </c>
      <c r="B1726" s="9" t="n"/>
      <c r="C1726" s="9" t="n"/>
      <c r="D1726" s="9" t="n"/>
      <c r="E1726" s="9" t="n"/>
      <c r="F1726" s="25">
        <f>SUM(F1720:F1725)</f>
        <v/>
      </c>
      <c r="G1726" s="9" t="n"/>
    </row>
    <row r="1727">
      <c r="A1727" s="26" t="inlineStr">
        <is>
          <t>W as printed in the DAR</t>
        </is>
      </c>
      <c r="B1727" s="22" t="n"/>
      <c r="C1727" s="22" t="n"/>
      <c r="D1727" s="22" t="n"/>
      <c r="E1727" s="22" t="n"/>
      <c r="F1727" s="27" t="n">
        <v>5122.98</v>
      </c>
      <c r="G1727" s="22" t="n"/>
    </row>
    <row r="1728">
      <c r="A1728" s="26" t="inlineStr">
        <is>
          <t>Difference (calculated - printed)</t>
        </is>
      </c>
      <c r="B1728" s="22" t="n"/>
      <c r="C1728" s="22" t="n"/>
      <c r="D1728" s="22" t="n"/>
      <c r="E1728" s="22" t="n"/>
      <c r="F1728" s="27">
        <f>F1726-F1727</f>
        <v/>
      </c>
      <c r="G1728" s="22" t="n"/>
    </row>
    <row r="1729">
      <c r="A1729" s="29" t="inlineStr">
        <is>
          <t>SAY (Rs.) - final DAR rate as printed (fixed value, not computed)</t>
        </is>
      </c>
      <c r="B1729" s="30" t="n"/>
      <c r="C1729" s="30" t="n"/>
      <c r="D1729" s="30" t="n"/>
      <c r="E1729" s="30" t="n"/>
      <c r="F1729" s="31" t="n">
        <v>6854.2</v>
      </c>
      <c r="G1729" s="30" t="n"/>
    </row>
    <row r="1731" ht="91" customHeight="1">
      <c r="A1731" s="8" t="inlineStr">
        <is>
          <t>5.47</t>
        </is>
      </c>
      <c r="B1731" s="17" t="inlineStr">
        <is>
          <t>Providing and fixing in position factory made precast RCC M-40 fixing with hold fast embedded in 1:3:6 concrete block for doors and windows frames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is>
      </c>
      <c r="C1731" s="9" t="n"/>
      <c r="D1731" s="9" t="n"/>
      <c r="E1731" s="9" t="n"/>
      <c r="F1731" s="9" t="n"/>
      <c r="G1731" s="9" t="n"/>
    </row>
    <row r="1732" ht="18.5" customHeight="1">
      <c r="A1732" s="18" t="inlineStr">
        <is>
          <t>5.47.1</t>
        </is>
      </c>
      <c r="B1732" s="19" t="inlineStr">
        <is>
          <t>Door frame 125 mmx 60 mm</t>
        </is>
      </c>
      <c r="C1732" s="20" t="n"/>
      <c r="D1732" s="20" t="n"/>
      <c r="E1732" s="20" t="n"/>
      <c r="F1732" s="20" t="n"/>
      <c r="G1732" s="20" t="n"/>
    </row>
    <row r="1733">
      <c r="A1733" s="21" t="inlineStr">
        <is>
          <t>Details of cost for 5.2 metre   |   Source: CivilDAR_2019_Vol_1.pdf, page 269</t>
        </is>
      </c>
    </row>
    <row r="1734">
      <c r="A1734" s="5" t="inlineStr">
        <is>
          <t>Code</t>
        </is>
      </c>
      <c r="B1734" s="5" t="inlineStr">
        <is>
          <t>Description</t>
        </is>
      </c>
      <c r="C1734" s="5" t="inlineStr">
        <is>
          <t>Unit</t>
        </is>
      </c>
      <c r="D1734" s="5" t="inlineStr">
        <is>
          <t>Quantity</t>
        </is>
      </c>
      <c r="E1734" s="5" t="inlineStr">
        <is>
          <t>Rate (Rs.)</t>
        </is>
      </c>
      <c r="F1734" s="5" t="inlineStr">
        <is>
          <t>Amount (Rs.)</t>
        </is>
      </c>
      <c r="G1734" s="5" t="inlineStr">
        <is>
          <t>Note</t>
        </is>
      </c>
    </row>
    <row r="1735">
      <c r="A1735" s="7" t="inlineStr">
        <is>
          <t>5.33.1</t>
        </is>
      </c>
      <c r="B1735" s="11" t="inlineStr">
        <is>
          <t>Rate as per item 5.33.1 - Providing and laying in position machine batched and machine mixed design mix M-25 grade cement concrete fo...</t>
        </is>
      </c>
      <c r="C1735" s="22" t="inlineStr">
        <is>
          <t>cum</t>
        </is>
      </c>
      <c r="D1735" s="23" t="n">
        <v>0.039</v>
      </c>
      <c r="E1735" s="24" t="n">
        <v>7997.3</v>
      </c>
      <c r="F1735" s="24">
        <f>D1735*E1735</f>
        <v/>
      </c>
      <c r="G1735" s="22" t="n"/>
    </row>
    <row r="1736">
      <c r="A1736" s="7" t="inlineStr">
        <is>
          <t>5.34.3</t>
        </is>
      </c>
      <c r="B1736" s="11" t="inlineStr">
        <is>
          <t>Rate as per item 5.34.3 - Extra for providing richer mixes at all floor levels. Note:- Excess/less cement over the specified cement c...</t>
        </is>
      </c>
      <c r="C1736" s="22" t="inlineStr">
        <is>
          <t>cum</t>
        </is>
      </c>
      <c r="D1736" s="23" t="n">
        <v>0.039</v>
      </c>
      <c r="E1736" s="24" t="n">
        <v>209.2</v>
      </c>
      <c r="F1736" s="24">
        <f>D1736*E1736</f>
        <v/>
      </c>
      <c r="G1736" s="22" t="n"/>
    </row>
    <row r="1737">
      <c r="A1737" s="22" t="inlineStr"/>
      <c r="B1737" s="11" t="inlineStr">
        <is>
          <t>Extra for scatter and smaller work</t>
        </is>
      </c>
      <c r="C1737" s="22" t="n"/>
      <c r="D1737" s="22" t="n"/>
      <c r="E1737" s="22" t="n"/>
      <c r="F1737" s="24" t="n">
        <v>80.01000000000001</v>
      </c>
      <c r="G1737" s="32" t="inlineStr">
        <is>
          <t>Percentage add-on; amount as printed</t>
        </is>
      </c>
    </row>
    <row r="1738">
      <c r="A1738" s="22" t="inlineStr">
        <is>
          <t>1005</t>
        </is>
      </c>
      <c r="B1738" s="11" t="inlineStr">
        <is>
          <t>Twisted steel/ deformed bars</t>
        </is>
      </c>
      <c r="C1738" s="22" t="inlineStr">
        <is>
          <t>quintal</t>
        </is>
      </c>
      <c r="D1738" s="23" t="n">
        <v>0.0468</v>
      </c>
      <c r="E1738" s="24" t="n">
        <v>4600</v>
      </c>
      <c r="F1738" s="24">
        <f>D1738*E1738</f>
        <v/>
      </c>
      <c r="G1738" s="22" t="n"/>
    </row>
    <row r="1739">
      <c r="A1739" s="22" t="inlineStr">
        <is>
          <t>0596</t>
        </is>
      </c>
      <c r="B1739" s="11" t="inlineStr">
        <is>
          <t>Bright finished or black enameled mild steel butt hinges 75x47x 1.70 mm</t>
        </is>
      </c>
      <c r="C1739" s="22" t="inlineStr">
        <is>
          <t>10 Nos</t>
        </is>
      </c>
      <c r="D1739" s="23" t="n">
        <v>0.6</v>
      </c>
      <c r="E1739" s="24" t="n">
        <v>56</v>
      </c>
      <c r="F1739" s="24">
        <f>D1739*E1739</f>
        <v/>
      </c>
      <c r="G1739" s="22" t="n"/>
    </row>
    <row r="1740">
      <c r="A1740" s="7" t="inlineStr">
        <is>
          <t>4.3.3</t>
        </is>
      </c>
      <c r="B1740" s="11" t="inlineStr">
        <is>
          <t>Rate as per item 4.3.3 - Centering and shuttering including strutting, propping etc. and removal of form work for - Columns, piers,...</t>
        </is>
      </c>
      <c r="C1740" s="22" t="inlineStr">
        <is>
          <t>sqm</t>
        </is>
      </c>
      <c r="D1740" s="23" t="n">
        <v>1.27</v>
      </c>
      <c r="E1740" s="24" t="n">
        <v>733.7</v>
      </c>
      <c r="F1740" s="24">
        <f>D1740*E1740</f>
        <v/>
      </c>
      <c r="G1740" s="22" t="n"/>
    </row>
    <row r="1741">
      <c r="A1741" s="22" t="inlineStr">
        <is>
          <t>14.2.1</t>
        </is>
      </c>
      <c r="B1741" s="11" t="inlineStr">
        <is>
          <t>Rate as per item 14.2.1 - Fixing chowkhats in existing opening including embedding chowkhats in floors or walls cutting masonry for h...</t>
        </is>
      </c>
      <c r="C1741" s="22" t="inlineStr">
        <is>
          <t>each</t>
        </is>
      </c>
      <c r="D1741" s="23" t="n">
        <v>1</v>
      </c>
      <c r="E1741" s="24" t="n">
        <v>1366.85</v>
      </c>
      <c r="F1741" s="24">
        <f>D1741*E1741</f>
        <v/>
      </c>
      <c r="G1741" s="22" t="n"/>
    </row>
    <row r="1742">
      <c r="A1742" s="22" t="inlineStr">
        <is>
          <t>13.48.2</t>
        </is>
      </c>
      <c r="B1742" s="11" t="inlineStr">
        <is>
          <t>Rate as per item 13.48.2 - Finishing with Deluxe Multi surface paint system for interiors and exteriors using Primer as per manufactur...</t>
        </is>
      </c>
      <c r="C1742" s="22" t="inlineStr">
        <is>
          <t>sqm</t>
        </is>
      </c>
      <c r="D1742" s="23" t="n">
        <v>1.27</v>
      </c>
      <c r="E1742" s="24" t="n">
        <v>130.25</v>
      </c>
      <c r="F1742" s="24">
        <f>D1742*E1742</f>
        <v/>
      </c>
      <c r="G1742" s="22" t="n"/>
    </row>
    <row r="1743">
      <c r="A1743" s="22" t="inlineStr">
        <is>
          <t>9999</t>
        </is>
      </c>
      <c r="B1743" s="11" t="inlineStr">
        <is>
          <t>Sundries</t>
        </is>
      </c>
      <c r="C1743" s="22" t="inlineStr">
        <is>
          <t>L.S.</t>
        </is>
      </c>
      <c r="D1743" s="23" t="n">
        <v>100.67</v>
      </c>
      <c r="E1743" s="24" t="n">
        <v>2</v>
      </c>
      <c r="F1743" s="24">
        <f>D1743*E1743</f>
        <v/>
      </c>
      <c r="G1743" s="22" t="n"/>
    </row>
    <row r="1744">
      <c r="A1744" s="8" t="inlineStr">
        <is>
          <t>Calculated W - SUM of the Amount column above</t>
        </is>
      </c>
      <c r="B1744" s="9" t="n"/>
      <c r="C1744" s="9" t="n"/>
      <c r="D1744" s="9" t="n"/>
      <c r="E1744" s="9" t="n"/>
      <c r="F1744" s="25">
        <f>SUM(F1735:F1743)</f>
        <v/>
      </c>
      <c r="G1744" s="9" t="n"/>
    </row>
    <row r="1745">
      <c r="A1745" s="26" t="inlineStr">
        <is>
          <t>W as printed in the DAR</t>
        </is>
      </c>
      <c r="B1745" s="22" t="n"/>
      <c r="C1745" s="22" t="n"/>
      <c r="D1745" s="22" t="n"/>
      <c r="E1745" s="22" t="n"/>
      <c r="F1745" s="27" t="n">
        <v>3314.35</v>
      </c>
      <c r="G1745" s="22" t="n"/>
    </row>
    <row r="1746">
      <c r="A1746" s="26" t="inlineStr">
        <is>
          <t>Difference (calculated - printed)</t>
        </is>
      </c>
      <c r="B1746" s="22" t="n"/>
      <c r="C1746" s="22" t="n"/>
      <c r="D1746" s="22" t="n"/>
      <c r="E1746" s="22" t="n"/>
      <c r="F1746" s="27">
        <f>F1744-F1745</f>
        <v/>
      </c>
      <c r="G1746" s="22" t="n"/>
    </row>
    <row r="1747">
      <c r="A1747" s="29" t="inlineStr">
        <is>
          <t>SAY (Rs.) - final DAR rate as printed (fixed value, not computed)</t>
        </is>
      </c>
      <c r="B1747" s="30" t="n"/>
      <c r="C1747" s="30" t="n"/>
      <c r="D1747" s="30" t="n"/>
      <c r="E1747" s="30" t="n"/>
      <c r="F1747" s="31" t="n">
        <v>666.65</v>
      </c>
      <c r="G1747" s="30" t="n"/>
    </row>
    <row r="1749" ht="91" customHeight="1">
      <c r="A1749" s="8" t="inlineStr">
        <is>
          <t>5.47</t>
        </is>
      </c>
      <c r="B1749" s="17" t="inlineStr">
        <is>
          <t>Providing and fixing in position factory made precast RCC M-40 fixing with hold fast embedded in 1:3:6 concrete block for doors and windows frames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is>
      </c>
      <c r="C1749" s="9" t="n"/>
      <c r="D1749" s="9" t="n"/>
      <c r="E1749" s="9" t="n"/>
      <c r="F1749" s="9" t="n"/>
      <c r="G1749" s="9" t="n"/>
    </row>
    <row r="1750" ht="18.5" customHeight="1">
      <c r="A1750" s="18" t="inlineStr">
        <is>
          <t>5.47.2</t>
        </is>
      </c>
      <c r="B1750" s="19" t="inlineStr">
        <is>
          <t>Door frame 100 mmx 60 mm</t>
        </is>
      </c>
      <c r="C1750" s="20" t="n"/>
      <c r="D1750" s="20" t="n"/>
      <c r="E1750" s="20" t="n"/>
      <c r="F1750" s="20" t="n"/>
      <c r="G1750" s="20" t="n"/>
    </row>
    <row r="1751">
      <c r="A1751" s="21" t="inlineStr">
        <is>
          <t>Details of cost for 5.2 metre   |   Source: CivilDAR_2019_Vol_1.pdf, page 270</t>
        </is>
      </c>
    </row>
    <row r="1752">
      <c r="A1752" s="5" t="inlineStr">
        <is>
          <t>Code</t>
        </is>
      </c>
      <c r="B1752" s="5" t="inlineStr">
        <is>
          <t>Description</t>
        </is>
      </c>
      <c r="C1752" s="5" t="inlineStr">
        <is>
          <t>Unit</t>
        </is>
      </c>
      <c r="D1752" s="5" t="inlineStr">
        <is>
          <t>Quantity</t>
        </is>
      </c>
      <c r="E1752" s="5" t="inlineStr">
        <is>
          <t>Rate (Rs.)</t>
        </is>
      </c>
      <c r="F1752" s="5" t="inlineStr">
        <is>
          <t>Amount (Rs.)</t>
        </is>
      </c>
      <c r="G1752" s="5" t="inlineStr">
        <is>
          <t>Note</t>
        </is>
      </c>
    </row>
    <row r="1753">
      <c r="A1753" s="7" t="inlineStr">
        <is>
          <t>5.33.1</t>
        </is>
      </c>
      <c r="B1753" s="11" t="inlineStr">
        <is>
          <t>Rate as per item 5.33.1 - Providing and laying in position machine batched and machine mixed design mix M-25 grade cement concrete fo...</t>
        </is>
      </c>
      <c r="C1753" s="22" t="inlineStr">
        <is>
          <t>cum</t>
        </is>
      </c>
      <c r="D1753" s="23" t="n">
        <v>0.031</v>
      </c>
      <c r="E1753" s="24" t="n">
        <v>7997.3</v>
      </c>
      <c r="F1753" s="24">
        <f>D1753*E1753</f>
        <v/>
      </c>
      <c r="G1753" s="22" t="n"/>
    </row>
    <row r="1754">
      <c r="A1754" s="7" t="inlineStr">
        <is>
          <t>5.34.3</t>
        </is>
      </c>
      <c r="B1754" s="11" t="inlineStr">
        <is>
          <t>Rate as per item 5.34.3 - Extra for providing richer mixes at all floor levels. Note:- Excess/less cement over the specified cement c...</t>
        </is>
      </c>
      <c r="C1754" s="22" t="inlineStr">
        <is>
          <t>cum</t>
        </is>
      </c>
      <c r="D1754" s="23" t="n">
        <v>0.031</v>
      </c>
      <c r="E1754" s="24" t="n">
        <v>209.2</v>
      </c>
      <c r="F1754" s="24">
        <f>D1754*E1754</f>
        <v/>
      </c>
      <c r="G1754" s="22" t="n"/>
    </row>
    <row r="1755">
      <c r="A1755" s="22" t="inlineStr"/>
      <c r="B1755" s="11" t="inlineStr">
        <is>
          <t>Extra for scatter and smaller work</t>
        </is>
      </c>
      <c r="C1755" s="22" t="n"/>
      <c r="D1755" s="22" t="n"/>
      <c r="E1755" s="22" t="n"/>
      <c r="F1755" s="24" t="n">
        <v>63.6</v>
      </c>
      <c r="G1755" s="32" t="inlineStr">
        <is>
          <t>Percentage add-on; amount as printed</t>
        </is>
      </c>
    </row>
    <row r="1756">
      <c r="A1756" s="22" t="inlineStr">
        <is>
          <t>1005</t>
        </is>
      </c>
      <c r="B1756" s="11" t="inlineStr">
        <is>
          <t>Twisted steel/ deformed bars</t>
        </is>
      </c>
      <c r="C1756" s="22" t="inlineStr">
        <is>
          <t>quintal</t>
        </is>
      </c>
      <c r="D1756" s="23" t="n">
        <v>0.0372</v>
      </c>
      <c r="E1756" s="24" t="n">
        <v>4600</v>
      </c>
      <c r="F1756" s="24">
        <f>D1756*E1756</f>
        <v/>
      </c>
      <c r="G1756" s="22" t="n"/>
    </row>
    <row r="1757">
      <c r="A1757" s="22" t="inlineStr">
        <is>
          <t>0596</t>
        </is>
      </c>
      <c r="B1757" s="11" t="inlineStr">
        <is>
          <t>Bright finished or black enameled mild steel butt hinges 75x47x1.70 mm</t>
        </is>
      </c>
      <c r="C1757" s="22" t="inlineStr">
        <is>
          <t>10 Nos</t>
        </is>
      </c>
      <c r="D1757" s="23" t="n">
        <v>0.6</v>
      </c>
      <c r="E1757" s="24" t="n">
        <v>56</v>
      </c>
      <c r="F1757" s="24">
        <f>D1757*E1757</f>
        <v/>
      </c>
      <c r="G1757" s="22" t="n"/>
    </row>
    <row r="1758">
      <c r="A1758" s="7" t="inlineStr">
        <is>
          <t>4.3.3</t>
        </is>
      </c>
      <c r="B1758" s="11" t="inlineStr">
        <is>
          <t>Rate as per item 4.3.3 - Centering and shuttering including strutting, propping etc. and removal of form work for - Columns, piers,...</t>
        </is>
      </c>
      <c r="C1758" s="22" t="inlineStr">
        <is>
          <t>sqm</t>
        </is>
      </c>
      <c r="D1758" s="23" t="n">
        <v>1.14</v>
      </c>
      <c r="E1758" s="24" t="n">
        <v>733.7</v>
      </c>
      <c r="F1758" s="24">
        <f>D1758*E1758</f>
        <v/>
      </c>
      <c r="G1758" s="22" t="n"/>
    </row>
    <row r="1759">
      <c r="A1759" s="22" t="inlineStr">
        <is>
          <t>14.2.1</t>
        </is>
      </c>
      <c r="B1759" s="11" t="inlineStr">
        <is>
          <t>Rate as per item 14.2.1 - Fixing chowkhats in existing opening including embedding chowkhats in floors or walls cutting masonry for h...</t>
        </is>
      </c>
      <c r="C1759" s="22" t="inlineStr">
        <is>
          <t>each</t>
        </is>
      </c>
      <c r="D1759" s="23" t="n">
        <v>1</v>
      </c>
      <c r="E1759" s="24" t="n">
        <v>1366.85</v>
      </c>
      <c r="F1759" s="24">
        <f>D1759*E1759</f>
        <v/>
      </c>
      <c r="G1759" s="22" t="n"/>
    </row>
    <row r="1760">
      <c r="A1760" s="22" t="inlineStr">
        <is>
          <t>13.48.2</t>
        </is>
      </c>
      <c r="B1760" s="11" t="inlineStr">
        <is>
          <t>Rate as per item 13.48.2 - Finishing with Deluxe Multi surface paint system for interiors and exteriors using Primer as per manufactur...</t>
        </is>
      </c>
      <c r="C1760" s="22" t="inlineStr">
        <is>
          <t>sqm</t>
        </is>
      </c>
      <c r="D1760" s="23" t="n">
        <v>1.14</v>
      </c>
      <c r="E1760" s="24" t="n">
        <v>130.25</v>
      </c>
      <c r="F1760" s="24">
        <f>D1760*E1760</f>
        <v/>
      </c>
      <c r="G1760" s="22" t="n"/>
    </row>
    <row r="1761">
      <c r="A1761" s="22" t="inlineStr">
        <is>
          <t>9999</t>
        </is>
      </c>
      <c r="B1761" s="11" t="inlineStr">
        <is>
          <t>Sundries</t>
        </is>
      </c>
      <c r="C1761" s="22" t="inlineStr">
        <is>
          <t>L.S.</t>
        </is>
      </c>
      <c r="D1761" s="23" t="n">
        <v>100.67</v>
      </c>
      <c r="E1761" s="24" t="n">
        <v>2</v>
      </c>
      <c r="F1761" s="24">
        <f>D1761*E1761</f>
        <v/>
      </c>
      <c r="G1761" s="22" t="n"/>
    </row>
    <row r="1762">
      <c r="A1762" s="8" t="inlineStr">
        <is>
          <t>Calculated W - SUM of the Amount column above</t>
        </is>
      </c>
      <c r="B1762" s="9" t="n"/>
      <c r="C1762" s="9" t="n"/>
      <c r="D1762" s="9" t="n"/>
      <c r="E1762" s="9" t="n"/>
      <c r="F1762" s="25">
        <f>SUM(F1753:F1761)</f>
        <v/>
      </c>
      <c r="G1762" s="9" t="n"/>
    </row>
    <row r="1763">
      <c r="A1763" s="26" t="inlineStr">
        <is>
          <t>W as printed in the DAR</t>
        </is>
      </c>
      <c r="B1763" s="22" t="n"/>
      <c r="C1763" s="22" t="n"/>
      <c r="D1763" s="22" t="n"/>
      <c r="E1763" s="22" t="n"/>
      <c r="F1763" s="27" t="n">
        <v>3075.81</v>
      </c>
      <c r="G1763" s="22" t="n"/>
    </row>
    <row r="1764">
      <c r="A1764" s="26" t="inlineStr">
        <is>
          <t>Difference (calculated - printed)</t>
        </is>
      </c>
      <c r="B1764" s="22" t="n"/>
      <c r="C1764" s="22" t="n"/>
      <c r="D1764" s="22" t="n"/>
      <c r="E1764" s="22" t="n"/>
      <c r="F1764" s="27">
        <f>F1762-F1763</f>
        <v/>
      </c>
      <c r="G1764" s="22" t="n"/>
    </row>
    <row r="1765">
      <c r="A1765" s="29" t="inlineStr">
        <is>
          <t>SAY (Rs.) - final DAR rate as printed (fixed value, not computed)</t>
        </is>
      </c>
      <c r="B1765" s="30" t="n"/>
      <c r="C1765" s="30" t="n"/>
      <c r="D1765" s="30" t="n"/>
      <c r="E1765" s="30" t="n"/>
      <c r="F1765" s="31" t="n">
        <v>617.9</v>
      </c>
      <c r="G1765" s="30" t="n"/>
    </row>
    <row r="1767" ht="91" customHeight="1">
      <c r="A1767" s="8" t="inlineStr">
        <is>
          <t>5.47</t>
        </is>
      </c>
      <c r="B1767" s="17" t="inlineStr">
        <is>
          <t>Providing and fixing in position factory made precast RCC M-40 fixing with hold fast embedded in 1:3:6 concrete block for doors and windows frames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is>
      </c>
      <c r="C1767" s="9" t="n"/>
      <c r="D1767" s="9" t="n"/>
      <c r="E1767" s="9" t="n"/>
      <c r="F1767" s="9" t="n"/>
      <c r="G1767" s="9" t="n"/>
    </row>
    <row r="1768" ht="18.5" customHeight="1">
      <c r="A1768" s="18" t="inlineStr">
        <is>
          <t>5.47.3</t>
        </is>
      </c>
      <c r="B1768" s="19" t="inlineStr">
        <is>
          <t>Door frame 85 mmx60 mm</t>
        </is>
      </c>
      <c r="C1768" s="20" t="n"/>
      <c r="D1768" s="20" t="n"/>
      <c r="E1768" s="20" t="n"/>
      <c r="F1768" s="20" t="n"/>
      <c r="G1768" s="20" t="n"/>
    </row>
    <row r="1769">
      <c r="A1769" s="21" t="inlineStr">
        <is>
          <t>Details of cost for 5.2 metre   |   Source: CivilDAR_2019_Vol_1.pdf, page 271</t>
        </is>
      </c>
    </row>
    <row r="1770">
      <c r="A1770" s="5" t="inlineStr">
        <is>
          <t>Code</t>
        </is>
      </c>
      <c r="B1770" s="5" t="inlineStr">
        <is>
          <t>Description</t>
        </is>
      </c>
      <c r="C1770" s="5" t="inlineStr">
        <is>
          <t>Unit</t>
        </is>
      </c>
      <c r="D1770" s="5" t="inlineStr">
        <is>
          <t>Quantity</t>
        </is>
      </c>
      <c r="E1770" s="5" t="inlineStr">
        <is>
          <t>Rate (Rs.)</t>
        </is>
      </c>
      <c r="F1770" s="5" t="inlineStr">
        <is>
          <t>Amount (Rs.)</t>
        </is>
      </c>
      <c r="G1770" s="5" t="inlineStr">
        <is>
          <t>Note</t>
        </is>
      </c>
    </row>
    <row r="1771">
      <c r="A1771" s="7" t="inlineStr">
        <is>
          <t>5.33.1</t>
        </is>
      </c>
      <c r="B1771" s="11" t="inlineStr">
        <is>
          <t>Rate as per item 5.33.1 - Providing and laying in position machine batched and machine mixed design mix M-25 grade cement concrete fo...</t>
        </is>
      </c>
      <c r="C1771" s="22" t="inlineStr">
        <is>
          <t>cum</t>
        </is>
      </c>
      <c r="D1771" s="23" t="n">
        <v>0.027</v>
      </c>
      <c r="E1771" s="24" t="n">
        <v>7997.3</v>
      </c>
      <c r="F1771" s="24">
        <f>D1771*E1771</f>
        <v/>
      </c>
      <c r="G1771" s="22" t="n"/>
    </row>
    <row r="1772">
      <c r="A1772" s="7" t="inlineStr">
        <is>
          <t>5.34.2</t>
        </is>
      </c>
      <c r="B1772" s="11" t="inlineStr">
        <is>
          <t>Rate as per item 5.34.2 - Extra for providing richer mixes at all floor levels. Note:- Excess/less cement over the specified cement c...</t>
        </is>
      </c>
      <c r="C1772" s="22" t="inlineStr">
        <is>
          <t>cum</t>
        </is>
      </c>
      <c r="D1772" s="23" t="n">
        <v>0.027</v>
      </c>
      <c r="E1772" s="24" t="n">
        <v>139.45</v>
      </c>
      <c r="F1772" s="24">
        <f>D1772*E1772</f>
        <v/>
      </c>
      <c r="G1772" s="22" t="n"/>
    </row>
    <row r="1773">
      <c r="A1773" s="22" t="inlineStr"/>
      <c r="B1773" s="11" t="inlineStr">
        <is>
          <t>Extra for scatter and smaller work</t>
        </is>
      </c>
      <c r="C1773" s="22" t="n"/>
      <c r="D1773" s="22" t="n"/>
      <c r="E1773" s="22" t="n"/>
      <c r="F1773" s="24" t="n">
        <v>54.92</v>
      </c>
      <c r="G1773" s="32" t="inlineStr">
        <is>
          <t>Percentage add-on; amount as printed</t>
        </is>
      </c>
    </row>
    <row r="1774">
      <c r="A1774" s="22" t="inlineStr">
        <is>
          <t>1005</t>
        </is>
      </c>
      <c r="B1774" s="11" t="inlineStr">
        <is>
          <t>Twisted steel/ deformed bars</t>
        </is>
      </c>
      <c r="C1774" s="22" t="inlineStr">
        <is>
          <t>quintal</t>
        </is>
      </c>
      <c r="D1774" s="23" t="n">
        <v>0.0324</v>
      </c>
      <c r="E1774" s="24" t="n">
        <v>4600</v>
      </c>
      <c r="F1774" s="24">
        <f>D1774*E1774</f>
        <v/>
      </c>
      <c r="G1774" s="22" t="n"/>
    </row>
    <row r="1775">
      <c r="A1775" s="22" t="inlineStr">
        <is>
          <t>0596</t>
        </is>
      </c>
      <c r="B1775" s="11" t="inlineStr">
        <is>
          <t>Bright finished or black enameled mild steel butt hinges 75x47x 1.70 mm</t>
        </is>
      </c>
      <c r="C1775" s="22" t="inlineStr">
        <is>
          <t>10 Nos</t>
        </is>
      </c>
      <c r="D1775" s="23" t="n">
        <v>0.6</v>
      </c>
      <c r="E1775" s="24" t="n">
        <v>56</v>
      </c>
      <c r="F1775" s="24">
        <f>D1775*E1775</f>
        <v/>
      </c>
      <c r="G1775" s="22" t="n"/>
    </row>
    <row r="1776">
      <c r="A1776" s="7" t="inlineStr">
        <is>
          <t>4.3.3</t>
        </is>
      </c>
      <c r="B1776" s="11" t="inlineStr">
        <is>
          <t>Rate as per item 4.3.3 - Centering and shuttering including strutting, propping etc. and removal of form work for - Columns, piers,...</t>
        </is>
      </c>
      <c r="C1776" s="22" t="inlineStr">
        <is>
          <t>sqm</t>
        </is>
      </c>
      <c r="D1776" s="23" t="n">
        <v>1.07</v>
      </c>
      <c r="E1776" s="24" t="n">
        <v>733.7</v>
      </c>
      <c r="F1776" s="24">
        <f>D1776*E1776</f>
        <v/>
      </c>
      <c r="G1776" s="22" t="n"/>
    </row>
    <row r="1777">
      <c r="A1777" s="22" t="inlineStr">
        <is>
          <t>14.2.1</t>
        </is>
      </c>
      <c r="B1777" s="11" t="inlineStr">
        <is>
          <t>Rate as per item 14.2.1 - Fixing chowkhats in existing opening including embedding chowkhats in floors or walls cutting masonry for h...</t>
        </is>
      </c>
      <c r="C1777" s="22" t="inlineStr">
        <is>
          <t>each</t>
        </is>
      </c>
      <c r="D1777" s="23" t="n">
        <v>1</v>
      </c>
      <c r="E1777" s="24" t="n">
        <v>1366.85</v>
      </c>
      <c r="F1777" s="24">
        <f>D1777*E1777</f>
        <v/>
      </c>
      <c r="G1777" s="22" t="n"/>
    </row>
    <row r="1778">
      <c r="A1778" s="22" t="inlineStr">
        <is>
          <t>13.48.2</t>
        </is>
      </c>
      <c r="B1778" s="11" t="inlineStr">
        <is>
          <t>Rate as per item 13.48.2 - Finishing with Deluxe Multi surface paint system for interiors and exteriors using Primer as per manufactur...</t>
        </is>
      </c>
      <c r="C1778" s="22" t="inlineStr">
        <is>
          <t>sqm</t>
        </is>
      </c>
      <c r="D1778" s="23" t="n">
        <v>1.07</v>
      </c>
      <c r="E1778" s="24" t="n">
        <v>130.25</v>
      </c>
      <c r="F1778" s="24">
        <f>D1778*E1778</f>
        <v/>
      </c>
      <c r="G1778" s="22" t="n"/>
    </row>
    <row r="1779">
      <c r="A1779" s="22" t="inlineStr">
        <is>
          <t>9999</t>
        </is>
      </c>
      <c r="B1779" s="11" t="inlineStr">
        <is>
          <t>Sundries</t>
        </is>
      </c>
      <c r="C1779" s="22" t="inlineStr">
        <is>
          <t>L.S.</t>
        </is>
      </c>
      <c r="D1779" s="23" t="n">
        <v>100.67</v>
      </c>
      <c r="E1779" s="24" t="n">
        <v>2</v>
      </c>
      <c r="F1779" s="24">
        <f>D1779*E1779</f>
        <v/>
      </c>
      <c r="G1779" s="22" t="n"/>
    </row>
    <row r="1780">
      <c r="A1780" s="8" t="inlineStr">
        <is>
          <t>Calculated W - SUM of the Amount column above</t>
        </is>
      </c>
      <c r="B1780" s="9" t="n"/>
      <c r="C1780" s="9" t="n"/>
      <c r="D1780" s="9" t="n"/>
      <c r="E1780" s="9" t="n"/>
      <c r="F1780" s="25">
        <f>SUM(F1771:F1779)</f>
        <v/>
      </c>
      <c r="G1780" s="9" t="n"/>
    </row>
    <row r="1781">
      <c r="A1781" s="26" t="inlineStr">
        <is>
          <t>W as printed in the DAR</t>
        </is>
      </c>
      <c r="B1781" s="22" t="n"/>
      <c r="C1781" s="22" t="n"/>
      <c r="D1781" s="22" t="n"/>
      <c r="E1781" s="22" t="n"/>
      <c r="F1781" s="27" t="n">
        <v>2949.87</v>
      </c>
      <c r="G1781" s="22" t="n"/>
    </row>
    <row r="1782">
      <c r="A1782" s="26" t="inlineStr">
        <is>
          <t>Difference (calculated - printed)</t>
        </is>
      </c>
      <c r="B1782" s="22" t="n"/>
      <c r="C1782" s="22" t="n"/>
      <c r="D1782" s="22" t="n"/>
      <c r="E1782" s="22" t="n"/>
      <c r="F1782" s="27">
        <f>F1780-F1781</f>
        <v/>
      </c>
      <c r="G1782" s="22" t="n"/>
    </row>
    <row r="1783">
      <c r="A1783" s="29" t="inlineStr">
        <is>
          <t>SAY (Rs.) - final DAR rate as printed (fixed value, not computed)</t>
        </is>
      </c>
      <c r="B1783" s="30" t="n"/>
      <c r="C1783" s="30" t="n"/>
      <c r="D1783" s="30" t="n"/>
      <c r="E1783" s="30" t="n"/>
      <c r="F1783" s="31" t="n">
        <v>592.25</v>
      </c>
      <c r="G1783" s="30" t="n"/>
    </row>
    <row r="1785" ht="120" customHeight="1">
      <c r="A1785" s="8" t="inlineStr">
        <is>
          <t>5.48</t>
        </is>
      </c>
      <c r="B1785" s="17"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t>
        </is>
      </c>
      <c r="C1785" s="9" t="n"/>
      <c r="D1785" s="9" t="n"/>
      <c r="E1785" s="9" t="n"/>
      <c r="F1785" s="9" t="n"/>
      <c r="G1785" s="9" t="n"/>
    </row>
    <row r="1786" ht="18.5" customHeight="1">
      <c r="A1786" s="18" t="inlineStr">
        <is>
          <t>5.48.1</t>
        </is>
      </c>
      <c r="B1786" s="19" t="inlineStr">
        <is>
          <t>Reinforced Cement Concrete -M-50</t>
        </is>
      </c>
      <c r="C1786" s="20" t="n"/>
      <c r="D1786" s="20" t="n"/>
      <c r="E1786" s="20" t="n"/>
      <c r="F1786" s="20" t="n"/>
      <c r="G1786" s="20" t="n"/>
    </row>
    <row r="1787">
      <c r="A1787" s="21" t="inlineStr">
        <is>
          <t>Details of cost for 120 cum   |   Source: CivilDAR_2019_Vol_1.pdf, page 272</t>
        </is>
      </c>
    </row>
    <row r="1788">
      <c r="A1788" s="5" t="inlineStr">
        <is>
          <t>Code</t>
        </is>
      </c>
      <c r="B1788" s="5" t="inlineStr">
        <is>
          <t>Description</t>
        </is>
      </c>
      <c r="C1788" s="5" t="inlineStr">
        <is>
          <t>Unit</t>
        </is>
      </c>
      <c r="D1788" s="5" t="inlineStr">
        <is>
          <t>Quantity</t>
        </is>
      </c>
      <c r="E1788" s="5" t="inlineStr">
        <is>
          <t>Rate (Rs.)</t>
        </is>
      </c>
      <c r="F1788" s="5" t="inlineStr">
        <is>
          <t>Amount (Rs.)</t>
        </is>
      </c>
      <c r="G1788" s="5" t="inlineStr">
        <is>
          <t>Note</t>
        </is>
      </c>
    </row>
    <row r="1789">
      <c r="A1789" s="7" t="inlineStr">
        <is>
          <t>5.48X</t>
        </is>
      </c>
      <c r="B1789" s="11" t="inlineStr">
        <is>
          <t>Rate as per item 5.48X - Annexure for item 5.48.1, Providing M50 grade Reinforced Cement Concrete data for 120.00 cum Sub Analysis f...</t>
        </is>
      </c>
      <c r="C1789" s="22" t="inlineStr">
        <is>
          <t>each</t>
        </is>
      </c>
      <c r="D1789" s="23" t="n">
        <v>1</v>
      </c>
      <c r="E1789" s="24" t="n">
        <v>592482.2</v>
      </c>
      <c r="F1789" s="24">
        <f>D1789*E1789</f>
        <v/>
      </c>
      <c r="G1789" s="22" t="n"/>
    </row>
    <row r="1790">
      <c r="A1790" s="22" t="inlineStr"/>
      <c r="B1790" s="11" t="inlineStr">
        <is>
          <t>Add 11 per cent of cost of material, labour and machinery for formwork</t>
        </is>
      </c>
      <c r="C1790" s="22" t="n"/>
      <c r="D1790" s="22" t="n"/>
      <c r="E1790" s="22" t="n"/>
      <c r="F1790" s="24" t="n">
        <v>65173.04</v>
      </c>
      <c r="G1790" s="32" t="inlineStr">
        <is>
          <t>Percentage add-on; amount as printed</t>
        </is>
      </c>
    </row>
    <row r="1791">
      <c r="A1791" s="22" t="inlineStr"/>
      <c r="B1791" s="11" t="inlineStr">
        <is>
          <t>Add 1.4 per cent of cost of material, Labour and machinery excluding formwork to cater for extra lift</t>
        </is>
      </c>
      <c r="C1791" s="22" t="n"/>
      <c r="D1791" s="22" t="n"/>
      <c r="E1791" s="22" t="n"/>
      <c r="F1791" s="24" t="n">
        <v>8294.75</v>
      </c>
      <c r="G1791" s="32" t="inlineStr">
        <is>
          <t>Percentage add-on; amount as printed</t>
        </is>
      </c>
    </row>
    <row r="1792">
      <c r="A1792" s="8" t="inlineStr">
        <is>
          <t>Calculated W - SUM of the Amount column above</t>
        </is>
      </c>
      <c r="B1792" s="9" t="n"/>
      <c r="C1792" s="9" t="n"/>
      <c r="D1792" s="9" t="n"/>
      <c r="E1792" s="9" t="n"/>
      <c r="F1792" s="25">
        <f>SUM(F1789:F1791)</f>
        <v/>
      </c>
      <c r="G1792" s="9" t="n"/>
    </row>
    <row r="1793">
      <c r="A1793" s="26" t="inlineStr">
        <is>
          <t>W as printed in the DAR</t>
        </is>
      </c>
      <c r="B1793" s="22" t="n"/>
      <c r="C1793" s="22" t="n"/>
      <c r="D1793" s="22" t="n"/>
      <c r="E1793" s="22" t="n"/>
      <c r="F1793" s="27" t="n">
        <v>665949.99</v>
      </c>
      <c r="G1793" s="22" t="n"/>
    </row>
    <row r="1794">
      <c r="A1794" s="26" t="inlineStr">
        <is>
          <t>Difference (calculated - printed)</t>
        </is>
      </c>
      <c r="B1794" s="22" t="n"/>
      <c r="C1794" s="22" t="n"/>
      <c r="D1794" s="22" t="n"/>
      <c r="E1794" s="22" t="n"/>
      <c r="F1794" s="27">
        <f>F1792-F1793</f>
        <v/>
      </c>
      <c r="G1794" s="22" t="n"/>
    </row>
    <row r="1795">
      <c r="A1795" s="29" t="inlineStr">
        <is>
          <t>SAY (Rs.) - final DAR rate as printed (fixed value, not computed)</t>
        </is>
      </c>
      <c r="B1795" s="30" t="n"/>
      <c r="C1795" s="30" t="n"/>
      <c r="D1795" s="30" t="n"/>
      <c r="E1795" s="30" t="n"/>
      <c r="F1795" s="31" t="n">
        <v>7425</v>
      </c>
      <c r="G1795" s="30" t="n"/>
    </row>
    <row r="1797" ht="120" customHeight="1">
      <c r="A1797" s="8" t="inlineStr">
        <is>
          <t>5.48</t>
        </is>
      </c>
      <c r="B1797" s="17"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t>
        </is>
      </c>
      <c r="C1797" s="9" t="n"/>
      <c r="D1797" s="9" t="n"/>
      <c r="E1797" s="9" t="n"/>
      <c r="F1797" s="9" t="n"/>
      <c r="G1797" s="9" t="n"/>
    </row>
    <row r="1798" ht="18.5" customHeight="1">
      <c r="A1798" s="18" t="inlineStr">
        <is>
          <t>5.48.2</t>
        </is>
      </c>
      <c r="B1798" s="19" t="inlineStr">
        <is>
          <t>Reinforced Cement Concrete -M-60</t>
        </is>
      </c>
      <c r="C1798" s="20" t="n"/>
      <c r="D1798" s="20" t="n"/>
      <c r="E1798" s="20" t="n"/>
      <c r="F1798" s="20" t="n"/>
      <c r="G1798" s="20" t="n"/>
    </row>
    <row r="1799">
      <c r="A1799" s="21" t="inlineStr">
        <is>
          <t>Details of cost for 120 cum   |   Source: CivilDAR_2019_Vol_1.pdf, page 272</t>
        </is>
      </c>
    </row>
    <row r="1800">
      <c r="A1800" s="5" t="inlineStr">
        <is>
          <t>Code</t>
        </is>
      </c>
      <c r="B1800" s="5" t="inlineStr">
        <is>
          <t>Description</t>
        </is>
      </c>
      <c r="C1800" s="5" t="inlineStr">
        <is>
          <t>Unit</t>
        </is>
      </c>
      <c r="D1800" s="5" t="inlineStr">
        <is>
          <t>Quantity</t>
        </is>
      </c>
      <c r="E1800" s="5" t="inlineStr">
        <is>
          <t>Rate (Rs.)</t>
        </is>
      </c>
      <c r="F1800" s="5" t="inlineStr">
        <is>
          <t>Amount (Rs.)</t>
        </is>
      </c>
      <c r="G1800" s="5" t="inlineStr">
        <is>
          <t>Note</t>
        </is>
      </c>
    </row>
    <row r="1801">
      <c r="A1801" s="7" t="inlineStr">
        <is>
          <t>5.48Y</t>
        </is>
      </c>
      <c r="B1801" s="11" t="inlineStr">
        <is>
          <t>Rate as per item 5.48Y - Annexure for items 5.48.2 for using M 60 grade Self Compacting Reinforced cement concrete data for 120.00 c...</t>
        </is>
      </c>
      <c r="C1801" s="22" t="inlineStr">
        <is>
          <t>each</t>
        </is>
      </c>
      <c r="D1801" s="23" t="n">
        <v>1</v>
      </c>
      <c r="E1801" s="24" t="n">
        <v>692740.4</v>
      </c>
      <c r="F1801" s="24">
        <f>D1801*E1801</f>
        <v/>
      </c>
      <c r="G1801" s="22" t="n"/>
    </row>
    <row r="1802">
      <c r="A1802" s="22" t="inlineStr"/>
      <c r="B1802" s="11" t="inlineStr">
        <is>
          <t>Add 11 per cent of cost of material, labour and machinery for formwork</t>
        </is>
      </c>
      <c r="C1802" s="22" t="n"/>
      <c r="D1802" s="22" t="n"/>
      <c r="E1802" s="22" t="n"/>
      <c r="F1802" s="24" t="n">
        <v>76201.44</v>
      </c>
      <c r="G1802" s="32" t="inlineStr">
        <is>
          <t>Percentage add-on; amount as printed</t>
        </is>
      </c>
    </row>
    <row r="1803">
      <c r="A1803" s="22" t="inlineStr"/>
      <c r="B1803" s="11" t="inlineStr">
        <is>
          <t>Add 1.4 per cent of cost of material, Labour and machinery excluding formwork to cater for extra lift</t>
        </is>
      </c>
      <c r="C1803" s="22" t="n"/>
      <c r="D1803" s="22" t="n"/>
      <c r="E1803" s="22" t="n"/>
      <c r="F1803" s="24" t="n">
        <v>9698.370000000001</v>
      </c>
      <c r="G1803" s="32" t="inlineStr">
        <is>
          <t>Percentage add-on; amount as printed</t>
        </is>
      </c>
    </row>
    <row r="1804">
      <c r="A1804" s="8" t="inlineStr">
        <is>
          <t>Calculated W - SUM of the Amount column above</t>
        </is>
      </c>
      <c r="B1804" s="9" t="n"/>
      <c r="C1804" s="9" t="n"/>
      <c r="D1804" s="9" t="n"/>
      <c r="E1804" s="9" t="n"/>
      <c r="F1804" s="25">
        <f>SUM(F1801:F1803)</f>
        <v/>
      </c>
      <c r="G1804" s="9" t="n"/>
    </row>
    <row r="1805">
      <c r="A1805" s="26" t="inlineStr">
        <is>
          <t>W as printed in the DAR</t>
        </is>
      </c>
      <c r="B1805" s="22" t="n"/>
      <c r="C1805" s="22" t="n"/>
      <c r="D1805" s="22" t="n"/>
      <c r="E1805" s="22" t="n"/>
      <c r="F1805" s="27" t="n">
        <v>778640.21</v>
      </c>
      <c r="G1805" s="22" t="n"/>
    </row>
    <row r="1806">
      <c r="A1806" s="26" t="inlineStr">
        <is>
          <t>Difference (calculated - printed)</t>
        </is>
      </c>
      <c r="B1806" s="22" t="n"/>
      <c r="C1806" s="22" t="n"/>
      <c r="D1806" s="22" t="n"/>
      <c r="E1806" s="22" t="n"/>
      <c r="F1806" s="27">
        <f>F1804-F1805</f>
        <v/>
      </c>
      <c r="G1806" s="22" t="n"/>
    </row>
    <row r="1807">
      <c r="A1807" s="29" t="inlineStr">
        <is>
          <t>SAY (Rs.) - final DAR rate as printed (fixed value, not computed)</t>
        </is>
      </c>
      <c r="B1807" s="30" t="n"/>
      <c r="C1807" s="30" t="n"/>
      <c r="D1807" s="30" t="n"/>
      <c r="E1807" s="30" t="n"/>
      <c r="F1807" s="31" t="n">
        <v>8681.450000000001</v>
      </c>
      <c r="G1807" s="30" t="n"/>
    </row>
    <row r="1809" ht="120" customHeight="1">
      <c r="A1809" s="8" t="inlineStr">
        <is>
          <t>5.48</t>
        </is>
      </c>
      <c r="B1809" s="17"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t>
        </is>
      </c>
      <c r="C1809" s="9" t="n"/>
      <c r="D1809" s="9" t="n"/>
      <c r="E1809" s="9" t="n"/>
      <c r="F1809" s="9" t="n"/>
      <c r="G1809" s="9" t="n"/>
    </row>
    <row r="1810" ht="18.5" customHeight="1">
      <c r="A1810" s="18" t="inlineStr">
        <is>
          <t>5.48.3</t>
        </is>
      </c>
      <c r="B1810" s="19" t="inlineStr">
        <is>
          <t>Extra for using M-50/ M-60 Grade Self-compacting Cement Concrete</t>
        </is>
      </c>
      <c r="C1810" s="20" t="n"/>
      <c r="D1810" s="20" t="n"/>
      <c r="E1810" s="20" t="n"/>
      <c r="F1810" s="20" t="n"/>
      <c r="G1810" s="20" t="n"/>
    </row>
    <row r="1811">
      <c r="A1811" s="21" t="inlineStr">
        <is>
          <t>Details of cost for 1 cum   |   Source: CivilDAR_2019_Vol_1.pdf, page 273</t>
        </is>
      </c>
    </row>
    <row r="1812">
      <c r="A1812" s="5" t="inlineStr">
        <is>
          <t>Code</t>
        </is>
      </c>
      <c r="B1812" s="5" t="inlineStr">
        <is>
          <t>Description</t>
        </is>
      </c>
      <c r="C1812" s="5" t="inlineStr">
        <is>
          <t>Unit</t>
        </is>
      </c>
      <c r="D1812" s="5" t="inlineStr">
        <is>
          <t>Quantity</t>
        </is>
      </c>
      <c r="E1812" s="5" t="inlineStr">
        <is>
          <t>Rate (Rs.)</t>
        </is>
      </c>
      <c r="F1812" s="5" t="inlineStr">
        <is>
          <t>Amount (Rs.)</t>
        </is>
      </c>
      <c r="G1812" s="5" t="inlineStr">
        <is>
          <t>Note</t>
        </is>
      </c>
    </row>
    <row r="1813">
      <c r="A1813" s="7" t="inlineStr">
        <is>
          <t>5.48X</t>
        </is>
      </c>
      <c r="B1813" s="11" t="inlineStr">
        <is>
          <t>Rate as per item 5.48X - Annexure for item 5.48.1, Providing M50 grade Reinforced Cement Concrete data for 120.00 cum Sub Analysis f...</t>
        </is>
      </c>
      <c r="C1813" s="22" t="inlineStr">
        <is>
          <t>each</t>
        </is>
      </c>
      <c r="D1813" s="23" t="n">
        <v>1</v>
      </c>
      <c r="E1813" s="24" t="n">
        <v>9430.049999999999</v>
      </c>
      <c r="F1813" s="24">
        <f>D1813*E1813</f>
        <v/>
      </c>
      <c r="G1813" s="22" t="n"/>
    </row>
    <row r="1814">
      <c r="A1814" s="7" t="inlineStr">
        <is>
          <t>5.48.2</t>
        </is>
      </c>
      <c r="B1814" s="11" t="inlineStr">
        <is>
          <t>Rate as per item 5.48.2 - Providing and laying Reinforced cement concrete for construction of piers, abutments, portal frames, pier c...</t>
        </is>
      </c>
      <c r="C1814" s="22" t="inlineStr">
        <is>
          <t>cum</t>
        </is>
      </c>
      <c r="D1814" s="23" t="n">
        <v>-1</v>
      </c>
      <c r="E1814" s="24" t="n">
        <v>8681.450000000001</v>
      </c>
      <c r="F1814" s="24">
        <f>D1814*E1814</f>
        <v/>
      </c>
      <c r="G1814" s="22" t="n"/>
    </row>
    <row r="1815">
      <c r="A1815" s="8" t="inlineStr">
        <is>
          <t>Calculated W - SUM of the Amount column above</t>
        </is>
      </c>
      <c r="B1815" s="9" t="n"/>
      <c r="C1815" s="9" t="n"/>
      <c r="D1815" s="9" t="n"/>
      <c r="E1815" s="9" t="n"/>
      <c r="F1815" s="25">
        <f>SUM(F1813:F1814)</f>
        <v/>
      </c>
      <c r="G1815" s="9" t="n"/>
    </row>
    <row r="1816">
      <c r="A1816" s="26" t="inlineStr">
        <is>
          <t>W as printed in the DAR</t>
        </is>
      </c>
      <c r="B1816" s="22" t="n"/>
      <c r="C1816" s="22" t="n"/>
      <c r="D1816" s="22" t="n"/>
      <c r="E1816" s="22" t="n"/>
      <c r="F1816" s="27" t="inlineStr">
        <is>
          <t>not printed</t>
        </is>
      </c>
      <c r="G1816" s="28" t="inlineStr">
        <is>
          <t>This item prints no W (rate table or sub-analysis).</t>
        </is>
      </c>
    </row>
    <row r="1817">
      <c r="A1817" s="29" t="inlineStr">
        <is>
          <t>SAY (Rs.) - final DAR rate as printed (fixed value, not computed)</t>
        </is>
      </c>
      <c r="B1817" s="30" t="n"/>
      <c r="C1817" s="30" t="n"/>
      <c r="D1817" s="30" t="n"/>
      <c r="E1817" s="30" t="n"/>
      <c r="F1817" s="31" t="n">
        <v>748.6</v>
      </c>
      <c r="G1817" s="30" t="n"/>
    </row>
    <row r="1819" ht="120" customHeight="1">
      <c r="A1819" s="8" t="inlineStr">
        <is>
          <t>5.48</t>
        </is>
      </c>
      <c r="B1819" s="17"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t>
        </is>
      </c>
      <c r="C1819" s="9" t="n"/>
      <c r="D1819" s="9" t="n"/>
      <c r="E1819" s="9" t="n"/>
      <c r="F1819" s="9" t="n"/>
      <c r="G1819" s="9" t="n"/>
    </row>
    <row r="1820" ht="18.5" customHeight="1">
      <c r="A1820" s="18" t="inlineStr">
        <is>
          <t>5.48.3X</t>
        </is>
      </c>
      <c r="B1820" s="19" t="inlineStr">
        <is>
          <t>M 60 grade Self-compacting Reinforced Cement Concrete</t>
        </is>
      </c>
      <c r="C1820" s="20" t="n"/>
      <c r="D1820" s="20" t="n"/>
      <c r="E1820" s="20" t="n"/>
      <c r="F1820" s="20" t="n"/>
      <c r="G1820" s="20" t="n"/>
    </row>
    <row r="1821">
      <c r="A1821" s="21" t="inlineStr">
        <is>
          <t>Details of cost for 120 cum   |   Source: CivilDAR_2019_Vol_1.pdf, page 273</t>
        </is>
      </c>
    </row>
    <row r="1822">
      <c r="A1822" s="5" t="inlineStr">
        <is>
          <t>Code</t>
        </is>
      </c>
      <c r="B1822" s="5" t="inlineStr">
        <is>
          <t>Description</t>
        </is>
      </c>
      <c r="C1822" s="5" t="inlineStr">
        <is>
          <t>Unit</t>
        </is>
      </c>
      <c r="D1822" s="5" t="inlineStr">
        <is>
          <t>Quantity</t>
        </is>
      </c>
      <c r="E1822" s="5" t="inlineStr">
        <is>
          <t>Rate (Rs.)</t>
        </is>
      </c>
      <c r="F1822" s="5" t="inlineStr">
        <is>
          <t>Amount (Rs.)</t>
        </is>
      </c>
      <c r="G1822" s="5" t="inlineStr">
        <is>
          <t>Note</t>
        </is>
      </c>
    </row>
    <row r="1823">
      <c r="A1823" s="7" t="inlineStr">
        <is>
          <t>5.48Z</t>
        </is>
      </c>
      <c r="B1823" s="11" t="inlineStr">
        <is>
          <t>Rate as per item 5.48Z - Annexure for items 5.48.3. Extra for using M 60 grade Self Compacting Reinforced cement concrete data for 1...</t>
        </is>
      </c>
      <c r="C1823" s="22" t="inlineStr">
        <is>
          <t>each</t>
        </is>
      </c>
      <c r="D1823" s="23" t="n">
        <v>1</v>
      </c>
      <c r="E1823" s="24" t="n">
        <v>752474.7</v>
      </c>
      <c r="F1823" s="24">
        <f>D1823*E1823</f>
        <v/>
      </c>
      <c r="G1823" s="22" t="n"/>
    </row>
    <row r="1824">
      <c r="A1824" s="22" t="inlineStr"/>
      <c r="B1824" s="11" t="inlineStr">
        <is>
          <t>Add 11 per cent of cost of material, labour and machinery for formwork, P x 11 /100</t>
        </is>
      </c>
      <c r="C1824" s="22" t="n"/>
      <c r="D1824" s="22" t="n"/>
      <c r="E1824" s="22" t="n"/>
      <c r="F1824" s="24" t="n">
        <v>82772.22</v>
      </c>
      <c r="G1824" s="32" t="inlineStr">
        <is>
          <t>Percentage add-on; amount as printed</t>
        </is>
      </c>
    </row>
    <row r="1825">
      <c r="A1825" s="22" t="inlineStr"/>
      <c r="B1825" s="11" t="inlineStr">
        <is>
          <t>Add 1.4 per cent of cost of material, Labour and machinery excluding formwork to cater for extra lift, Px1....</t>
        </is>
      </c>
      <c r="C1825" s="22" t="n"/>
      <c r="D1825" s="22" t="n"/>
      <c r="E1825" s="22" t="n"/>
      <c r="F1825" s="24" t="n">
        <v>10534.65</v>
      </c>
      <c r="G1825" s="32" t="inlineStr">
        <is>
          <t>Percentage add-on; amount as printed</t>
        </is>
      </c>
    </row>
    <row r="1826">
      <c r="A1826" s="8" t="inlineStr">
        <is>
          <t>Calculated W - SUM of the Amount column above</t>
        </is>
      </c>
      <c r="B1826" s="9" t="n"/>
      <c r="C1826" s="9" t="n"/>
      <c r="D1826" s="9" t="n"/>
      <c r="E1826" s="9" t="n"/>
      <c r="F1826" s="25">
        <f>SUM(F1823:F1825)</f>
        <v/>
      </c>
      <c r="G1826" s="9" t="n"/>
    </row>
    <row r="1827">
      <c r="A1827" s="26" t="inlineStr">
        <is>
          <t>W as printed in the DAR</t>
        </is>
      </c>
      <c r="B1827" s="22" t="n"/>
      <c r="C1827" s="22" t="n"/>
      <c r="D1827" s="22" t="n"/>
      <c r="E1827" s="22" t="n"/>
      <c r="F1827" s="27" t="n">
        <v>845781.5600000001</v>
      </c>
      <c r="G1827" s="22" t="n"/>
    </row>
    <row r="1828">
      <c r="A1828" s="26" t="inlineStr">
        <is>
          <t>Difference (calculated - printed)</t>
        </is>
      </c>
      <c r="B1828" s="22" t="n"/>
      <c r="C1828" s="22" t="n"/>
      <c r="D1828" s="22" t="n"/>
      <c r="E1828" s="22" t="n"/>
      <c r="F1828" s="27">
        <f>F1826-F1827</f>
        <v/>
      </c>
      <c r="G1828" s="22" t="n"/>
    </row>
    <row r="1829">
      <c r="A1829" s="29" t="inlineStr">
        <is>
          <t>SAY (Rs.) - final DAR rate as printed (fixed value, not computed)</t>
        </is>
      </c>
      <c r="B1829" s="30" t="n"/>
      <c r="C1829" s="30" t="n"/>
      <c r="D1829" s="30" t="n"/>
      <c r="E1829" s="30" t="n"/>
      <c r="F1829" s="31" t="n">
        <v>9430.049999999999</v>
      </c>
      <c r="G1829" s="30" t="n"/>
    </row>
    <row r="1831" ht="33" customHeight="1">
      <c r="A1831" s="18" t="inlineStr">
        <is>
          <t>5.48X</t>
        </is>
      </c>
      <c r="B1831" s="19" t="inlineStr">
        <is>
          <t>Annexure for item 5.48.1, Providing M50 grade Reinforced Cement Concrete data for 120.00 cum Sub Analysis for use in Item no 5.48.1</t>
        </is>
      </c>
      <c r="C1831" s="20" t="n"/>
      <c r="D1831" s="20" t="n"/>
      <c r="E1831" s="20" t="n"/>
      <c r="F1831" s="20" t="n"/>
      <c r="G1831" s="20" t="n"/>
    </row>
    <row r="1832">
      <c r="A1832" s="21" t="inlineStr">
        <is>
          <t>Details of cost for 1 cum   |   Source: CivilDAR_2019_Vol_1.pdf, page 273</t>
        </is>
      </c>
    </row>
    <row r="1833">
      <c r="A1833" s="5" t="inlineStr">
        <is>
          <t>Code</t>
        </is>
      </c>
      <c r="B1833" s="5" t="inlineStr">
        <is>
          <t>Description</t>
        </is>
      </c>
      <c r="C1833" s="5" t="inlineStr">
        <is>
          <t>Unit</t>
        </is>
      </c>
      <c r="D1833" s="5" t="inlineStr">
        <is>
          <t>Quantity</t>
        </is>
      </c>
      <c r="E1833" s="5" t="inlineStr">
        <is>
          <t>Rate (Rs.)</t>
        </is>
      </c>
      <c r="F1833" s="5" t="inlineStr">
        <is>
          <t>Amount (Rs.)</t>
        </is>
      </c>
      <c r="G1833" s="5" t="inlineStr">
        <is>
          <t>Note</t>
        </is>
      </c>
    </row>
    <row r="1834">
      <c r="A1834" s="22" t="inlineStr">
        <is>
          <t>0367</t>
        </is>
      </c>
      <c r="B1834" s="11" t="inlineStr">
        <is>
          <t>Portland Cement</t>
        </is>
      </c>
      <c r="C1834" s="22" t="inlineStr">
        <is>
          <t>tonne</t>
        </is>
      </c>
      <c r="D1834" s="23" t="n">
        <v>57.6</v>
      </c>
      <c r="E1834" s="24" t="n">
        <v>4940</v>
      </c>
      <c r="F1834" s="24">
        <f>D1834*E1834</f>
        <v/>
      </c>
      <c r="G1834" s="22" t="n"/>
    </row>
    <row r="1835">
      <c r="A1835" s="22" t="inlineStr">
        <is>
          <t>0982</t>
        </is>
      </c>
      <c r="B1835" s="11" t="inlineStr">
        <is>
          <t>Coarse sand (zone III)</t>
        </is>
      </c>
      <c r="C1835" s="22" t="inlineStr">
        <is>
          <t>cum</t>
        </is>
      </c>
      <c r="D1835" s="23" t="n">
        <v>54</v>
      </c>
      <c r="E1835" s="24" t="n">
        <v>1350</v>
      </c>
      <c r="F1835" s="24">
        <f>D1835*E1835</f>
        <v/>
      </c>
      <c r="G1835" s="22" t="n"/>
    </row>
    <row r="1836">
      <c r="A1836" s="22" t="inlineStr">
        <is>
          <t>0295</t>
        </is>
      </c>
      <c r="B1836" s="11" t="inlineStr">
        <is>
          <t>Stone Aggregate (Single size) : 20 mm nominal size</t>
        </is>
      </c>
      <c r="C1836" s="22" t="inlineStr">
        <is>
          <t>cum</t>
        </is>
      </c>
      <c r="D1836" s="23" t="n">
        <v>64.8</v>
      </c>
      <c r="E1836" s="24" t="n">
        <v>1350</v>
      </c>
      <c r="F1836" s="24">
        <f>D1836*E1836</f>
        <v/>
      </c>
      <c r="G1836" s="22" t="n"/>
    </row>
    <row r="1837">
      <c r="A1837" s="22" t="inlineStr">
        <is>
          <t>0297</t>
        </is>
      </c>
      <c r="B1837" s="11" t="inlineStr">
        <is>
          <t>Stone Aggregate (Single size) : 10 mm nominal size</t>
        </is>
      </c>
      <c r="C1837" s="22" t="inlineStr">
        <is>
          <t>cum</t>
        </is>
      </c>
      <c r="D1837" s="23" t="n">
        <v>43.2</v>
      </c>
      <c r="E1837" s="24" t="n">
        <v>1350</v>
      </c>
      <c r="F1837" s="24">
        <f>D1837*E1837</f>
        <v/>
      </c>
      <c r="G1837" s="22" t="n"/>
    </row>
    <row r="1838">
      <c r="A1838" s="22" t="inlineStr">
        <is>
          <t>7318</t>
        </is>
      </c>
      <c r="B1838" s="11" t="inlineStr">
        <is>
          <t>Plasticizer / super plasticizer</t>
        </is>
      </c>
      <c r="C1838" s="22" t="inlineStr">
        <is>
          <t>kilogram</t>
        </is>
      </c>
      <c r="D1838" s="23" t="n">
        <v>223.2</v>
      </c>
      <c r="E1838" s="24" t="n">
        <v>36</v>
      </c>
      <c r="F1838" s="24">
        <f>D1838*E1838</f>
        <v/>
      </c>
      <c r="G1838" s="22" t="n"/>
    </row>
    <row r="1839">
      <c r="A1839" s="22" t="inlineStr">
        <is>
          <t>0128</t>
        </is>
      </c>
      <c r="B1839" s="11" t="inlineStr">
        <is>
          <t>Mate</t>
        </is>
      </c>
      <c r="C1839" s="22" t="inlineStr">
        <is>
          <t>day</t>
        </is>
      </c>
      <c r="D1839" s="23" t="n">
        <v>0.9399999999999999</v>
      </c>
      <c r="E1839" s="24" t="n">
        <v>617</v>
      </c>
      <c r="F1839" s="24">
        <f>D1839*E1839</f>
        <v/>
      </c>
      <c r="G1839" s="22" t="n"/>
    </row>
    <row r="1840">
      <c r="A1840" s="22" t="inlineStr">
        <is>
          <t>0123</t>
        </is>
      </c>
      <c r="B1840" s="11" t="inlineStr">
        <is>
          <t>Mason (brick layer) 1 st class</t>
        </is>
      </c>
      <c r="C1840" s="22" t="inlineStr">
        <is>
          <t>day</t>
        </is>
      </c>
      <c r="D1840" s="23" t="n">
        <v>3.5</v>
      </c>
      <c r="E1840" s="24" t="n">
        <v>738</v>
      </c>
      <c r="F1840" s="24">
        <f>D1840*E1840</f>
        <v/>
      </c>
      <c r="G1840" s="22" t="n"/>
    </row>
    <row r="1841">
      <c r="A1841" s="22" t="inlineStr">
        <is>
          <t>0114</t>
        </is>
      </c>
      <c r="B1841" s="11" t="inlineStr">
        <is>
          <t>Beldar</t>
        </is>
      </c>
      <c r="C1841" s="22" t="inlineStr">
        <is>
          <t>day</t>
        </is>
      </c>
      <c r="D1841" s="23" t="n">
        <v>20</v>
      </c>
      <c r="E1841" s="24" t="n">
        <v>558</v>
      </c>
      <c r="F1841" s="24">
        <f>D1841*E1841</f>
        <v/>
      </c>
      <c r="G1841" s="22" t="n"/>
    </row>
    <row r="1842">
      <c r="A1842" s="22" t="inlineStr">
        <is>
          <t>0066</t>
        </is>
      </c>
      <c r="B1842" s="11" t="inlineStr">
        <is>
          <t>Batching and Mixing Plant @ 75 cum per hour</t>
        </is>
      </c>
      <c r="C1842" s="22" t="inlineStr">
        <is>
          <t>hour</t>
        </is>
      </c>
      <c r="D1842" s="23" t="n">
        <v>1.6</v>
      </c>
      <c r="E1842" s="24" t="n">
        <v>2400</v>
      </c>
      <c r="F1842" s="24">
        <f>D1842*E1842</f>
        <v/>
      </c>
      <c r="G1842" s="22" t="n"/>
    </row>
    <row r="1843">
      <c r="A1843" s="22" t="inlineStr">
        <is>
          <t>0070</t>
        </is>
      </c>
      <c r="B1843" s="11" t="inlineStr">
        <is>
          <t>Generator 100 KVA/125 KVA</t>
        </is>
      </c>
      <c r="C1843" s="22" t="inlineStr">
        <is>
          <t>hour</t>
        </is>
      </c>
      <c r="D1843" s="23" t="n">
        <v>1.6</v>
      </c>
      <c r="E1843" s="24" t="n">
        <v>250</v>
      </c>
      <c r="F1843" s="24">
        <f>D1843*E1843</f>
        <v/>
      </c>
      <c r="G1843" s="22" t="n"/>
    </row>
    <row r="1844">
      <c r="A1844" s="22" t="inlineStr">
        <is>
          <t>0052</t>
        </is>
      </c>
      <c r="B1844" s="11" t="inlineStr">
        <is>
          <t>Front end loader 1 cum bucket capacity (incl POL)</t>
        </is>
      </c>
      <c r="C1844" s="22" t="inlineStr">
        <is>
          <t>hour</t>
        </is>
      </c>
      <c r="D1844" s="23" t="n">
        <v>1.6</v>
      </c>
      <c r="E1844" s="24" t="n">
        <v>900</v>
      </c>
      <c r="F1844" s="24">
        <f>D1844*E1844</f>
        <v/>
      </c>
      <c r="G1844" s="22" t="n"/>
    </row>
    <row r="1845">
      <c r="A1845" s="22" t="inlineStr">
        <is>
          <t>0029</t>
        </is>
      </c>
      <c r="B1845" s="11" t="inlineStr">
        <is>
          <t>Carriage of concrete by transit mixer</t>
        </is>
      </c>
      <c r="C1845" s="22" t="inlineStr">
        <is>
          <t>km/cum</t>
        </is>
      </c>
      <c r="D1845" s="23" t="n">
        <v>1200</v>
      </c>
      <c r="E1845" s="24" t="n">
        <v>30</v>
      </c>
      <c r="F1845" s="24">
        <f>D1845*E1845</f>
        <v/>
      </c>
      <c r="G1845" s="22" t="n"/>
    </row>
    <row r="1846">
      <c r="A1846" s="22" t="inlineStr">
        <is>
          <t>0009</t>
        </is>
      </c>
      <c r="B1846" s="11" t="inlineStr">
        <is>
          <t>Pumping charges of concrete including Hire charges of pump, piping work &amp; accessories etc.</t>
        </is>
      </c>
      <c r="C1846" s="22" t="inlineStr">
        <is>
          <t>cum</t>
        </is>
      </c>
      <c r="D1846" s="23" t="n">
        <v>120</v>
      </c>
      <c r="E1846" s="24" t="n">
        <v>210</v>
      </c>
      <c r="F1846" s="24">
        <f>D1846*E1846</f>
        <v/>
      </c>
      <c r="G1846" s="22" t="n"/>
    </row>
    <row r="1847">
      <c r="A1847" s="8" t="inlineStr">
        <is>
          <t>Calculated W - SUM of the Amount column above</t>
        </is>
      </c>
      <c r="B1847" s="9" t="n"/>
      <c r="C1847" s="9" t="n"/>
      <c r="D1847" s="9" t="n"/>
      <c r="E1847" s="9" t="n"/>
      <c r="F1847" s="25">
        <f>SUM(F1834:F1846)</f>
        <v/>
      </c>
      <c r="G1847" s="9" t="n"/>
    </row>
    <row r="1848">
      <c r="A1848" s="26" t="inlineStr">
        <is>
          <t>W as printed in the DAR</t>
        </is>
      </c>
      <c r="B1848" s="22" t="n"/>
      <c r="C1848" s="22" t="n"/>
      <c r="D1848" s="22" t="n"/>
      <c r="E1848" s="22" t="n"/>
      <c r="F1848" s="27" t="inlineStr">
        <is>
          <t>not printed</t>
        </is>
      </c>
      <c r="G1848" s="28" t="inlineStr">
        <is>
          <t>This item prints no W (rate table or sub-analysis).</t>
        </is>
      </c>
    </row>
    <row r="1849">
      <c r="A1849" s="29" t="inlineStr">
        <is>
          <t>SAY (Rs.) - final DAR rate as printed (fixed value, not computed)</t>
        </is>
      </c>
      <c r="B1849" s="30" t="n"/>
      <c r="C1849" s="30" t="n"/>
      <c r="D1849" s="30" t="n"/>
      <c r="E1849" s="30" t="n"/>
      <c r="F1849" s="31" t="n">
        <v>592482.2</v>
      </c>
      <c r="G1849" s="30" t="n"/>
    </row>
    <row r="1851" ht="33" customHeight="1">
      <c r="A1851" s="18" t="inlineStr">
        <is>
          <t>5.48Y</t>
        </is>
      </c>
      <c r="B1851" s="19" t="inlineStr">
        <is>
          <t>Annexure for items 5.48.2 for using M 60 grade Self Compacting Reinforced cement concrete data for 120.00 cum Sub Analysis for use in Item no 5.48.2</t>
        </is>
      </c>
      <c r="C1851" s="20" t="n"/>
      <c r="D1851" s="20" t="n"/>
      <c r="E1851" s="20" t="n"/>
      <c r="F1851" s="20" t="n"/>
      <c r="G1851" s="20" t="n"/>
    </row>
    <row r="1852">
      <c r="A1852" s="21" t="inlineStr">
        <is>
          <t>Details of cost for 1 cum   |   Source: CivilDAR_2019_Vol_1.pdf, page 274</t>
        </is>
      </c>
    </row>
    <row r="1853">
      <c r="A1853" s="5" t="inlineStr">
        <is>
          <t>Code</t>
        </is>
      </c>
      <c r="B1853" s="5" t="inlineStr">
        <is>
          <t>Description</t>
        </is>
      </c>
      <c r="C1853" s="5" t="inlineStr">
        <is>
          <t>Unit</t>
        </is>
      </c>
      <c r="D1853" s="5" t="inlineStr">
        <is>
          <t>Quantity</t>
        </is>
      </c>
      <c r="E1853" s="5" t="inlineStr">
        <is>
          <t>Rate (Rs.)</t>
        </is>
      </c>
      <c r="F1853" s="5" t="inlineStr">
        <is>
          <t>Amount (Rs.)</t>
        </is>
      </c>
      <c r="G1853" s="5" t="inlineStr">
        <is>
          <t>Note</t>
        </is>
      </c>
    </row>
    <row r="1854">
      <c r="A1854" s="22" t="inlineStr">
        <is>
          <t>0367</t>
        </is>
      </c>
      <c r="B1854" s="11" t="inlineStr">
        <is>
          <t>Portland Cement</t>
        </is>
      </c>
      <c r="C1854" s="22" t="inlineStr">
        <is>
          <t>tonne</t>
        </is>
      </c>
      <c r="D1854" s="23" t="n">
        <v>57.6</v>
      </c>
      <c r="E1854" s="24" t="n">
        <v>4940</v>
      </c>
      <c r="F1854" s="24">
        <f>D1854*E1854</f>
        <v/>
      </c>
      <c r="G1854" s="22" t="n"/>
    </row>
    <row r="1855">
      <c r="A1855" s="22" t="inlineStr">
        <is>
          <t>0982</t>
        </is>
      </c>
      <c r="B1855" s="11" t="inlineStr">
        <is>
          <t>Coarse sand (zone III)</t>
        </is>
      </c>
      <c r="C1855" s="22" t="inlineStr">
        <is>
          <t>cum</t>
        </is>
      </c>
      <c r="D1855" s="23" t="n">
        <v>54.98</v>
      </c>
      <c r="E1855" s="24" t="n">
        <v>1350</v>
      </c>
      <c r="F1855" s="24">
        <f>D1855*E1855</f>
        <v/>
      </c>
      <c r="G1855" s="22" t="n"/>
    </row>
    <row r="1856">
      <c r="A1856" s="22" t="inlineStr">
        <is>
          <t>0295</t>
        </is>
      </c>
      <c r="B1856" s="11" t="inlineStr">
        <is>
          <t>Stone Aggregate (Single size) : 20 mm nominal size</t>
        </is>
      </c>
      <c r="C1856" s="22" t="inlineStr">
        <is>
          <t>cum</t>
        </is>
      </c>
      <c r="D1856" s="23" t="n">
        <v>57.54</v>
      </c>
      <c r="E1856" s="24" t="n">
        <v>1350</v>
      </c>
      <c r="F1856" s="24">
        <f>D1856*E1856</f>
        <v/>
      </c>
      <c r="G1856" s="22" t="n"/>
    </row>
    <row r="1857">
      <c r="A1857" s="22" t="inlineStr">
        <is>
          <t>0297</t>
        </is>
      </c>
      <c r="B1857" s="11" t="inlineStr">
        <is>
          <t>Stone Aggregate (Single size) : 10 mm nominal size</t>
        </is>
      </c>
      <c r="C1857" s="22" t="inlineStr">
        <is>
          <t>cum</t>
        </is>
      </c>
      <c r="D1857" s="23" t="n">
        <v>38.22</v>
      </c>
      <c r="E1857" s="24" t="n">
        <v>1350</v>
      </c>
      <c r="F1857" s="24">
        <f>D1857*E1857</f>
        <v/>
      </c>
      <c r="G1857" s="22" t="n"/>
    </row>
    <row r="1858">
      <c r="A1858" s="22" t="inlineStr">
        <is>
          <t>7318</t>
        </is>
      </c>
      <c r="B1858" s="11" t="inlineStr">
        <is>
          <t>Plasticizer / super plasticizer</t>
        </is>
      </c>
      <c r="C1858" s="22" t="inlineStr">
        <is>
          <t>kilogram</t>
        </is>
      </c>
      <c r="D1858" s="23" t="n">
        <v>230.4</v>
      </c>
      <c r="E1858" s="24" t="n">
        <v>36</v>
      </c>
      <c r="F1858" s="24">
        <f>D1858*E1858</f>
        <v/>
      </c>
      <c r="G1858" s="22" t="n"/>
    </row>
    <row r="1859">
      <c r="A1859" s="22" t="inlineStr">
        <is>
          <t>8953</t>
        </is>
      </c>
      <c r="B1859" s="11" t="inlineStr">
        <is>
          <t>Micro Silica</t>
        </is>
      </c>
      <c r="C1859" s="22" t="inlineStr">
        <is>
          <t>kg</t>
        </is>
      </c>
      <c r="D1859" s="23" t="n">
        <v>3600</v>
      </c>
      <c r="E1859" s="24" t="n">
        <v>32</v>
      </c>
      <c r="F1859" s="24">
        <f>D1859*E1859</f>
        <v/>
      </c>
      <c r="G1859" s="22" t="n"/>
    </row>
    <row r="1860">
      <c r="A1860" s="22" t="inlineStr">
        <is>
          <t>0128</t>
        </is>
      </c>
      <c r="B1860" s="11" t="inlineStr">
        <is>
          <t>Mate</t>
        </is>
      </c>
      <c r="C1860" s="22" t="inlineStr">
        <is>
          <t>day</t>
        </is>
      </c>
      <c r="D1860" s="23" t="n">
        <v>0.9399999999999999</v>
      </c>
      <c r="E1860" s="24" t="n">
        <v>617</v>
      </c>
      <c r="F1860" s="24">
        <f>D1860*E1860</f>
        <v/>
      </c>
      <c r="G1860" s="22" t="n"/>
    </row>
    <row r="1861">
      <c r="A1861" s="22" t="inlineStr">
        <is>
          <t>0123</t>
        </is>
      </c>
      <c r="B1861" s="11" t="inlineStr">
        <is>
          <t>Mason (brick layer) 1 st class</t>
        </is>
      </c>
      <c r="C1861" s="22" t="inlineStr">
        <is>
          <t>day</t>
        </is>
      </c>
      <c r="D1861" s="23" t="n">
        <v>3.5</v>
      </c>
      <c r="E1861" s="24" t="n">
        <v>738</v>
      </c>
      <c r="F1861" s="24">
        <f>D1861*E1861</f>
        <v/>
      </c>
      <c r="G1861" s="22" t="n"/>
    </row>
    <row r="1862">
      <c r="A1862" s="22" t="inlineStr">
        <is>
          <t>0114</t>
        </is>
      </c>
      <c r="B1862" s="11" t="inlineStr">
        <is>
          <t>Beldar</t>
        </is>
      </c>
      <c r="C1862" s="22" t="inlineStr">
        <is>
          <t>day</t>
        </is>
      </c>
      <c r="D1862" s="23" t="n">
        <v>20</v>
      </c>
      <c r="E1862" s="24" t="n">
        <v>558</v>
      </c>
      <c r="F1862" s="24">
        <f>D1862*E1862</f>
        <v/>
      </c>
      <c r="G1862" s="22" t="n"/>
    </row>
    <row r="1863">
      <c r="A1863" s="22" t="inlineStr">
        <is>
          <t>0066</t>
        </is>
      </c>
      <c r="B1863" s="11" t="inlineStr">
        <is>
          <t>Batching and Mixing Plant @ 75 cum per hour</t>
        </is>
      </c>
      <c r="C1863" s="22" t="inlineStr">
        <is>
          <t>hour</t>
        </is>
      </c>
      <c r="D1863" s="23" t="n">
        <v>1.6</v>
      </c>
      <c r="E1863" s="24" t="n">
        <v>2400</v>
      </c>
      <c r="F1863" s="24">
        <f>D1863*E1863</f>
        <v/>
      </c>
      <c r="G1863" s="22" t="n"/>
    </row>
    <row r="1864">
      <c r="A1864" s="22" t="inlineStr">
        <is>
          <t>0070</t>
        </is>
      </c>
      <c r="B1864" s="11" t="inlineStr">
        <is>
          <t>Generator 100 KVA/125 KVA</t>
        </is>
      </c>
      <c r="C1864" s="22" t="inlineStr">
        <is>
          <t>hour</t>
        </is>
      </c>
      <c r="D1864" s="23" t="n">
        <v>1.6</v>
      </c>
      <c r="E1864" s="24" t="n">
        <v>250</v>
      </c>
      <c r="F1864" s="24">
        <f>D1864*E1864</f>
        <v/>
      </c>
      <c r="G1864" s="22" t="n"/>
    </row>
    <row r="1865">
      <c r="A1865" s="22" t="inlineStr">
        <is>
          <t>0052</t>
        </is>
      </c>
      <c r="B1865" s="11" t="inlineStr">
        <is>
          <t>Front end loader 1 cum bucket capacity (incl POL)</t>
        </is>
      </c>
      <c r="C1865" s="22" t="inlineStr">
        <is>
          <t>hour</t>
        </is>
      </c>
      <c r="D1865" s="23" t="n">
        <v>1.6</v>
      </c>
      <c r="E1865" s="24" t="n">
        <v>900</v>
      </c>
      <c r="F1865" s="24">
        <f>D1865*E1865</f>
        <v/>
      </c>
      <c r="G1865" s="22" t="n"/>
    </row>
    <row r="1866">
      <c r="A1866" s="22" t="inlineStr">
        <is>
          <t>0029</t>
        </is>
      </c>
      <c r="B1866" s="11" t="inlineStr">
        <is>
          <t>Carriage of concrete by transit mixer</t>
        </is>
      </c>
      <c r="C1866" s="22" t="inlineStr">
        <is>
          <t>km/cum</t>
        </is>
      </c>
      <c r="D1866" s="23" t="n">
        <v>1200</v>
      </c>
      <c r="E1866" s="24" t="n">
        <v>30</v>
      </c>
      <c r="F1866" s="24">
        <f>D1866*E1866</f>
        <v/>
      </c>
      <c r="G1866" s="22" t="n"/>
    </row>
    <row r="1867">
      <c r="A1867" s="22" t="inlineStr">
        <is>
          <t>0009</t>
        </is>
      </c>
      <c r="B1867" s="11" t="inlineStr">
        <is>
          <t>Pumping charges of concrete including Hire charges of pump, piping work &amp; accessories etc.</t>
        </is>
      </c>
      <c r="C1867" s="22" t="inlineStr">
        <is>
          <t>cum</t>
        </is>
      </c>
      <c r="D1867" s="23" t="n">
        <v>120</v>
      </c>
      <c r="E1867" s="24" t="n">
        <v>210</v>
      </c>
      <c r="F1867" s="24">
        <f>D1867*E1867</f>
        <v/>
      </c>
      <c r="G1867" s="22" t="n"/>
    </row>
    <row r="1868">
      <c r="A1868" s="8" t="inlineStr">
        <is>
          <t>Calculated W - SUM of the Amount column above</t>
        </is>
      </c>
      <c r="B1868" s="9" t="n"/>
      <c r="C1868" s="9" t="n"/>
      <c r="D1868" s="9" t="n"/>
      <c r="E1868" s="9" t="n"/>
      <c r="F1868" s="25">
        <f>SUM(F1854:F1867)</f>
        <v/>
      </c>
      <c r="G1868" s="9" t="n"/>
    </row>
    <row r="1869">
      <c r="A1869" s="26" t="inlineStr">
        <is>
          <t>W as printed in the DAR</t>
        </is>
      </c>
      <c r="B1869" s="22" t="n"/>
      <c r="C1869" s="22" t="n"/>
      <c r="D1869" s="22" t="n"/>
      <c r="E1869" s="22" t="n"/>
      <c r="F1869" s="27" t="inlineStr">
        <is>
          <t>not printed</t>
        </is>
      </c>
      <c r="G1869" s="28" t="inlineStr">
        <is>
          <t>This item prints no W (rate table or sub-analysis).</t>
        </is>
      </c>
    </row>
    <row r="1870">
      <c r="A1870" s="29" t="inlineStr">
        <is>
          <t>SAY (Rs.) - final DAR rate as printed (fixed value, not computed)</t>
        </is>
      </c>
      <c r="B1870" s="30" t="n"/>
      <c r="C1870" s="30" t="n"/>
      <c r="D1870" s="30" t="n"/>
      <c r="E1870" s="30" t="n"/>
      <c r="F1870" s="31" t="n">
        <v>692740.4</v>
      </c>
      <c r="G1870" s="30" t="n"/>
    </row>
    <row r="1872" ht="33" customHeight="1">
      <c r="A1872" s="18" t="inlineStr">
        <is>
          <t>5.48Z</t>
        </is>
      </c>
      <c r="B1872" s="19" t="inlineStr">
        <is>
          <t>Annexure for items 5.48.3. Extra for using M 60 grade Self Compacting Reinforced cement concrete data for 120.00 cum Sub Analysis for use in Item no 5.48.3X</t>
        </is>
      </c>
      <c r="C1872" s="20" t="n"/>
      <c r="D1872" s="20" t="n"/>
      <c r="E1872" s="20" t="n"/>
      <c r="F1872" s="20" t="n"/>
      <c r="G1872" s="20" t="n"/>
    </row>
    <row r="1873">
      <c r="A1873" s="21" t="inlineStr">
        <is>
          <t>Details of cost for 1 cum   |   Source: CivilDAR_2019_Vol_1.pdf, page 275</t>
        </is>
      </c>
    </row>
    <row r="1874">
      <c r="A1874" s="5" t="inlineStr">
        <is>
          <t>Code</t>
        </is>
      </c>
      <c r="B1874" s="5" t="inlineStr">
        <is>
          <t>Description</t>
        </is>
      </c>
      <c r="C1874" s="5" t="inlineStr">
        <is>
          <t>Unit</t>
        </is>
      </c>
      <c r="D1874" s="5" t="inlineStr">
        <is>
          <t>Quantity</t>
        </is>
      </c>
      <c r="E1874" s="5" t="inlineStr">
        <is>
          <t>Rate (Rs.)</t>
        </is>
      </c>
      <c r="F1874" s="5" t="inlineStr">
        <is>
          <t>Amount (Rs.)</t>
        </is>
      </c>
      <c r="G1874" s="5" t="inlineStr">
        <is>
          <t>Note</t>
        </is>
      </c>
    </row>
    <row r="1875">
      <c r="A1875" s="22" t="inlineStr">
        <is>
          <t>0367</t>
        </is>
      </c>
      <c r="B1875" s="11" t="inlineStr">
        <is>
          <t>Portland Cement</t>
        </is>
      </c>
      <c r="C1875" s="22" t="inlineStr">
        <is>
          <t>tonne</t>
        </is>
      </c>
      <c r="D1875" s="23" t="n">
        <v>57.6</v>
      </c>
      <c r="E1875" s="24" t="n">
        <v>4940</v>
      </c>
      <c r="F1875" s="24">
        <f>D1875*E1875</f>
        <v/>
      </c>
      <c r="G1875" s="22" t="n"/>
    </row>
    <row r="1876">
      <c r="A1876" s="22" t="inlineStr">
        <is>
          <t>0982</t>
        </is>
      </c>
      <c r="B1876" s="11" t="inlineStr">
        <is>
          <t>Coarse sand (zone III)</t>
        </is>
      </c>
      <c r="C1876" s="22" t="inlineStr">
        <is>
          <t>cum</t>
        </is>
      </c>
      <c r="D1876" s="23" t="n">
        <v>54</v>
      </c>
      <c r="E1876" s="24" t="n">
        <v>1350</v>
      </c>
      <c r="F1876" s="24">
        <f>D1876*E1876</f>
        <v/>
      </c>
      <c r="G1876" s="22" t="n"/>
    </row>
    <row r="1877">
      <c r="A1877" s="22" t="inlineStr">
        <is>
          <t>0295</t>
        </is>
      </c>
      <c r="B1877" s="11" t="inlineStr">
        <is>
          <t>Stone Aggregate (Single size) : 20 mm nominal size</t>
        </is>
      </c>
      <c r="C1877" s="22" t="inlineStr">
        <is>
          <t>cum</t>
        </is>
      </c>
      <c r="D1877" s="23" t="n">
        <v>64.8</v>
      </c>
      <c r="E1877" s="24" t="n">
        <v>1350</v>
      </c>
      <c r="F1877" s="24">
        <f>D1877*E1877</f>
        <v/>
      </c>
      <c r="G1877" s="22" t="n"/>
    </row>
    <row r="1878">
      <c r="A1878" s="22" t="inlineStr">
        <is>
          <t>0297</t>
        </is>
      </c>
      <c r="B1878" s="11" t="inlineStr">
        <is>
          <t>Stone Aggregate (Single size) : 10 mm nominal size</t>
        </is>
      </c>
      <c r="C1878" s="22" t="inlineStr">
        <is>
          <t>cum</t>
        </is>
      </c>
      <c r="D1878" s="23" t="n">
        <v>43.2</v>
      </c>
      <c r="E1878" s="24" t="n">
        <v>1350</v>
      </c>
      <c r="F1878" s="24">
        <f>D1878*E1878</f>
        <v/>
      </c>
      <c r="G1878" s="22" t="n"/>
    </row>
    <row r="1879">
      <c r="A1879" s="22" t="inlineStr">
        <is>
          <t>7318</t>
        </is>
      </c>
      <c r="B1879" s="11" t="inlineStr">
        <is>
          <t>Plasticizer / super plasticizer</t>
        </is>
      </c>
      <c r="C1879" s="22" t="inlineStr">
        <is>
          <t>kilogram</t>
        </is>
      </c>
      <c r="D1879" s="23" t="n">
        <v>230.4</v>
      </c>
      <c r="E1879" s="24" t="n">
        <v>36</v>
      </c>
      <c r="F1879" s="24">
        <f>D1879*E1879</f>
        <v/>
      </c>
      <c r="G1879" s="22" t="n"/>
    </row>
    <row r="1880">
      <c r="A1880" s="22" t="inlineStr">
        <is>
          <t>8953</t>
        </is>
      </c>
      <c r="B1880" s="11" t="inlineStr">
        <is>
          <t>Micro Silica</t>
        </is>
      </c>
      <c r="C1880" s="22" t="inlineStr">
        <is>
          <t>kg</t>
        </is>
      </c>
      <c r="D1880" s="23" t="n">
        <v>5040</v>
      </c>
      <c r="E1880" s="24" t="n">
        <v>32</v>
      </c>
      <c r="F1880" s="24">
        <f>D1880*E1880</f>
        <v/>
      </c>
      <c r="G1880" s="22" t="n"/>
    </row>
    <row r="1881">
      <c r="A1881" s="22" t="inlineStr">
        <is>
          <t>0128</t>
        </is>
      </c>
      <c r="B1881" s="11" t="inlineStr">
        <is>
          <t>Mate</t>
        </is>
      </c>
      <c r="C1881" s="22" t="inlineStr">
        <is>
          <t>day</t>
        </is>
      </c>
      <c r="D1881" s="23" t="n">
        <v>0.84</v>
      </c>
      <c r="E1881" s="24" t="n">
        <v>617</v>
      </c>
      <c r="F1881" s="24">
        <f>D1881*E1881</f>
        <v/>
      </c>
      <c r="G1881" s="22" t="n"/>
    </row>
    <row r="1882">
      <c r="A1882" s="22" t="inlineStr">
        <is>
          <t>0123</t>
        </is>
      </c>
      <c r="B1882" s="11" t="inlineStr">
        <is>
          <t>Mason (brick layer) 1 st class</t>
        </is>
      </c>
      <c r="C1882" s="22" t="inlineStr">
        <is>
          <t>day</t>
        </is>
      </c>
      <c r="D1882" s="23" t="n">
        <v>3</v>
      </c>
      <c r="E1882" s="24" t="n">
        <v>738</v>
      </c>
      <c r="F1882" s="24">
        <f>D1882*E1882</f>
        <v/>
      </c>
      <c r="G1882" s="22" t="n"/>
    </row>
    <row r="1883">
      <c r="A1883" s="22" t="inlineStr">
        <is>
          <t>0114</t>
        </is>
      </c>
      <c r="B1883" s="11" t="inlineStr">
        <is>
          <t>Beldar</t>
        </is>
      </c>
      <c r="C1883" s="22" t="inlineStr">
        <is>
          <t>day</t>
        </is>
      </c>
      <c r="D1883" s="23" t="n">
        <v>18</v>
      </c>
      <c r="E1883" s="24" t="n">
        <v>558</v>
      </c>
      <c r="F1883" s="24">
        <f>D1883*E1883</f>
        <v/>
      </c>
      <c r="G1883" s="22" t="n"/>
    </row>
    <row r="1884">
      <c r="A1884" s="22" t="inlineStr">
        <is>
          <t>0066</t>
        </is>
      </c>
      <c r="B1884" s="11" t="inlineStr">
        <is>
          <t>Batching and Mixing Plant @ 75 cum per hour</t>
        </is>
      </c>
      <c r="C1884" s="22" t="inlineStr">
        <is>
          <t>hour</t>
        </is>
      </c>
      <c r="D1884" s="23" t="n">
        <v>1.6</v>
      </c>
      <c r="E1884" s="24" t="n">
        <v>2400</v>
      </c>
      <c r="F1884" s="24">
        <f>D1884*E1884</f>
        <v/>
      </c>
      <c r="G1884" s="22" t="n"/>
    </row>
    <row r="1885">
      <c r="A1885" s="22" t="inlineStr">
        <is>
          <t>0070</t>
        </is>
      </c>
      <c r="B1885" s="11" t="inlineStr">
        <is>
          <t>Generator 100 KVA/125 KVA</t>
        </is>
      </c>
      <c r="C1885" s="22" t="inlineStr">
        <is>
          <t>hour</t>
        </is>
      </c>
      <c r="D1885" s="23" t="n">
        <v>1.6</v>
      </c>
      <c r="E1885" s="24" t="n">
        <v>250</v>
      </c>
      <c r="F1885" s="24">
        <f>D1885*E1885</f>
        <v/>
      </c>
      <c r="G1885" s="22" t="n"/>
    </row>
    <row r="1886">
      <c r="A1886" s="22" t="inlineStr">
        <is>
          <t>0052</t>
        </is>
      </c>
      <c r="B1886" s="11" t="inlineStr">
        <is>
          <t>Front end loader 1 cum bucket capacity (incl POL)</t>
        </is>
      </c>
      <c r="C1886" s="22" t="inlineStr">
        <is>
          <t>hour</t>
        </is>
      </c>
      <c r="D1886" s="23" t="n">
        <v>1.6</v>
      </c>
      <c r="E1886" s="24" t="n">
        <v>900</v>
      </c>
      <c r="F1886" s="24">
        <f>D1886*E1886</f>
        <v/>
      </c>
      <c r="G1886" s="22" t="n"/>
    </row>
    <row r="1887">
      <c r="A1887" s="22" t="inlineStr">
        <is>
          <t>0029</t>
        </is>
      </c>
      <c r="B1887" s="11" t="inlineStr">
        <is>
          <t>Carriage of concrete by transit mixer</t>
        </is>
      </c>
      <c r="C1887" s="22" t="inlineStr">
        <is>
          <t>km/cum</t>
        </is>
      </c>
      <c r="D1887" s="23" t="n">
        <v>1200</v>
      </c>
      <c r="E1887" s="24" t="n">
        <v>30</v>
      </c>
      <c r="F1887" s="24">
        <f>D1887*E1887</f>
        <v/>
      </c>
      <c r="G1887" s="22" t="n"/>
    </row>
    <row r="1888">
      <c r="A1888" s="22" t="inlineStr">
        <is>
          <t>0009</t>
        </is>
      </c>
      <c r="B1888" s="11" t="inlineStr">
        <is>
          <t>Pumping charges of concrete including Hire charges of pump, piping work &amp; accessories etc.</t>
        </is>
      </c>
      <c r="C1888" s="22" t="inlineStr">
        <is>
          <t>cum</t>
        </is>
      </c>
      <c r="D1888" s="23" t="n">
        <v>120</v>
      </c>
      <c r="E1888" s="24" t="n">
        <v>210</v>
      </c>
      <c r="F1888" s="24">
        <f>D1888*E1888</f>
        <v/>
      </c>
      <c r="G1888" s="22" t="n"/>
    </row>
    <row r="1889">
      <c r="A1889" s="8" t="inlineStr">
        <is>
          <t>Calculated W - SUM of the Amount column above</t>
        </is>
      </c>
      <c r="B1889" s="9" t="n"/>
      <c r="C1889" s="9" t="n"/>
      <c r="D1889" s="9" t="n"/>
      <c r="E1889" s="9" t="n"/>
      <c r="F1889" s="25">
        <f>SUM(F1875:F1888)</f>
        <v/>
      </c>
      <c r="G1889" s="9" t="n"/>
    </row>
    <row r="1890">
      <c r="A1890" s="26" t="inlineStr">
        <is>
          <t>W as printed in the DAR</t>
        </is>
      </c>
      <c r="B1890" s="22" t="n"/>
      <c r="C1890" s="22" t="n"/>
      <c r="D1890" s="22" t="n"/>
      <c r="E1890" s="22" t="n"/>
      <c r="F1890" s="27" t="inlineStr">
        <is>
          <t>not printed</t>
        </is>
      </c>
      <c r="G1890" s="28" t="inlineStr">
        <is>
          <t>This item prints no W (rate table or sub-analysis).</t>
        </is>
      </c>
    </row>
    <row r="1891">
      <c r="A1891" s="29" t="inlineStr">
        <is>
          <t>SAY (Rs.) - final DAR rate as printed (fixed value, not computed)</t>
        </is>
      </c>
      <c r="B1891" s="30" t="n"/>
      <c r="C1891" s="30" t="n"/>
      <c r="D1891" s="30" t="n"/>
      <c r="E1891" s="30" t="n"/>
      <c r="F1891" s="31" t="n">
        <v>752474.7</v>
      </c>
      <c r="G1891" s="30" t="n"/>
    </row>
    <row r="1893" ht="120" customHeight="1">
      <c r="A1893" s="18" t="inlineStr">
        <is>
          <t>5.49</t>
        </is>
      </c>
      <c r="B1893" s="19" t="inlineStr">
        <is>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t>
        </is>
      </c>
      <c r="C1893" s="20" t="n"/>
      <c r="D1893" s="20" t="n"/>
      <c r="E1893" s="20" t="n"/>
      <c r="F1893" s="20" t="n"/>
      <c r="G1893" s="20" t="n"/>
    </row>
    <row r="1894" ht="18.5" customHeight="1">
      <c r="A1894" s="20" t="n"/>
      <c r="B1894" s="19" t="inlineStr">
        <is>
          <t>including preparing, providing and re-circulating bentonite slurry in the trench as and when</t>
        </is>
      </c>
      <c r="C1894" s="20" t="n"/>
      <c r="D1894" s="20" t="n"/>
      <c r="E1894" s="20" t="n"/>
      <c r="F1894" s="20" t="n"/>
      <c r="G1894" s="20" t="n"/>
    </row>
    <row r="1895">
      <c r="A1895" s="21" t="inlineStr">
        <is>
          <t>Details of cost for 144 cum   |   Source: CivilDAR_2019_Vol_1.pdf, page 276</t>
        </is>
      </c>
    </row>
    <row r="1896">
      <c r="A1896" s="5" t="inlineStr">
        <is>
          <t>Code</t>
        </is>
      </c>
      <c r="B1896" s="5" t="inlineStr">
        <is>
          <t>Description</t>
        </is>
      </c>
      <c r="C1896" s="5" t="inlineStr">
        <is>
          <t>Unit</t>
        </is>
      </c>
      <c r="D1896" s="5" t="inlineStr">
        <is>
          <t>Quantity</t>
        </is>
      </c>
      <c r="E1896" s="5" t="inlineStr">
        <is>
          <t>Rate (Rs.)</t>
        </is>
      </c>
      <c r="F1896" s="5" t="inlineStr">
        <is>
          <t>Amount (Rs.)</t>
        </is>
      </c>
      <c r="G1896" s="5" t="inlineStr">
        <is>
          <t>Note</t>
        </is>
      </c>
    </row>
    <row r="1897">
      <c r="A1897" s="22" t="inlineStr">
        <is>
          <t>0082</t>
        </is>
      </c>
      <c r="B1897" s="11" t="inlineStr">
        <is>
          <t>Excavation of Diaphragm wall by Mechanical Grab</t>
        </is>
      </c>
      <c r="C1897" s="22" t="inlineStr">
        <is>
          <t>sqm</t>
        </is>
      </c>
      <c r="D1897" s="23" t="n">
        <v>240</v>
      </c>
      <c r="E1897" s="24" t="n">
        <v>1300</v>
      </c>
      <c r="F1897" s="24">
        <f>D1897*E1897</f>
        <v/>
      </c>
      <c r="G1897" s="22" t="n"/>
    </row>
    <row r="1898">
      <c r="A1898" s="7" t="inlineStr">
        <is>
          <t>5.1.3</t>
        </is>
      </c>
      <c r="B1898" s="11" t="inlineStr">
        <is>
          <t>Rate as per item 5.1.3 - Providing and laying in position specified grade of reinforced cement concrete, excluding the cost of cente...</t>
        </is>
      </c>
      <c r="C1898" s="22" t="inlineStr">
        <is>
          <t>cum</t>
        </is>
      </c>
      <c r="D1898" s="23" t="n">
        <v>11.7</v>
      </c>
      <c r="E1898" s="24" t="n">
        <v>7296.35</v>
      </c>
      <c r="F1898" s="24">
        <f>D1898*E1898</f>
        <v/>
      </c>
      <c r="G1898" s="22" t="n"/>
    </row>
    <row r="1899">
      <c r="A1899" s="7" t="inlineStr">
        <is>
          <t>5.22.6</t>
        </is>
      </c>
      <c r="B1899" s="11" t="inlineStr">
        <is>
          <t>Rate as per item 5.22.6 - Steel reinforcement for R.C.C. work including straightening, cutting, bending, placing in position and bind...</t>
        </is>
      </c>
      <c r="C1899" s="22" t="inlineStr">
        <is>
          <t>kilogram</t>
        </is>
      </c>
      <c r="D1899" s="23" t="n">
        <v>819</v>
      </c>
      <c r="E1899" s="24" t="n">
        <v>83.5</v>
      </c>
      <c r="F1899" s="24">
        <f>D1899*E1899</f>
        <v/>
      </c>
      <c r="G1899" s="22" t="n"/>
    </row>
    <row r="1900">
      <c r="A1900" s="7" t="inlineStr">
        <is>
          <t>5.33.1</t>
        </is>
      </c>
      <c r="B1900" s="11" t="inlineStr">
        <is>
          <t>Rate as per item 5.33.1 - Providing and laying in position machine batched and machine mixed design mix M-25 grade cement concrete fo...</t>
        </is>
      </c>
      <c r="C1900" s="22" t="inlineStr">
        <is>
          <t>cum</t>
        </is>
      </c>
      <c r="D1900" s="23" t="n">
        <v>164.4</v>
      </c>
      <c r="E1900" s="24" t="n">
        <v>7997.3</v>
      </c>
      <c r="F1900" s="24">
        <f>D1900*E1900</f>
        <v/>
      </c>
      <c r="G1900" s="22" t="n"/>
    </row>
    <row r="1901">
      <c r="A1901" s="7" t="inlineStr">
        <is>
          <t>5.34.1</t>
        </is>
      </c>
      <c r="B1901" s="11" t="inlineStr">
        <is>
          <t>Rate as per item 5.34.1 - Extra for providing richer mixes at all floor levels. Note:- Excess/less cement over the specified cement c...</t>
        </is>
      </c>
      <c r="C1901" s="22" t="inlineStr">
        <is>
          <t>cum</t>
        </is>
      </c>
      <c r="D1901" s="23" t="n">
        <v>164.4</v>
      </c>
      <c r="E1901" s="24" t="n">
        <v>69.75</v>
      </c>
      <c r="F1901" s="24">
        <f>D1901*E1901</f>
        <v/>
      </c>
      <c r="G1901" s="22" t="n"/>
    </row>
    <row r="1902">
      <c r="A1902" s="22" t="inlineStr">
        <is>
          <t>7183</t>
        </is>
      </c>
      <c r="B1902" s="11" t="inlineStr">
        <is>
          <t>Bentonite</t>
        </is>
      </c>
      <c r="C1902" s="22" t="inlineStr">
        <is>
          <t>tonne</t>
        </is>
      </c>
      <c r="D1902" s="23" t="n">
        <v>13.81</v>
      </c>
      <c r="E1902" s="24" t="n">
        <v>2960</v>
      </c>
      <c r="F1902" s="24">
        <f>D1902*E1902</f>
        <v/>
      </c>
      <c r="G1902" s="22" t="n"/>
    </row>
    <row r="1903">
      <c r="A1903" s="22" t="inlineStr">
        <is>
          <t>0367</t>
        </is>
      </c>
      <c r="B1903" s="11" t="inlineStr">
        <is>
          <t>Portland Cement</t>
        </is>
      </c>
      <c r="C1903" s="22" t="inlineStr">
        <is>
          <t>tonne</t>
        </is>
      </c>
      <c r="D1903" s="23" t="n">
        <v>6.9</v>
      </c>
      <c r="E1903" s="24" t="n">
        <v>4940</v>
      </c>
      <c r="F1903" s="24">
        <f>D1903*E1903</f>
        <v/>
      </c>
      <c r="G1903" s="22" t="n"/>
    </row>
    <row r="1904">
      <c r="A1904" s="22" t="inlineStr">
        <is>
          <t>0367</t>
        </is>
      </c>
      <c r="B1904" s="11" t="inlineStr">
        <is>
          <t>Portland Cement</t>
        </is>
      </c>
      <c r="C1904" s="22" t="inlineStr">
        <is>
          <t>tonne</t>
        </is>
      </c>
      <c r="D1904" s="23" t="n">
        <v>2.4</v>
      </c>
      <c r="E1904" s="24" t="n">
        <v>4940</v>
      </c>
      <c r="F1904" s="24">
        <f>D1904*E1904</f>
        <v/>
      </c>
      <c r="G1904" s="22" t="n"/>
    </row>
    <row r="1905">
      <c r="A1905" s="22" t="inlineStr">
        <is>
          <t>2209</t>
        </is>
      </c>
      <c r="B1905" s="11" t="inlineStr">
        <is>
          <t>Carriage of Cement</t>
        </is>
      </c>
      <c r="C1905" s="22" t="inlineStr">
        <is>
          <t>tonne</t>
        </is>
      </c>
      <c r="D1905" s="23" t="n">
        <v>2.4</v>
      </c>
      <c r="E1905" s="24" t="n">
        <v>92.23999999999999</v>
      </c>
      <c r="F1905" s="24">
        <f>D1905*E1905</f>
        <v/>
      </c>
      <c r="G1905" s="22" t="n"/>
    </row>
    <row r="1906">
      <c r="A1906" s="22" t="inlineStr">
        <is>
          <t>0025</t>
        </is>
      </c>
      <c r="B1906" s="11" t="inlineStr">
        <is>
          <t>Hire and running charges of light crane</t>
        </is>
      </c>
      <c r="C1906" s="22" t="inlineStr">
        <is>
          <t>day</t>
        </is>
      </c>
      <c r="D1906" s="23" t="n">
        <v>1</v>
      </c>
      <c r="E1906" s="24" t="n">
        <v>3000</v>
      </c>
      <c r="F1906" s="24">
        <f>D1906*E1906</f>
        <v/>
      </c>
      <c r="G1906" s="22" t="n"/>
    </row>
    <row r="1907">
      <c r="A1907" s="22" t="inlineStr">
        <is>
          <t>1005</t>
        </is>
      </c>
      <c r="B1907" s="11" t="inlineStr">
        <is>
          <t>Twisted steel/ deformed bars</t>
        </is>
      </c>
      <c r="C1907" s="22" t="inlineStr">
        <is>
          <t>quintal</t>
        </is>
      </c>
      <c r="D1907" s="23" t="n">
        <v>18.084</v>
      </c>
      <c r="E1907" s="24" t="n">
        <v>4600</v>
      </c>
      <c r="F1907" s="24">
        <f>D1907*E1907</f>
        <v/>
      </c>
      <c r="G1907" s="22" t="n"/>
    </row>
    <row r="1908">
      <c r="A1908" s="7" t="inlineStr">
        <is>
          <t>10.22</t>
        </is>
      </c>
      <c r="B1908" s="11" t="inlineStr">
        <is>
          <t>Rate as per item 10.22 - Welding by gas or electric plant including transportation of plant at site etc. complete</t>
        </is>
      </c>
      <c r="C1908" s="22" t="inlineStr">
        <is>
          <t>cm</t>
        </is>
      </c>
      <c r="D1908" s="23" t="n">
        <v>6161</v>
      </c>
      <c r="E1908" s="24" t="n">
        <v>3.35</v>
      </c>
      <c r="F1908" s="24">
        <f>D1908*E1908</f>
        <v/>
      </c>
      <c r="G1908" s="22" t="n"/>
    </row>
    <row r="1909">
      <c r="A1909" s="22" t="inlineStr">
        <is>
          <t>9999</t>
        </is>
      </c>
      <c r="B1909" s="11" t="inlineStr">
        <is>
          <t>Labour for grouting diaphragm wall under pressure i/c fixing nozzle etc</t>
        </is>
      </c>
      <c r="C1909" s="22" t="inlineStr">
        <is>
          <t>L.S.</t>
        </is>
      </c>
      <c r="D1909" s="23" t="n">
        <v>23530</v>
      </c>
      <c r="E1909" s="24" t="n">
        <v>2</v>
      </c>
      <c r="F1909" s="24">
        <f>D1909*E1909</f>
        <v/>
      </c>
      <c r="G1909" s="22" t="n"/>
    </row>
    <row r="1910">
      <c r="A1910" s="22" t="inlineStr">
        <is>
          <t>7318</t>
        </is>
      </c>
      <c r="B1910" s="11" t="inlineStr">
        <is>
          <t>Plasticizer / super plasticizer</t>
        </is>
      </c>
      <c r="C1910" s="22" t="inlineStr">
        <is>
          <t>kilogram</t>
        </is>
      </c>
      <c r="D1910" s="23" t="n">
        <v>276.19</v>
      </c>
      <c r="E1910" s="24" t="n">
        <v>36</v>
      </c>
      <c r="F1910" s="24">
        <f>D1910*E1910</f>
        <v/>
      </c>
      <c r="G1910" s="22" t="n"/>
    </row>
    <row r="1911">
      <c r="A1911" s="22" t="inlineStr">
        <is>
          <t>8954</t>
        </is>
      </c>
      <c r="B1911" s="11" t="inlineStr">
        <is>
          <t>Stop end tubes for diaphragmwall 600 mm dia.</t>
        </is>
      </c>
      <c r="C1911" s="22" t="inlineStr">
        <is>
          <t>sqm</t>
        </is>
      </c>
      <c r="D1911" s="23" t="n">
        <v>240</v>
      </c>
      <c r="E1911" s="24" t="n">
        <v>4.5</v>
      </c>
      <c r="F1911" s="24">
        <f>D1911*E1911</f>
        <v/>
      </c>
      <c r="G1911" s="22" t="n"/>
    </row>
    <row r="1912">
      <c r="A1912" s="22" t="inlineStr">
        <is>
          <t>8955</t>
        </is>
      </c>
      <c r="B1912" s="11" t="inlineStr">
        <is>
          <t>Driving end tubes for diaphragm wall 600 mm dia.</t>
        </is>
      </c>
      <c r="C1912" s="22" t="inlineStr">
        <is>
          <t>sqm</t>
        </is>
      </c>
      <c r="D1912" s="23" t="n">
        <v>240</v>
      </c>
      <c r="E1912" s="24" t="n">
        <v>72</v>
      </c>
      <c r="F1912" s="24">
        <f>D1912*E1912</f>
        <v/>
      </c>
      <c r="G1912" s="22" t="n"/>
    </row>
    <row r="1913">
      <c r="A1913" s="22" t="inlineStr">
        <is>
          <t>0026</t>
        </is>
      </c>
      <c r="B1913" s="11" t="inlineStr">
        <is>
          <t>Hire and running charges of bentonite pump</t>
        </is>
      </c>
      <c r="C1913" s="22" t="inlineStr">
        <is>
          <t>day</t>
        </is>
      </c>
      <c r="D1913" s="23" t="n">
        <v>2</v>
      </c>
      <c r="E1913" s="24" t="n">
        <v>3500</v>
      </c>
      <c r="F1913" s="24">
        <f>D1913*E1913</f>
        <v/>
      </c>
      <c r="G1913" s="22" t="n"/>
    </row>
    <row r="1914">
      <c r="A1914" s="22" t="inlineStr">
        <is>
          <t>15.60</t>
        </is>
      </c>
      <c r="B1914" s="11" t="inlineStr">
        <is>
          <t>Rate as per item 15.60 - Disposal of building rubbish / malba / similar unserviceable, dismantled or waste materials by mechanical m...</t>
        </is>
      </c>
      <c r="C1914" s="22" t="inlineStr">
        <is>
          <t>cum</t>
        </is>
      </c>
      <c r="D1914" s="23" t="n">
        <v>193.32</v>
      </c>
      <c r="E1914" s="24" t="n">
        <v>138.85</v>
      </c>
      <c r="F1914" s="24">
        <f>D1914*E1914</f>
        <v/>
      </c>
      <c r="G1914" s="22" t="n"/>
    </row>
    <row r="1915">
      <c r="A1915" s="22" t="inlineStr">
        <is>
          <t>15.3</t>
        </is>
      </c>
      <c r="B1915" s="11" t="inlineStr">
        <is>
          <t>Rate as per item 15.3 - Demolishing R.C.C. work manually/ by mechanical means including stacking of steel bars and disposal of unse...</t>
        </is>
      </c>
      <c r="C1915" s="22" t="inlineStr">
        <is>
          <t>cum</t>
        </is>
      </c>
      <c r="D1915" s="23" t="n">
        <v>20.4</v>
      </c>
      <c r="E1915" s="24" t="n">
        <v>2534.7</v>
      </c>
      <c r="F1915" s="24">
        <f>D1915*E1915</f>
        <v/>
      </c>
      <c r="G1915" s="22" t="n"/>
    </row>
    <row r="1916">
      <c r="A1916" s="22" t="inlineStr">
        <is>
          <t>9999</t>
        </is>
      </c>
      <c r="B1916" s="11" t="inlineStr">
        <is>
          <t>Sundries (Extra for concreting by Trimme)</t>
        </is>
      </c>
      <c r="C1916" s="22" t="inlineStr">
        <is>
          <t>L.S.</t>
        </is>
      </c>
      <c r="D1916" s="23" t="n">
        <v>1177</v>
      </c>
      <c r="E1916" s="24" t="n">
        <v>2</v>
      </c>
      <c r="F1916" s="24">
        <f>D1916*E1916</f>
        <v/>
      </c>
      <c r="G1916" s="22" t="n"/>
    </row>
    <row r="1917">
      <c r="A1917" s="22" t="inlineStr">
        <is>
          <t>9999</t>
        </is>
      </c>
      <c r="B1917" s="11" t="inlineStr">
        <is>
          <t>Sundries ( Design Charges)</t>
        </is>
      </c>
      <c r="C1917" s="22" t="inlineStr">
        <is>
          <t>L.S.</t>
        </is>
      </c>
      <c r="D1917" s="23" t="n">
        <v>19200</v>
      </c>
      <c r="E1917" s="24" t="n">
        <v>2</v>
      </c>
      <c r="F1917" s="24">
        <f>D1917*E1917</f>
        <v/>
      </c>
      <c r="G1917" s="22" t="n"/>
    </row>
    <row r="1918">
      <c r="A1918" s="8" t="inlineStr">
        <is>
          <t>Calculated W - SUM of the Amount column above</t>
        </is>
      </c>
      <c r="B1918" s="9" t="n"/>
      <c r="C1918" s="9" t="n"/>
      <c r="D1918" s="9" t="n"/>
      <c r="E1918" s="9" t="n"/>
      <c r="F1918" s="25">
        <f>SUM(F1897:F1917)</f>
        <v/>
      </c>
      <c r="G1918" s="9" t="n"/>
    </row>
    <row r="1919">
      <c r="A1919" s="26" t="inlineStr">
        <is>
          <t>W as printed in the DAR</t>
        </is>
      </c>
      <c r="B1919" s="22" t="n"/>
      <c r="C1919" s="22" t="n"/>
      <c r="D1919" s="22" t="n"/>
      <c r="E1919" s="22" t="n"/>
      <c r="F1919" s="27" t="n">
        <v>2187510.74</v>
      </c>
      <c r="G1919" s="22" t="n"/>
    </row>
    <row r="1920">
      <c r="A1920" s="26" t="inlineStr">
        <is>
          <t>Difference (calculated - printed)</t>
        </is>
      </c>
      <c r="B1920" s="22" t="n"/>
      <c r="C1920" s="22" t="n"/>
      <c r="D1920" s="22" t="n"/>
      <c r="E1920" s="22" t="n"/>
      <c r="F1920" s="27">
        <f>F1918-F1919</f>
        <v/>
      </c>
      <c r="G1920" s="22" t="n"/>
    </row>
    <row r="1921">
      <c r="A1921" s="29" t="inlineStr">
        <is>
          <t>SAY (Rs.) - final DAR rate as printed (fixed value, not computed)</t>
        </is>
      </c>
      <c r="B1921" s="30" t="n"/>
      <c r="C1921" s="30" t="n"/>
      <c r="D1921" s="30" t="n"/>
      <c r="E1921" s="30" t="n"/>
      <c r="F1921" s="31" t="n">
        <v>16618.7</v>
      </c>
      <c r="G1921" s="30" t="n"/>
    </row>
  </sheetData>
  <mergeCells count="792">
    <mergeCell ref="B1819:G1819"/>
    <mergeCell ref="A1023:G1023"/>
    <mergeCell ref="A142:E142"/>
    <mergeCell ref="B843:G843"/>
    <mergeCell ref="A869:E869"/>
    <mergeCell ref="A1576:E1576"/>
    <mergeCell ref="A28:G28"/>
    <mergeCell ref="B1247:G1247"/>
    <mergeCell ref="A1390:E1390"/>
    <mergeCell ref="A829:G829"/>
    <mergeCell ref="A429:E429"/>
    <mergeCell ref="B1610:G1610"/>
    <mergeCell ref="A379:E379"/>
    <mergeCell ref="A640:E640"/>
    <mergeCell ref="B1354:G1354"/>
    <mergeCell ref="A493:E493"/>
    <mergeCell ref="B344:G344"/>
    <mergeCell ref="A1131:E1131"/>
    <mergeCell ref="B586:G586"/>
    <mergeCell ref="A1367:E1367"/>
    <mergeCell ref="A443:E443"/>
    <mergeCell ref="A406:E406"/>
    <mergeCell ref="A679:E679"/>
    <mergeCell ref="A1652:E1652"/>
    <mergeCell ref="A1002:E1002"/>
    <mergeCell ref="B1611:G1611"/>
    <mergeCell ref="A1244:E1244"/>
    <mergeCell ref="A1828:E1828"/>
    <mergeCell ref="B886:G886"/>
    <mergeCell ref="A203:E203"/>
    <mergeCell ref="A1667:E1667"/>
    <mergeCell ref="A1523:E1523"/>
    <mergeCell ref="A1765:E1765"/>
    <mergeCell ref="A364:G364"/>
    <mergeCell ref="A1175:E1175"/>
    <mergeCell ref="A413:G413"/>
    <mergeCell ref="A1852:G1852"/>
    <mergeCell ref="A43:E43"/>
    <mergeCell ref="A720:G720"/>
    <mergeCell ref="A1525:E1525"/>
    <mergeCell ref="A941:E941"/>
    <mergeCell ref="A1889:E1889"/>
    <mergeCell ref="B1642:G1642"/>
    <mergeCell ref="A1304:E1304"/>
    <mergeCell ref="A784:G784"/>
    <mergeCell ref="A584:E584"/>
    <mergeCell ref="B739:G739"/>
    <mergeCell ref="A1082:G1082"/>
    <mergeCell ref="A261:E261"/>
    <mergeCell ref="B362:G362"/>
    <mergeCell ref="B975:G975"/>
    <mergeCell ref="B660:G660"/>
    <mergeCell ref="B902:G902"/>
    <mergeCell ref="B1133:G1133"/>
    <mergeCell ref="A795:E795"/>
    <mergeCell ref="A1683:E1683"/>
    <mergeCell ref="B1260:G1260"/>
    <mergeCell ref="B1431:G1431"/>
    <mergeCell ref="A132:E132"/>
    <mergeCell ref="A325:E325"/>
    <mergeCell ref="A430:E430"/>
    <mergeCell ref="A1207:E1207"/>
    <mergeCell ref="A1620:E1620"/>
    <mergeCell ref="B1197:G1197"/>
    <mergeCell ref="A1607:E1607"/>
    <mergeCell ref="A69:E69"/>
    <mergeCell ref="A1017:E1017"/>
    <mergeCell ref="B363:G363"/>
    <mergeCell ref="B1731:G1731"/>
    <mergeCell ref="A1144:E1144"/>
    <mergeCell ref="A1315:E1315"/>
    <mergeCell ref="A873:G873"/>
    <mergeCell ref="B1237:G1237"/>
    <mergeCell ref="A1751:G1751"/>
    <mergeCell ref="A183:E183"/>
    <mergeCell ref="A796:E796"/>
    <mergeCell ref="A1622:E1622"/>
    <mergeCell ref="A1793:E1793"/>
    <mergeCell ref="A1920:E1920"/>
    <mergeCell ref="A717:E717"/>
    <mergeCell ref="A133:E133"/>
    <mergeCell ref="A1565:G1565"/>
    <mergeCell ref="A1832:G1832"/>
    <mergeCell ref="B536:G536"/>
    <mergeCell ref="A1146:E1146"/>
    <mergeCell ref="A1317:E1317"/>
    <mergeCell ref="B1070:G1070"/>
    <mergeCell ref="A1:G1"/>
    <mergeCell ref="A748:E748"/>
    <mergeCell ref="B327:G327"/>
    <mergeCell ref="B1657:G1657"/>
    <mergeCell ref="A1035:E1035"/>
    <mergeCell ref="A1206:E1206"/>
    <mergeCell ref="A445:E445"/>
    <mergeCell ref="A1762:E1762"/>
    <mergeCell ref="A1372:G1372"/>
    <mergeCell ref="A972:E972"/>
    <mergeCell ref="A1166:G1166"/>
    <mergeCell ref="B1515:G1515"/>
    <mergeCell ref="A509:E509"/>
    <mergeCell ref="B1490:G1490"/>
    <mergeCell ref="A1829:E1829"/>
    <mergeCell ref="A1764:E1764"/>
    <mergeCell ref="A794:E794"/>
    <mergeCell ref="B887:G887"/>
    <mergeCell ref="A1546:E1546"/>
    <mergeCell ref="A340:E340"/>
    <mergeCell ref="A778:E778"/>
    <mergeCell ref="A809:E809"/>
    <mergeCell ref="A1076:E1076"/>
    <mergeCell ref="A1261:G1261"/>
    <mergeCell ref="A1553:G1553"/>
    <mergeCell ref="A567:E567"/>
    <mergeCell ref="A858:G858"/>
    <mergeCell ref="A800:G800"/>
    <mergeCell ref="A867:E867"/>
    <mergeCell ref="B1332:G1332"/>
    <mergeCell ref="A698:E698"/>
    <mergeCell ref="A204:E204"/>
    <mergeCell ref="A1257:E1257"/>
    <mergeCell ref="A1559:E1559"/>
    <mergeCell ref="A598:E598"/>
    <mergeCell ref="A896:E896"/>
    <mergeCell ref="A135:E135"/>
    <mergeCell ref="A377:E377"/>
    <mergeCell ref="B600:G600"/>
    <mergeCell ref="B842:G842"/>
    <mergeCell ref="B1797:G1797"/>
    <mergeCell ref="A1623:E1623"/>
    <mergeCell ref="A868:E868"/>
    <mergeCell ref="A1921:E1921"/>
    <mergeCell ref="A224:E224"/>
    <mergeCell ref="B208:G208"/>
    <mergeCell ref="A491:E491"/>
    <mergeCell ref="A72:E72"/>
    <mergeCell ref="B615:G615"/>
    <mergeCell ref="B1503:G1503"/>
    <mergeCell ref="B1563:G1563"/>
    <mergeCell ref="A50:G50"/>
    <mergeCell ref="B631:G631"/>
    <mergeCell ref="A1454:E1454"/>
    <mergeCell ref="A384:G384"/>
    <mergeCell ref="A1397:G1397"/>
    <mergeCell ref="B931:G931"/>
    <mergeCell ref="A1781:E1781"/>
    <mergeCell ref="A1703:G1703"/>
    <mergeCell ref="A751:E751"/>
    <mergeCell ref="A815:G815"/>
    <mergeCell ref="B157:G157"/>
    <mergeCell ref="A987:E987"/>
    <mergeCell ref="A359:E359"/>
    <mergeCell ref="B1579:G1579"/>
    <mergeCell ref="B1750:G1750"/>
    <mergeCell ref="A153:E153"/>
    <mergeCell ref="A582:E582"/>
    <mergeCell ref="B186:G186"/>
    <mergeCell ref="A1349:E1349"/>
    <mergeCell ref="B1283:G1283"/>
    <mergeCell ref="B1516:G1516"/>
    <mergeCell ref="B1022:G1022"/>
    <mergeCell ref="A277:E277"/>
    <mergeCell ref="A581:E581"/>
    <mergeCell ref="B1320:G1320"/>
    <mergeCell ref="A988:E988"/>
    <mergeCell ref="B1798:G1798"/>
    <mergeCell ref="A1115:E1115"/>
    <mergeCell ref="A611:E611"/>
    <mergeCell ref="A1547:E1547"/>
    <mergeCell ref="A154:E154"/>
    <mergeCell ref="B1195:G1195"/>
    <mergeCell ref="A341:E341"/>
    <mergeCell ref="A390:E390"/>
    <mergeCell ref="A583:E583"/>
    <mergeCell ref="A1636:E1636"/>
    <mergeCell ref="A973:E973"/>
    <mergeCell ref="A1638:E1638"/>
    <mergeCell ref="A397:G397"/>
    <mergeCell ref="B1165:G1165"/>
    <mergeCell ref="B1211:G1211"/>
    <mergeCell ref="A295:E295"/>
    <mergeCell ref="A764:E764"/>
    <mergeCell ref="A143:E143"/>
    <mergeCell ref="B412:G412"/>
    <mergeCell ref="A1193:E1193"/>
    <mergeCell ref="B1732:G1732"/>
    <mergeCell ref="A530:E530"/>
    <mergeCell ref="A797:E797"/>
    <mergeCell ref="A182:E182"/>
    <mergeCell ref="A740:G740"/>
    <mergeCell ref="A1182:G1182"/>
    <mergeCell ref="A296:E296"/>
    <mergeCell ref="B147:G147"/>
    <mergeCell ref="A661:G661"/>
    <mergeCell ref="A1591:E1591"/>
    <mergeCell ref="B245:G245"/>
    <mergeCell ref="A532:E532"/>
    <mergeCell ref="A755:G755"/>
    <mergeCell ref="B481:G481"/>
    <mergeCell ref="A507:E507"/>
    <mergeCell ref="A678:E678"/>
    <mergeCell ref="A1697:E1697"/>
    <mergeCell ref="A444:E444"/>
    <mergeCell ref="A977:G977"/>
    <mergeCell ref="A1213:G1213"/>
    <mergeCell ref="A1092:E1092"/>
    <mergeCell ref="A823:E823"/>
    <mergeCell ref="B207:G207"/>
    <mergeCell ref="A992:G992"/>
    <mergeCell ref="A1769:G1769"/>
    <mergeCell ref="A298:E298"/>
    <mergeCell ref="A1278:E1278"/>
    <mergeCell ref="A1811:G1811"/>
    <mergeCell ref="B1097:G1097"/>
    <mergeCell ref="A881:E881"/>
    <mergeCell ref="B1539:G1539"/>
    <mergeCell ref="B1395:G1395"/>
    <mergeCell ref="B1284:G1284"/>
    <mergeCell ref="A91:E91"/>
    <mergeCell ref="B700:G700"/>
    <mergeCell ref="A460:E460"/>
    <mergeCell ref="A696:E696"/>
    <mergeCell ref="A1815:E1815"/>
    <mergeCell ref="B857:G857"/>
    <mergeCell ref="A612:E612"/>
    <mergeCell ref="A883:E883"/>
    <mergeCell ref="A155:E155"/>
    <mergeCell ref="A1352:E1352"/>
    <mergeCell ref="A93:E93"/>
    <mergeCell ref="A391:E391"/>
    <mergeCell ref="A1339:E1339"/>
    <mergeCell ref="B856:G856"/>
    <mergeCell ref="B573:G573"/>
    <mergeCell ref="A912:E912"/>
    <mergeCell ref="B871:G871"/>
    <mergeCell ref="A1621:E1621"/>
    <mergeCell ref="B1893:G1893"/>
    <mergeCell ref="A1281:E1281"/>
    <mergeCell ref="A222:E222"/>
    <mergeCell ref="A1919:E1919"/>
    <mergeCell ref="A1639:E1639"/>
    <mergeCell ref="A884:E884"/>
    <mergeCell ref="A1355:G1355"/>
    <mergeCell ref="A628:E628"/>
    <mergeCell ref="A1628:G1628"/>
    <mergeCell ref="A229:G229"/>
    <mergeCell ref="A1226:G1226"/>
    <mergeCell ref="A1499:E1499"/>
    <mergeCell ref="B1150:G1150"/>
    <mergeCell ref="B1181:G1181"/>
    <mergeCell ref="A903:G903"/>
    <mergeCell ref="A148:G148"/>
    <mergeCell ref="B49:G49"/>
    <mergeCell ref="A1243:E1243"/>
    <mergeCell ref="A749:E749"/>
    <mergeCell ref="A409:E409"/>
    <mergeCell ref="A531:E531"/>
    <mergeCell ref="A596:E596"/>
    <mergeCell ref="A838:E838"/>
    <mergeCell ref="A1065:E1065"/>
    <mergeCell ref="A297:E297"/>
    <mergeCell ref="A533:E533"/>
    <mergeCell ref="A1049:E1049"/>
    <mergeCell ref="B753:G753"/>
    <mergeCell ref="B1872:G1872"/>
    <mergeCell ref="A508:E508"/>
    <mergeCell ref="A312:E312"/>
    <mergeCell ref="A106:E106"/>
    <mergeCell ref="B1149:G1149"/>
    <mergeCell ref="A1868:E1868"/>
    <mergeCell ref="A597:E597"/>
    <mergeCell ref="A1113:E1113"/>
    <mergeCell ref="B1578:G1578"/>
    <mergeCell ref="B1749:G1749"/>
    <mergeCell ref="A323:E323"/>
    <mergeCell ref="B27:G27"/>
    <mergeCell ref="A1805:E1805"/>
    <mergeCell ref="A1285:G1285"/>
    <mergeCell ref="A616:G616"/>
    <mergeCell ref="A1422:G1422"/>
    <mergeCell ref="A1698:E1698"/>
    <mergeCell ref="A97:G97"/>
    <mergeCell ref="A956:E956"/>
    <mergeCell ref="A588:G588"/>
    <mergeCell ref="A462:E462"/>
    <mergeCell ref="B1163:G1163"/>
    <mergeCell ref="B464:G464"/>
    <mergeCell ref="B1461:G1461"/>
    <mergeCell ref="A1487:E1487"/>
    <mergeCell ref="A1425:E1425"/>
    <mergeCell ref="A1729:E1729"/>
    <mergeCell ref="A697:E697"/>
    <mergeCell ref="A1643:G1643"/>
    <mergeCell ref="B1006:G1006"/>
    <mergeCell ref="A1580:G1580"/>
    <mergeCell ref="A899:E899"/>
    <mergeCell ref="B1308:G1308"/>
    <mergeCell ref="B1609:G1609"/>
    <mergeCell ref="B1164:G1164"/>
    <mergeCell ref="A626:E626"/>
    <mergeCell ref="B281:G281"/>
    <mergeCell ref="A1233:E1233"/>
    <mergeCell ref="A1426:E1426"/>
    <mergeCell ref="B1527:G1527"/>
    <mergeCell ref="A223:E223"/>
    <mergeCell ref="B497:G497"/>
    <mergeCell ref="A1071:G1071"/>
    <mergeCell ref="A763:E763"/>
    <mergeCell ref="A1198:G1198"/>
    <mergeCell ref="A1711:E1711"/>
    <mergeCell ref="A1048:E1048"/>
    <mergeCell ref="A1455:E1455"/>
    <mergeCell ref="A1726:E1726"/>
    <mergeCell ref="A1433:G1433"/>
    <mergeCell ref="A1713:E1713"/>
    <mergeCell ref="A537:G537"/>
    <mergeCell ref="B1489:G1489"/>
    <mergeCell ref="A683:G683"/>
    <mergeCell ref="A554:E554"/>
    <mergeCell ref="A475:E475"/>
    <mergeCell ref="A839:E839"/>
    <mergeCell ref="B1820:G1820"/>
    <mergeCell ref="B465:G465"/>
    <mergeCell ref="B932:G932"/>
    <mergeCell ref="B1540:G1540"/>
    <mergeCell ref="A314:E314"/>
    <mergeCell ref="B828:G828"/>
    <mergeCell ref="B1021:G1021"/>
    <mergeCell ref="A854:E854"/>
    <mergeCell ref="A555:E555"/>
    <mergeCell ref="B827:G827"/>
    <mergeCell ref="A107:E107"/>
    <mergeCell ref="A476:E476"/>
    <mergeCell ref="A1114:E1114"/>
    <mergeCell ref="A265:G265"/>
    <mergeCell ref="A1350:E1350"/>
    <mergeCell ref="A478:E478"/>
    <mergeCell ref="A329:G329"/>
    <mergeCell ref="A1208:E1208"/>
    <mergeCell ref="A888:G888"/>
    <mergeCell ref="B1767:G1767"/>
    <mergeCell ref="B434:G434"/>
    <mergeCell ref="A632:G632"/>
    <mergeCell ref="A1145:E1145"/>
    <mergeCell ref="A242:E242"/>
    <mergeCell ref="B645:G645"/>
    <mergeCell ref="B449:G449"/>
    <mergeCell ref="A1517:G1517"/>
    <mergeCell ref="A1668:E1668"/>
    <mergeCell ref="A1524:E1524"/>
    <mergeCell ref="A1328:E1328"/>
    <mergeCell ref="B1179:G1179"/>
    <mergeCell ref="A1589:E1589"/>
    <mergeCell ref="B411:G411"/>
    <mergeCell ref="A1303:E1303"/>
    <mergeCell ref="A342:E342"/>
    <mergeCell ref="A852:E852"/>
    <mergeCell ref="A1094:E1094"/>
    <mergeCell ref="B945:G945"/>
    <mergeCell ref="A1529:G1529"/>
    <mergeCell ref="A1849:E1849"/>
    <mergeCell ref="A1653:E1653"/>
    <mergeCell ref="A765:E765"/>
    <mergeCell ref="B282:G282"/>
    <mergeCell ref="A1234:E1234"/>
    <mergeCell ref="A1305:E1305"/>
    <mergeCell ref="A1427:E1427"/>
    <mergeCell ref="A1221:E1221"/>
    <mergeCell ref="B1180:G1180"/>
    <mergeCell ref="A642:E642"/>
    <mergeCell ref="A1248:G1248"/>
    <mergeCell ref="A1590:E1590"/>
    <mergeCell ref="B48:G48"/>
    <mergeCell ref="A1000:E1000"/>
    <mergeCell ref="A1826:E1826"/>
    <mergeCell ref="A927:E927"/>
    <mergeCell ref="B1701:G1701"/>
    <mergeCell ref="A188:G188"/>
    <mergeCell ref="A1605:E1605"/>
    <mergeCell ref="A1654:E1654"/>
    <mergeCell ref="A595:E595"/>
    <mergeCell ref="A766:E766"/>
    <mergeCell ref="A1763:E1763"/>
    <mergeCell ref="A1890:E1890"/>
    <mergeCell ref="A482:G482"/>
    <mergeCell ref="B961:G961"/>
    <mergeCell ref="A339:E339"/>
    <mergeCell ref="A1612:G1612"/>
    <mergeCell ref="B137:G137"/>
    <mergeCell ref="B1134:G1134"/>
    <mergeCell ref="B1432:G1432"/>
    <mergeCell ref="A1666:E1666"/>
    <mergeCell ref="B1321:G1321"/>
    <mergeCell ref="B1625:G1625"/>
    <mergeCell ref="A1718:G1718"/>
    <mergeCell ref="A1318:E1318"/>
    <mergeCell ref="B1717:G1717"/>
    <mergeCell ref="B74:G74"/>
    <mergeCell ref="A655:E655"/>
    <mergeCell ref="A1681:E1681"/>
    <mergeCell ref="A1537:E1537"/>
    <mergeCell ref="A21:E21"/>
    <mergeCell ref="A1018:E1018"/>
    <mergeCell ref="B1627:G1627"/>
    <mergeCell ref="A1316:E1316"/>
    <mergeCell ref="A428:E428"/>
    <mergeCell ref="B1037:G1037"/>
    <mergeCell ref="A1176:E1176"/>
    <mergeCell ref="B5:G5"/>
    <mergeCell ref="B1421:G1421"/>
    <mergeCell ref="A1745:E1745"/>
    <mergeCell ref="A657:E657"/>
    <mergeCell ref="B1396:G1396"/>
    <mergeCell ref="A955:E955"/>
    <mergeCell ref="A23:E23"/>
    <mergeCell ref="A1191:E1191"/>
    <mergeCell ref="B1656:G1656"/>
    <mergeCell ref="A181:E181"/>
    <mergeCell ref="A1682:E1682"/>
    <mergeCell ref="B1460:G1460"/>
    <mergeCell ref="A1747:E1747"/>
    <mergeCell ref="A1918:E1918"/>
    <mergeCell ref="A715:E715"/>
    <mergeCell ref="A494:E494"/>
    <mergeCell ref="B513:G513"/>
    <mergeCell ref="A510:E510"/>
    <mergeCell ref="B263:G263"/>
    <mergeCell ref="A1238:G1238"/>
    <mergeCell ref="B450:G450"/>
    <mergeCell ref="A276:E276"/>
    <mergeCell ref="B990:G990"/>
    <mergeCell ref="A568:E568"/>
    <mergeCell ref="A810:E810"/>
    <mergeCell ref="A1242:E1242"/>
    <mergeCell ref="A1046:E1046"/>
    <mergeCell ref="B1785:G1785"/>
    <mergeCell ref="B1851:G1851"/>
    <mergeCell ref="B946:G946"/>
    <mergeCell ref="A1160:E1160"/>
    <mergeCell ref="A770:G770"/>
    <mergeCell ref="A570:E570"/>
    <mergeCell ref="A837:E837"/>
    <mergeCell ref="A812:E812"/>
    <mergeCell ref="B1551:G1551"/>
    <mergeCell ref="A1306:E1306"/>
    <mergeCell ref="A205:E205"/>
    <mergeCell ref="A643:E643"/>
    <mergeCell ref="B814:G814"/>
    <mergeCell ref="A1669:E1669"/>
    <mergeCell ref="A1827:E1827"/>
    <mergeCell ref="B1344:G1344"/>
    <mergeCell ref="B1786:G1786"/>
    <mergeCell ref="A1606:E1606"/>
    <mergeCell ref="A844:G844"/>
    <mergeCell ref="A138:G138"/>
    <mergeCell ref="A1235:E1235"/>
    <mergeCell ref="A378:E378"/>
    <mergeCell ref="A943:E943"/>
    <mergeCell ref="A1151:G1151"/>
    <mergeCell ref="A1322:G1322"/>
    <mergeCell ref="A560:G560"/>
    <mergeCell ref="A498:G498"/>
    <mergeCell ref="A1558:E1558"/>
    <mergeCell ref="B1135:G1135"/>
    <mergeCell ref="B1371:G1371"/>
    <mergeCell ref="B1504:G1504"/>
    <mergeCell ref="B1564:G1564"/>
    <mergeCell ref="B301:G301"/>
    <mergeCell ref="B432:G432"/>
    <mergeCell ref="B901:G901"/>
    <mergeCell ref="A1560:E1560"/>
    <mergeCell ref="B1370:G1370"/>
    <mergeCell ref="B382:G382"/>
    <mergeCell ref="A1019:E1019"/>
    <mergeCell ref="A1190:E1190"/>
    <mergeCell ref="A957:E957"/>
    <mergeCell ref="A202:E202"/>
    <mergeCell ref="A258:E258"/>
    <mergeCell ref="B916:G916"/>
    <mergeCell ref="B601:G601"/>
    <mergeCell ref="A1255:E1255"/>
    <mergeCell ref="A627:E627"/>
    <mergeCell ref="A1746:E1746"/>
    <mergeCell ref="A736:E736"/>
    <mergeCell ref="A1684:E1684"/>
    <mergeCell ref="A1795:E1795"/>
    <mergeCell ref="A1098:G1098"/>
    <mergeCell ref="A514:G514"/>
    <mergeCell ref="A1462:G1462"/>
    <mergeCell ref="A24:E24"/>
    <mergeCell ref="A574:G574"/>
    <mergeCell ref="A1192:E1192"/>
    <mergeCell ref="A1782:E1782"/>
    <mergeCell ref="A1847:E1847"/>
    <mergeCell ref="A260:E260"/>
    <mergeCell ref="A358:E358"/>
    <mergeCell ref="A629:E629"/>
    <mergeCell ref="A209:G209"/>
    <mergeCell ref="A1673:G1673"/>
    <mergeCell ref="A451:G451"/>
    <mergeCell ref="A958:E958"/>
    <mergeCell ref="B1672:G1672"/>
    <mergeCell ref="A1256:E1256"/>
    <mergeCell ref="A1491:G1491"/>
    <mergeCell ref="A360:E360"/>
    <mergeCell ref="A658:E658"/>
    <mergeCell ref="B316:G316"/>
    <mergeCell ref="B614:G614"/>
    <mergeCell ref="A1637:E1637"/>
    <mergeCell ref="A1047:E1047"/>
    <mergeCell ref="B1148:G1148"/>
    <mergeCell ref="A1174:E1174"/>
    <mergeCell ref="B558:G558"/>
    <mergeCell ref="A553:E553"/>
    <mergeCell ref="A1245:E1245"/>
    <mergeCell ref="A6:G6"/>
    <mergeCell ref="A1161:E1161"/>
    <mergeCell ref="A1895:G1895"/>
    <mergeCell ref="B1552:G1552"/>
    <mergeCell ref="B26:G26"/>
    <mergeCell ref="A940:E940"/>
    <mergeCell ref="B395:G395"/>
    <mergeCell ref="A734:E734"/>
    <mergeCell ref="A1032:E1032"/>
    <mergeCell ref="A144:E144"/>
    <mergeCell ref="B1641:G1641"/>
    <mergeCell ref="A853:E853"/>
    <mergeCell ref="A158:G158"/>
    <mergeCell ref="A1485:E1485"/>
    <mergeCell ref="A152:E152"/>
    <mergeCell ref="A1034:E1034"/>
    <mergeCell ref="A1205:E1205"/>
    <mergeCell ref="A882:E882"/>
    <mergeCell ref="A735:E735"/>
    <mergeCell ref="A1549:E1549"/>
    <mergeCell ref="A971:E971"/>
    <mergeCell ref="A1536:E1536"/>
    <mergeCell ref="A477:E477"/>
    <mergeCell ref="B769:G769"/>
    <mergeCell ref="A1688:G1688"/>
    <mergeCell ref="A1792:E1792"/>
    <mergeCell ref="B682:G682"/>
    <mergeCell ref="A70:E70"/>
    <mergeCell ref="A241:E241"/>
    <mergeCell ref="A435:G435"/>
    <mergeCell ref="B535:G535"/>
    <mergeCell ref="B1051:G1051"/>
    <mergeCell ref="A1561:E1561"/>
    <mergeCell ref="B317:G317"/>
    <mergeCell ref="A962:G962"/>
    <mergeCell ref="B448:G448"/>
    <mergeCell ref="A1327:E1327"/>
    <mergeCell ref="A1498:E1498"/>
    <mergeCell ref="A243:E243"/>
    <mergeCell ref="A1392:E1392"/>
    <mergeCell ref="A1696:E1696"/>
    <mergeCell ref="A1416:E1416"/>
    <mergeCell ref="A851:E851"/>
    <mergeCell ref="A145:E145"/>
    <mergeCell ref="A1093:E1093"/>
    <mergeCell ref="A1848:E1848"/>
    <mergeCell ref="A1220:E1220"/>
    <mergeCell ref="A1391:E1391"/>
    <mergeCell ref="A1158:E1158"/>
    <mergeCell ref="A1329:E1329"/>
    <mergeCell ref="A1500:E1500"/>
    <mergeCell ref="A1456:E1456"/>
    <mergeCell ref="A866:E866"/>
    <mergeCell ref="B383:G383"/>
    <mergeCell ref="A346:G346"/>
    <mergeCell ref="A1095:E1095"/>
    <mergeCell ref="A1393:E1393"/>
    <mergeCell ref="A1038:G1038"/>
    <mergeCell ref="A283:G283"/>
    <mergeCell ref="B1333:G1333"/>
    <mergeCell ref="A311:E311"/>
    <mergeCell ref="B572:G572"/>
    <mergeCell ref="A392:E392"/>
    <mergeCell ref="A1418:E1418"/>
    <mergeCell ref="B96:G96"/>
    <mergeCell ref="A1052:G1052"/>
    <mergeCell ref="A913:E913"/>
    <mergeCell ref="A92:E92"/>
    <mergeCell ref="B872:G872"/>
    <mergeCell ref="B111:G111"/>
    <mergeCell ref="A279:E279"/>
    <mergeCell ref="A1574:E1574"/>
    <mergeCell ref="A1816:E1816"/>
    <mergeCell ref="A928:E928"/>
    <mergeCell ref="B396:G396"/>
    <mergeCell ref="B1593:G1593"/>
    <mergeCell ref="A1177:E1177"/>
    <mergeCell ref="B1716:G1716"/>
    <mergeCell ref="A1419:E1419"/>
    <mergeCell ref="A45:E45"/>
    <mergeCell ref="A94:E94"/>
    <mergeCell ref="B559:G559"/>
    <mergeCell ref="A1484:E1484"/>
    <mergeCell ref="A1340:E1340"/>
    <mergeCell ref="A1511:E1511"/>
    <mergeCell ref="B917:G917"/>
    <mergeCell ref="A750:E750"/>
    <mergeCell ref="A677:E677"/>
    <mergeCell ref="A427:E427"/>
    <mergeCell ref="A1486:E1486"/>
    <mergeCell ref="A466:G466"/>
    <mergeCell ref="A1575:E1575"/>
    <mergeCell ref="A1342:E1342"/>
    <mergeCell ref="A1513:E1513"/>
    <mergeCell ref="A1780:E1780"/>
    <mergeCell ref="A1733:G1733"/>
    <mergeCell ref="A610:E610"/>
    <mergeCell ref="A46:E46"/>
    <mergeCell ref="A701:G701"/>
    <mergeCell ref="B187:G187"/>
    <mergeCell ref="A1279:E1279"/>
    <mergeCell ref="A1254:E1254"/>
    <mergeCell ref="A1787:G1787"/>
    <mergeCell ref="B754:G754"/>
    <mergeCell ref="A71:E71"/>
    <mergeCell ref="A897:E897"/>
    <mergeCell ref="A313:E313"/>
    <mergeCell ref="A1068:E1068"/>
    <mergeCell ref="A1366:E1366"/>
    <mergeCell ref="A1869:E1869"/>
    <mergeCell ref="A641:E641"/>
    <mergeCell ref="A380:E380"/>
    <mergeCell ref="A184:E184"/>
    <mergeCell ref="B345:G345"/>
    <mergeCell ref="B1671:G1671"/>
    <mergeCell ref="B587:G587"/>
    <mergeCell ref="A926:E926"/>
    <mergeCell ref="B1081:G1081"/>
    <mergeCell ref="A1368:E1368"/>
    <mergeCell ref="A1806:E1806"/>
    <mergeCell ref="B264:G264"/>
    <mergeCell ref="A911:E911"/>
    <mergeCell ref="A407:E407"/>
    <mergeCell ref="B1809:G1809"/>
    <mergeCell ref="A656:E656"/>
    <mergeCell ref="A898:E898"/>
    <mergeCell ref="B1686:G1686"/>
    <mergeCell ref="B991:G991"/>
    <mergeCell ref="A1159:E1159"/>
    <mergeCell ref="A302:G302"/>
    <mergeCell ref="A680:E680"/>
    <mergeCell ref="A1330:E1330"/>
    <mergeCell ref="A569:E569"/>
    <mergeCell ref="A1457:E1457"/>
    <mergeCell ref="A811:E811"/>
    <mergeCell ref="A1699:E1699"/>
    <mergeCell ref="A1870:E1870"/>
    <mergeCell ref="B1210:G1210"/>
    <mergeCell ref="B1810:G1810"/>
    <mergeCell ref="A446:E446"/>
    <mergeCell ref="B976:G976"/>
    <mergeCell ref="B1212:G1212"/>
    <mergeCell ref="A1501:E1501"/>
    <mergeCell ref="A781:E781"/>
    <mergeCell ref="A733:E733"/>
    <mergeCell ref="B246:G246"/>
    <mergeCell ref="A1873:G1873"/>
    <mergeCell ref="A1118:G1118"/>
    <mergeCell ref="B1528:G1528"/>
    <mergeCell ref="B496:G496"/>
    <mergeCell ref="B300:G300"/>
    <mergeCell ref="A1817:E1817"/>
    <mergeCell ref="B1459:G1459"/>
    <mergeCell ref="A393:E393"/>
    <mergeCell ref="A1341:E1341"/>
    <mergeCell ref="A1512:E1512"/>
    <mergeCell ref="A1727:E1727"/>
    <mergeCell ref="A695:E695"/>
    <mergeCell ref="A1783:E1783"/>
    <mergeCell ref="A822:E822"/>
    <mergeCell ref="B1225:G1225"/>
    <mergeCell ref="A1129:E1129"/>
    <mergeCell ref="A985:E985"/>
    <mergeCell ref="A1007:G1007"/>
    <mergeCell ref="A75:G75"/>
    <mergeCell ref="A1541:G1541"/>
    <mergeCell ref="A824:E824"/>
    <mergeCell ref="A1712:E1712"/>
    <mergeCell ref="A602:G602"/>
    <mergeCell ref="A1799:G1799"/>
    <mergeCell ref="A1280:E1280"/>
    <mergeCell ref="A459:E459"/>
    <mergeCell ref="A1136:G1136"/>
    <mergeCell ref="A247:G247"/>
    <mergeCell ref="A1334:G1334"/>
    <mergeCell ref="A1505:G1505"/>
    <mergeCell ref="B480:G480"/>
    <mergeCell ref="A1232:E1232"/>
    <mergeCell ref="B328:G328"/>
    <mergeCell ref="A840:E840"/>
    <mergeCell ref="A492:E492"/>
    <mergeCell ref="A408:E408"/>
    <mergeCell ref="B1687:G1687"/>
    <mergeCell ref="A942:E942"/>
    <mergeCell ref="A929:E929"/>
    <mergeCell ref="A108:E108"/>
    <mergeCell ref="A914:E914"/>
    <mergeCell ref="A1534:E1534"/>
    <mergeCell ref="A1417:E1417"/>
    <mergeCell ref="A1807:E1807"/>
    <mergeCell ref="A1112:E1112"/>
    <mergeCell ref="A1794:E1794"/>
    <mergeCell ref="A1033:E1033"/>
    <mergeCell ref="A278:E278"/>
    <mergeCell ref="A933:G933"/>
    <mergeCell ref="A1821:G1821"/>
    <mergeCell ref="A1573:E1573"/>
    <mergeCell ref="A1744:E1744"/>
    <mergeCell ref="A22:E22"/>
    <mergeCell ref="A970:E970"/>
    <mergeCell ref="A1345:G1345"/>
    <mergeCell ref="B1309:G1309"/>
    <mergeCell ref="B768:G768"/>
    <mergeCell ref="A134:E134"/>
    <mergeCell ref="B1594:G1594"/>
    <mergeCell ref="A2:G2"/>
    <mergeCell ref="A357:E357"/>
    <mergeCell ref="B512:G512"/>
    <mergeCell ref="A44:E44"/>
    <mergeCell ref="B783:G783"/>
    <mergeCell ref="A1066:E1066"/>
    <mergeCell ref="A1128:E1128"/>
    <mergeCell ref="B1117:G1117"/>
    <mergeCell ref="A1351:E1351"/>
    <mergeCell ref="B1894:G1894"/>
    <mergeCell ref="A1891:E1891"/>
    <mergeCell ref="A1003:E1003"/>
    <mergeCell ref="A1714:E1714"/>
    <mergeCell ref="A1130:E1130"/>
    <mergeCell ref="A986:E986"/>
    <mergeCell ref="A1428:E1428"/>
    <mergeCell ref="B1595:G1595"/>
    <mergeCell ref="A225:E225"/>
    <mergeCell ref="B1005:G1005"/>
    <mergeCell ref="A1222:E1222"/>
    <mergeCell ref="B1831:G1831"/>
    <mergeCell ref="B799:G799"/>
    <mergeCell ref="A318:G318"/>
    <mergeCell ref="A461:E461"/>
    <mergeCell ref="A825:E825"/>
    <mergeCell ref="A112:G112"/>
    <mergeCell ref="A1067:E1067"/>
    <mergeCell ref="A1001:E1001"/>
    <mergeCell ref="A1651:E1651"/>
    <mergeCell ref="A1365:E1365"/>
    <mergeCell ref="A646:G646"/>
    <mergeCell ref="B1702:G1702"/>
    <mergeCell ref="B1768:G1768"/>
    <mergeCell ref="A1728:E1728"/>
    <mergeCell ref="A1588:E1588"/>
    <mergeCell ref="A1522:E1522"/>
    <mergeCell ref="A1223:E1223"/>
    <mergeCell ref="A1658:G1658"/>
    <mergeCell ref="A1596:G1596"/>
    <mergeCell ref="A1310:G1310"/>
    <mergeCell ref="A556:E556"/>
    <mergeCell ref="A918:G918"/>
    <mergeCell ref="A714:E714"/>
    <mergeCell ref="A779:E779"/>
    <mergeCell ref="B738:G738"/>
    <mergeCell ref="A1077:E1077"/>
    <mergeCell ref="B4:G4"/>
    <mergeCell ref="B719:G719"/>
    <mergeCell ref="A1804:E1804"/>
    <mergeCell ref="A947:G947"/>
    <mergeCell ref="B433:G433"/>
    <mergeCell ref="A716:E716"/>
    <mergeCell ref="B1259:G1259"/>
    <mergeCell ref="B1430:G1430"/>
    <mergeCell ref="B227:G227"/>
    <mergeCell ref="A259:E259"/>
    <mergeCell ref="A1604:E1604"/>
    <mergeCell ref="B1626:G1626"/>
    <mergeCell ref="A1079:E1079"/>
    <mergeCell ref="A109:E109"/>
    <mergeCell ref="A324:E324"/>
    <mergeCell ref="B960:G960"/>
    <mergeCell ref="A1548:E1548"/>
    <mergeCell ref="A240:E240"/>
    <mergeCell ref="B1196:G1196"/>
    <mergeCell ref="A1535:E1535"/>
    <mergeCell ref="A609:E609"/>
    <mergeCell ref="A780:E780"/>
    <mergeCell ref="A1078:E1078"/>
    <mergeCell ref="A1016:E1016"/>
    <mergeCell ref="A1510:E1510"/>
    <mergeCell ref="A1143:E1143"/>
    <mergeCell ref="B228:G228"/>
  </mergeCells>
  <conditionalFormatting sqref="F23 F45 F71 F93 F108 F134 F144 F154 F183 F204 F224 F242 F260 F278 F297 F313 F341 F359 F379 F392 F408 F429 F445 F461 F477 F493 F509 F532 F555 F569 F583 F597 F611 F628 F642 F657 F679 F697 F716 F735 F750 F765 F780 F796 F811 F824 F839 F853 F868 F883 F898 F913 F928 F942 F957 F972 F987 F1002 F1018 F1034 F1048 F1067 F1078 F1094 F1114 F1130 F1145 F1160 F1176 F1192 F1207 F1222 F1234 F1244 F1256 F1280 F1305 F1317 F1329 F1341 F1351 F1367 F1392 F1418 F1427 F1456 F1486 F1500 F1512 F1524 F1536 F1548 F1560 F1575 F1590 F1606 F1622 F1638 F1653 F1668 F1683 F1698 F1713 F1728 F1746 F1764 F1782 F1794 F1806 F1828 F1920">
    <cfRule type="cellIs" priority="1" operator="notBetween" dxfId="0">
      <formula>-0.05</formula>
      <formula>0.05</formula>
    </cfRule>
  </conditionalFormatting>
  <hyperlinks>
    <hyperlink xmlns:r="http://schemas.openxmlformats.org/officeDocument/2006/relationships" ref="A99" r:id="rId1"/>
    <hyperlink xmlns:r="http://schemas.openxmlformats.org/officeDocument/2006/relationships" ref="A140" r:id="rId2"/>
    <hyperlink xmlns:r="http://schemas.openxmlformats.org/officeDocument/2006/relationships" ref="A150" r:id="rId3"/>
    <hyperlink xmlns:r="http://schemas.openxmlformats.org/officeDocument/2006/relationships" ref="A231" r:id="rId4"/>
    <hyperlink xmlns:r="http://schemas.openxmlformats.org/officeDocument/2006/relationships" ref="A249" r:id="rId5"/>
    <hyperlink xmlns:r="http://schemas.openxmlformats.org/officeDocument/2006/relationships" ref="A267" r:id="rId6"/>
    <hyperlink xmlns:r="http://schemas.openxmlformats.org/officeDocument/2006/relationships" ref="A320" r:id="rId7"/>
    <hyperlink xmlns:r="http://schemas.openxmlformats.org/officeDocument/2006/relationships" ref="A321" r:id="rId8"/>
    <hyperlink xmlns:r="http://schemas.openxmlformats.org/officeDocument/2006/relationships" ref="A322" r:id="rId9"/>
    <hyperlink xmlns:r="http://schemas.openxmlformats.org/officeDocument/2006/relationships" ref="A356" r:id="rId10"/>
    <hyperlink xmlns:r="http://schemas.openxmlformats.org/officeDocument/2006/relationships" ref="A516" r:id="rId11"/>
    <hyperlink xmlns:r="http://schemas.openxmlformats.org/officeDocument/2006/relationships" ref="A539" r:id="rId12"/>
    <hyperlink xmlns:r="http://schemas.openxmlformats.org/officeDocument/2006/relationships" ref="A634" r:id="rId13"/>
    <hyperlink xmlns:r="http://schemas.openxmlformats.org/officeDocument/2006/relationships" ref="A648" r:id="rId14"/>
    <hyperlink xmlns:r="http://schemas.openxmlformats.org/officeDocument/2006/relationships" ref="A649" r:id="rId15"/>
    <hyperlink xmlns:r="http://schemas.openxmlformats.org/officeDocument/2006/relationships" ref="A663" r:id="rId16"/>
    <hyperlink xmlns:r="http://schemas.openxmlformats.org/officeDocument/2006/relationships" ref="A666" r:id="rId17"/>
    <hyperlink xmlns:r="http://schemas.openxmlformats.org/officeDocument/2006/relationships" ref="A685" r:id="rId18"/>
    <hyperlink xmlns:r="http://schemas.openxmlformats.org/officeDocument/2006/relationships" ref="A686" r:id="rId19"/>
    <hyperlink xmlns:r="http://schemas.openxmlformats.org/officeDocument/2006/relationships" ref="A703" r:id="rId20"/>
    <hyperlink xmlns:r="http://schemas.openxmlformats.org/officeDocument/2006/relationships" ref="A705" r:id="rId21"/>
    <hyperlink xmlns:r="http://schemas.openxmlformats.org/officeDocument/2006/relationships" ref="A722" r:id="rId22"/>
    <hyperlink xmlns:r="http://schemas.openxmlformats.org/officeDocument/2006/relationships" ref="A723" r:id="rId23"/>
    <hyperlink xmlns:r="http://schemas.openxmlformats.org/officeDocument/2006/relationships" ref="A786" r:id="rId24"/>
    <hyperlink xmlns:r="http://schemas.openxmlformats.org/officeDocument/2006/relationships" ref="A792" r:id="rId25"/>
    <hyperlink xmlns:r="http://schemas.openxmlformats.org/officeDocument/2006/relationships" ref="A802" r:id="rId26"/>
    <hyperlink xmlns:r="http://schemas.openxmlformats.org/officeDocument/2006/relationships" ref="A808" r:id="rId27"/>
    <hyperlink xmlns:r="http://schemas.openxmlformats.org/officeDocument/2006/relationships" ref="A1040" r:id="rId28"/>
    <hyperlink xmlns:r="http://schemas.openxmlformats.org/officeDocument/2006/relationships" ref="A1054" r:id="rId29"/>
    <hyperlink xmlns:r="http://schemas.openxmlformats.org/officeDocument/2006/relationships" ref="A1357" r:id="rId30"/>
    <hyperlink xmlns:r="http://schemas.openxmlformats.org/officeDocument/2006/relationships" ref="A1358" r:id="rId31"/>
    <hyperlink xmlns:r="http://schemas.openxmlformats.org/officeDocument/2006/relationships" ref="A1359" r:id="rId32"/>
    <hyperlink xmlns:r="http://schemas.openxmlformats.org/officeDocument/2006/relationships" ref="A1735" r:id="rId33"/>
    <hyperlink xmlns:r="http://schemas.openxmlformats.org/officeDocument/2006/relationships" ref="A1736" r:id="rId34"/>
    <hyperlink xmlns:r="http://schemas.openxmlformats.org/officeDocument/2006/relationships" ref="A1740" r:id="rId35"/>
    <hyperlink xmlns:r="http://schemas.openxmlformats.org/officeDocument/2006/relationships" ref="A1753" r:id="rId36"/>
    <hyperlink xmlns:r="http://schemas.openxmlformats.org/officeDocument/2006/relationships" ref="A1754" r:id="rId37"/>
    <hyperlink xmlns:r="http://schemas.openxmlformats.org/officeDocument/2006/relationships" ref="A1758" r:id="rId38"/>
    <hyperlink xmlns:r="http://schemas.openxmlformats.org/officeDocument/2006/relationships" ref="A1771" r:id="rId39"/>
    <hyperlink xmlns:r="http://schemas.openxmlformats.org/officeDocument/2006/relationships" ref="A1772" r:id="rId40"/>
    <hyperlink xmlns:r="http://schemas.openxmlformats.org/officeDocument/2006/relationships" ref="A1776" r:id="rId41"/>
    <hyperlink xmlns:r="http://schemas.openxmlformats.org/officeDocument/2006/relationships" ref="A1789" r:id="rId42"/>
    <hyperlink xmlns:r="http://schemas.openxmlformats.org/officeDocument/2006/relationships" ref="A1801" r:id="rId43"/>
    <hyperlink xmlns:r="http://schemas.openxmlformats.org/officeDocument/2006/relationships" ref="A1813" r:id="rId44"/>
    <hyperlink xmlns:r="http://schemas.openxmlformats.org/officeDocument/2006/relationships" ref="A1814" r:id="rId45"/>
    <hyperlink xmlns:r="http://schemas.openxmlformats.org/officeDocument/2006/relationships" ref="A1823" r:id="rId46"/>
    <hyperlink xmlns:r="http://schemas.openxmlformats.org/officeDocument/2006/relationships" ref="A1898" r:id="rId47"/>
    <hyperlink xmlns:r="http://schemas.openxmlformats.org/officeDocument/2006/relationships" ref="A1899" r:id="rId48"/>
    <hyperlink xmlns:r="http://schemas.openxmlformats.org/officeDocument/2006/relationships" ref="A1900" r:id="rId49"/>
    <hyperlink xmlns:r="http://schemas.openxmlformats.org/officeDocument/2006/relationships" ref="A1901" r:id="rId50"/>
    <hyperlink xmlns:r="http://schemas.openxmlformats.org/officeDocument/2006/relationships" ref="A1908" r:id="rId5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7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06: MASONRY WORK</t>
        </is>
      </c>
    </row>
    <row r="2" ht="28" customHeight="1">
      <c r="A2" s="16" t="inlineStr">
        <is>
          <t>58 priced items. Amount and Calculated W are live Excel formulas (Quantity x Rate, SUM); the printed W and SAY are the DAR's own figures. Edit any Quantity or Rate and the item's calculated W recalculates.</t>
        </is>
      </c>
    </row>
    <row r="4" ht="18.5" customHeight="1">
      <c r="A4" s="8" t="inlineStr">
        <is>
          <t>6.1</t>
        </is>
      </c>
      <c r="B4" s="17" t="inlineStr">
        <is>
          <t>Brick work with common burnt clay F.P.S. (non modular) bricks of class designation 7.5 in foundation and plinth in:</t>
        </is>
      </c>
      <c r="C4" s="9" t="n"/>
      <c r="D4" s="9" t="n"/>
      <c r="E4" s="9" t="n"/>
      <c r="F4" s="9" t="n"/>
      <c r="G4" s="9" t="n"/>
    </row>
    <row r="5" ht="18.5" customHeight="1">
      <c r="A5" s="18" t="inlineStr">
        <is>
          <t>6.1.1</t>
        </is>
      </c>
      <c r="B5" s="19" t="inlineStr">
        <is>
          <t>Cement mortar 1:4 (1 cement : 4 coarse sand)</t>
        </is>
      </c>
      <c r="C5" s="20" t="n"/>
      <c r="D5" s="20" t="n"/>
      <c r="E5" s="20" t="n"/>
      <c r="F5" s="20" t="n"/>
      <c r="G5" s="20" t="n"/>
    </row>
    <row r="6">
      <c r="A6" s="21" t="inlineStr">
        <is>
          <t>Details of cost for 1 cum   |   Source: CivilDAR_2019_Vol_1.pdf, page 282</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2602</t>
        </is>
      </c>
      <c r="B8" s="11" t="inlineStr">
        <is>
          <t>Common burnt clay F.P.S. (non modular) bricks class designation 7.5</t>
        </is>
      </c>
      <c r="C8" s="22" t="inlineStr">
        <is>
          <t>1000 Nos</t>
        </is>
      </c>
      <c r="D8" s="23" t="n">
        <v>0.494</v>
      </c>
      <c r="E8" s="24" t="n">
        <v>4500</v>
      </c>
      <c r="F8" s="24">
        <f>D8*E8</f>
        <v/>
      </c>
      <c r="G8" s="22" t="n"/>
    </row>
    <row r="9">
      <c r="A9" s="22" t="inlineStr">
        <is>
          <t>2201</t>
        </is>
      </c>
      <c r="B9" s="11" t="inlineStr">
        <is>
          <t>Carriage of Bricks</t>
        </is>
      </c>
      <c r="C9" s="22" t="inlineStr">
        <is>
          <t>1000 Nos</t>
        </is>
      </c>
      <c r="D9" s="23" t="n">
        <v>0.494</v>
      </c>
      <c r="E9" s="24" t="n">
        <v>276.72</v>
      </c>
      <c r="F9" s="24">
        <f>D9*E9</f>
        <v/>
      </c>
      <c r="G9" s="22" t="n"/>
    </row>
    <row r="10">
      <c r="A10" s="7" t="inlineStr">
        <is>
          <t>3.9</t>
        </is>
      </c>
      <c r="B10" s="11" t="inlineStr">
        <is>
          <t>Rate as per item 3.9 - Cement mortar 1:4 (1 cement : 4 coarse sand)</t>
        </is>
      </c>
      <c r="C10" s="22" t="inlineStr">
        <is>
          <t>cum</t>
        </is>
      </c>
      <c r="D10" s="23" t="n">
        <v>0.25</v>
      </c>
      <c r="E10" s="24" t="n">
        <v>4010.35</v>
      </c>
      <c r="F10" s="24">
        <f>D10*E10</f>
        <v/>
      </c>
      <c r="G10" s="22" t="n"/>
    </row>
    <row r="11">
      <c r="A11" s="22" t="inlineStr">
        <is>
          <t>9999</t>
        </is>
      </c>
      <c r="B11" s="11" t="inlineStr">
        <is>
          <t>Sundries</t>
        </is>
      </c>
      <c r="C11" s="22" t="inlineStr">
        <is>
          <t>L.S.</t>
        </is>
      </c>
      <c r="D11" s="23" t="n">
        <v>2.73</v>
      </c>
      <c r="E11" s="24" t="n">
        <v>2</v>
      </c>
      <c r="F11" s="24">
        <f>D11*E11</f>
        <v/>
      </c>
      <c r="G11" s="22" t="n"/>
    </row>
    <row r="12">
      <c r="A12" s="22" t="inlineStr">
        <is>
          <t>0123</t>
        </is>
      </c>
      <c r="B12" s="11" t="inlineStr">
        <is>
          <t>Mason (brick layer) 1st class</t>
        </is>
      </c>
      <c r="C12" s="22" t="inlineStr">
        <is>
          <t>day</t>
        </is>
      </c>
      <c r="D12" s="23" t="n">
        <v>0.36</v>
      </c>
      <c r="E12" s="24" t="n">
        <v>738</v>
      </c>
      <c r="F12" s="24">
        <f>D12*E12</f>
        <v/>
      </c>
      <c r="G12" s="22" t="n"/>
    </row>
    <row r="13">
      <c r="A13" s="22" t="inlineStr">
        <is>
          <t>0124</t>
        </is>
      </c>
      <c r="B13" s="11" t="inlineStr">
        <is>
          <t>Mason (brick layer) 2nd class</t>
        </is>
      </c>
      <c r="C13" s="22" t="inlineStr">
        <is>
          <t>day</t>
        </is>
      </c>
      <c r="D13" s="23" t="n">
        <v>0.36</v>
      </c>
      <c r="E13" s="24" t="n">
        <v>679</v>
      </c>
      <c r="F13" s="24">
        <f>D13*E13</f>
        <v/>
      </c>
      <c r="G13" s="22" t="n"/>
    </row>
    <row r="14">
      <c r="A14" s="22" t="inlineStr">
        <is>
          <t>0115</t>
        </is>
      </c>
      <c r="B14" s="11" t="inlineStr">
        <is>
          <t>Coolie</t>
        </is>
      </c>
      <c r="C14" s="22" t="inlineStr">
        <is>
          <t>day</t>
        </is>
      </c>
      <c r="D14" s="23" t="n">
        <v>1.37</v>
      </c>
      <c r="E14" s="24" t="n">
        <v>558</v>
      </c>
      <c r="F14" s="24">
        <f>D14*E14</f>
        <v/>
      </c>
      <c r="G14" s="22" t="n"/>
    </row>
    <row r="15">
      <c r="A15" s="22" t="inlineStr">
        <is>
          <t>0101</t>
        </is>
      </c>
      <c r="B15" s="11" t="inlineStr">
        <is>
          <t>Bhisti</t>
        </is>
      </c>
      <c r="C15" s="22" t="inlineStr">
        <is>
          <t>day</t>
        </is>
      </c>
      <c r="D15" s="23" t="n">
        <v>0.2</v>
      </c>
      <c r="E15" s="24" t="n">
        <v>617</v>
      </c>
      <c r="F15" s="24">
        <f>D15*E15</f>
        <v/>
      </c>
      <c r="G15" s="22" t="n"/>
    </row>
    <row r="16">
      <c r="A16" s="8" t="inlineStr">
        <is>
          <t>Calculated W - SUM of the Amount column above</t>
        </is>
      </c>
      <c r="B16" s="9" t="n"/>
      <c r="C16" s="9" t="n"/>
      <c r="D16" s="9" t="n"/>
      <c r="E16" s="9" t="n"/>
      <c r="F16" s="25">
        <f>SUM(F8:F15)</f>
        <v/>
      </c>
      <c r="G16" s="9" t="n"/>
    </row>
    <row r="17">
      <c r="A17" s="26" t="inlineStr">
        <is>
          <t>W as printed in the DAR</t>
        </is>
      </c>
      <c r="B17" s="22" t="n"/>
      <c r="C17" s="22" t="n"/>
      <c r="D17" s="22" t="n"/>
      <c r="E17" s="22" t="n"/>
      <c r="F17" s="27" t="n">
        <v>4765.73</v>
      </c>
      <c r="G17" s="22" t="n"/>
    </row>
    <row r="18">
      <c r="A18" s="26" t="inlineStr">
        <is>
          <t>Difference (calculated - printed)</t>
        </is>
      </c>
      <c r="B18" s="22" t="n"/>
      <c r="C18" s="22" t="n"/>
      <c r="D18" s="22" t="n"/>
      <c r="E18" s="22" t="n"/>
      <c r="F18" s="27">
        <f>F16-F17</f>
        <v/>
      </c>
      <c r="G18" s="22" t="n"/>
    </row>
    <row r="19">
      <c r="A19" s="29" t="inlineStr">
        <is>
          <t>SAY (Rs.) - final DAR rate as printed (fixed value, not computed)</t>
        </is>
      </c>
      <c r="B19" s="30" t="n"/>
      <c r="C19" s="30" t="n"/>
      <c r="D19" s="30" t="n"/>
      <c r="E19" s="30" t="n"/>
      <c r="F19" s="31" t="n">
        <v>6376.25</v>
      </c>
      <c r="G19" s="30" t="n"/>
    </row>
    <row r="21" ht="18.5" customHeight="1">
      <c r="A21" s="8" t="inlineStr">
        <is>
          <t>6.1</t>
        </is>
      </c>
      <c r="B21" s="17" t="inlineStr">
        <is>
          <t>Brick work with common burnt clay F.P.S. (non modular) bricks of class designation 7.5 in foundation and plinth in:</t>
        </is>
      </c>
      <c r="C21" s="9" t="n"/>
      <c r="D21" s="9" t="n"/>
      <c r="E21" s="9" t="n"/>
      <c r="F21" s="9" t="n"/>
      <c r="G21" s="9" t="n"/>
    </row>
    <row r="22" ht="18.5" customHeight="1">
      <c r="A22" s="18" t="inlineStr">
        <is>
          <t>6.1.2</t>
        </is>
      </c>
      <c r="B22" s="19" t="inlineStr">
        <is>
          <t>Cement mortar 1:6 (1 cement : 6 coarse sand)</t>
        </is>
      </c>
      <c r="C22" s="20" t="n"/>
      <c r="D22" s="20" t="n"/>
      <c r="E22" s="20" t="n"/>
      <c r="F22" s="20" t="n"/>
      <c r="G22" s="20" t="n"/>
    </row>
    <row r="23">
      <c r="A23" s="21" t="inlineStr">
        <is>
          <t>Details of cost for 1 cum   |   Source: CivilDAR_2019_Vol_1.pdf, page 282</t>
        </is>
      </c>
    </row>
    <row r="24">
      <c r="A24" s="5" t="inlineStr">
        <is>
          <t>Code</t>
        </is>
      </c>
      <c r="B24" s="5" t="inlineStr">
        <is>
          <t>Description</t>
        </is>
      </c>
      <c r="C24" s="5" t="inlineStr">
        <is>
          <t>Unit</t>
        </is>
      </c>
      <c r="D24" s="5" t="inlineStr">
        <is>
          <t>Quantity</t>
        </is>
      </c>
      <c r="E24" s="5" t="inlineStr">
        <is>
          <t>Rate (Rs.)</t>
        </is>
      </c>
      <c r="F24" s="5" t="inlineStr">
        <is>
          <t>Amount (Rs.)</t>
        </is>
      </c>
      <c r="G24" s="5" t="inlineStr">
        <is>
          <t>Note</t>
        </is>
      </c>
    </row>
    <row r="25">
      <c r="A25" s="22" t="inlineStr">
        <is>
          <t>2602</t>
        </is>
      </c>
      <c r="B25" s="11" t="inlineStr">
        <is>
          <t>Common burnt clay F.P.S. (non modular) bricks class designation 7.5</t>
        </is>
      </c>
      <c r="C25" s="22" t="inlineStr">
        <is>
          <t>1000 Nos</t>
        </is>
      </c>
      <c r="D25" s="23" t="n">
        <v>0.494</v>
      </c>
      <c r="E25" s="24" t="n">
        <v>4500</v>
      </c>
      <c r="F25" s="24">
        <f>D25*E25</f>
        <v/>
      </c>
      <c r="G25" s="22" t="n"/>
    </row>
    <row r="26">
      <c r="A26" s="22" t="inlineStr">
        <is>
          <t>2201</t>
        </is>
      </c>
      <c r="B26" s="11" t="inlineStr">
        <is>
          <t>Carriage of Bricks</t>
        </is>
      </c>
      <c r="C26" s="22" t="inlineStr">
        <is>
          <t>1000 Nos</t>
        </is>
      </c>
      <c r="D26" s="23" t="n">
        <v>0.494</v>
      </c>
      <c r="E26" s="24" t="n">
        <v>276.72</v>
      </c>
      <c r="F26" s="24">
        <f>D26*E26</f>
        <v/>
      </c>
      <c r="G26" s="22" t="n"/>
    </row>
    <row r="27">
      <c r="A27" s="7" t="inlineStr">
        <is>
          <t>3.11</t>
        </is>
      </c>
      <c r="B27" s="11" t="inlineStr">
        <is>
          <t>Rate as per item 3.11 - Cement mortar 1:6 (1 cement : 6 coarse sand)</t>
        </is>
      </c>
      <c r="C27" s="22" t="inlineStr">
        <is>
          <t>cum</t>
        </is>
      </c>
      <c r="D27" s="23" t="n">
        <v>0.25</v>
      </c>
      <c r="E27" s="24" t="n">
        <v>3356.15</v>
      </c>
      <c r="F27" s="24">
        <f>D27*E27</f>
        <v/>
      </c>
      <c r="G27" s="22" t="n"/>
    </row>
    <row r="28">
      <c r="A28" s="22" t="inlineStr">
        <is>
          <t>9999</t>
        </is>
      </c>
      <c r="B28" s="11" t="inlineStr">
        <is>
          <t>Sundries</t>
        </is>
      </c>
      <c r="C28" s="22" t="inlineStr">
        <is>
          <t>L.S.</t>
        </is>
      </c>
      <c r="D28" s="23" t="n">
        <v>2.73</v>
      </c>
      <c r="E28" s="24" t="n">
        <v>2</v>
      </c>
      <c r="F28" s="24">
        <f>D28*E28</f>
        <v/>
      </c>
      <c r="G28" s="22" t="n"/>
    </row>
    <row r="29">
      <c r="A29" s="22" t="inlineStr">
        <is>
          <t>0123</t>
        </is>
      </c>
      <c r="B29" s="11" t="inlineStr">
        <is>
          <t>Mason (brick layer) 1st class</t>
        </is>
      </c>
      <c r="C29" s="22" t="inlineStr">
        <is>
          <t>day</t>
        </is>
      </c>
      <c r="D29" s="23" t="n">
        <v>0.36</v>
      </c>
      <c r="E29" s="24" t="n">
        <v>738</v>
      </c>
      <c r="F29" s="24">
        <f>D29*E29</f>
        <v/>
      </c>
      <c r="G29" s="22" t="n"/>
    </row>
    <row r="30">
      <c r="A30" s="22" t="inlineStr">
        <is>
          <t>0124</t>
        </is>
      </c>
      <c r="B30" s="11" t="inlineStr">
        <is>
          <t>Mason (brick layer) 2nd class</t>
        </is>
      </c>
      <c r="C30" s="22" t="inlineStr">
        <is>
          <t>day</t>
        </is>
      </c>
      <c r="D30" s="23" t="n">
        <v>0.36</v>
      </c>
      <c r="E30" s="24" t="n">
        <v>679</v>
      </c>
      <c r="F30" s="24">
        <f>D30*E30</f>
        <v/>
      </c>
      <c r="G30" s="22" t="n"/>
    </row>
    <row r="31">
      <c r="A31" s="22" t="inlineStr">
        <is>
          <t>0115</t>
        </is>
      </c>
      <c r="B31" s="11" t="inlineStr">
        <is>
          <t>Coolie</t>
        </is>
      </c>
      <c r="C31" s="22" t="inlineStr">
        <is>
          <t>day</t>
        </is>
      </c>
      <c r="D31" s="23" t="n">
        <v>1.37</v>
      </c>
      <c r="E31" s="24" t="n">
        <v>558</v>
      </c>
      <c r="F31" s="24">
        <f>D31*E31</f>
        <v/>
      </c>
      <c r="G31" s="22" t="n"/>
    </row>
    <row r="32">
      <c r="A32" s="22" t="inlineStr">
        <is>
          <t>0101</t>
        </is>
      </c>
      <c r="B32" s="11" t="inlineStr">
        <is>
          <t>Bhisti</t>
        </is>
      </c>
      <c r="C32" s="22" t="inlineStr">
        <is>
          <t>day</t>
        </is>
      </c>
      <c r="D32" s="23" t="n">
        <v>0.2</v>
      </c>
      <c r="E32" s="24" t="n">
        <v>617</v>
      </c>
      <c r="F32" s="24">
        <f>D32*E32</f>
        <v/>
      </c>
      <c r="G32" s="22" t="n"/>
    </row>
    <row r="33">
      <c r="A33" s="8" t="inlineStr">
        <is>
          <t>Calculated W - SUM of the Amount column above</t>
        </is>
      </c>
      <c r="B33" s="9" t="n"/>
      <c r="C33" s="9" t="n"/>
      <c r="D33" s="9" t="n"/>
      <c r="E33" s="9" t="n"/>
      <c r="F33" s="25">
        <f>SUM(F25:F32)</f>
        <v/>
      </c>
      <c r="G33" s="9" t="n"/>
    </row>
    <row r="34">
      <c r="A34" s="26" t="inlineStr">
        <is>
          <t>W as printed in the DAR</t>
        </is>
      </c>
      <c r="B34" s="22" t="n"/>
      <c r="C34" s="22" t="n"/>
      <c r="D34" s="22" t="n"/>
      <c r="E34" s="22" t="n"/>
      <c r="F34" s="27" t="n">
        <v>4602.18</v>
      </c>
      <c r="G34" s="22" t="n"/>
    </row>
    <row r="35">
      <c r="A35" s="26" t="inlineStr">
        <is>
          <t>Difference (calculated - printed)</t>
        </is>
      </c>
      <c r="B35" s="22" t="n"/>
      <c r="C35" s="22" t="n"/>
      <c r="D35" s="22" t="n"/>
      <c r="E35" s="22" t="n"/>
      <c r="F35" s="27">
        <f>F33-F34</f>
        <v/>
      </c>
      <c r="G35" s="22" t="n"/>
    </row>
    <row r="36">
      <c r="A36" s="29" t="inlineStr">
        <is>
          <t>SAY (Rs.) - final DAR rate as printed (fixed value, not computed)</t>
        </is>
      </c>
      <c r="B36" s="30" t="n"/>
      <c r="C36" s="30" t="n"/>
      <c r="D36" s="30" t="n"/>
      <c r="E36" s="30" t="n"/>
      <c r="F36" s="31" t="n">
        <v>6157.45</v>
      </c>
      <c r="G36" s="30" t="n"/>
    </row>
    <row r="38" ht="18.5" customHeight="1">
      <c r="A38" s="8" t="inlineStr">
        <is>
          <t>6.2</t>
        </is>
      </c>
      <c r="B38" s="17" t="inlineStr">
        <is>
          <t>Brick work with common burnt clay modular bricks of class designation 7.5 in foundation and plinth in:</t>
        </is>
      </c>
      <c r="C38" s="9" t="n"/>
      <c r="D38" s="9" t="n"/>
      <c r="E38" s="9" t="n"/>
      <c r="F38" s="9" t="n"/>
      <c r="G38" s="9" t="n"/>
    </row>
    <row r="39" ht="18.5" customHeight="1">
      <c r="A39" s="18" t="inlineStr">
        <is>
          <t>6.2.1</t>
        </is>
      </c>
      <c r="B39" s="19" t="inlineStr">
        <is>
          <t>Cement mortar 1:4 (1 cement : 4 coarse sand)</t>
        </is>
      </c>
      <c r="C39" s="20" t="n"/>
      <c r="D39" s="20" t="n"/>
      <c r="E39" s="20" t="n"/>
      <c r="F39" s="20" t="n"/>
      <c r="G39" s="20" t="n"/>
    </row>
    <row r="40">
      <c r="A40" s="21" t="inlineStr">
        <is>
          <t>Details of cost for 1 cum   |   Source: CivilDAR_2019_Vol_1.pdf, page 283</t>
        </is>
      </c>
    </row>
    <row r="41">
      <c r="A41" s="5" t="inlineStr">
        <is>
          <t>Code</t>
        </is>
      </c>
      <c r="B41" s="5" t="inlineStr">
        <is>
          <t>Description</t>
        </is>
      </c>
      <c r="C41" s="5" t="inlineStr">
        <is>
          <t>Unit</t>
        </is>
      </c>
      <c r="D41" s="5" t="inlineStr">
        <is>
          <t>Quantity</t>
        </is>
      </c>
      <c r="E41" s="5" t="inlineStr">
        <is>
          <t>Rate (Rs.)</t>
        </is>
      </c>
      <c r="F41" s="5" t="inlineStr">
        <is>
          <t>Amount (Rs.)</t>
        </is>
      </c>
      <c r="G41" s="5" t="inlineStr">
        <is>
          <t>Note</t>
        </is>
      </c>
    </row>
    <row r="42">
      <c r="A42" s="22" t="inlineStr">
        <is>
          <t>7900</t>
        </is>
      </c>
      <c r="B42" s="11" t="inlineStr">
        <is>
          <t>Modular common burnt clay bricks of class designation 7.5</t>
        </is>
      </c>
      <c r="C42" s="22" t="inlineStr">
        <is>
          <t>1000 Nos</t>
        </is>
      </c>
      <c r="D42" s="23" t="n">
        <v>0.487</v>
      </c>
      <c r="E42" s="24" t="n">
        <v>4000</v>
      </c>
      <c r="F42" s="24">
        <f>D42*E42</f>
        <v/>
      </c>
      <c r="G42" s="22" t="n"/>
    </row>
    <row r="43">
      <c r="A43" s="22" t="inlineStr">
        <is>
          <t>2201</t>
        </is>
      </c>
      <c r="B43" s="11" t="inlineStr">
        <is>
          <t>Carriage of Bricks</t>
        </is>
      </c>
      <c r="C43" s="22" t="inlineStr">
        <is>
          <t>1000 Nos</t>
        </is>
      </c>
      <c r="D43" s="23" t="n">
        <v>0.487</v>
      </c>
      <c r="E43" s="24" t="n">
        <v>276.72</v>
      </c>
      <c r="F43" s="24">
        <f>D43*E43</f>
        <v/>
      </c>
      <c r="G43" s="22" t="n"/>
    </row>
    <row r="44">
      <c r="A44" s="7" t="inlineStr">
        <is>
          <t>3.9</t>
        </is>
      </c>
      <c r="B44" s="11" t="inlineStr">
        <is>
          <t>Rate as per item 3.9 - Cement mortar 1:4 (1 cement : 4 coarse sand)</t>
        </is>
      </c>
      <c r="C44" s="22" t="inlineStr">
        <is>
          <t>cum</t>
        </is>
      </c>
      <c r="D44" s="23" t="n">
        <v>0.22</v>
      </c>
      <c r="E44" s="24" t="n">
        <v>4010.35</v>
      </c>
      <c r="F44" s="24">
        <f>D44*E44</f>
        <v/>
      </c>
      <c r="G44" s="22" t="n"/>
    </row>
    <row r="45">
      <c r="A45" s="22" t="inlineStr">
        <is>
          <t>9999</t>
        </is>
      </c>
      <c r="B45" s="11" t="inlineStr">
        <is>
          <t>Sundries</t>
        </is>
      </c>
      <c r="C45" s="22" t="inlineStr">
        <is>
          <t>L.S.</t>
        </is>
      </c>
      <c r="D45" s="23" t="n">
        <v>2.73</v>
      </c>
      <c r="E45" s="24" t="n">
        <v>2</v>
      </c>
      <c r="F45" s="24">
        <f>D45*E45</f>
        <v/>
      </c>
      <c r="G45" s="22" t="n"/>
    </row>
    <row r="46">
      <c r="A46" s="22" t="inlineStr">
        <is>
          <t>0123</t>
        </is>
      </c>
      <c r="B46" s="11" t="inlineStr">
        <is>
          <t>Mason (brick layer) 1st class</t>
        </is>
      </c>
      <c r="C46" s="22" t="inlineStr">
        <is>
          <t>day</t>
        </is>
      </c>
      <c r="D46" s="23" t="n">
        <v>0.33</v>
      </c>
      <c r="E46" s="24" t="n">
        <v>738</v>
      </c>
      <c r="F46" s="24">
        <f>D46*E46</f>
        <v/>
      </c>
      <c r="G46" s="22" t="n"/>
    </row>
    <row r="47">
      <c r="A47" s="22" t="inlineStr">
        <is>
          <t>0124</t>
        </is>
      </c>
      <c r="B47" s="11" t="inlineStr">
        <is>
          <t>Mason (brick layer) 2nd class</t>
        </is>
      </c>
      <c r="C47" s="22" t="inlineStr">
        <is>
          <t>day</t>
        </is>
      </c>
      <c r="D47" s="23" t="n">
        <v>0.33</v>
      </c>
      <c r="E47" s="24" t="n">
        <v>679</v>
      </c>
      <c r="F47" s="24">
        <f>D47*E47</f>
        <v/>
      </c>
      <c r="G47" s="22" t="n"/>
    </row>
    <row r="48">
      <c r="A48" s="22" t="inlineStr">
        <is>
          <t>0115</t>
        </is>
      </c>
      <c r="B48" s="11" t="inlineStr">
        <is>
          <t>Coolie</t>
        </is>
      </c>
      <c r="C48" s="22" t="inlineStr">
        <is>
          <t>day</t>
        </is>
      </c>
      <c r="D48" s="23" t="n">
        <v>1</v>
      </c>
      <c r="E48" s="24" t="n">
        <v>558</v>
      </c>
      <c r="F48" s="24">
        <f>D48*E48</f>
        <v/>
      </c>
      <c r="G48" s="22" t="n"/>
    </row>
    <row r="49">
      <c r="A49" s="22" t="inlineStr">
        <is>
          <t>0101</t>
        </is>
      </c>
      <c r="B49" s="11" t="inlineStr">
        <is>
          <t>Bhisti</t>
        </is>
      </c>
      <c r="C49" s="22" t="inlineStr">
        <is>
          <t>day</t>
        </is>
      </c>
      <c r="D49" s="23" t="n">
        <v>0.18</v>
      </c>
      <c r="E49" s="24" t="n">
        <v>617</v>
      </c>
      <c r="F49" s="24">
        <f>D49*E49</f>
        <v/>
      </c>
      <c r="G49" s="22" t="n"/>
    </row>
    <row r="50">
      <c r="A50" s="8" t="inlineStr">
        <is>
          <t>Calculated W - SUM of the Amount column above</t>
        </is>
      </c>
      <c r="B50" s="9" t="n"/>
      <c r="C50" s="9" t="n"/>
      <c r="D50" s="9" t="n"/>
      <c r="E50" s="9" t="n"/>
      <c r="F50" s="25">
        <f>SUM(F42:F49)</f>
        <v/>
      </c>
      <c r="G50" s="9" t="n"/>
    </row>
    <row r="51">
      <c r="A51" s="26" t="inlineStr">
        <is>
          <t>W as printed in the DAR</t>
        </is>
      </c>
      <c r="B51" s="22" t="n"/>
      <c r="C51" s="22" t="n"/>
      <c r="D51" s="22" t="n"/>
      <c r="E51" s="22" t="n"/>
      <c r="F51" s="27" t="n">
        <v>4107.17</v>
      </c>
      <c r="G51" s="22" t="n"/>
    </row>
    <row r="52">
      <c r="A52" s="26" t="inlineStr">
        <is>
          <t>Difference (calculated - printed)</t>
        </is>
      </c>
      <c r="B52" s="22" t="n"/>
      <c r="C52" s="22" t="n"/>
      <c r="D52" s="22" t="n"/>
      <c r="E52" s="22" t="n"/>
      <c r="F52" s="27">
        <f>F50-F51</f>
        <v/>
      </c>
      <c r="G52" s="22" t="n"/>
    </row>
    <row r="53">
      <c r="A53" s="29" t="inlineStr">
        <is>
          <t>SAY (Rs.) - final DAR rate as printed (fixed value, not computed)</t>
        </is>
      </c>
      <c r="B53" s="30" t="n"/>
      <c r="C53" s="30" t="n"/>
      <c r="D53" s="30" t="n"/>
      <c r="E53" s="30" t="n"/>
      <c r="F53" s="31" t="n">
        <v>5495.15</v>
      </c>
      <c r="G53" s="30" t="n"/>
    </row>
    <row r="55" ht="18.5" customHeight="1">
      <c r="A55" s="8" t="inlineStr">
        <is>
          <t>6.2</t>
        </is>
      </c>
      <c r="B55" s="17" t="inlineStr">
        <is>
          <t>Brick work with common burnt clay modular bricks of class designation 7.5 in foundation and plinth in:</t>
        </is>
      </c>
      <c r="C55" s="9" t="n"/>
      <c r="D55" s="9" t="n"/>
      <c r="E55" s="9" t="n"/>
      <c r="F55" s="9" t="n"/>
      <c r="G55" s="9" t="n"/>
    </row>
    <row r="56" ht="18.5" customHeight="1">
      <c r="A56" s="18" t="inlineStr">
        <is>
          <t>6.2.2</t>
        </is>
      </c>
      <c r="B56" s="19" t="inlineStr">
        <is>
          <t>Cement Mortar 1:6 (1 cement : 6 coarse sand).</t>
        </is>
      </c>
      <c r="C56" s="20" t="n"/>
      <c r="D56" s="20" t="n"/>
      <c r="E56" s="20" t="n"/>
      <c r="F56" s="20" t="n"/>
      <c r="G56" s="20" t="n"/>
    </row>
    <row r="57">
      <c r="A57" s="21" t="inlineStr">
        <is>
          <t>Details of cost for 1 cum   |   Source: CivilDAR_2019_Vol_1.pdf, page 283</t>
        </is>
      </c>
    </row>
    <row r="58">
      <c r="A58" s="5" t="inlineStr">
        <is>
          <t>Code</t>
        </is>
      </c>
      <c r="B58" s="5" t="inlineStr">
        <is>
          <t>Description</t>
        </is>
      </c>
      <c r="C58" s="5" t="inlineStr">
        <is>
          <t>Unit</t>
        </is>
      </c>
      <c r="D58" s="5" t="inlineStr">
        <is>
          <t>Quantity</t>
        </is>
      </c>
      <c r="E58" s="5" t="inlineStr">
        <is>
          <t>Rate (Rs.)</t>
        </is>
      </c>
      <c r="F58" s="5" t="inlineStr">
        <is>
          <t>Amount (Rs.)</t>
        </is>
      </c>
      <c r="G58" s="5" t="inlineStr">
        <is>
          <t>Note</t>
        </is>
      </c>
    </row>
    <row r="59">
      <c r="A59" s="22" t="inlineStr">
        <is>
          <t>7900</t>
        </is>
      </c>
      <c r="B59" s="11" t="inlineStr">
        <is>
          <t>Modular common burnt clay bricks of class designation 7.5</t>
        </is>
      </c>
      <c r="C59" s="22" t="inlineStr">
        <is>
          <t>1000 Nos</t>
        </is>
      </c>
      <c r="D59" s="23" t="n">
        <v>0.487</v>
      </c>
      <c r="E59" s="24" t="n">
        <v>4000</v>
      </c>
      <c r="F59" s="24">
        <f>D59*E59</f>
        <v/>
      </c>
      <c r="G59" s="22" t="n"/>
    </row>
    <row r="60">
      <c r="A60" s="22" t="inlineStr">
        <is>
          <t>2201</t>
        </is>
      </c>
      <c r="B60" s="11" t="inlineStr">
        <is>
          <t>Carriage of Bricks</t>
        </is>
      </c>
      <c r="C60" s="22" t="inlineStr">
        <is>
          <t>1000 Nos</t>
        </is>
      </c>
      <c r="D60" s="23" t="n">
        <v>0.487</v>
      </c>
      <c r="E60" s="24" t="n">
        <v>276.72</v>
      </c>
      <c r="F60" s="24">
        <f>D60*E60</f>
        <v/>
      </c>
      <c r="G60" s="22" t="n"/>
    </row>
    <row r="61">
      <c r="A61" s="7" t="inlineStr">
        <is>
          <t>3.11</t>
        </is>
      </c>
      <c r="B61" s="11" t="inlineStr">
        <is>
          <t>Rate as per item 3.11 - Cement mortar 1:6 (1 cement : 6 coarse sand)</t>
        </is>
      </c>
      <c r="C61" s="22" t="inlineStr">
        <is>
          <t>cum</t>
        </is>
      </c>
      <c r="D61" s="23" t="n">
        <v>0.22</v>
      </c>
      <c r="E61" s="24" t="n">
        <v>3356.15</v>
      </c>
      <c r="F61" s="24">
        <f>D61*E61</f>
        <v/>
      </c>
      <c r="G61" s="22" t="n"/>
    </row>
    <row r="62">
      <c r="A62" s="22" t="inlineStr">
        <is>
          <t>9999</t>
        </is>
      </c>
      <c r="B62" s="11" t="inlineStr">
        <is>
          <t>Sundries</t>
        </is>
      </c>
      <c r="C62" s="22" t="inlineStr">
        <is>
          <t>L.S.</t>
        </is>
      </c>
      <c r="D62" s="23" t="n">
        <v>2.73</v>
      </c>
      <c r="E62" s="24" t="n">
        <v>2</v>
      </c>
      <c r="F62" s="24">
        <f>D62*E62</f>
        <v/>
      </c>
      <c r="G62" s="22" t="n"/>
    </row>
    <row r="63">
      <c r="A63" s="22" t="inlineStr">
        <is>
          <t>0123</t>
        </is>
      </c>
      <c r="B63" s="11" t="inlineStr">
        <is>
          <t>Mason (brick layer) 1st class</t>
        </is>
      </c>
      <c r="C63" s="22" t="inlineStr">
        <is>
          <t>day</t>
        </is>
      </c>
      <c r="D63" s="23" t="n">
        <v>0.33</v>
      </c>
      <c r="E63" s="24" t="n">
        <v>738</v>
      </c>
      <c r="F63" s="24">
        <f>D63*E63</f>
        <v/>
      </c>
      <c r="G63" s="22" t="n"/>
    </row>
    <row r="64">
      <c r="A64" s="22" t="inlineStr">
        <is>
          <t>0124</t>
        </is>
      </c>
      <c r="B64" s="11" t="inlineStr">
        <is>
          <t>Mason (brick layer) 2nd class</t>
        </is>
      </c>
      <c r="C64" s="22" t="inlineStr">
        <is>
          <t>day</t>
        </is>
      </c>
      <c r="D64" s="23" t="n">
        <v>0.33</v>
      </c>
      <c r="E64" s="24" t="n">
        <v>679</v>
      </c>
      <c r="F64" s="24">
        <f>D64*E64</f>
        <v/>
      </c>
      <c r="G64" s="22" t="n"/>
    </row>
    <row r="65">
      <c r="A65" s="22" t="inlineStr">
        <is>
          <t>0115</t>
        </is>
      </c>
      <c r="B65" s="11" t="inlineStr">
        <is>
          <t>Coolie</t>
        </is>
      </c>
      <c r="C65" s="22" t="inlineStr">
        <is>
          <t>day</t>
        </is>
      </c>
      <c r="D65" s="23" t="n">
        <v>1</v>
      </c>
      <c r="E65" s="24" t="n">
        <v>558</v>
      </c>
      <c r="F65" s="24">
        <f>D65*E65</f>
        <v/>
      </c>
      <c r="G65" s="22" t="n"/>
    </row>
    <row r="66">
      <c r="A66" s="22" t="inlineStr">
        <is>
          <t>0101</t>
        </is>
      </c>
      <c r="B66" s="11" t="inlineStr">
        <is>
          <t>Bhisti</t>
        </is>
      </c>
      <c r="C66" s="22" t="inlineStr">
        <is>
          <t>day</t>
        </is>
      </c>
      <c r="D66" s="23" t="n">
        <v>0.18</v>
      </c>
      <c r="E66" s="24" t="n">
        <v>617</v>
      </c>
      <c r="F66" s="24">
        <f>D66*E66</f>
        <v/>
      </c>
      <c r="G66" s="22" t="n"/>
    </row>
    <row r="67">
      <c r="A67" s="8" t="inlineStr">
        <is>
          <t>Calculated W - SUM of the Amount column above</t>
        </is>
      </c>
      <c r="B67" s="9" t="n"/>
      <c r="C67" s="9" t="n"/>
      <c r="D67" s="9" t="n"/>
      <c r="E67" s="9" t="n"/>
      <c r="F67" s="25">
        <f>SUM(F59:F66)</f>
        <v/>
      </c>
      <c r="G67" s="9" t="n"/>
    </row>
    <row r="68">
      <c r="A68" s="26" t="inlineStr">
        <is>
          <t>W as printed in the DAR</t>
        </is>
      </c>
      <c r="B68" s="22" t="n"/>
      <c r="C68" s="22" t="n"/>
      <c r="D68" s="22" t="n"/>
      <c r="E68" s="22" t="n"/>
      <c r="F68" s="27" t="n">
        <v>3963.25</v>
      </c>
      <c r="G68" s="22" t="n"/>
    </row>
    <row r="69">
      <c r="A69" s="26" t="inlineStr">
        <is>
          <t>Difference (calculated - printed)</t>
        </is>
      </c>
      <c r="B69" s="22" t="n"/>
      <c r="C69" s="22" t="n"/>
      <c r="D69" s="22" t="n"/>
      <c r="E69" s="22" t="n"/>
      <c r="F69" s="27">
        <f>F67-F68</f>
        <v/>
      </c>
      <c r="G69" s="22" t="n"/>
    </row>
    <row r="70">
      <c r="A70" s="29" t="inlineStr">
        <is>
          <t>SAY (Rs.) - final DAR rate as printed (fixed value, not computed)</t>
        </is>
      </c>
      <c r="B70" s="30" t="n"/>
      <c r="C70" s="30" t="n"/>
      <c r="D70" s="30" t="n"/>
      <c r="E70" s="30" t="n"/>
      <c r="F70" s="31" t="n">
        <v>5302.6</v>
      </c>
      <c r="G70" s="30" t="n"/>
    </row>
    <row r="72" ht="33" customHeight="1">
      <c r="A72" s="8" t="inlineStr">
        <is>
          <t>6.3</t>
        </is>
      </c>
      <c r="B72" s="17" t="inlineStr">
        <is>
          <t>Brick work with common burnt clay machine moulded perforated bricks of class designation 12.5 conforming to IS: 2222 in superstructure above plinth level up to floor five level in cement mortar 1:6 (1 cement : 6 coarse sand) :</t>
        </is>
      </c>
      <c r="C72" s="9" t="n"/>
      <c r="D72" s="9" t="n"/>
      <c r="E72" s="9" t="n"/>
      <c r="F72" s="9" t="n"/>
      <c r="G72" s="9" t="n"/>
    </row>
    <row r="73" ht="18.5" customHeight="1">
      <c r="A73" s="18" t="inlineStr">
        <is>
          <t>6.3.1</t>
        </is>
      </c>
      <c r="B73" s="19" t="inlineStr">
        <is>
          <t>With F.P.S.(non modular) bricks</t>
        </is>
      </c>
      <c r="C73" s="20" t="n"/>
      <c r="D73" s="20" t="n"/>
      <c r="E73" s="20" t="n"/>
      <c r="F73" s="20" t="n"/>
      <c r="G73" s="20" t="n"/>
    </row>
    <row r="74">
      <c r="A74" s="21" t="inlineStr">
        <is>
          <t>Details of cost for 1 cum   |   Source: CivilDAR_2019_Vol_1.pdf, page 284</t>
        </is>
      </c>
    </row>
    <row r="75">
      <c r="A75" s="5" t="inlineStr">
        <is>
          <t>Code</t>
        </is>
      </c>
      <c r="B75" s="5" t="inlineStr">
        <is>
          <t>Description</t>
        </is>
      </c>
      <c r="C75" s="5" t="inlineStr">
        <is>
          <t>Unit</t>
        </is>
      </c>
      <c r="D75" s="5" t="inlineStr">
        <is>
          <t>Quantity</t>
        </is>
      </c>
      <c r="E75" s="5" t="inlineStr">
        <is>
          <t>Rate (Rs.)</t>
        </is>
      </c>
      <c r="F75" s="5" t="inlineStr">
        <is>
          <t>Amount (Rs.)</t>
        </is>
      </c>
      <c r="G75" s="5" t="inlineStr">
        <is>
          <t>Note</t>
        </is>
      </c>
    </row>
    <row r="76">
      <c r="A76" s="22" t="inlineStr">
        <is>
          <t>7901</t>
        </is>
      </c>
      <c r="B76" s="11" t="inlineStr">
        <is>
          <t>Machine moulded perforated common burnt clay FPS (non modular) bricks of class designation 12.5</t>
        </is>
      </c>
      <c r="C76" s="22" t="inlineStr">
        <is>
          <t>1000 Nos</t>
        </is>
      </c>
      <c r="D76" s="23" t="n">
        <v>0.494</v>
      </c>
      <c r="E76" s="24" t="n">
        <v>4700</v>
      </c>
      <c r="F76" s="24">
        <f>D76*E76</f>
        <v/>
      </c>
      <c r="G76" s="22" t="n"/>
    </row>
    <row r="77">
      <c r="A77" s="22" t="inlineStr">
        <is>
          <t>2201</t>
        </is>
      </c>
      <c r="B77" s="11" t="inlineStr">
        <is>
          <t>Carriage of Bricks</t>
        </is>
      </c>
      <c r="C77" s="22" t="inlineStr">
        <is>
          <t>1000 Nos</t>
        </is>
      </c>
      <c r="D77" s="23" t="n">
        <v>0.494</v>
      </c>
      <c r="E77" s="24" t="n">
        <v>276.72</v>
      </c>
      <c r="F77" s="24">
        <f>D77*E77</f>
        <v/>
      </c>
      <c r="G77" s="22" t="n"/>
    </row>
    <row r="78">
      <c r="A78" s="7" t="inlineStr">
        <is>
          <t>3.11</t>
        </is>
      </c>
      <c r="B78" s="11" t="inlineStr">
        <is>
          <t>Rate as per item 3.11 - Cement mortar 1:6 (1 cement : 6 coarse sand)</t>
        </is>
      </c>
      <c r="C78" s="22" t="inlineStr">
        <is>
          <t>cum</t>
        </is>
      </c>
      <c r="D78" s="23" t="n">
        <v>0.25</v>
      </c>
      <c r="E78" s="24" t="n">
        <v>3356.15</v>
      </c>
      <c r="F78" s="24">
        <f>D78*E78</f>
        <v/>
      </c>
      <c r="G78" s="22" t="n"/>
    </row>
    <row r="79">
      <c r="A79" s="22" t="inlineStr">
        <is>
          <t>9999</t>
        </is>
      </c>
      <c r="B79" s="11" t="inlineStr">
        <is>
          <t>Sundries</t>
        </is>
      </c>
      <c r="C79" s="22" t="inlineStr">
        <is>
          <t>L.S.</t>
        </is>
      </c>
      <c r="D79" s="23" t="n">
        <v>2.73</v>
      </c>
      <c r="E79" s="24" t="n">
        <v>2</v>
      </c>
      <c r="F79" s="24">
        <f>D79*E79</f>
        <v/>
      </c>
      <c r="G79" s="22" t="n"/>
    </row>
    <row r="80">
      <c r="A80" s="22" t="inlineStr">
        <is>
          <t>0123</t>
        </is>
      </c>
      <c r="B80" s="11" t="inlineStr">
        <is>
          <t>Mason (brick layer) 1st class</t>
        </is>
      </c>
      <c r="C80" s="22" t="inlineStr">
        <is>
          <t>day</t>
        </is>
      </c>
      <c r="D80" s="23" t="n">
        <v>0.47</v>
      </c>
      <c r="E80" s="24" t="n">
        <v>738</v>
      </c>
      <c r="F80" s="24">
        <f>D80*E80</f>
        <v/>
      </c>
      <c r="G80" s="22" t="n"/>
    </row>
    <row r="81">
      <c r="A81" s="22" t="inlineStr">
        <is>
          <t>0124</t>
        </is>
      </c>
      <c r="B81" s="11" t="inlineStr">
        <is>
          <t>Mason (brick layer) 2nd class</t>
        </is>
      </c>
      <c r="C81" s="22" t="inlineStr">
        <is>
          <t>day</t>
        </is>
      </c>
      <c r="D81" s="23" t="n">
        <v>0.47</v>
      </c>
      <c r="E81" s="24" t="n">
        <v>679</v>
      </c>
      <c r="F81" s="24">
        <f>D81*E81</f>
        <v/>
      </c>
      <c r="G81" s="22" t="n"/>
    </row>
    <row r="82">
      <c r="A82" s="22" t="inlineStr">
        <is>
          <t>0115</t>
        </is>
      </c>
      <c r="B82" s="11" t="inlineStr">
        <is>
          <t>Coolie</t>
        </is>
      </c>
      <c r="C82" s="22" t="inlineStr">
        <is>
          <t>day</t>
        </is>
      </c>
      <c r="D82" s="23" t="n">
        <v>1.8</v>
      </c>
      <c r="E82" s="24" t="n">
        <v>558</v>
      </c>
      <c r="F82" s="24">
        <f>D82*E82</f>
        <v/>
      </c>
      <c r="G82" s="22" t="n"/>
    </row>
    <row r="83">
      <c r="A83" s="22" t="inlineStr">
        <is>
          <t>0101</t>
        </is>
      </c>
      <c r="B83" s="11" t="inlineStr">
        <is>
          <t>Bhisti</t>
        </is>
      </c>
      <c r="C83" s="22" t="inlineStr">
        <is>
          <t>day</t>
        </is>
      </c>
      <c r="D83" s="23" t="n">
        <v>0.2</v>
      </c>
      <c r="E83" s="24" t="n">
        <v>617</v>
      </c>
      <c r="F83" s="24">
        <f>D83*E83</f>
        <v/>
      </c>
      <c r="G83" s="22" t="n"/>
    </row>
    <row r="84">
      <c r="A84" s="22" t="inlineStr">
        <is>
          <t>9999</t>
        </is>
      </c>
      <c r="B84" s="11" t="inlineStr">
        <is>
          <t>Scaffolding</t>
        </is>
      </c>
      <c r="C84" s="22" t="inlineStr">
        <is>
          <t>L.S.</t>
        </is>
      </c>
      <c r="D84" s="23" t="n">
        <v>22.36</v>
      </c>
      <c r="E84" s="24" t="n">
        <v>2</v>
      </c>
      <c r="F84" s="24">
        <f>D84*E84</f>
        <v/>
      </c>
      <c r="G84" s="22" t="n"/>
    </row>
    <row r="85">
      <c r="A85" s="22" t="inlineStr">
        <is>
          <t>0115</t>
        </is>
      </c>
      <c r="B85" s="11" t="inlineStr">
        <is>
          <t>Coolie</t>
        </is>
      </c>
      <c r="C85" s="22" t="inlineStr">
        <is>
          <t>day</t>
        </is>
      </c>
      <c r="D85" s="23" t="n">
        <v>1.13</v>
      </c>
      <c r="E85" s="24" t="n">
        <v>558</v>
      </c>
      <c r="F85" s="24">
        <f>D85*E85</f>
        <v/>
      </c>
      <c r="G85" s="22" t="n"/>
    </row>
    <row r="86">
      <c r="A86" s="8" t="inlineStr">
        <is>
          <t>Calculated W - SUM of the Amount column above</t>
        </is>
      </c>
      <c r="B86" s="9" t="n"/>
      <c r="C86" s="9" t="n"/>
      <c r="D86" s="9" t="n"/>
      <c r="E86" s="9" t="n"/>
      <c r="F86" s="25">
        <f>SUM(F76:F85)</f>
        <v/>
      </c>
      <c r="G86" s="9" t="n"/>
    </row>
    <row r="87">
      <c r="A87" s="26" t="inlineStr">
        <is>
          <t>W as printed in the DAR</t>
        </is>
      </c>
      <c r="B87" s="22" t="n"/>
      <c r="C87" s="22" t="n"/>
      <c r="D87" s="22" t="n"/>
      <c r="E87" s="22" t="n"/>
      <c r="F87" s="27" t="n">
        <v>5772.05</v>
      </c>
      <c r="G87" s="22" t="n"/>
    </row>
    <row r="88">
      <c r="A88" s="26" t="inlineStr">
        <is>
          <t>Difference (calculated - printed)</t>
        </is>
      </c>
      <c r="B88" s="22" t="n"/>
      <c r="C88" s="22" t="n"/>
      <c r="D88" s="22" t="n"/>
      <c r="E88" s="22" t="n"/>
      <c r="F88" s="27">
        <f>F86-F87</f>
        <v/>
      </c>
      <c r="G88" s="22" t="n"/>
    </row>
    <row r="89">
      <c r="A89" s="29" t="inlineStr">
        <is>
          <t>SAY (Rs.) - final DAR rate as printed (fixed value, not computed)</t>
        </is>
      </c>
      <c r="B89" s="30" t="n"/>
      <c r="C89" s="30" t="n"/>
      <c r="D89" s="30" t="n"/>
      <c r="E89" s="30" t="n"/>
      <c r="F89" s="31" t="n">
        <v>7722.65</v>
      </c>
      <c r="G89" s="30" t="n"/>
    </row>
    <row r="91" ht="33" customHeight="1">
      <c r="A91" s="8" t="inlineStr">
        <is>
          <t>6.3</t>
        </is>
      </c>
      <c r="B91" s="17" t="inlineStr">
        <is>
          <t>Brick work with common burnt clay machine moulded perforated bricks of class designation 12.5 conforming to IS: 2222 in superstructure above plinth level up to floor five level in cement mortar 1:6 (1 cement : 6 coarse sand) :</t>
        </is>
      </c>
      <c r="C91" s="9" t="n"/>
      <c r="D91" s="9" t="n"/>
      <c r="E91" s="9" t="n"/>
      <c r="F91" s="9" t="n"/>
      <c r="G91" s="9" t="n"/>
    </row>
    <row r="92" ht="18.5" customHeight="1">
      <c r="A92" s="18" t="inlineStr">
        <is>
          <t>6.3.2</t>
        </is>
      </c>
      <c r="B92" s="19" t="inlineStr">
        <is>
          <t>With Modular bricks</t>
        </is>
      </c>
      <c r="C92" s="20" t="n"/>
      <c r="D92" s="20" t="n"/>
      <c r="E92" s="20" t="n"/>
      <c r="F92" s="20" t="n"/>
      <c r="G92" s="20" t="n"/>
    </row>
    <row r="93">
      <c r="A93" s="21" t="inlineStr">
        <is>
          <t>Details of cost for 1 cum   |   Source: CivilDAR_2019_Vol_1.pdf, page 285</t>
        </is>
      </c>
    </row>
    <row r="94">
      <c r="A94" s="5" t="inlineStr">
        <is>
          <t>Code</t>
        </is>
      </c>
      <c r="B94" s="5" t="inlineStr">
        <is>
          <t>Description</t>
        </is>
      </c>
      <c r="C94" s="5" t="inlineStr">
        <is>
          <t>Unit</t>
        </is>
      </c>
      <c r="D94" s="5" t="inlineStr">
        <is>
          <t>Quantity</t>
        </is>
      </c>
      <c r="E94" s="5" t="inlineStr">
        <is>
          <t>Rate (Rs.)</t>
        </is>
      </c>
      <c r="F94" s="5" t="inlineStr">
        <is>
          <t>Amount (Rs.)</t>
        </is>
      </c>
      <c r="G94" s="5" t="inlineStr">
        <is>
          <t>Note</t>
        </is>
      </c>
    </row>
    <row r="95">
      <c r="A95" s="22" t="inlineStr">
        <is>
          <t>7902</t>
        </is>
      </c>
      <c r="B95" s="11" t="inlineStr">
        <is>
          <t>Machine moulded common burnt clay modular perforated bricks of class designation 12.5</t>
        </is>
      </c>
      <c r="C95" s="22" t="inlineStr">
        <is>
          <t>1000 Nos</t>
        </is>
      </c>
      <c r="D95" s="23" t="n">
        <v>0.487</v>
      </c>
      <c r="E95" s="24" t="n">
        <v>5200</v>
      </c>
      <c r="F95" s="24">
        <f>D95*E95</f>
        <v/>
      </c>
      <c r="G95" s="22" t="n"/>
    </row>
    <row r="96">
      <c r="A96" s="22" t="inlineStr">
        <is>
          <t>2201</t>
        </is>
      </c>
      <c r="B96" s="11" t="inlineStr">
        <is>
          <t>Carriage of Bricks</t>
        </is>
      </c>
      <c r="C96" s="22" t="inlineStr">
        <is>
          <t>1000 Nos</t>
        </is>
      </c>
      <c r="D96" s="23" t="n">
        <v>0.487</v>
      </c>
      <c r="E96" s="24" t="n">
        <v>276.72</v>
      </c>
      <c r="F96" s="24">
        <f>D96*E96</f>
        <v/>
      </c>
      <c r="G96" s="22" t="n"/>
    </row>
    <row r="97">
      <c r="A97" s="7" t="inlineStr">
        <is>
          <t>3.11</t>
        </is>
      </c>
      <c r="B97" s="11" t="inlineStr">
        <is>
          <t>Rate as per item 3.11 - Cement mortar 1:6 (1 cement : 6 coarse sand)</t>
        </is>
      </c>
      <c r="C97" s="22" t="inlineStr">
        <is>
          <t>cum</t>
        </is>
      </c>
      <c r="D97" s="23" t="n">
        <v>0.22</v>
      </c>
      <c r="E97" s="24" t="n">
        <v>3356.15</v>
      </c>
      <c r="F97" s="24">
        <f>D97*E97</f>
        <v/>
      </c>
      <c r="G97" s="22" t="n"/>
    </row>
    <row r="98">
      <c r="A98" s="22" t="inlineStr">
        <is>
          <t>9999</t>
        </is>
      </c>
      <c r="B98" s="11" t="inlineStr">
        <is>
          <t>Sundries</t>
        </is>
      </c>
      <c r="C98" s="22" t="inlineStr">
        <is>
          <t>L.S.</t>
        </is>
      </c>
      <c r="D98" s="23" t="n">
        <v>2.73</v>
      </c>
      <c r="E98" s="24" t="n">
        <v>2</v>
      </c>
      <c r="F98" s="24">
        <f>D98*E98</f>
        <v/>
      </c>
      <c r="G98" s="22" t="n"/>
    </row>
    <row r="99">
      <c r="A99" s="22" t="inlineStr">
        <is>
          <t>0123</t>
        </is>
      </c>
      <c r="B99" s="11" t="inlineStr">
        <is>
          <t>Mason (brick layer) 1st class</t>
        </is>
      </c>
      <c r="C99" s="22" t="inlineStr">
        <is>
          <t>day</t>
        </is>
      </c>
      <c r="D99" s="23" t="n">
        <v>0.44</v>
      </c>
      <c r="E99" s="24" t="n">
        <v>738</v>
      </c>
      <c r="F99" s="24">
        <f>D99*E99</f>
        <v/>
      </c>
      <c r="G99" s="22" t="n"/>
    </row>
    <row r="100">
      <c r="A100" s="22" t="inlineStr">
        <is>
          <t>0124</t>
        </is>
      </c>
      <c r="B100" s="11" t="inlineStr">
        <is>
          <t>Mason (brick layer) 2nd class</t>
        </is>
      </c>
      <c r="C100" s="22" t="inlineStr">
        <is>
          <t>day</t>
        </is>
      </c>
      <c r="D100" s="23" t="n">
        <v>0.44</v>
      </c>
      <c r="E100" s="24" t="n">
        <v>679</v>
      </c>
      <c r="F100" s="24">
        <f>D100*E100</f>
        <v/>
      </c>
      <c r="G100" s="22" t="n"/>
    </row>
    <row r="101">
      <c r="A101" s="22" t="inlineStr">
        <is>
          <t>0115</t>
        </is>
      </c>
      <c r="B101" s="11" t="inlineStr">
        <is>
          <t>Coolie</t>
        </is>
      </c>
      <c r="C101" s="22" t="inlineStr">
        <is>
          <t>day</t>
        </is>
      </c>
      <c r="D101" s="23" t="n">
        <v>1.43</v>
      </c>
      <c r="E101" s="24" t="n">
        <v>558</v>
      </c>
      <c r="F101" s="24">
        <f>D101*E101</f>
        <v/>
      </c>
      <c r="G101" s="22" t="n"/>
    </row>
    <row r="102">
      <c r="A102" s="22" t="inlineStr">
        <is>
          <t>0101</t>
        </is>
      </c>
      <c r="B102" s="11" t="inlineStr">
        <is>
          <t>Bhisti</t>
        </is>
      </c>
      <c r="C102" s="22" t="inlineStr">
        <is>
          <t>day</t>
        </is>
      </c>
      <c r="D102" s="23" t="n">
        <v>0.18</v>
      </c>
      <c r="E102" s="24" t="n">
        <v>617</v>
      </c>
      <c r="F102" s="24">
        <f>D102*E102</f>
        <v/>
      </c>
      <c r="G102" s="22" t="n"/>
    </row>
    <row r="103">
      <c r="A103" s="22" t="inlineStr">
        <is>
          <t>9999</t>
        </is>
      </c>
      <c r="B103" s="11" t="inlineStr">
        <is>
          <t>Scaffolding</t>
        </is>
      </c>
      <c r="C103" s="22" t="inlineStr">
        <is>
          <t>L.S.</t>
        </is>
      </c>
      <c r="D103" s="23" t="n">
        <v>16.38</v>
      </c>
      <c r="E103" s="24" t="n">
        <v>2</v>
      </c>
      <c r="F103" s="24">
        <f>D103*E103</f>
        <v/>
      </c>
      <c r="G103" s="22" t="n"/>
    </row>
    <row r="104">
      <c r="A104" s="22" t="inlineStr">
        <is>
          <t>0115</t>
        </is>
      </c>
      <c r="B104" s="11" t="inlineStr">
        <is>
          <t>Coolie</t>
        </is>
      </c>
      <c r="C104" s="22" t="inlineStr">
        <is>
          <t>day</t>
        </is>
      </c>
      <c r="D104" s="23" t="n">
        <v>1.13</v>
      </c>
      <c r="E104" s="24" t="n">
        <v>558</v>
      </c>
      <c r="F104" s="24">
        <f>D104*E104</f>
        <v/>
      </c>
      <c r="G104" s="22" t="n"/>
    </row>
    <row r="105">
      <c r="A105" s="8" t="inlineStr">
        <is>
          <t>Calculated W - SUM of the Amount column above</t>
        </is>
      </c>
      <c r="B105" s="9" t="n"/>
      <c r="C105" s="9" t="n"/>
      <c r="D105" s="9" t="n"/>
      <c r="E105" s="9" t="n"/>
      <c r="F105" s="25">
        <f>SUM(F95:F104)</f>
        <v/>
      </c>
      <c r="G105" s="9" t="n"/>
    </row>
    <row r="106">
      <c r="A106" s="26" t="inlineStr">
        <is>
          <t>W as printed in the DAR</t>
        </is>
      </c>
      <c r="B106" s="22" t="n"/>
      <c r="C106" s="22" t="n"/>
      <c r="D106" s="22" t="n"/>
      <c r="E106" s="22" t="n"/>
      <c r="F106" s="27" t="n">
        <v>5606.76</v>
      </c>
      <c r="G106" s="22" t="n"/>
    </row>
    <row r="107">
      <c r="A107" s="26" t="inlineStr">
        <is>
          <t>Difference (calculated - printed)</t>
        </is>
      </c>
      <c r="B107" s="22" t="n"/>
      <c r="C107" s="22" t="n"/>
      <c r="D107" s="22" t="n"/>
      <c r="E107" s="22" t="n"/>
      <c r="F107" s="27">
        <f>F105-F106</f>
        <v/>
      </c>
      <c r="G107" s="22" t="n"/>
    </row>
    <row r="108">
      <c r="A108" s="29" t="inlineStr">
        <is>
          <t>SAY (Rs.) - final DAR rate as printed (fixed value, not computed)</t>
        </is>
      </c>
      <c r="B108" s="30" t="n"/>
      <c r="C108" s="30" t="n"/>
      <c r="D108" s="30" t="n"/>
      <c r="E108" s="30" t="n"/>
      <c r="F108" s="31" t="n">
        <v>7501.5</v>
      </c>
      <c r="G108" s="30" t="n"/>
    </row>
    <row r="110" ht="33" customHeight="1">
      <c r="A110" s="8" t="inlineStr">
        <is>
          <t>6.4</t>
        </is>
      </c>
      <c r="B110" s="17" t="inlineStr">
        <is>
          <t>Brick work with common burnt clay F.P.S. (non modular) bricks of class designation 7.5 in superstructure above plinth level up to floor V level in all shapes and sizes in :</t>
        </is>
      </c>
      <c r="C110" s="9" t="n"/>
      <c r="D110" s="9" t="n"/>
      <c r="E110" s="9" t="n"/>
      <c r="F110" s="9" t="n"/>
      <c r="G110" s="9" t="n"/>
    </row>
    <row r="111" ht="18.5" customHeight="1">
      <c r="A111" s="18" t="inlineStr">
        <is>
          <t>6.4.1</t>
        </is>
      </c>
      <c r="B111" s="19" t="inlineStr">
        <is>
          <t>Cement mortar 1:4 (1 cement : 4 coarse sand)</t>
        </is>
      </c>
      <c r="C111" s="20" t="n"/>
      <c r="D111" s="20" t="n"/>
      <c r="E111" s="20" t="n"/>
      <c r="F111" s="20" t="n"/>
      <c r="G111" s="20" t="n"/>
    </row>
    <row r="112">
      <c r="A112" s="21" t="inlineStr">
        <is>
          <t>Details of cost for 1 cum   |   Source: CivilDAR_2019_Vol_1.pdf, page 286</t>
        </is>
      </c>
    </row>
    <row r="113">
      <c r="A113" s="5" t="inlineStr">
        <is>
          <t>Code</t>
        </is>
      </c>
      <c r="B113" s="5" t="inlineStr">
        <is>
          <t>Description</t>
        </is>
      </c>
      <c r="C113" s="5" t="inlineStr">
        <is>
          <t>Unit</t>
        </is>
      </c>
      <c r="D113" s="5" t="inlineStr">
        <is>
          <t>Quantity</t>
        </is>
      </c>
      <c r="E113" s="5" t="inlineStr">
        <is>
          <t>Rate (Rs.)</t>
        </is>
      </c>
      <c r="F113" s="5" t="inlineStr">
        <is>
          <t>Amount (Rs.)</t>
        </is>
      </c>
      <c r="G113" s="5" t="inlineStr">
        <is>
          <t>Note</t>
        </is>
      </c>
    </row>
    <row r="114">
      <c r="A114" s="22" t="inlineStr">
        <is>
          <t>2602</t>
        </is>
      </c>
      <c r="B114" s="11" t="inlineStr">
        <is>
          <t>Common burnt clay F.P.S. (non modular) bricks class designation 7.5</t>
        </is>
      </c>
      <c r="C114" s="22" t="inlineStr">
        <is>
          <t>1000 Nos</t>
        </is>
      </c>
      <c r="D114" s="23" t="n">
        <v>0.494</v>
      </c>
      <c r="E114" s="24" t="n">
        <v>4500</v>
      </c>
      <c r="F114" s="24">
        <f>D114*E114</f>
        <v/>
      </c>
      <c r="G114" s="22" t="n"/>
    </row>
    <row r="115">
      <c r="A115" s="7" t="inlineStr">
        <is>
          <t>3.9</t>
        </is>
      </c>
      <c r="B115" s="11" t="inlineStr">
        <is>
          <t>Rate as per item 3.9 - Cement mortar 1:4 (1 cement : 4 coarse sand)</t>
        </is>
      </c>
      <c r="C115" s="22" t="inlineStr">
        <is>
          <t>cum</t>
        </is>
      </c>
      <c r="D115" s="23" t="n">
        <v>0.25</v>
      </c>
      <c r="E115" s="24" t="n">
        <v>4010.35</v>
      </c>
      <c r="F115" s="24">
        <f>D115*E115</f>
        <v/>
      </c>
      <c r="G115" s="22" t="n"/>
    </row>
    <row r="116">
      <c r="A116" s="22" t="inlineStr">
        <is>
          <t>2201</t>
        </is>
      </c>
      <c r="B116" s="11" t="inlineStr">
        <is>
          <t>Carriage of Bricks</t>
        </is>
      </c>
      <c r="C116" s="22" t="inlineStr">
        <is>
          <t>1000 Nos</t>
        </is>
      </c>
      <c r="D116" s="23" t="n">
        <v>0.494</v>
      </c>
      <c r="E116" s="24" t="n">
        <v>276.72</v>
      </c>
      <c r="F116" s="24">
        <f>D116*E116</f>
        <v/>
      </c>
      <c r="G116" s="22" t="n"/>
    </row>
    <row r="117">
      <c r="A117" s="22" t="inlineStr">
        <is>
          <t>9999</t>
        </is>
      </c>
      <c r="B117" s="11" t="inlineStr">
        <is>
          <t>Sundries</t>
        </is>
      </c>
      <c r="C117" s="22" t="inlineStr">
        <is>
          <t>L.S.</t>
        </is>
      </c>
      <c r="D117" s="23" t="n">
        <v>2.73</v>
      </c>
      <c r="E117" s="24" t="n">
        <v>2</v>
      </c>
      <c r="F117" s="24">
        <f>D117*E117</f>
        <v/>
      </c>
      <c r="G117" s="22" t="n"/>
    </row>
    <row r="118">
      <c r="A118" s="22" t="inlineStr">
        <is>
          <t>0123</t>
        </is>
      </c>
      <c r="B118" s="11" t="inlineStr">
        <is>
          <t>Mason (brick layer) 1st class</t>
        </is>
      </c>
      <c r="C118" s="22" t="inlineStr">
        <is>
          <t>day</t>
        </is>
      </c>
      <c r="D118" s="23" t="n">
        <v>0.47</v>
      </c>
      <c r="E118" s="24" t="n">
        <v>738</v>
      </c>
      <c r="F118" s="24">
        <f>D118*E118</f>
        <v/>
      </c>
      <c r="G118" s="22" t="n"/>
    </row>
    <row r="119">
      <c r="A119" s="22" t="inlineStr">
        <is>
          <t>0124</t>
        </is>
      </c>
      <c r="B119" s="11" t="inlineStr">
        <is>
          <t>Mason (brick layer) 2nd class</t>
        </is>
      </c>
      <c r="C119" s="22" t="inlineStr">
        <is>
          <t>day</t>
        </is>
      </c>
      <c r="D119" s="23" t="n">
        <v>0.47</v>
      </c>
      <c r="E119" s="24" t="n">
        <v>679</v>
      </c>
      <c r="F119" s="24">
        <f>D119*E119</f>
        <v/>
      </c>
      <c r="G119" s="22" t="n"/>
    </row>
    <row r="120">
      <c r="A120" s="22" t="inlineStr">
        <is>
          <t>0115</t>
        </is>
      </c>
      <c r="B120" s="11" t="inlineStr">
        <is>
          <t>Coolie</t>
        </is>
      </c>
      <c r="C120" s="22" t="inlineStr">
        <is>
          <t>day</t>
        </is>
      </c>
      <c r="D120" s="23" t="n">
        <v>1.8</v>
      </c>
      <c r="E120" s="24" t="n">
        <v>558</v>
      </c>
      <c r="F120" s="24">
        <f>D120*E120</f>
        <v/>
      </c>
      <c r="G120" s="22" t="n"/>
    </row>
    <row r="121">
      <c r="A121" s="22" t="inlineStr">
        <is>
          <t>0101</t>
        </is>
      </c>
      <c r="B121" s="11" t="inlineStr">
        <is>
          <t>Bhisti</t>
        </is>
      </c>
      <c r="C121" s="22" t="inlineStr">
        <is>
          <t>day</t>
        </is>
      </c>
      <c r="D121" s="23" t="n">
        <v>0.2</v>
      </c>
      <c r="E121" s="24" t="n">
        <v>617</v>
      </c>
      <c r="F121" s="24">
        <f>D121*E121</f>
        <v/>
      </c>
      <c r="G121" s="22" t="n"/>
    </row>
    <row r="122">
      <c r="A122" s="22" t="inlineStr">
        <is>
          <t>9999</t>
        </is>
      </c>
      <c r="B122" s="11" t="inlineStr">
        <is>
          <t>Scaffolding</t>
        </is>
      </c>
      <c r="C122" s="22" t="inlineStr">
        <is>
          <t>L.S.</t>
        </is>
      </c>
      <c r="D122" s="23" t="n">
        <v>22.36</v>
      </c>
      <c r="E122" s="24" t="n">
        <v>2</v>
      </c>
      <c r="F122" s="24">
        <f>D122*E122</f>
        <v/>
      </c>
      <c r="G122" s="22" t="n"/>
    </row>
    <row r="123">
      <c r="A123" s="22" t="inlineStr">
        <is>
          <t>0115</t>
        </is>
      </c>
      <c r="B123" s="11" t="inlineStr">
        <is>
          <t>Coolie</t>
        </is>
      </c>
      <c r="C123" s="22" t="inlineStr">
        <is>
          <t>day</t>
        </is>
      </c>
      <c r="D123" s="23" t="n">
        <v>1.13</v>
      </c>
      <c r="E123" s="24" t="n">
        <v>558</v>
      </c>
      <c r="F123" s="24">
        <f>D123*E123</f>
        <v/>
      </c>
      <c r="G123" s="22" t="n"/>
    </row>
    <row r="124">
      <c r="A124" s="8" t="inlineStr">
        <is>
          <t>Calculated W - SUM of the Amount column above</t>
        </is>
      </c>
      <c r="B124" s="9" t="n"/>
      <c r="C124" s="9" t="n"/>
      <c r="D124" s="9" t="n"/>
      <c r="E124" s="9" t="n"/>
      <c r="F124" s="25">
        <f>SUM(F114:F123)</f>
        <v/>
      </c>
      <c r="G124" s="9" t="n"/>
    </row>
    <row r="125">
      <c r="A125" s="26" t="inlineStr">
        <is>
          <t>W as printed in the DAR</t>
        </is>
      </c>
      <c r="B125" s="22" t="n"/>
      <c r="C125" s="22" t="n"/>
      <c r="D125" s="22" t="n"/>
      <c r="E125" s="22" t="n"/>
      <c r="F125" s="27" t="n">
        <v>5836.8</v>
      </c>
      <c r="G125" s="22" t="n"/>
    </row>
    <row r="126">
      <c r="A126" s="26" t="inlineStr">
        <is>
          <t>Difference (calculated - printed)</t>
        </is>
      </c>
      <c r="B126" s="22" t="n"/>
      <c r="C126" s="22" t="n"/>
      <c r="D126" s="22" t="n"/>
      <c r="E126" s="22" t="n"/>
      <c r="F126" s="27">
        <f>F124-F125</f>
        <v/>
      </c>
      <c r="G126" s="22" t="n"/>
    </row>
    <row r="127">
      <c r="A127" s="29" t="inlineStr">
        <is>
          <t>SAY (Rs.) - final DAR rate as printed (fixed value, not computed)</t>
        </is>
      </c>
      <c r="B127" s="30" t="n"/>
      <c r="C127" s="30" t="n"/>
      <c r="D127" s="30" t="n"/>
      <c r="E127" s="30" t="n"/>
      <c r="F127" s="31" t="n">
        <v>7809.25</v>
      </c>
      <c r="G127" s="30" t="n"/>
    </row>
    <row r="129" ht="33" customHeight="1">
      <c r="A129" s="8" t="inlineStr">
        <is>
          <t>6.4</t>
        </is>
      </c>
      <c r="B129" s="17" t="inlineStr">
        <is>
          <t>Brick work with common burnt clay F.P.S. (non modular) bricks of class designation 7.5 in superstructure above plinth level up to floor V level in all shapes and sizes in :</t>
        </is>
      </c>
      <c r="C129" s="9" t="n"/>
      <c r="D129" s="9" t="n"/>
      <c r="E129" s="9" t="n"/>
      <c r="F129" s="9" t="n"/>
      <c r="G129" s="9" t="n"/>
    </row>
    <row r="130" ht="18.5" customHeight="1">
      <c r="A130" s="18" t="inlineStr">
        <is>
          <t>6.4.2</t>
        </is>
      </c>
      <c r="B130" s="19" t="inlineStr">
        <is>
          <t>Cement mortar 1:6 (1 cement : 6 coarse sand)</t>
        </is>
      </c>
      <c r="C130" s="20" t="n"/>
      <c r="D130" s="20" t="n"/>
      <c r="E130" s="20" t="n"/>
      <c r="F130" s="20" t="n"/>
      <c r="G130" s="20" t="n"/>
    </row>
    <row r="131">
      <c r="A131" s="21" t="inlineStr">
        <is>
          <t>Details of cost for 1 cum   |   Source: CivilDAR_2019_Vol_1.pdf, page 286</t>
        </is>
      </c>
    </row>
    <row r="132">
      <c r="A132" s="5" t="inlineStr">
        <is>
          <t>Code</t>
        </is>
      </c>
      <c r="B132" s="5" t="inlineStr">
        <is>
          <t>Description</t>
        </is>
      </c>
      <c r="C132" s="5" t="inlineStr">
        <is>
          <t>Unit</t>
        </is>
      </c>
      <c r="D132" s="5" t="inlineStr">
        <is>
          <t>Quantity</t>
        </is>
      </c>
      <c r="E132" s="5" t="inlineStr">
        <is>
          <t>Rate (Rs.)</t>
        </is>
      </c>
      <c r="F132" s="5" t="inlineStr">
        <is>
          <t>Amount (Rs.)</t>
        </is>
      </c>
      <c r="G132" s="5" t="inlineStr">
        <is>
          <t>Note</t>
        </is>
      </c>
    </row>
    <row r="133">
      <c r="A133" s="22" t="inlineStr">
        <is>
          <t>2602</t>
        </is>
      </c>
      <c r="B133" s="11" t="inlineStr">
        <is>
          <t>Common burnt clay F.P.S. (non modular) bricks class designation 7.5</t>
        </is>
      </c>
      <c r="C133" s="22" t="inlineStr">
        <is>
          <t>1000 Nos</t>
        </is>
      </c>
      <c r="D133" s="23" t="n">
        <v>0.494</v>
      </c>
      <c r="E133" s="24" t="n">
        <v>4500</v>
      </c>
      <c r="F133" s="24">
        <f>D133*E133</f>
        <v/>
      </c>
      <c r="G133" s="22" t="n"/>
    </row>
    <row r="134">
      <c r="A134" s="7" t="inlineStr">
        <is>
          <t>3.11</t>
        </is>
      </c>
      <c r="B134" s="11" t="inlineStr">
        <is>
          <t>Rate as per item 3.11 - Cement mortar 1:6 (1 cement : 6 coarse sand)</t>
        </is>
      </c>
      <c r="C134" s="22" t="inlineStr">
        <is>
          <t>cum</t>
        </is>
      </c>
      <c r="D134" s="23" t="n">
        <v>0.25</v>
      </c>
      <c r="E134" s="24" t="n">
        <v>3356.15</v>
      </c>
      <c r="F134" s="24">
        <f>D134*E134</f>
        <v/>
      </c>
      <c r="G134" s="22" t="n"/>
    </row>
    <row r="135">
      <c r="A135" s="22" t="inlineStr">
        <is>
          <t>2201</t>
        </is>
      </c>
      <c r="B135" s="11" t="inlineStr">
        <is>
          <t>Carriage of Bricks</t>
        </is>
      </c>
      <c r="C135" s="22" t="inlineStr">
        <is>
          <t>1000 Nos</t>
        </is>
      </c>
      <c r="D135" s="23" t="n">
        <v>0.494</v>
      </c>
      <c r="E135" s="24" t="n">
        <v>276.72</v>
      </c>
      <c r="F135" s="24">
        <f>D135*E135</f>
        <v/>
      </c>
      <c r="G135" s="22" t="n"/>
    </row>
    <row r="136">
      <c r="A136" s="22" t="inlineStr">
        <is>
          <t>9999</t>
        </is>
      </c>
      <c r="B136" s="11" t="inlineStr">
        <is>
          <t>Sundries</t>
        </is>
      </c>
      <c r="C136" s="22" t="inlineStr">
        <is>
          <t>L.S.</t>
        </is>
      </c>
      <c r="D136" s="23" t="n">
        <v>2.73</v>
      </c>
      <c r="E136" s="24" t="n">
        <v>2</v>
      </c>
      <c r="F136" s="24">
        <f>D136*E136</f>
        <v/>
      </c>
      <c r="G136" s="22" t="n"/>
    </row>
    <row r="137">
      <c r="A137" s="22" t="inlineStr">
        <is>
          <t>0123</t>
        </is>
      </c>
      <c r="B137" s="11" t="inlineStr">
        <is>
          <t>Mason (brick layer) 1st class</t>
        </is>
      </c>
      <c r="C137" s="22" t="inlineStr">
        <is>
          <t>day</t>
        </is>
      </c>
      <c r="D137" s="23" t="n">
        <v>0.47</v>
      </c>
      <c r="E137" s="24" t="n">
        <v>738</v>
      </c>
      <c r="F137" s="24">
        <f>D137*E137</f>
        <v/>
      </c>
      <c r="G137" s="22" t="n"/>
    </row>
    <row r="138">
      <c r="A138" s="22" t="inlineStr">
        <is>
          <t>0124</t>
        </is>
      </c>
      <c r="B138" s="11" t="inlineStr">
        <is>
          <t>Mason (brick layer) 2nd class</t>
        </is>
      </c>
      <c r="C138" s="22" t="inlineStr">
        <is>
          <t>day</t>
        </is>
      </c>
      <c r="D138" s="23" t="n">
        <v>0.47</v>
      </c>
      <c r="E138" s="24" t="n">
        <v>679</v>
      </c>
      <c r="F138" s="24">
        <f>D138*E138</f>
        <v/>
      </c>
      <c r="G138" s="22" t="n"/>
    </row>
    <row r="139">
      <c r="A139" s="22" t="inlineStr">
        <is>
          <t>0115</t>
        </is>
      </c>
      <c r="B139" s="11" t="inlineStr">
        <is>
          <t>Coolie</t>
        </is>
      </c>
      <c r="C139" s="22" t="inlineStr">
        <is>
          <t>day</t>
        </is>
      </c>
      <c r="D139" s="23" t="n">
        <v>1.8</v>
      </c>
      <c r="E139" s="24" t="n">
        <v>558</v>
      </c>
      <c r="F139" s="24">
        <f>D139*E139</f>
        <v/>
      </c>
      <c r="G139" s="22" t="n"/>
    </row>
    <row r="140">
      <c r="A140" s="22" t="inlineStr">
        <is>
          <t>0101</t>
        </is>
      </c>
      <c r="B140" s="11" t="inlineStr">
        <is>
          <t>Bhisti</t>
        </is>
      </c>
      <c r="C140" s="22" t="inlineStr">
        <is>
          <t>day</t>
        </is>
      </c>
      <c r="D140" s="23" t="n">
        <v>0.2</v>
      </c>
      <c r="E140" s="24" t="n">
        <v>617</v>
      </c>
      <c r="F140" s="24">
        <f>D140*E140</f>
        <v/>
      </c>
      <c r="G140" s="22" t="n"/>
    </row>
    <row r="141">
      <c r="A141" s="22" t="inlineStr">
        <is>
          <t>9999</t>
        </is>
      </c>
      <c r="B141" s="11" t="inlineStr">
        <is>
          <t>Scaffolding</t>
        </is>
      </c>
      <c r="C141" s="22" t="inlineStr">
        <is>
          <t>L.S.</t>
        </is>
      </c>
      <c r="D141" s="23" t="n">
        <v>22.36</v>
      </c>
      <c r="E141" s="24" t="n">
        <v>2</v>
      </c>
      <c r="F141" s="24">
        <f>D141*E141</f>
        <v/>
      </c>
      <c r="G141" s="22" t="n"/>
    </row>
    <row r="142">
      <c r="A142" s="22" t="inlineStr">
        <is>
          <t>0115</t>
        </is>
      </c>
      <c r="B142" s="11" t="inlineStr">
        <is>
          <t>Coolie</t>
        </is>
      </c>
      <c r="C142" s="22" t="inlineStr">
        <is>
          <t>day</t>
        </is>
      </c>
      <c r="D142" s="23" t="n">
        <v>1.13</v>
      </c>
      <c r="E142" s="24" t="n">
        <v>558</v>
      </c>
      <c r="F142" s="24">
        <f>D142*E142</f>
        <v/>
      </c>
      <c r="G142" s="22" t="n"/>
    </row>
    <row r="143">
      <c r="A143" s="8" t="inlineStr">
        <is>
          <t>Calculated W - SUM of the Amount column above</t>
        </is>
      </c>
      <c r="B143" s="9" t="n"/>
      <c r="C143" s="9" t="n"/>
      <c r="D143" s="9" t="n"/>
      <c r="E143" s="9" t="n"/>
      <c r="F143" s="25">
        <f>SUM(F133:F142)</f>
        <v/>
      </c>
      <c r="G143" s="9" t="n"/>
    </row>
    <row r="144">
      <c r="A144" s="26" t="inlineStr">
        <is>
          <t>W as printed in the DAR</t>
        </is>
      </c>
      <c r="B144" s="22" t="n"/>
      <c r="C144" s="22" t="n"/>
      <c r="D144" s="22" t="n"/>
      <c r="E144" s="22" t="n"/>
      <c r="F144" s="27" t="n">
        <v>5673.25</v>
      </c>
      <c r="G144" s="22" t="n"/>
    </row>
    <row r="145">
      <c r="A145" s="26" t="inlineStr">
        <is>
          <t>Difference (calculated - printed)</t>
        </is>
      </c>
      <c r="B145" s="22" t="n"/>
      <c r="C145" s="22" t="n"/>
      <c r="D145" s="22" t="n"/>
      <c r="E145" s="22" t="n"/>
      <c r="F145" s="27">
        <f>F143-F144</f>
        <v/>
      </c>
      <c r="G145" s="22" t="n"/>
    </row>
    <row r="146">
      <c r="A146" s="29" t="inlineStr">
        <is>
          <t>SAY (Rs.) - final DAR rate as printed (fixed value, not computed)</t>
        </is>
      </c>
      <c r="B146" s="30" t="n"/>
      <c r="C146" s="30" t="n"/>
      <c r="D146" s="30" t="n"/>
      <c r="E146" s="30" t="n"/>
      <c r="F146" s="31" t="n">
        <v>7590.45</v>
      </c>
      <c r="G146" s="30" t="n"/>
    </row>
    <row r="148" ht="33" customHeight="1">
      <c r="A148" s="18" t="inlineStr">
        <is>
          <t>6.5</t>
        </is>
      </c>
      <c r="B148" s="19" t="inlineStr">
        <is>
          <t>Extra for brick work / AAC block masonry / Tile brick masonry in superstructure above floor V level, for each four floors or part thereof by mechanical means.</t>
        </is>
      </c>
      <c r="C148" s="20" t="n"/>
      <c r="D148" s="20" t="n"/>
      <c r="E148" s="20" t="n"/>
      <c r="F148" s="20" t="n"/>
      <c r="G148" s="20" t="n"/>
    </row>
    <row r="149">
      <c r="A149" s="21" t="inlineStr">
        <is>
          <t>Details of cost for 5.3 cum   |   Source: CivilDAR_2019_Vol_1.pdf, page 287</t>
        </is>
      </c>
    </row>
    <row r="150">
      <c r="A150" s="5" t="inlineStr">
        <is>
          <t>Code</t>
        </is>
      </c>
      <c r="B150" s="5" t="inlineStr">
        <is>
          <t>Description</t>
        </is>
      </c>
      <c r="C150" s="5" t="inlineStr">
        <is>
          <t>Unit</t>
        </is>
      </c>
      <c r="D150" s="5" t="inlineStr">
        <is>
          <t>Quantity</t>
        </is>
      </c>
      <c r="E150" s="5" t="inlineStr">
        <is>
          <t>Rate (Rs.)</t>
        </is>
      </c>
      <c r="F150" s="5" t="inlineStr">
        <is>
          <t>Amount (Rs.)</t>
        </is>
      </c>
      <c r="G150" s="5" t="inlineStr">
        <is>
          <t>Note</t>
        </is>
      </c>
    </row>
    <row r="151">
      <c r="A151" s="22" t="inlineStr">
        <is>
          <t>0037</t>
        </is>
      </c>
      <c r="B151" s="11" t="inlineStr">
        <is>
          <t>Mobile crane</t>
        </is>
      </c>
      <c r="C151" s="22" t="inlineStr">
        <is>
          <t>day</t>
        </is>
      </c>
      <c r="D151" s="23" t="n">
        <v>0.125</v>
      </c>
      <c r="E151" s="24" t="n">
        <v>7500</v>
      </c>
      <c r="F151" s="24">
        <f>D151*E151</f>
        <v/>
      </c>
      <c r="G151" s="22" t="n"/>
    </row>
    <row r="152">
      <c r="A152" s="8" t="inlineStr">
        <is>
          <t>Calculated W - SUM of the Amount column above</t>
        </is>
      </c>
      <c r="B152" s="9" t="n"/>
      <c r="C152" s="9" t="n"/>
      <c r="D152" s="9" t="n"/>
      <c r="E152" s="9" t="n"/>
      <c r="F152" s="25">
        <f>SUM(F151:F151)</f>
        <v/>
      </c>
      <c r="G152" s="9" t="n"/>
    </row>
    <row r="153">
      <c r="A153" s="26" t="inlineStr">
        <is>
          <t>W as printed in the DAR</t>
        </is>
      </c>
      <c r="B153" s="22" t="n"/>
      <c r="C153" s="22" t="n"/>
      <c r="D153" s="22" t="n"/>
      <c r="E153" s="22" t="n"/>
      <c r="F153" s="27" t="n">
        <v>937.5</v>
      </c>
      <c r="G153" s="22" t="n"/>
    </row>
    <row r="154">
      <c r="A154" s="26" t="inlineStr">
        <is>
          <t>Difference (calculated - printed)</t>
        </is>
      </c>
      <c r="B154" s="22" t="n"/>
      <c r="C154" s="22" t="n"/>
      <c r="D154" s="22" t="n"/>
      <c r="E154" s="22" t="n"/>
      <c r="F154" s="27">
        <f>F152-F153</f>
        <v/>
      </c>
      <c r="G154" s="22" t="n"/>
    </row>
    <row r="155">
      <c r="A155" s="29" t="inlineStr">
        <is>
          <t>SAY (Rs.) - final DAR rate as printed (fixed value, not computed)</t>
        </is>
      </c>
      <c r="B155" s="30" t="n"/>
      <c r="C155" s="30" t="n"/>
      <c r="D155" s="30" t="n"/>
      <c r="E155" s="30" t="n"/>
      <c r="F155" s="31" t="n">
        <v>236.65</v>
      </c>
      <c r="G155" s="30" t="n"/>
    </row>
    <row r="157" ht="47.5" customHeight="1">
      <c r="A157" s="18" t="inlineStr">
        <is>
          <t>6.6</t>
        </is>
      </c>
      <c r="B157" s="19" t="inlineStr">
        <is>
          <t>Extra for forming cavity 5 cm to 11.5 cm wide in cavity walls with necessary weep and vent holes including use of cores and cost of providing and fixing bitumastic coated M .S. ties 300 mm long of 25x3 mm section at not less than 3 ties per sqm as per approved design.</t>
        </is>
      </c>
      <c r="C157" s="20" t="n"/>
      <c r="D157" s="20" t="n"/>
      <c r="E157" s="20" t="n"/>
      <c r="F157" s="20" t="n"/>
      <c r="G157" s="20" t="n"/>
    </row>
    <row r="158">
      <c r="A158" s="21" t="inlineStr">
        <is>
          <t>Details of cost for 10 sqm   |   Source: CivilDAR_2019_Vol_1.pdf, page 287</t>
        </is>
      </c>
    </row>
    <row r="159">
      <c r="A159" s="5" t="inlineStr">
        <is>
          <t>Code</t>
        </is>
      </c>
      <c r="B159" s="5" t="inlineStr">
        <is>
          <t>Description</t>
        </is>
      </c>
      <c r="C159" s="5" t="inlineStr">
        <is>
          <t>Unit</t>
        </is>
      </c>
      <c r="D159" s="5" t="inlineStr">
        <is>
          <t>Quantity</t>
        </is>
      </c>
      <c r="E159" s="5" t="inlineStr">
        <is>
          <t>Rate (Rs.)</t>
        </is>
      </c>
      <c r="F159" s="5" t="inlineStr">
        <is>
          <t>Amount (Rs.)</t>
        </is>
      </c>
      <c r="G159" s="5" t="inlineStr">
        <is>
          <t>Note</t>
        </is>
      </c>
    </row>
    <row r="160">
      <c r="A160" s="22" t="inlineStr">
        <is>
          <t>1008</t>
        </is>
      </c>
      <c r="B160" s="11" t="inlineStr">
        <is>
          <t>Flats upto 10 mm in thickness</t>
        </is>
      </c>
      <c r="C160" s="22" t="inlineStr">
        <is>
          <t>quintal</t>
        </is>
      </c>
      <c r="D160" s="23" t="n">
        <v>0.054</v>
      </c>
      <c r="E160" s="24" t="n">
        <v>4500</v>
      </c>
      <c r="F160" s="24">
        <f>D160*E160</f>
        <v/>
      </c>
      <c r="G160" s="22" t="n"/>
    </row>
    <row r="161">
      <c r="A161" s="22" t="inlineStr">
        <is>
          <t>9999</t>
        </is>
      </c>
      <c r="B161" s="11" t="inlineStr">
        <is>
          <t>Painting the steel Bitumen</t>
        </is>
      </c>
      <c r="C161" s="22" t="inlineStr">
        <is>
          <t>L.S.</t>
        </is>
      </c>
      <c r="D161" s="23" t="n">
        <v>13.52</v>
      </c>
      <c r="E161" s="24" t="n">
        <v>2</v>
      </c>
      <c r="F161" s="24">
        <f>D161*E161</f>
        <v/>
      </c>
      <c r="G161" s="22" t="n"/>
    </row>
    <row r="162">
      <c r="A162" s="22" t="inlineStr">
        <is>
          <t>2205</t>
        </is>
      </c>
      <c r="B162" s="11" t="inlineStr">
        <is>
          <t>Carriage of Steel</t>
        </is>
      </c>
      <c r="C162" s="22" t="inlineStr">
        <is>
          <t>tonne</t>
        </is>
      </c>
      <c r="D162" s="23" t="n">
        <v>0.005</v>
      </c>
      <c r="E162" s="24" t="n">
        <v>92.23999999999999</v>
      </c>
      <c r="F162" s="24">
        <f>D162*E162</f>
        <v/>
      </c>
      <c r="G162" s="22" t="n"/>
    </row>
    <row r="163">
      <c r="A163" s="22" t="inlineStr">
        <is>
          <t>0123</t>
        </is>
      </c>
      <c r="B163" s="11" t="inlineStr">
        <is>
          <t>Mason (brick layer) 1st class</t>
        </is>
      </c>
      <c r="C163" s="22" t="inlineStr">
        <is>
          <t>day</t>
        </is>
      </c>
      <c r="D163" s="23" t="n">
        <v>0.37</v>
      </c>
      <c r="E163" s="24" t="n">
        <v>738</v>
      </c>
      <c r="F163" s="24">
        <f>D163*E163</f>
        <v/>
      </c>
      <c r="G163" s="22" t="n"/>
    </row>
    <row r="164">
      <c r="A164" s="22" t="inlineStr">
        <is>
          <t>0124</t>
        </is>
      </c>
      <c r="B164" s="11" t="inlineStr">
        <is>
          <t>Mason (brick layer) 2nd class</t>
        </is>
      </c>
      <c r="C164" s="22" t="inlineStr">
        <is>
          <t>day</t>
        </is>
      </c>
      <c r="D164" s="23" t="n">
        <v>0.37</v>
      </c>
      <c r="E164" s="24" t="n">
        <v>679</v>
      </c>
      <c r="F164" s="24">
        <f>D164*E164</f>
        <v/>
      </c>
      <c r="G164" s="22" t="n"/>
    </row>
    <row r="165">
      <c r="A165" s="22" t="inlineStr">
        <is>
          <t>0114</t>
        </is>
      </c>
      <c r="B165" s="11" t="inlineStr">
        <is>
          <t>Beldar</t>
        </is>
      </c>
      <c r="C165" s="22" t="inlineStr">
        <is>
          <t>day</t>
        </is>
      </c>
      <c r="D165" s="23" t="n">
        <v>0.92</v>
      </c>
      <c r="E165" s="24" t="n">
        <v>558</v>
      </c>
      <c r="F165" s="24">
        <f>D165*E165</f>
        <v/>
      </c>
      <c r="G165" s="22" t="n"/>
    </row>
    <row r="166">
      <c r="A166" s="22" t="inlineStr">
        <is>
          <t>9999</t>
        </is>
      </c>
      <c r="B166" s="11" t="inlineStr">
        <is>
          <t>Add for use of Core</t>
        </is>
      </c>
      <c r="C166" s="22" t="inlineStr">
        <is>
          <t>L.S.</t>
        </is>
      </c>
      <c r="D166" s="23" t="n">
        <v>4.55</v>
      </c>
      <c r="E166" s="24" t="n">
        <v>2</v>
      </c>
      <c r="F166" s="24">
        <f>D166*E166</f>
        <v/>
      </c>
      <c r="G166" s="22" t="n"/>
    </row>
    <row r="167">
      <c r="A167" s="8" t="inlineStr">
        <is>
          <t>Calculated W - SUM of the Amount column above</t>
        </is>
      </c>
      <c r="B167" s="9" t="n"/>
      <c r="C167" s="9" t="n"/>
      <c r="D167" s="9" t="n"/>
      <c r="E167" s="9" t="n"/>
      <c r="F167" s="25">
        <f>SUM(F160:F166)</f>
        <v/>
      </c>
      <c r="G167" s="9" t="n"/>
    </row>
    <row r="168">
      <c r="A168" s="26" t="inlineStr">
        <is>
          <t>W as printed in the DAR</t>
        </is>
      </c>
      <c r="B168" s="22" t="n"/>
      <c r="C168" s="22" t="n"/>
      <c r="D168" s="22" t="n"/>
      <c r="E168" s="22" t="n"/>
      <c r="F168" s="27" t="n">
        <v>1317.25</v>
      </c>
      <c r="G168" s="22" t="n"/>
    </row>
    <row r="169">
      <c r="A169" s="26" t="inlineStr">
        <is>
          <t>Difference (calculated - printed)</t>
        </is>
      </c>
      <c r="B169" s="22" t="n"/>
      <c r="C169" s="22" t="n"/>
      <c r="D169" s="22" t="n"/>
      <c r="E169" s="22" t="n"/>
      <c r="F169" s="27">
        <f>F167-F168</f>
        <v/>
      </c>
      <c r="G169" s="22" t="n"/>
    </row>
    <row r="170">
      <c r="A170" s="29" t="inlineStr">
        <is>
          <t>SAY (Rs.) - final DAR rate as printed (fixed value, not computed)</t>
        </is>
      </c>
      <c r="B170" s="30" t="n"/>
      <c r="C170" s="30" t="n"/>
      <c r="D170" s="30" t="n"/>
      <c r="E170" s="30" t="n"/>
      <c r="F170" s="31" t="n">
        <v>176.25</v>
      </c>
      <c r="G170" s="30" t="n"/>
    </row>
    <row r="172" ht="47.5" customHeight="1">
      <c r="A172" s="18" t="inlineStr">
        <is>
          <t>6.7</t>
        </is>
      </c>
      <c r="B172" s="19" t="inlineStr">
        <is>
          <t>Providing half brick masonry with common burnt clay F.P.S. (non modular) bricks of class designation 7.5 in cement mortar 1:3 (1 Cement : 3 coarse sand) in superstructure for closing cavity 5 to 7.5 cm wide in cavity wall complete with 10cm / 11.4 cm wide bitumen felt type 3 grade 1.</t>
        </is>
      </c>
      <c r="C172" s="20" t="n"/>
      <c r="D172" s="20" t="n"/>
      <c r="E172" s="20" t="n"/>
      <c r="F172" s="20" t="n"/>
      <c r="G172" s="20" t="n"/>
    </row>
    <row r="173">
      <c r="A173" s="21" t="inlineStr">
        <is>
          <t>Details of cost for 10 metre   |   Source: CivilDAR_2019_Vol_1.pdf, page 288</t>
        </is>
      </c>
    </row>
    <row r="174">
      <c r="A174" s="5" t="inlineStr">
        <is>
          <t>Code</t>
        </is>
      </c>
      <c r="B174" s="5" t="inlineStr">
        <is>
          <t>Description</t>
        </is>
      </c>
      <c r="C174" s="5" t="inlineStr">
        <is>
          <t>Unit</t>
        </is>
      </c>
      <c r="D174" s="5" t="inlineStr">
        <is>
          <t>Quantity</t>
        </is>
      </c>
      <c r="E174" s="5" t="inlineStr">
        <is>
          <t>Rate (Rs.)</t>
        </is>
      </c>
      <c r="F174" s="5" t="inlineStr">
        <is>
          <t>Amount (Rs.)</t>
        </is>
      </c>
      <c r="G174" s="5" t="inlineStr">
        <is>
          <t>Note</t>
        </is>
      </c>
    </row>
    <row r="175">
      <c r="A175" s="7" t="inlineStr">
        <is>
          <t>6.12.1</t>
        </is>
      </c>
      <c r="B175" s="11" t="inlineStr">
        <is>
          <t>Rate as per item 6.12.1 - Half brick masonry with common burnt clay F.P.S. (non modular) bricks of class designation 7.5 in foundatio...</t>
        </is>
      </c>
      <c r="C175" s="22" t="inlineStr">
        <is>
          <t>sqm</t>
        </is>
      </c>
      <c r="D175" s="23" t="n">
        <v>2.7</v>
      </c>
      <c r="E175" s="24" t="n">
        <v>798.25</v>
      </c>
      <c r="F175" s="24">
        <f>D175*E175</f>
        <v/>
      </c>
      <c r="G175" s="22" t="n"/>
    </row>
    <row r="176">
      <c r="A176" s="22" t="inlineStr">
        <is>
          <t>0322</t>
        </is>
      </c>
      <c r="B176" s="11" t="inlineStr">
        <is>
          <t>Bitumen felt :Type 3 grade</t>
        </is>
      </c>
      <c r="C176" s="22" t="inlineStr">
        <is>
          <t>1 sqm</t>
        </is>
      </c>
      <c r="D176" s="23" t="n">
        <v>1.2</v>
      </c>
      <c r="E176" s="24" t="n">
        <v>70</v>
      </c>
      <c r="F176" s="24">
        <f>D176*E176</f>
        <v/>
      </c>
      <c r="G176" s="22" t="n"/>
    </row>
    <row r="177">
      <c r="A177" s="22" t="inlineStr">
        <is>
          <t>0123</t>
        </is>
      </c>
      <c r="B177" s="11" t="inlineStr">
        <is>
          <t>Mason (brick layer) 1st class</t>
        </is>
      </c>
      <c r="C177" s="22" t="inlineStr">
        <is>
          <t>day</t>
        </is>
      </c>
      <c r="D177" s="23" t="n">
        <v>0.12</v>
      </c>
      <c r="E177" s="24" t="n">
        <v>738</v>
      </c>
      <c r="F177" s="24">
        <f>D177*E177</f>
        <v/>
      </c>
      <c r="G177" s="22" t="n"/>
    </row>
    <row r="178">
      <c r="A178" s="22" t="inlineStr">
        <is>
          <t>0124</t>
        </is>
      </c>
      <c r="B178" s="11" t="inlineStr">
        <is>
          <t>Mason (brick layer) 2nd class</t>
        </is>
      </c>
      <c r="C178" s="22" t="inlineStr">
        <is>
          <t>day</t>
        </is>
      </c>
      <c r="D178" s="23" t="n">
        <v>0.12</v>
      </c>
      <c r="E178" s="24" t="n">
        <v>679</v>
      </c>
      <c r="F178" s="24">
        <f>D178*E178</f>
        <v/>
      </c>
      <c r="G178" s="22" t="n"/>
    </row>
    <row r="179">
      <c r="A179" s="22" t="inlineStr">
        <is>
          <t>0114</t>
        </is>
      </c>
      <c r="B179" s="11" t="inlineStr">
        <is>
          <t>Beldar</t>
        </is>
      </c>
      <c r="C179" s="22" t="inlineStr">
        <is>
          <t>day</t>
        </is>
      </c>
      <c r="D179" s="23" t="n">
        <v>0.06</v>
      </c>
      <c r="E179" s="24" t="n">
        <v>558</v>
      </c>
      <c r="F179" s="24">
        <f>D179*E179</f>
        <v/>
      </c>
      <c r="G179" s="22" t="n"/>
    </row>
    <row r="180">
      <c r="A180" s="8" t="inlineStr">
        <is>
          <t>Calculated W - SUM of the Amount column above</t>
        </is>
      </c>
      <c r="B180" s="9" t="n"/>
      <c r="C180" s="9" t="n"/>
      <c r="D180" s="9" t="n"/>
      <c r="E180" s="9" t="n"/>
      <c r="F180" s="25">
        <f>SUM(F175:F179)</f>
        <v/>
      </c>
      <c r="G180" s="9" t="n"/>
    </row>
    <row r="181">
      <c r="A181" s="26" t="inlineStr">
        <is>
          <t>W as printed in the DAR</t>
        </is>
      </c>
      <c r="B181" s="22" t="n"/>
      <c r="C181" s="22" t="n"/>
      <c r="D181" s="22" t="n"/>
      <c r="E181" s="22" t="n"/>
      <c r="F181" s="27" t="n">
        <v>2442.8</v>
      </c>
      <c r="G181" s="22" t="n"/>
    </row>
    <row r="182">
      <c r="A182" s="26" t="inlineStr">
        <is>
          <t>Difference (calculated - printed)</t>
        </is>
      </c>
      <c r="B182" s="22" t="n"/>
      <c r="C182" s="22" t="n"/>
      <c r="D182" s="22" t="n"/>
      <c r="E182" s="22" t="n"/>
      <c r="F182" s="27">
        <f>F180-F181</f>
        <v/>
      </c>
      <c r="G182" s="22" t="n"/>
    </row>
    <row r="183">
      <c r="A183" s="29" t="inlineStr">
        <is>
          <t>SAY (Rs.) - final DAR rate as printed (fixed value, not computed)</t>
        </is>
      </c>
      <c r="B183" s="30" t="n"/>
      <c r="C183" s="30" t="n"/>
      <c r="D183" s="30" t="n"/>
      <c r="E183" s="30" t="n"/>
      <c r="F183" s="31" t="n">
        <v>254</v>
      </c>
      <c r="G183" s="30" t="n"/>
    </row>
    <row r="185" ht="33" customHeight="1">
      <c r="A185" s="18" t="inlineStr">
        <is>
          <t>6.8</t>
        </is>
      </c>
      <c r="B185" s="19" t="inlineStr">
        <is>
          <t>Brick work 7 cm thick with common burnt clay F.P.S. (non modular) brick of class designation 7.5 in cement mortar 1:3 (1 cement : 3 coarse sand) in superstructure above plinth level and upto floor five level.</t>
        </is>
      </c>
      <c r="C185" s="20" t="n"/>
      <c r="D185" s="20" t="n"/>
      <c r="E185" s="20" t="n"/>
      <c r="F185" s="20" t="n"/>
      <c r="G185" s="20" t="n"/>
    </row>
    <row r="186">
      <c r="A186" s="21" t="inlineStr">
        <is>
          <t>Details of cost for 10 sqm   |   Source: CivilDAR_2019_Vol_1.pdf, page 289</t>
        </is>
      </c>
    </row>
    <row r="187">
      <c r="A187" s="5" t="inlineStr">
        <is>
          <t>Code</t>
        </is>
      </c>
      <c r="B187" s="5" t="inlineStr">
        <is>
          <t>Description</t>
        </is>
      </c>
      <c r="C187" s="5" t="inlineStr">
        <is>
          <t>Unit</t>
        </is>
      </c>
      <c r="D187" s="5" t="inlineStr">
        <is>
          <t>Quantity</t>
        </is>
      </c>
      <c r="E187" s="5" t="inlineStr">
        <is>
          <t>Rate (Rs.)</t>
        </is>
      </c>
      <c r="F187" s="5" t="inlineStr">
        <is>
          <t>Amount (Rs.)</t>
        </is>
      </c>
      <c r="G187" s="5" t="inlineStr">
        <is>
          <t>Note</t>
        </is>
      </c>
    </row>
    <row r="188">
      <c r="A188" s="22" t="inlineStr">
        <is>
          <t>2602</t>
        </is>
      </c>
      <c r="B188" s="11" t="inlineStr">
        <is>
          <t>Common burnt clay F.P.S. (non modular) bricks class designation 7.5</t>
        </is>
      </c>
      <c r="C188" s="22" t="inlineStr">
        <is>
          <t>1000 Nos</t>
        </is>
      </c>
      <c r="D188" s="23" t="n">
        <v>0.377</v>
      </c>
      <c r="E188" s="24" t="n">
        <v>4500</v>
      </c>
      <c r="F188" s="24">
        <f>D188*E188</f>
        <v/>
      </c>
      <c r="G188" s="22" t="n"/>
    </row>
    <row r="189">
      <c r="A189" s="7" t="inlineStr">
        <is>
          <t>3.8</t>
        </is>
      </c>
      <c r="B189" s="11" t="inlineStr">
        <is>
          <t>Rate as per item 3.8 - Cement mortar 1:3 (1 cement : 3 coarse sand)</t>
        </is>
      </c>
      <c r="C189" s="22" t="inlineStr">
        <is>
          <t>cum</t>
        </is>
      </c>
      <c r="D189" s="23" t="n">
        <v>0.181</v>
      </c>
      <c r="E189" s="24" t="n">
        <v>4664.55</v>
      </c>
      <c r="F189" s="24">
        <f>D189*E189</f>
        <v/>
      </c>
      <c r="G189" s="22" t="n"/>
    </row>
    <row r="190">
      <c r="A190" s="22" t="inlineStr">
        <is>
          <t>2201</t>
        </is>
      </c>
      <c r="B190" s="11" t="inlineStr">
        <is>
          <t>Carriage of Bricks</t>
        </is>
      </c>
      <c r="C190" s="22" t="inlineStr">
        <is>
          <t>1000 Nos</t>
        </is>
      </c>
      <c r="D190" s="23" t="n">
        <v>0.377</v>
      </c>
      <c r="E190" s="24" t="n">
        <v>276.72</v>
      </c>
      <c r="F190" s="24">
        <f>D190*E190</f>
        <v/>
      </c>
      <c r="G190" s="22" t="n"/>
    </row>
    <row r="191">
      <c r="A191" s="22" t="inlineStr">
        <is>
          <t>0123</t>
        </is>
      </c>
      <c r="B191" s="11" t="inlineStr">
        <is>
          <t>Mason (brick layer) 1st class</t>
        </is>
      </c>
      <c r="C191" s="22" t="inlineStr">
        <is>
          <t>day</t>
        </is>
      </c>
      <c r="D191" s="23" t="n">
        <v>0.72</v>
      </c>
      <c r="E191" s="24" t="n">
        <v>738</v>
      </c>
      <c r="F191" s="24">
        <f>D191*E191</f>
        <v/>
      </c>
      <c r="G191" s="22" t="n"/>
    </row>
    <row r="192">
      <c r="A192" s="22" t="inlineStr">
        <is>
          <t>0124</t>
        </is>
      </c>
      <c r="B192" s="11" t="inlineStr">
        <is>
          <t>Mason (brick layer) 2nd class</t>
        </is>
      </c>
      <c r="C192" s="22" t="inlineStr">
        <is>
          <t>day</t>
        </is>
      </c>
      <c r="D192" s="23" t="n">
        <v>0.72</v>
      </c>
      <c r="E192" s="24" t="n">
        <v>679</v>
      </c>
      <c r="F192" s="24">
        <f>D192*E192</f>
        <v/>
      </c>
      <c r="G192" s="22" t="n"/>
    </row>
    <row r="193">
      <c r="A193" s="22" t="inlineStr">
        <is>
          <t>0115</t>
        </is>
      </c>
      <c r="B193" s="11" t="inlineStr">
        <is>
          <t>Coolie</t>
        </is>
      </c>
      <c r="C193" s="22" t="inlineStr">
        <is>
          <t>day</t>
        </is>
      </c>
      <c r="D193" s="23" t="n">
        <v>1.76</v>
      </c>
      <c r="E193" s="24" t="n">
        <v>558</v>
      </c>
      <c r="F193" s="24">
        <f>D193*E193</f>
        <v/>
      </c>
      <c r="G193" s="22" t="n"/>
    </row>
    <row r="194">
      <c r="A194" s="22" t="inlineStr">
        <is>
          <t>0101</t>
        </is>
      </c>
      <c r="B194" s="11" t="inlineStr">
        <is>
          <t>Bhisti</t>
        </is>
      </c>
      <c r="C194" s="22" t="inlineStr">
        <is>
          <t>day</t>
        </is>
      </c>
      <c r="D194" s="23" t="n">
        <v>0.36</v>
      </c>
      <c r="E194" s="24" t="n">
        <v>617</v>
      </c>
      <c r="F194" s="24">
        <f>D194*E194</f>
        <v/>
      </c>
      <c r="G194" s="22" t="n"/>
    </row>
    <row r="195">
      <c r="A195" s="22" t="inlineStr">
        <is>
          <t>9999</t>
        </is>
      </c>
      <c r="B195" s="11" t="inlineStr">
        <is>
          <t>Sundries and scaffolding</t>
        </is>
      </c>
      <c r="C195" s="22" t="inlineStr">
        <is>
          <t>L.S.</t>
        </is>
      </c>
      <c r="D195" s="23" t="n">
        <v>7.15</v>
      </c>
      <c r="E195" s="24" t="n">
        <v>2</v>
      </c>
      <c r="F195" s="24">
        <f>D195*E195</f>
        <v/>
      </c>
      <c r="G195" s="22" t="n"/>
    </row>
    <row r="196">
      <c r="A196" s="22" t="inlineStr">
        <is>
          <t>0115</t>
        </is>
      </c>
      <c r="B196" s="11" t="inlineStr">
        <is>
          <t>Coolie</t>
        </is>
      </c>
      <c r="C196" s="22" t="inlineStr">
        <is>
          <t>day</t>
        </is>
      </c>
      <c r="D196" s="23" t="n">
        <v>1.29</v>
      </c>
      <c r="E196" s="24" t="n">
        <v>558</v>
      </c>
      <c r="F196" s="24">
        <f>D196*E196</f>
        <v/>
      </c>
      <c r="G196" s="22" t="n"/>
    </row>
    <row r="197">
      <c r="A197" s="8" t="inlineStr">
        <is>
          <t>Calculated W - SUM of the Amount column above</t>
        </is>
      </c>
      <c r="B197" s="9" t="n"/>
      <c r="C197" s="9" t="n"/>
      <c r="D197" s="9" t="n"/>
      <c r="E197" s="9" t="n"/>
      <c r="F197" s="25">
        <f>SUM(F188:F196)</f>
        <v/>
      </c>
      <c r="G197" s="9" t="n"/>
    </row>
    <row r="198">
      <c r="A198" s="26" t="inlineStr">
        <is>
          <t>W as printed in the DAR</t>
        </is>
      </c>
      <c r="B198" s="22" t="n"/>
      <c r="C198" s="22" t="n"/>
      <c r="D198" s="22" t="n"/>
      <c r="E198" s="22" t="n"/>
      <c r="F198" s="27" t="n">
        <v>5603.67</v>
      </c>
      <c r="G198" s="22" t="n"/>
    </row>
    <row r="199">
      <c r="A199" s="26" t="inlineStr">
        <is>
          <t>Difference (calculated - printed)</t>
        </is>
      </c>
      <c r="B199" s="22" t="n"/>
      <c r="C199" s="22" t="n"/>
      <c r="D199" s="22" t="n"/>
      <c r="E199" s="22" t="n"/>
      <c r="F199" s="27">
        <f>F197-F198</f>
        <v/>
      </c>
      <c r="G199" s="22" t="n"/>
    </row>
    <row r="200">
      <c r="A200" s="29" t="inlineStr">
        <is>
          <t>SAY (Rs.) - final DAR rate as printed (fixed value, not computed)</t>
        </is>
      </c>
      <c r="B200" s="30" t="n"/>
      <c r="C200" s="30" t="n"/>
      <c r="D200" s="30" t="n"/>
      <c r="E200" s="30" t="n"/>
      <c r="F200" s="31" t="n">
        <v>749.75</v>
      </c>
      <c r="G200" s="30" t="n"/>
    </row>
    <row r="202" ht="47.5" customHeight="1">
      <c r="A202" s="18" t="inlineStr">
        <is>
          <t>6.9</t>
        </is>
      </c>
      <c r="B202" s="19" t="inlineStr">
        <is>
          <t>Brick work in plain arches in superstructure above plinth level and upto floor five level including centering and shuttering complete for span up to 6 metres with common burnt clay F.P.S. (non modular) bricks of class designation 7.5 in cement mortar 1:3 (1 cement : 3 coarse sand).</t>
        </is>
      </c>
      <c r="C202" s="20" t="n"/>
      <c r="D202" s="20" t="n"/>
      <c r="E202" s="20" t="n"/>
      <c r="F202" s="20" t="n"/>
      <c r="G202" s="20" t="n"/>
    </row>
    <row r="203">
      <c r="A203" s="21" t="inlineStr">
        <is>
          <t>Details of cost for 1 cum   |   Source: CivilDAR_2019_Vol_1.pdf, page 289</t>
        </is>
      </c>
    </row>
    <row r="204">
      <c r="A204" s="5" t="inlineStr">
        <is>
          <t>Code</t>
        </is>
      </c>
      <c r="B204" s="5" t="inlineStr">
        <is>
          <t>Description</t>
        </is>
      </c>
      <c r="C204" s="5" t="inlineStr">
        <is>
          <t>Unit</t>
        </is>
      </c>
      <c r="D204" s="5" t="inlineStr">
        <is>
          <t>Quantity</t>
        </is>
      </c>
      <c r="E204" s="5" t="inlineStr">
        <is>
          <t>Rate (Rs.)</t>
        </is>
      </c>
      <c r="F204" s="5" t="inlineStr">
        <is>
          <t>Amount (Rs.)</t>
        </is>
      </c>
      <c r="G204" s="5" t="inlineStr">
        <is>
          <t>Note</t>
        </is>
      </c>
    </row>
    <row r="205">
      <c r="A205" s="22" t="inlineStr">
        <is>
          <t>2602</t>
        </is>
      </c>
      <c r="B205" s="11" t="inlineStr">
        <is>
          <t>Common burnt clay F.P.S. (non modular) bricks class designation 7.5</t>
        </is>
      </c>
      <c r="C205" s="22" t="inlineStr">
        <is>
          <t>1000 Nos</t>
        </is>
      </c>
      <c r="D205" s="23" t="n">
        <v>0.494</v>
      </c>
      <c r="E205" s="24" t="n">
        <v>4500</v>
      </c>
      <c r="F205" s="24">
        <f>D205*E205</f>
        <v/>
      </c>
      <c r="G205" s="22" t="n"/>
    </row>
    <row r="206">
      <c r="A206" s="7" t="inlineStr">
        <is>
          <t>3.8</t>
        </is>
      </c>
      <c r="B206" s="11" t="inlineStr">
        <is>
          <t>Rate as per item 3.8 - Cement mortar 1:3 (1 cement : 3 coarse sand)</t>
        </is>
      </c>
      <c r="C206" s="22" t="inlineStr">
        <is>
          <t>cum</t>
        </is>
      </c>
      <c r="D206" s="23" t="n">
        <v>0.25</v>
      </c>
      <c r="E206" s="24" t="n">
        <v>4664.55</v>
      </c>
      <c r="F206" s="24">
        <f>D206*E206</f>
        <v/>
      </c>
      <c r="G206" s="22" t="n"/>
    </row>
    <row r="207">
      <c r="A207" s="22" t="inlineStr">
        <is>
          <t>2201</t>
        </is>
      </c>
      <c r="B207" s="11" t="inlineStr">
        <is>
          <t>Carriage of Bricks</t>
        </is>
      </c>
      <c r="C207" s="22" t="inlineStr">
        <is>
          <t>1000 Nos</t>
        </is>
      </c>
      <c r="D207" s="23" t="n">
        <v>0.494</v>
      </c>
      <c r="E207" s="24" t="n">
        <v>276.72</v>
      </c>
      <c r="F207" s="24">
        <f>D207*E207</f>
        <v/>
      </c>
      <c r="G207" s="22" t="n"/>
    </row>
    <row r="208">
      <c r="A208" s="22" t="inlineStr">
        <is>
          <t>9999</t>
        </is>
      </c>
      <c r="B208" s="11" t="inlineStr">
        <is>
          <t>Sundries</t>
        </is>
      </c>
      <c r="C208" s="22" t="inlineStr">
        <is>
          <t>L.S.</t>
        </is>
      </c>
      <c r="D208" s="23" t="n">
        <v>2.73</v>
      </c>
      <c r="E208" s="24" t="n">
        <v>2</v>
      </c>
      <c r="F208" s="24">
        <f>D208*E208</f>
        <v/>
      </c>
      <c r="G208" s="22" t="n"/>
    </row>
    <row r="209">
      <c r="A209" s="7" t="inlineStr">
        <is>
          <t>5.9.9</t>
        </is>
      </c>
      <c r="B209" s="11" t="inlineStr">
        <is>
          <t>Rate as per item 5.9.9 - Centering and shuttering including strutting, propping etc. and removal of form for - Arches, domes, vaults...</t>
        </is>
      </c>
      <c r="C209" s="22" t="inlineStr">
        <is>
          <t>sqm</t>
        </is>
      </c>
      <c r="D209" s="23" t="n">
        <v>2.25</v>
      </c>
      <c r="E209" s="24" t="n">
        <v>1713.2</v>
      </c>
      <c r="F209" s="24">
        <f>D209*E209</f>
        <v/>
      </c>
      <c r="G209" s="22" t="n"/>
    </row>
    <row r="210">
      <c r="A210" s="22" t="inlineStr">
        <is>
          <t>9999</t>
        </is>
      </c>
      <c r="B210" s="11" t="inlineStr">
        <is>
          <t>Scaffolding</t>
        </is>
      </c>
      <c r="C210" s="22" t="inlineStr">
        <is>
          <t>L.S.</t>
        </is>
      </c>
      <c r="D210" s="23" t="n">
        <v>18.85</v>
      </c>
      <c r="E210" s="24" t="n">
        <v>2</v>
      </c>
      <c r="F210" s="24">
        <f>D210*E210</f>
        <v/>
      </c>
      <c r="G210" s="22" t="n"/>
    </row>
    <row r="211">
      <c r="A211" s="22" t="inlineStr">
        <is>
          <t>0123</t>
        </is>
      </c>
      <c r="B211" s="11" t="inlineStr">
        <is>
          <t>Mason (brick layer) 1st class</t>
        </is>
      </c>
      <c r="C211" s="22" t="inlineStr">
        <is>
          <t>day</t>
        </is>
      </c>
      <c r="D211" s="23" t="n">
        <v>0.53</v>
      </c>
      <c r="E211" s="24" t="n">
        <v>738</v>
      </c>
      <c r="F211" s="24">
        <f>D211*E211</f>
        <v/>
      </c>
      <c r="G211" s="22" t="n"/>
    </row>
    <row r="212">
      <c r="A212" s="22" t="inlineStr">
        <is>
          <t>0124</t>
        </is>
      </c>
      <c r="B212" s="11" t="inlineStr">
        <is>
          <t>Mason (brick layer) 2nd class</t>
        </is>
      </c>
      <c r="C212" s="22" t="inlineStr">
        <is>
          <t>day</t>
        </is>
      </c>
      <c r="D212" s="23" t="n">
        <v>0.53</v>
      </c>
      <c r="E212" s="24" t="n">
        <v>679</v>
      </c>
      <c r="F212" s="24">
        <f>D212*E212</f>
        <v/>
      </c>
      <c r="G212" s="22" t="n"/>
    </row>
    <row r="213">
      <c r="A213" s="22" t="inlineStr">
        <is>
          <t>0115</t>
        </is>
      </c>
      <c r="B213" s="11" t="inlineStr">
        <is>
          <t>Coolie</t>
        </is>
      </c>
      <c r="C213" s="22" t="inlineStr">
        <is>
          <t>day</t>
        </is>
      </c>
      <c r="D213" s="23" t="n">
        <v>2.29</v>
      </c>
      <c r="E213" s="24" t="n">
        <v>558</v>
      </c>
      <c r="F213" s="24">
        <f>D213*E213</f>
        <v/>
      </c>
      <c r="G213" s="22" t="n"/>
    </row>
    <row r="214">
      <c r="A214" s="22" t="inlineStr">
        <is>
          <t>0101</t>
        </is>
      </c>
      <c r="B214" s="11" t="inlineStr">
        <is>
          <t>Bhisti</t>
        </is>
      </c>
      <c r="C214" s="22" t="inlineStr">
        <is>
          <t>day</t>
        </is>
      </c>
      <c r="D214" s="23" t="n">
        <v>0.2</v>
      </c>
      <c r="E214" s="24" t="n">
        <v>617</v>
      </c>
      <c r="F214" s="24">
        <f>D214*E214</f>
        <v/>
      </c>
      <c r="G214" s="22" t="n"/>
    </row>
    <row r="215">
      <c r="A215" s="22" t="inlineStr">
        <is>
          <t>0115</t>
        </is>
      </c>
      <c r="B215" s="11" t="inlineStr">
        <is>
          <t>Coolie</t>
        </is>
      </c>
      <c r="C215" s="22" t="inlineStr">
        <is>
          <t>day</t>
        </is>
      </c>
      <c r="D215" s="23" t="n">
        <v>1.13</v>
      </c>
      <c r="E215" s="24" t="n">
        <v>558</v>
      </c>
      <c r="F215" s="24">
        <f>D215*E215</f>
        <v/>
      </c>
      <c r="G215" s="22" t="n"/>
    </row>
    <row r="216">
      <c r="A216" s="8" t="inlineStr">
        <is>
          <t>Calculated W - SUM of the Amount column above</t>
        </is>
      </c>
      <c r="B216" s="9" t="n"/>
      <c r="C216" s="9" t="n"/>
      <c r="D216" s="9" t="n"/>
      <c r="E216" s="9" t="n"/>
      <c r="F216" s="25">
        <f>SUM(F205:F215)</f>
        <v/>
      </c>
      <c r="G216" s="9" t="n"/>
    </row>
    <row r="217">
      <c r="A217" s="26" t="inlineStr">
        <is>
          <t>W as printed in the DAR</t>
        </is>
      </c>
      <c r="B217" s="22" t="n"/>
      <c r="C217" s="22" t="n"/>
      <c r="D217" s="22" t="n"/>
      <c r="E217" s="22" t="n"/>
      <c r="F217" s="27" t="n">
        <v>10206.47</v>
      </c>
      <c r="G217" s="22" t="n"/>
    </row>
    <row r="218">
      <c r="A218" s="26" t="inlineStr">
        <is>
          <t>Difference (calculated - printed)</t>
        </is>
      </c>
      <c r="B218" s="22" t="n"/>
      <c r="C218" s="22" t="n"/>
      <c r="D218" s="22" t="n"/>
      <c r="E218" s="22" t="n"/>
      <c r="F218" s="27">
        <f>F216-F217</f>
        <v/>
      </c>
      <c r="G218" s="22" t="n"/>
    </row>
    <row r="219">
      <c r="A219" s="29" t="inlineStr">
        <is>
          <t>SAY (Rs.) - final DAR rate as printed (fixed value, not computed)</t>
        </is>
      </c>
      <c r="B219" s="30" t="n"/>
      <c r="C219" s="30" t="n"/>
      <c r="D219" s="30" t="n"/>
      <c r="E219" s="30" t="n"/>
      <c r="F219" s="31" t="n">
        <v>12352.95</v>
      </c>
      <c r="G219" s="30" t="n"/>
    </row>
    <row r="221" ht="47.5" customHeight="1">
      <c r="A221" s="18" t="inlineStr">
        <is>
          <t>6.10</t>
        </is>
      </c>
      <c r="B221" s="19" t="inlineStr">
        <is>
          <t>Brick work in gauged arches in superstructure above plinth level and upto floor five level in cement mortar 1:3 (1 cement : 3 coarse sand) including centering and shuttering complete, for span up to 6 meters with common burnt clay F.P.S. (non modular) bricks of class designation 7.5.</t>
        </is>
      </c>
      <c r="C221" s="20" t="n"/>
      <c r="D221" s="20" t="n"/>
      <c r="E221" s="20" t="n"/>
      <c r="F221" s="20" t="n"/>
      <c r="G221" s="20" t="n"/>
    </row>
    <row r="222">
      <c r="A222" s="21" t="inlineStr">
        <is>
          <t>Details of cost for 1 cum   |   Source: CivilDAR_2019_Vol_1.pdf, page 290</t>
        </is>
      </c>
    </row>
    <row r="223">
      <c r="A223" s="5" t="inlineStr">
        <is>
          <t>Code</t>
        </is>
      </c>
      <c r="B223" s="5" t="inlineStr">
        <is>
          <t>Description</t>
        </is>
      </c>
      <c r="C223" s="5" t="inlineStr">
        <is>
          <t>Unit</t>
        </is>
      </c>
      <c r="D223" s="5" t="inlineStr">
        <is>
          <t>Quantity</t>
        </is>
      </c>
      <c r="E223" s="5" t="inlineStr">
        <is>
          <t>Rate (Rs.)</t>
        </is>
      </c>
      <c r="F223" s="5" t="inlineStr">
        <is>
          <t>Amount (Rs.)</t>
        </is>
      </c>
      <c r="G223" s="5" t="inlineStr">
        <is>
          <t>Note</t>
        </is>
      </c>
    </row>
    <row r="224">
      <c r="A224" s="22" t="inlineStr">
        <is>
          <t>2602</t>
        </is>
      </c>
      <c r="B224" s="11" t="inlineStr">
        <is>
          <t>Common burnt clay F.P.S. (non modular) bricks class designation 7.5</t>
        </is>
      </c>
      <c r="C224" s="22" t="inlineStr">
        <is>
          <t>1000 Nos</t>
        </is>
      </c>
      <c r="D224" s="23" t="n">
        <v>0.538</v>
      </c>
      <c r="E224" s="24" t="n">
        <v>4500</v>
      </c>
      <c r="F224" s="24">
        <f>D224*E224</f>
        <v/>
      </c>
      <c r="G224" s="22" t="n"/>
    </row>
    <row r="225">
      <c r="A225" s="7" t="inlineStr">
        <is>
          <t>3.8</t>
        </is>
      </c>
      <c r="B225" s="11" t="inlineStr">
        <is>
          <t>Rate as per item 3.8 - Cement mortar 1:3 (1 cement : 3 coarse sand)</t>
        </is>
      </c>
      <c r="C225" s="22" t="inlineStr">
        <is>
          <t>cum</t>
        </is>
      </c>
      <c r="D225" s="23" t="n">
        <v>0.25</v>
      </c>
      <c r="E225" s="24" t="n">
        <v>4664.55</v>
      </c>
      <c r="F225" s="24">
        <f>D225*E225</f>
        <v/>
      </c>
      <c r="G225" s="22" t="n"/>
    </row>
    <row r="226">
      <c r="A226" s="22" t="inlineStr">
        <is>
          <t>2201</t>
        </is>
      </c>
      <c r="B226" s="11" t="inlineStr">
        <is>
          <t>Carriage of Bricks</t>
        </is>
      </c>
      <c r="C226" s="22" t="inlineStr">
        <is>
          <t>1000 Nos</t>
        </is>
      </c>
      <c r="D226" s="23" t="n">
        <v>0.538</v>
      </c>
      <c r="E226" s="24" t="n">
        <v>276.72</v>
      </c>
      <c r="F226" s="24">
        <f>D226*E226</f>
        <v/>
      </c>
      <c r="G226" s="22" t="n"/>
    </row>
    <row r="227">
      <c r="A227" s="22" t="inlineStr">
        <is>
          <t>9999</t>
        </is>
      </c>
      <c r="B227" s="11" t="inlineStr">
        <is>
          <t>Sundries</t>
        </is>
      </c>
      <c r="C227" s="22" t="inlineStr">
        <is>
          <t>L.S.</t>
        </is>
      </c>
      <c r="D227" s="23" t="n">
        <v>2.73</v>
      </c>
      <c r="E227" s="24" t="n">
        <v>2</v>
      </c>
      <c r="F227" s="24">
        <f>D227*E227</f>
        <v/>
      </c>
      <c r="G227" s="22" t="n"/>
    </row>
    <row r="228">
      <c r="A228" s="7" t="inlineStr">
        <is>
          <t>5.9.9</t>
        </is>
      </c>
      <c r="B228" s="11" t="inlineStr">
        <is>
          <t>Rate as per item 5.9.9 - Centering and shuttering including strutting, propping etc. and removal of form for - Arches, domes, vaults...</t>
        </is>
      </c>
      <c r="C228" s="22" t="inlineStr">
        <is>
          <t>sqm</t>
        </is>
      </c>
      <c r="D228" s="23" t="n">
        <v>2.25</v>
      </c>
      <c r="E228" s="24" t="n">
        <v>1713.2</v>
      </c>
      <c r="F228" s="24">
        <f>D228*E228</f>
        <v/>
      </c>
      <c r="G228" s="22" t="n"/>
    </row>
    <row r="229">
      <c r="A229" s="22" t="inlineStr">
        <is>
          <t>9999</t>
        </is>
      </c>
      <c r="B229" s="11" t="inlineStr">
        <is>
          <t>Scaffolding</t>
        </is>
      </c>
      <c r="C229" s="22" t="inlineStr">
        <is>
          <t>L.S.</t>
        </is>
      </c>
      <c r="D229" s="23" t="n">
        <v>18.85</v>
      </c>
      <c r="E229" s="24" t="n">
        <v>2</v>
      </c>
      <c r="F229" s="24">
        <f>D229*E229</f>
        <v/>
      </c>
      <c r="G229" s="22" t="n"/>
    </row>
    <row r="230">
      <c r="A230" s="22" t="inlineStr">
        <is>
          <t>0123</t>
        </is>
      </c>
      <c r="B230" s="11" t="inlineStr">
        <is>
          <t>Mason (brick layer) 1st class</t>
        </is>
      </c>
      <c r="C230" s="22" t="inlineStr">
        <is>
          <t>day</t>
        </is>
      </c>
      <c r="D230" s="23" t="n">
        <v>1.13</v>
      </c>
      <c r="E230" s="24" t="n">
        <v>738</v>
      </c>
      <c r="F230" s="24">
        <f>D230*E230</f>
        <v/>
      </c>
      <c r="G230" s="22" t="n"/>
    </row>
    <row r="231">
      <c r="A231" s="22" t="inlineStr">
        <is>
          <t>0124</t>
        </is>
      </c>
      <c r="B231" s="11" t="inlineStr">
        <is>
          <t>Mason (brick layer) 2nd class</t>
        </is>
      </c>
      <c r="C231" s="22" t="inlineStr">
        <is>
          <t>day</t>
        </is>
      </c>
      <c r="D231" s="23" t="n">
        <v>1.13</v>
      </c>
      <c r="E231" s="24" t="n">
        <v>679</v>
      </c>
      <c r="F231" s="24">
        <f>D231*E231</f>
        <v/>
      </c>
      <c r="G231" s="22" t="n"/>
    </row>
    <row r="232">
      <c r="A232" s="22" t="inlineStr">
        <is>
          <t>0115</t>
        </is>
      </c>
      <c r="B232" s="11" t="inlineStr">
        <is>
          <t>Coolie</t>
        </is>
      </c>
      <c r="C232" s="22" t="inlineStr">
        <is>
          <t>day</t>
        </is>
      </c>
      <c r="D232" s="23" t="n">
        <v>4.42</v>
      </c>
      <c r="E232" s="24" t="n">
        <v>558</v>
      </c>
      <c r="F232" s="24">
        <f>D232*E232</f>
        <v/>
      </c>
      <c r="G232" s="22" t="n"/>
    </row>
    <row r="233">
      <c r="A233" s="22" t="inlineStr">
        <is>
          <t>0101</t>
        </is>
      </c>
      <c r="B233" s="11" t="inlineStr">
        <is>
          <t>Bhisti</t>
        </is>
      </c>
      <c r="C233" s="22" t="inlineStr">
        <is>
          <t>day</t>
        </is>
      </c>
      <c r="D233" s="23" t="n">
        <v>0.2</v>
      </c>
      <c r="E233" s="24" t="n">
        <v>617</v>
      </c>
      <c r="F233" s="24">
        <f>D233*E233</f>
        <v/>
      </c>
      <c r="G233" s="22" t="n"/>
    </row>
    <row r="234">
      <c r="A234" s="22" t="inlineStr">
        <is>
          <t>0115</t>
        </is>
      </c>
      <c r="B234" s="11" t="inlineStr">
        <is>
          <t>Coolie</t>
        </is>
      </c>
      <c r="C234" s="22" t="inlineStr">
        <is>
          <t>day</t>
        </is>
      </c>
      <c r="D234" s="23" t="n">
        <v>1.13</v>
      </c>
      <c r="E234" s="24" t="n">
        <v>558</v>
      </c>
      <c r="F234" s="24">
        <f>D234*E234</f>
        <v/>
      </c>
      <c r="G234" s="22" t="n"/>
    </row>
    <row r="235">
      <c r="A235" s="8" t="inlineStr">
        <is>
          <t>Calculated W - SUM of the Amount column above</t>
        </is>
      </c>
      <c r="B235" s="9" t="n"/>
      <c r="C235" s="9" t="n"/>
      <c r="D235" s="9" t="n"/>
      <c r="E235" s="9" t="n"/>
      <c r="F235" s="25">
        <f>SUM(F224:F234)</f>
        <v/>
      </c>
      <c r="G235" s="9" t="n"/>
    </row>
    <row r="236">
      <c r="A236" s="26" t="inlineStr">
        <is>
          <t>W as printed in the DAR</t>
        </is>
      </c>
      <c r="B236" s="22" t="n"/>
      <c r="C236" s="22" t="n"/>
      <c r="D236" s="22" t="n"/>
      <c r="E236" s="22" t="n"/>
      <c r="F236" s="27" t="n">
        <v>12455.38</v>
      </c>
      <c r="G236" s="22" t="n"/>
    </row>
    <row r="237">
      <c r="A237" s="26" t="inlineStr">
        <is>
          <t>Difference (calculated - printed)</t>
        </is>
      </c>
      <c r="B237" s="22" t="n"/>
      <c r="C237" s="22" t="n"/>
      <c r="D237" s="22" t="n"/>
      <c r="E237" s="22" t="n"/>
      <c r="F237" s="27">
        <f>F235-F236</f>
        <v/>
      </c>
      <c r="G237" s="22" t="n"/>
    </row>
    <row r="238">
      <c r="A238" s="29" t="inlineStr">
        <is>
          <t>SAY (Rs.) - final DAR rate as printed (fixed value, not computed)</t>
        </is>
      </c>
      <c r="B238" s="30" t="n"/>
      <c r="C238" s="30" t="n"/>
      <c r="D238" s="30" t="n"/>
      <c r="E238" s="30" t="n"/>
      <c r="F238" s="31" t="n">
        <v>15361.9</v>
      </c>
      <c r="G238" s="30" t="n"/>
    </row>
    <row r="240" ht="33" customHeight="1">
      <c r="A240" s="18" t="inlineStr">
        <is>
          <t>6.11</t>
        </is>
      </c>
      <c r="B240" s="19" t="inlineStr">
        <is>
          <t>Extra for additional cost of centering for arches exceeding 6m span including all shuttering, bolting, wedging and removal (Area of the soffit to be measured).</t>
        </is>
      </c>
      <c r="C240" s="20" t="n"/>
      <c r="D240" s="20" t="n"/>
      <c r="E240" s="20" t="n"/>
      <c r="F240" s="20" t="n"/>
      <c r="G240" s="20" t="n"/>
    </row>
    <row r="241">
      <c r="A241" s="21" t="inlineStr">
        <is>
          <t>Details of cost for 33.31 sqm   |   Source: CivilDAR_2019_Vol_1.pdf, page 291</t>
        </is>
      </c>
    </row>
    <row r="242">
      <c r="A242" s="5" t="inlineStr">
        <is>
          <t>Code</t>
        </is>
      </c>
      <c r="B242" s="5" t="inlineStr">
        <is>
          <t>Description</t>
        </is>
      </c>
      <c r="C242" s="5" t="inlineStr">
        <is>
          <t>Unit</t>
        </is>
      </c>
      <c r="D242" s="5" t="inlineStr">
        <is>
          <t>Quantity</t>
        </is>
      </c>
      <c r="E242" s="5" t="inlineStr">
        <is>
          <t>Rate (Rs.)</t>
        </is>
      </c>
      <c r="F242" s="5" t="inlineStr">
        <is>
          <t>Amount (Rs.)</t>
        </is>
      </c>
      <c r="G242" s="5" t="inlineStr">
        <is>
          <t>Note</t>
        </is>
      </c>
    </row>
    <row r="243">
      <c r="A243" s="22" t="inlineStr">
        <is>
          <t>1197</t>
        </is>
      </c>
      <c r="B243" s="11" t="inlineStr">
        <is>
          <t>Second class kail wood in scantling</t>
        </is>
      </c>
      <c r="C243" s="22" t="inlineStr">
        <is>
          <t>10 cudm</t>
        </is>
      </c>
      <c r="D243" s="23" t="n">
        <v>88.79000000000001</v>
      </c>
      <c r="E243" s="24" t="n">
        <v>260</v>
      </c>
      <c r="F243" s="24">
        <f>D243*E243</f>
        <v/>
      </c>
      <c r="G243" s="22" t="n"/>
    </row>
    <row r="244">
      <c r="A244" s="22" t="inlineStr">
        <is>
          <t>2204</t>
        </is>
      </c>
      <c r="B244" s="11" t="inlineStr">
        <is>
          <t>Carriage of Timber</t>
        </is>
      </c>
      <c r="C244" s="22" t="inlineStr">
        <is>
          <t>cum</t>
        </is>
      </c>
      <c r="D244" s="23" t="n">
        <v>0.8879</v>
      </c>
      <c r="E244" s="24" t="n">
        <v>118.59</v>
      </c>
      <c r="F244" s="24">
        <f>D244*E244</f>
        <v/>
      </c>
      <c r="G244" s="22" t="n"/>
    </row>
    <row r="245">
      <c r="A245" s="22" t="inlineStr">
        <is>
          <t>1225</t>
        </is>
      </c>
      <c r="B245" s="11" t="inlineStr">
        <is>
          <t>Mild steel flat strap fitting</t>
        </is>
      </c>
      <c r="C245" s="22" t="inlineStr">
        <is>
          <t>quintal</t>
        </is>
      </c>
      <c r="D245" s="23" t="n">
        <v>0.0878</v>
      </c>
      <c r="E245" s="24" t="n">
        <v>4120</v>
      </c>
      <c r="F245" s="24">
        <f>D245*E245</f>
        <v/>
      </c>
      <c r="G245" s="22" t="n"/>
    </row>
    <row r="246">
      <c r="A246" s="22" t="inlineStr">
        <is>
          <t>1034</t>
        </is>
      </c>
      <c r="B246" s="11" t="inlineStr">
        <is>
          <t>Bolts and nuts upto 300 mm in length</t>
        </is>
      </c>
      <c r="C246" s="22" t="inlineStr">
        <is>
          <t>quintal</t>
        </is>
      </c>
      <c r="D246" s="23" t="n">
        <v>0.08</v>
      </c>
      <c r="E246" s="24" t="n">
        <v>4800</v>
      </c>
      <c r="F246" s="24">
        <f>D246*E246</f>
        <v/>
      </c>
      <c r="G246" s="22" t="n"/>
    </row>
    <row r="247">
      <c r="A247" s="22" t="inlineStr">
        <is>
          <t>2302</t>
        </is>
      </c>
      <c r="B247" s="11" t="inlineStr">
        <is>
          <t>Carriage of G.I.sheet and accessories</t>
        </is>
      </c>
      <c r="C247" s="22" t="inlineStr">
        <is>
          <t>tonne</t>
        </is>
      </c>
      <c r="D247" s="23" t="n">
        <v>0.0168</v>
      </c>
      <c r="E247" s="24" t="n">
        <v>92.23999999999999</v>
      </c>
      <c r="F247" s="24">
        <f>D247*E247</f>
        <v/>
      </c>
      <c r="G247" s="22" t="n"/>
    </row>
    <row r="248">
      <c r="A248" s="22" t="inlineStr">
        <is>
          <t>0112</t>
        </is>
      </c>
      <c r="B248" s="11" t="inlineStr">
        <is>
          <t>Carpenter 2nd class</t>
        </is>
      </c>
      <c r="C248" s="22" t="inlineStr">
        <is>
          <t>day</t>
        </is>
      </c>
      <c r="D248" s="23" t="n">
        <v>28</v>
      </c>
      <c r="E248" s="24" t="n">
        <v>679</v>
      </c>
      <c r="F248" s="24">
        <f>D248*E248</f>
        <v/>
      </c>
      <c r="G248" s="22" t="n"/>
    </row>
    <row r="249">
      <c r="A249" s="22" t="inlineStr">
        <is>
          <t>0114</t>
        </is>
      </c>
      <c r="B249" s="11" t="inlineStr">
        <is>
          <t>Beldar</t>
        </is>
      </c>
      <c r="C249" s="22" t="inlineStr">
        <is>
          <t>day</t>
        </is>
      </c>
      <c r="D249" s="23" t="n">
        <v>24</v>
      </c>
      <c r="E249" s="24" t="n">
        <v>558</v>
      </c>
      <c r="F249" s="24">
        <f>D249*E249</f>
        <v/>
      </c>
      <c r="G249" s="22" t="n"/>
    </row>
    <row r="250">
      <c r="A250" s="22" t="inlineStr">
        <is>
          <t>9999</t>
        </is>
      </c>
      <c r="B250" s="11" t="inlineStr">
        <is>
          <t>Sundries</t>
        </is>
      </c>
      <c r="C250" s="22" t="inlineStr">
        <is>
          <t>L.S.</t>
        </is>
      </c>
      <c r="D250" s="23" t="n">
        <v>134.55</v>
      </c>
      <c r="E250" s="24" t="n">
        <v>2</v>
      </c>
      <c r="F250" s="24">
        <f>D250*E250</f>
        <v/>
      </c>
      <c r="G250" s="22" t="n"/>
    </row>
    <row r="251">
      <c r="A251" s="7" t="inlineStr">
        <is>
          <t>5.9.9</t>
        </is>
      </c>
      <c r="B251" s="11" t="inlineStr">
        <is>
          <t>Rate as per item 5.9.9 - Centering and shuttering including strutting, propping etc. and removal of form for - Arches, domes, vaults...</t>
        </is>
      </c>
      <c r="C251" s="22" t="inlineStr">
        <is>
          <t>sqm</t>
        </is>
      </c>
      <c r="D251" s="23" t="n">
        <v>-33.31</v>
      </c>
      <c r="E251" s="24" t="n">
        <v>1713.2</v>
      </c>
      <c r="F251" s="24">
        <f>D251*E251</f>
        <v/>
      </c>
      <c r="G251" s="22" t="n"/>
    </row>
    <row r="252">
      <c r="A252" s="8" t="inlineStr">
        <is>
          <t>Calculated W - SUM of the Amount column above</t>
        </is>
      </c>
      <c r="B252" s="9" t="n"/>
      <c r="C252" s="9" t="n"/>
      <c r="D252" s="9" t="n"/>
      <c r="E252" s="9" t="n"/>
      <c r="F252" s="25">
        <f>SUM(F243:F251)</f>
        <v/>
      </c>
      <c r="G252" s="9" t="n"/>
    </row>
    <row r="253">
      <c r="A253" s="26" t="inlineStr">
        <is>
          <t>W as printed in the DAR</t>
        </is>
      </c>
      <c r="B253" s="22" t="n"/>
      <c r="C253" s="22" t="n"/>
      <c r="D253" s="22" t="n"/>
      <c r="E253" s="22" t="n"/>
      <c r="F253" s="27" t="n">
        <v>-455.61</v>
      </c>
      <c r="G253" s="22" t="n"/>
    </row>
    <row r="254">
      <c r="A254" s="26" t="inlineStr">
        <is>
          <t>Difference (calculated - printed)</t>
        </is>
      </c>
      <c r="B254" s="22" t="n"/>
      <c r="C254" s="22" t="n"/>
      <c r="D254" s="22" t="n"/>
      <c r="E254" s="22" t="n"/>
      <c r="F254" s="27">
        <f>F252-F253</f>
        <v/>
      </c>
      <c r="G254" s="22" t="n"/>
    </row>
    <row r="255">
      <c r="A255" s="29" t="inlineStr">
        <is>
          <t>SAY (Rs.) - final DAR rate as printed (fixed value, not computed)</t>
        </is>
      </c>
      <c r="B255" s="30" t="n"/>
      <c r="C255" s="30" t="n"/>
      <c r="D255" s="30" t="n"/>
      <c r="E255" s="30" t="n"/>
      <c r="F255" s="31" t="n">
        <v>560.65</v>
      </c>
      <c r="G255" s="30" t="n"/>
    </row>
    <row r="257" ht="18.5" customHeight="1">
      <c r="A257" s="8" t="inlineStr">
        <is>
          <t>6.12</t>
        </is>
      </c>
      <c r="B257" s="17" t="inlineStr">
        <is>
          <t>Half brick masonry with common burnt clay F.P.S. (non modular) bricks of class designation 7.5 in foundations and plinth in :</t>
        </is>
      </c>
      <c r="C257" s="9" t="n"/>
      <c r="D257" s="9" t="n"/>
      <c r="E257" s="9" t="n"/>
      <c r="F257" s="9" t="n"/>
      <c r="G257" s="9" t="n"/>
    </row>
    <row r="258" ht="18.5" customHeight="1">
      <c r="A258" s="18" t="inlineStr">
        <is>
          <t>6.12.1</t>
        </is>
      </c>
      <c r="B258" s="19" t="inlineStr">
        <is>
          <t>Cement mortar 1:3 (1 cement : 3 coarse sand)</t>
        </is>
      </c>
      <c r="C258" s="20" t="n"/>
      <c r="D258" s="20" t="n"/>
      <c r="E258" s="20" t="n"/>
      <c r="F258" s="20" t="n"/>
      <c r="G258" s="20" t="n"/>
    </row>
    <row r="259">
      <c r="A259" s="21" t="inlineStr">
        <is>
          <t>Details of cost for 10 sqm   |   Source: CivilDAR_2019_Vol_1.pdf, page 293</t>
        </is>
      </c>
    </row>
    <row r="260">
      <c r="A260" s="5" t="inlineStr">
        <is>
          <t>Code</t>
        </is>
      </c>
      <c r="B260" s="5" t="inlineStr">
        <is>
          <t>Description</t>
        </is>
      </c>
      <c r="C260" s="5" t="inlineStr">
        <is>
          <t>Unit</t>
        </is>
      </c>
      <c r="D260" s="5" t="inlineStr">
        <is>
          <t>Quantity</t>
        </is>
      </c>
      <c r="E260" s="5" t="inlineStr">
        <is>
          <t>Rate (Rs.)</t>
        </is>
      </c>
      <c r="F260" s="5" t="inlineStr">
        <is>
          <t>Amount (Rs.)</t>
        </is>
      </c>
      <c r="G260" s="5" t="inlineStr">
        <is>
          <t>Note</t>
        </is>
      </c>
    </row>
    <row r="261">
      <c r="A261" s="22" t="inlineStr">
        <is>
          <t>2602</t>
        </is>
      </c>
      <c r="B261" s="11" t="inlineStr">
        <is>
          <t>Common burnt clay F.P.S. (non modular) bricks class designation 7.5</t>
        </is>
      </c>
      <c r="C261" s="22" t="inlineStr">
        <is>
          <t>1000 Nos</t>
        </is>
      </c>
      <c r="D261" s="23" t="n">
        <v>0.5649999999999999</v>
      </c>
      <c r="E261" s="24" t="n">
        <v>4500</v>
      </c>
      <c r="F261" s="24">
        <f>D261*E261</f>
        <v/>
      </c>
      <c r="G261" s="22" t="n"/>
    </row>
    <row r="262">
      <c r="A262" s="7" t="inlineStr">
        <is>
          <t>3.8</t>
        </is>
      </c>
      <c r="B262" s="11" t="inlineStr">
        <is>
          <t>Rate as per item 3.8 - Cement mortar 1:3 (1 cement : 3 coarse sand)</t>
        </is>
      </c>
      <c r="C262" s="22" t="inlineStr">
        <is>
          <t>cum</t>
        </is>
      </c>
      <c r="D262" s="23" t="n">
        <v>0.28</v>
      </c>
      <c r="E262" s="24" t="n">
        <v>4664.55</v>
      </c>
      <c r="F262" s="24">
        <f>D262*E262</f>
        <v/>
      </c>
      <c r="G262" s="22" t="n"/>
    </row>
    <row r="263">
      <c r="A263" s="22" t="inlineStr">
        <is>
          <t>2201</t>
        </is>
      </c>
      <c r="B263" s="11" t="inlineStr">
        <is>
          <t>Carriage of Bricks</t>
        </is>
      </c>
      <c r="C263" s="22" t="inlineStr">
        <is>
          <t>1000 Nos</t>
        </is>
      </c>
      <c r="D263" s="23" t="n">
        <v>0.5649999999999999</v>
      </c>
      <c r="E263" s="24" t="n">
        <v>276.72</v>
      </c>
      <c r="F263" s="24">
        <f>D263*E263</f>
        <v/>
      </c>
      <c r="G263" s="22" t="n"/>
    </row>
    <row r="264">
      <c r="A264" s="22" t="inlineStr">
        <is>
          <t>9999</t>
        </is>
      </c>
      <c r="B264" s="11" t="inlineStr">
        <is>
          <t>Sundries &amp; Scaffolding</t>
        </is>
      </c>
      <c r="C264" s="22" t="inlineStr">
        <is>
          <t>L.S.</t>
        </is>
      </c>
      <c r="D264" s="23" t="n">
        <v>13.52</v>
      </c>
      <c r="E264" s="24" t="n">
        <v>2</v>
      </c>
      <c r="F264" s="24">
        <f>D264*E264</f>
        <v/>
      </c>
      <c r="G264" s="22" t="n"/>
    </row>
    <row r="265">
      <c r="A265" s="22" t="inlineStr">
        <is>
          <t>0123</t>
        </is>
      </c>
      <c r="B265" s="11" t="inlineStr">
        <is>
          <t>Mason (brick layer) 1st class</t>
        </is>
      </c>
      <c r="C265" s="22" t="inlineStr">
        <is>
          <t>day</t>
        </is>
      </c>
      <c r="D265" s="23" t="n">
        <v>0.45</v>
      </c>
      <c r="E265" s="24" t="n">
        <v>738</v>
      </c>
      <c r="F265" s="24">
        <f>D265*E265</f>
        <v/>
      </c>
      <c r="G265" s="22" t="n"/>
    </row>
    <row r="266">
      <c r="A266" s="22" t="inlineStr">
        <is>
          <t>0124</t>
        </is>
      </c>
      <c r="B266" s="11" t="inlineStr">
        <is>
          <t>Mason (brick layer) 2nd class</t>
        </is>
      </c>
      <c r="C266" s="22" t="inlineStr">
        <is>
          <t>day</t>
        </is>
      </c>
      <c r="D266" s="23" t="n">
        <v>0.45</v>
      </c>
      <c r="E266" s="24" t="n">
        <v>679</v>
      </c>
      <c r="F266" s="24">
        <f>D266*E266</f>
        <v/>
      </c>
      <c r="G266" s="22" t="n"/>
    </row>
    <row r="267">
      <c r="A267" s="22" t="inlineStr">
        <is>
          <t>0115</t>
        </is>
      </c>
      <c r="B267" s="11" t="inlineStr">
        <is>
          <t>Coolie</t>
        </is>
      </c>
      <c r="C267" s="22" t="inlineStr">
        <is>
          <t>day</t>
        </is>
      </c>
      <c r="D267" s="23" t="n">
        <v>1.55</v>
      </c>
      <c r="E267" s="24" t="n">
        <v>558</v>
      </c>
      <c r="F267" s="24">
        <f>D267*E267</f>
        <v/>
      </c>
      <c r="G267" s="22" t="n"/>
    </row>
    <row r="268">
      <c r="A268" s="22" t="inlineStr">
        <is>
          <t>0101</t>
        </is>
      </c>
      <c r="B268" s="11" t="inlineStr">
        <is>
          <t>Bhisti</t>
        </is>
      </c>
      <c r="C268" s="22" t="inlineStr">
        <is>
          <t>day</t>
        </is>
      </c>
      <c r="D268" s="23" t="n">
        <v>0.7</v>
      </c>
      <c r="E268" s="24" t="n">
        <v>617</v>
      </c>
      <c r="F268" s="24">
        <f>D268*E268</f>
        <v/>
      </c>
      <c r="G268" s="22" t="n"/>
    </row>
    <row r="269">
      <c r="A269" s="8" t="inlineStr">
        <is>
          <t>Calculated W - SUM of the Amount column above</t>
        </is>
      </c>
      <c r="B269" s="9" t="n"/>
      <c r="C269" s="9" t="n"/>
      <c r="D269" s="9" t="n"/>
      <c r="E269" s="9" t="n"/>
      <c r="F269" s="25">
        <f>SUM(F261:F268)</f>
        <v/>
      </c>
      <c r="G269" s="9" t="n"/>
    </row>
    <row r="270">
      <c r="A270" s="26" t="inlineStr">
        <is>
          <t>W as printed in the DAR</t>
        </is>
      </c>
      <c r="B270" s="22" t="n"/>
      <c r="C270" s="22" t="n"/>
      <c r="D270" s="22" t="n"/>
      <c r="E270" s="22" t="n"/>
      <c r="F270" s="27" t="n">
        <v>5966.41</v>
      </c>
      <c r="G270" s="22" t="n"/>
    </row>
    <row r="271">
      <c r="A271" s="26" t="inlineStr">
        <is>
          <t>Difference (calculated - printed)</t>
        </is>
      </c>
      <c r="B271" s="22" t="n"/>
      <c r="C271" s="22" t="n"/>
      <c r="D271" s="22" t="n"/>
      <c r="E271" s="22" t="n"/>
      <c r="F271" s="27">
        <f>F269-F270</f>
        <v/>
      </c>
      <c r="G271" s="22" t="n"/>
    </row>
    <row r="272">
      <c r="A272" s="29" t="inlineStr">
        <is>
          <t>SAY (Rs.) - final DAR rate as printed (fixed value, not computed)</t>
        </is>
      </c>
      <c r="B272" s="30" t="n"/>
      <c r="C272" s="30" t="n"/>
      <c r="D272" s="30" t="n"/>
      <c r="E272" s="30" t="n"/>
      <c r="F272" s="31" t="n">
        <v>798.25</v>
      </c>
      <c r="G272" s="30" t="n"/>
    </row>
    <row r="274" ht="18.5" customHeight="1">
      <c r="A274" s="8" t="inlineStr">
        <is>
          <t>6.12</t>
        </is>
      </c>
      <c r="B274" s="17" t="inlineStr">
        <is>
          <t>Half brick masonry with common burnt clay F.P.S. (non modular) bricks of class designation 7.5 in foundations and plinth in :</t>
        </is>
      </c>
      <c r="C274" s="9" t="n"/>
      <c r="D274" s="9" t="n"/>
      <c r="E274" s="9" t="n"/>
      <c r="F274" s="9" t="n"/>
      <c r="G274" s="9" t="n"/>
    </row>
    <row r="275" ht="18.5" customHeight="1">
      <c r="A275" s="18" t="inlineStr">
        <is>
          <t>6.12.2</t>
        </is>
      </c>
      <c r="B275" s="19" t="inlineStr">
        <is>
          <t>cement mortar 1:4 (1 cement : 4 coarse sand)</t>
        </is>
      </c>
      <c r="C275" s="20" t="n"/>
      <c r="D275" s="20" t="n"/>
      <c r="E275" s="20" t="n"/>
      <c r="F275" s="20" t="n"/>
      <c r="G275" s="20" t="n"/>
    </row>
    <row r="276">
      <c r="A276" s="21" t="inlineStr">
        <is>
          <t>Details of cost for 10 sqm   |   Source: CivilDAR_2019_Vol_1.pdf, page 293</t>
        </is>
      </c>
    </row>
    <row r="277">
      <c r="A277" s="5" t="inlineStr">
        <is>
          <t>Code</t>
        </is>
      </c>
      <c r="B277" s="5" t="inlineStr">
        <is>
          <t>Description</t>
        </is>
      </c>
      <c r="C277" s="5" t="inlineStr">
        <is>
          <t>Unit</t>
        </is>
      </c>
      <c r="D277" s="5" t="inlineStr">
        <is>
          <t>Quantity</t>
        </is>
      </c>
      <c r="E277" s="5" t="inlineStr">
        <is>
          <t>Rate (Rs.)</t>
        </is>
      </c>
      <c r="F277" s="5" t="inlineStr">
        <is>
          <t>Amount (Rs.)</t>
        </is>
      </c>
      <c r="G277" s="5" t="inlineStr">
        <is>
          <t>Note</t>
        </is>
      </c>
    </row>
    <row r="278">
      <c r="A278" s="22" t="inlineStr">
        <is>
          <t>2602</t>
        </is>
      </c>
      <c r="B278" s="11" t="inlineStr">
        <is>
          <t>Common burnt clay F.P.S. (non modular) bricks class designation 7.5</t>
        </is>
      </c>
      <c r="C278" s="22" t="inlineStr">
        <is>
          <t>1000 Nos</t>
        </is>
      </c>
      <c r="D278" s="23" t="n">
        <v>0.5649999999999999</v>
      </c>
      <c r="E278" s="24" t="n">
        <v>4500</v>
      </c>
      <c r="F278" s="24">
        <f>D278*E278</f>
        <v/>
      </c>
      <c r="G278" s="22" t="n"/>
    </row>
    <row r="279">
      <c r="A279" s="7" t="inlineStr">
        <is>
          <t>3.9</t>
        </is>
      </c>
      <c r="B279" s="11" t="inlineStr">
        <is>
          <t>Rate as per item 3.9 - Cement mortar 1:4 (1 cement : 4 coarse sand)</t>
        </is>
      </c>
      <c r="C279" s="22" t="inlineStr">
        <is>
          <t>cum</t>
        </is>
      </c>
      <c r="D279" s="23" t="n">
        <v>0.28</v>
      </c>
      <c r="E279" s="24" t="n">
        <v>4010.35</v>
      </c>
      <c r="F279" s="24">
        <f>D279*E279</f>
        <v/>
      </c>
      <c r="G279" s="22" t="n"/>
    </row>
    <row r="280">
      <c r="A280" s="22" t="inlineStr">
        <is>
          <t>2201</t>
        </is>
      </c>
      <c r="B280" s="11" t="inlineStr">
        <is>
          <t>Carriage of Bricks</t>
        </is>
      </c>
      <c r="C280" s="22" t="inlineStr">
        <is>
          <t>1000 Nos</t>
        </is>
      </c>
      <c r="D280" s="23" t="n">
        <v>0.5649999999999999</v>
      </c>
      <c r="E280" s="24" t="n">
        <v>276.72</v>
      </c>
      <c r="F280" s="24">
        <f>D280*E280</f>
        <v/>
      </c>
      <c r="G280" s="22" t="n"/>
    </row>
    <row r="281">
      <c r="A281" s="22" t="inlineStr">
        <is>
          <t>9999</t>
        </is>
      </c>
      <c r="B281" s="11" t="inlineStr">
        <is>
          <t>Sundries &amp; Scaffolding</t>
        </is>
      </c>
      <c r="C281" s="22" t="inlineStr">
        <is>
          <t>L.S.</t>
        </is>
      </c>
      <c r="D281" s="23" t="n">
        <v>13.52</v>
      </c>
      <c r="E281" s="24" t="n">
        <v>2</v>
      </c>
      <c r="F281" s="24">
        <f>D281*E281</f>
        <v/>
      </c>
      <c r="G281" s="22" t="n"/>
    </row>
    <row r="282">
      <c r="A282" s="22" t="inlineStr">
        <is>
          <t>0123</t>
        </is>
      </c>
      <c r="B282" s="11" t="inlineStr">
        <is>
          <t>Mason (brick layer) 1st class</t>
        </is>
      </c>
      <c r="C282" s="22" t="inlineStr">
        <is>
          <t>day</t>
        </is>
      </c>
      <c r="D282" s="23" t="n">
        <v>0.45</v>
      </c>
      <c r="E282" s="24" t="n">
        <v>738</v>
      </c>
      <c r="F282" s="24">
        <f>D282*E282</f>
        <v/>
      </c>
      <c r="G282" s="22" t="n"/>
    </row>
    <row r="283">
      <c r="A283" s="22" t="inlineStr">
        <is>
          <t>0124</t>
        </is>
      </c>
      <c r="B283" s="11" t="inlineStr">
        <is>
          <t>Mason (brick layer) 2nd class</t>
        </is>
      </c>
      <c r="C283" s="22" t="inlineStr">
        <is>
          <t>day</t>
        </is>
      </c>
      <c r="D283" s="23" t="n">
        <v>0.45</v>
      </c>
      <c r="E283" s="24" t="n">
        <v>679</v>
      </c>
      <c r="F283" s="24">
        <f>D283*E283</f>
        <v/>
      </c>
      <c r="G283" s="22" t="n"/>
    </row>
    <row r="284">
      <c r="A284" s="22" t="inlineStr">
        <is>
          <t>0115</t>
        </is>
      </c>
      <c r="B284" s="11" t="inlineStr">
        <is>
          <t>Coolie</t>
        </is>
      </c>
      <c r="C284" s="22" t="inlineStr">
        <is>
          <t>day</t>
        </is>
      </c>
      <c r="D284" s="23" t="n">
        <v>1.55</v>
      </c>
      <c r="E284" s="24" t="n">
        <v>558</v>
      </c>
      <c r="F284" s="24">
        <f>D284*E284</f>
        <v/>
      </c>
      <c r="G284" s="22" t="n"/>
    </row>
    <row r="285">
      <c r="A285" s="22" t="inlineStr">
        <is>
          <t>0101</t>
        </is>
      </c>
      <c r="B285" s="11" t="inlineStr">
        <is>
          <t>Bhisti</t>
        </is>
      </c>
      <c r="C285" s="22" t="inlineStr">
        <is>
          <t>day</t>
        </is>
      </c>
      <c r="D285" s="23" t="n">
        <v>0.7</v>
      </c>
      <c r="E285" s="24" t="n">
        <v>617</v>
      </c>
      <c r="F285" s="24">
        <f>D285*E285</f>
        <v/>
      </c>
      <c r="G285" s="22" t="n"/>
    </row>
    <row r="286">
      <c r="A286" s="8" t="inlineStr">
        <is>
          <t>Calculated W - SUM of the Amount column above</t>
        </is>
      </c>
      <c r="B286" s="9" t="n"/>
      <c r="C286" s="9" t="n"/>
      <c r="D286" s="9" t="n"/>
      <c r="E286" s="9" t="n"/>
      <c r="F286" s="25">
        <f>SUM(F278:F285)</f>
        <v/>
      </c>
      <c r="G286" s="9" t="n"/>
    </row>
    <row r="287">
      <c r="A287" s="26" t="inlineStr">
        <is>
          <t>W as printed in the DAR</t>
        </is>
      </c>
      <c r="B287" s="22" t="n"/>
      <c r="C287" s="22" t="n"/>
      <c r="D287" s="22" t="n"/>
      <c r="E287" s="22" t="n"/>
      <c r="F287" s="27" t="n">
        <v>5783.23</v>
      </c>
      <c r="G287" s="22" t="n"/>
    </row>
    <row r="288">
      <c r="A288" s="26" t="inlineStr">
        <is>
          <t>Difference (calculated - printed)</t>
        </is>
      </c>
      <c r="B288" s="22" t="n"/>
      <c r="C288" s="22" t="n"/>
      <c r="D288" s="22" t="n"/>
      <c r="E288" s="22" t="n"/>
      <c r="F288" s="27">
        <f>F286-F287</f>
        <v/>
      </c>
      <c r="G288" s="22" t="n"/>
    </row>
    <row r="289">
      <c r="A289" s="29" t="inlineStr">
        <is>
          <t>SAY (Rs.) - final DAR rate as printed (fixed value, not computed)</t>
        </is>
      </c>
      <c r="B289" s="30" t="n"/>
      <c r="C289" s="30" t="n"/>
      <c r="D289" s="30" t="n"/>
      <c r="E289" s="30" t="n"/>
      <c r="F289" s="31" t="n">
        <v>773.75</v>
      </c>
      <c r="G289" s="30" t="n"/>
    </row>
    <row r="291" ht="33" customHeight="1">
      <c r="A291" s="8" t="inlineStr">
        <is>
          <t>6.13</t>
        </is>
      </c>
      <c r="B291" s="17" t="inlineStr">
        <is>
          <t>Half brick masonry with common burnt clay F.P.S. (non modular) bricks of class designation 7.5 in superstructure above plinth level up to floor V level.</t>
        </is>
      </c>
      <c r="C291" s="9" t="n"/>
      <c r="D291" s="9" t="n"/>
      <c r="E291" s="9" t="n"/>
      <c r="F291" s="9" t="n"/>
      <c r="G291" s="9" t="n"/>
    </row>
    <row r="292" ht="18.5" customHeight="1">
      <c r="A292" s="18" t="inlineStr">
        <is>
          <t>6.13.1</t>
        </is>
      </c>
      <c r="B292" s="19" t="inlineStr">
        <is>
          <t>Cement mortar 1:3 (1 cement :3 coarse sand)</t>
        </is>
      </c>
      <c r="C292" s="20" t="n"/>
      <c r="D292" s="20" t="n"/>
      <c r="E292" s="20" t="n"/>
      <c r="F292" s="20" t="n"/>
      <c r="G292" s="20" t="n"/>
    </row>
    <row r="293">
      <c r="A293" s="21" t="inlineStr">
        <is>
          <t>Details of cost for 10 sqm   |   Source: CivilDAR_2019_Vol_1.pdf, page 294</t>
        </is>
      </c>
    </row>
    <row r="294">
      <c r="A294" s="5" t="inlineStr">
        <is>
          <t>Code</t>
        </is>
      </c>
      <c r="B294" s="5" t="inlineStr">
        <is>
          <t>Description</t>
        </is>
      </c>
      <c r="C294" s="5" t="inlineStr">
        <is>
          <t>Unit</t>
        </is>
      </c>
      <c r="D294" s="5" t="inlineStr">
        <is>
          <t>Quantity</t>
        </is>
      </c>
      <c r="E294" s="5" t="inlineStr">
        <is>
          <t>Rate (Rs.)</t>
        </is>
      </c>
      <c r="F294" s="5" t="inlineStr">
        <is>
          <t>Amount (Rs.)</t>
        </is>
      </c>
      <c r="G294" s="5" t="inlineStr">
        <is>
          <t>Note</t>
        </is>
      </c>
    </row>
    <row r="295">
      <c r="A295" s="22" t="inlineStr">
        <is>
          <t>2602</t>
        </is>
      </c>
      <c r="B295" s="11" t="inlineStr">
        <is>
          <t>Common burnt clay F.P.S. (non modular) bricks class designation 7.5</t>
        </is>
      </c>
      <c r="C295" s="22" t="inlineStr">
        <is>
          <t>1000 Nos</t>
        </is>
      </c>
      <c r="D295" s="23" t="n">
        <v>0.5649999999999999</v>
      </c>
      <c r="E295" s="24" t="n">
        <v>4500</v>
      </c>
      <c r="F295" s="24">
        <f>D295*E295</f>
        <v/>
      </c>
      <c r="G295" s="22" t="n"/>
    </row>
    <row r="296">
      <c r="A296" s="7" t="inlineStr">
        <is>
          <t>3.8</t>
        </is>
      </c>
      <c r="B296" s="11" t="inlineStr">
        <is>
          <t>Rate as per item 3.8 - Cement mortar 1:3 (1 cement : 3 coarse sand)</t>
        </is>
      </c>
      <c r="C296" s="22" t="inlineStr">
        <is>
          <t>cum</t>
        </is>
      </c>
      <c r="D296" s="23" t="n">
        <v>0.28</v>
      </c>
      <c r="E296" s="24" t="n">
        <v>4664.55</v>
      </c>
      <c r="F296" s="24">
        <f>D296*E296</f>
        <v/>
      </c>
      <c r="G296" s="22" t="n"/>
    </row>
    <row r="297">
      <c r="A297" s="22" t="inlineStr">
        <is>
          <t>2201</t>
        </is>
      </c>
      <c r="B297" s="11" t="inlineStr">
        <is>
          <t>Carriage of Bricks</t>
        </is>
      </c>
      <c r="C297" s="22" t="inlineStr">
        <is>
          <t>1000 Nos</t>
        </is>
      </c>
      <c r="D297" s="23" t="n">
        <v>0.5649999999999999</v>
      </c>
      <c r="E297" s="24" t="n">
        <v>276.72</v>
      </c>
      <c r="F297" s="24">
        <f>D297*E297</f>
        <v/>
      </c>
      <c r="G297" s="22" t="n"/>
    </row>
    <row r="298">
      <c r="A298" s="22" t="inlineStr">
        <is>
          <t>9999</t>
        </is>
      </c>
      <c r="B298" s="11" t="inlineStr">
        <is>
          <t>Sundries &amp; Scaffolding</t>
        </is>
      </c>
      <c r="C298" s="22" t="inlineStr">
        <is>
          <t>L.S.</t>
        </is>
      </c>
      <c r="D298" s="23" t="n">
        <v>13.52</v>
      </c>
      <c r="E298" s="24" t="n">
        <v>2</v>
      </c>
      <c r="F298" s="24">
        <f>D298*E298</f>
        <v/>
      </c>
      <c r="G298" s="22" t="n"/>
    </row>
    <row r="299">
      <c r="A299" s="22" t="inlineStr">
        <is>
          <t>0123</t>
        </is>
      </c>
      <c r="B299" s="11" t="inlineStr">
        <is>
          <t>Mason (brick layer) 1st class</t>
        </is>
      </c>
      <c r="C299" s="22" t="inlineStr">
        <is>
          <t>day</t>
        </is>
      </c>
      <c r="D299" s="23" t="n">
        <v>0.6</v>
      </c>
      <c r="E299" s="24" t="n">
        <v>738</v>
      </c>
      <c r="F299" s="24">
        <f>D299*E299</f>
        <v/>
      </c>
      <c r="G299" s="22" t="n"/>
    </row>
    <row r="300">
      <c r="A300" s="22" t="inlineStr">
        <is>
          <t>0124</t>
        </is>
      </c>
      <c r="B300" s="11" t="inlineStr">
        <is>
          <t>Mason (brick layer) 2nd class</t>
        </is>
      </c>
      <c r="C300" s="22" t="inlineStr">
        <is>
          <t>day</t>
        </is>
      </c>
      <c r="D300" s="23" t="n">
        <v>0.6</v>
      </c>
      <c r="E300" s="24" t="n">
        <v>679</v>
      </c>
      <c r="F300" s="24">
        <f>D300*E300</f>
        <v/>
      </c>
      <c r="G300" s="22" t="n"/>
    </row>
    <row r="301">
      <c r="A301" s="22" t="inlineStr">
        <is>
          <t>0115</t>
        </is>
      </c>
      <c r="B301" s="11" t="inlineStr">
        <is>
          <t>Coolie</t>
        </is>
      </c>
      <c r="C301" s="22" t="inlineStr">
        <is>
          <t>day</t>
        </is>
      </c>
      <c r="D301" s="23" t="n">
        <v>2</v>
      </c>
      <c r="E301" s="24" t="n">
        <v>558</v>
      </c>
      <c r="F301" s="24">
        <f>D301*E301</f>
        <v/>
      </c>
      <c r="G301" s="22" t="n"/>
    </row>
    <row r="302">
      <c r="A302" s="22" t="inlineStr">
        <is>
          <t>0101</t>
        </is>
      </c>
      <c r="B302" s="11" t="inlineStr">
        <is>
          <t>Bhisti</t>
        </is>
      </c>
      <c r="C302" s="22" t="inlineStr">
        <is>
          <t>day</t>
        </is>
      </c>
      <c r="D302" s="23" t="n">
        <v>0.7</v>
      </c>
      <c r="E302" s="24" t="n">
        <v>617</v>
      </c>
      <c r="F302" s="24">
        <f>D302*E302</f>
        <v/>
      </c>
      <c r="G302" s="22" t="n"/>
    </row>
    <row r="303">
      <c r="A303" s="22" t="inlineStr">
        <is>
          <t>0115</t>
        </is>
      </c>
      <c r="B303" s="11" t="inlineStr">
        <is>
          <t>Coolie</t>
        </is>
      </c>
      <c r="C303" s="22" t="inlineStr">
        <is>
          <t>day</t>
        </is>
      </c>
      <c r="D303" s="23" t="n">
        <v>1.29</v>
      </c>
      <c r="E303" s="24" t="n">
        <v>558</v>
      </c>
      <c r="F303" s="24">
        <f>D303*E303</f>
        <v/>
      </c>
      <c r="G303" s="22" t="n"/>
    </row>
    <row r="304">
      <c r="A304" s="8" t="inlineStr">
        <is>
          <t>Calculated W - SUM of the Amount column above</t>
        </is>
      </c>
      <c r="B304" s="9" t="n"/>
      <c r="C304" s="9" t="n"/>
      <c r="D304" s="9" t="n"/>
      <c r="E304" s="9" t="n"/>
      <c r="F304" s="25">
        <f>SUM(F295:F303)</f>
        <v/>
      </c>
      <c r="G304" s="9" t="n"/>
    </row>
    <row r="305">
      <c r="A305" s="26" t="inlineStr">
        <is>
          <t>W as printed in the DAR</t>
        </is>
      </c>
      <c r="B305" s="22" t="n"/>
      <c r="C305" s="22" t="n"/>
      <c r="D305" s="22" t="n"/>
      <c r="E305" s="22" t="n"/>
      <c r="F305" s="27" t="n">
        <v>7149.88</v>
      </c>
      <c r="G305" s="22" t="n"/>
    </row>
    <row r="306">
      <c r="A306" s="26" t="inlineStr">
        <is>
          <t>Difference (calculated - printed)</t>
        </is>
      </c>
      <c r="B306" s="22" t="n"/>
      <c r="C306" s="22" t="n"/>
      <c r="D306" s="22" t="n"/>
      <c r="E306" s="22" t="n"/>
      <c r="F306" s="27">
        <f>F304-F305</f>
        <v/>
      </c>
      <c r="G306" s="22" t="n"/>
    </row>
    <row r="307">
      <c r="A307" s="29" t="inlineStr">
        <is>
          <t>SAY (Rs.) - final DAR rate as printed (fixed value, not computed)</t>
        </is>
      </c>
      <c r="B307" s="30" t="n"/>
      <c r="C307" s="30" t="n"/>
      <c r="D307" s="30" t="n"/>
      <c r="E307" s="30" t="n"/>
      <c r="F307" s="31" t="n">
        <v>956.6</v>
      </c>
      <c r="G307" s="30" t="n"/>
    </row>
    <row r="309" ht="33" customHeight="1">
      <c r="A309" s="8" t="inlineStr">
        <is>
          <t>6.13</t>
        </is>
      </c>
      <c r="B309" s="17" t="inlineStr">
        <is>
          <t>Half brick masonry with common burnt clay F.P.S. (non modular) bricks of class designation 7.5 in superstructure above plinth level up to floor V level.</t>
        </is>
      </c>
      <c r="C309" s="9" t="n"/>
      <c r="D309" s="9" t="n"/>
      <c r="E309" s="9" t="n"/>
      <c r="F309" s="9" t="n"/>
      <c r="G309" s="9" t="n"/>
    </row>
    <row r="310" ht="18.5" customHeight="1">
      <c r="A310" s="18" t="inlineStr">
        <is>
          <t>6.13.2</t>
        </is>
      </c>
      <c r="B310" s="19" t="inlineStr">
        <is>
          <t>Cement mortar 1:4 (1 cement :4 coarse sand)</t>
        </is>
      </c>
      <c r="C310" s="20" t="n"/>
      <c r="D310" s="20" t="n"/>
      <c r="E310" s="20" t="n"/>
      <c r="F310" s="20" t="n"/>
      <c r="G310" s="20" t="n"/>
    </row>
    <row r="311">
      <c r="A311" s="21" t="inlineStr">
        <is>
          <t>Details of cost for 10 sqm   |   Source: CivilDAR_2019_Vol_1.pdf, page 295</t>
        </is>
      </c>
    </row>
    <row r="312">
      <c r="A312" s="5" t="inlineStr">
        <is>
          <t>Code</t>
        </is>
      </c>
      <c r="B312" s="5" t="inlineStr">
        <is>
          <t>Description</t>
        </is>
      </c>
      <c r="C312" s="5" t="inlineStr">
        <is>
          <t>Unit</t>
        </is>
      </c>
      <c r="D312" s="5" t="inlineStr">
        <is>
          <t>Quantity</t>
        </is>
      </c>
      <c r="E312" s="5" t="inlineStr">
        <is>
          <t>Rate (Rs.)</t>
        </is>
      </c>
      <c r="F312" s="5" t="inlineStr">
        <is>
          <t>Amount (Rs.)</t>
        </is>
      </c>
      <c r="G312" s="5" t="inlineStr">
        <is>
          <t>Note</t>
        </is>
      </c>
    </row>
    <row r="313">
      <c r="A313" s="22" t="inlineStr">
        <is>
          <t>2602</t>
        </is>
      </c>
      <c r="B313" s="11" t="inlineStr">
        <is>
          <t>Common burnt clay F.P.S. (non modular) bricks class designation 7.5</t>
        </is>
      </c>
      <c r="C313" s="22" t="inlineStr">
        <is>
          <t>1000 Nos</t>
        </is>
      </c>
      <c r="D313" s="23" t="n">
        <v>0.5649999999999999</v>
      </c>
      <c r="E313" s="24" t="n">
        <v>4500</v>
      </c>
      <c r="F313" s="24">
        <f>D313*E313</f>
        <v/>
      </c>
      <c r="G313" s="22" t="n"/>
    </row>
    <row r="314">
      <c r="A314" s="7" t="inlineStr">
        <is>
          <t>3.9</t>
        </is>
      </c>
      <c r="B314" s="11" t="inlineStr">
        <is>
          <t>Rate as per item 3.9 - Cement mortar 1:4 (1 cement : 4 coarse sand)</t>
        </is>
      </c>
      <c r="C314" s="22" t="inlineStr">
        <is>
          <t>cum</t>
        </is>
      </c>
      <c r="D314" s="23" t="n">
        <v>0.28</v>
      </c>
      <c r="E314" s="24" t="n">
        <v>4010.35</v>
      </c>
      <c r="F314" s="24">
        <f>D314*E314</f>
        <v/>
      </c>
      <c r="G314" s="22" t="n"/>
    </row>
    <row r="315">
      <c r="A315" s="22" t="inlineStr">
        <is>
          <t>2201</t>
        </is>
      </c>
      <c r="B315" s="11" t="inlineStr">
        <is>
          <t>Carriage of Bricks</t>
        </is>
      </c>
      <c r="C315" s="22" t="inlineStr">
        <is>
          <t>1000 Nos</t>
        </is>
      </c>
      <c r="D315" s="23" t="n">
        <v>0.5649999999999999</v>
      </c>
      <c r="E315" s="24" t="n">
        <v>276.72</v>
      </c>
      <c r="F315" s="24">
        <f>D315*E315</f>
        <v/>
      </c>
      <c r="G315" s="22" t="n"/>
    </row>
    <row r="316">
      <c r="A316" s="22" t="inlineStr">
        <is>
          <t>9999</t>
        </is>
      </c>
      <c r="B316" s="11" t="inlineStr">
        <is>
          <t>Sundries &amp; Scaffolding</t>
        </is>
      </c>
      <c r="C316" s="22" t="inlineStr">
        <is>
          <t>L.S.</t>
        </is>
      </c>
      <c r="D316" s="23" t="n">
        <v>13.52</v>
      </c>
      <c r="E316" s="24" t="n">
        <v>2</v>
      </c>
      <c r="F316" s="24">
        <f>D316*E316</f>
        <v/>
      </c>
      <c r="G316" s="22" t="n"/>
    </row>
    <row r="317">
      <c r="A317" s="22" t="inlineStr">
        <is>
          <t>0123</t>
        </is>
      </c>
      <c r="B317" s="11" t="inlineStr">
        <is>
          <t>Mason (brick layer) 1st class</t>
        </is>
      </c>
      <c r="C317" s="22" t="inlineStr">
        <is>
          <t>day</t>
        </is>
      </c>
      <c r="D317" s="23" t="n">
        <v>0.6</v>
      </c>
      <c r="E317" s="24" t="n">
        <v>738</v>
      </c>
      <c r="F317" s="24">
        <f>D317*E317</f>
        <v/>
      </c>
      <c r="G317" s="22" t="n"/>
    </row>
    <row r="318">
      <c r="A318" s="22" t="inlineStr">
        <is>
          <t>0124</t>
        </is>
      </c>
      <c r="B318" s="11" t="inlineStr">
        <is>
          <t>Mason (brick layer) 2nd class</t>
        </is>
      </c>
      <c r="C318" s="22" t="inlineStr">
        <is>
          <t>day</t>
        </is>
      </c>
      <c r="D318" s="23" t="n">
        <v>0.6</v>
      </c>
      <c r="E318" s="24" t="n">
        <v>679</v>
      </c>
      <c r="F318" s="24">
        <f>D318*E318</f>
        <v/>
      </c>
      <c r="G318" s="22" t="n"/>
    </row>
    <row r="319">
      <c r="A319" s="22" t="inlineStr">
        <is>
          <t>0115</t>
        </is>
      </c>
      <c r="B319" s="11" t="inlineStr">
        <is>
          <t>Coolie</t>
        </is>
      </c>
      <c r="C319" s="22" t="inlineStr">
        <is>
          <t>day</t>
        </is>
      </c>
      <c r="D319" s="23" t="n">
        <v>2</v>
      </c>
      <c r="E319" s="24" t="n">
        <v>558</v>
      </c>
      <c r="F319" s="24">
        <f>D319*E319</f>
        <v/>
      </c>
      <c r="G319" s="22" t="n"/>
    </row>
    <row r="320">
      <c r="A320" s="22" t="inlineStr">
        <is>
          <t>0101</t>
        </is>
      </c>
      <c r="B320" s="11" t="inlineStr">
        <is>
          <t>Bhisti</t>
        </is>
      </c>
      <c r="C320" s="22" t="inlineStr">
        <is>
          <t>day</t>
        </is>
      </c>
      <c r="D320" s="23" t="n">
        <v>0.7</v>
      </c>
      <c r="E320" s="24" t="n">
        <v>617</v>
      </c>
      <c r="F320" s="24">
        <f>D320*E320</f>
        <v/>
      </c>
      <c r="G320" s="22" t="n"/>
    </row>
    <row r="321">
      <c r="A321" s="22" t="inlineStr">
        <is>
          <t>0115</t>
        </is>
      </c>
      <c r="B321" s="11" t="inlineStr">
        <is>
          <t>Coolie</t>
        </is>
      </c>
      <c r="C321" s="22" t="inlineStr">
        <is>
          <t>day</t>
        </is>
      </c>
      <c r="D321" s="23" t="n">
        <v>1.29</v>
      </c>
      <c r="E321" s="24" t="n">
        <v>558</v>
      </c>
      <c r="F321" s="24">
        <f>D321*E321</f>
        <v/>
      </c>
      <c r="G321" s="22" t="n"/>
    </row>
    <row r="322">
      <c r="A322" s="8" t="inlineStr">
        <is>
          <t>Calculated W - SUM of the Amount column above</t>
        </is>
      </c>
      <c r="B322" s="9" t="n"/>
      <c r="C322" s="9" t="n"/>
      <c r="D322" s="9" t="n"/>
      <c r="E322" s="9" t="n"/>
      <c r="F322" s="25">
        <f>SUM(F313:F321)</f>
        <v/>
      </c>
      <c r="G322" s="9" t="n"/>
    </row>
    <row r="323">
      <c r="A323" s="26" t="inlineStr">
        <is>
          <t>W as printed in the DAR</t>
        </is>
      </c>
      <c r="B323" s="22" t="n"/>
      <c r="C323" s="22" t="n"/>
      <c r="D323" s="22" t="n"/>
      <c r="E323" s="22" t="n"/>
      <c r="F323" s="27" t="n">
        <v>6966.7</v>
      </c>
      <c r="G323" s="22" t="n"/>
    </row>
    <row r="324">
      <c r="A324" s="26" t="inlineStr">
        <is>
          <t>Difference (calculated - printed)</t>
        </is>
      </c>
      <c r="B324" s="22" t="n"/>
      <c r="C324" s="22" t="n"/>
      <c r="D324" s="22" t="n"/>
      <c r="E324" s="22" t="n"/>
      <c r="F324" s="27">
        <f>F322-F323</f>
        <v/>
      </c>
      <c r="G324" s="22" t="n"/>
    </row>
    <row r="325">
      <c r="A325" s="29" t="inlineStr">
        <is>
          <t>SAY (Rs.) - final DAR rate as printed (fixed value, not computed)</t>
        </is>
      </c>
      <c r="B325" s="30" t="n"/>
      <c r="C325" s="30" t="n"/>
      <c r="D325" s="30" t="n"/>
      <c r="E325" s="30" t="n"/>
      <c r="F325" s="31" t="n">
        <v>932.1</v>
      </c>
      <c r="G325" s="30" t="n"/>
    </row>
    <row r="327" ht="33" customHeight="1">
      <c r="A327" s="18" t="inlineStr">
        <is>
          <t>6.14</t>
        </is>
      </c>
      <c r="B327" s="19" t="inlineStr">
        <is>
          <t>Extra for half brick masonry in superstructure, above floor V level for every four floors or part thereof by mechanical means.</t>
        </is>
      </c>
      <c r="C327" s="20" t="n"/>
      <c r="D327" s="20" t="n"/>
      <c r="E327" s="20" t="n"/>
      <c r="F327" s="20" t="n"/>
      <c r="G327" s="20" t="n"/>
    </row>
    <row r="328">
      <c r="A328" s="21" t="inlineStr">
        <is>
          <t>Details of cost for 59.83 sqm   |   Source: CivilDAR_2019_Vol_1.pdf, page 295</t>
        </is>
      </c>
    </row>
    <row r="329">
      <c r="A329" s="5" t="inlineStr">
        <is>
          <t>Code</t>
        </is>
      </c>
      <c r="B329" s="5" t="inlineStr">
        <is>
          <t>Description</t>
        </is>
      </c>
      <c r="C329" s="5" t="inlineStr">
        <is>
          <t>Unit</t>
        </is>
      </c>
      <c r="D329" s="5" t="inlineStr">
        <is>
          <t>Quantity</t>
        </is>
      </c>
      <c r="E329" s="5" t="inlineStr">
        <is>
          <t>Rate (Rs.)</t>
        </is>
      </c>
      <c r="F329" s="5" t="inlineStr">
        <is>
          <t>Amount (Rs.)</t>
        </is>
      </c>
      <c r="G329" s="5" t="inlineStr">
        <is>
          <t>Note</t>
        </is>
      </c>
    </row>
    <row r="330">
      <c r="A330" s="22" t="inlineStr">
        <is>
          <t>0037</t>
        </is>
      </c>
      <c r="B330" s="11" t="inlineStr">
        <is>
          <t>Mobile crane</t>
        </is>
      </c>
      <c r="C330" s="22" t="inlineStr">
        <is>
          <t>day</t>
        </is>
      </c>
      <c r="D330" s="23" t="n">
        <v>0.125</v>
      </c>
      <c r="E330" s="24" t="n">
        <v>7500</v>
      </c>
      <c r="F330" s="24">
        <f>D330*E330</f>
        <v/>
      </c>
      <c r="G330" s="22" t="n"/>
    </row>
    <row r="331">
      <c r="A331" s="8" t="inlineStr">
        <is>
          <t>Calculated W - SUM of the Amount column above</t>
        </is>
      </c>
      <c r="B331" s="9" t="n"/>
      <c r="C331" s="9" t="n"/>
      <c r="D331" s="9" t="n"/>
      <c r="E331" s="9" t="n"/>
      <c r="F331" s="25">
        <f>SUM(F330:F330)</f>
        <v/>
      </c>
      <c r="G331" s="9" t="n"/>
    </row>
    <row r="332">
      <c r="A332" s="26" t="inlineStr">
        <is>
          <t>W as printed in the DAR</t>
        </is>
      </c>
      <c r="B332" s="22" t="n"/>
      <c r="C332" s="22" t="n"/>
      <c r="D332" s="22" t="n"/>
      <c r="E332" s="22" t="n"/>
      <c r="F332" s="27" t="n">
        <v>937.5</v>
      </c>
      <c r="G332" s="22" t="n"/>
    </row>
    <row r="333">
      <c r="A333" s="26" t="inlineStr">
        <is>
          <t>Difference (calculated - printed)</t>
        </is>
      </c>
      <c r="B333" s="22" t="n"/>
      <c r="C333" s="22" t="n"/>
      <c r="D333" s="22" t="n"/>
      <c r="E333" s="22" t="n"/>
      <c r="F333" s="27">
        <f>F331-F332</f>
        <v/>
      </c>
      <c r="G333" s="22" t="n"/>
    </row>
    <row r="334">
      <c r="A334" s="29" t="inlineStr">
        <is>
          <t>SAY (Rs.) - final DAR rate as printed (fixed value, not computed)</t>
        </is>
      </c>
      <c r="B334" s="30" t="n"/>
      <c r="C334" s="30" t="n"/>
      <c r="D334" s="30" t="n"/>
      <c r="E334" s="30" t="n"/>
      <c r="F334" s="31" t="n">
        <v>20.95</v>
      </c>
      <c r="G334" s="30" t="n"/>
    </row>
    <row r="336" ht="18.5" customHeight="1">
      <c r="A336" s="18" t="inlineStr">
        <is>
          <t>6.15</t>
        </is>
      </c>
      <c r="B336" s="19" t="inlineStr">
        <is>
          <t>Extra for providing and placing in position 2 Nos 6mm dia. M.S. bars at every third course of half brick masonry.</t>
        </is>
      </c>
      <c r="C336" s="20" t="n"/>
      <c r="D336" s="20" t="n"/>
      <c r="E336" s="20" t="n"/>
      <c r="F336" s="20" t="n"/>
      <c r="G336" s="20" t="n"/>
    </row>
    <row r="337">
      <c r="A337" s="21" t="inlineStr">
        <is>
          <t>Details of cost for 10 sqm   |   Source: CivilDAR_2019_Vol_1.pdf, page 296</t>
        </is>
      </c>
    </row>
    <row r="338">
      <c r="A338" s="5" t="inlineStr">
        <is>
          <t>Code</t>
        </is>
      </c>
      <c r="B338" s="5" t="inlineStr">
        <is>
          <t>Description</t>
        </is>
      </c>
      <c r="C338" s="5" t="inlineStr">
        <is>
          <t>Unit</t>
        </is>
      </c>
      <c r="D338" s="5" t="inlineStr">
        <is>
          <t>Quantity</t>
        </is>
      </c>
      <c r="E338" s="5" t="inlineStr">
        <is>
          <t>Rate (Rs.)</t>
        </is>
      </c>
      <c r="F338" s="5" t="inlineStr">
        <is>
          <t>Amount (Rs.)</t>
        </is>
      </c>
      <c r="G338" s="5" t="inlineStr">
        <is>
          <t>Note</t>
        </is>
      </c>
    </row>
    <row r="339">
      <c r="A339" s="22" t="inlineStr">
        <is>
          <t>1002</t>
        </is>
      </c>
      <c r="B339" s="11" t="inlineStr">
        <is>
          <t>Mild steel round bar 6 mm dia</t>
        </is>
      </c>
      <c r="C339" s="22" t="inlineStr">
        <is>
          <t>quintal</t>
        </is>
      </c>
      <c r="D339" s="23" t="n">
        <v>0.132</v>
      </c>
      <c r="E339" s="24" t="n">
        <v>4500</v>
      </c>
      <c r="F339" s="24">
        <f>D339*E339</f>
        <v/>
      </c>
      <c r="G339" s="22" t="n"/>
    </row>
    <row r="340">
      <c r="A340" s="22" t="inlineStr">
        <is>
          <t>2205</t>
        </is>
      </c>
      <c r="B340" s="11" t="inlineStr">
        <is>
          <t>Carriage of Steel</t>
        </is>
      </c>
      <c r="C340" s="22" t="inlineStr">
        <is>
          <t>tonne</t>
        </is>
      </c>
      <c r="D340" s="23" t="n">
        <v>0.0132</v>
      </c>
      <c r="E340" s="24" t="n">
        <v>92.23999999999999</v>
      </c>
      <c r="F340" s="24">
        <f>D340*E340</f>
        <v/>
      </c>
      <c r="G340" s="22" t="n"/>
    </row>
    <row r="341">
      <c r="A341" s="22" t="inlineStr">
        <is>
          <t>9999</t>
        </is>
      </c>
      <c r="B341" s="11" t="inlineStr">
        <is>
          <t>Sundries</t>
        </is>
      </c>
      <c r="C341" s="22" t="inlineStr">
        <is>
          <t>L.S.</t>
        </is>
      </c>
      <c r="D341" s="23" t="n">
        <v>1.82</v>
      </c>
      <c r="E341" s="24" t="n">
        <v>2</v>
      </c>
      <c r="F341" s="24">
        <f>D341*E341</f>
        <v/>
      </c>
      <c r="G341" s="22" t="n"/>
    </row>
    <row r="342">
      <c r="A342" s="8" t="inlineStr">
        <is>
          <t>Calculated W - SUM of the Amount column above</t>
        </is>
      </c>
      <c r="B342" s="9" t="n"/>
      <c r="C342" s="9" t="n"/>
      <c r="D342" s="9" t="n"/>
      <c r="E342" s="9" t="n"/>
      <c r="F342" s="25">
        <f>SUM(F339:F341)</f>
        <v/>
      </c>
      <c r="G342" s="9" t="n"/>
    </row>
    <row r="343">
      <c r="A343" s="26" t="inlineStr">
        <is>
          <t>W as printed in the DAR</t>
        </is>
      </c>
      <c r="B343" s="22" t="n"/>
      <c r="C343" s="22" t="n"/>
      <c r="D343" s="22" t="n"/>
      <c r="E343" s="22" t="n"/>
      <c r="F343" s="27" t="n">
        <v>598.86</v>
      </c>
      <c r="G343" s="22" t="n"/>
    </row>
    <row r="344">
      <c r="A344" s="26" t="inlineStr">
        <is>
          <t>Difference (calculated - printed)</t>
        </is>
      </c>
      <c r="B344" s="22" t="n"/>
      <c r="C344" s="22" t="n"/>
      <c r="D344" s="22" t="n"/>
      <c r="E344" s="22" t="n"/>
      <c r="F344" s="27">
        <f>F342-F343</f>
        <v/>
      </c>
      <c r="G344" s="22" t="n"/>
    </row>
    <row r="345">
      <c r="A345" s="29" t="inlineStr">
        <is>
          <t>SAY (Rs.) - final DAR rate as printed (fixed value, not computed)</t>
        </is>
      </c>
      <c r="B345" s="30" t="n"/>
      <c r="C345" s="30" t="n"/>
      <c r="D345" s="30" t="n"/>
      <c r="E345" s="30" t="n"/>
      <c r="F345" s="31" t="n">
        <v>80.09999999999999</v>
      </c>
      <c r="G345" s="30" t="n"/>
    </row>
    <row r="347" ht="33" customHeight="1">
      <c r="A347" s="8" t="inlineStr">
        <is>
          <t>6.16</t>
        </is>
      </c>
      <c r="B347" s="17" t="inlineStr">
        <is>
          <t>Tile brick masonry with common burnt clay F.P.S. (non modular) tile bricks of class designation 10 in foundation and plinth in:</t>
        </is>
      </c>
      <c r="C347" s="9" t="n"/>
      <c r="D347" s="9" t="n"/>
      <c r="E347" s="9" t="n"/>
      <c r="F347" s="9" t="n"/>
      <c r="G347" s="9" t="n"/>
    </row>
    <row r="348" ht="18.5" customHeight="1">
      <c r="A348" s="18" t="inlineStr">
        <is>
          <t>6.16.1</t>
        </is>
      </c>
      <c r="B348" s="19" t="inlineStr">
        <is>
          <t>Cement mortar 1:4 (1 cement : 4 coarse sand)</t>
        </is>
      </c>
      <c r="C348" s="20" t="n"/>
      <c r="D348" s="20" t="n"/>
      <c r="E348" s="20" t="n"/>
      <c r="F348" s="20" t="n"/>
      <c r="G348" s="20" t="n"/>
    </row>
    <row r="349">
      <c r="A349" s="21" t="inlineStr">
        <is>
          <t>Details of cost for 1 cum   |   Source: CivilDAR_2019_Vol_1.pdf, page 296</t>
        </is>
      </c>
    </row>
    <row r="350">
      <c r="A350" s="5" t="inlineStr">
        <is>
          <t>Code</t>
        </is>
      </c>
      <c r="B350" s="5" t="inlineStr">
        <is>
          <t>Description</t>
        </is>
      </c>
      <c r="C350" s="5" t="inlineStr">
        <is>
          <t>Unit</t>
        </is>
      </c>
      <c r="D350" s="5" t="inlineStr">
        <is>
          <t>Quantity</t>
        </is>
      </c>
      <c r="E350" s="5" t="inlineStr">
        <is>
          <t>Rate (Rs.)</t>
        </is>
      </c>
      <c r="F350" s="5" t="inlineStr">
        <is>
          <t>Amount (Rs.)</t>
        </is>
      </c>
      <c r="G350" s="5" t="inlineStr">
        <is>
          <t>Note</t>
        </is>
      </c>
    </row>
    <row r="351">
      <c r="A351" s="22" t="inlineStr">
        <is>
          <t>1984</t>
        </is>
      </c>
      <c r="B351" s="11" t="inlineStr">
        <is>
          <t>Common burnt clay F.P.S. (non modular) bricks tile class designation 10</t>
        </is>
      </c>
      <c r="C351" s="22" t="inlineStr">
        <is>
          <t>1000 Nos</t>
        </is>
      </c>
      <c r="D351" s="23" t="n">
        <v>0.777</v>
      </c>
      <c r="E351" s="24" t="n">
        <v>4500</v>
      </c>
      <c r="F351" s="24">
        <f>D351*E351</f>
        <v/>
      </c>
      <c r="G351" s="22" t="n"/>
    </row>
    <row r="352">
      <c r="A352" s="7" t="inlineStr">
        <is>
          <t>3.9</t>
        </is>
      </c>
      <c r="B352" s="11" t="inlineStr">
        <is>
          <t>Rate as per item 3.9 - Cement mortar 1:4 (1 cement : 4 coarse sand)</t>
        </is>
      </c>
      <c r="C352" s="22" t="inlineStr">
        <is>
          <t>cum</t>
        </is>
      </c>
      <c r="D352" s="23" t="n">
        <v>0.4</v>
      </c>
      <c r="E352" s="24" t="n">
        <v>4010.35</v>
      </c>
      <c r="F352" s="24">
        <f>D352*E352</f>
        <v/>
      </c>
      <c r="G352" s="22" t="n"/>
    </row>
    <row r="353">
      <c r="A353" s="22" t="inlineStr">
        <is>
          <t>2207</t>
        </is>
      </c>
      <c r="B353" s="11" t="inlineStr">
        <is>
          <t>Carriage of Brick tiles</t>
        </is>
      </c>
      <c r="C353" s="22" t="inlineStr">
        <is>
          <t>1000 Nos</t>
        </is>
      </c>
      <c r="D353" s="23" t="n">
        <v>0.777</v>
      </c>
      <c r="E353" s="24" t="n">
        <v>166.03</v>
      </c>
      <c r="F353" s="24">
        <f>D353*E353</f>
        <v/>
      </c>
      <c r="G353" s="22" t="n"/>
    </row>
    <row r="354">
      <c r="A354" s="22" t="inlineStr">
        <is>
          <t>9999</t>
        </is>
      </c>
      <c r="B354" s="11" t="inlineStr">
        <is>
          <t>Sundries</t>
        </is>
      </c>
      <c r="C354" s="22" t="inlineStr">
        <is>
          <t>L.S.</t>
        </is>
      </c>
      <c r="D354" s="23" t="n">
        <v>4.55</v>
      </c>
      <c r="E354" s="24" t="n">
        <v>2</v>
      </c>
      <c r="F354" s="24">
        <f>D354*E354</f>
        <v/>
      </c>
      <c r="G354" s="22" t="n"/>
    </row>
    <row r="355">
      <c r="A355" s="22" t="inlineStr">
        <is>
          <t>0123</t>
        </is>
      </c>
      <c r="B355" s="11" t="inlineStr">
        <is>
          <t>Mason (brick layer) 1st class</t>
        </is>
      </c>
      <c r="C355" s="22" t="inlineStr">
        <is>
          <t>day</t>
        </is>
      </c>
      <c r="D355" s="23" t="n">
        <v>0.7</v>
      </c>
      <c r="E355" s="24" t="n">
        <v>738</v>
      </c>
      <c r="F355" s="24">
        <f>D355*E355</f>
        <v/>
      </c>
      <c r="G355" s="22" t="n"/>
    </row>
    <row r="356">
      <c r="A356" s="22" t="inlineStr">
        <is>
          <t>0124</t>
        </is>
      </c>
      <c r="B356" s="11" t="inlineStr">
        <is>
          <t>Mason (brick layer) 2nd class</t>
        </is>
      </c>
      <c r="C356" s="22" t="inlineStr">
        <is>
          <t>day</t>
        </is>
      </c>
      <c r="D356" s="23" t="n">
        <v>0.7</v>
      </c>
      <c r="E356" s="24" t="n">
        <v>679</v>
      </c>
      <c r="F356" s="24">
        <f>D356*E356</f>
        <v/>
      </c>
      <c r="G356" s="22" t="n"/>
    </row>
    <row r="357">
      <c r="A357" s="22" t="inlineStr">
        <is>
          <t>0115</t>
        </is>
      </c>
      <c r="B357" s="11" t="inlineStr">
        <is>
          <t>Coolie</t>
        </is>
      </c>
      <c r="C357" s="22" t="inlineStr">
        <is>
          <t>day</t>
        </is>
      </c>
      <c r="D357" s="23" t="n">
        <v>1.54</v>
      </c>
      <c r="E357" s="24" t="n">
        <v>558</v>
      </c>
      <c r="F357" s="24">
        <f>D357*E357</f>
        <v/>
      </c>
      <c r="G357" s="22" t="n"/>
    </row>
    <row r="358">
      <c r="A358" s="22" t="inlineStr">
        <is>
          <t>0101</t>
        </is>
      </c>
      <c r="B358" s="11" t="inlineStr">
        <is>
          <t>Bhisti</t>
        </is>
      </c>
      <c r="C358" s="22" t="inlineStr">
        <is>
          <t>day</t>
        </is>
      </c>
      <c r="D358" s="23" t="n">
        <v>0.2</v>
      </c>
      <c r="E358" s="24" t="n">
        <v>617</v>
      </c>
      <c r="F358" s="24">
        <f>D358*E358</f>
        <v/>
      </c>
      <c r="G358" s="22" t="n"/>
    </row>
    <row r="359">
      <c r="A359" s="8" t="inlineStr">
        <is>
          <t>Calculated W - SUM of the Amount column above</t>
        </is>
      </c>
      <c r="B359" s="9" t="n"/>
      <c r="C359" s="9" t="n"/>
      <c r="D359" s="9" t="n"/>
      <c r="E359" s="9" t="n"/>
      <c r="F359" s="25">
        <f>SUM(F351:F358)</f>
        <v/>
      </c>
      <c r="G359" s="9" t="n"/>
    </row>
    <row r="360">
      <c r="A360" s="26" t="inlineStr">
        <is>
          <t>W as printed in the DAR</t>
        </is>
      </c>
      <c r="B360" s="22" t="n"/>
      <c r="C360" s="22" t="n"/>
      <c r="D360" s="22" t="n"/>
      <c r="E360" s="22" t="n"/>
      <c r="F360" s="27" t="n">
        <v>7213.37</v>
      </c>
      <c r="G360" s="22" t="n"/>
    </row>
    <row r="361">
      <c r="A361" s="26" t="inlineStr">
        <is>
          <t>Difference (calculated - printed)</t>
        </is>
      </c>
      <c r="B361" s="22" t="n"/>
      <c r="C361" s="22" t="n"/>
      <c r="D361" s="22" t="n"/>
      <c r="E361" s="22" t="n"/>
      <c r="F361" s="27">
        <f>F359-F360</f>
        <v/>
      </c>
      <c r="G361" s="22" t="n"/>
    </row>
    <row r="362">
      <c r="A362" s="29" t="inlineStr">
        <is>
          <t>SAY (Rs.) - final DAR rate as printed (fixed value, not computed)</t>
        </is>
      </c>
      <c r="B362" s="30" t="n"/>
      <c r="C362" s="30" t="n"/>
      <c r="D362" s="30" t="n"/>
      <c r="E362" s="30" t="n"/>
      <c r="F362" s="31" t="n">
        <v>9651.049999999999</v>
      </c>
      <c r="G362" s="30" t="n"/>
    </row>
    <row r="364" ht="33" customHeight="1">
      <c r="A364" s="8" t="inlineStr">
        <is>
          <t>6.16</t>
        </is>
      </c>
      <c r="B364" s="17" t="inlineStr">
        <is>
          <t>Tile brick masonry with common burnt clay F.P.S. (non modular) tile bricks of class designation 10 in foundation and plinth in:</t>
        </is>
      </c>
      <c r="C364" s="9" t="n"/>
      <c r="D364" s="9" t="n"/>
      <c r="E364" s="9" t="n"/>
      <c r="F364" s="9" t="n"/>
      <c r="G364" s="9" t="n"/>
    </row>
    <row r="365" ht="18.5" customHeight="1">
      <c r="A365" s="18" t="inlineStr">
        <is>
          <t>6.16.2</t>
        </is>
      </c>
      <c r="B365" s="19" t="inlineStr">
        <is>
          <t>Cement mortar 1:6 (1 cement : 6 coarse sand)</t>
        </is>
      </c>
      <c r="C365" s="20" t="n"/>
      <c r="D365" s="20" t="n"/>
      <c r="E365" s="20" t="n"/>
      <c r="F365" s="20" t="n"/>
      <c r="G365" s="20" t="n"/>
    </row>
    <row r="366">
      <c r="A366" s="21" t="inlineStr">
        <is>
          <t>Details of cost for 1 cum   |   Source: CivilDAR_2019_Vol_1.pdf, page 297</t>
        </is>
      </c>
    </row>
    <row r="367">
      <c r="A367" s="5" t="inlineStr">
        <is>
          <t>Code</t>
        </is>
      </c>
      <c r="B367" s="5" t="inlineStr">
        <is>
          <t>Description</t>
        </is>
      </c>
      <c r="C367" s="5" t="inlineStr">
        <is>
          <t>Unit</t>
        </is>
      </c>
      <c r="D367" s="5" t="inlineStr">
        <is>
          <t>Quantity</t>
        </is>
      </c>
      <c r="E367" s="5" t="inlineStr">
        <is>
          <t>Rate (Rs.)</t>
        </is>
      </c>
      <c r="F367" s="5" t="inlineStr">
        <is>
          <t>Amount (Rs.)</t>
        </is>
      </c>
      <c r="G367" s="5" t="inlineStr">
        <is>
          <t>Note</t>
        </is>
      </c>
    </row>
    <row r="368">
      <c r="A368" s="22" t="inlineStr">
        <is>
          <t>1984</t>
        </is>
      </c>
      <c r="B368" s="11" t="inlineStr">
        <is>
          <t>Common burnt clay F.P.S. (non modular) bricks tile class designation 10</t>
        </is>
      </c>
      <c r="C368" s="22" t="inlineStr">
        <is>
          <t>1000 Nos</t>
        </is>
      </c>
      <c r="D368" s="23" t="n">
        <v>0.777</v>
      </c>
      <c r="E368" s="24" t="n">
        <v>4500</v>
      </c>
      <c r="F368" s="24">
        <f>D368*E368</f>
        <v/>
      </c>
      <c r="G368" s="22" t="n"/>
    </row>
    <row r="369">
      <c r="A369" s="7" t="inlineStr">
        <is>
          <t>3.11</t>
        </is>
      </c>
      <c r="B369" s="11" t="inlineStr">
        <is>
          <t>Rate as per item 3.11 - Cement mortar 1:6 (1 cement : 6 coarse sand)</t>
        </is>
      </c>
      <c r="C369" s="22" t="inlineStr">
        <is>
          <t>cum</t>
        </is>
      </c>
      <c r="D369" s="23" t="n">
        <v>0.4</v>
      </c>
      <c r="E369" s="24" t="n">
        <v>3356.15</v>
      </c>
      <c r="F369" s="24">
        <f>D369*E369</f>
        <v/>
      </c>
      <c r="G369" s="22" t="n"/>
    </row>
    <row r="370">
      <c r="A370" s="22" t="inlineStr">
        <is>
          <t>2207</t>
        </is>
      </c>
      <c r="B370" s="11" t="inlineStr">
        <is>
          <t>Carriage of Brick tiles</t>
        </is>
      </c>
      <c r="C370" s="22" t="inlineStr">
        <is>
          <t>1000 Nos</t>
        </is>
      </c>
      <c r="D370" s="23" t="n">
        <v>0.777</v>
      </c>
      <c r="E370" s="24" t="n">
        <v>166.03</v>
      </c>
      <c r="F370" s="24">
        <f>D370*E370</f>
        <v/>
      </c>
      <c r="G370" s="22" t="n"/>
    </row>
    <row r="371">
      <c r="A371" s="22" t="inlineStr">
        <is>
          <t>9999</t>
        </is>
      </c>
      <c r="B371" s="11" t="inlineStr">
        <is>
          <t>Sundries</t>
        </is>
      </c>
      <c r="C371" s="22" t="inlineStr">
        <is>
          <t>L.S.</t>
        </is>
      </c>
      <c r="D371" s="23" t="n">
        <v>4.55</v>
      </c>
      <c r="E371" s="24" t="n">
        <v>2</v>
      </c>
      <c r="F371" s="24">
        <f>D371*E371</f>
        <v/>
      </c>
      <c r="G371" s="22" t="n"/>
    </row>
    <row r="372">
      <c r="A372" s="22" t="inlineStr">
        <is>
          <t>0123</t>
        </is>
      </c>
      <c r="B372" s="11" t="inlineStr">
        <is>
          <t>Mason (brick layer) 1st class</t>
        </is>
      </c>
      <c r="C372" s="22" t="inlineStr">
        <is>
          <t>day</t>
        </is>
      </c>
      <c r="D372" s="23" t="n">
        <v>0.7</v>
      </c>
      <c r="E372" s="24" t="n">
        <v>738</v>
      </c>
      <c r="F372" s="24">
        <f>D372*E372</f>
        <v/>
      </c>
      <c r="G372" s="22" t="n"/>
    </row>
    <row r="373">
      <c r="A373" s="22" t="inlineStr">
        <is>
          <t>0124</t>
        </is>
      </c>
      <c r="B373" s="11" t="inlineStr">
        <is>
          <t>Mason (brick layer) 2nd class</t>
        </is>
      </c>
      <c r="C373" s="22" t="inlineStr">
        <is>
          <t>day</t>
        </is>
      </c>
      <c r="D373" s="23" t="n">
        <v>0.7</v>
      </c>
      <c r="E373" s="24" t="n">
        <v>679</v>
      </c>
      <c r="F373" s="24">
        <f>D373*E373</f>
        <v/>
      </c>
      <c r="G373" s="22" t="n"/>
    </row>
    <row r="374">
      <c r="A374" s="22" t="inlineStr">
        <is>
          <t>0115</t>
        </is>
      </c>
      <c r="B374" s="11" t="inlineStr">
        <is>
          <t>Coolie</t>
        </is>
      </c>
      <c r="C374" s="22" t="inlineStr">
        <is>
          <t>day</t>
        </is>
      </c>
      <c r="D374" s="23" t="n">
        <v>1.54</v>
      </c>
      <c r="E374" s="24" t="n">
        <v>558</v>
      </c>
      <c r="F374" s="24">
        <f>D374*E374</f>
        <v/>
      </c>
      <c r="G374" s="22" t="n"/>
    </row>
    <row r="375">
      <c r="A375" s="22" t="inlineStr">
        <is>
          <t>0101</t>
        </is>
      </c>
      <c r="B375" s="11" t="inlineStr">
        <is>
          <t>Bhisti</t>
        </is>
      </c>
      <c r="C375" s="22" t="inlineStr">
        <is>
          <t>day</t>
        </is>
      </c>
      <c r="D375" s="23" t="n">
        <v>0.2</v>
      </c>
      <c r="E375" s="24" t="n">
        <v>617</v>
      </c>
      <c r="F375" s="24">
        <f>D375*E375</f>
        <v/>
      </c>
      <c r="G375" s="22" t="n"/>
    </row>
    <row r="376">
      <c r="A376" s="8" t="inlineStr">
        <is>
          <t>Calculated W - SUM of the Amount column above</t>
        </is>
      </c>
      <c r="B376" s="9" t="n"/>
      <c r="C376" s="9" t="n"/>
      <c r="D376" s="9" t="n"/>
      <c r="E376" s="9" t="n"/>
      <c r="F376" s="25">
        <f>SUM(F368:F375)</f>
        <v/>
      </c>
      <c r="G376" s="9" t="n"/>
    </row>
    <row r="377">
      <c r="A377" s="26" t="inlineStr">
        <is>
          <t>W as printed in the DAR</t>
        </is>
      </c>
      <c r="B377" s="22" t="n"/>
      <c r="C377" s="22" t="n"/>
      <c r="D377" s="22" t="n"/>
      <c r="E377" s="22" t="n"/>
      <c r="F377" s="27" t="n">
        <v>6951.69</v>
      </c>
      <c r="G377" s="22" t="n"/>
    </row>
    <row r="378">
      <c r="A378" s="26" t="inlineStr">
        <is>
          <t>Difference (calculated - printed)</t>
        </is>
      </c>
      <c r="B378" s="22" t="n"/>
      <c r="C378" s="22" t="n"/>
      <c r="D378" s="22" t="n"/>
      <c r="E378" s="22" t="n"/>
      <c r="F378" s="27">
        <f>F376-F377</f>
        <v/>
      </c>
      <c r="G378" s="22" t="n"/>
    </row>
    <row r="379">
      <c r="A379" s="29" t="inlineStr">
        <is>
          <t>SAY (Rs.) - final DAR rate as printed (fixed value, not computed)</t>
        </is>
      </c>
      <c r="B379" s="30" t="n"/>
      <c r="C379" s="30" t="n"/>
      <c r="D379" s="30" t="n"/>
      <c r="E379" s="30" t="n"/>
      <c r="F379" s="31" t="n">
        <v>9300.9</v>
      </c>
      <c r="G379" s="30" t="n"/>
    </row>
    <row r="381" ht="33" customHeight="1">
      <c r="A381" s="18" t="inlineStr">
        <is>
          <t>6.17</t>
        </is>
      </c>
      <c r="B381" s="19" t="inlineStr">
        <is>
          <t>Tile brick masonry with common burnt clay machine moulded tile bricks of class designation 12.5 conforming to IS : 2690 (Part I) in foundation and plinth in cement mortar 1:6 (1 cement : 6 coarse sand).</t>
        </is>
      </c>
      <c r="C381" s="20" t="n"/>
      <c r="D381" s="20" t="n"/>
      <c r="E381" s="20" t="n"/>
      <c r="F381" s="20" t="n"/>
      <c r="G381" s="20" t="n"/>
    </row>
    <row r="382">
      <c r="A382" s="21" t="inlineStr">
        <is>
          <t>Details of cost for 1 cum   |   Source: CivilDAR_2019_Vol_1.pdf, page 297</t>
        </is>
      </c>
    </row>
    <row r="383">
      <c r="A383" s="5" t="inlineStr">
        <is>
          <t>Code</t>
        </is>
      </c>
      <c r="B383" s="5" t="inlineStr">
        <is>
          <t>Description</t>
        </is>
      </c>
      <c r="C383" s="5" t="inlineStr">
        <is>
          <t>Unit</t>
        </is>
      </c>
      <c r="D383" s="5" t="inlineStr">
        <is>
          <t>Quantity</t>
        </is>
      </c>
      <c r="E383" s="5" t="inlineStr">
        <is>
          <t>Rate (Rs.)</t>
        </is>
      </c>
      <c r="F383" s="5" t="inlineStr">
        <is>
          <t>Amount (Rs.)</t>
        </is>
      </c>
      <c r="G383" s="5" t="inlineStr">
        <is>
          <t>Note</t>
        </is>
      </c>
    </row>
    <row r="384">
      <c r="A384" s="22" t="inlineStr">
        <is>
          <t>7904</t>
        </is>
      </c>
      <c r="B384" s="11" t="inlineStr">
        <is>
          <t>Machine moulded common burnt clay tile bricks of class designation 12.5</t>
        </is>
      </c>
      <c r="C384" s="22" t="inlineStr">
        <is>
          <t>1000 Nos</t>
        </is>
      </c>
      <c r="D384" s="23" t="n">
        <v>0.777</v>
      </c>
      <c r="E384" s="24" t="n">
        <v>4900</v>
      </c>
      <c r="F384" s="24">
        <f>D384*E384</f>
        <v/>
      </c>
      <c r="G384" s="22" t="n"/>
    </row>
    <row r="385">
      <c r="A385" s="22" t="inlineStr">
        <is>
          <t>2207</t>
        </is>
      </c>
      <c r="B385" s="11" t="inlineStr">
        <is>
          <t>Carriage of Brick tiles</t>
        </is>
      </c>
      <c r="C385" s="22" t="inlineStr">
        <is>
          <t>1000 Nos</t>
        </is>
      </c>
      <c r="D385" s="23" t="n">
        <v>0.777</v>
      </c>
      <c r="E385" s="24" t="n">
        <v>166.03</v>
      </c>
      <c r="F385" s="24">
        <f>D385*E385</f>
        <v/>
      </c>
      <c r="G385" s="22" t="n"/>
    </row>
    <row r="386">
      <c r="A386" s="7" t="inlineStr">
        <is>
          <t>3.11</t>
        </is>
      </c>
      <c r="B386" s="11" t="inlineStr">
        <is>
          <t>Rate as per item 3.11 - Cement mortar 1:6 (1 cement : 6 coarse sand)</t>
        </is>
      </c>
      <c r="C386" s="22" t="inlineStr">
        <is>
          <t>cum</t>
        </is>
      </c>
      <c r="D386" s="23" t="n">
        <v>0.4</v>
      </c>
      <c r="E386" s="24" t="n">
        <v>3356.15</v>
      </c>
      <c r="F386" s="24">
        <f>D386*E386</f>
        <v/>
      </c>
      <c r="G386" s="22" t="n"/>
    </row>
    <row r="387">
      <c r="A387" s="22" t="inlineStr">
        <is>
          <t>9999</t>
        </is>
      </c>
      <c r="B387" s="11" t="inlineStr">
        <is>
          <t>Sundries</t>
        </is>
      </c>
      <c r="C387" s="22" t="inlineStr">
        <is>
          <t>L.S.</t>
        </is>
      </c>
      <c r="D387" s="23" t="n">
        <v>4.55</v>
      </c>
      <c r="E387" s="24" t="n">
        <v>2</v>
      </c>
      <c r="F387" s="24">
        <f>D387*E387</f>
        <v/>
      </c>
      <c r="G387" s="22" t="n"/>
    </row>
    <row r="388">
      <c r="A388" s="22" t="inlineStr">
        <is>
          <t>0123</t>
        </is>
      </c>
      <c r="B388" s="11" t="inlineStr">
        <is>
          <t>Mason (brick layer) 1st class</t>
        </is>
      </c>
      <c r="C388" s="22" t="inlineStr">
        <is>
          <t>day</t>
        </is>
      </c>
      <c r="D388" s="23" t="n">
        <v>0.7</v>
      </c>
      <c r="E388" s="24" t="n">
        <v>738</v>
      </c>
      <c r="F388" s="24">
        <f>D388*E388</f>
        <v/>
      </c>
      <c r="G388" s="22" t="n"/>
    </row>
    <row r="389">
      <c r="A389" s="22" t="inlineStr">
        <is>
          <t>0124</t>
        </is>
      </c>
      <c r="B389" s="11" t="inlineStr">
        <is>
          <t>Mason (brick layer) 2nd class</t>
        </is>
      </c>
      <c r="C389" s="22" t="inlineStr">
        <is>
          <t>day</t>
        </is>
      </c>
      <c r="D389" s="23" t="n">
        <v>0.7</v>
      </c>
      <c r="E389" s="24" t="n">
        <v>679</v>
      </c>
      <c r="F389" s="24">
        <f>D389*E389</f>
        <v/>
      </c>
      <c r="G389" s="22" t="n"/>
    </row>
    <row r="390">
      <c r="A390" s="22" t="inlineStr">
        <is>
          <t>0115</t>
        </is>
      </c>
      <c r="B390" s="11" t="inlineStr">
        <is>
          <t>Coolie</t>
        </is>
      </c>
      <c r="C390" s="22" t="inlineStr">
        <is>
          <t>day</t>
        </is>
      </c>
      <c r="D390" s="23" t="n">
        <v>1.54</v>
      </c>
      <c r="E390" s="24" t="n">
        <v>558</v>
      </c>
      <c r="F390" s="24">
        <f>D390*E390</f>
        <v/>
      </c>
      <c r="G390" s="22" t="n"/>
    </row>
    <row r="391">
      <c r="A391" s="22" t="inlineStr">
        <is>
          <t>0101</t>
        </is>
      </c>
      <c r="B391" s="11" t="inlineStr">
        <is>
          <t>Bhisti</t>
        </is>
      </c>
      <c r="C391" s="22" t="inlineStr">
        <is>
          <t>day</t>
        </is>
      </c>
      <c r="D391" s="23" t="n">
        <v>0.2</v>
      </c>
      <c r="E391" s="24" t="n">
        <v>617</v>
      </c>
      <c r="F391" s="24">
        <f>D391*E391</f>
        <v/>
      </c>
      <c r="G391" s="22" t="n"/>
    </row>
    <row r="392">
      <c r="A392" s="8" t="inlineStr">
        <is>
          <t>Calculated W - SUM of the Amount column above</t>
        </is>
      </c>
      <c r="B392" s="9" t="n"/>
      <c r="C392" s="9" t="n"/>
      <c r="D392" s="9" t="n"/>
      <c r="E392" s="9" t="n"/>
      <c r="F392" s="25">
        <f>SUM(F384:F391)</f>
        <v/>
      </c>
      <c r="G392" s="9" t="n"/>
    </row>
    <row r="393">
      <c r="A393" s="26" t="inlineStr">
        <is>
          <t>W as printed in the DAR</t>
        </is>
      </c>
      <c r="B393" s="22" t="n"/>
      <c r="C393" s="22" t="n"/>
      <c r="D393" s="22" t="n"/>
      <c r="E393" s="22" t="n"/>
      <c r="F393" s="27" t="n">
        <v>7262.49</v>
      </c>
      <c r="G393" s="22" t="n"/>
    </row>
    <row r="394">
      <c r="A394" s="26" t="inlineStr">
        <is>
          <t>Difference (calculated - printed)</t>
        </is>
      </c>
      <c r="B394" s="22" t="n"/>
      <c r="C394" s="22" t="n"/>
      <c r="D394" s="22" t="n"/>
      <c r="E394" s="22" t="n"/>
      <c r="F394" s="27">
        <f>F392-F393</f>
        <v/>
      </c>
      <c r="G394" s="22" t="n"/>
    </row>
    <row r="395">
      <c r="A395" s="29" t="inlineStr">
        <is>
          <t>SAY (Rs.) - final DAR rate as printed (fixed value, not computed)</t>
        </is>
      </c>
      <c r="B395" s="30" t="n"/>
      <c r="C395" s="30" t="n"/>
      <c r="D395" s="30" t="n"/>
      <c r="E395" s="30" t="n"/>
      <c r="F395" s="31" t="n">
        <v>9716.75</v>
      </c>
      <c r="G395" s="30" t="n"/>
    </row>
    <row r="397" ht="33" customHeight="1">
      <c r="A397" s="18" t="inlineStr">
        <is>
          <t>6.18</t>
        </is>
      </c>
      <c r="B397" s="19" t="inlineStr">
        <is>
          <t>Tile brick masonry with common burnt clay F.P.S. (non modular) tile bricks of class designation 10 in superstructure above plinth level up to floor V level in cement mortar 1:6 (1 cement : 6 coarse sand).</t>
        </is>
      </c>
      <c r="C397" s="20" t="n"/>
      <c r="D397" s="20" t="n"/>
      <c r="E397" s="20" t="n"/>
      <c r="F397" s="20" t="n"/>
      <c r="G397" s="20" t="n"/>
    </row>
    <row r="398">
      <c r="A398" s="21" t="inlineStr">
        <is>
          <t>Details of cost for 1 cum   |   Source: CivilDAR_2019_Vol_1.pdf, page 298</t>
        </is>
      </c>
    </row>
    <row r="399">
      <c r="A399" s="5" t="inlineStr">
        <is>
          <t>Code</t>
        </is>
      </c>
      <c r="B399" s="5" t="inlineStr">
        <is>
          <t>Description</t>
        </is>
      </c>
      <c r="C399" s="5" t="inlineStr">
        <is>
          <t>Unit</t>
        </is>
      </c>
      <c r="D399" s="5" t="inlineStr">
        <is>
          <t>Quantity</t>
        </is>
      </c>
      <c r="E399" s="5" t="inlineStr">
        <is>
          <t>Rate (Rs.)</t>
        </is>
      </c>
      <c r="F399" s="5" t="inlineStr">
        <is>
          <t>Amount (Rs.)</t>
        </is>
      </c>
      <c r="G399" s="5" t="inlineStr">
        <is>
          <t>Note</t>
        </is>
      </c>
    </row>
    <row r="400">
      <c r="A400" s="22" t="inlineStr">
        <is>
          <t>1984</t>
        </is>
      </c>
      <c r="B400" s="11" t="inlineStr">
        <is>
          <t>Common burnt clay F.P.S. (non modular) bricks tile class designation 10</t>
        </is>
      </c>
      <c r="C400" s="22" t="inlineStr">
        <is>
          <t>1000 Nos</t>
        </is>
      </c>
      <c r="D400" s="23" t="n">
        <v>0.777</v>
      </c>
      <c r="E400" s="24" t="n">
        <v>4500</v>
      </c>
      <c r="F400" s="24">
        <f>D400*E400</f>
        <v/>
      </c>
      <c r="G400" s="22" t="n"/>
    </row>
    <row r="401">
      <c r="A401" s="22" t="inlineStr">
        <is>
          <t>2207</t>
        </is>
      </c>
      <c r="B401" s="11" t="inlineStr">
        <is>
          <t>Carriage of Brick tiles</t>
        </is>
      </c>
      <c r="C401" s="22" t="inlineStr">
        <is>
          <t>1000 Nos</t>
        </is>
      </c>
      <c r="D401" s="23" t="n">
        <v>0.777</v>
      </c>
      <c r="E401" s="24" t="n">
        <v>166.03</v>
      </c>
      <c r="F401" s="24">
        <f>D401*E401</f>
        <v/>
      </c>
      <c r="G401" s="22" t="n"/>
    </row>
    <row r="402">
      <c r="A402" s="7" t="inlineStr">
        <is>
          <t>3.11</t>
        </is>
      </c>
      <c r="B402" s="11" t="inlineStr">
        <is>
          <t>Rate as per item 3.11 - Cement mortar 1:6 (1 cement : 6 coarse sand)</t>
        </is>
      </c>
      <c r="C402" s="22" t="inlineStr">
        <is>
          <t>cum</t>
        </is>
      </c>
      <c r="D402" s="23" t="n">
        <v>0.4</v>
      </c>
      <c r="E402" s="24" t="n">
        <v>3356.15</v>
      </c>
      <c r="F402" s="24">
        <f>D402*E402</f>
        <v/>
      </c>
      <c r="G402" s="22" t="n"/>
    </row>
    <row r="403">
      <c r="A403" s="22" t="inlineStr">
        <is>
          <t>9999</t>
        </is>
      </c>
      <c r="B403" s="11" t="inlineStr">
        <is>
          <t>Sundries</t>
        </is>
      </c>
      <c r="C403" s="22" t="inlineStr">
        <is>
          <t>L.S.</t>
        </is>
      </c>
      <c r="D403" s="23" t="n">
        <v>4.55</v>
      </c>
      <c r="E403" s="24" t="n">
        <v>2</v>
      </c>
      <c r="F403" s="24">
        <f>D403*E403</f>
        <v/>
      </c>
      <c r="G403" s="22" t="n"/>
    </row>
    <row r="404">
      <c r="A404" s="22" t="inlineStr">
        <is>
          <t>0123</t>
        </is>
      </c>
      <c r="B404" s="11" t="inlineStr">
        <is>
          <t>Mason (brick layer) 1st class</t>
        </is>
      </c>
      <c r="C404" s="22" t="inlineStr">
        <is>
          <t>day</t>
        </is>
      </c>
      <c r="D404" s="23" t="n">
        <v>0.9</v>
      </c>
      <c r="E404" s="24" t="n">
        <v>738</v>
      </c>
      <c r="F404" s="24">
        <f>D404*E404</f>
        <v/>
      </c>
      <c r="G404" s="22" t="n"/>
    </row>
    <row r="405">
      <c r="A405" s="22" t="inlineStr">
        <is>
          <t>0124</t>
        </is>
      </c>
      <c r="B405" s="11" t="inlineStr">
        <is>
          <t>Mason (brick layer) 2nd class</t>
        </is>
      </c>
      <c r="C405" s="22" t="inlineStr">
        <is>
          <t>day</t>
        </is>
      </c>
      <c r="D405" s="23" t="n">
        <v>0.9</v>
      </c>
      <c r="E405" s="24" t="n">
        <v>679</v>
      </c>
      <c r="F405" s="24">
        <f>D405*E405</f>
        <v/>
      </c>
      <c r="G405" s="22" t="n"/>
    </row>
    <row r="406">
      <c r="A406" s="22" t="inlineStr">
        <is>
          <t>0115</t>
        </is>
      </c>
      <c r="B406" s="11" t="inlineStr">
        <is>
          <t>Coolie</t>
        </is>
      </c>
      <c r="C406" s="22" t="inlineStr">
        <is>
          <t>day</t>
        </is>
      </c>
      <c r="D406" s="23" t="n">
        <v>1.8</v>
      </c>
      <c r="E406" s="24" t="n">
        <v>558</v>
      </c>
      <c r="F406" s="24">
        <f>D406*E406</f>
        <v/>
      </c>
      <c r="G406" s="22" t="n"/>
    </row>
    <row r="407">
      <c r="A407" s="22" t="inlineStr">
        <is>
          <t>0101</t>
        </is>
      </c>
      <c r="B407" s="11" t="inlineStr">
        <is>
          <t>Bhisti</t>
        </is>
      </c>
      <c r="C407" s="22" t="inlineStr">
        <is>
          <t>day</t>
        </is>
      </c>
      <c r="D407" s="23" t="n">
        <v>0.2</v>
      </c>
      <c r="E407" s="24" t="n">
        <v>617</v>
      </c>
      <c r="F407" s="24">
        <f>D407*E407</f>
        <v/>
      </c>
      <c r="G407" s="22" t="n"/>
    </row>
    <row r="408">
      <c r="A408" s="22" t="inlineStr">
        <is>
          <t>0115</t>
        </is>
      </c>
      <c r="B408" s="11" t="inlineStr">
        <is>
          <t>Coolie</t>
        </is>
      </c>
      <c r="C408" s="22" t="inlineStr">
        <is>
          <t>day</t>
        </is>
      </c>
      <c r="D408" s="23" t="n">
        <v>1.13</v>
      </c>
      <c r="E408" s="24" t="n">
        <v>558</v>
      </c>
      <c r="F408" s="24">
        <f>D408*E408</f>
        <v/>
      </c>
      <c r="G408" s="22" t="n"/>
    </row>
    <row r="409">
      <c r="A409" s="22" t="inlineStr">
        <is>
          <t>9999</t>
        </is>
      </c>
      <c r="B409" s="11" t="inlineStr">
        <is>
          <t>Scaffolding</t>
        </is>
      </c>
      <c r="C409" s="22" t="inlineStr">
        <is>
          <t>L.S.</t>
        </is>
      </c>
      <c r="D409" s="23" t="n">
        <v>33.8</v>
      </c>
      <c r="E409" s="24" t="n">
        <v>2</v>
      </c>
      <c r="F409" s="24">
        <f>D409*E409</f>
        <v/>
      </c>
      <c r="G409" s="22" t="n"/>
    </row>
    <row r="410">
      <c r="A410" s="8" t="inlineStr">
        <is>
          <t>Calculated W - SUM of the Amount column above</t>
        </is>
      </c>
      <c r="B410" s="9" t="n"/>
      <c r="C410" s="9" t="n"/>
      <c r="D410" s="9" t="n"/>
      <c r="E410" s="9" t="n"/>
      <c r="F410" s="25">
        <f>SUM(F400:F409)</f>
        <v/>
      </c>
      <c r="G410" s="9" t="n"/>
    </row>
    <row r="411">
      <c r="A411" s="26" t="inlineStr">
        <is>
          <t>W as printed in the DAR</t>
        </is>
      </c>
      <c r="B411" s="22" t="n"/>
      <c r="C411" s="22" t="n"/>
      <c r="D411" s="22" t="n"/>
      <c r="E411" s="22" t="n"/>
      <c r="F411" s="27" t="n">
        <v>8078.31</v>
      </c>
      <c r="G411" s="22" t="n"/>
    </row>
    <row r="412">
      <c r="A412" s="26" t="inlineStr">
        <is>
          <t>Difference (calculated - printed)</t>
        </is>
      </c>
      <c r="B412" s="22" t="n"/>
      <c r="C412" s="22" t="n"/>
      <c r="D412" s="22" t="n"/>
      <c r="E412" s="22" t="n"/>
      <c r="F412" s="27">
        <f>F410-F411</f>
        <v/>
      </c>
      <c r="G412" s="22" t="n"/>
    </row>
    <row r="413">
      <c r="A413" s="29" t="inlineStr">
        <is>
          <t>SAY (Rs.) - final DAR rate as printed (fixed value, not computed)</t>
        </is>
      </c>
      <c r="B413" s="30" t="n"/>
      <c r="C413" s="30" t="n"/>
      <c r="D413" s="30" t="n"/>
      <c r="E413" s="30" t="n"/>
      <c r="F413" s="31" t="n">
        <v>10808.25</v>
      </c>
      <c r="G413" s="30" t="n"/>
    </row>
    <row r="415" ht="47.5" customHeight="1">
      <c r="A415" s="18" t="inlineStr">
        <is>
          <t>6.20</t>
        </is>
      </c>
      <c r="B415" s="19" t="inlineStr">
        <is>
          <t>Tile brick masonry with common burnt clay F.P.S. (non modular) tile bricks of class designation 10 in plain arch work in superstructure above plinth and upto floor five level in cement mortar 1:4 (1 cement : 4 coarse sand) including centering and shuttering complete.</t>
        </is>
      </c>
      <c r="C415" s="20" t="n"/>
      <c r="D415" s="20" t="n"/>
      <c r="E415" s="20" t="n"/>
      <c r="F415" s="20" t="n"/>
      <c r="G415" s="20" t="n"/>
    </row>
    <row r="416">
      <c r="A416" s="21" t="inlineStr">
        <is>
          <t>Details of cost for 1 cum   |   Source: CivilDAR_2019_Vol_1.pdf, page 299</t>
        </is>
      </c>
    </row>
    <row r="417">
      <c r="A417" s="5" t="inlineStr">
        <is>
          <t>Code</t>
        </is>
      </c>
      <c r="B417" s="5" t="inlineStr">
        <is>
          <t>Description</t>
        </is>
      </c>
      <c r="C417" s="5" t="inlineStr">
        <is>
          <t>Unit</t>
        </is>
      </c>
      <c r="D417" s="5" t="inlineStr">
        <is>
          <t>Quantity</t>
        </is>
      </c>
      <c r="E417" s="5" t="inlineStr">
        <is>
          <t>Rate (Rs.)</t>
        </is>
      </c>
      <c r="F417" s="5" t="inlineStr">
        <is>
          <t>Amount (Rs.)</t>
        </is>
      </c>
      <c r="G417" s="5" t="inlineStr">
        <is>
          <t>Note</t>
        </is>
      </c>
    </row>
    <row r="418">
      <c r="A418" s="22" t="inlineStr">
        <is>
          <t>1984</t>
        </is>
      </c>
      <c r="B418" s="11" t="inlineStr">
        <is>
          <t>Common burnt clay F.P.S. (non modular) bricks tile class designation 10</t>
        </is>
      </c>
      <c r="C418" s="22" t="inlineStr">
        <is>
          <t>1000 Nos</t>
        </is>
      </c>
      <c r="D418" s="23" t="n">
        <v>0.777</v>
      </c>
      <c r="E418" s="24" t="n">
        <v>4500</v>
      </c>
      <c r="F418" s="24">
        <f>D418*E418</f>
        <v/>
      </c>
      <c r="G418" s="22" t="n"/>
    </row>
    <row r="419">
      <c r="A419" s="22" t="inlineStr">
        <is>
          <t>2207</t>
        </is>
      </c>
      <c r="B419" s="11" t="inlineStr">
        <is>
          <t>Carriage of Brick tiles</t>
        </is>
      </c>
      <c r="C419" s="22" t="inlineStr">
        <is>
          <t>1000 Nos</t>
        </is>
      </c>
      <c r="D419" s="23" t="n">
        <v>0.777</v>
      </c>
      <c r="E419" s="24" t="n">
        <v>166.03</v>
      </c>
      <c r="F419" s="24">
        <f>D419*E419</f>
        <v/>
      </c>
      <c r="G419" s="22" t="n"/>
    </row>
    <row r="420">
      <c r="A420" s="7" t="inlineStr">
        <is>
          <t>3.9</t>
        </is>
      </c>
      <c r="B420" s="11" t="inlineStr">
        <is>
          <t>Rate as per item 3.9 - Cement mortar 1:4 (1 cement : 4 coarse sand)</t>
        </is>
      </c>
      <c r="C420" s="22" t="inlineStr">
        <is>
          <t>cum</t>
        </is>
      </c>
      <c r="D420" s="23" t="n">
        <v>0.35</v>
      </c>
      <c r="E420" s="24" t="n">
        <v>4010.35</v>
      </c>
      <c r="F420" s="24">
        <f>D420*E420</f>
        <v/>
      </c>
      <c r="G420" s="22" t="n"/>
    </row>
    <row r="421">
      <c r="A421" s="22" t="inlineStr">
        <is>
          <t>9999</t>
        </is>
      </c>
      <c r="B421" s="11" t="inlineStr">
        <is>
          <t>Sundries</t>
        </is>
      </c>
      <c r="C421" s="22" t="inlineStr">
        <is>
          <t>L.S.</t>
        </is>
      </c>
      <c r="D421" s="23" t="n">
        <v>5.46</v>
      </c>
      <c r="E421" s="24" t="n">
        <v>2</v>
      </c>
      <c r="F421" s="24">
        <f>D421*E421</f>
        <v/>
      </c>
      <c r="G421" s="22" t="n"/>
    </row>
    <row r="422">
      <c r="A422" s="7" t="inlineStr">
        <is>
          <t>5.9.9</t>
        </is>
      </c>
      <c r="B422" s="11" t="inlineStr">
        <is>
          <t>Rate as per item 5.9.9 - Centering and shuttering including strutting, propping etc. and removal of form for - Arches, domes, vaults...</t>
        </is>
      </c>
      <c r="C422" s="22" t="inlineStr">
        <is>
          <t>sqm</t>
        </is>
      </c>
      <c r="D422" s="23" t="n">
        <v>2.25</v>
      </c>
      <c r="E422" s="24" t="n">
        <v>1713.2</v>
      </c>
      <c r="F422" s="24">
        <f>D422*E422</f>
        <v/>
      </c>
      <c r="G422" s="22" t="n"/>
    </row>
    <row r="423">
      <c r="A423" s="22" t="inlineStr">
        <is>
          <t>9999</t>
        </is>
      </c>
      <c r="B423" s="11" t="inlineStr">
        <is>
          <t>Scaffolding</t>
        </is>
      </c>
      <c r="C423" s="22" t="inlineStr">
        <is>
          <t>L.S.</t>
        </is>
      </c>
      <c r="D423" s="23" t="n">
        <v>18.85</v>
      </c>
      <c r="E423" s="24" t="n">
        <v>2</v>
      </c>
      <c r="F423" s="24">
        <f>D423*E423</f>
        <v/>
      </c>
      <c r="G423" s="22" t="n"/>
    </row>
    <row r="424">
      <c r="A424" s="22" t="inlineStr">
        <is>
          <t>0123</t>
        </is>
      </c>
      <c r="B424" s="11" t="inlineStr">
        <is>
          <t>Mason (brick layer) 1st class</t>
        </is>
      </c>
      <c r="C424" s="22" t="inlineStr">
        <is>
          <t>day</t>
        </is>
      </c>
      <c r="D424" s="23" t="n">
        <v>0.79</v>
      </c>
      <c r="E424" s="24" t="n">
        <v>738</v>
      </c>
      <c r="F424" s="24">
        <f>D424*E424</f>
        <v/>
      </c>
      <c r="G424" s="22" t="n"/>
    </row>
    <row r="425">
      <c r="A425" s="22" t="inlineStr">
        <is>
          <t>0124</t>
        </is>
      </c>
      <c r="B425" s="11" t="inlineStr">
        <is>
          <t>Mason (brick layer) 2nd class</t>
        </is>
      </c>
      <c r="C425" s="22" t="inlineStr">
        <is>
          <t>day</t>
        </is>
      </c>
      <c r="D425" s="23" t="n">
        <v>0.79</v>
      </c>
      <c r="E425" s="24" t="n">
        <v>679</v>
      </c>
      <c r="F425" s="24">
        <f>D425*E425</f>
        <v/>
      </c>
      <c r="G425" s="22" t="n"/>
    </row>
    <row r="426">
      <c r="A426" s="22" t="inlineStr">
        <is>
          <t>0115</t>
        </is>
      </c>
      <c r="B426" s="11" t="inlineStr">
        <is>
          <t>Coolie</t>
        </is>
      </c>
      <c r="C426" s="22" t="inlineStr">
        <is>
          <t>day</t>
        </is>
      </c>
      <c r="D426" s="23" t="n">
        <v>3.21</v>
      </c>
      <c r="E426" s="24" t="n">
        <v>558</v>
      </c>
      <c r="F426" s="24">
        <f>D426*E426</f>
        <v/>
      </c>
      <c r="G426" s="22" t="n"/>
    </row>
    <row r="427">
      <c r="A427" s="22" t="inlineStr">
        <is>
          <t>0101</t>
        </is>
      </c>
      <c r="B427" s="11" t="inlineStr">
        <is>
          <t>Bhisti</t>
        </is>
      </c>
      <c r="C427" s="22" t="inlineStr">
        <is>
          <t>day</t>
        </is>
      </c>
      <c r="D427" s="23" t="n">
        <v>0.2</v>
      </c>
      <c r="E427" s="24" t="n">
        <v>617</v>
      </c>
      <c r="F427" s="24">
        <f>D427*E427</f>
        <v/>
      </c>
      <c r="G427" s="22" t="n"/>
    </row>
    <row r="428">
      <c r="A428" s="22" t="inlineStr">
        <is>
          <t>0115</t>
        </is>
      </c>
      <c r="B428" s="11" t="inlineStr">
        <is>
          <t>Coolie</t>
        </is>
      </c>
      <c r="C428" s="22" t="inlineStr">
        <is>
          <t>day</t>
        </is>
      </c>
      <c r="D428" s="23" t="n">
        <v>1.13</v>
      </c>
      <c r="E428" s="24" t="n">
        <v>558</v>
      </c>
      <c r="F428" s="24">
        <f>D428*E428</f>
        <v/>
      </c>
      <c r="G428" s="22" t="n"/>
    </row>
    <row r="429">
      <c r="A429" s="8" t="inlineStr">
        <is>
          <t>Calculated W - SUM of the Amount column above</t>
        </is>
      </c>
      <c r="B429" s="9" t="n"/>
      <c r="C429" s="9" t="n"/>
      <c r="D429" s="9" t="n"/>
      <c r="E429" s="9" t="n"/>
      <c r="F429" s="25">
        <f>SUM(F418:F428)</f>
        <v/>
      </c>
      <c r="G429" s="9" t="n"/>
    </row>
    <row r="430">
      <c r="A430" s="26" t="inlineStr">
        <is>
          <t>W as printed in the DAR</t>
        </is>
      </c>
      <c r="B430" s="22" t="n"/>
      <c r="C430" s="22" t="n"/>
      <c r="D430" s="22" t="n"/>
      <c r="E430" s="22" t="n"/>
      <c r="F430" s="27" t="n">
        <v>12597</v>
      </c>
      <c r="G430" s="22" t="n"/>
    </row>
    <row r="431">
      <c r="A431" s="26" t="inlineStr">
        <is>
          <t>Difference (calculated - printed)</t>
        </is>
      </c>
      <c r="B431" s="22" t="n"/>
      <c r="C431" s="22" t="n"/>
      <c r="D431" s="22" t="n"/>
      <c r="E431" s="22" t="n"/>
      <c r="F431" s="27">
        <f>F429-F430</f>
        <v/>
      </c>
      <c r="G431" s="22" t="n"/>
    </row>
    <row r="432">
      <c r="A432" s="29" t="inlineStr">
        <is>
          <t>SAY (Rs.) - final DAR rate as printed (fixed value, not computed)</t>
        </is>
      </c>
      <c r="B432" s="30" t="n"/>
      <c r="C432" s="30" t="n"/>
      <c r="D432" s="30" t="n"/>
      <c r="E432" s="30" t="n"/>
      <c r="F432" s="31" t="n">
        <v>15551.35</v>
      </c>
      <c r="G432" s="30" t="n"/>
    </row>
    <row r="434" ht="47.5" customHeight="1">
      <c r="A434" s="18" t="inlineStr">
        <is>
          <t>6.21</t>
        </is>
      </c>
      <c r="B434" s="19" t="inlineStr">
        <is>
          <t>Tile brick masonry with common burnt clay F.P.S. (non modular) tile bricks of class designation 10 in gauged arch work in superstructure above plinth and upto floor five level in cement mortar 1:4 (1 cement : 4 coarse sand) including centering and shuttering complete.</t>
        </is>
      </c>
      <c r="C434" s="20" t="n"/>
      <c r="D434" s="20" t="n"/>
      <c r="E434" s="20" t="n"/>
      <c r="F434" s="20" t="n"/>
      <c r="G434" s="20" t="n"/>
    </row>
    <row r="435">
      <c r="A435" s="21" t="inlineStr">
        <is>
          <t>Details of cost for 1 cum   |   Source: CivilDAR_2019_Vol_1.pdf, page 299</t>
        </is>
      </c>
    </row>
    <row r="436">
      <c r="A436" s="5" t="inlineStr">
        <is>
          <t>Code</t>
        </is>
      </c>
      <c r="B436" s="5" t="inlineStr">
        <is>
          <t>Description</t>
        </is>
      </c>
      <c r="C436" s="5" t="inlineStr">
        <is>
          <t>Unit</t>
        </is>
      </c>
      <c r="D436" s="5" t="inlineStr">
        <is>
          <t>Quantity</t>
        </is>
      </c>
      <c r="E436" s="5" t="inlineStr">
        <is>
          <t>Rate (Rs.)</t>
        </is>
      </c>
      <c r="F436" s="5" t="inlineStr">
        <is>
          <t>Amount (Rs.)</t>
        </is>
      </c>
      <c r="G436" s="5" t="inlineStr">
        <is>
          <t>Note</t>
        </is>
      </c>
    </row>
    <row r="437">
      <c r="A437" s="22" t="inlineStr">
        <is>
          <t>1984</t>
        </is>
      </c>
      <c r="B437" s="11" t="inlineStr">
        <is>
          <t>Common burnt clay F.P.S. (non modular) bricks tile class designation 10</t>
        </is>
      </c>
      <c r="C437" s="22" t="inlineStr">
        <is>
          <t>1000 Nos</t>
        </is>
      </c>
      <c r="D437" s="23" t="n">
        <v>0.791</v>
      </c>
      <c r="E437" s="24" t="n">
        <v>4500</v>
      </c>
      <c r="F437" s="24">
        <f>D437*E437</f>
        <v/>
      </c>
      <c r="G437" s="22" t="n"/>
    </row>
    <row r="438">
      <c r="A438" s="22" t="inlineStr">
        <is>
          <t>2207</t>
        </is>
      </c>
      <c r="B438" s="11" t="inlineStr">
        <is>
          <t>Carriage of Brick tiles</t>
        </is>
      </c>
      <c r="C438" s="22" t="inlineStr">
        <is>
          <t>1000 Nos</t>
        </is>
      </c>
      <c r="D438" s="23" t="n">
        <v>0.791</v>
      </c>
      <c r="E438" s="24" t="n">
        <v>166.03</v>
      </c>
      <c r="F438" s="24">
        <f>D438*E438</f>
        <v/>
      </c>
      <c r="G438" s="22" t="n"/>
    </row>
    <row r="439">
      <c r="A439" s="7" t="inlineStr">
        <is>
          <t>3.9</t>
        </is>
      </c>
      <c r="B439" s="11" t="inlineStr">
        <is>
          <t>Rate as per item 3.9 - Cement mortar 1:4 (1 cement : 4 coarse sand)</t>
        </is>
      </c>
      <c r="C439" s="22" t="inlineStr">
        <is>
          <t>cum</t>
        </is>
      </c>
      <c r="D439" s="23" t="n">
        <v>0.35</v>
      </c>
      <c r="E439" s="24" t="n">
        <v>4010.35</v>
      </c>
      <c r="F439" s="24">
        <f>D439*E439</f>
        <v/>
      </c>
      <c r="G439" s="22" t="n"/>
    </row>
    <row r="440">
      <c r="A440" s="22" t="inlineStr">
        <is>
          <t>9999</t>
        </is>
      </c>
      <c r="B440" s="11" t="inlineStr">
        <is>
          <t>Sundries and shuttering</t>
        </is>
      </c>
      <c r="C440" s="22" t="inlineStr">
        <is>
          <t>L.S.</t>
        </is>
      </c>
      <c r="D440" s="23" t="n">
        <v>5.46</v>
      </c>
      <c r="E440" s="24" t="n">
        <v>2</v>
      </c>
      <c r="F440" s="24">
        <f>D440*E440</f>
        <v/>
      </c>
      <c r="G440" s="22" t="n"/>
    </row>
    <row r="441">
      <c r="A441" s="7" t="inlineStr">
        <is>
          <t>5.9.9</t>
        </is>
      </c>
      <c r="B441" s="11" t="inlineStr">
        <is>
          <t>Rate as per item 5.9.9 - Centering and shuttering including strutting, propping etc. and removal of form for - Arches, domes, vaults...</t>
        </is>
      </c>
      <c r="C441" s="22" t="inlineStr">
        <is>
          <t>sqm</t>
        </is>
      </c>
      <c r="D441" s="23" t="n">
        <v>2.25</v>
      </c>
      <c r="E441" s="24" t="n">
        <v>1713.2</v>
      </c>
      <c r="F441" s="24">
        <f>D441*E441</f>
        <v/>
      </c>
      <c r="G441" s="22" t="n"/>
    </row>
    <row r="442">
      <c r="A442" s="22" t="inlineStr">
        <is>
          <t>9999</t>
        </is>
      </c>
      <c r="B442" s="11" t="inlineStr">
        <is>
          <t>Scaffolding</t>
        </is>
      </c>
      <c r="C442" s="22" t="inlineStr">
        <is>
          <t>L.S.</t>
        </is>
      </c>
      <c r="D442" s="23" t="n">
        <v>18.85</v>
      </c>
      <c r="E442" s="24" t="n">
        <v>2</v>
      </c>
      <c r="F442" s="24">
        <f>D442*E442</f>
        <v/>
      </c>
      <c r="G442" s="22" t="n"/>
    </row>
    <row r="443">
      <c r="A443" s="22" t="inlineStr">
        <is>
          <t>0123</t>
        </is>
      </c>
      <c r="B443" s="11" t="inlineStr">
        <is>
          <t>Mason (brick layer) 1st class</t>
        </is>
      </c>
      <c r="C443" s="22" t="inlineStr">
        <is>
          <t>day</t>
        </is>
      </c>
      <c r="D443" s="23" t="n">
        <v>1.5</v>
      </c>
      <c r="E443" s="24" t="n">
        <v>738</v>
      </c>
      <c r="F443" s="24">
        <f>D443*E443</f>
        <v/>
      </c>
      <c r="G443" s="22" t="n"/>
    </row>
    <row r="444">
      <c r="A444" s="22" t="inlineStr">
        <is>
          <t>0124</t>
        </is>
      </c>
      <c r="B444" s="11" t="inlineStr">
        <is>
          <t>Mason (brick layer) 2nd class</t>
        </is>
      </c>
      <c r="C444" s="22" t="inlineStr">
        <is>
          <t>day</t>
        </is>
      </c>
      <c r="D444" s="23" t="n">
        <v>1.5</v>
      </c>
      <c r="E444" s="24" t="n">
        <v>679</v>
      </c>
      <c r="F444" s="24">
        <f>D444*E444</f>
        <v/>
      </c>
      <c r="G444" s="22" t="n"/>
    </row>
    <row r="445">
      <c r="A445" s="22" t="inlineStr">
        <is>
          <t>0115</t>
        </is>
      </c>
      <c r="B445" s="11" t="inlineStr">
        <is>
          <t>Coolie</t>
        </is>
      </c>
      <c r="C445" s="22" t="inlineStr">
        <is>
          <t>day</t>
        </is>
      </c>
      <c r="D445" s="23" t="n">
        <v>5.33</v>
      </c>
      <c r="E445" s="24" t="n">
        <v>558</v>
      </c>
      <c r="F445" s="24">
        <f>D445*E445</f>
        <v/>
      </c>
      <c r="G445" s="22" t="n"/>
    </row>
    <row r="446">
      <c r="A446" s="22" t="inlineStr">
        <is>
          <t>0101</t>
        </is>
      </c>
      <c r="B446" s="11" t="inlineStr">
        <is>
          <t>Bhisti</t>
        </is>
      </c>
      <c r="C446" s="22" t="inlineStr">
        <is>
          <t>day</t>
        </is>
      </c>
      <c r="D446" s="23" t="n">
        <v>0.2</v>
      </c>
      <c r="E446" s="24" t="n">
        <v>617</v>
      </c>
      <c r="F446" s="24">
        <f>D446*E446</f>
        <v/>
      </c>
      <c r="G446" s="22" t="n"/>
    </row>
    <row r="447">
      <c r="A447" s="22" t="inlineStr">
        <is>
          <t>0115</t>
        </is>
      </c>
      <c r="B447" s="11" t="inlineStr">
        <is>
          <t>Coolie</t>
        </is>
      </c>
      <c r="C447" s="22" t="inlineStr">
        <is>
          <t>day</t>
        </is>
      </c>
      <c r="D447" s="23" t="n">
        <v>1.13</v>
      </c>
      <c r="E447" s="24" t="n">
        <v>558</v>
      </c>
      <c r="F447" s="24">
        <f>D447*E447</f>
        <v/>
      </c>
      <c r="G447" s="22" t="n"/>
    </row>
    <row r="448">
      <c r="A448" s="8" t="inlineStr">
        <is>
          <t>Calculated W - SUM of the Amount column above</t>
        </is>
      </c>
      <c r="B448" s="9" t="n"/>
      <c r="C448" s="9" t="n"/>
      <c r="D448" s="9" t="n"/>
      <c r="E448" s="9" t="n"/>
      <c r="F448" s="25">
        <f>SUM(F437:F447)</f>
        <v/>
      </c>
      <c r="G448" s="9" t="n"/>
    </row>
    <row r="449">
      <c r="A449" s="26" t="inlineStr">
        <is>
          <t>W as printed in the DAR</t>
        </is>
      </c>
      <c r="B449" s="22" t="n"/>
      <c r="C449" s="22" t="n"/>
      <c r="D449" s="22" t="n"/>
      <c r="E449" s="22" t="n"/>
      <c r="F449" s="27" t="n">
        <v>14851.35</v>
      </c>
      <c r="G449" s="22" t="n"/>
    </row>
    <row r="450">
      <c r="A450" s="26" t="inlineStr">
        <is>
          <t>Difference (calculated - printed)</t>
        </is>
      </c>
      <c r="B450" s="22" t="n"/>
      <c r="C450" s="22" t="n"/>
      <c r="D450" s="22" t="n"/>
      <c r="E450" s="22" t="n"/>
      <c r="F450" s="27">
        <f>F448-F449</f>
        <v/>
      </c>
      <c r="G450" s="22" t="n"/>
    </row>
    <row r="451">
      <c r="A451" s="29" t="inlineStr">
        <is>
          <t>SAY (Rs.) - final DAR rate as printed (fixed value, not computed)</t>
        </is>
      </c>
      <c r="B451" s="30" t="n"/>
      <c r="C451" s="30" t="n"/>
      <c r="D451" s="30" t="n"/>
      <c r="E451" s="30" t="n"/>
      <c r="F451" s="31" t="n">
        <v>18567.55</v>
      </c>
      <c r="G451" s="30" t="n"/>
    </row>
    <row r="453" ht="33" customHeight="1">
      <c r="A453" s="18" t="inlineStr">
        <is>
          <t>6.22</t>
        </is>
      </c>
      <c r="B453" s="19" t="inlineStr">
        <is>
          <t>Tile brick masonry work 5 cm thick with common burnt clay F.P.S. (non modular) tile bricks of class designation 10 in cement mortar 1:3 (1 cement : 3 coarse sand) in superstructure above plinth and upto floor five level.</t>
        </is>
      </c>
      <c r="C453" s="20" t="n"/>
      <c r="D453" s="20" t="n"/>
      <c r="E453" s="20" t="n"/>
      <c r="F453" s="20" t="n"/>
      <c r="G453" s="20" t="n"/>
    </row>
    <row r="454">
      <c r="A454" s="21" t="inlineStr">
        <is>
          <t>Details of cost for 10 sqm   |   Source: CivilDAR_2019_Vol_1.pdf, page 300</t>
        </is>
      </c>
    </row>
    <row r="455">
      <c r="A455" s="5" t="inlineStr">
        <is>
          <t>Code</t>
        </is>
      </c>
      <c r="B455" s="5" t="inlineStr">
        <is>
          <t>Description</t>
        </is>
      </c>
      <c r="C455" s="5" t="inlineStr">
        <is>
          <t>Unit</t>
        </is>
      </c>
      <c r="D455" s="5" t="inlineStr">
        <is>
          <t>Quantity</t>
        </is>
      </c>
      <c r="E455" s="5" t="inlineStr">
        <is>
          <t>Rate (Rs.)</t>
        </is>
      </c>
      <c r="F455" s="5" t="inlineStr">
        <is>
          <t>Amount (Rs.)</t>
        </is>
      </c>
      <c r="G455" s="5" t="inlineStr">
        <is>
          <t>Note</t>
        </is>
      </c>
    </row>
    <row r="456">
      <c r="A456" s="22" t="inlineStr">
        <is>
          <t>1984</t>
        </is>
      </c>
      <c r="B456" s="11" t="inlineStr">
        <is>
          <t>Common burnt clay F.P.S. (non modular) bricks tile class designation 10</t>
        </is>
      </c>
      <c r="C456" s="22" t="inlineStr">
        <is>
          <t>1000 Nos</t>
        </is>
      </c>
      <c r="D456" s="23" t="n">
        <v>0.377</v>
      </c>
      <c r="E456" s="24" t="n">
        <v>4500</v>
      </c>
      <c r="F456" s="24">
        <f>D456*E456</f>
        <v/>
      </c>
      <c r="G456" s="22" t="n"/>
    </row>
    <row r="457">
      <c r="A457" s="22" t="inlineStr">
        <is>
          <t>2207</t>
        </is>
      </c>
      <c r="B457" s="11" t="inlineStr">
        <is>
          <t>Carriage of Brick tiles</t>
        </is>
      </c>
      <c r="C457" s="22" t="inlineStr">
        <is>
          <t>1000 Nos</t>
        </is>
      </c>
      <c r="D457" s="23" t="n">
        <v>0.377</v>
      </c>
      <c r="E457" s="24" t="n">
        <v>166.03</v>
      </c>
      <c r="F457" s="24">
        <f>D457*E457</f>
        <v/>
      </c>
      <c r="G457" s="22" t="n"/>
    </row>
    <row r="458">
      <c r="A458" s="7" t="inlineStr">
        <is>
          <t>3.8</t>
        </is>
      </c>
      <c r="B458" s="11" t="inlineStr">
        <is>
          <t>Rate as per item 3.8 - Cement mortar 1:3 (1 cement : 3 coarse sand)</t>
        </is>
      </c>
      <c r="C458" s="22" t="inlineStr">
        <is>
          <t>cum</t>
        </is>
      </c>
      <c r="D458" s="23" t="n">
        <v>0.15</v>
      </c>
      <c r="E458" s="24" t="n">
        <v>4664.55</v>
      </c>
      <c r="F458" s="24">
        <f>D458*E458</f>
        <v/>
      </c>
      <c r="G458" s="22" t="n"/>
    </row>
    <row r="459">
      <c r="A459" s="22" t="inlineStr">
        <is>
          <t>9999</t>
        </is>
      </c>
      <c r="B459" s="11" t="inlineStr">
        <is>
          <t>Sundries and scaffolding</t>
        </is>
      </c>
      <c r="C459" s="22" t="inlineStr">
        <is>
          <t>L.S.</t>
        </is>
      </c>
      <c r="D459" s="23" t="n">
        <v>8.06</v>
      </c>
      <c r="E459" s="24" t="n">
        <v>2</v>
      </c>
      <c r="F459" s="24">
        <f>D459*E459</f>
        <v/>
      </c>
      <c r="G459" s="22" t="n"/>
    </row>
    <row r="460">
      <c r="A460" s="22" t="inlineStr">
        <is>
          <t>0123</t>
        </is>
      </c>
      <c r="B460" s="11" t="inlineStr">
        <is>
          <t>Mason (brick layer) 1st class</t>
        </is>
      </c>
      <c r="C460" s="22" t="inlineStr">
        <is>
          <t>day</t>
        </is>
      </c>
      <c r="D460" s="23" t="n">
        <v>0.9399999999999999</v>
      </c>
      <c r="E460" s="24" t="n">
        <v>738</v>
      </c>
      <c r="F460" s="24">
        <f>D460*E460</f>
        <v/>
      </c>
      <c r="G460" s="22" t="n"/>
    </row>
    <row r="461">
      <c r="A461" s="22" t="inlineStr">
        <is>
          <t>0124</t>
        </is>
      </c>
      <c r="B461" s="11" t="inlineStr">
        <is>
          <t>Mason (brick layer) 2nd class</t>
        </is>
      </c>
      <c r="C461" s="22" t="inlineStr">
        <is>
          <t>day</t>
        </is>
      </c>
      <c r="D461" s="23" t="n">
        <v>0.9399999999999999</v>
      </c>
      <c r="E461" s="24" t="n">
        <v>679</v>
      </c>
      <c r="F461" s="24">
        <f>D461*E461</f>
        <v/>
      </c>
      <c r="G461" s="22" t="n"/>
    </row>
    <row r="462">
      <c r="A462" s="22" t="inlineStr">
        <is>
          <t>0115</t>
        </is>
      </c>
      <c r="B462" s="11" t="inlineStr">
        <is>
          <t>Coolie</t>
        </is>
      </c>
      <c r="C462" s="22" t="inlineStr">
        <is>
          <t>day</t>
        </is>
      </c>
      <c r="D462" s="23" t="n">
        <v>1.88</v>
      </c>
      <c r="E462" s="24" t="n">
        <v>558</v>
      </c>
      <c r="F462" s="24">
        <f>D462*E462</f>
        <v/>
      </c>
      <c r="G462" s="22" t="n"/>
    </row>
    <row r="463">
      <c r="A463" s="22" t="inlineStr">
        <is>
          <t>0101</t>
        </is>
      </c>
      <c r="B463" s="11" t="inlineStr">
        <is>
          <t>Bhisti</t>
        </is>
      </c>
      <c r="C463" s="22" t="inlineStr">
        <is>
          <t>day</t>
        </is>
      </c>
      <c r="D463" s="23" t="n">
        <v>0.33</v>
      </c>
      <c r="E463" s="24" t="n">
        <v>617</v>
      </c>
      <c r="F463" s="24">
        <f>D463*E463</f>
        <v/>
      </c>
      <c r="G463" s="22" t="n"/>
    </row>
    <row r="464">
      <c r="A464" s="22" t="inlineStr">
        <is>
          <t>0115</t>
        </is>
      </c>
      <c r="B464" s="11" t="inlineStr">
        <is>
          <t>Coolie</t>
        </is>
      </c>
      <c r="C464" s="22" t="inlineStr">
        <is>
          <t>day</t>
        </is>
      </c>
      <c r="D464" s="23" t="n">
        <v>1.29</v>
      </c>
      <c r="E464" s="24" t="n">
        <v>558</v>
      </c>
      <c r="F464" s="24">
        <f>D464*E464</f>
        <v/>
      </c>
      <c r="G464" s="22" t="n"/>
    </row>
    <row r="465">
      <c r="A465" s="8" t="inlineStr">
        <is>
          <t>Calculated W - SUM of the Amount column above</t>
        </is>
      </c>
      <c r="B465" s="9" t="n"/>
      <c r="C465" s="9" t="n"/>
      <c r="D465" s="9" t="n"/>
      <c r="E465" s="9" t="n"/>
      <c r="F465" s="25">
        <f>SUM(F456:F464)</f>
        <v/>
      </c>
      <c r="G465" s="9" t="n"/>
    </row>
    <row r="466">
      <c r="A466" s="26" t="inlineStr">
        <is>
          <t>W as printed in the DAR</t>
        </is>
      </c>
      <c r="B466" s="22" t="n"/>
      <c r="C466" s="22" t="n"/>
      <c r="D466" s="22" t="n"/>
      <c r="E466" s="22" t="n"/>
      <c r="F466" s="27" t="n">
        <v>5779.35</v>
      </c>
      <c r="G466" s="22" t="n"/>
    </row>
    <row r="467">
      <c r="A467" s="26" t="inlineStr">
        <is>
          <t>Difference (calculated - printed)</t>
        </is>
      </c>
      <c r="B467" s="22" t="n"/>
      <c r="C467" s="22" t="n"/>
      <c r="D467" s="22" t="n"/>
      <c r="E467" s="22" t="n"/>
      <c r="F467" s="27">
        <f>F465-F466</f>
        <v/>
      </c>
      <c r="G467" s="22" t="n"/>
    </row>
    <row r="468">
      <c r="A468" s="29" t="inlineStr">
        <is>
          <t>SAY (Rs.) - final DAR rate as printed (fixed value, not computed)</t>
        </is>
      </c>
      <c r="B468" s="30" t="n"/>
      <c r="C468" s="30" t="n"/>
      <c r="D468" s="30" t="n"/>
      <c r="E468" s="30" t="n"/>
      <c r="F468" s="31" t="n">
        <v>773.25</v>
      </c>
      <c r="G468" s="30" t="n"/>
    </row>
    <row r="470" ht="33" customHeight="1">
      <c r="A470" s="18" t="inlineStr">
        <is>
          <t>6.23</t>
        </is>
      </c>
      <c r="B470" s="19" t="inlineStr">
        <is>
          <t>Honey-comb brick work 10 / 11.4 cm thick with common burnt clay bricks of class designation 7.5 in super structure above plinth level upto floor V level with cement mortar 1:4 (1 cement : 4 coarse sand).</t>
        </is>
      </c>
      <c r="C470" s="20" t="n"/>
      <c r="D470" s="20" t="n"/>
      <c r="E470" s="20" t="n"/>
      <c r="F470" s="20" t="n"/>
      <c r="G470" s="20" t="n"/>
    </row>
    <row r="471">
      <c r="A471" s="21" t="inlineStr">
        <is>
          <t>Details of cost for 1 sqm   |   Source: CivilDAR_2019_Vol_1.pdf, page 301</t>
        </is>
      </c>
    </row>
    <row r="472">
      <c r="A472" s="5" t="inlineStr">
        <is>
          <t>Code</t>
        </is>
      </c>
      <c r="B472" s="5" t="inlineStr">
        <is>
          <t>Description</t>
        </is>
      </c>
      <c r="C472" s="5" t="inlineStr">
        <is>
          <t>Unit</t>
        </is>
      </c>
      <c r="D472" s="5" t="inlineStr">
        <is>
          <t>Quantity</t>
        </is>
      </c>
      <c r="E472" s="5" t="inlineStr">
        <is>
          <t>Rate (Rs.)</t>
        </is>
      </c>
      <c r="F472" s="5" t="inlineStr">
        <is>
          <t>Amount (Rs.)</t>
        </is>
      </c>
      <c r="G472" s="5" t="inlineStr">
        <is>
          <t>Note</t>
        </is>
      </c>
    </row>
    <row r="473">
      <c r="A473" s="7" t="inlineStr">
        <is>
          <t>6.4.1</t>
        </is>
      </c>
      <c r="B473" s="11" t="inlineStr">
        <is>
          <t>Rate as per item 6.4.1 - Brick work with common burnt clay F.P.S. (non modular) bricks of class designation 7.5 in superstructure ab...</t>
        </is>
      </c>
      <c r="C473" s="22" t="inlineStr">
        <is>
          <t>cum</t>
        </is>
      </c>
      <c r="D473" s="23" t="n">
        <v>0.06900000000000001</v>
      </c>
      <c r="E473" s="24" t="n">
        <v>7809.25</v>
      </c>
      <c r="F473" s="24">
        <f>D473*E473</f>
        <v/>
      </c>
      <c r="G473" s="22" t="n"/>
    </row>
    <row r="474">
      <c r="A474" s="22" t="inlineStr">
        <is>
          <t>9999</t>
        </is>
      </c>
      <c r="B474" s="11" t="inlineStr">
        <is>
          <t>Extra for delay due to fine work</t>
        </is>
      </c>
      <c r="C474" s="22" t="inlineStr">
        <is>
          <t>L.S.</t>
        </is>
      </c>
      <c r="D474" s="23" t="n">
        <v>20.67</v>
      </c>
      <c r="E474" s="24" t="n">
        <v>2</v>
      </c>
      <c r="F474" s="24">
        <f>D474*E474</f>
        <v/>
      </c>
      <c r="G474" s="22" t="n"/>
    </row>
    <row r="475">
      <c r="A475" s="8" t="inlineStr">
        <is>
          <t>Calculated W - SUM of the Amount column above</t>
        </is>
      </c>
      <c r="B475" s="9" t="n"/>
      <c r="C475" s="9" t="n"/>
      <c r="D475" s="9" t="n"/>
      <c r="E475" s="9" t="n"/>
      <c r="F475" s="25">
        <f>SUM(F473:F474)</f>
        <v/>
      </c>
      <c r="G475" s="9" t="n"/>
    </row>
    <row r="476">
      <c r="A476" s="26" t="inlineStr">
        <is>
          <t>W as printed in the DAR</t>
        </is>
      </c>
      <c r="B476" s="22" t="n"/>
      <c r="C476" s="22" t="n"/>
      <c r="D476" s="22" t="n"/>
      <c r="E476" s="22" t="n"/>
      <c r="F476" s="27" t="n">
        <v>580.1799999999999</v>
      </c>
      <c r="G476" s="22" t="n"/>
    </row>
    <row r="477">
      <c r="A477" s="26" t="inlineStr">
        <is>
          <t>Difference (calculated - printed)</t>
        </is>
      </c>
      <c r="B477" s="22" t="n"/>
      <c r="C477" s="22" t="n"/>
      <c r="D477" s="22" t="n"/>
      <c r="E477" s="22" t="n"/>
      <c r="F477" s="27">
        <f>F475-F476</f>
        <v/>
      </c>
      <c r="G477" s="22" t="n"/>
    </row>
    <row r="478">
      <c r="A478" s="29" t="inlineStr">
        <is>
          <t>SAY (Rs.) - final DAR rate as printed (fixed value, not computed)</t>
        </is>
      </c>
      <c r="B478" s="30" t="n"/>
      <c r="C478" s="30" t="n"/>
      <c r="D478" s="30" t="n"/>
      <c r="E478" s="30" t="n"/>
      <c r="F478" s="31" t="n">
        <v>594.15</v>
      </c>
      <c r="G478" s="30" t="n"/>
    </row>
    <row r="480" ht="76.5" customHeight="1">
      <c r="A480" s="18" t="inlineStr">
        <is>
          <t>6.24</t>
        </is>
      </c>
      <c r="B480" s="19" t="inlineStr">
        <is>
          <t>Extra for laying brick work in or under water and/or liquid mud including cost of pumping or bailing out water and removing slush etc. complete. 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t>
        </is>
      </c>
      <c r="C480" s="20" t="n"/>
      <c r="D480" s="20" t="n"/>
      <c r="E480" s="20" t="n"/>
      <c r="F480" s="20" t="n"/>
      <c r="G480" s="20" t="n"/>
    </row>
    <row r="481">
      <c r="A481" s="21" t="inlineStr">
        <is>
          <t>Details of cost for 14 cum   |   Source: CivilDAR_2019_Vol_1.pdf, page 302</t>
        </is>
      </c>
    </row>
    <row r="482">
      <c r="A482" s="5" t="inlineStr">
        <is>
          <t>Code</t>
        </is>
      </c>
      <c r="B482" s="5" t="inlineStr">
        <is>
          <t>Description</t>
        </is>
      </c>
      <c r="C482" s="5" t="inlineStr">
        <is>
          <t>Unit</t>
        </is>
      </c>
      <c r="D482" s="5" t="inlineStr">
        <is>
          <t>Quantity</t>
        </is>
      </c>
      <c r="E482" s="5" t="inlineStr">
        <is>
          <t>Rate (Rs.)</t>
        </is>
      </c>
      <c r="F482" s="5" t="inlineStr">
        <is>
          <t>Amount (Rs.)</t>
        </is>
      </c>
      <c r="G482" s="5" t="inlineStr">
        <is>
          <t>Note</t>
        </is>
      </c>
    </row>
    <row r="483">
      <c r="A483" s="22" t="inlineStr">
        <is>
          <t>0011</t>
        </is>
      </c>
      <c r="B483" s="11" t="inlineStr">
        <is>
          <t>Hire charges of Pumpset of capacity 4000 litres/hour.</t>
        </is>
      </c>
      <c r="C483" s="22" t="inlineStr">
        <is>
          <t>day</t>
        </is>
      </c>
      <c r="D483" s="23" t="n">
        <v>0.375</v>
      </c>
      <c r="E483" s="24" t="n">
        <v>700</v>
      </c>
      <c r="F483" s="24">
        <f>D483*E483</f>
        <v/>
      </c>
      <c r="G483" s="22" t="n"/>
    </row>
    <row r="484">
      <c r="A484" s="22" t="inlineStr">
        <is>
          <t>0114</t>
        </is>
      </c>
      <c r="B484" s="11" t="inlineStr">
        <is>
          <t>Beldar</t>
        </is>
      </c>
      <c r="C484" s="22" t="inlineStr">
        <is>
          <t>day</t>
        </is>
      </c>
      <c r="D484" s="23" t="n">
        <v>4</v>
      </c>
      <c r="E484" s="24" t="n">
        <v>558</v>
      </c>
      <c r="F484" s="24">
        <f>D484*E484</f>
        <v/>
      </c>
      <c r="G484" s="22" t="n"/>
    </row>
    <row r="485">
      <c r="A485" s="8" t="inlineStr">
        <is>
          <t>Calculated W - SUM of the Amount column above</t>
        </is>
      </c>
      <c r="B485" s="9" t="n"/>
      <c r="C485" s="9" t="n"/>
      <c r="D485" s="9" t="n"/>
      <c r="E485" s="9" t="n"/>
      <c r="F485" s="25">
        <f>SUM(F483:F484)</f>
        <v/>
      </c>
      <c r="G485" s="9" t="n"/>
    </row>
    <row r="486">
      <c r="A486" s="26" t="inlineStr">
        <is>
          <t>W as printed in the DAR</t>
        </is>
      </c>
      <c r="B486" s="22" t="n"/>
      <c r="C486" s="22" t="n"/>
      <c r="D486" s="22" t="n"/>
      <c r="E486" s="22" t="n"/>
      <c r="F486" s="27" t="n">
        <v>2494.5</v>
      </c>
      <c r="G486" s="22" t="n"/>
    </row>
    <row r="487">
      <c r="A487" s="26" t="inlineStr">
        <is>
          <t>Difference (calculated - printed)</t>
        </is>
      </c>
      <c r="B487" s="22" t="n"/>
      <c r="C487" s="22" t="n"/>
      <c r="D487" s="22" t="n"/>
      <c r="E487" s="22" t="n"/>
      <c r="F487" s="27">
        <f>F485-F486</f>
        <v/>
      </c>
      <c r="G487" s="22" t="n"/>
    </row>
    <row r="488">
      <c r="A488" s="29" t="inlineStr">
        <is>
          <t>SAY (Rs.) - final DAR rate as printed (fixed value, not computed)</t>
        </is>
      </c>
      <c r="B488" s="30" t="n"/>
      <c r="C488" s="30" t="n"/>
      <c r="D488" s="30" t="n"/>
      <c r="E488" s="30" t="n"/>
      <c r="F488" s="31" t="n">
        <v>794.65</v>
      </c>
      <c r="G488" s="30" t="n"/>
    </row>
    <row r="490" ht="18.5" customHeight="1">
      <c r="A490" s="18" t="inlineStr">
        <is>
          <t>6.25</t>
        </is>
      </c>
      <c r="B490" s="19" t="inlineStr">
        <is>
          <t>Extra for laying brick work in or under foul position.</t>
        </is>
      </c>
      <c r="C490" s="20" t="n"/>
      <c r="D490" s="20" t="n"/>
      <c r="E490" s="20" t="n"/>
      <c r="F490" s="20" t="n"/>
      <c r="G490" s="20" t="n"/>
    </row>
    <row r="491">
      <c r="A491" s="21" t="inlineStr">
        <is>
          <t>Details of cost for 1 cum   |   Source: CivilDAR_2019_Vol_1.pdf, page 302</t>
        </is>
      </c>
    </row>
    <row r="492">
      <c r="A492" s="5" t="inlineStr">
        <is>
          <t>Code</t>
        </is>
      </c>
      <c r="B492" s="5" t="inlineStr">
        <is>
          <t>Description</t>
        </is>
      </c>
      <c r="C492" s="5" t="inlineStr">
        <is>
          <t>Unit</t>
        </is>
      </c>
      <c r="D492" s="5" t="inlineStr">
        <is>
          <t>Quantity</t>
        </is>
      </c>
      <c r="E492" s="5" t="inlineStr">
        <is>
          <t>Rate (Rs.)</t>
        </is>
      </c>
      <c r="F492" s="5" t="inlineStr">
        <is>
          <t>Amount (Rs.)</t>
        </is>
      </c>
      <c r="G492" s="5" t="inlineStr">
        <is>
          <t>Note</t>
        </is>
      </c>
    </row>
    <row r="493">
      <c r="A493" s="22" t="inlineStr">
        <is>
          <t>0123</t>
        </is>
      </c>
      <c r="B493" s="11" t="inlineStr">
        <is>
          <t>Mason (brick layer) 1st class</t>
        </is>
      </c>
      <c r="C493" s="22" t="inlineStr">
        <is>
          <t>day</t>
        </is>
      </c>
      <c r="D493" s="23" t="n">
        <v>0.02</v>
      </c>
      <c r="E493" s="24" t="n">
        <v>738</v>
      </c>
      <c r="F493" s="24">
        <f>D493*E493</f>
        <v/>
      </c>
      <c r="G493" s="22" t="n"/>
    </row>
    <row r="494">
      <c r="A494" s="22" t="inlineStr">
        <is>
          <t>0124</t>
        </is>
      </c>
      <c r="B494" s="11" t="inlineStr">
        <is>
          <t>Mason (brick layer) 2nd class</t>
        </is>
      </c>
      <c r="C494" s="22" t="inlineStr">
        <is>
          <t>day</t>
        </is>
      </c>
      <c r="D494" s="23" t="n">
        <v>0.02</v>
      </c>
      <c r="E494" s="24" t="n">
        <v>679</v>
      </c>
      <c r="F494" s="24">
        <f>D494*E494</f>
        <v/>
      </c>
      <c r="G494" s="22" t="n"/>
    </row>
    <row r="495">
      <c r="A495" s="22" t="inlineStr">
        <is>
          <t>0114</t>
        </is>
      </c>
      <c r="B495" s="11" t="inlineStr">
        <is>
          <t>Beldar</t>
        </is>
      </c>
      <c r="C495" s="22" t="inlineStr">
        <is>
          <t>day</t>
        </is>
      </c>
      <c r="D495" s="23" t="n">
        <v>0.25</v>
      </c>
      <c r="E495" s="24" t="n">
        <v>558</v>
      </c>
      <c r="F495" s="24">
        <f>D495*E495</f>
        <v/>
      </c>
      <c r="G495" s="22" t="n"/>
    </row>
    <row r="496">
      <c r="A496" s="22" t="inlineStr">
        <is>
          <t>0115</t>
        </is>
      </c>
      <c r="B496" s="11" t="inlineStr">
        <is>
          <t>Coolie</t>
        </is>
      </c>
      <c r="C496" s="22" t="inlineStr">
        <is>
          <t>day</t>
        </is>
      </c>
      <c r="D496" s="23" t="n">
        <v>0.15</v>
      </c>
      <c r="E496" s="24" t="n">
        <v>558</v>
      </c>
      <c r="F496" s="24">
        <f>D496*E496</f>
        <v/>
      </c>
      <c r="G496" s="22" t="n"/>
    </row>
    <row r="497">
      <c r="A497" s="8" t="inlineStr">
        <is>
          <t>Calculated W - SUM of the Amount column above</t>
        </is>
      </c>
      <c r="B497" s="9" t="n"/>
      <c r="C497" s="9" t="n"/>
      <c r="D497" s="9" t="n"/>
      <c r="E497" s="9" t="n"/>
      <c r="F497" s="25">
        <f>SUM(F493:F496)</f>
        <v/>
      </c>
      <c r="G497" s="9" t="n"/>
    </row>
    <row r="498">
      <c r="A498" s="26" t="inlineStr">
        <is>
          <t>W as printed in the DAR</t>
        </is>
      </c>
      <c r="B498" s="22" t="n"/>
      <c r="C498" s="22" t="n"/>
      <c r="D498" s="22" t="n"/>
      <c r="E498" s="22" t="n"/>
      <c r="F498" s="27" t="n">
        <v>251.54</v>
      </c>
      <c r="G498" s="22" t="n"/>
    </row>
    <row r="499">
      <c r="A499" s="26" t="inlineStr">
        <is>
          <t>Difference (calculated - printed)</t>
        </is>
      </c>
      <c r="B499" s="22" t="n"/>
      <c r="C499" s="22" t="n"/>
      <c r="D499" s="22" t="n"/>
      <c r="E499" s="22" t="n"/>
      <c r="F499" s="27">
        <f>F497-F498</f>
        <v/>
      </c>
      <c r="G499" s="22" t="n"/>
    </row>
    <row r="500">
      <c r="A500" s="29" t="inlineStr">
        <is>
          <t>SAY (Rs.) - final DAR rate as printed (fixed value, not computed)</t>
        </is>
      </c>
      <c r="B500" s="30" t="n"/>
      <c r="C500" s="30" t="n"/>
      <c r="D500" s="30" t="n"/>
      <c r="E500" s="30" t="n"/>
      <c r="F500" s="31" t="n">
        <v>336.55</v>
      </c>
      <c r="G500" s="30" t="n"/>
    </row>
    <row r="502" ht="33" customHeight="1">
      <c r="A502" s="8" t="inlineStr">
        <is>
          <t>6.26</t>
        </is>
      </c>
      <c r="B502" s="17" t="inlineStr">
        <is>
          <t>Brick work with common burnt clay selected F.P.S. (non modular) bricks of class designation 7.5 in exposed brick work including making horizontal and vertical grooves 10 mm wide 12 mm deep complete in cement mortar 1:6 (1 cement : 6 coarse sand)</t>
        </is>
      </c>
      <c r="C502" s="9" t="n"/>
      <c r="D502" s="9" t="n"/>
      <c r="E502" s="9" t="n"/>
      <c r="F502" s="9" t="n"/>
      <c r="G502" s="9" t="n"/>
    </row>
    <row r="503" ht="18.5" customHeight="1">
      <c r="A503" s="18" t="inlineStr">
        <is>
          <t>6.26.1</t>
        </is>
      </c>
      <c r="B503" s="19" t="inlineStr">
        <is>
          <t>From ground level upto plinth level</t>
        </is>
      </c>
      <c r="C503" s="20" t="n"/>
      <c r="D503" s="20" t="n"/>
      <c r="E503" s="20" t="n"/>
      <c r="F503" s="20" t="n"/>
      <c r="G503" s="20" t="n"/>
    </row>
    <row r="504">
      <c r="A504" s="21" t="inlineStr">
        <is>
          <t>Details of cost for 1 cum   |   Source: CivilDAR_2019_Vol_1.pdf, page 303</t>
        </is>
      </c>
    </row>
    <row r="505">
      <c r="A505" s="5" t="inlineStr">
        <is>
          <t>Code</t>
        </is>
      </c>
      <c r="B505" s="5" t="inlineStr">
        <is>
          <t>Description</t>
        </is>
      </c>
      <c r="C505" s="5" t="inlineStr">
        <is>
          <t>Unit</t>
        </is>
      </c>
      <c r="D505" s="5" t="inlineStr">
        <is>
          <t>Quantity</t>
        </is>
      </c>
      <c r="E505" s="5" t="inlineStr">
        <is>
          <t>Rate (Rs.)</t>
        </is>
      </c>
      <c r="F505" s="5" t="inlineStr">
        <is>
          <t>Amount (Rs.)</t>
        </is>
      </c>
      <c r="G505" s="5" t="inlineStr">
        <is>
          <t>Note</t>
        </is>
      </c>
    </row>
    <row r="506">
      <c r="A506" s="22" t="inlineStr">
        <is>
          <t>2602</t>
        </is>
      </c>
      <c r="B506" s="11" t="inlineStr">
        <is>
          <t>Common burnt clay F.P.S. (non modular) bricks class designation 7.5</t>
        </is>
      </c>
      <c r="C506" s="22" t="inlineStr">
        <is>
          <t>1000 Nos</t>
        </is>
      </c>
      <c r="D506" s="23" t="n">
        <v>0.494</v>
      </c>
      <c r="E506" s="24" t="n">
        <v>4500</v>
      </c>
      <c r="F506" s="24">
        <f>D506*E506</f>
        <v/>
      </c>
      <c r="G506" s="22" t="n"/>
    </row>
    <row r="507">
      <c r="A507" s="22" t="inlineStr">
        <is>
          <t>2201</t>
        </is>
      </c>
      <c r="B507" s="11" t="inlineStr">
        <is>
          <t>Carriage of Bricks</t>
        </is>
      </c>
      <c r="C507" s="22" t="inlineStr">
        <is>
          <t>1000 Nos</t>
        </is>
      </c>
      <c r="D507" s="23" t="n">
        <v>0.494</v>
      </c>
      <c r="E507" s="24" t="n">
        <v>276.72</v>
      </c>
      <c r="F507" s="24">
        <f>D507*E507</f>
        <v/>
      </c>
      <c r="G507" s="22" t="n"/>
    </row>
    <row r="508">
      <c r="A508" s="7" t="inlineStr">
        <is>
          <t>3.11</t>
        </is>
      </c>
      <c r="B508" s="11" t="inlineStr">
        <is>
          <t>Rate as per item 3.11 - Cement mortar 1:6 (1 cement : 6 coarse sand)</t>
        </is>
      </c>
      <c r="C508" s="22" t="inlineStr">
        <is>
          <t>cum</t>
        </is>
      </c>
      <c r="D508" s="23" t="n">
        <v>0.25</v>
      </c>
      <c r="E508" s="24" t="n">
        <v>3356.15</v>
      </c>
      <c r="F508" s="24">
        <f>D508*E508</f>
        <v/>
      </c>
      <c r="G508" s="22" t="n"/>
    </row>
    <row r="509">
      <c r="A509" s="22" t="inlineStr">
        <is>
          <t>9999</t>
        </is>
      </c>
      <c r="B509" s="11" t="inlineStr">
        <is>
          <t>Sundries including steel/wooden strips for making grooves.</t>
        </is>
      </c>
      <c r="C509" s="22" t="inlineStr">
        <is>
          <t>L.S.</t>
        </is>
      </c>
      <c r="D509" s="23" t="n">
        <v>16.38</v>
      </c>
      <c r="E509" s="24" t="n">
        <v>2</v>
      </c>
      <c r="F509" s="24">
        <f>D509*E509</f>
        <v/>
      </c>
      <c r="G509" s="22" t="n"/>
    </row>
    <row r="510">
      <c r="A510" s="22" t="inlineStr">
        <is>
          <t>0114</t>
        </is>
      </c>
      <c r="B510" s="11" t="inlineStr">
        <is>
          <t>Beldar</t>
        </is>
      </c>
      <c r="C510" s="22" t="inlineStr">
        <is>
          <t>day</t>
        </is>
      </c>
      <c r="D510" s="23" t="n">
        <v>0.5</v>
      </c>
      <c r="E510" s="24" t="n">
        <v>558</v>
      </c>
      <c r="F510" s="24">
        <f>D510*E510</f>
        <v/>
      </c>
      <c r="G510" s="22" t="n"/>
    </row>
    <row r="511">
      <c r="A511" s="22" t="inlineStr">
        <is>
          <t>0123</t>
        </is>
      </c>
      <c r="B511" s="11" t="inlineStr">
        <is>
          <t>Mason (brick layer) 1st class</t>
        </is>
      </c>
      <c r="C511" s="22" t="inlineStr">
        <is>
          <t>day</t>
        </is>
      </c>
      <c r="D511" s="23" t="n">
        <v>0.35</v>
      </c>
      <c r="E511" s="24" t="n">
        <v>738</v>
      </c>
      <c r="F511" s="24">
        <f>D511*E511</f>
        <v/>
      </c>
      <c r="G511" s="22" t="n"/>
    </row>
    <row r="512">
      <c r="A512" s="22" t="inlineStr">
        <is>
          <t>0124</t>
        </is>
      </c>
      <c r="B512" s="11" t="inlineStr">
        <is>
          <t>Mason (brick layer) 2nd class</t>
        </is>
      </c>
      <c r="C512" s="22" t="inlineStr">
        <is>
          <t>day</t>
        </is>
      </c>
      <c r="D512" s="23" t="n">
        <v>0.35</v>
      </c>
      <c r="E512" s="24" t="n">
        <v>679</v>
      </c>
      <c r="F512" s="24">
        <f>D512*E512</f>
        <v/>
      </c>
      <c r="G512" s="22" t="n"/>
    </row>
    <row r="513">
      <c r="A513" s="22" t="inlineStr">
        <is>
          <t>0115</t>
        </is>
      </c>
      <c r="B513" s="11" t="inlineStr">
        <is>
          <t>Coolie</t>
        </is>
      </c>
      <c r="C513" s="22" t="inlineStr">
        <is>
          <t>day</t>
        </is>
      </c>
      <c r="D513" s="23" t="n">
        <v>1.07</v>
      </c>
      <c r="E513" s="24" t="n">
        <v>558</v>
      </c>
      <c r="F513" s="24">
        <f>D513*E513</f>
        <v/>
      </c>
      <c r="G513" s="22" t="n"/>
    </row>
    <row r="514">
      <c r="A514" s="22" t="inlineStr">
        <is>
          <t>0101</t>
        </is>
      </c>
      <c r="B514" s="11" t="inlineStr">
        <is>
          <t>Bhisti</t>
        </is>
      </c>
      <c r="C514" s="22" t="inlineStr">
        <is>
          <t>day</t>
        </is>
      </c>
      <c r="D514" s="23" t="n">
        <v>0.2</v>
      </c>
      <c r="E514" s="24" t="n">
        <v>617</v>
      </c>
      <c r="F514" s="24">
        <f>D514*E514</f>
        <v/>
      </c>
      <c r="G514" s="22" t="n"/>
    </row>
    <row r="515">
      <c r="A515" s="8" t="inlineStr">
        <is>
          <t>Calculated W - SUM of the Amount column above</t>
        </is>
      </c>
      <c r="B515" s="9" t="n"/>
      <c r="C515" s="9" t="n"/>
      <c r="D515" s="9" t="n"/>
      <c r="E515" s="9" t="n"/>
      <c r="F515" s="25">
        <f>SUM(F506:F514)</f>
        <v/>
      </c>
      <c r="G515" s="9" t="n"/>
    </row>
    <row r="516">
      <c r="A516" s="26" t="inlineStr">
        <is>
          <t>W as printed in the DAR</t>
        </is>
      </c>
      <c r="B516" s="22" t="n"/>
      <c r="C516" s="22" t="n"/>
      <c r="D516" s="22" t="n"/>
      <c r="E516" s="22" t="n"/>
      <c r="F516" s="27" t="n">
        <v>4726.91</v>
      </c>
      <c r="G516" s="22" t="n"/>
    </row>
    <row r="517">
      <c r="A517" s="26" t="inlineStr">
        <is>
          <t>Difference (calculated - printed)</t>
        </is>
      </c>
      <c r="B517" s="22" t="n"/>
      <c r="C517" s="22" t="n"/>
      <c r="D517" s="22" t="n"/>
      <c r="E517" s="22" t="n"/>
      <c r="F517" s="27">
        <f>F515-F516</f>
        <v/>
      </c>
      <c r="G517" s="22" t="n"/>
    </row>
    <row r="518">
      <c r="A518" s="29" t="inlineStr">
        <is>
          <t>SAY (Rs.) - final DAR rate as printed (fixed value, not computed)</t>
        </is>
      </c>
      <c r="B518" s="30" t="n"/>
      <c r="C518" s="30" t="n"/>
      <c r="D518" s="30" t="n"/>
      <c r="E518" s="30" t="n"/>
      <c r="F518" s="31" t="n">
        <v>6324.3</v>
      </c>
      <c r="G518" s="30" t="n"/>
    </row>
    <row r="520" ht="33" customHeight="1">
      <c r="A520" s="8" t="inlineStr">
        <is>
          <t>6.26</t>
        </is>
      </c>
      <c r="B520" s="17" t="inlineStr">
        <is>
          <t>Brick work with common burnt clay selected F.P.S. (non modular) bricks of class designation 7.5 in exposed brick work including making horizontal and vertical grooves 10 mm wide 12 mm deep complete in cement mortar 1:6 (1 cement : 6 coarse sand)</t>
        </is>
      </c>
      <c r="C520" s="9" t="n"/>
      <c r="D520" s="9" t="n"/>
      <c r="E520" s="9" t="n"/>
      <c r="F520" s="9" t="n"/>
      <c r="G520" s="9" t="n"/>
    </row>
    <row r="521" ht="18.5" customHeight="1">
      <c r="A521" s="18" t="inlineStr">
        <is>
          <t>6.26.2</t>
        </is>
      </c>
      <c r="B521" s="19" t="inlineStr">
        <is>
          <t>Above plinth level upto floor V level</t>
        </is>
      </c>
      <c r="C521" s="20" t="n"/>
      <c r="D521" s="20" t="n"/>
      <c r="E521" s="20" t="n"/>
      <c r="F521" s="20" t="n"/>
      <c r="G521" s="20" t="n"/>
    </row>
    <row r="522">
      <c r="A522" s="21" t="inlineStr">
        <is>
          <t>Details of cost for 1 cum   |   Source: CivilDAR_2019_Vol_1.pdf, page 303</t>
        </is>
      </c>
    </row>
    <row r="523">
      <c r="A523" s="5" t="inlineStr">
        <is>
          <t>Code</t>
        </is>
      </c>
      <c r="B523" s="5" t="inlineStr">
        <is>
          <t>Description</t>
        </is>
      </c>
      <c r="C523" s="5" t="inlineStr">
        <is>
          <t>Unit</t>
        </is>
      </c>
      <c r="D523" s="5" t="inlineStr">
        <is>
          <t>Quantity</t>
        </is>
      </c>
      <c r="E523" s="5" t="inlineStr">
        <is>
          <t>Rate (Rs.)</t>
        </is>
      </c>
      <c r="F523" s="5" t="inlineStr">
        <is>
          <t>Amount (Rs.)</t>
        </is>
      </c>
      <c r="G523" s="5" t="inlineStr">
        <is>
          <t>Note</t>
        </is>
      </c>
    </row>
    <row r="524">
      <c r="A524" s="22" t="inlineStr">
        <is>
          <t>2602</t>
        </is>
      </c>
      <c r="B524" s="11" t="inlineStr">
        <is>
          <t>Common burnt clay F.P.S. (non modular) bricks class designation 7.5</t>
        </is>
      </c>
      <c r="C524" s="22" t="inlineStr">
        <is>
          <t>1000 Nos</t>
        </is>
      </c>
      <c r="D524" s="23" t="n">
        <v>0.494</v>
      </c>
      <c r="E524" s="24" t="n">
        <v>4500</v>
      </c>
      <c r="F524" s="24">
        <f>D524*E524</f>
        <v/>
      </c>
      <c r="G524" s="22" t="n"/>
    </row>
    <row r="525">
      <c r="A525" s="22" t="inlineStr">
        <is>
          <t>2201</t>
        </is>
      </c>
      <c r="B525" s="11" t="inlineStr">
        <is>
          <t>Carriage of Bricks</t>
        </is>
      </c>
      <c r="C525" s="22" t="inlineStr">
        <is>
          <t>1000 Nos</t>
        </is>
      </c>
      <c r="D525" s="23" t="n">
        <v>0.494</v>
      </c>
      <c r="E525" s="24" t="n">
        <v>276.72</v>
      </c>
      <c r="F525" s="24">
        <f>D525*E525</f>
        <v/>
      </c>
      <c r="G525" s="22" t="n"/>
    </row>
    <row r="526">
      <c r="A526" s="7" t="inlineStr">
        <is>
          <t>3.11</t>
        </is>
      </c>
      <c r="B526" s="11" t="inlineStr">
        <is>
          <t>Rate as per item 3.11 - Cement mortar 1:6 (1 cement : 6 coarse sand)</t>
        </is>
      </c>
      <c r="C526" s="22" t="inlineStr">
        <is>
          <t>cum</t>
        </is>
      </c>
      <c r="D526" s="23" t="n">
        <v>0.25</v>
      </c>
      <c r="E526" s="24" t="n">
        <v>3356.15</v>
      </c>
      <c r="F526" s="24">
        <f>D526*E526</f>
        <v/>
      </c>
      <c r="G526" s="22" t="n"/>
    </row>
    <row r="527">
      <c r="A527" s="22" t="inlineStr">
        <is>
          <t>9999</t>
        </is>
      </c>
      <c r="B527" s="11" t="inlineStr">
        <is>
          <t>Sundries including steel/wooden strips for making grooves.</t>
        </is>
      </c>
      <c r="C527" s="22" t="inlineStr">
        <is>
          <t>L.S.</t>
        </is>
      </c>
      <c r="D527" s="23" t="n">
        <v>16.38</v>
      </c>
      <c r="E527" s="24" t="n">
        <v>2</v>
      </c>
      <c r="F527" s="24">
        <f>D527*E527</f>
        <v/>
      </c>
      <c r="G527" s="22" t="n"/>
    </row>
    <row r="528">
      <c r="A528" s="22" t="inlineStr">
        <is>
          <t>0114</t>
        </is>
      </c>
      <c r="B528" s="11" t="inlineStr">
        <is>
          <t>Beldar</t>
        </is>
      </c>
      <c r="C528" s="22" t="inlineStr">
        <is>
          <t>day</t>
        </is>
      </c>
      <c r="D528" s="23" t="n">
        <v>0.5</v>
      </c>
      <c r="E528" s="24" t="n">
        <v>558</v>
      </c>
      <c r="F528" s="24">
        <f>D528*E528</f>
        <v/>
      </c>
      <c r="G528" s="22" t="n"/>
    </row>
    <row r="529">
      <c r="A529" s="22" t="inlineStr">
        <is>
          <t>0123</t>
        </is>
      </c>
      <c r="B529" s="11" t="inlineStr">
        <is>
          <t>Mason (brick layer) 1st class</t>
        </is>
      </c>
      <c r="C529" s="22" t="inlineStr">
        <is>
          <t>day</t>
        </is>
      </c>
      <c r="D529" s="23" t="n">
        <v>0.46</v>
      </c>
      <c r="E529" s="24" t="n">
        <v>738</v>
      </c>
      <c r="F529" s="24">
        <f>D529*E529</f>
        <v/>
      </c>
      <c r="G529" s="22" t="n"/>
    </row>
    <row r="530">
      <c r="A530" s="22" t="inlineStr">
        <is>
          <t>0124</t>
        </is>
      </c>
      <c r="B530" s="11" t="inlineStr">
        <is>
          <t>Mason (brick layer) 2nd class</t>
        </is>
      </c>
      <c r="C530" s="22" t="inlineStr">
        <is>
          <t>day</t>
        </is>
      </c>
      <c r="D530" s="23" t="n">
        <v>0.46</v>
      </c>
      <c r="E530" s="24" t="n">
        <v>679</v>
      </c>
      <c r="F530" s="24">
        <f>D530*E530</f>
        <v/>
      </c>
      <c r="G530" s="22" t="n"/>
    </row>
    <row r="531">
      <c r="A531" s="22" t="inlineStr">
        <is>
          <t>0115</t>
        </is>
      </c>
      <c r="B531" s="11" t="inlineStr">
        <is>
          <t>Coolie</t>
        </is>
      </c>
      <c r="C531" s="22" t="inlineStr">
        <is>
          <t>day</t>
        </is>
      </c>
      <c r="D531" s="23" t="n">
        <v>1.6</v>
      </c>
      <c r="E531" s="24" t="n">
        <v>558</v>
      </c>
      <c r="F531" s="24">
        <f>D531*E531</f>
        <v/>
      </c>
      <c r="G531" s="22" t="n"/>
    </row>
    <row r="532">
      <c r="A532" s="22" t="inlineStr">
        <is>
          <t>0101</t>
        </is>
      </c>
      <c r="B532" s="11" t="inlineStr">
        <is>
          <t>Bhisti</t>
        </is>
      </c>
      <c r="C532" s="22" t="inlineStr">
        <is>
          <t>day</t>
        </is>
      </c>
      <c r="D532" s="23" t="n">
        <v>0.2</v>
      </c>
      <c r="E532" s="24" t="n">
        <v>617</v>
      </c>
      <c r="F532" s="24">
        <f>D532*E532</f>
        <v/>
      </c>
      <c r="G532" s="22" t="n"/>
    </row>
    <row r="533">
      <c r="A533" s="22" t="inlineStr">
        <is>
          <t>0115</t>
        </is>
      </c>
      <c r="B533" s="11" t="inlineStr">
        <is>
          <t>Coolie</t>
        </is>
      </c>
      <c r="C533" s="22" t="inlineStr">
        <is>
          <t>day</t>
        </is>
      </c>
      <c r="D533" s="23" t="n">
        <v>1.13</v>
      </c>
      <c r="E533" s="24" t="n">
        <v>558</v>
      </c>
      <c r="F533" s="24">
        <f>D533*E533</f>
        <v/>
      </c>
      <c r="G533" s="22" t="n"/>
    </row>
    <row r="534">
      <c r="A534" s="22" t="inlineStr">
        <is>
          <t>9999</t>
        </is>
      </c>
      <c r="B534" s="11" t="inlineStr">
        <is>
          <t>Sundries</t>
        </is>
      </c>
      <c r="C534" s="22" t="inlineStr">
        <is>
          <t>L.S.</t>
        </is>
      </c>
      <c r="D534" s="23" t="n">
        <v>22.36</v>
      </c>
      <c r="E534" s="24" t="n">
        <v>2</v>
      </c>
      <c r="F534" s="24">
        <f>D534*E534</f>
        <v/>
      </c>
      <c r="G534" s="22" t="n"/>
    </row>
    <row r="535">
      <c r="A535" s="8" t="inlineStr">
        <is>
          <t>Calculated W - SUM of the Amount column above</t>
        </is>
      </c>
      <c r="B535" s="9" t="n"/>
      <c r="C535" s="9" t="n"/>
      <c r="D535" s="9" t="n"/>
      <c r="E535" s="9" t="n"/>
      <c r="F535" s="25">
        <f>SUM(F524:F534)</f>
        <v/>
      </c>
      <c r="G535" s="9" t="n"/>
    </row>
    <row r="536">
      <c r="A536" s="26" t="inlineStr">
        <is>
          <t>W as printed in the DAR</t>
        </is>
      </c>
      <c r="B536" s="22" t="n"/>
      <c r="C536" s="22" t="n"/>
      <c r="D536" s="22" t="n"/>
      <c r="E536" s="22" t="n"/>
      <c r="F536" s="27" t="n">
        <v>5853.78</v>
      </c>
      <c r="G536" s="22" t="n"/>
    </row>
    <row r="537">
      <c r="A537" s="26" t="inlineStr">
        <is>
          <t>Difference (calculated - printed)</t>
        </is>
      </c>
      <c r="B537" s="22" t="n"/>
      <c r="C537" s="22" t="n"/>
      <c r="D537" s="22" t="n"/>
      <c r="E537" s="22" t="n"/>
      <c r="F537" s="27">
        <f>F535-F536</f>
        <v/>
      </c>
      <c r="G537" s="22" t="n"/>
    </row>
    <row r="538">
      <c r="A538" s="29" t="inlineStr">
        <is>
          <t>SAY (Rs.) - final DAR rate as printed (fixed value, not computed)</t>
        </is>
      </c>
      <c r="B538" s="30" t="n"/>
      <c r="C538" s="30" t="n"/>
      <c r="D538" s="30" t="n"/>
      <c r="E538" s="30" t="n"/>
      <c r="F538" s="31" t="n">
        <v>7832</v>
      </c>
      <c r="G538" s="30" t="n"/>
    </row>
    <row r="540" ht="33" customHeight="1">
      <c r="A540" s="8" t="inlineStr">
        <is>
          <t>6.27</t>
        </is>
      </c>
      <c r="B540" s="17" t="inlineStr">
        <is>
          <t>Brick work with common burnt clay modular bricks of class designation 7.5 in exposed brick work including making horizontal and vertical grooves 10mm wide 12 mm deep complete in cement mortar 1:6 (1 cement : 6 coarse sand).</t>
        </is>
      </c>
      <c r="C540" s="9" t="n"/>
      <c r="D540" s="9" t="n"/>
      <c r="E540" s="9" t="n"/>
      <c r="F540" s="9" t="n"/>
      <c r="G540" s="9" t="n"/>
    </row>
    <row r="541" ht="18.5" customHeight="1">
      <c r="A541" s="18" t="inlineStr">
        <is>
          <t>6.27.1</t>
        </is>
      </c>
      <c r="B541" s="19" t="inlineStr">
        <is>
          <t>From ground level upto plinth level</t>
        </is>
      </c>
      <c r="C541" s="20" t="n"/>
      <c r="D541" s="20" t="n"/>
      <c r="E541" s="20" t="n"/>
      <c r="F541" s="20" t="n"/>
      <c r="G541" s="20" t="n"/>
    </row>
    <row r="542">
      <c r="A542" s="21" t="inlineStr">
        <is>
          <t>Details of cost for 1 cum   |   Source: CivilDAR_2019_Vol_1.pdf, page 304</t>
        </is>
      </c>
    </row>
    <row r="543">
      <c r="A543" s="5" t="inlineStr">
        <is>
          <t>Code</t>
        </is>
      </c>
      <c r="B543" s="5" t="inlineStr">
        <is>
          <t>Description</t>
        </is>
      </c>
      <c r="C543" s="5" t="inlineStr">
        <is>
          <t>Unit</t>
        </is>
      </c>
      <c r="D543" s="5" t="inlineStr">
        <is>
          <t>Quantity</t>
        </is>
      </c>
      <c r="E543" s="5" t="inlineStr">
        <is>
          <t>Rate (Rs.)</t>
        </is>
      </c>
      <c r="F543" s="5" t="inlineStr">
        <is>
          <t>Amount (Rs.)</t>
        </is>
      </c>
      <c r="G543" s="5" t="inlineStr">
        <is>
          <t>Note</t>
        </is>
      </c>
    </row>
    <row r="544">
      <c r="A544" s="22" t="inlineStr">
        <is>
          <t>7900</t>
        </is>
      </c>
      <c r="B544" s="11" t="inlineStr">
        <is>
          <t>Modular common burnt clay bricks of class designation 7.5</t>
        </is>
      </c>
      <c r="C544" s="22" t="inlineStr">
        <is>
          <t>1000 Nos</t>
        </is>
      </c>
      <c r="D544" s="23" t="n">
        <v>0.487</v>
      </c>
      <c r="E544" s="24" t="n">
        <v>4000</v>
      </c>
      <c r="F544" s="24">
        <f>D544*E544</f>
        <v/>
      </c>
      <c r="G544" s="22" t="n"/>
    </row>
    <row r="545">
      <c r="A545" s="22" t="inlineStr">
        <is>
          <t>2201</t>
        </is>
      </c>
      <c r="B545" s="11" t="inlineStr">
        <is>
          <t>Carriage of Bricks</t>
        </is>
      </c>
      <c r="C545" s="22" t="inlineStr">
        <is>
          <t>1000 Nos</t>
        </is>
      </c>
      <c r="D545" s="23" t="n">
        <v>0.487</v>
      </c>
      <c r="E545" s="24" t="n">
        <v>276.72</v>
      </c>
      <c r="F545" s="24">
        <f>D545*E545</f>
        <v/>
      </c>
      <c r="G545" s="22" t="n"/>
    </row>
    <row r="546">
      <c r="A546" s="7" t="inlineStr">
        <is>
          <t>3.11</t>
        </is>
      </c>
      <c r="B546" s="11" t="inlineStr">
        <is>
          <t>Rate as per item 3.11 - Cement mortar 1:6 (1 cement : 6 coarse sand)</t>
        </is>
      </c>
      <c r="C546" s="22" t="inlineStr">
        <is>
          <t>cum</t>
        </is>
      </c>
      <c r="D546" s="23" t="n">
        <v>0.22</v>
      </c>
      <c r="E546" s="24" t="n">
        <v>3356.15</v>
      </c>
      <c r="F546" s="24">
        <f>D546*E546</f>
        <v/>
      </c>
      <c r="G546" s="22" t="n"/>
    </row>
    <row r="547">
      <c r="A547" s="22" t="inlineStr">
        <is>
          <t>9999</t>
        </is>
      </c>
      <c r="B547" s="11" t="inlineStr">
        <is>
          <t>Sundries i/c steel / wooden strips for making grooves</t>
        </is>
      </c>
      <c r="C547" s="22" t="inlineStr">
        <is>
          <t>L.S.</t>
        </is>
      </c>
      <c r="D547" s="23" t="n">
        <v>16.38</v>
      </c>
      <c r="E547" s="24" t="n">
        <v>2</v>
      </c>
      <c r="F547" s="24">
        <f>D547*E547</f>
        <v/>
      </c>
      <c r="G547" s="22" t="n"/>
    </row>
    <row r="548">
      <c r="A548" s="22" t="inlineStr">
        <is>
          <t>0123</t>
        </is>
      </c>
      <c r="B548" s="11" t="inlineStr">
        <is>
          <t>Mason (brick layer) 1st class</t>
        </is>
      </c>
      <c r="C548" s="22" t="inlineStr">
        <is>
          <t>day</t>
        </is>
      </c>
      <c r="D548" s="23" t="n">
        <v>0.33</v>
      </c>
      <c r="E548" s="24" t="n">
        <v>738</v>
      </c>
      <c r="F548" s="24">
        <f>D548*E548</f>
        <v/>
      </c>
      <c r="G548" s="22" t="n"/>
    </row>
    <row r="549">
      <c r="A549" s="22" t="inlineStr">
        <is>
          <t>0124</t>
        </is>
      </c>
      <c r="B549" s="11" t="inlineStr">
        <is>
          <t>Mason (brick layer) 2nd class</t>
        </is>
      </c>
      <c r="C549" s="22" t="inlineStr">
        <is>
          <t>day</t>
        </is>
      </c>
      <c r="D549" s="23" t="n">
        <v>0.33</v>
      </c>
      <c r="E549" s="24" t="n">
        <v>679</v>
      </c>
      <c r="F549" s="24">
        <f>D549*E549</f>
        <v/>
      </c>
      <c r="G549" s="22" t="n"/>
    </row>
    <row r="550">
      <c r="A550" s="22" t="inlineStr">
        <is>
          <t>0115</t>
        </is>
      </c>
      <c r="B550" s="11" t="inlineStr">
        <is>
          <t>Coolie</t>
        </is>
      </c>
      <c r="C550" s="22" t="inlineStr">
        <is>
          <t>day</t>
        </is>
      </c>
      <c r="D550" s="23" t="n">
        <v>1</v>
      </c>
      <c r="E550" s="24" t="n">
        <v>558</v>
      </c>
      <c r="F550" s="24">
        <f>D550*E550</f>
        <v/>
      </c>
      <c r="G550" s="22" t="n"/>
    </row>
    <row r="551">
      <c r="A551" s="22" t="inlineStr">
        <is>
          <t>0101</t>
        </is>
      </c>
      <c r="B551" s="11" t="inlineStr">
        <is>
          <t>Bhisti</t>
        </is>
      </c>
      <c r="C551" s="22" t="inlineStr">
        <is>
          <t>day</t>
        </is>
      </c>
      <c r="D551" s="23" t="n">
        <v>0.18</v>
      </c>
      <c r="E551" s="24" t="n">
        <v>617</v>
      </c>
      <c r="F551" s="24">
        <f>D551*E551</f>
        <v/>
      </c>
      <c r="G551" s="22" t="n"/>
    </row>
    <row r="552">
      <c r="A552" s="8" t="inlineStr">
        <is>
          <t>Calculated W - SUM of the Amount column above</t>
        </is>
      </c>
      <c r="B552" s="9" t="n"/>
      <c r="C552" s="9" t="n"/>
      <c r="D552" s="9" t="n"/>
      <c r="E552" s="9" t="n"/>
      <c r="F552" s="25">
        <f>SUM(F544:F551)</f>
        <v/>
      </c>
      <c r="G552" s="9" t="n"/>
    </row>
    <row r="553">
      <c r="A553" s="26" t="inlineStr">
        <is>
          <t>W as printed in the DAR</t>
        </is>
      </c>
      <c r="B553" s="22" t="n"/>
      <c r="C553" s="22" t="n"/>
      <c r="D553" s="22" t="n"/>
      <c r="E553" s="22" t="n"/>
      <c r="F553" s="27" t="n">
        <v>3990.55</v>
      </c>
      <c r="G553" s="22" t="n"/>
    </row>
    <row r="554">
      <c r="A554" s="26" t="inlineStr">
        <is>
          <t>Difference (calculated - printed)</t>
        </is>
      </c>
      <c r="B554" s="22" t="n"/>
      <c r="C554" s="22" t="n"/>
      <c r="D554" s="22" t="n"/>
      <c r="E554" s="22" t="n"/>
      <c r="F554" s="27">
        <f>F552-F553</f>
        <v/>
      </c>
      <c r="G554" s="22" t="n"/>
    </row>
    <row r="555">
      <c r="A555" s="29" t="inlineStr">
        <is>
          <t>SAY (Rs.) - final DAR rate as printed (fixed value, not computed)</t>
        </is>
      </c>
      <c r="B555" s="30" t="n"/>
      <c r="C555" s="30" t="n"/>
      <c r="D555" s="30" t="n"/>
      <c r="E555" s="30" t="n"/>
      <c r="F555" s="31" t="n">
        <v>5339.1</v>
      </c>
      <c r="G555" s="30" t="n"/>
    </row>
    <row r="557" ht="33" customHeight="1">
      <c r="A557" s="8" t="inlineStr">
        <is>
          <t>6.27</t>
        </is>
      </c>
      <c r="B557" s="17" t="inlineStr">
        <is>
          <t>Brick work with common burnt clay modular bricks of class designation 7.5 in exposed brick work including making horizontal and vertical grooves 10mm wide 12 mm deep complete in cement mortar 1:6 (1 cement : 6 coarse sand).</t>
        </is>
      </c>
      <c r="C557" s="9" t="n"/>
      <c r="D557" s="9" t="n"/>
      <c r="E557" s="9" t="n"/>
      <c r="F557" s="9" t="n"/>
      <c r="G557" s="9" t="n"/>
    </row>
    <row r="558" ht="18.5" customHeight="1">
      <c r="A558" s="18" t="inlineStr">
        <is>
          <t>6.27.2</t>
        </is>
      </c>
      <c r="B558" s="19" t="inlineStr">
        <is>
          <t>Above plinth level upto floor V level</t>
        </is>
      </c>
      <c r="C558" s="20" t="n"/>
      <c r="D558" s="20" t="n"/>
      <c r="E558" s="20" t="n"/>
      <c r="F558" s="20" t="n"/>
      <c r="G558" s="20" t="n"/>
    </row>
    <row r="559">
      <c r="A559" s="21" t="inlineStr">
        <is>
          <t>Details of cost for 1 cum   |   Source: CivilDAR_2019_Vol_1.pdf, page 305</t>
        </is>
      </c>
    </row>
    <row r="560">
      <c r="A560" s="5" t="inlineStr">
        <is>
          <t>Code</t>
        </is>
      </c>
      <c r="B560" s="5" t="inlineStr">
        <is>
          <t>Description</t>
        </is>
      </c>
      <c r="C560" s="5" t="inlineStr">
        <is>
          <t>Unit</t>
        </is>
      </c>
      <c r="D560" s="5" t="inlineStr">
        <is>
          <t>Quantity</t>
        </is>
      </c>
      <c r="E560" s="5" t="inlineStr">
        <is>
          <t>Rate (Rs.)</t>
        </is>
      </c>
      <c r="F560" s="5" t="inlineStr">
        <is>
          <t>Amount (Rs.)</t>
        </is>
      </c>
      <c r="G560" s="5" t="inlineStr">
        <is>
          <t>Note</t>
        </is>
      </c>
    </row>
    <row r="561">
      <c r="A561" s="22" t="inlineStr">
        <is>
          <t>7900</t>
        </is>
      </c>
      <c r="B561" s="11" t="inlineStr">
        <is>
          <t>Modular common burnt clay bricks of class designation 7.5</t>
        </is>
      </c>
      <c r="C561" s="22" t="inlineStr">
        <is>
          <t>1000 Nos</t>
        </is>
      </c>
      <c r="D561" s="23" t="n">
        <v>0.487</v>
      </c>
      <c r="E561" s="24" t="n">
        <v>4000</v>
      </c>
      <c r="F561" s="24">
        <f>D561*E561</f>
        <v/>
      </c>
      <c r="G561" s="22" t="n"/>
    </row>
    <row r="562">
      <c r="A562" s="22" t="inlineStr">
        <is>
          <t>2201</t>
        </is>
      </c>
      <c r="B562" s="11" t="inlineStr">
        <is>
          <t>Carriage of Bricks</t>
        </is>
      </c>
      <c r="C562" s="22" t="inlineStr">
        <is>
          <t>1000 Nos</t>
        </is>
      </c>
      <c r="D562" s="23" t="n">
        <v>0.487</v>
      </c>
      <c r="E562" s="24" t="n">
        <v>276.72</v>
      </c>
      <c r="F562" s="24">
        <f>D562*E562</f>
        <v/>
      </c>
      <c r="G562" s="22" t="n"/>
    </row>
    <row r="563">
      <c r="A563" s="7" t="inlineStr">
        <is>
          <t>3.11</t>
        </is>
      </c>
      <c r="B563" s="11" t="inlineStr">
        <is>
          <t>Rate as per item 3.11 - Cement mortar 1:6 (1 cement : 6 coarse sand)</t>
        </is>
      </c>
      <c r="C563" s="22" t="inlineStr">
        <is>
          <t>cum</t>
        </is>
      </c>
      <c r="D563" s="23" t="n">
        <v>0.22</v>
      </c>
      <c r="E563" s="24" t="n">
        <v>3356.15</v>
      </c>
      <c r="F563" s="24">
        <f>D563*E563</f>
        <v/>
      </c>
      <c r="G563" s="22" t="n"/>
    </row>
    <row r="564">
      <c r="A564" s="22" t="inlineStr">
        <is>
          <t>9999</t>
        </is>
      </c>
      <c r="B564" s="11" t="inlineStr">
        <is>
          <t>Sundries i/c steel / wooden strips for making grooves</t>
        </is>
      </c>
      <c r="C564" s="22" t="inlineStr">
        <is>
          <t>L.S.</t>
        </is>
      </c>
      <c r="D564" s="23" t="n">
        <v>16.38</v>
      </c>
      <c r="E564" s="24" t="n">
        <v>2</v>
      </c>
      <c r="F564" s="24">
        <f>D564*E564</f>
        <v/>
      </c>
      <c r="G564" s="22" t="n"/>
    </row>
    <row r="565">
      <c r="A565" s="22" t="inlineStr">
        <is>
          <t>0123</t>
        </is>
      </c>
      <c r="B565" s="11" t="inlineStr">
        <is>
          <t>Mason (brick layer) 1st class</t>
        </is>
      </c>
      <c r="C565" s="22" t="inlineStr">
        <is>
          <t>day</t>
        </is>
      </c>
      <c r="D565" s="23" t="n">
        <v>0.44</v>
      </c>
      <c r="E565" s="24" t="n">
        <v>738</v>
      </c>
      <c r="F565" s="24">
        <f>D565*E565</f>
        <v/>
      </c>
      <c r="G565" s="22" t="n"/>
    </row>
    <row r="566">
      <c r="A566" s="22" t="inlineStr">
        <is>
          <t>0124</t>
        </is>
      </c>
      <c r="B566" s="11" t="inlineStr">
        <is>
          <t>Mason (brick layer) 2nd class</t>
        </is>
      </c>
      <c r="C566" s="22" t="inlineStr">
        <is>
          <t>day</t>
        </is>
      </c>
      <c r="D566" s="23" t="n">
        <v>0.44</v>
      </c>
      <c r="E566" s="24" t="n">
        <v>679</v>
      </c>
      <c r="F566" s="24">
        <f>D566*E566</f>
        <v/>
      </c>
      <c r="G566" s="22" t="n"/>
    </row>
    <row r="567">
      <c r="A567" s="22" t="inlineStr">
        <is>
          <t>0115</t>
        </is>
      </c>
      <c r="B567" s="11" t="inlineStr">
        <is>
          <t>Coolie</t>
        </is>
      </c>
      <c r="C567" s="22" t="inlineStr">
        <is>
          <t>day</t>
        </is>
      </c>
      <c r="D567" s="23" t="n">
        <v>1.43</v>
      </c>
      <c r="E567" s="24" t="n">
        <v>558</v>
      </c>
      <c r="F567" s="24">
        <f>D567*E567</f>
        <v/>
      </c>
      <c r="G567" s="22" t="n"/>
    </row>
    <row r="568">
      <c r="A568" s="22" t="inlineStr">
        <is>
          <t>0101</t>
        </is>
      </c>
      <c r="B568" s="11" t="inlineStr">
        <is>
          <t>Bhisti</t>
        </is>
      </c>
      <c r="C568" s="22" t="inlineStr">
        <is>
          <t>day</t>
        </is>
      </c>
      <c r="D568" s="23" t="n">
        <v>0.18</v>
      </c>
      <c r="E568" s="24" t="n">
        <v>617</v>
      </c>
      <c r="F568" s="24">
        <f>D568*E568</f>
        <v/>
      </c>
      <c r="G568" s="22" t="n"/>
    </row>
    <row r="569">
      <c r="A569" s="22" t="inlineStr">
        <is>
          <t>0115</t>
        </is>
      </c>
      <c r="B569" s="11" t="inlineStr">
        <is>
          <t>Coolie</t>
        </is>
      </c>
      <c r="C569" s="22" t="inlineStr">
        <is>
          <t>day</t>
        </is>
      </c>
      <c r="D569" s="23" t="n">
        <v>1.13</v>
      </c>
      <c r="E569" s="24" t="n">
        <v>558</v>
      </c>
      <c r="F569" s="24">
        <f>D569*E569</f>
        <v/>
      </c>
      <c r="G569" s="22" t="n"/>
    </row>
    <row r="570">
      <c r="A570" s="22" t="inlineStr">
        <is>
          <t>9999</t>
        </is>
      </c>
      <c r="B570" s="11" t="inlineStr">
        <is>
          <t>Sundries</t>
        </is>
      </c>
      <c r="C570" s="22" t="inlineStr">
        <is>
          <t>L.S.</t>
        </is>
      </c>
      <c r="D570" s="23" t="n">
        <v>22.36</v>
      </c>
      <c r="E570" s="24" t="n">
        <v>2</v>
      </c>
      <c r="F570" s="24">
        <f>D570*E570</f>
        <v/>
      </c>
      <c r="G570" s="22" t="n"/>
    </row>
    <row r="571">
      <c r="A571" s="8" t="inlineStr">
        <is>
          <t>Calculated W - SUM of the Amount column above</t>
        </is>
      </c>
      <c r="B571" s="9" t="n"/>
      <c r="C571" s="9" t="n"/>
      <c r="D571" s="9" t="n"/>
      <c r="E571" s="9" t="n"/>
      <c r="F571" s="25">
        <f>SUM(F561:F570)</f>
        <v/>
      </c>
      <c r="G571" s="9" t="n"/>
    </row>
    <row r="572">
      <c r="A572" s="26" t="inlineStr">
        <is>
          <t>W as printed in the DAR</t>
        </is>
      </c>
      <c r="B572" s="22" t="n"/>
      <c r="C572" s="22" t="n"/>
      <c r="D572" s="22" t="n"/>
      <c r="E572" s="22" t="n"/>
      <c r="F572" s="27" t="n">
        <v>5061.62</v>
      </c>
      <c r="G572" s="22" t="n"/>
    </row>
    <row r="573">
      <c r="A573" s="26" t="inlineStr">
        <is>
          <t>Difference (calculated - printed)</t>
        </is>
      </c>
      <c r="B573" s="22" t="n"/>
      <c r="C573" s="22" t="n"/>
      <c r="D573" s="22" t="n"/>
      <c r="E573" s="22" t="n"/>
      <c r="F573" s="27">
        <f>F571-F572</f>
        <v/>
      </c>
      <c r="G573" s="22" t="n"/>
    </row>
    <row r="574">
      <c r="A574" s="29" t="inlineStr">
        <is>
          <t>SAY (Rs.) - final DAR rate as printed (fixed value, not computed)</t>
        </is>
      </c>
      <c r="B574" s="30" t="n"/>
      <c r="C574" s="30" t="n"/>
      <c r="D574" s="30" t="n"/>
      <c r="E574" s="30" t="n"/>
      <c r="F574" s="31" t="n">
        <v>6772.15</v>
      </c>
      <c r="G574" s="30" t="n"/>
    </row>
    <row r="576" ht="33" customHeight="1">
      <c r="A576" s="8" t="inlineStr">
        <is>
          <t>6.28</t>
        </is>
      </c>
      <c r="B576" s="17" t="inlineStr">
        <is>
          <t>Brick work with common burnt clay machine moulded modular bricks of class designation 12.5 in exposed brick work including making horizontal and vertical grooves 10 mm wide 12 mm deep complete in cement mortar 1:6 (1 cement : 6 coarse sand).</t>
        </is>
      </c>
      <c r="C576" s="9" t="n"/>
      <c r="D576" s="9" t="n"/>
      <c r="E576" s="9" t="n"/>
      <c r="F576" s="9" t="n"/>
      <c r="G576" s="9" t="n"/>
    </row>
    <row r="577" ht="18.5" customHeight="1">
      <c r="A577" s="18" t="inlineStr">
        <is>
          <t>6.28.1</t>
        </is>
      </c>
      <c r="B577" s="19" t="inlineStr">
        <is>
          <t>From ground level upto plinth level</t>
        </is>
      </c>
      <c r="C577" s="20" t="n"/>
      <c r="D577" s="20" t="n"/>
      <c r="E577" s="20" t="n"/>
      <c r="F577" s="20" t="n"/>
      <c r="G577" s="20" t="n"/>
    </row>
    <row r="578">
      <c r="A578" s="21" t="inlineStr">
        <is>
          <t>Details of cost for 1 cum   |   Source: CivilDAR_2019_Vol_1.pdf, page 305</t>
        </is>
      </c>
    </row>
    <row r="579">
      <c r="A579" s="5" t="inlineStr">
        <is>
          <t>Code</t>
        </is>
      </c>
      <c r="B579" s="5" t="inlineStr">
        <is>
          <t>Description</t>
        </is>
      </c>
      <c r="C579" s="5" t="inlineStr">
        <is>
          <t>Unit</t>
        </is>
      </c>
      <c r="D579" s="5" t="inlineStr">
        <is>
          <t>Quantity</t>
        </is>
      </c>
      <c r="E579" s="5" t="inlineStr">
        <is>
          <t>Rate (Rs.)</t>
        </is>
      </c>
      <c r="F579" s="5" t="inlineStr">
        <is>
          <t>Amount (Rs.)</t>
        </is>
      </c>
      <c r="G579" s="5" t="inlineStr">
        <is>
          <t>Note</t>
        </is>
      </c>
    </row>
    <row r="580">
      <c r="A580" s="22" t="inlineStr">
        <is>
          <t>1986</t>
        </is>
      </c>
      <c r="B580" s="11" t="inlineStr">
        <is>
          <t>Common burnt clay modular bricks class designation 12.5</t>
        </is>
      </c>
      <c r="C580" s="22" t="inlineStr">
        <is>
          <t>1000 Nos</t>
        </is>
      </c>
      <c r="D580" s="23" t="n">
        <v>0.487</v>
      </c>
      <c r="E580" s="24" t="n">
        <v>5000</v>
      </c>
      <c r="F580" s="24">
        <f>D580*E580</f>
        <v/>
      </c>
      <c r="G580" s="22" t="n"/>
    </row>
    <row r="581">
      <c r="A581" s="22" t="inlineStr">
        <is>
          <t>2201</t>
        </is>
      </c>
      <c r="B581" s="11" t="inlineStr">
        <is>
          <t>Carriage of Bricks</t>
        </is>
      </c>
      <c r="C581" s="22" t="inlineStr">
        <is>
          <t>1000 Nos</t>
        </is>
      </c>
      <c r="D581" s="23" t="n">
        <v>0.487</v>
      </c>
      <c r="E581" s="24" t="n">
        <v>276.72</v>
      </c>
      <c r="F581" s="24">
        <f>D581*E581</f>
        <v/>
      </c>
      <c r="G581" s="22" t="n"/>
    </row>
    <row r="582">
      <c r="A582" s="7" t="inlineStr">
        <is>
          <t>3.11</t>
        </is>
      </c>
      <c r="B582" s="11" t="inlineStr">
        <is>
          <t>Rate as per item 3.11 - Cement mortar 1:6 (1 cement : 6 coarse sand)</t>
        </is>
      </c>
      <c r="C582" s="22" t="inlineStr">
        <is>
          <t>cum</t>
        </is>
      </c>
      <c r="D582" s="23" t="n">
        <v>0.22</v>
      </c>
      <c r="E582" s="24" t="n">
        <v>3356.15</v>
      </c>
      <c r="F582" s="24">
        <f>D582*E582</f>
        <v/>
      </c>
      <c r="G582" s="22" t="n"/>
    </row>
    <row r="583">
      <c r="A583" s="22" t="inlineStr">
        <is>
          <t>9999</t>
        </is>
      </c>
      <c r="B583" s="11" t="inlineStr">
        <is>
          <t>Sundries including steel/wooden strips for making grooves.</t>
        </is>
      </c>
      <c r="C583" s="22" t="inlineStr">
        <is>
          <t>L.S.</t>
        </is>
      </c>
      <c r="D583" s="23" t="n">
        <v>16.38</v>
      </c>
      <c r="E583" s="24" t="n">
        <v>2</v>
      </c>
      <c r="F583" s="24">
        <f>D583*E583</f>
        <v/>
      </c>
      <c r="G583" s="22" t="n"/>
    </row>
    <row r="584">
      <c r="A584" s="22" t="inlineStr">
        <is>
          <t>0123</t>
        </is>
      </c>
      <c r="B584" s="11" t="inlineStr">
        <is>
          <t>Mason (brick layer) 1st class</t>
        </is>
      </c>
      <c r="C584" s="22" t="inlineStr">
        <is>
          <t>day</t>
        </is>
      </c>
      <c r="D584" s="23" t="n">
        <v>0.33</v>
      </c>
      <c r="E584" s="24" t="n">
        <v>738</v>
      </c>
      <c r="F584" s="24">
        <f>D584*E584</f>
        <v/>
      </c>
      <c r="G584" s="22" t="n"/>
    </row>
    <row r="585">
      <c r="A585" s="22" t="inlineStr">
        <is>
          <t>0124</t>
        </is>
      </c>
      <c r="B585" s="11" t="inlineStr">
        <is>
          <t>Mason (brick layer) 2nd class</t>
        </is>
      </c>
      <c r="C585" s="22" t="inlineStr">
        <is>
          <t>day</t>
        </is>
      </c>
      <c r="D585" s="23" t="n">
        <v>0.33</v>
      </c>
      <c r="E585" s="24" t="n">
        <v>679</v>
      </c>
      <c r="F585" s="24">
        <f>D585*E585</f>
        <v/>
      </c>
      <c r="G585" s="22" t="n"/>
    </row>
    <row r="586">
      <c r="A586" s="22" t="inlineStr">
        <is>
          <t>0115</t>
        </is>
      </c>
      <c r="B586" s="11" t="inlineStr">
        <is>
          <t>Coolie</t>
        </is>
      </c>
      <c r="C586" s="22" t="inlineStr">
        <is>
          <t>day</t>
        </is>
      </c>
      <c r="D586" s="23" t="n">
        <v>1</v>
      </c>
      <c r="E586" s="24" t="n">
        <v>558</v>
      </c>
      <c r="F586" s="24">
        <f>D586*E586</f>
        <v/>
      </c>
      <c r="G586" s="22" t="n"/>
    </row>
    <row r="587">
      <c r="A587" s="22" t="inlineStr">
        <is>
          <t>0101</t>
        </is>
      </c>
      <c r="B587" s="11" t="inlineStr">
        <is>
          <t>Bhisti</t>
        </is>
      </c>
      <c r="C587" s="22" t="inlineStr">
        <is>
          <t>day</t>
        </is>
      </c>
      <c r="D587" s="23" t="n">
        <v>0.18</v>
      </c>
      <c r="E587" s="24" t="n">
        <v>617</v>
      </c>
      <c r="F587" s="24">
        <f>D587*E587</f>
        <v/>
      </c>
      <c r="G587" s="22" t="n"/>
    </row>
    <row r="588">
      <c r="A588" s="8" t="inlineStr">
        <is>
          <t>Calculated W - SUM of the Amount column above</t>
        </is>
      </c>
      <c r="B588" s="9" t="n"/>
      <c r="C588" s="9" t="n"/>
      <c r="D588" s="9" t="n"/>
      <c r="E588" s="9" t="n"/>
      <c r="F588" s="25">
        <f>SUM(F580:F587)</f>
        <v/>
      </c>
      <c r="G588" s="9" t="n"/>
    </row>
    <row r="589">
      <c r="A589" s="26" t="inlineStr">
        <is>
          <t>W as printed in the DAR</t>
        </is>
      </c>
      <c r="B589" s="22" t="n"/>
      <c r="C589" s="22" t="n"/>
      <c r="D589" s="22" t="n"/>
      <c r="E589" s="22" t="n"/>
      <c r="F589" s="27" t="n">
        <v>4477.55</v>
      </c>
      <c r="G589" s="22" t="n"/>
    </row>
    <row r="590">
      <c r="A590" s="26" t="inlineStr">
        <is>
          <t>Difference (calculated - printed)</t>
        </is>
      </c>
      <c r="B590" s="22" t="n"/>
      <c r="C590" s="22" t="n"/>
      <c r="D590" s="22" t="n"/>
      <c r="E590" s="22" t="n"/>
      <c r="F590" s="27">
        <f>F588-F589</f>
        <v/>
      </c>
      <c r="G590" s="22" t="n"/>
    </row>
    <row r="591">
      <c r="A591" s="29" t="inlineStr">
        <is>
          <t>SAY (Rs.) - final DAR rate as printed (fixed value, not computed)</t>
        </is>
      </c>
      <c r="B591" s="30" t="n"/>
      <c r="C591" s="30" t="n"/>
      <c r="D591" s="30" t="n"/>
      <c r="E591" s="30" t="n"/>
      <c r="F591" s="31" t="n">
        <v>5990.7</v>
      </c>
      <c r="G591" s="30" t="n"/>
    </row>
    <row r="593" ht="33" customHeight="1">
      <c r="A593" s="8" t="inlineStr">
        <is>
          <t>6.28</t>
        </is>
      </c>
      <c r="B593" s="17" t="inlineStr">
        <is>
          <t>Brick work with common burnt clay machine moulded modular bricks of class designation 12.5 in exposed brick work including making horizontal and vertical grooves 10 mm wide 12 mm deep complete in cement mortar 1:6 (1 cement : 6 coarse sand).</t>
        </is>
      </c>
      <c r="C593" s="9" t="n"/>
      <c r="D593" s="9" t="n"/>
      <c r="E593" s="9" t="n"/>
      <c r="F593" s="9" t="n"/>
      <c r="G593" s="9" t="n"/>
    </row>
    <row r="594" ht="18.5" customHeight="1">
      <c r="A594" s="18" t="inlineStr">
        <is>
          <t>6.28.2</t>
        </is>
      </c>
      <c r="B594" s="19" t="inlineStr">
        <is>
          <t>Above plinth level upto floor V level</t>
        </is>
      </c>
      <c r="C594" s="20" t="n"/>
      <c r="D594" s="20" t="n"/>
      <c r="E594" s="20" t="n"/>
      <c r="F594" s="20" t="n"/>
      <c r="G594" s="20" t="n"/>
    </row>
    <row r="595">
      <c r="A595" s="21" t="inlineStr">
        <is>
          <t>Details of cost for 1 cum   |   Source: CivilDAR_2019_Vol_1.pdf, page 306</t>
        </is>
      </c>
    </row>
    <row r="596">
      <c r="A596" s="5" t="inlineStr">
        <is>
          <t>Code</t>
        </is>
      </c>
      <c r="B596" s="5" t="inlineStr">
        <is>
          <t>Description</t>
        </is>
      </c>
      <c r="C596" s="5" t="inlineStr">
        <is>
          <t>Unit</t>
        </is>
      </c>
      <c r="D596" s="5" t="inlineStr">
        <is>
          <t>Quantity</t>
        </is>
      </c>
      <c r="E596" s="5" t="inlineStr">
        <is>
          <t>Rate (Rs.)</t>
        </is>
      </c>
      <c r="F596" s="5" t="inlineStr">
        <is>
          <t>Amount (Rs.)</t>
        </is>
      </c>
      <c r="G596" s="5" t="inlineStr">
        <is>
          <t>Note</t>
        </is>
      </c>
    </row>
    <row r="597">
      <c r="A597" s="22" t="inlineStr">
        <is>
          <t>1986</t>
        </is>
      </c>
      <c r="B597" s="11" t="inlineStr">
        <is>
          <t>Common burnt clay modular bricks class designation 12.5</t>
        </is>
      </c>
      <c r="C597" s="22" t="inlineStr">
        <is>
          <t>1000 Nos</t>
        </is>
      </c>
      <c r="D597" s="23" t="n">
        <v>0.487</v>
      </c>
      <c r="E597" s="24" t="n">
        <v>5000</v>
      </c>
      <c r="F597" s="24">
        <f>D597*E597</f>
        <v/>
      </c>
      <c r="G597" s="22" t="n"/>
    </row>
    <row r="598">
      <c r="A598" s="22" t="inlineStr">
        <is>
          <t>2201</t>
        </is>
      </c>
      <c r="B598" s="11" t="inlineStr">
        <is>
          <t>Carriage of Bricks</t>
        </is>
      </c>
      <c r="C598" s="22" t="inlineStr">
        <is>
          <t>1000 Nos</t>
        </is>
      </c>
      <c r="D598" s="23" t="n">
        <v>0.487</v>
      </c>
      <c r="E598" s="24" t="n">
        <v>276.72</v>
      </c>
      <c r="F598" s="24">
        <f>D598*E598</f>
        <v/>
      </c>
      <c r="G598" s="22" t="n"/>
    </row>
    <row r="599">
      <c r="A599" s="7" t="inlineStr">
        <is>
          <t>3.11</t>
        </is>
      </c>
      <c r="B599" s="11" t="inlineStr">
        <is>
          <t>Rate as per item 3.11 - Cement mortar 1:6 (1 cement : 6 coarse sand)</t>
        </is>
      </c>
      <c r="C599" s="22" t="inlineStr">
        <is>
          <t>cum</t>
        </is>
      </c>
      <c r="D599" s="23" t="n">
        <v>0.22</v>
      </c>
      <c r="E599" s="24" t="n">
        <v>3356.15</v>
      </c>
      <c r="F599" s="24">
        <f>D599*E599</f>
        <v/>
      </c>
      <c r="G599" s="22" t="n"/>
    </row>
    <row r="600">
      <c r="A600" s="22" t="inlineStr">
        <is>
          <t>9999</t>
        </is>
      </c>
      <c r="B600" s="11" t="inlineStr">
        <is>
          <t>Sundries including steel/wooden strips for making grooves.</t>
        </is>
      </c>
      <c r="C600" s="22" t="inlineStr">
        <is>
          <t>L.S.</t>
        </is>
      </c>
      <c r="D600" s="23" t="n">
        <v>16.38</v>
      </c>
      <c r="E600" s="24" t="n">
        <v>2</v>
      </c>
      <c r="F600" s="24">
        <f>D600*E600</f>
        <v/>
      </c>
      <c r="G600" s="22" t="n"/>
    </row>
    <row r="601">
      <c r="A601" s="22" t="inlineStr">
        <is>
          <t>0123</t>
        </is>
      </c>
      <c r="B601" s="11" t="inlineStr">
        <is>
          <t>Mason (brick layer) 1st class</t>
        </is>
      </c>
      <c r="C601" s="22" t="inlineStr">
        <is>
          <t>day</t>
        </is>
      </c>
      <c r="D601" s="23" t="n">
        <v>0.44</v>
      </c>
      <c r="E601" s="24" t="n">
        <v>738</v>
      </c>
      <c r="F601" s="24">
        <f>D601*E601</f>
        <v/>
      </c>
      <c r="G601" s="22" t="n"/>
    </row>
    <row r="602">
      <c r="A602" s="22" t="inlineStr">
        <is>
          <t>0124</t>
        </is>
      </c>
      <c r="B602" s="11" t="inlineStr">
        <is>
          <t>Mason (brick layer) 2nd class</t>
        </is>
      </c>
      <c r="C602" s="22" t="inlineStr">
        <is>
          <t>day</t>
        </is>
      </c>
      <c r="D602" s="23" t="n">
        <v>0.44</v>
      </c>
      <c r="E602" s="24" t="n">
        <v>679</v>
      </c>
      <c r="F602" s="24">
        <f>D602*E602</f>
        <v/>
      </c>
      <c r="G602" s="22" t="n"/>
    </row>
    <row r="603">
      <c r="A603" s="22" t="inlineStr">
        <is>
          <t>0115</t>
        </is>
      </c>
      <c r="B603" s="11" t="inlineStr">
        <is>
          <t>Coolie</t>
        </is>
      </c>
      <c r="C603" s="22" t="inlineStr">
        <is>
          <t>day</t>
        </is>
      </c>
      <c r="D603" s="23" t="n">
        <v>1.43</v>
      </c>
      <c r="E603" s="24" t="n">
        <v>558</v>
      </c>
      <c r="F603" s="24">
        <f>D603*E603</f>
        <v/>
      </c>
      <c r="G603" s="22" t="n"/>
    </row>
    <row r="604">
      <c r="A604" s="22" t="inlineStr">
        <is>
          <t>0101</t>
        </is>
      </c>
      <c r="B604" s="11" t="inlineStr">
        <is>
          <t>Bhisti</t>
        </is>
      </c>
      <c r="C604" s="22" t="inlineStr">
        <is>
          <t>day</t>
        </is>
      </c>
      <c r="D604" s="23" t="n">
        <v>0.18</v>
      </c>
      <c r="E604" s="24" t="n">
        <v>617</v>
      </c>
      <c r="F604" s="24">
        <f>D604*E604</f>
        <v/>
      </c>
      <c r="G604" s="22" t="n"/>
    </row>
    <row r="605">
      <c r="A605" s="22" t="inlineStr">
        <is>
          <t>0115</t>
        </is>
      </c>
      <c r="B605" s="11" t="inlineStr">
        <is>
          <t>Coolie</t>
        </is>
      </c>
      <c r="C605" s="22" t="inlineStr">
        <is>
          <t>day</t>
        </is>
      </c>
      <c r="D605" s="23" t="n">
        <v>1.13</v>
      </c>
      <c r="E605" s="24" t="n">
        <v>558</v>
      </c>
      <c r="F605" s="24">
        <f>D605*E605</f>
        <v/>
      </c>
      <c r="G605" s="22" t="n"/>
    </row>
    <row r="606">
      <c r="A606" s="22" t="inlineStr">
        <is>
          <t>9999</t>
        </is>
      </c>
      <c r="B606" s="11" t="inlineStr">
        <is>
          <t>Sundries</t>
        </is>
      </c>
      <c r="C606" s="22" t="inlineStr">
        <is>
          <t>L.S.</t>
        </is>
      </c>
      <c r="D606" s="23" t="n">
        <v>22.36</v>
      </c>
      <c r="E606" s="24" t="n">
        <v>2</v>
      </c>
      <c r="F606" s="24">
        <f>D606*E606</f>
        <v/>
      </c>
      <c r="G606" s="22" t="n"/>
    </row>
    <row r="607">
      <c r="A607" s="8" t="inlineStr">
        <is>
          <t>Calculated W - SUM of the Amount column above</t>
        </is>
      </c>
      <c r="B607" s="9" t="n"/>
      <c r="C607" s="9" t="n"/>
      <c r="D607" s="9" t="n"/>
      <c r="E607" s="9" t="n"/>
      <c r="F607" s="25">
        <f>SUM(F597:F606)</f>
        <v/>
      </c>
      <c r="G607" s="9" t="n"/>
    </row>
    <row r="608">
      <c r="A608" s="26" t="inlineStr">
        <is>
          <t>W as printed in the DAR</t>
        </is>
      </c>
      <c r="B608" s="22" t="n"/>
      <c r="C608" s="22" t="n"/>
      <c r="D608" s="22" t="n"/>
      <c r="E608" s="22" t="n"/>
      <c r="F608" s="27" t="n">
        <v>5548.62</v>
      </c>
      <c r="G608" s="22" t="n"/>
    </row>
    <row r="609">
      <c r="A609" s="26" t="inlineStr">
        <is>
          <t>Difference (calculated - printed)</t>
        </is>
      </c>
      <c r="B609" s="22" t="n"/>
      <c r="C609" s="22" t="n"/>
      <c r="D609" s="22" t="n"/>
      <c r="E609" s="22" t="n"/>
      <c r="F609" s="27">
        <f>F607-F608</f>
        <v/>
      </c>
      <c r="G609" s="22" t="n"/>
    </row>
    <row r="610">
      <c r="A610" s="29" t="inlineStr">
        <is>
          <t>SAY (Rs.) - final DAR rate as printed (fixed value, not computed)</t>
        </is>
      </c>
      <c r="B610" s="30" t="n"/>
      <c r="C610" s="30" t="n"/>
      <c r="D610" s="30" t="n"/>
      <c r="E610" s="30" t="n"/>
      <c r="F610" s="31" t="n">
        <v>7423.7</v>
      </c>
      <c r="G610" s="30" t="n"/>
    </row>
    <row r="612" ht="47.5" customHeight="1">
      <c r="A612" s="8" t="inlineStr">
        <is>
          <t>6.29</t>
        </is>
      </c>
      <c r="B612" s="17" t="inlineStr">
        <is>
          <t>Brick work with common burnt clay machine moulded F.P.S. (non modular) bricks of class designation 12.5 in exposed brick work including making horizontal and vertical grooves 10 mm wide 12 mm deep complete in cement mortar 1:6 (1 cement : 6 coarse sand).</t>
        </is>
      </c>
      <c r="C612" s="9" t="n"/>
      <c r="D612" s="9" t="n"/>
      <c r="E612" s="9" t="n"/>
      <c r="F612" s="9" t="n"/>
      <c r="G612" s="9" t="n"/>
    </row>
    <row r="613" ht="18.5" customHeight="1">
      <c r="A613" s="18" t="inlineStr">
        <is>
          <t>6.29.1</t>
        </is>
      </c>
      <c r="B613" s="19" t="inlineStr">
        <is>
          <t>From ground level upto plinth level</t>
        </is>
      </c>
      <c r="C613" s="20" t="n"/>
      <c r="D613" s="20" t="n"/>
      <c r="E613" s="20" t="n"/>
      <c r="F613" s="20" t="n"/>
      <c r="G613" s="20" t="n"/>
    </row>
    <row r="614">
      <c r="A614" s="21" t="inlineStr">
        <is>
          <t>Details of cost for 1 cum   |   Source: CivilDAR_2019_Vol_1.pdf, page 307</t>
        </is>
      </c>
    </row>
    <row r="615">
      <c r="A615" s="5" t="inlineStr">
        <is>
          <t>Code</t>
        </is>
      </c>
      <c r="B615" s="5" t="inlineStr">
        <is>
          <t>Description</t>
        </is>
      </c>
      <c r="C615" s="5" t="inlineStr">
        <is>
          <t>Unit</t>
        </is>
      </c>
      <c r="D615" s="5" t="inlineStr">
        <is>
          <t>Quantity</t>
        </is>
      </c>
      <c r="E615" s="5" t="inlineStr">
        <is>
          <t>Rate (Rs.)</t>
        </is>
      </c>
      <c r="F615" s="5" t="inlineStr">
        <is>
          <t>Amount (Rs.)</t>
        </is>
      </c>
      <c r="G615" s="5" t="inlineStr">
        <is>
          <t>Note</t>
        </is>
      </c>
    </row>
    <row r="616">
      <c r="A616" s="22" t="inlineStr">
        <is>
          <t>7903</t>
        </is>
      </c>
      <c r="B616" s="11" t="inlineStr">
        <is>
          <t>Machine moulded common burnt clay FPS (non modular) bricks of class designation 12.5</t>
        </is>
      </c>
      <c r="C616" s="22" t="inlineStr">
        <is>
          <t>1000 Nos</t>
        </is>
      </c>
      <c r="D616" s="23" t="n">
        <v>0.494</v>
      </c>
      <c r="E616" s="24" t="n">
        <v>5000</v>
      </c>
      <c r="F616" s="24">
        <f>D616*E616</f>
        <v/>
      </c>
      <c r="G616" s="22" t="n"/>
    </row>
    <row r="617">
      <c r="A617" s="22" t="inlineStr">
        <is>
          <t>2201</t>
        </is>
      </c>
      <c r="B617" s="11" t="inlineStr">
        <is>
          <t>Carriage of Bricks</t>
        </is>
      </c>
      <c r="C617" s="22" t="inlineStr">
        <is>
          <t>1000 Nos</t>
        </is>
      </c>
      <c r="D617" s="23" t="n">
        <v>0.494</v>
      </c>
      <c r="E617" s="24" t="n">
        <v>276.72</v>
      </c>
      <c r="F617" s="24">
        <f>D617*E617</f>
        <v/>
      </c>
      <c r="G617" s="22" t="n"/>
    </row>
    <row r="618">
      <c r="A618" s="7" t="inlineStr">
        <is>
          <t>3.11</t>
        </is>
      </c>
      <c r="B618" s="11" t="inlineStr">
        <is>
          <t>Rate as per item 3.11 - Cement mortar 1:6 (1 cement : 6 coarse sand)</t>
        </is>
      </c>
      <c r="C618" s="22" t="inlineStr">
        <is>
          <t>cum</t>
        </is>
      </c>
      <c r="D618" s="23" t="n">
        <v>0.25</v>
      </c>
      <c r="E618" s="24" t="n">
        <v>3356.15</v>
      </c>
      <c r="F618" s="24">
        <f>D618*E618</f>
        <v/>
      </c>
      <c r="G618" s="22" t="n"/>
    </row>
    <row r="619">
      <c r="A619" s="22" t="inlineStr">
        <is>
          <t>9999</t>
        </is>
      </c>
      <c r="B619" s="11" t="inlineStr">
        <is>
          <t>Sundries i/c steel / wooden strips for making grooves</t>
        </is>
      </c>
      <c r="C619" s="22" t="inlineStr">
        <is>
          <t>L.S.</t>
        </is>
      </c>
      <c r="D619" s="23" t="n">
        <v>16.38</v>
      </c>
      <c r="E619" s="24" t="n">
        <v>2</v>
      </c>
      <c r="F619" s="24">
        <f>D619*E619</f>
        <v/>
      </c>
      <c r="G619" s="22" t="n"/>
    </row>
    <row r="620">
      <c r="A620" s="22" t="inlineStr">
        <is>
          <t>0123</t>
        </is>
      </c>
      <c r="B620" s="11" t="inlineStr">
        <is>
          <t>Mason (brick layer) 1st class</t>
        </is>
      </c>
      <c r="C620" s="22" t="inlineStr">
        <is>
          <t>day</t>
        </is>
      </c>
      <c r="D620" s="23" t="n">
        <v>0.36</v>
      </c>
      <c r="E620" s="24" t="n">
        <v>738</v>
      </c>
      <c r="F620" s="24">
        <f>D620*E620</f>
        <v/>
      </c>
      <c r="G620" s="22" t="n"/>
    </row>
    <row r="621">
      <c r="A621" s="22" t="inlineStr">
        <is>
          <t>0124</t>
        </is>
      </c>
      <c r="B621" s="11" t="inlineStr">
        <is>
          <t>Mason (brick layer) 2nd class</t>
        </is>
      </c>
      <c r="C621" s="22" t="inlineStr">
        <is>
          <t>day</t>
        </is>
      </c>
      <c r="D621" s="23" t="n">
        <v>0.36</v>
      </c>
      <c r="E621" s="24" t="n">
        <v>679</v>
      </c>
      <c r="F621" s="24">
        <f>D621*E621</f>
        <v/>
      </c>
      <c r="G621" s="22" t="n"/>
    </row>
    <row r="622">
      <c r="A622" s="22" t="inlineStr">
        <is>
          <t>0115</t>
        </is>
      </c>
      <c r="B622" s="11" t="inlineStr">
        <is>
          <t>Coolie</t>
        </is>
      </c>
      <c r="C622" s="22" t="inlineStr">
        <is>
          <t>day</t>
        </is>
      </c>
      <c r="D622" s="23" t="n">
        <v>1.37</v>
      </c>
      <c r="E622" s="24" t="n">
        <v>558</v>
      </c>
      <c r="F622" s="24">
        <f>D622*E622</f>
        <v/>
      </c>
      <c r="G622" s="22" t="n"/>
    </row>
    <row r="623">
      <c r="A623" s="22" t="inlineStr">
        <is>
          <t>0101</t>
        </is>
      </c>
      <c r="B623" s="11" t="inlineStr">
        <is>
          <t>Bhisti</t>
        </is>
      </c>
      <c r="C623" s="22" t="inlineStr">
        <is>
          <t>day</t>
        </is>
      </c>
      <c r="D623" s="23" t="n">
        <v>0.2</v>
      </c>
      <c r="E623" s="24" t="n">
        <v>617</v>
      </c>
      <c r="F623" s="24">
        <f>D623*E623</f>
        <v/>
      </c>
      <c r="G623" s="22" t="n"/>
    </row>
    <row r="624">
      <c r="A624" s="8" t="inlineStr">
        <is>
          <t>Calculated W - SUM of the Amount column above</t>
        </is>
      </c>
      <c r="B624" s="9" t="n"/>
      <c r="C624" s="9" t="n"/>
      <c r="D624" s="9" t="n"/>
      <c r="E624" s="9" t="n"/>
      <c r="F624" s="25">
        <f>SUM(F616:F623)</f>
        <v/>
      </c>
      <c r="G624" s="9" t="n"/>
    </row>
    <row r="625">
      <c r="A625" s="26" t="inlineStr">
        <is>
          <t>W as printed in the DAR</t>
        </is>
      </c>
      <c r="B625" s="22" t="n"/>
      <c r="C625" s="22" t="n"/>
      <c r="D625" s="22" t="n"/>
      <c r="E625" s="22" t="n"/>
      <c r="F625" s="27" t="n">
        <v>4876.48</v>
      </c>
      <c r="G625" s="22" t="n"/>
    </row>
    <row r="626">
      <c r="A626" s="26" t="inlineStr">
        <is>
          <t>Difference (calculated - printed)</t>
        </is>
      </c>
      <c r="B626" s="22" t="n"/>
      <c r="C626" s="22" t="n"/>
      <c r="D626" s="22" t="n"/>
      <c r="E626" s="22" t="n"/>
      <c r="F626" s="27">
        <f>F624-F625</f>
        <v/>
      </c>
      <c r="G626" s="22" t="n"/>
    </row>
    <row r="627">
      <c r="A627" s="29" t="inlineStr">
        <is>
          <t>SAY (Rs.) - final DAR rate as printed (fixed value, not computed)</t>
        </is>
      </c>
      <c r="B627" s="30" t="n"/>
      <c r="C627" s="30" t="n"/>
      <c r="D627" s="30" t="n"/>
      <c r="E627" s="30" t="n"/>
      <c r="F627" s="31" t="n">
        <v>6524.4</v>
      </c>
      <c r="G627" s="30" t="n"/>
    </row>
    <row r="629" ht="47.5" customHeight="1">
      <c r="A629" s="8" t="inlineStr">
        <is>
          <t>6.29</t>
        </is>
      </c>
      <c r="B629" s="17" t="inlineStr">
        <is>
          <t>Brick work with common burnt clay machine moulded F.P.S. (non modular) bricks of class designation 12.5 in exposed brick work including making horizontal and vertical grooves 10 mm wide 12 mm deep complete in cement mortar 1:6 (1 cement : 6 coarse sand).</t>
        </is>
      </c>
      <c r="C629" s="9" t="n"/>
      <c r="D629" s="9" t="n"/>
      <c r="E629" s="9" t="n"/>
      <c r="F629" s="9" t="n"/>
      <c r="G629" s="9" t="n"/>
    </row>
    <row r="630" ht="18.5" customHeight="1">
      <c r="A630" s="18" t="inlineStr">
        <is>
          <t>6.29.2</t>
        </is>
      </c>
      <c r="B630" s="19" t="inlineStr">
        <is>
          <t>Above plinth level upto floor V level</t>
        </is>
      </c>
      <c r="C630" s="20" t="n"/>
      <c r="D630" s="20" t="n"/>
      <c r="E630" s="20" t="n"/>
      <c r="F630" s="20" t="n"/>
      <c r="G630" s="20" t="n"/>
    </row>
    <row r="631">
      <c r="A631" s="21" t="inlineStr">
        <is>
          <t>Details of cost for 1 cum   |   Source: CivilDAR_2019_Vol_1.pdf, page 307</t>
        </is>
      </c>
    </row>
    <row r="632">
      <c r="A632" s="5" t="inlineStr">
        <is>
          <t>Code</t>
        </is>
      </c>
      <c r="B632" s="5" t="inlineStr">
        <is>
          <t>Description</t>
        </is>
      </c>
      <c r="C632" s="5" t="inlineStr">
        <is>
          <t>Unit</t>
        </is>
      </c>
      <c r="D632" s="5" t="inlineStr">
        <is>
          <t>Quantity</t>
        </is>
      </c>
      <c r="E632" s="5" t="inlineStr">
        <is>
          <t>Rate (Rs.)</t>
        </is>
      </c>
      <c r="F632" s="5" t="inlineStr">
        <is>
          <t>Amount (Rs.)</t>
        </is>
      </c>
      <c r="G632" s="5" t="inlineStr">
        <is>
          <t>Note</t>
        </is>
      </c>
    </row>
    <row r="633">
      <c r="A633" s="22" t="inlineStr">
        <is>
          <t>7903</t>
        </is>
      </c>
      <c r="B633" s="11" t="inlineStr">
        <is>
          <t>Machine moulded common burnt clay FPS (non modular) bricks of class designation 12.5</t>
        </is>
      </c>
      <c r="C633" s="22" t="inlineStr">
        <is>
          <t>1000 Nos</t>
        </is>
      </c>
      <c r="D633" s="23" t="n">
        <v>0.494</v>
      </c>
      <c r="E633" s="24" t="n">
        <v>5000</v>
      </c>
      <c r="F633" s="24">
        <f>D633*E633</f>
        <v/>
      </c>
      <c r="G633" s="22" t="n"/>
    </row>
    <row r="634">
      <c r="A634" s="22" t="inlineStr">
        <is>
          <t>2201</t>
        </is>
      </c>
      <c r="B634" s="11" t="inlineStr">
        <is>
          <t>Carriage of Bricks</t>
        </is>
      </c>
      <c r="C634" s="22" t="inlineStr">
        <is>
          <t>1000 Nos</t>
        </is>
      </c>
      <c r="D634" s="23" t="n">
        <v>0.494</v>
      </c>
      <c r="E634" s="24" t="n">
        <v>276.72</v>
      </c>
      <c r="F634" s="24">
        <f>D634*E634</f>
        <v/>
      </c>
      <c r="G634" s="22" t="n"/>
    </row>
    <row r="635">
      <c r="A635" s="7" t="inlineStr">
        <is>
          <t>3.11</t>
        </is>
      </c>
      <c r="B635" s="11" t="inlineStr">
        <is>
          <t>Rate as per item 3.11 - Cement mortar 1:6 (1 cement : 6 coarse sand)</t>
        </is>
      </c>
      <c r="C635" s="22" t="inlineStr">
        <is>
          <t>cum</t>
        </is>
      </c>
      <c r="D635" s="23" t="n">
        <v>0.25</v>
      </c>
      <c r="E635" s="24" t="n">
        <v>3356.15</v>
      </c>
      <c r="F635" s="24">
        <f>D635*E635</f>
        <v/>
      </c>
      <c r="G635" s="22" t="n"/>
    </row>
    <row r="636">
      <c r="A636" s="22" t="inlineStr">
        <is>
          <t>9999</t>
        </is>
      </c>
      <c r="B636" s="11" t="inlineStr">
        <is>
          <t>Sundries i/c steel / wooden strips for making grooves</t>
        </is>
      </c>
      <c r="C636" s="22" t="inlineStr">
        <is>
          <t>L.S.</t>
        </is>
      </c>
      <c r="D636" s="23" t="n">
        <v>16.38</v>
      </c>
      <c r="E636" s="24" t="n">
        <v>2</v>
      </c>
      <c r="F636" s="24">
        <f>D636*E636</f>
        <v/>
      </c>
      <c r="G636" s="22" t="n"/>
    </row>
    <row r="637">
      <c r="A637" s="22" t="inlineStr">
        <is>
          <t>0123</t>
        </is>
      </c>
      <c r="B637" s="11" t="inlineStr">
        <is>
          <t>Mason (brick layer) 1st class</t>
        </is>
      </c>
      <c r="C637" s="22" t="inlineStr">
        <is>
          <t>day</t>
        </is>
      </c>
      <c r="D637" s="23" t="n">
        <v>0.44</v>
      </c>
      <c r="E637" s="24" t="n">
        <v>738</v>
      </c>
      <c r="F637" s="24">
        <f>D637*E637</f>
        <v/>
      </c>
      <c r="G637" s="22" t="n"/>
    </row>
    <row r="638">
      <c r="A638" s="22" t="inlineStr">
        <is>
          <t>0124</t>
        </is>
      </c>
      <c r="B638" s="11" t="inlineStr">
        <is>
          <t>Mason (brick layer) 2nd class</t>
        </is>
      </c>
      <c r="C638" s="22" t="inlineStr">
        <is>
          <t>day</t>
        </is>
      </c>
      <c r="D638" s="23" t="n">
        <v>0.44</v>
      </c>
      <c r="E638" s="24" t="n">
        <v>679</v>
      </c>
      <c r="F638" s="24">
        <f>D638*E638</f>
        <v/>
      </c>
      <c r="G638" s="22" t="n"/>
    </row>
    <row r="639">
      <c r="A639" s="22" t="inlineStr">
        <is>
          <t>0115</t>
        </is>
      </c>
      <c r="B639" s="11" t="inlineStr">
        <is>
          <t>Coolie</t>
        </is>
      </c>
      <c r="C639" s="22" t="inlineStr">
        <is>
          <t>day</t>
        </is>
      </c>
      <c r="D639" s="23" t="n">
        <v>1.8</v>
      </c>
      <c r="E639" s="24" t="n">
        <v>558</v>
      </c>
      <c r="F639" s="24">
        <f>D639*E639</f>
        <v/>
      </c>
      <c r="G639" s="22" t="n"/>
    </row>
    <row r="640">
      <c r="A640" s="22" t="inlineStr">
        <is>
          <t>0101</t>
        </is>
      </c>
      <c r="B640" s="11" t="inlineStr">
        <is>
          <t>Bhisti</t>
        </is>
      </c>
      <c r="C640" s="22" t="inlineStr">
        <is>
          <t>day</t>
        </is>
      </c>
      <c r="D640" s="23" t="n">
        <v>0.2</v>
      </c>
      <c r="E640" s="24" t="n">
        <v>617</v>
      </c>
      <c r="F640" s="24">
        <f>D640*E640</f>
        <v/>
      </c>
      <c r="G640" s="22" t="n"/>
    </row>
    <row r="641">
      <c r="A641" s="22" t="inlineStr">
        <is>
          <t>0115</t>
        </is>
      </c>
      <c r="B641" s="11" t="inlineStr">
        <is>
          <t>Coolie</t>
        </is>
      </c>
      <c r="C641" s="22" t="inlineStr">
        <is>
          <t>day</t>
        </is>
      </c>
      <c r="D641" s="23" t="n">
        <v>1.13</v>
      </c>
      <c r="E641" s="24" t="n">
        <v>558</v>
      </c>
      <c r="F641" s="24">
        <f>D641*E641</f>
        <v/>
      </c>
      <c r="G641" s="22" t="n"/>
    </row>
    <row r="642">
      <c r="A642" s="22" t="inlineStr">
        <is>
          <t>9999</t>
        </is>
      </c>
      <c r="B642" s="11" t="inlineStr">
        <is>
          <t>Sundries</t>
        </is>
      </c>
      <c r="C642" s="22" t="inlineStr">
        <is>
          <t>L.S.</t>
        </is>
      </c>
      <c r="D642" s="23" t="n">
        <v>22.36</v>
      </c>
      <c r="E642" s="24" t="n">
        <v>2</v>
      </c>
      <c r="F642" s="24">
        <f>D642*E642</f>
        <v/>
      </c>
      <c r="G642" s="22" t="n"/>
    </row>
    <row r="643">
      <c r="A643" s="8" t="inlineStr">
        <is>
          <t>Calculated W - SUM of the Amount column above</t>
        </is>
      </c>
      <c r="B643" s="9" t="n"/>
      <c r="C643" s="9" t="n"/>
      <c r="D643" s="9" t="n"/>
      <c r="E643" s="9" t="n"/>
      <c r="F643" s="25">
        <f>SUM(F633:F642)</f>
        <v/>
      </c>
      <c r="G643" s="9" t="n"/>
    </row>
    <row r="644">
      <c r="A644" s="26" t="inlineStr">
        <is>
          <t>W as printed in the DAR</t>
        </is>
      </c>
      <c r="B644" s="22" t="n"/>
      <c r="C644" s="22" t="n"/>
      <c r="D644" s="22" t="n"/>
      <c r="E644" s="22" t="n"/>
      <c r="F644" s="27" t="n">
        <v>5905.04</v>
      </c>
      <c r="G644" s="22" t="n"/>
    </row>
    <row r="645">
      <c r="A645" s="26" t="inlineStr">
        <is>
          <t>Difference (calculated - printed)</t>
        </is>
      </c>
      <c r="B645" s="22" t="n"/>
      <c r="C645" s="22" t="n"/>
      <c r="D645" s="22" t="n"/>
      <c r="E645" s="22" t="n"/>
      <c r="F645" s="27">
        <f>F643-F644</f>
        <v/>
      </c>
      <c r="G645" s="22" t="n"/>
    </row>
    <row r="646">
      <c r="A646" s="29" t="inlineStr">
        <is>
          <t>SAY (Rs.) - final DAR rate as printed (fixed value, not computed)</t>
        </is>
      </c>
      <c r="B646" s="30" t="n"/>
      <c r="C646" s="30" t="n"/>
      <c r="D646" s="30" t="n"/>
      <c r="E646" s="30" t="n"/>
      <c r="F646" s="31" t="n">
        <v>7900.55</v>
      </c>
      <c r="G646" s="30" t="n"/>
    </row>
    <row r="648" ht="47.5" customHeight="1">
      <c r="A648" s="8" t="inlineStr">
        <is>
          <t>6.30</t>
        </is>
      </c>
      <c r="B648" s="17" t="inlineStr">
        <is>
          <t>Brick work with common burnt clay machine moulded perforated F.P.S. (non modular) bricks of class designation 12.5 conforming IS : 2222 in exposed brick work including making horizontal and vertical grooves 10mm wide 12 mm deep complete in cement mortar 1:6 (1 cement : 6 coarse sand).</t>
        </is>
      </c>
      <c r="C648" s="9" t="n"/>
      <c r="D648" s="9" t="n"/>
      <c r="E648" s="9" t="n"/>
      <c r="F648" s="9" t="n"/>
      <c r="G648" s="9" t="n"/>
    </row>
    <row r="649" ht="18.5" customHeight="1">
      <c r="A649" s="18" t="inlineStr">
        <is>
          <t>6.30.1</t>
        </is>
      </c>
      <c r="B649" s="19" t="inlineStr">
        <is>
          <t>From ground level upto plinth level</t>
        </is>
      </c>
      <c r="C649" s="20" t="n"/>
      <c r="D649" s="20" t="n"/>
      <c r="E649" s="20" t="n"/>
      <c r="F649" s="20" t="n"/>
      <c r="G649" s="20" t="n"/>
    </row>
    <row r="650">
      <c r="A650" s="21" t="inlineStr">
        <is>
          <t>Details of cost for 1 cum   |   Source: CivilDAR_2019_Vol_1.pdf, page 308</t>
        </is>
      </c>
    </row>
    <row r="651">
      <c r="A651" s="5" t="inlineStr">
        <is>
          <t>Code</t>
        </is>
      </c>
      <c r="B651" s="5" t="inlineStr">
        <is>
          <t>Description</t>
        </is>
      </c>
      <c r="C651" s="5" t="inlineStr">
        <is>
          <t>Unit</t>
        </is>
      </c>
      <c r="D651" s="5" t="inlineStr">
        <is>
          <t>Quantity</t>
        </is>
      </c>
      <c r="E651" s="5" t="inlineStr">
        <is>
          <t>Rate (Rs.)</t>
        </is>
      </c>
      <c r="F651" s="5" t="inlineStr">
        <is>
          <t>Amount (Rs.)</t>
        </is>
      </c>
      <c r="G651" s="5" t="inlineStr">
        <is>
          <t>Note</t>
        </is>
      </c>
    </row>
    <row r="652">
      <c r="A652" s="22" t="inlineStr">
        <is>
          <t>7901</t>
        </is>
      </c>
      <c r="B652" s="11" t="inlineStr">
        <is>
          <t>Machine moulded perforated common burnt clay FPS (non modular) bricks of class designation 12.5</t>
        </is>
      </c>
      <c r="C652" s="22" t="inlineStr">
        <is>
          <t>1000 Nos</t>
        </is>
      </c>
      <c r="D652" s="23" t="n">
        <v>0.494</v>
      </c>
      <c r="E652" s="24" t="n">
        <v>4700</v>
      </c>
      <c r="F652" s="24">
        <f>D652*E652</f>
        <v/>
      </c>
      <c r="G652" s="22" t="n"/>
    </row>
    <row r="653">
      <c r="A653" s="22" t="inlineStr">
        <is>
          <t>2201</t>
        </is>
      </c>
      <c r="B653" s="11" t="inlineStr">
        <is>
          <t>Carriage of Bricks</t>
        </is>
      </c>
      <c r="C653" s="22" t="inlineStr">
        <is>
          <t>1000 Nos</t>
        </is>
      </c>
      <c r="D653" s="23" t="n">
        <v>0.494</v>
      </c>
      <c r="E653" s="24" t="n">
        <v>276.72</v>
      </c>
      <c r="F653" s="24">
        <f>D653*E653</f>
        <v/>
      </c>
      <c r="G653" s="22" t="n"/>
    </row>
    <row r="654">
      <c r="A654" s="7" t="inlineStr">
        <is>
          <t>3.11</t>
        </is>
      </c>
      <c r="B654" s="11" t="inlineStr">
        <is>
          <t>Rate as per item 3.11 - Cement mortar 1:6 (1 cement : 6 coarse sand)</t>
        </is>
      </c>
      <c r="C654" s="22" t="inlineStr">
        <is>
          <t>cum</t>
        </is>
      </c>
      <c r="D654" s="23" t="n">
        <v>0.25</v>
      </c>
      <c r="E654" s="24" t="n">
        <v>3356.15</v>
      </c>
      <c r="F654" s="24">
        <f>D654*E654</f>
        <v/>
      </c>
      <c r="G654" s="22" t="n"/>
    </row>
    <row r="655">
      <c r="A655" s="22" t="inlineStr">
        <is>
          <t>9999</t>
        </is>
      </c>
      <c r="B655" s="11" t="inlineStr">
        <is>
          <t>Sundries i/c steel / wooden strips for making grooves</t>
        </is>
      </c>
      <c r="C655" s="22" t="inlineStr">
        <is>
          <t>L.S.</t>
        </is>
      </c>
      <c r="D655" s="23" t="n">
        <v>16.38</v>
      </c>
      <c r="E655" s="24" t="n">
        <v>2</v>
      </c>
      <c r="F655" s="24">
        <f>D655*E655</f>
        <v/>
      </c>
      <c r="G655" s="22" t="n"/>
    </row>
    <row r="656">
      <c r="A656" s="22" t="inlineStr">
        <is>
          <t>0123</t>
        </is>
      </c>
      <c r="B656" s="11" t="inlineStr">
        <is>
          <t>Mason (brick layer) 1st class</t>
        </is>
      </c>
      <c r="C656" s="22" t="inlineStr">
        <is>
          <t>day</t>
        </is>
      </c>
      <c r="D656" s="23" t="n">
        <v>0.36</v>
      </c>
      <c r="E656" s="24" t="n">
        <v>738</v>
      </c>
      <c r="F656" s="24">
        <f>D656*E656</f>
        <v/>
      </c>
      <c r="G656" s="22" t="n"/>
    </row>
    <row r="657">
      <c r="A657" s="22" t="inlineStr">
        <is>
          <t>0124</t>
        </is>
      </c>
      <c r="B657" s="11" t="inlineStr">
        <is>
          <t>Mason (brick layer) 2nd class</t>
        </is>
      </c>
      <c r="C657" s="22" t="inlineStr">
        <is>
          <t>day</t>
        </is>
      </c>
      <c r="D657" s="23" t="n">
        <v>0.36</v>
      </c>
      <c r="E657" s="24" t="n">
        <v>679</v>
      </c>
      <c r="F657" s="24">
        <f>D657*E657</f>
        <v/>
      </c>
      <c r="G657" s="22" t="n"/>
    </row>
    <row r="658">
      <c r="A658" s="22" t="inlineStr">
        <is>
          <t>0115</t>
        </is>
      </c>
      <c r="B658" s="11" t="inlineStr">
        <is>
          <t>Coolie</t>
        </is>
      </c>
      <c r="C658" s="22" t="inlineStr">
        <is>
          <t>day</t>
        </is>
      </c>
      <c r="D658" s="23" t="n">
        <v>1.37</v>
      </c>
      <c r="E658" s="24" t="n">
        <v>558</v>
      </c>
      <c r="F658" s="24">
        <f>D658*E658</f>
        <v/>
      </c>
      <c r="G658" s="22" t="n"/>
    </row>
    <row r="659">
      <c r="A659" s="22" t="inlineStr">
        <is>
          <t>0101</t>
        </is>
      </c>
      <c r="B659" s="11" t="inlineStr">
        <is>
          <t>Bhisti</t>
        </is>
      </c>
      <c r="C659" s="22" t="inlineStr">
        <is>
          <t>day</t>
        </is>
      </c>
      <c r="D659" s="23" t="n">
        <v>0.2</v>
      </c>
      <c r="E659" s="24" t="n">
        <v>617</v>
      </c>
      <c r="F659" s="24">
        <f>D659*E659</f>
        <v/>
      </c>
      <c r="G659" s="22" t="n"/>
    </row>
    <row r="660">
      <c r="A660" s="8" t="inlineStr">
        <is>
          <t>Calculated W - SUM of the Amount column above</t>
        </is>
      </c>
      <c r="B660" s="9" t="n"/>
      <c r="C660" s="9" t="n"/>
      <c r="D660" s="9" t="n"/>
      <c r="E660" s="9" t="n"/>
      <c r="F660" s="25">
        <f>SUM(F652:F659)</f>
        <v/>
      </c>
      <c r="G660" s="9" t="n"/>
    </row>
    <row r="661">
      <c r="A661" s="26" t="inlineStr">
        <is>
          <t>W as printed in the DAR</t>
        </is>
      </c>
      <c r="B661" s="22" t="n"/>
      <c r="C661" s="22" t="n"/>
      <c r="D661" s="22" t="n"/>
      <c r="E661" s="22" t="n"/>
      <c r="F661" s="27" t="n">
        <v>4728.28</v>
      </c>
      <c r="G661" s="22" t="n"/>
    </row>
    <row r="662">
      <c r="A662" s="26" t="inlineStr">
        <is>
          <t>Difference (calculated - printed)</t>
        </is>
      </c>
      <c r="B662" s="22" t="n"/>
      <c r="C662" s="22" t="n"/>
      <c r="D662" s="22" t="n"/>
      <c r="E662" s="22" t="n"/>
      <c r="F662" s="27">
        <f>F660-F661</f>
        <v/>
      </c>
      <c r="G662" s="22" t="n"/>
    </row>
    <row r="663">
      <c r="A663" s="29" t="inlineStr">
        <is>
          <t>SAY (Rs.) - final DAR rate as printed (fixed value, not computed)</t>
        </is>
      </c>
      <c r="B663" s="30" t="n"/>
      <c r="C663" s="30" t="n"/>
      <c r="D663" s="30" t="n"/>
      <c r="E663" s="30" t="n"/>
      <c r="F663" s="31" t="n">
        <v>6326.15</v>
      </c>
      <c r="G663" s="30" t="n"/>
    </row>
    <row r="665" ht="47.5" customHeight="1">
      <c r="A665" s="8" t="inlineStr">
        <is>
          <t>6.30</t>
        </is>
      </c>
      <c r="B665" s="17" t="inlineStr">
        <is>
          <t>Brick work with common burnt clay machine moulded perforated F.P.S. (non modular) bricks of class designation 12.5 conforming IS : 2222 in exposed brick work including making horizontal and vertical grooves 10mm wide 12 mm deep complete in cement mortar 1:6 (1 cement : 6 coarse sand).</t>
        </is>
      </c>
      <c r="C665" s="9" t="n"/>
      <c r="D665" s="9" t="n"/>
      <c r="E665" s="9" t="n"/>
      <c r="F665" s="9" t="n"/>
      <c r="G665" s="9" t="n"/>
    </row>
    <row r="666" ht="18.5" customHeight="1">
      <c r="A666" s="18" t="inlineStr">
        <is>
          <t>6.30.2</t>
        </is>
      </c>
      <c r="B666" s="19" t="inlineStr">
        <is>
          <t>Above plinth level upto floor V level</t>
        </is>
      </c>
      <c r="C666" s="20" t="n"/>
      <c r="D666" s="20" t="n"/>
      <c r="E666" s="20" t="n"/>
      <c r="F666" s="20" t="n"/>
      <c r="G666" s="20" t="n"/>
    </row>
    <row r="667">
      <c r="A667" s="21" t="inlineStr">
        <is>
          <t>Details of cost for 1 cum   |   Source: CivilDAR_2019_Vol_1.pdf, page 309</t>
        </is>
      </c>
    </row>
    <row r="668">
      <c r="A668" s="5" t="inlineStr">
        <is>
          <t>Code</t>
        </is>
      </c>
      <c r="B668" s="5" t="inlineStr">
        <is>
          <t>Description</t>
        </is>
      </c>
      <c r="C668" s="5" t="inlineStr">
        <is>
          <t>Unit</t>
        </is>
      </c>
      <c r="D668" s="5" t="inlineStr">
        <is>
          <t>Quantity</t>
        </is>
      </c>
      <c r="E668" s="5" t="inlineStr">
        <is>
          <t>Rate (Rs.)</t>
        </is>
      </c>
      <c r="F668" s="5" t="inlineStr">
        <is>
          <t>Amount (Rs.)</t>
        </is>
      </c>
      <c r="G668" s="5" t="inlineStr">
        <is>
          <t>Note</t>
        </is>
      </c>
    </row>
    <row r="669">
      <c r="A669" s="22" t="inlineStr">
        <is>
          <t>7901</t>
        </is>
      </c>
      <c r="B669" s="11" t="inlineStr">
        <is>
          <t>Machine moulded perforated common burnt clay FPS (non modular) bricks of class designation 12.5</t>
        </is>
      </c>
      <c r="C669" s="22" t="inlineStr">
        <is>
          <t>1000 Nos</t>
        </is>
      </c>
      <c r="D669" s="23" t="n">
        <v>0.494</v>
      </c>
      <c r="E669" s="24" t="n">
        <v>4700</v>
      </c>
      <c r="F669" s="24">
        <f>D669*E669</f>
        <v/>
      </c>
      <c r="G669" s="22" t="n"/>
    </row>
    <row r="670">
      <c r="A670" s="22" t="inlineStr">
        <is>
          <t>2201</t>
        </is>
      </c>
      <c r="B670" s="11" t="inlineStr">
        <is>
          <t>Carriage of Bricks</t>
        </is>
      </c>
      <c r="C670" s="22" t="inlineStr">
        <is>
          <t>1000 Nos</t>
        </is>
      </c>
      <c r="D670" s="23" t="n">
        <v>0.494</v>
      </c>
      <c r="E670" s="24" t="n">
        <v>276.72</v>
      </c>
      <c r="F670" s="24">
        <f>D670*E670</f>
        <v/>
      </c>
      <c r="G670" s="22" t="n"/>
    </row>
    <row r="671">
      <c r="A671" s="7" t="inlineStr">
        <is>
          <t>3.11</t>
        </is>
      </c>
      <c r="B671" s="11" t="inlineStr">
        <is>
          <t>Rate as per item 3.11 - Cement mortar 1:6 (1 cement : 6 coarse sand)</t>
        </is>
      </c>
      <c r="C671" s="22" t="inlineStr">
        <is>
          <t>cum</t>
        </is>
      </c>
      <c r="D671" s="23" t="n">
        <v>0.25</v>
      </c>
      <c r="E671" s="24" t="n">
        <v>3356.15</v>
      </c>
      <c r="F671" s="24">
        <f>D671*E671</f>
        <v/>
      </c>
      <c r="G671" s="22" t="n"/>
    </row>
    <row r="672">
      <c r="A672" s="22" t="inlineStr">
        <is>
          <t>9999</t>
        </is>
      </c>
      <c r="B672" s="11" t="inlineStr">
        <is>
          <t>Sundries i/c steel / wooden strips for making grooves</t>
        </is>
      </c>
      <c r="C672" s="22" t="inlineStr">
        <is>
          <t>L.S.</t>
        </is>
      </c>
      <c r="D672" s="23" t="n">
        <v>16.38</v>
      </c>
      <c r="E672" s="24" t="n">
        <v>2</v>
      </c>
      <c r="F672" s="24">
        <f>D672*E672</f>
        <v/>
      </c>
      <c r="G672" s="22" t="n"/>
    </row>
    <row r="673">
      <c r="A673" s="22" t="inlineStr">
        <is>
          <t>0123</t>
        </is>
      </c>
      <c r="B673" s="11" t="inlineStr">
        <is>
          <t>Mason (brick layer) 1st class</t>
        </is>
      </c>
      <c r="C673" s="22" t="inlineStr">
        <is>
          <t>day</t>
        </is>
      </c>
      <c r="D673" s="23" t="n">
        <v>0.47</v>
      </c>
      <c r="E673" s="24" t="n">
        <v>738</v>
      </c>
      <c r="F673" s="24">
        <f>D673*E673</f>
        <v/>
      </c>
      <c r="G673" s="22" t="n"/>
    </row>
    <row r="674">
      <c r="A674" s="22" t="inlineStr">
        <is>
          <t>0124</t>
        </is>
      </c>
      <c r="B674" s="11" t="inlineStr">
        <is>
          <t>Mason (brick layer) 2nd class</t>
        </is>
      </c>
      <c r="C674" s="22" t="inlineStr">
        <is>
          <t>day</t>
        </is>
      </c>
      <c r="D674" s="23" t="n">
        <v>0.47</v>
      </c>
      <c r="E674" s="24" t="n">
        <v>679</v>
      </c>
      <c r="F674" s="24">
        <f>D674*E674</f>
        <v/>
      </c>
      <c r="G674" s="22" t="n"/>
    </row>
    <row r="675">
      <c r="A675" s="22" t="inlineStr">
        <is>
          <t>0115</t>
        </is>
      </c>
      <c r="B675" s="11" t="inlineStr">
        <is>
          <t>Coolie</t>
        </is>
      </c>
      <c r="C675" s="22" t="inlineStr">
        <is>
          <t>day</t>
        </is>
      </c>
      <c r="D675" s="23" t="n">
        <v>1.8</v>
      </c>
      <c r="E675" s="24" t="n">
        <v>558</v>
      </c>
      <c r="F675" s="24">
        <f>D675*E675</f>
        <v/>
      </c>
      <c r="G675" s="22" t="n"/>
    </row>
    <row r="676">
      <c r="A676" s="22" t="inlineStr">
        <is>
          <t>0101</t>
        </is>
      </c>
      <c r="B676" s="11" t="inlineStr">
        <is>
          <t>Bhisti</t>
        </is>
      </c>
      <c r="C676" s="22" t="inlineStr">
        <is>
          <t>day</t>
        </is>
      </c>
      <c r="D676" s="23" t="n">
        <v>0.2</v>
      </c>
      <c r="E676" s="24" t="n">
        <v>617</v>
      </c>
      <c r="F676" s="24">
        <f>D676*E676</f>
        <v/>
      </c>
      <c r="G676" s="22" t="n"/>
    </row>
    <row r="677">
      <c r="A677" s="22" t="inlineStr">
        <is>
          <t>0115</t>
        </is>
      </c>
      <c r="B677" s="11" t="inlineStr">
        <is>
          <t>Coolie</t>
        </is>
      </c>
      <c r="C677" s="22" t="inlineStr">
        <is>
          <t>day</t>
        </is>
      </c>
      <c r="D677" s="23" t="n">
        <v>1.13</v>
      </c>
      <c r="E677" s="24" t="n">
        <v>558</v>
      </c>
      <c r="F677" s="24">
        <f>D677*E677</f>
        <v/>
      </c>
      <c r="G677" s="22" t="n"/>
    </row>
    <row r="678">
      <c r="A678" s="22" t="inlineStr">
        <is>
          <t>9999</t>
        </is>
      </c>
      <c r="B678" s="11" t="inlineStr">
        <is>
          <t>Sundries</t>
        </is>
      </c>
      <c r="C678" s="22" t="inlineStr">
        <is>
          <t>L.S.</t>
        </is>
      </c>
      <c r="D678" s="23" t="n">
        <v>22.36</v>
      </c>
      <c r="E678" s="24" t="n">
        <v>2</v>
      </c>
      <c r="F678" s="24">
        <f>D678*E678</f>
        <v/>
      </c>
      <c r="G678" s="22" t="n"/>
    </row>
    <row r="679">
      <c r="A679" s="8" t="inlineStr">
        <is>
          <t>Calculated W - SUM of the Amount column above</t>
        </is>
      </c>
      <c r="B679" s="9" t="n"/>
      <c r="C679" s="9" t="n"/>
      <c r="D679" s="9" t="n"/>
      <c r="E679" s="9" t="n"/>
      <c r="F679" s="25">
        <f>SUM(F669:F678)</f>
        <v/>
      </c>
      <c r="G679" s="9" t="n"/>
    </row>
    <row r="680">
      <c r="A680" s="26" t="inlineStr">
        <is>
          <t>W as printed in the DAR</t>
        </is>
      </c>
      <c r="B680" s="22" t="n"/>
      <c r="C680" s="22" t="n"/>
      <c r="D680" s="22" t="n"/>
      <c r="E680" s="22" t="n"/>
      <c r="F680" s="27" t="n">
        <v>5799.35</v>
      </c>
      <c r="G680" s="22" t="n"/>
    </row>
    <row r="681">
      <c r="A681" s="26" t="inlineStr">
        <is>
          <t>Difference (calculated - printed)</t>
        </is>
      </c>
      <c r="B681" s="22" t="n"/>
      <c r="C681" s="22" t="n"/>
      <c r="D681" s="22" t="n"/>
      <c r="E681" s="22" t="n"/>
      <c r="F681" s="27">
        <f>F679-F680</f>
        <v/>
      </c>
      <c r="G681" s="22" t="n"/>
    </row>
    <row r="682">
      <c r="A682" s="29" t="inlineStr">
        <is>
          <t>SAY (Rs.) - final DAR rate as printed (fixed value, not computed)</t>
        </is>
      </c>
      <c r="B682" s="30" t="n"/>
      <c r="C682" s="30" t="n"/>
      <c r="D682" s="30" t="n"/>
      <c r="E682" s="30" t="n"/>
      <c r="F682" s="31" t="n">
        <v>7759.15</v>
      </c>
      <c r="G682" s="30" t="n"/>
    </row>
    <row r="684" ht="47.5" customHeight="1">
      <c r="A684" s="8" t="inlineStr">
        <is>
          <t>6.31</t>
        </is>
      </c>
      <c r="B684" s="17" t="inlineStr">
        <is>
          <t>Brick work with common burnt clay machine moulded perforated modular bricks of class designation 12.5 conforming to IS : 2222 in exposed brick work including making horizontal and vertical grooves 10 mm wide 12mm deep complete in cement mortar 1:6 (1 cement : 6 coarse sand).</t>
        </is>
      </c>
      <c r="C684" s="9" t="n"/>
      <c r="D684" s="9" t="n"/>
      <c r="E684" s="9" t="n"/>
      <c r="F684" s="9" t="n"/>
      <c r="G684" s="9" t="n"/>
    </row>
    <row r="685" ht="18.5" customHeight="1">
      <c r="A685" s="18" t="inlineStr">
        <is>
          <t>6.31.1</t>
        </is>
      </c>
      <c r="B685" s="19" t="inlineStr">
        <is>
          <t>From ground level upto plinth level</t>
        </is>
      </c>
      <c r="C685" s="20" t="n"/>
      <c r="D685" s="20" t="n"/>
      <c r="E685" s="20" t="n"/>
      <c r="F685" s="20" t="n"/>
      <c r="G685" s="20" t="n"/>
    </row>
    <row r="686">
      <c r="A686" s="21" t="inlineStr">
        <is>
          <t>Details of cost for 1 cum   |   Source: CivilDAR_2019_Vol_1.pdf, page 309</t>
        </is>
      </c>
    </row>
    <row r="687">
      <c r="A687" s="5" t="inlineStr">
        <is>
          <t>Code</t>
        </is>
      </c>
      <c r="B687" s="5" t="inlineStr">
        <is>
          <t>Description</t>
        </is>
      </c>
      <c r="C687" s="5" t="inlineStr">
        <is>
          <t>Unit</t>
        </is>
      </c>
      <c r="D687" s="5" t="inlineStr">
        <is>
          <t>Quantity</t>
        </is>
      </c>
      <c r="E687" s="5" t="inlineStr">
        <is>
          <t>Rate (Rs.)</t>
        </is>
      </c>
      <c r="F687" s="5" t="inlineStr">
        <is>
          <t>Amount (Rs.)</t>
        </is>
      </c>
      <c r="G687" s="5" t="inlineStr">
        <is>
          <t>Note</t>
        </is>
      </c>
    </row>
    <row r="688">
      <c r="A688" s="22" t="inlineStr">
        <is>
          <t>7902</t>
        </is>
      </c>
      <c r="B688" s="11" t="inlineStr">
        <is>
          <t>Machine moulded common burnt clay modular perforated bricks of class designation 12.5</t>
        </is>
      </c>
      <c r="C688" s="22" t="inlineStr">
        <is>
          <t>1000 Nos</t>
        </is>
      </c>
      <c r="D688" s="23" t="n">
        <v>0.487</v>
      </c>
      <c r="E688" s="24" t="n">
        <v>5200</v>
      </c>
      <c r="F688" s="24">
        <f>D688*E688</f>
        <v/>
      </c>
      <c r="G688" s="22" t="n"/>
    </row>
    <row r="689">
      <c r="A689" s="22" t="inlineStr">
        <is>
          <t>2201</t>
        </is>
      </c>
      <c r="B689" s="11" t="inlineStr">
        <is>
          <t>Carriage of Bricks</t>
        </is>
      </c>
      <c r="C689" s="22" t="inlineStr">
        <is>
          <t>1000 Nos</t>
        </is>
      </c>
      <c r="D689" s="23" t="n">
        <v>0.487</v>
      </c>
      <c r="E689" s="24" t="n">
        <v>276.72</v>
      </c>
      <c r="F689" s="24">
        <f>D689*E689</f>
        <v/>
      </c>
      <c r="G689" s="22" t="n"/>
    </row>
    <row r="690">
      <c r="A690" s="7" t="inlineStr">
        <is>
          <t>3.11</t>
        </is>
      </c>
      <c r="B690" s="11" t="inlineStr">
        <is>
          <t>Rate as per item 3.11 - Cement mortar 1:6 (1 cement : 6 coarse sand)</t>
        </is>
      </c>
      <c r="C690" s="22" t="inlineStr">
        <is>
          <t>cum</t>
        </is>
      </c>
      <c r="D690" s="23" t="n">
        <v>0.22</v>
      </c>
      <c r="E690" s="24" t="n">
        <v>3356.15</v>
      </c>
      <c r="F690" s="24">
        <f>D690*E690</f>
        <v/>
      </c>
      <c r="G690" s="22" t="n"/>
    </row>
    <row r="691">
      <c r="A691" s="22" t="inlineStr">
        <is>
          <t>9999</t>
        </is>
      </c>
      <c r="B691" s="11" t="inlineStr">
        <is>
          <t>Sundries i/c steel / wooden strips for making grooves</t>
        </is>
      </c>
      <c r="C691" s="22" t="inlineStr">
        <is>
          <t>L.S.</t>
        </is>
      </c>
      <c r="D691" s="23" t="n">
        <v>16.38</v>
      </c>
      <c r="E691" s="24" t="n">
        <v>2</v>
      </c>
      <c r="F691" s="24">
        <f>D691*E691</f>
        <v/>
      </c>
      <c r="G691" s="22" t="n"/>
    </row>
    <row r="692">
      <c r="A692" s="22" t="inlineStr">
        <is>
          <t>0123</t>
        </is>
      </c>
      <c r="B692" s="11" t="inlineStr">
        <is>
          <t>Mason (brick layer) 1st class</t>
        </is>
      </c>
      <c r="C692" s="22" t="inlineStr">
        <is>
          <t>day</t>
        </is>
      </c>
      <c r="D692" s="23" t="n">
        <v>0.33</v>
      </c>
      <c r="E692" s="24" t="n">
        <v>738</v>
      </c>
      <c r="F692" s="24">
        <f>D692*E692</f>
        <v/>
      </c>
      <c r="G692" s="22" t="n"/>
    </row>
    <row r="693">
      <c r="A693" s="22" t="inlineStr">
        <is>
          <t>0124</t>
        </is>
      </c>
      <c r="B693" s="11" t="inlineStr">
        <is>
          <t>Mason (brick layer) 2nd class</t>
        </is>
      </c>
      <c r="C693" s="22" t="inlineStr">
        <is>
          <t>day</t>
        </is>
      </c>
      <c r="D693" s="23" t="n">
        <v>0.33</v>
      </c>
      <c r="E693" s="24" t="n">
        <v>679</v>
      </c>
      <c r="F693" s="24">
        <f>D693*E693</f>
        <v/>
      </c>
      <c r="G693" s="22" t="n"/>
    </row>
    <row r="694">
      <c r="A694" s="22" t="inlineStr">
        <is>
          <t>0115</t>
        </is>
      </c>
      <c r="B694" s="11" t="inlineStr">
        <is>
          <t>Coolie</t>
        </is>
      </c>
      <c r="C694" s="22" t="inlineStr">
        <is>
          <t>day</t>
        </is>
      </c>
      <c r="D694" s="23" t="n">
        <v>1</v>
      </c>
      <c r="E694" s="24" t="n">
        <v>558</v>
      </c>
      <c r="F694" s="24">
        <f>D694*E694</f>
        <v/>
      </c>
      <c r="G694" s="22" t="n"/>
    </row>
    <row r="695">
      <c r="A695" s="22" t="inlineStr">
        <is>
          <t>0101</t>
        </is>
      </c>
      <c r="B695" s="11" t="inlineStr">
        <is>
          <t>Bhisti</t>
        </is>
      </c>
      <c r="C695" s="22" t="inlineStr">
        <is>
          <t>day</t>
        </is>
      </c>
      <c r="D695" s="23" t="n">
        <v>0.18</v>
      </c>
      <c r="E695" s="24" t="n">
        <v>617</v>
      </c>
      <c r="F695" s="24">
        <f>D695*E695</f>
        <v/>
      </c>
      <c r="G695" s="22" t="n"/>
    </row>
    <row r="696">
      <c r="A696" s="8" t="inlineStr">
        <is>
          <t>Calculated W - SUM of the Amount column above</t>
        </is>
      </c>
      <c r="B696" s="9" t="n"/>
      <c r="C696" s="9" t="n"/>
      <c r="D696" s="9" t="n"/>
      <c r="E696" s="9" t="n"/>
      <c r="F696" s="25">
        <f>SUM(F688:F695)</f>
        <v/>
      </c>
      <c r="G696" s="9" t="n"/>
    </row>
    <row r="697">
      <c r="A697" s="26" t="inlineStr">
        <is>
          <t>W as printed in the DAR</t>
        </is>
      </c>
      <c r="B697" s="22" t="n"/>
      <c r="C697" s="22" t="n"/>
      <c r="D697" s="22" t="n"/>
      <c r="E697" s="22" t="n"/>
      <c r="F697" s="27" t="n">
        <v>4574.95</v>
      </c>
      <c r="G697" s="22" t="n"/>
    </row>
    <row r="698">
      <c r="A698" s="26" t="inlineStr">
        <is>
          <t>Difference (calculated - printed)</t>
        </is>
      </c>
      <c r="B698" s="22" t="n"/>
      <c r="C698" s="22" t="n"/>
      <c r="D698" s="22" t="n"/>
      <c r="E698" s="22" t="n"/>
      <c r="F698" s="27">
        <f>F696-F697</f>
        <v/>
      </c>
      <c r="G698" s="22" t="n"/>
    </row>
    <row r="699">
      <c r="A699" s="29" t="inlineStr">
        <is>
          <t>SAY (Rs.) - final DAR rate as printed (fixed value, not computed)</t>
        </is>
      </c>
      <c r="B699" s="30" t="n"/>
      <c r="C699" s="30" t="n"/>
      <c r="D699" s="30" t="n"/>
      <c r="E699" s="30" t="n"/>
      <c r="F699" s="31" t="n">
        <v>6121</v>
      </c>
      <c r="G699" s="30" t="n"/>
    </row>
    <row r="701" ht="47.5" customHeight="1">
      <c r="A701" s="8" t="inlineStr">
        <is>
          <t>6.31</t>
        </is>
      </c>
      <c r="B701" s="17" t="inlineStr">
        <is>
          <t>Brick work with common burnt clay machine moulded perforated modular bricks of class designation 12.5 conforming to IS : 2222 in exposed brick work including making horizontal and vertical grooves 10 mm wide 12mm deep complete in cement mortar 1:6 (1 cement : 6 coarse sand).</t>
        </is>
      </c>
      <c r="C701" s="9" t="n"/>
      <c r="D701" s="9" t="n"/>
      <c r="E701" s="9" t="n"/>
      <c r="F701" s="9" t="n"/>
      <c r="G701" s="9" t="n"/>
    </row>
    <row r="702" ht="18.5" customHeight="1">
      <c r="A702" s="18" t="inlineStr">
        <is>
          <t>6.31.2</t>
        </is>
      </c>
      <c r="B702" s="19" t="inlineStr">
        <is>
          <t>Above plinth level upto floor V level</t>
        </is>
      </c>
      <c r="C702" s="20" t="n"/>
      <c r="D702" s="20" t="n"/>
      <c r="E702" s="20" t="n"/>
      <c r="F702" s="20" t="n"/>
      <c r="G702" s="20" t="n"/>
    </row>
    <row r="703">
      <c r="A703" s="21" t="inlineStr">
        <is>
          <t>Details of cost for 1 cum   |   Source: CivilDAR_2019_Vol_1.pdf, page 310</t>
        </is>
      </c>
    </row>
    <row r="704">
      <c r="A704" s="5" t="inlineStr">
        <is>
          <t>Code</t>
        </is>
      </c>
      <c r="B704" s="5" t="inlineStr">
        <is>
          <t>Description</t>
        </is>
      </c>
      <c r="C704" s="5" t="inlineStr">
        <is>
          <t>Unit</t>
        </is>
      </c>
      <c r="D704" s="5" t="inlineStr">
        <is>
          <t>Quantity</t>
        </is>
      </c>
      <c r="E704" s="5" t="inlineStr">
        <is>
          <t>Rate (Rs.)</t>
        </is>
      </c>
      <c r="F704" s="5" t="inlineStr">
        <is>
          <t>Amount (Rs.)</t>
        </is>
      </c>
      <c r="G704" s="5" t="inlineStr">
        <is>
          <t>Note</t>
        </is>
      </c>
    </row>
    <row r="705">
      <c r="A705" s="22" t="inlineStr">
        <is>
          <t>7902</t>
        </is>
      </c>
      <c r="B705" s="11" t="inlineStr">
        <is>
          <t>Machine moulded common burnt clay modular perforated bricks of class designation 12.5</t>
        </is>
      </c>
      <c r="C705" s="22" t="inlineStr">
        <is>
          <t>1000 Nos</t>
        </is>
      </c>
      <c r="D705" s="23" t="n">
        <v>0.487</v>
      </c>
      <c r="E705" s="24" t="n">
        <v>5200</v>
      </c>
      <c r="F705" s="24">
        <f>D705*E705</f>
        <v/>
      </c>
      <c r="G705" s="22" t="n"/>
    </row>
    <row r="706">
      <c r="A706" s="22" t="inlineStr">
        <is>
          <t>2201</t>
        </is>
      </c>
      <c r="B706" s="11" t="inlineStr">
        <is>
          <t>Carriage of Bricks</t>
        </is>
      </c>
      <c r="C706" s="22" t="inlineStr">
        <is>
          <t>1000 Nos</t>
        </is>
      </c>
      <c r="D706" s="23" t="n">
        <v>0.487</v>
      </c>
      <c r="E706" s="24" t="n">
        <v>276.72</v>
      </c>
      <c r="F706" s="24">
        <f>D706*E706</f>
        <v/>
      </c>
      <c r="G706" s="22" t="n"/>
    </row>
    <row r="707">
      <c r="A707" s="7" t="inlineStr">
        <is>
          <t>3.11</t>
        </is>
      </c>
      <c r="B707" s="11" t="inlineStr">
        <is>
          <t>Rate as per item 3.11 - Cement mortar 1:6 (1 cement : 6 coarse sand)</t>
        </is>
      </c>
      <c r="C707" s="22" t="inlineStr">
        <is>
          <t>cum</t>
        </is>
      </c>
      <c r="D707" s="23" t="n">
        <v>0.22</v>
      </c>
      <c r="E707" s="24" t="n">
        <v>3356.15</v>
      </c>
      <c r="F707" s="24">
        <f>D707*E707</f>
        <v/>
      </c>
      <c r="G707" s="22" t="n"/>
    </row>
    <row r="708">
      <c r="A708" s="22" t="inlineStr">
        <is>
          <t>9999</t>
        </is>
      </c>
      <c r="B708" s="11" t="inlineStr">
        <is>
          <t>Sundries i/c steel / wooden strips for making grooves</t>
        </is>
      </c>
      <c r="C708" s="22" t="inlineStr">
        <is>
          <t>L.S.</t>
        </is>
      </c>
      <c r="D708" s="23" t="n">
        <v>16.38</v>
      </c>
      <c r="E708" s="24" t="n">
        <v>2</v>
      </c>
      <c r="F708" s="24">
        <f>D708*E708</f>
        <v/>
      </c>
      <c r="G708" s="22" t="n"/>
    </row>
    <row r="709">
      <c r="A709" s="22" t="inlineStr">
        <is>
          <t>0123</t>
        </is>
      </c>
      <c r="B709" s="11" t="inlineStr">
        <is>
          <t>Mason (brick layer) 1st class</t>
        </is>
      </c>
      <c r="C709" s="22" t="inlineStr">
        <is>
          <t>day</t>
        </is>
      </c>
      <c r="D709" s="23" t="n">
        <v>0.44</v>
      </c>
      <c r="E709" s="24" t="n">
        <v>738</v>
      </c>
      <c r="F709" s="24">
        <f>D709*E709</f>
        <v/>
      </c>
      <c r="G709" s="22" t="n"/>
    </row>
    <row r="710">
      <c r="A710" s="22" t="inlineStr">
        <is>
          <t>0124</t>
        </is>
      </c>
      <c r="B710" s="11" t="inlineStr">
        <is>
          <t>Mason (brick layer) 2nd class</t>
        </is>
      </c>
      <c r="C710" s="22" t="inlineStr">
        <is>
          <t>day</t>
        </is>
      </c>
      <c r="D710" s="23" t="n">
        <v>0.44</v>
      </c>
      <c r="E710" s="24" t="n">
        <v>679</v>
      </c>
      <c r="F710" s="24">
        <f>D710*E710</f>
        <v/>
      </c>
      <c r="G710" s="22" t="n"/>
    </row>
    <row r="711">
      <c r="A711" s="22" t="inlineStr">
        <is>
          <t>0115</t>
        </is>
      </c>
      <c r="B711" s="11" t="inlineStr">
        <is>
          <t>Coolie</t>
        </is>
      </c>
      <c r="C711" s="22" t="inlineStr">
        <is>
          <t>day</t>
        </is>
      </c>
      <c r="D711" s="23" t="n">
        <v>1.43</v>
      </c>
      <c r="E711" s="24" t="n">
        <v>558</v>
      </c>
      <c r="F711" s="24">
        <f>D711*E711</f>
        <v/>
      </c>
      <c r="G711" s="22" t="n"/>
    </row>
    <row r="712">
      <c r="A712" s="22" t="inlineStr">
        <is>
          <t>0101</t>
        </is>
      </c>
      <c r="B712" s="11" t="inlineStr">
        <is>
          <t>Bhisti</t>
        </is>
      </c>
      <c r="C712" s="22" t="inlineStr">
        <is>
          <t>day</t>
        </is>
      </c>
      <c r="D712" s="23" t="n">
        <v>0.18</v>
      </c>
      <c r="E712" s="24" t="n">
        <v>617</v>
      </c>
      <c r="F712" s="24">
        <f>D712*E712</f>
        <v/>
      </c>
      <c r="G712" s="22" t="n"/>
    </row>
    <row r="713">
      <c r="A713" s="22" t="inlineStr">
        <is>
          <t>0115</t>
        </is>
      </c>
      <c r="B713" s="11" t="inlineStr">
        <is>
          <t>Coolie</t>
        </is>
      </c>
      <c r="C713" s="22" t="inlineStr">
        <is>
          <t>day</t>
        </is>
      </c>
      <c r="D713" s="23" t="n">
        <v>1.13</v>
      </c>
      <c r="E713" s="24" t="n">
        <v>558</v>
      </c>
      <c r="F713" s="24">
        <f>D713*E713</f>
        <v/>
      </c>
      <c r="G713" s="22" t="n"/>
    </row>
    <row r="714">
      <c r="A714" s="22" t="inlineStr">
        <is>
          <t>9999</t>
        </is>
      </c>
      <c r="B714" s="11" t="inlineStr">
        <is>
          <t>Sundries</t>
        </is>
      </c>
      <c r="C714" s="22" t="inlineStr">
        <is>
          <t>L.S.</t>
        </is>
      </c>
      <c r="D714" s="23" t="n">
        <v>22.36</v>
      </c>
      <c r="E714" s="24" t="n">
        <v>2</v>
      </c>
      <c r="F714" s="24">
        <f>D714*E714</f>
        <v/>
      </c>
      <c r="G714" s="22" t="n"/>
    </row>
    <row r="715">
      <c r="A715" s="8" t="inlineStr">
        <is>
          <t>Calculated W - SUM of the Amount column above</t>
        </is>
      </c>
      <c r="B715" s="9" t="n"/>
      <c r="C715" s="9" t="n"/>
      <c r="D715" s="9" t="n"/>
      <c r="E715" s="9" t="n"/>
      <c r="F715" s="25">
        <f>SUM(F705:F714)</f>
        <v/>
      </c>
      <c r="G715" s="9" t="n"/>
    </row>
    <row r="716">
      <c r="A716" s="26" t="inlineStr">
        <is>
          <t>W as printed in the DAR</t>
        </is>
      </c>
      <c r="B716" s="22" t="n"/>
      <c r="C716" s="22" t="n"/>
      <c r="D716" s="22" t="n"/>
      <c r="E716" s="22" t="n"/>
      <c r="F716" s="27" t="n">
        <v>5646.02</v>
      </c>
      <c r="G716" s="22" t="n"/>
    </row>
    <row r="717">
      <c r="A717" s="26" t="inlineStr">
        <is>
          <t>Difference (calculated - printed)</t>
        </is>
      </c>
      <c r="B717" s="22" t="n"/>
      <c r="C717" s="22" t="n"/>
      <c r="D717" s="22" t="n"/>
      <c r="E717" s="22" t="n"/>
      <c r="F717" s="27">
        <f>F715-F716</f>
        <v/>
      </c>
      <c r="G717" s="22" t="n"/>
    </row>
    <row r="718">
      <c r="A718" s="29" t="inlineStr">
        <is>
          <t>SAY (Rs.) - final DAR rate as printed (fixed value, not computed)</t>
        </is>
      </c>
      <c r="B718" s="30" t="n"/>
      <c r="C718" s="30" t="n"/>
      <c r="D718" s="30" t="n"/>
      <c r="E718" s="30" t="n"/>
      <c r="F718" s="31" t="n">
        <v>7554</v>
      </c>
      <c r="G718" s="30" t="n"/>
    </row>
    <row r="720" ht="33" customHeight="1">
      <c r="A720" s="8" t="inlineStr">
        <is>
          <t>6.32</t>
        </is>
      </c>
      <c r="B720" s="17" t="inlineStr">
        <is>
          <t>Brick work with clay flyash F.P.S. (non modular) brick of class designation 7.5 in superstructure above plinth level up to floor five level in :</t>
        </is>
      </c>
      <c r="C720" s="9" t="n"/>
      <c r="D720" s="9" t="n"/>
      <c r="E720" s="9" t="n"/>
      <c r="F720" s="9" t="n"/>
      <c r="G720" s="9" t="n"/>
    </row>
    <row r="721" ht="18.5" customHeight="1">
      <c r="A721" s="18" t="inlineStr">
        <is>
          <t>6.32.1</t>
        </is>
      </c>
      <c r="B721" s="19" t="inlineStr">
        <is>
          <t>Cement mortar 1:4 (1 cement : 4 coarse sand)</t>
        </is>
      </c>
      <c r="C721" s="20" t="n"/>
      <c r="D721" s="20" t="n"/>
      <c r="E721" s="20" t="n"/>
      <c r="F721" s="20" t="n"/>
      <c r="G721" s="20" t="n"/>
    </row>
    <row r="722">
      <c r="A722" s="21" t="inlineStr">
        <is>
          <t>Details of cost for 1 cum   |   Source: CivilDAR_2019_Vol_1.pdf, page 311</t>
        </is>
      </c>
    </row>
    <row r="723">
      <c r="A723" s="5" t="inlineStr">
        <is>
          <t>Code</t>
        </is>
      </c>
      <c r="B723" s="5" t="inlineStr">
        <is>
          <t>Description</t>
        </is>
      </c>
      <c r="C723" s="5" t="inlineStr">
        <is>
          <t>Unit</t>
        </is>
      </c>
      <c r="D723" s="5" t="inlineStr">
        <is>
          <t>Quantity</t>
        </is>
      </c>
      <c r="E723" s="5" t="inlineStr">
        <is>
          <t>Rate (Rs.)</t>
        </is>
      </c>
      <c r="F723" s="5" t="inlineStr">
        <is>
          <t>Amount (Rs.)</t>
        </is>
      </c>
      <c r="G723" s="5" t="inlineStr">
        <is>
          <t>Note</t>
        </is>
      </c>
    </row>
    <row r="724">
      <c r="A724" s="22" t="inlineStr">
        <is>
          <t>7008</t>
        </is>
      </c>
      <c r="B724" s="11" t="inlineStr">
        <is>
          <t>F.P.S.(non modular) clay fly ash bricks class designation 7.5</t>
        </is>
      </c>
      <c r="C724" s="22" t="inlineStr">
        <is>
          <t>1000 Nos</t>
        </is>
      </c>
      <c r="D724" s="23" t="n">
        <v>0.494</v>
      </c>
      <c r="E724" s="24" t="n">
        <v>4800</v>
      </c>
      <c r="F724" s="24">
        <f>D724*E724</f>
        <v/>
      </c>
      <c r="G724" s="22" t="n"/>
    </row>
    <row r="725">
      <c r="A725" s="7" t="inlineStr">
        <is>
          <t>3.9</t>
        </is>
      </c>
      <c r="B725" s="11" t="inlineStr">
        <is>
          <t>Rate as per item 3.9 - Cement mortar 1:4 (1 cement : 4 coarse sand)</t>
        </is>
      </c>
      <c r="C725" s="22" t="inlineStr">
        <is>
          <t>cum</t>
        </is>
      </c>
      <c r="D725" s="23" t="n">
        <v>0.25</v>
      </c>
      <c r="E725" s="24" t="n">
        <v>4010.35</v>
      </c>
      <c r="F725" s="24">
        <f>D725*E725</f>
        <v/>
      </c>
      <c r="G725" s="22" t="n"/>
    </row>
    <row r="726">
      <c r="A726" s="22" t="inlineStr">
        <is>
          <t>2201</t>
        </is>
      </c>
      <c r="B726" s="11" t="inlineStr">
        <is>
          <t>Carriage of Bricks</t>
        </is>
      </c>
      <c r="C726" s="22" t="inlineStr">
        <is>
          <t>1000 Nos</t>
        </is>
      </c>
      <c r="D726" s="23" t="n">
        <v>0.494</v>
      </c>
      <c r="E726" s="24" t="n">
        <v>276.72</v>
      </c>
      <c r="F726" s="24">
        <f>D726*E726</f>
        <v/>
      </c>
      <c r="G726" s="22" t="n"/>
    </row>
    <row r="727">
      <c r="A727" s="22" t="inlineStr">
        <is>
          <t>9999</t>
        </is>
      </c>
      <c r="B727" s="11" t="inlineStr">
        <is>
          <t>Sundries</t>
        </is>
      </c>
      <c r="C727" s="22" t="inlineStr">
        <is>
          <t>L.S.</t>
        </is>
      </c>
      <c r="D727" s="23" t="n">
        <v>2.73</v>
      </c>
      <c r="E727" s="24" t="n">
        <v>2</v>
      </c>
      <c r="F727" s="24">
        <f>D727*E727</f>
        <v/>
      </c>
      <c r="G727" s="22" t="n"/>
    </row>
    <row r="728">
      <c r="A728" s="22" t="inlineStr">
        <is>
          <t>0123</t>
        </is>
      </c>
      <c r="B728" s="11" t="inlineStr">
        <is>
          <t>Mason (brick layer) 1st class</t>
        </is>
      </c>
      <c r="C728" s="22" t="inlineStr">
        <is>
          <t>day</t>
        </is>
      </c>
      <c r="D728" s="23" t="n">
        <v>0.47</v>
      </c>
      <c r="E728" s="24" t="n">
        <v>738</v>
      </c>
      <c r="F728" s="24">
        <f>D728*E728</f>
        <v/>
      </c>
      <c r="G728" s="22" t="n"/>
    </row>
    <row r="729">
      <c r="A729" s="22" t="inlineStr">
        <is>
          <t>0124</t>
        </is>
      </c>
      <c r="B729" s="11" t="inlineStr">
        <is>
          <t>Mason (brick layer) 2nd class</t>
        </is>
      </c>
      <c r="C729" s="22" t="inlineStr">
        <is>
          <t>day</t>
        </is>
      </c>
      <c r="D729" s="23" t="n">
        <v>0.47</v>
      </c>
      <c r="E729" s="24" t="n">
        <v>679</v>
      </c>
      <c r="F729" s="24">
        <f>D729*E729</f>
        <v/>
      </c>
      <c r="G729" s="22" t="n"/>
    </row>
    <row r="730">
      <c r="A730" s="22" t="inlineStr">
        <is>
          <t>0115</t>
        </is>
      </c>
      <c r="B730" s="11" t="inlineStr">
        <is>
          <t>Coolie</t>
        </is>
      </c>
      <c r="C730" s="22" t="inlineStr">
        <is>
          <t>day</t>
        </is>
      </c>
      <c r="D730" s="23" t="n">
        <v>1.8</v>
      </c>
      <c r="E730" s="24" t="n">
        <v>558</v>
      </c>
      <c r="F730" s="24">
        <f>D730*E730</f>
        <v/>
      </c>
      <c r="G730" s="22" t="n"/>
    </row>
    <row r="731">
      <c r="A731" s="22" t="inlineStr">
        <is>
          <t>0101</t>
        </is>
      </c>
      <c r="B731" s="11" t="inlineStr">
        <is>
          <t>Bhisti</t>
        </is>
      </c>
      <c r="C731" s="22" t="inlineStr">
        <is>
          <t>day</t>
        </is>
      </c>
      <c r="D731" s="23" t="n">
        <v>0.2</v>
      </c>
      <c r="E731" s="24" t="n">
        <v>617</v>
      </c>
      <c r="F731" s="24">
        <f>D731*E731</f>
        <v/>
      </c>
      <c r="G731" s="22" t="n"/>
    </row>
    <row r="732">
      <c r="A732" s="22" t="inlineStr">
        <is>
          <t>9999</t>
        </is>
      </c>
      <c r="B732" s="11" t="inlineStr">
        <is>
          <t>Scaffolding</t>
        </is>
      </c>
      <c r="C732" s="22" t="inlineStr">
        <is>
          <t>L.S.</t>
        </is>
      </c>
      <c r="D732" s="23" t="n">
        <v>8.970000000000001</v>
      </c>
      <c r="E732" s="24" t="n">
        <v>2</v>
      </c>
      <c r="F732" s="24">
        <f>D732*E732</f>
        <v/>
      </c>
      <c r="G732" s="22" t="n"/>
    </row>
    <row r="733">
      <c r="A733" s="22" t="inlineStr">
        <is>
          <t>0115</t>
        </is>
      </c>
      <c r="B733" s="11" t="inlineStr">
        <is>
          <t>Coolie</t>
        </is>
      </c>
      <c r="C733" s="22" t="inlineStr">
        <is>
          <t>day</t>
        </is>
      </c>
      <c r="D733" s="23" t="n">
        <v>1.13</v>
      </c>
      <c r="E733" s="24" t="n">
        <v>558</v>
      </c>
      <c r="F733" s="24">
        <f>D733*E733</f>
        <v/>
      </c>
      <c r="G733" s="22" t="n"/>
    </row>
    <row r="734">
      <c r="A734" s="8" t="inlineStr">
        <is>
          <t>Calculated W - SUM of the Amount column above</t>
        </is>
      </c>
      <c r="B734" s="9" t="n"/>
      <c r="C734" s="9" t="n"/>
      <c r="D734" s="9" t="n"/>
      <c r="E734" s="9" t="n"/>
      <c r="F734" s="25">
        <f>SUM(F724:F733)</f>
        <v/>
      </c>
      <c r="G734" s="9" t="n"/>
    </row>
    <row r="735">
      <c r="A735" s="26" t="inlineStr">
        <is>
          <t>W as printed in the DAR</t>
        </is>
      </c>
      <c r="B735" s="22" t="n"/>
      <c r="C735" s="22" t="n"/>
      <c r="D735" s="22" t="n"/>
      <c r="E735" s="22" t="n"/>
      <c r="F735" s="27" t="n">
        <v>5958.22</v>
      </c>
      <c r="G735" s="22" t="n"/>
    </row>
    <row r="736">
      <c r="A736" s="26" t="inlineStr">
        <is>
          <t>Difference (calculated - printed)</t>
        </is>
      </c>
      <c r="B736" s="22" t="n"/>
      <c r="C736" s="22" t="n"/>
      <c r="D736" s="22" t="n"/>
      <c r="E736" s="22" t="n"/>
      <c r="F736" s="27">
        <f>F734-F735</f>
        <v/>
      </c>
      <c r="G736" s="22" t="n"/>
    </row>
    <row r="737">
      <c r="A737" s="29" t="inlineStr">
        <is>
          <t>SAY (Rs.) - final DAR rate as printed (fixed value, not computed)</t>
        </is>
      </c>
      <c r="B737" s="30" t="n"/>
      <c r="C737" s="30" t="n"/>
      <c r="D737" s="30" t="n"/>
      <c r="E737" s="30" t="n"/>
      <c r="F737" s="31" t="n">
        <v>7971.7</v>
      </c>
      <c r="G737" s="30" t="n"/>
    </row>
    <row r="739" ht="33" customHeight="1">
      <c r="A739" s="8" t="inlineStr">
        <is>
          <t>6.32</t>
        </is>
      </c>
      <c r="B739" s="17" t="inlineStr">
        <is>
          <t>Brick work with clay flyash F.P.S. (non modular) brick of class designation 7.5 in superstructure above plinth level up to floor five level in :</t>
        </is>
      </c>
      <c r="C739" s="9" t="n"/>
      <c r="D739" s="9" t="n"/>
      <c r="E739" s="9" t="n"/>
      <c r="F739" s="9" t="n"/>
      <c r="G739" s="9" t="n"/>
    </row>
    <row r="740" ht="18.5" customHeight="1">
      <c r="A740" s="18" t="inlineStr">
        <is>
          <t>6.32.2</t>
        </is>
      </c>
      <c r="B740" s="19" t="inlineStr">
        <is>
          <t>Cement mortar 1:6 (1 cement : 6 coarse sand)</t>
        </is>
      </c>
      <c r="C740" s="20" t="n"/>
      <c r="D740" s="20" t="n"/>
      <c r="E740" s="20" t="n"/>
      <c r="F740" s="20" t="n"/>
      <c r="G740" s="20" t="n"/>
    </row>
    <row r="741">
      <c r="A741" s="21" t="inlineStr">
        <is>
          <t>Details of cost for 1 cum   |   Source: CivilDAR_2019_Vol_1.pdf, page 312</t>
        </is>
      </c>
    </row>
    <row r="742">
      <c r="A742" s="5" t="inlineStr">
        <is>
          <t>Code</t>
        </is>
      </c>
      <c r="B742" s="5" t="inlineStr">
        <is>
          <t>Description</t>
        </is>
      </c>
      <c r="C742" s="5" t="inlineStr">
        <is>
          <t>Unit</t>
        </is>
      </c>
      <c r="D742" s="5" t="inlineStr">
        <is>
          <t>Quantity</t>
        </is>
      </c>
      <c r="E742" s="5" t="inlineStr">
        <is>
          <t>Rate (Rs.)</t>
        </is>
      </c>
      <c r="F742" s="5" t="inlineStr">
        <is>
          <t>Amount (Rs.)</t>
        </is>
      </c>
      <c r="G742" s="5" t="inlineStr">
        <is>
          <t>Note</t>
        </is>
      </c>
    </row>
    <row r="743">
      <c r="A743" s="22" t="inlineStr">
        <is>
          <t>7008</t>
        </is>
      </c>
      <c r="B743" s="11" t="inlineStr">
        <is>
          <t>F.P.S.(non modular) clay fly ash bricks class designation 7.5</t>
        </is>
      </c>
      <c r="C743" s="22" t="inlineStr">
        <is>
          <t>1000 Nos</t>
        </is>
      </c>
      <c r="D743" s="23" t="n">
        <v>0.494</v>
      </c>
      <c r="E743" s="24" t="n">
        <v>4800</v>
      </c>
      <c r="F743" s="24">
        <f>D743*E743</f>
        <v/>
      </c>
      <c r="G743" s="22" t="n"/>
    </row>
    <row r="744">
      <c r="A744" s="7" t="inlineStr">
        <is>
          <t>3.11</t>
        </is>
      </c>
      <c r="B744" s="11" t="inlineStr">
        <is>
          <t>Rate as per item 3.11 - Cement mortar 1:6 (1 cement : 6 coarse sand)</t>
        </is>
      </c>
      <c r="C744" s="22" t="inlineStr">
        <is>
          <t>cum</t>
        </is>
      </c>
      <c r="D744" s="23" t="n">
        <v>0.25</v>
      </c>
      <c r="E744" s="24" t="n">
        <v>3356.15</v>
      </c>
      <c r="F744" s="24">
        <f>D744*E744</f>
        <v/>
      </c>
      <c r="G744" s="22" t="n"/>
    </row>
    <row r="745">
      <c r="A745" s="22" t="inlineStr">
        <is>
          <t>2201</t>
        </is>
      </c>
      <c r="B745" s="11" t="inlineStr">
        <is>
          <t>Carriage of Bricks</t>
        </is>
      </c>
      <c r="C745" s="22" t="inlineStr">
        <is>
          <t>1000 Nos</t>
        </is>
      </c>
      <c r="D745" s="23" t="n">
        <v>0.494</v>
      </c>
      <c r="E745" s="24" t="n">
        <v>276.72</v>
      </c>
      <c r="F745" s="24">
        <f>D745*E745</f>
        <v/>
      </c>
      <c r="G745" s="22" t="n"/>
    </row>
    <row r="746">
      <c r="A746" s="22" t="inlineStr">
        <is>
          <t>9999</t>
        </is>
      </c>
      <c r="B746" s="11" t="inlineStr">
        <is>
          <t>Sundries</t>
        </is>
      </c>
      <c r="C746" s="22" t="inlineStr">
        <is>
          <t>L.S.</t>
        </is>
      </c>
      <c r="D746" s="23" t="n">
        <v>2.73</v>
      </c>
      <c r="E746" s="24" t="n">
        <v>2</v>
      </c>
      <c r="F746" s="24">
        <f>D746*E746</f>
        <v/>
      </c>
      <c r="G746" s="22" t="n"/>
    </row>
    <row r="747">
      <c r="A747" s="22" t="inlineStr">
        <is>
          <t>0123</t>
        </is>
      </c>
      <c r="B747" s="11" t="inlineStr">
        <is>
          <t>Mason (brick layer) 1st class</t>
        </is>
      </c>
      <c r="C747" s="22" t="inlineStr">
        <is>
          <t>day</t>
        </is>
      </c>
      <c r="D747" s="23" t="n">
        <v>0.47</v>
      </c>
      <c r="E747" s="24" t="n">
        <v>738</v>
      </c>
      <c r="F747" s="24">
        <f>D747*E747</f>
        <v/>
      </c>
      <c r="G747" s="22" t="n"/>
    </row>
    <row r="748">
      <c r="A748" s="22" t="inlineStr">
        <is>
          <t>0124</t>
        </is>
      </c>
      <c r="B748" s="11" t="inlineStr">
        <is>
          <t>Mason (brick layer) 2nd class</t>
        </is>
      </c>
      <c r="C748" s="22" t="inlineStr">
        <is>
          <t>day</t>
        </is>
      </c>
      <c r="D748" s="23" t="n">
        <v>0.47</v>
      </c>
      <c r="E748" s="24" t="n">
        <v>679</v>
      </c>
      <c r="F748" s="24">
        <f>D748*E748</f>
        <v/>
      </c>
      <c r="G748" s="22" t="n"/>
    </row>
    <row r="749">
      <c r="A749" s="22" t="inlineStr">
        <is>
          <t>0115</t>
        </is>
      </c>
      <c r="B749" s="11" t="inlineStr">
        <is>
          <t>Coolie</t>
        </is>
      </c>
      <c r="C749" s="22" t="inlineStr">
        <is>
          <t>day</t>
        </is>
      </c>
      <c r="D749" s="23" t="n">
        <v>1.8</v>
      </c>
      <c r="E749" s="24" t="n">
        <v>558</v>
      </c>
      <c r="F749" s="24">
        <f>D749*E749</f>
        <v/>
      </c>
      <c r="G749" s="22" t="n"/>
    </row>
    <row r="750">
      <c r="A750" s="22" t="inlineStr">
        <is>
          <t>0101</t>
        </is>
      </c>
      <c r="B750" s="11" t="inlineStr">
        <is>
          <t>Bhisti</t>
        </is>
      </c>
      <c r="C750" s="22" t="inlineStr">
        <is>
          <t>day</t>
        </is>
      </c>
      <c r="D750" s="23" t="n">
        <v>0.2</v>
      </c>
      <c r="E750" s="24" t="n">
        <v>617</v>
      </c>
      <c r="F750" s="24">
        <f>D750*E750</f>
        <v/>
      </c>
      <c r="G750" s="22" t="n"/>
    </row>
    <row r="751">
      <c r="A751" s="22" t="inlineStr">
        <is>
          <t>9999</t>
        </is>
      </c>
      <c r="B751" s="11" t="inlineStr">
        <is>
          <t>Scaffolding</t>
        </is>
      </c>
      <c r="C751" s="22" t="inlineStr">
        <is>
          <t>L.S.</t>
        </is>
      </c>
      <c r="D751" s="23" t="n">
        <v>8.970000000000001</v>
      </c>
      <c r="E751" s="24" t="n">
        <v>2</v>
      </c>
      <c r="F751" s="24">
        <f>D751*E751</f>
        <v/>
      </c>
      <c r="G751" s="22" t="n"/>
    </row>
    <row r="752">
      <c r="A752" s="22" t="inlineStr">
        <is>
          <t>0115</t>
        </is>
      </c>
      <c r="B752" s="11" t="inlineStr">
        <is>
          <t>Coolie</t>
        </is>
      </c>
      <c r="C752" s="22" t="inlineStr">
        <is>
          <t>day</t>
        </is>
      </c>
      <c r="D752" s="23" t="n">
        <v>1.13</v>
      </c>
      <c r="E752" s="24" t="n">
        <v>558</v>
      </c>
      <c r="F752" s="24">
        <f>D752*E752</f>
        <v/>
      </c>
      <c r="G752" s="22" t="n"/>
    </row>
    <row r="753">
      <c r="A753" s="8" t="inlineStr">
        <is>
          <t>Calculated W - SUM of the Amount column above</t>
        </is>
      </c>
      <c r="B753" s="9" t="n"/>
      <c r="C753" s="9" t="n"/>
      <c r="D753" s="9" t="n"/>
      <c r="E753" s="9" t="n"/>
      <c r="F753" s="25">
        <f>SUM(F743:F752)</f>
        <v/>
      </c>
      <c r="G753" s="9" t="n"/>
    </row>
    <row r="754">
      <c r="A754" s="26" t="inlineStr">
        <is>
          <t>W as printed in the DAR</t>
        </is>
      </c>
      <c r="B754" s="22" t="n"/>
      <c r="C754" s="22" t="n"/>
      <c r="D754" s="22" t="n"/>
      <c r="E754" s="22" t="n"/>
      <c r="F754" s="27" t="n">
        <v>5794.67</v>
      </c>
      <c r="G754" s="22" t="n"/>
    </row>
    <row r="755">
      <c r="A755" s="26" t="inlineStr">
        <is>
          <t>Difference (calculated - printed)</t>
        </is>
      </c>
      <c r="B755" s="22" t="n"/>
      <c r="C755" s="22" t="n"/>
      <c r="D755" s="22" t="n"/>
      <c r="E755" s="22" t="n"/>
      <c r="F755" s="27">
        <f>F753-F754</f>
        <v/>
      </c>
      <c r="G755" s="22" t="n"/>
    </row>
    <row r="756">
      <c r="A756" s="29" t="inlineStr">
        <is>
          <t>SAY (Rs.) - final DAR rate as printed (fixed value, not computed)</t>
        </is>
      </c>
      <c r="B756" s="30" t="n"/>
      <c r="C756" s="30" t="n"/>
      <c r="D756" s="30" t="n"/>
      <c r="E756" s="30" t="n"/>
      <c r="F756" s="31" t="n">
        <v>7752.9</v>
      </c>
      <c r="G756" s="30" t="n"/>
    </row>
    <row r="758" ht="33" customHeight="1">
      <c r="A758" s="8" t="inlineStr">
        <is>
          <t>6.34</t>
        </is>
      </c>
      <c r="B758" s="17" t="inlineStr">
        <is>
          <t>Brick work with non modular fly ash bricks conforming to IS:12894, class designation 10 average compressive strength in super structure above plinth level up to floor V level in :</t>
        </is>
      </c>
      <c r="C758" s="9" t="n"/>
      <c r="D758" s="9" t="n"/>
      <c r="E758" s="9" t="n"/>
      <c r="F758" s="9" t="n"/>
      <c r="G758" s="9" t="n"/>
    </row>
    <row r="759" ht="18.5" customHeight="1">
      <c r="A759" s="18" t="inlineStr">
        <is>
          <t>6.34.1</t>
        </is>
      </c>
      <c r="B759" s="19" t="inlineStr">
        <is>
          <t>Cement mortar 1:4 (1 cement : 4 coarse sand)</t>
        </is>
      </c>
      <c r="C759" s="20" t="n"/>
      <c r="D759" s="20" t="n"/>
      <c r="E759" s="20" t="n"/>
      <c r="F759" s="20" t="n"/>
      <c r="G759" s="20" t="n"/>
    </row>
    <row r="760">
      <c r="A760" s="21" t="inlineStr">
        <is>
          <t>Details of cost for 1 cum   |   Source: CivilDAR_2019_Vol_1.pdf, page 312</t>
        </is>
      </c>
    </row>
    <row r="761">
      <c r="A761" s="5" t="inlineStr">
        <is>
          <t>Code</t>
        </is>
      </c>
      <c r="B761" s="5" t="inlineStr">
        <is>
          <t>Description</t>
        </is>
      </c>
      <c r="C761" s="5" t="inlineStr">
        <is>
          <t>Unit</t>
        </is>
      </c>
      <c r="D761" s="5" t="inlineStr">
        <is>
          <t>Quantity</t>
        </is>
      </c>
      <c r="E761" s="5" t="inlineStr">
        <is>
          <t>Rate (Rs.)</t>
        </is>
      </c>
      <c r="F761" s="5" t="inlineStr">
        <is>
          <t>Amount (Rs.)</t>
        </is>
      </c>
      <c r="G761" s="5" t="inlineStr">
        <is>
          <t>Note</t>
        </is>
      </c>
    </row>
    <row r="762">
      <c r="A762" s="22" t="inlineStr">
        <is>
          <t>7737</t>
        </is>
      </c>
      <c r="B762" s="11" t="inlineStr">
        <is>
          <t>Fly ash bricks conforming to I.S. 12894</t>
        </is>
      </c>
      <c r="C762" s="22" t="inlineStr">
        <is>
          <t>1000 Nos</t>
        </is>
      </c>
      <c r="D762" s="23" t="n">
        <v>0.487</v>
      </c>
      <c r="E762" s="24" t="n">
        <v>4300</v>
      </c>
      <c r="F762" s="24">
        <f>D762*E762</f>
        <v/>
      </c>
      <c r="G762" s="22" t="n"/>
    </row>
    <row r="763">
      <c r="A763" s="7" t="inlineStr">
        <is>
          <t>3.9</t>
        </is>
      </c>
      <c r="B763" s="11" t="inlineStr">
        <is>
          <t>Rate as per item 3.9 - Cement mortar 1:4 (1 cement : 4 coarse sand)</t>
        </is>
      </c>
      <c r="C763" s="22" t="inlineStr">
        <is>
          <t>cum</t>
        </is>
      </c>
      <c r="D763" s="23" t="n">
        <v>0.22</v>
      </c>
      <c r="E763" s="24" t="n">
        <v>4010.35</v>
      </c>
      <c r="F763" s="24">
        <f>D763*E763</f>
        <v/>
      </c>
      <c r="G763" s="22" t="n"/>
    </row>
    <row r="764">
      <c r="A764" s="22" t="inlineStr">
        <is>
          <t>2201</t>
        </is>
      </c>
      <c r="B764" s="11" t="inlineStr">
        <is>
          <t>Carriage of Bricks</t>
        </is>
      </c>
      <c r="C764" s="22" t="inlineStr">
        <is>
          <t>1000 Nos</t>
        </is>
      </c>
      <c r="D764" s="23" t="n">
        <v>0.487</v>
      </c>
      <c r="E764" s="24" t="n">
        <v>276.72</v>
      </c>
      <c r="F764" s="24">
        <f>D764*E764</f>
        <v/>
      </c>
      <c r="G764" s="22" t="n"/>
    </row>
    <row r="765">
      <c r="A765" s="22" t="inlineStr">
        <is>
          <t>9999</t>
        </is>
      </c>
      <c r="B765" s="11" t="inlineStr">
        <is>
          <t>Sundries</t>
        </is>
      </c>
      <c r="C765" s="22" t="inlineStr">
        <is>
          <t>L.S.</t>
        </is>
      </c>
      <c r="D765" s="23" t="n">
        <v>2.73</v>
      </c>
      <c r="E765" s="24" t="n">
        <v>2</v>
      </c>
      <c r="F765" s="24">
        <f>D765*E765</f>
        <v/>
      </c>
      <c r="G765" s="22" t="n"/>
    </row>
    <row r="766">
      <c r="A766" s="22" t="inlineStr">
        <is>
          <t>0123</t>
        </is>
      </c>
      <c r="B766" s="11" t="inlineStr">
        <is>
          <t>Mason (brick layer) 1st class</t>
        </is>
      </c>
      <c r="C766" s="22" t="inlineStr">
        <is>
          <t>day</t>
        </is>
      </c>
      <c r="D766" s="23" t="n">
        <v>0.47</v>
      </c>
      <c r="E766" s="24" t="n">
        <v>738</v>
      </c>
      <c r="F766" s="24">
        <f>D766*E766</f>
        <v/>
      </c>
      <c r="G766" s="22" t="n"/>
    </row>
    <row r="767">
      <c r="A767" s="22" t="inlineStr">
        <is>
          <t>0124</t>
        </is>
      </c>
      <c r="B767" s="11" t="inlineStr">
        <is>
          <t>Mason (brick layer) 2nd class</t>
        </is>
      </c>
      <c r="C767" s="22" t="inlineStr">
        <is>
          <t>day</t>
        </is>
      </c>
      <c r="D767" s="23" t="n">
        <v>0.47</v>
      </c>
      <c r="E767" s="24" t="n">
        <v>679</v>
      </c>
      <c r="F767" s="24">
        <f>D767*E767</f>
        <v/>
      </c>
      <c r="G767" s="22" t="n"/>
    </row>
    <row r="768">
      <c r="A768" s="22" t="inlineStr">
        <is>
          <t>0115</t>
        </is>
      </c>
      <c r="B768" s="11" t="inlineStr">
        <is>
          <t>Coolie</t>
        </is>
      </c>
      <c r="C768" s="22" t="inlineStr">
        <is>
          <t>day</t>
        </is>
      </c>
      <c r="D768" s="23" t="n">
        <v>1.8</v>
      </c>
      <c r="E768" s="24" t="n">
        <v>558</v>
      </c>
      <c r="F768" s="24">
        <f>D768*E768</f>
        <v/>
      </c>
      <c r="G768" s="22" t="n"/>
    </row>
    <row r="769">
      <c r="A769" s="22" t="inlineStr">
        <is>
          <t>0101</t>
        </is>
      </c>
      <c r="B769" s="11" t="inlineStr">
        <is>
          <t>Bhisti</t>
        </is>
      </c>
      <c r="C769" s="22" t="inlineStr">
        <is>
          <t>day</t>
        </is>
      </c>
      <c r="D769" s="23" t="n">
        <v>0.2</v>
      </c>
      <c r="E769" s="24" t="n">
        <v>617</v>
      </c>
      <c r="F769" s="24">
        <f>D769*E769</f>
        <v/>
      </c>
      <c r="G769" s="22" t="n"/>
    </row>
    <row r="770">
      <c r="A770" s="22" t="inlineStr">
        <is>
          <t>9999</t>
        </is>
      </c>
      <c r="B770" s="11" t="inlineStr">
        <is>
          <t>Scaffolding</t>
        </is>
      </c>
      <c r="C770" s="22" t="inlineStr">
        <is>
          <t>L.S.</t>
        </is>
      </c>
      <c r="D770" s="23" t="n">
        <v>22.36</v>
      </c>
      <c r="E770" s="24" t="n">
        <v>2</v>
      </c>
      <c r="F770" s="24">
        <f>D770*E770</f>
        <v/>
      </c>
      <c r="G770" s="22" t="n"/>
    </row>
    <row r="771">
      <c r="A771" s="22" t="inlineStr">
        <is>
          <t>0115</t>
        </is>
      </c>
      <c r="B771" s="11" t="inlineStr">
        <is>
          <t>Coolie</t>
        </is>
      </c>
      <c r="C771" s="22" t="inlineStr">
        <is>
          <t>day</t>
        </is>
      </c>
      <c r="D771" s="23" t="n">
        <v>1.13</v>
      </c>
      <c r="E771" s="24" t="n">
        <v>558</v>
      </c>
      <c r="F771" s="24">
        <f>D771*E771</f>
        <v/>
      </c>
      <c r="G771" s="22" t="n"/>
    </row>
    <row r="772">
      <c r="A772" s="8" t="inlineStr">
        <is>
          <t>Calculated W - SUM of the Amount column above</t>
        </is>
      </c>
      <c r="B772" s="9" t="n"/>
      <c r="C772" s="9" t="n"/>
      <c r="D772" s="9" t="n"/>
      <c r="E772" s="9" t="n"/>
      <c r="F772" s="25">
        <f>SUM(F762:F771)</f>
        <v/>
      </c>
      <c r="G772" s="9" t="n"/>
    </row>
    <row r="773">
      <c r="A773" s="26" t="inlineStr">
        <is>
          <t>W as printed in the DAR</t>
        </is>
      </c>
      <c r="B773" s="22" t="n"/>
      <c r="C773" s="22" t="n"/>
      <c r="D773" s="22" t="n"/>
      <c r="E773" s="22" t="n"/>
      <c r="F773" s="27" t="n">
        <v>5585.65</v>
      </c>
      <c r="G773" s="22" t="n"/>
    </row>
    <row r="774">
      <c r="A774" s="26" t="inlineStr">
        <is>
          <t>Difference (calculated - printed)</t>
        </is>
      </c>
      <c r="B774" s="22" t="n"/>
      <c r="C774" s="22" t="n"/>
      <c r="D774" s="22" t="n"/>
      <c r="E774" s="22" t="n"/>
      <c r="F774" s="27">
        <f>F772-F773</f>
        <v/>
      </c>
      <c r="G774" s="22" t="n"/>
    </row>
    <row r="775">
      <c r="A775" s="29" t="inlineStr">
        <is>
          <t>SAY (Rs.) - final DAR rate as printed (fixed value, not computed)</t>
        </is>
      </c>
      <c r="B775" s="30" t="n"/>
      <c r="C775" s="30" t="n"/>
      <c r="D775" s="30" t="n"/>
      <c r="E775" s="30" t="n"/>
      <c r="F775" s="31" t="n">
        <v>7473.25</v>
      </c>
      <c r="G775" s="30" t="n"/>
    </row>
    <row r="777" ht="33" customHeight="1">
      <c r="A777" s="8" t="inlineStr">
        <is>
          <t>6.34</t>
        </is>
      </c>
      <c r="B777" s="17" t="inlineStr">
        <is>
          <t>Brick work with non modular fly ash bricks conforming to IS:12894, class designation 10 average compressive strength in super structure above plinth level up to floor V level in :</t>
        </is>
      </c>
      <c r="C777" s="9" t="n"/>
      <c r="D777" s="9" t="n"/>
      <c r="E777" s="9" t="n"/>
      <c r="F777" s="9" t="n"/>
      <c r="G777" s="9" t="n"/>
    </row>
    <row r="778" ht="18.5" customHeight="1">
      <c r="A778" s="18" t="inlineStr">
        <is>
          <t>6.34.2</t>
        </is>
      </c>
      <c r="B778" s="19" t="inlineStr">
        <is>
          <t>Cement mortar 1:6 (1 cement : 6 Coarse sand)</t>
        </is>
      </c>
      <c r="C778" s="20" t="n"/>
      <c r="D778" s="20" t="n"/>
      <c r="E778" s="20" t="n"/>
      <c r="F778" s="20" t="n"/>
      <c r="G778" s="20" t="n"/>
    </row>
    <row r="779">
      <c r="A779" s="21" t="inlineStr">
        <is>
          <t>Details of cost for 1 cum   |   Source: CivilDAR_2019_Vol_1.pdf, page 313</t>
        </is>
      </c>
    </row>
    <row r="780">
      <c r="A780" s="5" t="inlineStr">
        <is>
          <t>Code</t>
        </is>
      </c>
      <c r="B780" s="5" t="inlineStr">
        <is>
          <t>Description</t>
        </is>
      </c>
      <c r="C780" s="5" t="inlineStr">
        <is>
          <t>Unit</t>
        </is>
      </c>
      <c r="D780" s="5" t="inlineStr">
        <is>
          <t>Quantity</t>
        </is>
      </c>
      <c r="E780" s="5" t="inlineStr">
        <is>
          <t>Rate (Rs.)</t>
        </is>
      </c>
      <c r="F780" s="5" t="inlineStr">
        <is>
          <t>Amount (Rs.)</t>
        </is>
      </c>
      <c r="G780" s="5" t="inlineStr">
        <is>
          <t>Note</t>
        </is>
      </c>
    </row>
    <row r="781">
      <c r="A781" s="22" t="inlineStr">
        <is>
          <t>7737</t>
        </is>
      </c>
      <c r="B781" s="11" t="inlineStr">
        <is>
          <t>Fly ash bricks conforming to I.S. 12894</t>
        </is>
      </c>
      <c r="C781" s="22" t="inlineStr">
        <is>
          <t>1000 Nos</t>
        </is>
      </c>
      <c r="D781" s="23" t="n">
        <v>0.487</v>
      </c>
      <c r="E781" s="24" t="n">
        <v>4300</v>
      </c>
      <c r="F781" s="24">
        <f>D781*E781</f>
        <v/>
      </c>
      <c r="G781" s="22" t="n"/>
    </row>
    <row r="782">
      <c r="A782" s="7" t="inlineStr">
        <is>
          <t>3.11</t>
        </is>
      </c>
      <c r="B782" s="11" t="inlineStr">
        <is>
          <t>Rate as per item 3.11 - Cement mortar 1:6 (1 cement : 6 coarse sand)</t>
        </is>
      </c>
      <c r="C782" s="22" t="inlineStr">
        <is>
          <t>cum</t>
        </is>
      </c>
      <c r="D782" s="23" t="n">
        <v>0.22</v>
      </c>
      <c r="E782" s="24" t="n">
        <v>3356.15</v>
      </c>
      <c r="F782" s="24">
        <f>D782*E782</f>
        <v/>
      </c>
      <c r="G782" s="22" t="n"/>
    </row>
    <row r="783">
      <c r="A783" s="22" t="inlineStr">
        <is>
          <t>2201</t>
        </is>
      </c>
      <c r="B783" s="11" t="inlineStr">
        <is>
          <t>Carriage of Bricks</t>
        </is>
      </c>
      <c r="C783" s="22" t="inlineStr">
        <is>
          <t>1000 Nos</t>
        </is>
      </c>
      <c r="D783" s="23" t="n">
        <v>0.487</v>
      </c>
      <c r="E783" s="24" t="n">
        <v>276.72</v>
      </c>
      <c r="F783" s="24">
        <f>D783*E783</f>
        <v/>
      </c>
      <c r="G783" s="22" t="n"/>
    </row>
    <row r="784">
      <c r="A784" s="22" t="inlineStr">
        <is>
          <t>9999</t>
        </is>
      </c>
      <c r="B784" s="11" t="inlineStr">
        <is>
          <t>Sundries</t>
        </is>
      </c>
      <c r="C784" s="22" t="inlineStr">
        <is>
          <t>L.S.</t>
        </is>
      </c>
      <c r="D784" s="23" t="n">
        <v>2.73</v>
      </c>
      <c r="E784" s="24" t="n">
        <v>2</v>
      </c>
      <c r="F784" s="24">
        <f>D784*E784</f>
        <v/>
      </c>
      <c r="G784" s="22" t="n"/>
    </row>
    <row r="785">
      <c r="A785" s="22" t="inlineStr">
        <is>
          <t>0123</t>
        </is>
      </c>
      <c r="B785" s="11" t="inlineStr">
        <is>
          <t>Mason (brick layer) 1st class</t>
        </is>
      </c>
      <c r="C785" s="22" t="inlineStr">
        <is>
          <t>day</t>
        </is>
      </c>
      <c r="D785" s="23" t="n">
        <v>0.47</v>
      </c>
      <c r="E785" s="24" t="n">
        <v>738</v>
      </c>
      <c r="F785" s="24">
        <f>D785*E785</f>
        <v/>
      </c>
      <c r="G785" s="22" t="n"/>
    </row>
    <row r="786">
      <c r="A786" s="22" t="inlineStr">
        <is>
          <t>0124</t>
        </is>
      </c>
      <c r="B786" s="11" t="inlineStr">
        <is>
          <t>Mason (brick layer) 2nd class</t>
        </is>
      </c>
      <c r="C786" s="22" t="inlineStr">
        <is>
          <t>day</t>
        </is>
      </c>
      <c r="D786" s="23" t="n">
        <v>0.47</v>
      </c>
      <c r="E786" s="24" t="n">
        <v>679</v>
      </c>
      <c r="F786" s="24">
        <f>D786*E786</f>
        <v/>
      </c>
      <c r="G786" s="22" t="n"/>
    </row>
    <row r="787">
      <c r="A787" s="22" t="inlineStr">
        <is>
          <t>0115</t>
        </is>
      </c>
      <c r="B787" s="11" t="inlineStr">
        <is>
          <t>Coolie</t>
        </is>
      </c>
      <c r="C787" s="22" t="inlineStr">
        <is>
          <t>day</t>
        </is>
      </c>
      <c r="D787" s="23" t="n">
        <v>1.8</v>
      </c>
      <c r="E787" s="24" t="n">
        <v>558</v>
      </c>
      <c r="F787" s="24">
        <f>D787*E787</f>
        <v/>
      </c>
      <c r="G787" s="22" t="n"/>
    </row>
    <row r="788">
      <c r="A788" s="22" t="inlineStr">
        <is>
          <t>0101</t>
        </is>
      </c>
      <c r="B788" s="11" t="inlineStr">
        <is>
          <t>Bhisti</t>
        </is>
      </c>
      <c r="C788" s="22" t="inlineStr">
        <is>
          <t>day</t>
        </is>
      </c>
      <c r="D788" s="23" t="n">
        <v>0.2</v>
      </c>
      <c r="E788" s="24" t="n">
        <v>617</v>
      </c>
      <c r="F788" s="24">
        <f>D788*E788</f>
        <v/>
      </c>
      <c r="G788" s="22" t="n"/>
    </row>
    <row r="789">
      <c r="A789" s="22" t="inlineStr">
        <is>
          <t>9999</t>
        </is>
      </c>
      <c r="B789" s="11" t="inlineStr">
        <is>
          <t>Scaffolding</t>
        </is>
      </c>
      <c r="C789" s="22" t="inlineStr">
        <is>
          <t>L.S.</t>
        </is>
      </c>
      <c r="D789" s="23" t="n">
        <v>22.36</v>
      </c>
      <c r="E789" s="24" t="n">
        <v>2</v>
      </c>
      <c r="F789" s="24">
        <f>D789*E789</f>
        <v/>
      </c>
      <c r="G789" s="22" t="n"/>
    </row>
    <row r="790">
      <c r="A790" s="22" t="inlineStr">
        <is>
          <t>0115</t>
        </is>
      </c>
      <c r="B790" s="11" t="inlineStr">
        <is>
          <t>Coolie</t>
        </is>
      </c>
      <c r="C790" s="22" t="inlineStr">
        <is>
          <t>day</t>
        </is>
      </c>
      <c r="D790" s="23" t="n">
        <v>1.13</v>
      </c>
      <c r="E790" s="24" t="n">
        <v>558</v>
      </c>
      <c r="F790" s="24">
        <f>D790*E790</f>
        <v/>
      </c>
      <c r="G790" s="22" t="n"/>
    </row>
    <row r="791">
      <c r="A791" s="8" t="inlineStr">
        <is>
          <t>Calculated W - SUM of the Amount column above</t>
        </is>
      </c>
      <c r="B791" s="9" t="n"/>
      <c r="C791" s="9" t="n"/>
      <c r="D791" s="9" t="n"/>
      <c r="E791" s="9" t="n"/>
      <c r="F791" s="25">
        <f>SUM(F781:F790)</f>
        <v/>
      </c>
      <c r="G791" s="9" t="n"/>
    </row>
    <row r="792">
      <c r="A792" s="26" t="inlineStr">
        <is>
          <t>W as printed in the DAR</t>
        </is>
      </c>
      <c r="B792" s="22" t="n"/>
      <c r="C792" s="22" t="n"/>
      <c r="D792" s="22" t="n"/>
      <c r="E792" s="22" t="n"/>
      <c r="F792" s="27" t="n">
        <v>5441.73</v>
      </c>
      <c r="G792" s="22" t="n"/>
    </row>
    <row r="793">
      <c r="A793" s="26" t="inlineStr">
        <is>
          <t>Difference (calculated - printed)</t>
        </is>
      </c>
      <c r="B793" s="22" t="n"/>
      <c r="C793" s="22" t="n"/>
      <c r="D793" s="22" t="n"/>
      <c r="E793" s="22" t="n"/>
      <c r="F793" s="27">
        <f>F791-F792</f>
        <v/>
      </c>
      <c r="G793" s="22" t="n"/>
    </row>
    <row r="794">
      <c r="A794" s="29" t="inlineStr">
        <is>
          <t>SAY (Rs.) - final DAR rate as printed (fixed value, not computed)</t>
        </is>
      </c>
      <c r="B794" s="30" t="n"/>
      <c r="C794" s="30" t="n"/>
      <c r="D794" s="30" t="n"/>
      <c r="E794" s="30" t="n"/>
      <c r="F794" s="31" t="n">
        <v>7280.7</v>
      </c>
      <c r="G794" s="30" t="n"/>
    </row>
    <row r="796" ht="33" customHeight="1">
      <c r="A796" s="8" t="inlineStr">
        <is>
          <t>6.35</t>
        </is>
      </c>
      <c r="B796" s="17" t="inlineStr">
        <is>
          <t>Brick work with modular calcium silicate bricks machine moulded conforming to IS:4139, class designation 10 average compressive strength in super structure above plinth level up to floor V level in :</t>
        </is>
      </c>
      <c r="C796" s="9" t="n"/>
      <c r="D796" s="9" t="n"/>
      <c r="E796" s="9" t="n"/>
      <c r="F796" s="9" t="n"/>
      <c r="G796" s="9" t="n"/>
    </row>
    <row r="797" ht="18.5" customHeight="1">
      <c r="A797" s="18" t="inlineStr">
        <is>
          <t>6.35.1</t>
        </is>
      </c>
      <c r="B797" s="19" t="inlineStr">
        <is>
          <t>Cement mortar 1:4 (1 cement : 4 coarse sand)</t>
        </is>
      </c>
      <c r="C797" s="20" t="n"/>
      <c r="D797" s="20" t="n"/>
      <c r="E797" s="20" t="n"/>
      <c r="F797" s="20" t="n"/>
      <c r="G797" s="20" t="n"/>
    </row>
    <row r="798">
      <c r="A798" s="21" t="inlineStr">
        <is>
          <t>Details of cost for 1 cum   |   Source: CivilDAR_2019_Vol_1.pdf, page 314</t>
        </is>
      </c>
    </row>
    <row r="799">
      <c r="A799" s="5" t="inlineStr">
        <is>
          <t>Code</t>
        </is>
      </c>
      <c r="B799" s="5" t="inlineStr">
        <is>
          <t>Description</t>
        </is>
      </c>
      <c r="C799" s="5" t="inlineStr">
        <is>
          <t>Unit</t>
        </is>
      </c>
      <c r="D799" s="5" t="inlineStr">
        <is>
          <t>Quantity</t>
        </is>
      </c>
      <c r="E799" s="5" t="inlineStr">
        <is>
          <t>Rate (Rs.)</t>
        </is>
      </c>
      <c r="F799" s="5" t="inlineStr">
        <is>
          <t>Amount (Rs.)</t>
        </is>
      </c>
      <c r="G799" s="5" t="inlineStr">
        <is>
          <t>Note</t>
        </is>
      </c>
    </row>
    <row r="800">
      <c r="A800" s="22" t="inlineStr">
        <is>
          <t>7738</t>
        </is>
      </c>
      <c r="B800" s="11" t="inlineStr">
        <is>
          <t>Calcium Silicate Bricks machine moulded confirming to I.S. 4139 - 1989</t>
        </is>
      </c>
      <c r="C800" s="22" t="inlineStr">
        <is>
          <t>1000 Nos</t>
        </is>
      </c>
      <c r="D800" s="23" t="n">
        <v>0.487</v>
      </c>
      <c r="E800" s="24" t="n">
        <v>5400</v>
      </c>
      <c r="F800" s="24">
        <f>D800*E800</f>
        <v/>
      </c>
      <c r="G800" s="22" t="n"/>
    </row>
    <row r="801">
      <c r="A801" s="7" t="inlineStr">
        <is>
          <t>3.9</t>
        </is>
      </c>
      <c r="B801" s="11" t="inlineStr">
        <is>
          <t>Rate as per item 3.9 - Cement mortar 1:4 (1 cement : 4 coarse sand)</t>
        </is>
      </c>
      <c r="C801" s="22" t="inlineStr">
        <is>
          <t>cum</t>
        </is>
      </c>
      <c r="D801" s="23" t="n">
        <v>0.22</v>
      </c>
      <c r="E801" s="24" t="n">
        <v>4010.35</v>
      </c>
      <c r="F801" s="24">
        <f>D801*E801</f>
        <v/>
      </c>
      <c r="G801" s="22" t="n"/>
    </row>
    <row r="802">
      <c r="A802" s="22" t="inlineStr">
        <is>
          <t>2201</t>
        </is>
      </c>
      <c r="B802" s="11" t="inlineStr">
        <is>
          <t>Carriage of Bricks</t>
        </is>
      </c>
      <c r="C802" s="22" t="inlineStr">
        <is>
          <t>1000 Nos</t>
        </is>
      </c>
      <c r="D802" s="23" t="n">
        <v>0.487</v>
      </c>
      <c r="E802" s="24" t="n">
        <v>276.72</v>
      </c>
      <c r="F802" s="24">
        <f>D802*E802</f>
        <v/>
      </c>
      <c r="G802" s="22" t="n"/>
    </row>
    <row r="803">
      <c r="A803" s="22" t="inlineStr">
        <is>
          <t>9999</t>
        </is>
      </c>
      <c r="B803" s="11" t="inlineStr">
        <is>
          <t>Sundries</t>
        </is>
      </c>
      <c r="C803" s="22" t="inlineStr">
        <is>
          <t>L.S.</t>
        </is>
      </c>
      <c r="D803" s="23" t="n">
        <v>2.73</v>
      </c>
      <c r="E803" s="24" t="n">
        <v>2</v>
      </c>
      <c r="F803" s="24">
        <f>D803*E803</f>
        <v/>
      </c>
      <c r="G803" s="22" t="n"/>
    </row>
    <row r="804">
      <c r="A804" s="22" t="inlineStr">
        <is>
          <t>0123</t>
        </is>
      </c>
      <c r="B804" s="11" t="inlineStr">
        <is>
          <t>Mason (brick layer) 1st class</t>
        </is>
      </c>
      <c r="C804" s="22" t="inlineStr">
        <is>
          <t>day</t>
        </is>
      </c>
      <c r="D804" s="23" t="n">
        <v>0.47</v>
      </c>
      <c r="E804" s="24" t="n">
        <v>738</v>
      </c>
      <c r="F804" s="24">
        <f>D804*E804</f>
        <v/>
      </c>
      <c r="G804" s="22" t="n"/>
    </row>
    <row r="805">
      <c r="A805" s="22" t="inlineStr">
        <is>
          <t>0124</t>
        </is>
      </c>
      <c r="B805" s="11" t="inlineStr">
        <is>
          <t>Mason (brick layer) 2nd class</t>
        </is>
      </c>
      <c r="C805" s="22" t="inlineStr">
        <is>
          <t>day</t>
        </is>
      </c>
      <c r="D805" s="23" t="n">
        <v>0.47</v>
      </c>
      <c r="E805" s="24" t="n">
        <v>679</v>
      </c>
      <c r="F805" s="24">
        <f>D805*E805</f>
        <v/>
      </c>
      <c r="G805" s="22" t="n"/>
    </row>
    <row r="806">
      <c r="A806" s="22" t="inlineStr">
        <is>
          <t>0115</t>
        </is>
      </c>
      <c r="B806" s="11" t="inlineStr">
        <is>
          <t>Coolie</t>
        </is>
      </c>
      <c r="C806" s="22" t="inlineStr">
        <is>
          <t>day</t>
        </is>
      </c>
      <c r="D806" s="23" t="n">
        <v>1.8</v>
      </c>
      <c r="E806" s="24" t="n">
        <v>558</v>
      </c>
      <c r="F806" s="24">
        <f>D806*E806</f>
        <v/>
      </c>
      <c r="G806" s="22" t="n"/>
    </row>
    <row r="807">
      <c r="A807" s="22" t="inlineStr">
        <is>
          <t>0101</t>
        </is>
      </c>
      <c r="B807" s="11" t="inlineStr">
        <is>
          <t>Bhisti</t>
        </is>
      </c>
      <c r="C807" s="22" t="inlineStr">
        <is>
          <t>day</t>
        </is>
      </c>
      <c r="D807" s="23" t="n">
        <v>0.2</v>
      </c>
      <c r="E807" s="24" t="n">
        <v>617</v>
      </c>
      <c r="F807" s="24">
        <f>D807*E807</f>
        <v/>
      </c>
      <c r="G807" s="22" t="n"/>
    </row>
    <row r="808">
      <c r="A808" s="22" t="inlineStr">
        <is>
          <t>9999</t>
        </is>
      </c>
      <c r="B808" s="11" t="inlineStr">
        <is>
          <t>Scaffolding</t>
        </is>
      </c>
      <c r="C808" s="22" t="inlineStr">
        <is>
          <t>L.S.</t>
        </is>
      </c>
      <c r="D808" s="23" t="n">
        <v>22.36</v>
      </c>
      <c r="E808" s="24" t="n">
        <v>2</v>
      </c>
      <c r="F808" s="24">
        <f>D808*E808</f>
        <v/>
      </c>
      <c r="G808" s="22" t="n"/>
    </row>
    <row r="809">
      <c r="A809" s="22" t="inlineStr">
        <is>
          <t>0115</t>
        </is>
      </c>
      <c r="B809" s="11" t="inlineStr">
        <is>
          <t>Coolie</t>
        </is>
      </c>
      <c r="C809" s="22" t="inlineStr">
        <is>
          <t>day</t>
        </is>
      </c>
      <c r="D809" s="23" t="n">
        <v>1.13</v>
      </c>
      <c r="E809" s="24" t="n">
        <v>558</v>
      </c>
      <c r="F809" s="24">
        <f>D809*E809</f>
        <v/>
      </c>
      <c r="G809" s="22" t="n"/>
    </row>
    <row r="810">
      <c r="A810" s="8" t="inlineStr">
        <is>
          <t>Calculated W - SUM of the Amount column above</t>
        </is>
      </c>
      <c r="B810" s="9" t="n"/>
      <c r="C810" s="9" t="n"/>
      <c r="D810" s="9" t="n"/>
      <c r="E810" s="9" t="n"/>
      <c r="F810" s="25">
        <f>SUM(F800:F809)</f>
        <v/>
      </c>
      <c r="G810" s="9" t="n"/>
    </row>
    <row r="811">
      <c r="A811" s="26" t="inlineStr">
        <is>
          <t>W as printed in the DAR</t>
        </is>
      </c>
      <c r="B811" s="22" t="n"/>
      <c r="C811" s="22" t="n"/>
      <c r="D811" s="22" t="n"/>
      <c r="E811" s="22" t="n"/>
      <c r="F811" s="27" t="n">
        <v>6121.35</v>
      </c>
      <c r="G811" s="22" t="n"/>
    </row>
    <row r="812">
      <c r="A812" s="26" t="inlineStr">
        <is>
          <t>Difference (calculated - printed)</t>
        </is>
      </c>
      <c r="B812" s="22" t="n"/>
      <c r="C812" s="22" t="n"/>
      <c r="D812" s="22" t="n"/>
      <c r="E812" s="22" t="n"/>
      <c r="F812" s="27">
        <f>F810-F811</f>
        <v/>
      </c>
      <c r="G812" s="22" t="n"/>
    </row>
    <row r="813">
      <c r="A813" s="29" t="inlineStr">
        <is>
          <t>SAY (Rs.) - final DAR rate as printed (fixed value, not computed)</t>
        </is>
      </c>
      <c r="B813" s="30" t="n"/>
      <c r="C813" s="30" t="n"/>
      <c r="D813" s="30" t="n"/>
      <c r="E813" s="30" t="n"/>
      <c r="F813" s="31" t="n">
        <v>8190</v>
      </c>
      <c r="G813" s="30" t="n"/>
    </row>
    <row r="815" ht="33" customHeight="1">
      <c r="A815" s="8" t="inlineStr">
        <is>
          <t>6.35</t>
        </is>
      </c>
      <c r="B815" s="17" t="inlineStr">
        <is>
          <t>Brick work with modular calcium silicate bricks machine moulded conforming to IS:4139, class designation 10 average compressive strength in super structure above plinth level up to floor V level in :</t>
        </is>
      </c>
      <c r="C815" s="9" t="n"/>
      <c r="D815" s="9" t="n"/>
      <c r="E815" s="9" t="n"/>
      <c r="F815" s="9" t="n"/>
      <c r="G815" s="9" t="n"/>
    </row>
    <row r="816" ht="18.5" customHeight="1">
      <c r="A816" s="18" t="inlineStr">
        <is>
          <t>6.35.2</t>
        </is>
      </c>
      <c r="B816" s="19" t="inlineStr">
        <is>
          <t>Cement mortar 1:6 (1 cement : 6 Coarse sand)</t>
        </is>
      </c>
      <c r="C816" s="20" t="n"/>
      <c r="D816" s="20" t="n"/>
      <c r="E816" s="20" t="n"/>
      <c r="F816" s="20" t="n"/>
      <c r="G816" s="20" t="n"/>
    </row>
    <row r="817">
      <c r="A817" s="21" t="inlineStr">
        <is>
          <t>Details of cost for 1 cum   |   Source: CivilDAR_2019_Vol_1.pdf, page 315</t>
        </is>
      </c>
    </row>
    <row r="818">
      <c r="A818" s="5" t="inlineStr">
        <is>
          <t>Code</t>
        </is>
      </c>
      <c r="B818" s="5" t="inlineStr">
        <is>
          <t>Description</t>
        </is>
      </c>
      <c r="C818" s="5" t="inlineStr">
        <is>
          <t>Unit</t>
        </is>
      </c>
      <c r="D818" s="5" t="inlineStr">
        <is>
          <t>Quantity</t>
        </is>
      </c>
      <c r="E818" s="5" t="inlineStr">
        <is>
          <t>Rate (Rs.)</t>
        </is>
      </c>
      <c r="F818" s="5" t="inlineStr">
        <is>
          <t>Amount (Rs.)</t>
        </is>
      </c>
      <c r="G818" s="5" t="inlineStr">
        <is>
          <t>Note</t>
        </is>
      </c>
    </row>
    <row r="819">
      <c r="A819" s="22" t="inlineStr">
        <is>
          <t>7738</t>
        </is>
      </c>
      <c r="B819" s="11" t="inlineStr">
        <is>
          <t>Calcium Silicate Bricks machine moulded confirming to I.S. 4139 - 1989</t>
        </is>
      </c>
      <c r="C819" s="22" t="inlineStr">
        <is>
          <t>1000 Nos</t>
        </is>
      </c>
      <c r="D819" s="23" t="n">
        <v>0.487</v>
      </c>
      <c r="E819" s="24" t="n">
        <v>5400</v>
      </c>
      <c r="F819" s="24">
        <f>D819*E819</f>
        <v/>
      </c>
      <c r="G819" s="22" t="n"/>
    </row>
    <row r="820">
      <c r="A820" s="7" t="inlineStr">
        <is>
          <t>3.11</t>
        </is>
      </c>
      <c r="B820" s="11" t="inlineStr">
        <is>
          <t>Rate as per item 3.11 - Cement mortar 1:6 (1 cement : 6 coarse sand)</t>
        </is>
      </c>
      <c r="C820" s="22" t="inlineStr">
        <is>
          <t>cum</t>
        </is>
      </c>
      <c r="D820" s="23" t="n">
        <v>0.22</v>
      </c>
      <c r="E820" s="24" t="n">
        <v>3356.15</v>
      </c>
      <c r="F820" s="24">
        <f>D820*E820</f>
        <v/>
      </c>
      <c r="G820" s="22" t="n"/>
    </row>
    <row r="821">
      <c r="A821" s="22" t="inlineStr">
        <is>
          <t>2201</t>
        </is>
      </c>
      <c r="B821" s="11" t="inlineStr">
        <is>
          <t>Carriage of Bricks</t>
        </is>
      </c>
      <c r="C821" s="22" t="inlineStr">
        <is>
          <t>1000 Nos</t>
        </is>
      </c>
      <c r="D821" s="23" t="n">
        <v>0.487</v>
      </c>
      <c r="E821" s="24" t="n">
        <v>276.72</v>
      </c>
      <c r="F821" s="24">
        <f>D821*E821</f>
        <v/>
      </c>
      <c r="G821" s="22" t="n"/>
    </row>
    <row r="822">
      <c r="A822" s="22" t="inlineStr">
        <is>
          <t>9999</t>
        </is>
      </c>
      <c r="B822" s="11" t="inlineStr">
        <is>
          <t>Sundries</t>
        </is>
      </c>
      <c r="C822" s="22" t="inlineStr">
        <is>
          <t>L.S.</t>
        </is>
      </c>
      <c r="D822" s="23" t="n">
        <v>2.73</v>
      </c>
      <c r="E822" s="24" t="n">
        <v>2</v>
      </c>
      <c r="F822" s="24">
        <f>D822*E822</f>
        <v/>
      </c>
      <c r="G822" s="22" t="n"/>
    </row>
    <row r="823">
      <c r="A823" s="22" t="inlineStr">
        <is>
          <t>0123</t>
        </is>
      </c>
      <c r="B823" s="11" t="inlineStr">
        <is>
          <t>Mason (brick layer) 1st class</t>
        </is>
      </c>
      <c r="C823" s="22" t="inlineStr">
        <is>
          <t>day</t>
        </is>
      </c>
      <c r="D823" s="23" t="n">
        <v>0.47</v>
      </c>
      <c r="E823" s="24" t="n">
        <v>738</v>
      </c>
      <c r="F823" s="24">
        <f>D823*E823</f>
        <v/>
      </c>
      <c r="G823" s="22" t="n"/>
    </row>
    <row r="824">
      <c r="A824" s="22" t="inlineStr">
        <is>
          <t>0124</t>
        </is>
      </c>
      <c r="B824" s="11" t="inlineStr">
        <is>
          <t>Mason (brick layer) 2nd class</t>
        </is>
      </c>
      <c r="C824" s="22" t="inlineStr">
        <is>
          <t>day</t>
        </is>
      </c>
      <c r="D824" s="23" t="n">
        <v>0.47</v>
      </c>
      <c r="E824" s="24" t="n">
        <v>679</v>
      </c>
      <c r="F824" s="24">
        <f>D824*E824</f>
        <v/>
      </c>
      <c r="G824" s="22" t="n"/>
    </row>
    <row r="825">
      <c r="A825" s="22" t="inlineStr">
        <is>
          <t>0115</t>
        </is>
      </c>
      <c r="B825" s="11" t="inlineStr">
        <is>
          <t>Coolie</t>
        </is>
      </c>
      <c r="C825" s="22" t="inlineStr">
        <is>
          <t>day</t>
        </is>
      </c>
      <c r="D825" s="23" t="n">
        <v>1.8</v>
      </c>
      <c r="E825" s="24" t="n">
        <v>558</v>
      </c>
      <c r="F825" s="24">
        <f>D825*E825</f>
        <v/>
      </c>
      <c r="G825" s="22" t="n"/>
    </row>
    <row r="826">
      <c r="A826" s="22" t="inlineStr">
        <is>
          <t>0101</t>
        </is>
      </c>
      <c r="B826" s="11" t="inlineStr">
        <is>
          <t>Bhisti</t>
        </is>
      </c>
      <c r="C826" s="22" t="inlineStr">
        <is>
          <t>day</t>
        </is>
      </c>
      <c r="D826" s="23" t="n">
        <v>0.2</v>
      </c>
      <c r="E826" s="24" t="n">
        <v>617</v>
      </c>
      <c r="F826" s="24">
        <f>D826*E826</f>
        <v/>
      </c>
      <c r="G826" s="22" t="n"/>
    </row>
    <row r="827">
      <c r="A827" s="22" t="inlineStr">
        <is>
          <t>9999</t>
        </is>
      </c>
      <c r="B827" s="11" t="inlineStr">
        <is>
          <t>Scaffolding</t>
        </is>
      </c>
      <c r="C827" s="22" t="inlineStr">
        <is>
          <t>L.S.</t>
        </is>
      </c>
      <c r="D827" s="23" t="n">
        <v>22.36</v>
      </c>
      <c r="E827" s="24" t="n">
        <v>2</v>
      </c>
      <c r="F827" s="24">
        <f>D827*E827</f>
        <v/>
      </c>
      <c r="G827" s="22" t="n"/>
    </row>
    <row r="828">
      <c r="A828" s="22" t="inlineStr">
        <is>
          <t>0115</t>
        </is>
      </c>
      <c r="B828" s="11" t="inlineStr">
        <is>
          <t>Coolie</t>
        </is>
      </c>
      <c r="C828" s="22" t="inlineStr">
        <is>
          <t>day</t>
        </is>
      </c>
      <c r="D828" s="23" t="n">
        <v>1.13</v>
      </c>
      <c r="E828" s="24" t="n">
        <v>558</v>
      </c>
      <c r="F828" s="24">
        <f>D828*E828</f>
        <v/>
      </c>
      <c r="G828" s="22" t="n"/>
    </row>
    <row r="829">
      <c r="A829" s="8" t="inlineStr">
        <is>
          <t>Calculated W - SUM of the Amount column above</t>
        </is>
      </c>
      <c r="B829" s="9" t="n"/>
      <c r="C829" s="9" t="n"/>
      <c r="D829" s="9" t="n"/>
      <c r="E829" s="9" t="n"/>
      <c r="F829" s="25">
        <f>SUM(F819:F828)</f>
        <v/>
      </c>
      <c r="G829" s="9" t="n"/>
    </row>
    <row r="830">
      <c r="A830" s="26" t="inlineStr">
        <is>
          <t>W as printed in the DAR</t>
        </is>
      </c>
      <c r="B830" s="22" t="n"/>
      <c r="C830" s="22" t="n"/>
      <c r="D830" s="22" t="n"/>
      <c r="E830" s="22" t="n"/>
      <c r="F830" s="27" t="n">
        <v>5977.43</v>
      </c>
      <c r="G830" s="22" t="n"/>
    </row>
    <row r="831">
      <c r="A831" s="26" t="inlineStr">
        <is>
          <t>Difference (calculated - printed)</t>
        </is>
      </c>
      <c r="B831" s="22" t="n"/>
      <c r="C831" s="22" t="n"/>
      <c r="D831" s="22" t="n"/>
      <c r="E831" s="22" t="n"/>
      <c r="F831" s="27">
        <f>F829-F830</f>
        <v/>
      </c>
      <c r="G831" s="22" t="n"/>
    </row>
    <row r="832">
      <c r="A832" s="29" t="inlineStr">
        <is>
          <t>SAY (Rs.) - final DAR rate as printed (fixed value, not computed)</t>
        </is>
      </c>
      <c r="B832" s="30" t="n"/>
      <c r="C832" s="30" t="n"/>
      <c r="D832" s="30" t="n"/>
      <c r="E832" s="30" t="n"/>
      <c r="F832" s="31" t="n">
        <v>7997.4</v>
      </c>
      <c r="G832" s="30" t="n"/>
    </row>
    <row r="834" ht="33" customHeight="1">
      <c r="A834" s="8" t="inlineStr">
        <is>
          <t>6.36</t>
        </is>
      </c>
      <c r="B834" s="17" t="inlineStr">
        <is>
          <t>Brick work with modular extruded brunt fly ash clay sewer bricks (Conforming to IS: 4885 ) in cement mortar 1:4 (1 cement : 4 coarse sand) in foundation and plinth :</t>
        </is>
      </c>
      <c r="C834" s="9" t="n"/>
      <c r="D834" s="9" t="n"/>
      <c r="E834" s="9" t="n"/>
      <c r="F834" s="9" t="n"/>
      <c r="G834" s="9" t="n"/>
    </row>
    <row r="835" ht="18.5" customHeight="1">
      <c r="A835" s="18" t="inlineStr">
        <is>
          <t>6.36.1</t>
        </is>
      </c>
      <c r="B835" s="19" t="inlineStr">
        <is>
          <t>Cement Mortar 1:4 ( 1 cement : 4 coarse sand)</t>
        </is>
      </c>
      <c r="C835" s="20" t="n"/>
      <c r="D835" s="20" t="n"/>
      <c r="E835" s="20" t="n"/>
      <c r="F835" s="20" t="n"/>
      <c r="G835" s="20" t="n"/>
    </row>
    <row r="836">
      <c r="A836" s="21" t="inlineStr">
        <is>
          <t>Details of cost for 1 cum   |   Source: CivilDAR_2019_Vol_1.pdf, page 315</t>
        </is>
      </c>
    </row>
    <row r="837">
      <c r="A837" s="5" t="inlineStr">
        <is>
          <t>Code</t>
        </is>
      </c>
      <c r="B837" s="5" t="inlineStr">
        <is>
          <t>Description</t>
        </is>
      </c>
      <c r="C837" s="5" t="inlineStr">
        <is>
          <t>Unit</t>
        </is>
      </c>
      <c r="D837" s="5" t="inlineStr">
        <is>
          <t>Quantity</t>
        </is>
      </c>
      <c r="E837" s="5" t="inlineStr">
        <is>
          <t>Rate (Rs.)</t>
        </is>
      </c>
      <c r="F837" s="5" t="inlineStr">
        <is>
          <t>Amount (Rs.)</t>
        </is>
      </c>
      <c r="G837" s="5" t="inlineStr">
        <is>
          <t>Note</t>
        </is>
      </c>
    </row>
    <row r="838">
      <c r="A838" s="22" t="inlineStr">
        <is>
          <t>7736</t>
        </is>
      </c>
      <c r="B838" s="11" t="inlineStr">
        <is>
          <t>Extruded burnt flyash clay sewer bricks conforming to I.S 4885 - 1988</t>
        </is>
      </c>
      <c r="C838" s="22" t="inlineStr">
        <is>
          <t>1000 Nos</t>
        </is>
      </c>
      <c r="D838" s="23" t="n">
        <v>0.487</v>
      </c>
      <c r="E838" s="24" t="n">
        <v>5400</v>
      </c>
      <c r="F838" s="24">
        <f>D838*E838</f>
        <v/>
      </c>
      <c r="G838" s="22" t="n"/>
    </row>
    <row r="839">
      <c r="A839" s="7" t="inlineStr">
        <is>
          <t>3.9</t>
        </is>
      </c>
      <c r="B839" s="11" t="inlineStr">
        <is>
          <t>Rate as per item 3.9 - Cement mortar 1:4 (1 cement : 4 coarse sand)</t>
        </is>
      </c>
      <c r="C839" s="22" t="inlineStr">
        <is>
          <t>cum</t>
        </is>
      </c>
      <c r="D839" s="23" t="n">
        <v>0.22</v>
      </c>
      <c r="E839" s="24" t="n">
        <v>4010.35</v>
      </c>
      <c r="F839" s="24">
        <f>D839*E839</f>
        <v/>
      </c>
      <c r="G839" s="22" t="n"/>
    </row>
    <row r="840">
      <c r="A840" s="22" t="inlineStr">
        <is>
          <t>2201</t>
        </is>
      </c>
      <c r="B840" s="11" t="inlineStr">
        <is>
          <t>Carriage of Bricks</t>
        </is>
      </c>
      <c r="C840" s="22" t="inlineStr">
        <is>
          <t>1000 Nos</t>
        </is>
      </c>
      <c r="D840" s="23" t="n">
        <v>0.487</v>
      </c>
      <c r="E840" s="24" t="n">
        <v>276.72</v>
      </c>
      <c r="F840" s="24">
        <f>D840*E840</f>
        <v/>
      </c>
      <c r="G840" s="22" t="n"/>
    </row>
    <row r="841">
      <c r="A841" s="22" t="inlineStr">
        <is>
          <t>9999</t>
        </is>
      </c>
      <c r="B841" s="11" t="inlineStr">
        <is>
          <t>Sundries</t>
        </is>
      </c>
      <c r="C841" s="22" t="inlineStr">
        <is>
          <t>L.S.</t>
        </is>
      </c>
      <c r="D841" s="23" t="n">
        <v>2.73</v>
      </c>
      <c r="E841" s="24" t="n">
        <v>2</v>
      </c>
      <c r="F841" s="24">
        <f>D841*E841</f>
        <v/>
      </c>
      <c r="G841" s="22" t="n"/>
    </row>
    <row r="842">
      <c r="A842" s="22" t="inlineStr">
        <is>
          <t>0123</t>
        </is>
      </c>
      <c r="B842" s="11" t="inlineStr">
        <is>
          <t>Mason (brick layer) 1st class</t>
        </is>
      </c>
      <c r="C842" s="22" t="inlineStr">
        <is>
          <t>day</t>
        </is>
      </c>
      <c r="D842" s="23" t="n">
        <v>0.33</v>
      </c>
      <c r="E842" s="24" t="n">
        <v>738</v>
      </c>
      <c r="F842" s="24">
        <f>D842*E842</f>
        <v/>
      </c>
      <c r="G842" s="22" t="n"/>
    </row>
    <row r="843">
      <c r="A843" s="22" t="inlineStr">
        <is>
          <t>0124</t>
        </is>
      </c>
      <c r="B843" s="11" t="inlineStr">
        <is>
          <t>Mason (brick layer) 2nd class</t>
        </is>
      </c>
      <c r="C843" s="22" t="inlineStr">
        <is>
          <t>day</t>
        </is>
      </c>
      <c r="D843" s="23" t="n">
        <v>0.33</v>
      </c>
      <c r="E843" s="24" t="n">
        <v>679</v>
      </c>
      <c r="F843" s="24">
        <f>D843*E843</f>
        <v/>
      </c>
      <c r="G843" s="22" t="n"/>
    </row>
    <row r="844">
      <c r="A844" s="22" t="inlineStr">
        <is>
          <t>0115</t>
        </is>
      </c>
      <c r="B844" s="11" t="inlineStr">
        <is>
          <t>Coolie</t>
        </is>
      </c>
      <c r="C844" s="22" t="inlineStr">
        <is>
          <t>day</t>
        </is>
      </c>
      <c r="D844" s="23" t="n">
        <v>1</v>
      </c>
      <c r="E844" s="24" t="n">
        <v>558</v>
      </c>
      <c r="F844" s="24">
        <f>D844*E844</f>
        <v/>
      </c>
      <c r="G844" s="22" t="n"/>
    </row>
    <row r="845">
      <c r="A845" s="22" t="inlineStr">
        <is>
          <t>0101</t>
        </is>
      </c>
      <c r="B845" s="11" t="inlineStr">
        <is>
          <t>Bhisti</t>
        </is>
      </c>
      <c r="C845" s="22" t="inlineStr">
        <is>
          <t>day</t>
        </is>
      </c>
      <c r="D845" s="23" t="n">
        <v>0.18</v>
      </c>
      <c r="E845" s="24" t="n">
        <v>617</v>
      </c>
      <c r="F845" s="24">
        <f>D845*E845</f>
        <v/>
      </c>
      <c r="G845" s="22" t="n"/>
    </row>
    <row r="846">
      <c r="A846" s="8" t="inlineStr">
        <is>
          <t>Calculated W - SUM of the Amount column above</t>
        </is>
      </c>
      <c r="B846" s="9" t="n"/>
      <c r="C846" s="9" t="n"/>
      <c r="D846" s="9" t="n"/>
      <c r="E846" s="9" t="n"/>
      <c r="F846" s="25">
        <f>SUM(F838:F845)</f>
        <v/>
      </c>
      <c r="G846" s="9" t="n"/>
    </row>
    <row r="847">
      <c r="A847" s="26" t="inlineStr">
        <is>
          <t>W as printed in the DAR</t>
        </is>
      </c>
      <c r="B847" s="22" t="n"/>
      <c r="C847" s="22" t="n"/>
      <c r="D847" s="22" t="n"/>
      <c r="E847" s="22" t="n"/>
      <c r="F847" s="27" t="n">
        <v>4788.97</v>
      </c>
      <c r="G847" s="22" t="n"/>
    </row>
    <row r="848">
      <c r="A848" s="26" t="inlineStr">
        <is>
          <t>Difference (calculated - printed)</t>
        </is>
      </c>
      <c r="B848" s="22" t="n"/>
      <c r="C848" s="22" t="n"/>
      <c r="D848" s="22" t="n"/>
      <c r="E848" s="22" t="n"/>
      <c r="F848" s="27">
        <f>F846-F847</f>
        <v/>
      </c>
      <c r="G848" s="22" t="n"/>
    </row>
    <row r="849">
      <c r="A849" s="29" t="inlineStr">
        <is>
          <t>SAY (Rs.) - final DAR rate as printed (fixed value, not computed)</t>
        </is>
      </c>
      <c r="B849" s="30" t="n"/>
      <c r="C849" s="30" t="n"/>
      <c r="D849" s="30" t="n"/>
      <c r="E849" s="30" t="n"/>
      <c r="F849" s="31" t="n">
        <v>6407.35</v>
      </c>
      <c r="G849" s="30" t="n"/>
    </row>
    <row r="851" ht="33" customHeight="1">
      <c r="A851" s="18" t="inlineStr">
        <is>
          <t>6.37</t>
        </is>
      </c>
      <c r="B851" s="19" t="inlineStr">
        <is>
          <t>Brick work with modular extruded brunt fly ash clay sewer bricks (conforming to IS : 4885) in arches in foundation and plinth in cement mortar 1:3 ( 1 cement : 3 fine sand).</t>
        </is>
      </c>
      <c r="C851" s="20" t="n"/>
      <c r="D851" s="20" t="n"/>
      <c r="E851" s="20" t="n"/>
      <c r="F851" s="20" t="n"/>
      <c r="G851" s="20" t="n"/>
    </row>
    <row r="852">
      <c r="A852" s="21" t="inlineStr">
        <is>
          <t>Details of cost for 1 cum   |   Source: CivilDAR_2019_Vol_1.pdf, page 316</t>
        </is>
      </c>
    </row>
    <row r="853">
      <c r="A853" s="5" t="inlineStr">
        <is>
          <t>Code</t>
        </is>
      </c>
      <c r="B853" s="5" t="inlineStr">
        <is>
          <t>Description</t>
        </is>
      </c>
      <c r="C853" s="5" t="inlineStr">
        <is>
          <t>Unit</t>
        </is>
      </c>
      <c r="D853" s="5" t="inlineStr">
        <is>
          <t>Quantity</t>
        </is>
      </c>
      <c r="E853" s="5" t="inlineStr">
        <is>
          <t>Rate (Rs.)</t>
        </is>
      </c>
      <c r="F853" s="5" t="inlineStr">
        <is>
          <t>Amount (Rs.)</t>
        </is>
      </c>
      <c r="G853" s="5" t="inlineStr">
        <is>
          <t>Note</t>
        </is>
      </c>
    </row>
    <row r="854">
      <c r="A854" s="22" t="inlineStr">
        <is>
          <t>7736</t>
        </is>
      </c>
      <c r="B854" s="11" t="inlineStr">
        <is>
          <t>Extruded burnt flyash clay sewer bricks conforming to I.S 4885 - 1988</t>
        </is>
      </c>
      <c r="C854" s="22" t="inlineStr">
        <is>
          <t>1000 Nos</t>
        </is>
      </c>
      <c r="D854" s="23" t="n">
        <v>0.487</v>
      </c>
      <c r="E854" s="24" t="n">
        <v>5400</v>
      </c>
      <c r="F854" s="24">
        <f>D854*E854</f>
        <v/>
      </c>
      <c r="G854" s="22" t="n"/>
    </row>
    <row r="855">
      <c r="A855" s="7" t="inlineStr">
        <is>
          <t>3.3</t>
        </is>
      </c>
      <c r="B855" s="11" t="inlineStr">
        <is>
          <t>Rate as per item 3.3 - Cement mortar 1:3 (1 cement : 3 fine sand)</t>
        </is>
      </c>
      <c r="C855" s="22" t="inlineStr">
        <is>
          <t>cum</t>
        </is>
      </c>
      <c r="D855" s="23" t="n">
        <v>0.25</v>
      </c>
      <c r="E855" s="24" t="n">
        <v>4183.05</v>
      </c>
      <c r="F855" s="24">
        <f>D855*E855</f>
        <v/>
      </c>
      <c r="G855" s="22" t="n"/>
    </row>
    <row r="856">
      <c r="A856" s="22" t="inlineStr">
        <is>
          <t>2201</t>
        </is>
      </c>
      <c r="B856" s="11" t="inlineStr">
        <is>
          <t>Carriage of Bricks</t>
        </is>
      </c>
      <c r="C856" s="22" t="inlineStr">
        <is>
          <t>1000 Nos</t>
        </is>
      </c>
      <c r="D856" s="23" t="n">
        <v>0.487</v>
      </c>
      <c r="E856" s="24" t="n">
        <v>276.72</v>
      </c>
      <c r="F856" s="24">
        <f>D856*E856</f>
        <v/>
      </c>
      <c r="G856" s="22" t="n"/>
    </row>
    <row r="857">
      <c r="A857" s="22" t="inlineStr">
        <is>
          <t>9999</t>
        </is>
      </c>
      <c r="B857" s="11" t="inlineStr">
        <is>
          <t>Sundries</t>
        </is>
      </c>
      <c r="C857" s="22" t="inlineStr">
        <is>
          <t>L.S.</t>
        </is>
      </c>
      <c r="D857" s="23" t="n">
        <v>2.73</v>
      </c>
      <c r="E857" s="24" t="n">
        <v>2</v>
      </c>
      <c r="F857" s="24">
        <f>D857*E857</f>
        <v/>
      </c>
      <c r="G857" s="22" t="n"/>
    </row>
    <row r="858">
      <c r="A858" s="7" t="inlineStr">
        <is>
          <t>5.9.9</t>
        </is>
      </c>
      <c r="B858" s="11" t="inlineStr">
        <is>
          <t>Rate as per item 5.9.9 - Centering and shuttering including strutting, propping etc. and removal of form for - Arches, domes, vaults...</t>
        </is>
      </c>
      <c r="C858" s="22" t="inlineStr">
        <is>
          <t>sqm</t>
        </is>
      </c>
      <c r="D858" s="23" t="n">
        <v>2.25</v>
      </c>
      <c r="E858" s="24" t="n">
        <v>1713.2</v>
      </c>
      <c r="F858" s="24">
        <f>D858*E858</f>
        <v/>
      </c>
      <c r="G858" s="22" t="n"/>
    </row>
    <row r="859">
      <c r="A859" s="22" t="inlineStr">
        <is>
          <t>0123</t>
        </is>
      </c>
      <c r="B859" s="11" t="inlineStr">
        <is>
          <t>Mason (brick layer) 1st class</t>
        </is>
      </c>
      <c r="C859" s="22" t="inlineStr">
        <is>
          <t>day</t>
        </is>
      </c>
      <c r="D859" s="23" t="n">
        <v>0.42</v>
      </c>
      <c r="E859" s="24" t="n">
        <v>738</v>
      </c>
      <c r="F859" s="24">
        <f>D859*E859</f>
        <v/>
      </c>
      <c r="G859" s="22" t="n"/>
    </row>
    <row r="860">
      <c r="A860" s="22" t="inlineStr">
        <is>
          <t>0124</t>
        </is>
      </c>
      <c r="B860" s="11" t="inlineStr">
        <is>
          <t>Mason (brick layer) 2nd class</t>
        </is>
      </c>
      <c r="C860" s="22" t="inlineStr">
        <is>
          <t>day</t>
        </is>
      </c>
      <c r="D860" s="23" t="n">
        <v>0.42</v>
      </c>
      <c r="E860" s="24" t="n">
        <v>679</v>
      </c>
      <c r="F860" s="24">
        <f>D860*E860</f>
        <v/>
      </c>
      <c r="G860" s="22" t="n"/>
    </row>
    <row r="861">
      <c r="A861" s="22" t="inlineStr">
        <is>
          <t>0115</t>
        </is>
      </c>
      <c r="B861" s="11" t="inlineStr">
        <is>
          <t>Coolie</t>
        </is>
      </c>
      <c r="C861" s="22" t="inlineStr">
        <is>
          <t>day</t>
        </is>
      </c>
      <c r="D861" s="23" t="n">
        <v>1.86</v>
      </c>
      <c r="E861" s="24" t="n">
        <v>558</v>
      </c>
      <c r="F861" s="24">
        <f>D861*E861</f>
        <v/>
      </c>
      <c r="G861" s="22" t="n"/>
    </row>
    <row r="862">
      <c r="A862" s="22" t="inlineStr">
        <is>
          <t>0101</t>
        </is>
      </c>
      <c r="B862" s="11" t="inlineStr">
        <is>
          <t>Bhisti</t>
        </is>
      </c>
      <c r="C862" s="22" t="inlineStr">
        <is>
          <t>day</t>
        </is>
      </c>
      <c r="D862" s="23" t="n">
        <v>0.2</v>
      </c>
      <c r="E862" s="24" t="n">
        <v>617</v>
      </c>
      <c r="F862" s="24">
        <f>D862*E862</f>
        <v/>
      </c>
      <c r="G862" s="22" t="n"/>
    </row>
    <row r="863">
      <c r="A863" s="8" t="inlineStr">
        <is>
          <t>Calculated W - SUM of the Amount column above</t>
        </is>
      </c>
      <c r="B863" s="9" t="n"/>
      <c r="C863" s="9" t="n"/>
      <c r="D863" s="9" t="n"/>
      <c r="E863" s="9" t="n"/>
      <c r="F863" s="25">
        <f>SUM(F854:F862)</f>
        <v/>
      </c>
      <c r="G863" s="9" t="n"/>
    </row>
    <row r="864">
      <c r="A864" s="26" t="inlineStr">
        <is>
          <t>W as printed in the DAR</t>
        </is>
      </c>
      <c r="B864" s="22" t="n"/>
      <c r="C864" s="22" t="n"/>
      <c r="D864" s="22" t="n"/>
      <c r="E864" s="22" t="n"/>
      <c r="F864" s="27" t="n">
        <v>9426.91</v>
      </c>
      <c r="G864" s="22" t="n"/>
    </row>
    <row r="865">
      <c r="A865" s="26" t="inlineStr">
        <is>
          <t>Difference (calculated - printed)</t>
        </is>
      </c>
      <c r="B865" s="22" t="n"/>
      <c r="C865" s="22" t="n"/>
      <c r="D865" s="22" t="n"/>
      <c r="E865" s="22" t="n"/>
      <c r="F865" s="27">
        <f>F863-F864</f>
        <v/>
      </c>
      <c r="G865" s="22" t="n"/>
    </row>
    <row r="866">
      <c r="A866" s="29" t="inlineStr">
        <is>
          <t>SAY (Rs.) - final DAR rate as printed (fixed value, not computed)</t>
        </is>
      </c>
      <c r="B866" s="30" t="n"/>
      <c r="C866" s="30" t="n"/>
      <c r="D866" s="30" t="n"/>
      <c r="E866" s="30" t="n"/>
      <c r="F866" s="31" t="n">
        <v>11309.95</v>
      </c>
      <c r="G866" s="30" t="n"/>
    </row>
    <row r="868" ht="47.5" customHeight="1">
      <c r="A868" s="18" t="inlineStr">
        <is>
          <t>6.38</t>
        </is>
      </c>
      <c r="B868" s="19" t="inlineStr">
        <is>
          <t>Providing and laying autoclaved aerated cement blocks masonry with 100 mm thick AAC blocks in super structure above plinth level up to floor V level in cement mortar 1:4 (1 cement : 4 coarse sand ). The rate includes providing and placing in position 2 Nos 6 mm dia M.S. bars at every third course of masonry work.</t>
        </is>
      </c>
      <c r="C868" s="20" t="n"/>
      <c r="D868" s="20" t="n"/>
      <c r="E868" s="20" t="n"/>
      <c r="F868" s="20" t="n"/>
      <c r="G868" s="20" t="n"/>
    </row>
    <row r="869">
      <c r="A869" s="21" t="inlineStr">
        <is>
          <t>Details of cost for 1 cum   |   Source: CivilDAR_2019_Vol_1.pdf, page 317</t>
        </is>
      </c>
    </row>
    <row r="870">
      <c r="A870" s="5" t="inlineStr">
        <is>
          <t>Code</t>
        </is>
      </c>
      <c r="B870" s="5" t="inlineStr">
        <is>
          <t>Description</t>
        </is>
      </c>
      <c r="C870" s="5" t="inlineStr">
        <is>
          <t>Unit</t>
        </is>
      </c>
      <c r="D870" s="5" t="inlineStr">
        <is>
          <t>Quantity</t>
        </is>
      </c>
      <c r="E870" s="5" t="inlineStr">
        <is>
          <t>Rate (Rs.)</t>
        </is>
      </c>
      <c r="F870" s="5" t="inlineStr">
        <is>
          <t>Amount (Rs.)</t>
        </is>
      </c>
      <c r="G870" s="5" t="inlineStr">
        <is>
          <t>Note</t>
        </is>
      </c>
    </row>
    <row r="871">
      <c r="A871" s="22" t="inlineStr">
        <is>
          <t>8655</t>
        </is>
      </c>
      <c r="B871" s="11" t="inlineStr">
        <is>
          <t>Autoclaved aerated cement (AAC) blocks.</t>
        </is>
      </c>
      <c r="C871" s="22" t="inlineStr">
        <is>
          <t>cum</t>
        </is>
      </c>
      <c r="D871" s="23" t="n">
        <v>1</v>
      </c>
      <c r="E871" s="24" t="n">
        <v>2600</v>
      </c>
      <c r="F871" s="24">
        <f>D871*E871</f>
        <v/>
      </c>
      <c r="G871" s="22" t="n"/>
    </row>
    <row r="872">
      <c r="A872" s="7" t="inlineStr">
        <is>
          <t>3.9</t>
        </is>
      </c>
      <c r="B872" s="11" t="inlineStr">
        <is>
          <t>Rate as per item 3.9 - Cement mortar 1:4 (1 cement : 4 coarse sand)</t>
        </is>
      </c>
      <c r="C872" s="22" t="inlineStr">
        <is>
          <t>cum</t>
        </is>
      </c>
      <c r="D872" s="23" t="n">
        <v>0.15</v>
      </c>
      <c r="E872" s="24" t="n">
        <v>4010.35</v>
      </c>
      <c r="F872" s="24">
        <f>D872*E872</f>
        <v/>
      </c>
      <c r="G872" s="22" t="n"/>
    </row>
    <row r="873">
      <c r="A873" s="22" t="inlineStr">
        <is>
          <t>2208</t>
        </is>
      </c>
      <c r="B873" s="11" t="inlineStr">
        <is>
          <t>Carriage of Lime</t>
        </is>
      </c>
      <c r="C873" s="22" t="inlineStr">
        <is>
          <t>cum</t>
        </is>
      </c>
      <c r="D873" s="23" t="n">
        <v>1</v>
      </c>
      <c r="E873" s="24" t="n">
        <v>103.77</v>
      </c>
      <c r="F873" s="24">
        <f>D873*E873</f>
        <v/>
      </c>
      <c r="G873" s="22" t="n"/>
    </row>
    <row r="874">
      <c r="A874" s="22" t="inlineStr">
        <is>
          <t>9999</t>
        </is>
      </c>
      <c r="B874" s="11" t="inlineStr">
        <is>
          <t>Sundries</t>
        </is>
      </c>
      <c r="C874" s="22" t="inlineStr">
        <is>
          <t>L.S.</t>
        </is>
      </c>
      <c r="D874" s="23" t="n">
        <v>2.73</v>
      </c>
      <c r="E874" s="24" t="n">
        <v>2</v>
      </c>
      <c r="F874" s="24">
        <f>D874*E874</f>
        <v/>
      </c>
      <c r="G874" s="22" t="n"/>
    </row>
    <row r="875">
      <c r="A875" s="22" t="inlineStr">
        <is>
          <t>0123</t>
        </is>
      </c>
      <c r="B875" s="11" t="inlineStr">
        <is>
          <t>Mason (brick layer) 1st class</t>
        </is>
      </c>
      <c r="C875" s="22" t="inlineStr">
        <is>
          <t>day</t>
        </is>
      </c>
      <c r="D875" s="23" t="n">
        <v>0.36</v>
      </c>
      <c r="E875" s="24" t="n">
        <v>738</v>
      </c>
      <c r="F875" s="24">
        <f>D875*E875</f>
        <v/>
      </c>
      <c r="G875" s="22" t="n"/>
    </row>
    <row r="876">
      <c r="A876" s="22" t="inlineStr">
        <is>
          <t>0124</t>
        </is>
      </c>
      <c r="B876" s="11" t="inlineStr">
        <is>
          <t>Mason (brick layer) 2nd class</t>
        </is>
      </c>
      <c r="C876" s="22" t="inlineStr">
        <is>
          <t>day</t>
        </is>
      </c>
      <c r="D876" s="23" t="n">
        <v>0.36</v>
      </c>
      <c r="E876" s="24" t="n">
        <v>679</v>
      </c>
      <c r="F876" s="24">
        <f>D876*E876</f>
        <v/>
      </c>
      <c r="G876" s="22" t="n"/>
    </row>
    <row r="877">
      <c r="A877" s="22" t="inlineStr">
        <is>
          <t>0115</t>
        </is>
      </c>
      <c r="B877" s="11" t="inlineStr">
        <is>
          <t>Coolie</t>
        </is>
      </c>
      <c r="C877" s="22" t="inlineStr">
        <is>
          <t>day</t>
        </is>
      </c>
      <c r="D877" s="23" t="n">
        <v>1.37</v>
      </c>
      <c r="E877" s="24" t="n">
        <v>558</v>
      </c>
      <c r="F877" s="24">
        <f>D877*E877</f>
        <v/>
      </c>
      <c r="G877" s="22" t="n"/>
    </row>
    <row r="878">
      <c r="A878" s="22" t="inlineStr">
        <is>
          <t>0101</t>
        </is>
      </c>
      <c r="B878" s="11" t="inlineStr">
        <is>
          <t>Bhisti</t>
        </is>
      </c>
      <c r="C878" s="22" t="inlineStr">
        <is>
          <t>day</t>
        </is>
      </c>
      <c r="D878" s="23" t="n">
        <v>0.2</v>
      </c>
      <c r="E878" s="24" t="n">
        <v>617</v>
      </c>
      <c r="F878" s="24">
        <f>D878*E878</f>
        <v/>
      </c>
      <c r="G878" s="22" t="n"/>
    </row>
    <row r="879">
      <c r="A879" s="7" t="inlineStr">
        <is>
          <t>5.22.1</t>
        </is>
      </c>
      <c r="B879" s="11" t="inlineStr">
        <is>
          <t>Rate as per item 5.22.1 - Steel reinforcement for R.C.C. work including straightening, cutting, bending, placing in position and bind...</t>
        </is>
      </c>
      <c r="C879" s="22" t="inlineStr">
        <is>
          <t>kg</t>
        </is>
      </c>
      <c r="D879" s="23" t="n">
        <v>13.2</v>
      </c>
      <c r="E879" s="24" t="n">
        <v>82.09999999999999</v>
      </c>
      <c r="F879" s="24">
        <f>D879*E879</f>
        <v/>
      </c>
      <c r="G879" s="22" t="n"/>
    </row>
    <row r="880">
      <c r="A880" s="22" t="inlineStr">
        <is>
          <t>0115</t>
        </is>
      </c>
      <c r="B880" s="11" t="inlineStr">
        <is>
          <t>Coolie</t>
        </is>
      </c>
      <c r="C880" s="22" t="inlineStr">
        <is>
          <t>day</t>
        </is>
      </c>
      <c r="D880" s="23" t="n">
        <v>1.13</v>
      </c>
      <c r="E880" s="24" t="n">
        <v>558</v>
      </c>
      <c r="F880" s="24">
        <f>D880*E880</f>
        <v/>
      </c>
      <c r="G880" s="22" t="n"/>
    </row>
    <row r="881">
      <c r="A881" s="8" t="inlineStr">
        <is>
          <t>Calculated W - SUM of the Amount column above</t>
        </is>
      </c>
      <c r="B881" s="9" t="n"/>
      <c r="C881" s="9" t="n"/>
      <c r="D881" s="9" t="n"/>
      <c r="E881" s="9" t="n"/>
      <c r="F881" s="25">
        <f>SUM(F871:F880)</f>
        <v/>
      </c>
      <c r="G881" s="9" t="n"/>
    </row>
    <row r="882">
      <c r="A882" s="26" t="inlineStr">
        <is>
          <t>W as printed in the DAR</t>
        </is>
      </c>
      <c r="B882" s="22" t="n"/>
      <c r="C882" s="22" t="n"/>
      <c r="D882" s="22" t="n"/>
      <c r="E882" s="22" t="n"/>
      <c r="F882" s="27" t="n">
        <v>6423.02</v>
      </c>
      <c r="G882" s="22" t="n"/>
    </row>
    <row r="883">
      <c r="A883" s="26" t="inlineStr">
        <is>
          <t>Difference (calculated - printed)</t>
        </is>
      </c>
      <c r="B883" s="22" t="n"/>
      <c r="C883" s="22" t="n"/>
      <c r="D883" s="22" t="n"/>
      <c r="E883" s="22" t="n"/>
      <c r="F883" s="27">
        <f>F881-F882</f>
        <v/>
      </c>
      <c r="G883" s="22" t="n"/>
    </row>
    <row r="884">
      <c r="A884" s="29" t="inlineStr">
        <is>
          <t>SAY (Rs.) - final DAR rate as printed (fixed value, not computed)</t>
        </is>
      </c>
      <c r="B884" s="30" t="n"/>
      <c r="C884" s="30" t="n"/>
      <c r="D884" s="30" t="n"/>
      <c r="E884" s="30" t="n"/>
      <c r="F884" s="31" t="n">
        <v>8227.35</v>
      </c>
      <c r="G884" s="30" t="n"/>
    </row>
    <row r="886" ht="47.5" customHeight="1">
      <c r="A886" s="18" t="inlineStr">
        <is>
          <t>6.40</t>
        </is>
      </c>
      <c r="B886" s="19" t="inlineStr">
        <is>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t>
        </is>
      </c>
      <c r="C886" s="20" t="n"/>
      <c r="D886" s="20" t="n"/>
      <c r="E886" s="20" t="n"/>
      <c r="F886" s="20" t="n"/>
      <c r="G886" s="20" t="n"/>
    </row>
    <row r="887">
      <c r="A887" s="21" t="inlineStr">
        <is>
          <t>Details of cost for 10 sqm   |   Source: CivilDAR_2019_Vol_1.pdf, page 317</t>
        </is>
      </c>
    </row>
    <row r="888">
      <c r="A888" s="5" t="inlineStr">
        <is>
          <t>Code</t>
        </is>
      </c>
      <c r="B888" s="5" t="inlineStr">
        <is>
          <t>Description</t>
        </is>
      </c>
      <c r="C888" s="5" t="inlineStr">
        <is>
          <t>Unit</t>
        </is>
      </c>
      <c r="D888" s="5" t="inlineStr">
        <is>
          <t>Quantity</t>
        </is>
      </c>
      <c r="E888" s="5" t="inlineStr">
        <is>
          <t>Rate (Rs.)</t>
        </is>
      </c>
      <c r="F888" s="5" t="inlineStr">
        <is>
          <t>Amount (Rs.)</t>
        </is>
      </c>
      <c r="G888" s="5" t="inlineStr">
        <is>
          <t>Note</t>
        </is>
      </c>
    </row>
    <row r="889">
      <c r="A889" s="22" t="inlineStr">
        <is>
          <t>8656</t>
        </is>
      </c>
      <c r="B889" s="11" t="inlineStr">
        <is>
          <t>Gypsum panel 666 X 500 X 100 mm size.</t>
        </is>
      </c>
      <c r="C889" s="22" t="inlineStr">
        <is>
          <t>sqm</t>
        </is>
      </c>
      <c r="D889" s="23" t="n">
        <v>10</v>
      </c>
      <c r="E889" s="24" t="n">
        <v>480</v>
      </c>
      <c r="F889" s="24">
        <f>D889*E889</f>
        <v/>
      </c>
      <c r="G889" s="22" t="n"/>
    </row>
    <row r="890">
      <c r="A890" s="22" t="inlineStr">
        <is>
          <t>8657</t>
        </is>
      </c>
      <c r="B890" s="11" t="inlineStr">
        <is>
          <t>Bonding plaster for Gypsum panel.</t>
        </is>
      </c>
      <c r="C890" s="22" t="inlineStr">
        <is>
          <t>kg</t>
        </is>
      </c>
      <c r="D890" s="23" t="n">
        <v>25</v>
      </c>
      <c r="E890" s="24" t="n">
        <v>25</v>
      </c>
      <c r="F890" s="24">
        <f>D890*E890</f>
        <v/>
      </c>
      <c r="G890" s="22" t="n"/>
    </row>
    <row r="891">
      <c r="A891" s="22" t="inlineStr">
        <is>
          <t>9999</t>
        </is>
      </c>
      <c r="B891" s="11" t="inlineStr">
        <is>
          <t>Sundries &amp; scaffolding</t>
        </is>
      </c>
      <c r="C891" s="22" t="inlineStr">
        <is>
          <t>L.S.</t>
        </is>
      </c>
      <c r="D891" s="23" t="n">
        <v>13.52</v>
      </c>
      <c r="E891" s="24" t="n">
        <v>2</v>
      </c>
      <c r="F891" s="24">
        <f>D891*E891</f>
        <v/>
      </c>
      <c r="G891" s="22" t="n"/>
    </row>
    <row r="892">
      <c r="A892" s="22" t="inlineStr">
        <is>
          <t>0123</t>
        </is>
      </c>
      <c r="B892" s="11" t="inlineStr">
        <is>
          <t>Mason (brick layer) 1st class</t>
        </is>
      </c>
      <c r="C892" s="22" t="inlineStr">
        <is>
          <t>day</t>
        </is>
      </c>
      <c r="D892" s="23" t="n">
        <v>0.5</v>
      </c>
      <c r="E892" s="24" t="n">
        <v>738</v>
      </c>
      <c r="F892" s="24">
        <f>D892*E892</f>
        <v/>
      </c>
      <c r="G892" s="22" t="n"/>
    </row>
    <row r="893">
      <c r="A893" s="22" t="inlineStr">
        <is>
          <t>0114</t>
        </is>
      </c>
      <c r="B893" s="11" t="inlineStr">
        <is>
          <t>Beldar</t>
        </is>
      </c>
      <c r="C893" s="22" t="inlineStr">
        <is>
          <t>day</t>
        </is>
      </c>
      <c r="D893" s="23" t="n">
        <v>1</v>
      </c>
      <c r="E893" s="24" t="n">
        <v>558</v>
      </c>
      <c r="F893" s="24">
        <f>D893*E893</f>
        <v/>
      </c>
      <c r="G893" s="22" t="n"/>
    </row>
    <row r="894">
      <c r="A894" s="8" t="inlineStr">
        <is>
          <t>Calculated W - SUM of the Amount column above</t>
        </is>
      </c>
      <c r="B894" s="9" t="n"/>
      <c r="C894" s="9" t="n"/>
      <c r="D894" s="9" t="n"/>
      <c r="E894" s="9" t="n"/>
      <c r="F894" s="25">
        <f>SUM(F889:F893)</f>
        <v/>
      </c>
      <c r="G894" s="9" t="n"/>
    </row>
    <row r="895">
      <c r="A895" s="26" t="inlineStr">
        <is>
          <t>W as printed in the DAR</t>
        </is>
      </c>
      <c r="B895" s="22" t="n"/>
      <c r="C895" s="22" t="n"/>
      <c r="D895" s="22" t="n"/>
      <c r="E895" s="22" t="n"/>
      <c r="F895" s="27" t="n">
        <v>6379.04</v>
      </c>
      <c r="G895" s="22" t="n"/>
    </row>
    <row r="896">
      <c r="A896" s="26" t="inlineStr">
        <is>
          <t>Difference (calculated - printed)</t>
        </is>
      </c>
      <c r="B896" s="22" t="n"/>
      <c r="C896" s="22" t="n"/>
      <c r="D896" s="22" t="n"/>
      <c r="E896" s="22" t="n"/>
      <c r="F896" s="27">
        <f>F894-F895</f>
        <v/>
      </c>
      <c r="G896" s="22" t="n"/>
    </row>
    <row r="897">
      <c r="A897" s="29" t="inlineStr">
        <is>
          <t>SAY (Rs.) - final DAR rate as printed (fixed value, not computed)</t>
        </is>
      </c>
      <c r="B897" s="30" t="n"/>
      <c r="C897" s="30" t="n"/>
      <c r="D897" s="30" t="n"/>
      <c r="E897" s="30" t="n"/>
      <c r="F897" s="31" t="n">
        <v>853.5</v>
      </c>
      <c r="G897" s="30" t="n"/>
    </row>
    <row r="899" ht="18.5" customHeight="1">
      <c r="A899" s="18" t="inlineStr">
        <is>
          <t>6.41</t>
        </is>
      </c>
      <c r="B899" s="19" t="inlineStr">
        <is>
          <t>Extra for Gypsum panel Partitions in superstructure above floor V level for every four floors or part thereof.</t>
        </is>
      </c>
      <c r="C899" s="20" t="n"/>
      <c r="D899" s="20" t="n"/>
      <c r="E899" s="20" t="n"/>
      <c r="F899" s="20" t="n"/>
      <c r="G899" s="20" t="n"/>
    </row>
    <row r="900">
      <c r="A900" s="21" t="inlineStr">
        <is>
          <t>Details of cost for 10 sqm   |   Source: CivilDAR_2019_Vol_1.pdf, page 318</t>
        </is>
      </c>
    </row>
    <row r="901">
      <c r="A901" s="5" t="inlineStr">
        <is>
          <t>Code</t>
        </is>
      </c>
      <c r="B901" s="5" t="inlineStr">
        <is>
          <t>Description</t>
        </is>
      </c>
      <c r="C901" s="5" t="inlineStr">
        <is>
          <t>Unit</t>
        </is>
      </c>
      <c r="D901" s="5" t="inlineStr">
        <is>
          <t>Quantity</t>
        </is>
      </c>
      <c r="E901" s="5" t="inlineStr">
        <is>
          <t>Rate (Rs.)</t>
        </is>
      </c>
      <c r="F901" s="5" t="inlineStr">
        <is>
          <t>Amount (Rs.)</t>
        </is>
      </c>
      <c r="G901" s="5" t="inlineStr">
        <is>
          <t>Note</t>
        </is>
      </c>
    </row>
    <row r="902">
      <c r="A902" s="22" t="inlineStr">
        <is>
          <t>0115</t>
        </is>
      </c>
      <c r="B902" s="11" t="inlineStr">
        <is>
          <t>Coolie</t>
        </is>
      </c>
      <c r="C902" s="22" t="inlineStr">
        <is>
          <t>day</t>
        </is>
      </c>
      <c r="D902" s="23" t="n">
        <v>1.73</v>
      </c>
      <c r="E902" s="24" t="n">
        <v>558</v>
      </c>
      <c r="F902" s="24">
        <f>D902*E902</f>
        <v/>
      </c>
      <c r="G902" s="22" t="n"/>
    </row>
    <row r="903">
      <c r="A903" s="8" t="inlineStr">
        <is>
          <t>Calculated W - SUM of the Amount column above</t>
        </is>
      </c>
      <c r="B903" s="9" t="n"/>
      <c r="C903" s="9" t="n"/>
      <c r="D903" s="9" t="n"/>
      <c r="E903" s="9" t="n"/>
      <c r="F903" s="25">
        <f>SUM(F902:F902)</f>
        <v/>
      </c>
      <c r="G903" s="9" t="n"/>
    </row>
    <row r="904">
      <c r="A904" s="26" t="inlineStr">
        <is>
          <t>W as printed in the DAR</t>
        </is>
      </c>
      <c r="B904" s="22" t="n"/>
      <c r="C904" s="22" t="n"/>
      <c r="D904" s="22" t="n"/>
      <c r="E904" s="22" t="n"/>
      <c r="F904" s="27" t="n">
        <v>965.34</v>
      </c>
      <c r="G904" s="22" t="n"/>
    </row>
    <row r="905">
      <c r="A905" s="26" t="inlineStr">
        <is>
          <t>Difference (calculated - printed)</t>
        </is>
      </c>
      <c r="B905" s="22" t="n"/>
      <c r="C905" s="22" t="n"/>
      <c r="D905" s="22" t="n"/>
      <c r="E905" s="22" t="n"/>
      <c r="F905" s="27">
        <f>F903-F904</f>
        <v/>
      </c>
      <c r="G905" s="22" t="n"/>
    </row>
    <row r="906">
      <c r="A906" s="29" t="inlineStr">
        <is>
          <t>SAY (Rs.) - final DAR rate as printed (fixed value, not computed)</t>
        </is>
      </c>
      <c r="B906" s="30" t="n"/>
      <c r="C906" s="30" t="n"/>
      <c r="D906" s="30" t="n"/>
      <c r="E906" s="30" t="n"/>
      <c r="F906" s="31" t="n">
        <v>129.15</v>
      </c>
      <c r="G906" s="30" t="n"/>
    </row>
    <row r="908" ht="33" customHeight="1">
      <c r="A908" s="18" t="inlineStr">
        <is>
          <t>6.44</t>
        </is>
      </c>
      <c r="B908" s="19" t="inlineStr">
        <is>
          <t>Brick edging 7cm wide 11.4 cm deep to plinth protection with common burnt clay F.P.S. (non modular) bricks of class designation 7.5 including grouting with cement mortar 1:4 (1 cement : 4 fine sand).</t>
        </is>
      </c>
      <c r="C908" s="20" t="n"/>
      <c r="D908" s="20" t="n"/>
      <c r="E908" s="20" t="n"/>
      <c r="F908" s="20" t="n"/>
      <c r="G908" s="20" t="n"/>
    </row>
    <row r="909">
      <c r="A909" s="21" t="inlineStr">
        <is>
          <t>Details of cost for 10 metres   |   Source: CivilDAR_2019_Vol_1.pdf, page 318</t>
        </is>
      </c>
    </row>
    <row r="910">
      <c r="A910" s="5" t="inlineStr">
        <is>
          <t>Code</t>
        </is>
      </c>
      <c r="B910" s="5" t="inlineStr">
        <is>
          <t>Description</t>
        </is>
      </c>
      <c r="C910" s="5" t="inlineStr">
        <is>
          <t>Unit</t>
        </is>
      </c>
      <c r="D910" s="5" t="inlineStr">
        <is>
          <t>Quantity</t>
        </is>
      </c>
      <c r="E910" s="5" t="inlineStr">
        <is>
          <t>Rate (Rs.)</t>
        </is>
      </c>
      <c r="F910" s="5" t="inlineStr">
        <is>
          <t>Amount (Rs.)</t>
        </is>
      </c>
      <c r="G910" s="5" t="inlineStr">
        <is>
          <t>Note</t>
        </is>
      </c>
    </row>
    <row r="911">
      <c r="A911" s="22" t="inlineStr">
        <is>
          <t>9999</t>
        </is>
      </c>
      <c r="B911" s="11" t="inlineStr">
        <is>
          <t>Excavation and disposal of surplus earth</t>
        </is>
      </c>
      <c r="C911" s="22" t="inlineStr">
        <is>
          <t>L.S.</t>
        </is>
      </c>
      <c r="D911" s="23" t="n">
        <v>2.73</v>
      </c>
      <c r="E911" s="24" t="n">
        <v>2</v>
      </c>
      <c r="F911" s="24">
        <f>D911*E911</f>
        <v/>
      </c>
      <c r="G911" s="22" t="n"/>
    </row>
    <row r="912">
      <c r="A912" s="22" t="inlineStr">
        <is>
          <t>2602</t>
        </is>
      </c>
      <c r="B912" s="11" t="inlineStr">
        <is>
          <t>Common burnt clay F.P.S. (non modular) bricks class designation 7.5</t>
        </is>
      </c>
      <c r="C912" s="22" t="inlineStr">
        <is>
          <t>1000 Nos</t>
        </is>
      </c>
      <c r="D912" s="23" t="n">
        <v>0.046</v>
      </c>
      <c r="E912" s="24" t="n">
        <v>4500</v>
      </c>
      <c r="F912" s="24">
        <f>D912*E912</f>
        <v/>
      </c>
      <c r="G912" s="22" t="n"/>
    </row>
    <row r="913">
      <c r="A913" s="22" t="inlineStr">
        <is>
          <t>2201</t>
        </is>
      </c>
      <c r="B913" s="11" t="inlineStr">
        <is>
          <t>Carriage of Bricks</t>
        </is>
      </c>
      <c r="C913" s="22" t="inlineStr">
        <is>
          <t>1000 Nos</t>
        </is>
      </c>
      <c r="D913" s="23" t="n">
        <v>0.046</v>
      </c>
      <c r="E913" s="24" t="n">
        <v>276.72</v>
      </c>
      <c r="F913" s="24">
        <f>D913*E913</f>
        <v/>
      </c>
      <c r="G913" s="22" t="n"/>
    </row>
    <row r="914">
      <c r="A914" s="7" t="inlineStr">
        <is>
          <t>3.4</t>
        </is>
      </c>
      <c r="B914" s="11" t="inlineStr">
        <is>
          <t>Rate as per item 3.4 - Cement mortar 1:4 (1 cement : 4 fine sand)</t>
        </is>
      </c>
      <c r="C914" s="22" t="inlineStr">
        <is>
          <t>cum</t>
        </is>
      </c>
      <c r="D914" s="23" t="n">
        <v>0.0036</v>
      </c>
      <c r="E914" s="24" t="n">
        <v>3528.85</v>
      </c>
      <c r="F914" s="24">
        <f>D914*E914</f>
        <v/>
      </c>
      <c r="G914" s="22" t="n"/>
    </row>
    <row r="915">
      <c r="A915" s="22" t="inlineStr">
        <is>
          <t>0155</t>
        </is>
      </c>
      <c r="B915" s="11" t="inlineStr">
        <is>
          <t>Mason (average)</t>
        </is>
      </c>
      <c r="C915" s="22" t="inlineStr">
        <is>
          <t>day</t>
        </is>
      </c>
      <c r="D915" s="23" t="n">
        <v>0.1</v>
      </c>
      <c r="E915" s="24" t="n">
        <v>709</v>
      </c>
      <c r="F915" s="24">
        <f>D915*E915</f>
        <v/>
      </c>
      <c r="G915" s="22" t="n"/>
    </row>
    <row r="916">
      <c r="A916" s="22" t="inlineStr">
        <is>
          <t>0114</t>
        </is>
      </c>
      <c r="B916" s="11" t="inlineStr">
        <is>
          <t>Beldar</t>
        </is>
      </c>
      <c r="C916" s="22" t="inlineStr">
        <is>
          <t>day</t>
        </is>
      </c>
      <c r="D916" s="23" t="n">
        <v>0.1</v>
      </c>
      <c r="E916" s="24" t="n">
        <v>558</v>
      </c>
      <c r="F916" s="24">
        <f>D916*E916</f>
        <v/>
      </c>
      <c r="G916" s="22" t="n"/>
    </row>
    <row r="917">
      <c r="A917" s="22" t="inlineStr">
        <is>
          <t>0101</t>
        </is>
      </c>
      <c r="B917" s="11" t="inlineStr">
        <is>
          <t>Bhisti</t>
        </is>
      </c>
      <c r="C917" s="22" t="inlineStr">
        <is>
          <t>day</t>
        </is>
      </c>
      <c r="D917" s="23" t="n">
        <v>0.03</v>
      </c>
      <c r="E917" s="24" t="n">
        <v>617</v>
      </c>
      <c r="F917" s="24">
        <f>D917*E917</f>
        <v/>
      </c>
      <c r="G917" s="22" t="n"/>
    </row>
    <row r="918">
      <c r="A918" s="22" t="inlineStr">
        <is>
          <t>9999</t>
        </is>
      </c>
      <c r="B918" s="11" t="inlineStr">
        <is>
          <t>Sundries</t>
        </is>
      </c>
      <c r="C918" s="22" t="inlineStr">
        <is>
          <t>L.S.</t>
        </is>
      </c>
      <c r="D918" s="23" t="n">
        <v>2.73</v>
      </c>
      <c r="E918" s="24" t="n">
        <v>2</v>
      </c>
      <c r="F918" s="24">
        <f>D918*E918</f>
        <v/>
      </c>
      <c r="G918" s="22" t="n"/>
    </row>
    <row r="919">
      <c r="A919" s="8" t="inlineStr">
        <is>
          <t>Calculated W - SUM of the Amount column above</t>
        </is>
      </c>
      <c r="B919" s="9" t="n"/>
      <c r="C919" s="9" t="n"/>
      <c r="D919" s="9" t="n"/>
      <c r="E919" s="9" t="n"/>
      <c r="F919" s="25">
        <f>SUM(F911:F918)</f>
        <v/>
      </c>
      <c r="G919" s="9" t="n"/>
    </row>
    <row r="920">
      <c r="A920" s="26" t="inlineStr">
        <is>
          <t>W as printed in the DAR</t>
        </is>
      </c>
      <c r="B920" s="22" t="n"/>
      <c r="C920" s="22" t="n"/>
      <c r="D920" s="22" t="n"/>
      <c r="E920" s="22" t="n"/>
      <c r="F920" s="27" t="n">
        <v>388.56</v>
      </c>
      <c r="G920" s="22" t="n"/>
    </row>
    <row r="921">
      <c r="A921" s="26" t="inlineStr">
        <is>
          <t>Difference (calculated - printed)</t>
        </is>
      </c>
      <c r="B921" s="22" t="n"/>
      <c r="C921" s="22" t="n"/>
      <c r="D921" s="22" t="n"/>
      <c r="E921" s="22" t="n"/>
      <c r="F921" s="27">
        <f>F919-F920</f>
        <v/>
      </c>
      <c r="G921" s="22" t="n"/>
    </row>
    <row r="922">
      <c r="A922" s="29" t="inlineStr">
        <is>
          <t>SAY (Rs.) - final DAR rate as printed (fixed value, not computed)</t>
        </is>
      </c>
      <c r="B922" s="30" t="n"/>
      <c r="C922" s="30" t="n"/>
      <c r="D922" s="30" t="n"/>
      <c r="E922" s="30" t="n"/>
      <c r="F922" s="31" t="n">
        <v>52</v>
      </c>
      <c r="G922" s="30" t="n"/>
    </row>
    <row r="924" ht="33" customHeight="1">
      <c r="A924" s="8" t="inlineStr">
        <is>
          <t>6.45</t>
        </is>
      </c>
      <c r="B924" s="17" t="inlineStr">
        <is>
          <t>Half brick masonry with non modular fly ash bricks of class designation 10, conformingio IS :12894, in super structure above plinth and upto floor V level.</t>
        </is>
      </c>
      <c r="C924" s="9" t="n"/>
      <c r="D924" s="9" t="n"/>
      <c r="E924" s="9" t="n"/>
      <c r="F924" s="9" t="n"/>
      <c r="G924" s="9" t="n"/>
    </row>
    <row r="925" ht="18.5" customHeight="1">
      <c r="A925" s="18" t="inlineStr">
        <is>
          <t>6.45.1</t>
        </is>
      </c>
      <c r="B925" s="19" t="inlineStr">
        <is>
          <t>Cement mortar 1 : 3 (1 cement : 3 coarse sand)</t>
        </is>
      </c>
      <c r="C925" s="20" t="n"/>
      <c r="D925" s="20" t="n"/>
      <c r="E925" s="20" t="n"/>
      <c r="F925" s="20" t="n"/>
      <c r="G925" s="20" t="n"/>
    </row>
    <row r="926">
      <c r="A926" s="21" t="inlineStr">
        <is>
          <t>Details of cost for 10 sqm   |   Source: CivilDAR_2019_Vol_1.pdf, page 319</t>
        </is>
      </c>
    </row>
    <row r="927">
      <c r="A927" s="5" t="inlineStr">
        <is>
          <t>Code</t>
        </is>
      </c>
      <c r="B927" s="5" t="inlineStr">
        <is>
          <t>Description</t>
        </is>
      </c>
      <c r="C927" s="5" t="inlineStr">
        <is>
          <t>Unit</t>
        </is>
      </c>
      <c r="D927" s="5" t="inlineStr">
        <is>
          <t>Quantity</t>
        </is>
      </c>
      <c r="E927" s="5" t="inlineStr">
        <is>
          <t>Rate (Rs.)</t>
        </is>
      </c>
      <c r="F927" s="5" t="inlineStr">
        <is>
          <t>Amount (Rs.)</t>
        </is>
      </c>
      <c r="G927" s="5" t="inlineStr">
        <is>
          <t>Note</t>
        </is>
      </c>
    </row>
    <row r="928">
      <c r="A928" s="22" t="inlineStr">
        <is>
          <t>7737</t>
        </is>
      </c>
      <c r="B928" s="11" t="inlineStr">
        <is>
          <t>Fly ash bricks conforming to I.S. 12894</t>
        </is>
      </c>
      <c r="C928" s="22" t="inlineStr">
        <is>
          <t>1000 Nos</t>
        </is>
      </c>
      <c r="D928" s="23" t="n">
        <v>0.5649999999999999</v>
      </c>
      <c r="E928" s="24" t="n">
        <v>4300</v>
      </c>
      <c r="F928" s="24">
        <f>D928*E928</f>
        <v/>
      </c>
      <c r="G928" s="22" t="n"/>
    </row>
    <row r="929">
      <c r="A929" s="7" t="inlineStr">
        <is>
          <t>3.8</t>
        </is>
      </c>
      <c r="B929" s="11" t="inlineStr">
        <is>
          <t>Rate as per item 3.8 - Cement mortar 1:3 (1 cement : 3 coarse sand)</t>
        </is>
      </c>
      <c r="C929" s="22" t="inlineStr">
        <is>
          <t>cum</t>
        </is>
      </c>
      <c r="D929" s="23" t="n">
        <v>0.28</v>
      </c>
      <c r="E929" s="24" t="n">
        <v>4664.55</v>
      </c>
      <c r="F929" s="24">
        <f>D929*E929</f>
        <v/>
      </c>
      <c r="G929" s="22" t="n"/>
    </row>
    <row r="930">
      <c r="A930" s="22" t="inlineStr">
        <is>
          <t>2201</t>
        </is>
      </c>
      <c r="B930" s="11" t="inlineStr">
        <is>
          <t>Carriage of Bricks</t>
        </is>
      </c>
      <c r="C930" s="22" t="inlineStr">
        <is>
          <t>1000 Nos</t>
        </is>
      </c>
      <c r="D930" s="23" t="n">
        <v>0.5649999999999999</v>
      </c>
      <c r="E930" s="24" t="n">
        <v>276.72</v>
      </c>
      <c r="F930" s="24">
        <f>D930*E930</f>
        <v/>
      </c>
      <c r="G930" s="22" t="n"/>
    </row>
    <row r="931">
      <c r="A931" s="22" t="inlineStr">
        <is>
          <t>9999</t>
        </is>
      </c>
      <c r="B931" s="11" t="inlineStr">
        <is>
          <t>Sundries &amp; Scaffolding</t>
        </is>
      </c>
      <c r="C931" s="22" t="inlineStr">
        <is>
          <t>L.S.</t>
        </is>
      </c>
      <c r="D931" s="23" t="n">
        <v>13.52</v>
      </c>
      <c r="E931" s="24" t="n">
        <v>2</v>
      </c>
      <c r="F931" s="24">
        <f>D931*E931</f>
        <v/>
      </c>
      <c r="G931" s="22" t="n"/>
    </row>
    <row r="932">
      <c r="A932" s="22" t="inlineStr">
        <is>
          <t>0123</t>
        </is>
      </c>
      <c r="B932" s="11" t="inlineStr">
        <is>
          <t>Mason (brick layer) 1st class</t>
        </is>
      </c>
      <c r="C932" s="22" t="inlineStr">
        <is>
          <t>day</t>
        </is>
      </c>
      <c r="D932" s="23" t="n">
        <v>0.6</v>
      </c>
      <c r="E932" s="24" t="n">
        <v>738</v>
      </c>
      <c r="F932" s="24">
        <f>D932*E932</f>
        <v/>
      </c>
      <c r="G932" s="22" t="n"/>
    </row>
    <row r="933">
      <c r="A933" s="22" t="inlineStr">
        <is>
          <t>0124</t>
        </is>
      </c>
      <c r="B933" s="11" t="inlineStr">
        <is>
          <t>Mason (brick layer) 2nd class</t>
        </is>
      </c>
      <c r="C933" s="22" t="inlineStr">
        <is>
          <t>day</t>
        </is>
      </c>
      <c r="D933" s="23" t="n">
        <v>0.6</v>
      </c>
      <c r="E933" s="24" t="n">
        <v>679</v>
      </c>
      <c r="F933" s="24">
        <f>D933*E933</f>
        <v/>
      </c>
      <c r="G933" s="22" t="n"/>
    </row>
    <row r="934">
      <c r="A934" s="22" t="inlineStr">
        <is>
          <t>0115</t>
        </is>
      </c>
      <c r="B934" s="11" t="inlineStr">
        <is>
          <t>Coolie</t>
        </is>
      </c>
      <c r="C934" s="22" t="inlineStr">
        <is>
          <t>day</t>
        </is>
      </c>
      <c r="D934" s="23" t="n">
        <v>2</v>
      </c>
      <c r="E934" s="24" t="n">
        <v>558</v>
      </c>
      <c r="F934" s="24">
        <f>D934*E934</f>
        <v/>
      </c>
      <c r="G934" s="22" t="n"/>
    </row>
    <row r="935">
      <c r="A935" s="22" t="inlineStr">
        <is>
          <t>0101</t>
        </is>
      </c>
      <c r="B935" s="11" t="inlineStr">
        <is>
          <t>Bhisti</t>
        </is>
      </c>
      <c r="C935" s="22" t="inlineStr">
        <is>
          <t>day</t>
        </is>
      </c>
      <c r="D935" s="23" t="n">
        <v>0.7</v>
      </c>
      <c r="E935" s="24" t="n">
        <v>617</v>
      </c>
      <c r="F935" s="24">
        <f>D935*E935</f>
        <v/>
      </c>
      <c r="G935" s="22" t="n"/>
    </row>
    <row r="936">
      <c r="A936" s="22" t="inlineStr">
        <is>
          <t>0115</t>
        </is>
      </c>
      <c r="B936" s="11" t="inlineStr">
        <is>
          <t>Coolie</t>
        </is>
      </c>
      <c r="C936" s="22" t="inlineStr">
        <is>
          <t>day</t>
        </is>
      </c>
      <c r="D936" s="23" t="n">
        <v>1.29</v>
      </c>
      <c r="E936" s="24" t="n">
        <v>558</v>
      </c>
      <c r="F936" s="24">
        <f>D936*E936</f>
        <v/>
      </c>
      <c r="G936" s="22" t="n"/>
    </row>
    <row r="937">
      <c r="A937" s="8" t="inlineStr">
        <is>
          <t>Calculated W - SUM of the Amount column above</t>
        </is>
      </c>
      <c r="B937" s="9" t="n"/>
      <c r="C937" s="9" t="n"/>
      <c r="D937" s="9" t="n"/>
      <c r="E937" s="9" t="n"/>
      <c r="F937" s="25">
        <f>SUM(F928:F936)</f>
        <v/>
      </c>
      <c r="G937" s="9" t="n"/>
    </row>
    <row r="938">
      <c r="A938" s="26" t="inlineStr">
        <is>
          <t>W as printed in the DAR</t>
        </is>
      </c>
      <c r="B938" s="22" t="n"/>
      <c r="C938" s="22" t="n"/>
      <c r="D938" s="22" t="n"/>
      <c r="E938" s="22" t="n"/>
      <c r="F938" s="27" t="n">
        <v>7036.88</v>
      </c>
      <c r="G938" s="22" t="n"/>
    </row>
    <row r="939">
      <c r="A939" s="26" t="inlineStr">
        <is>
          <t>Difference (calculated - printed)</t>
        </is>
      </c>
      <c r="B939" s="22" t="n"/>
      <c r="C939" s="22" t="n"/>
      <c r="D939" s="22" t="n"/>
      <c r="E939" s="22" t="n"/>
      <c r="F939" s="27">
        <f>F937-F938</f>
        <v/>
      </c>
      <c r="G939" s="22" t="n"/>
    </row>
    <row r="940">
      <c r="A940" s="29" t="inlineStr">
        <is>
          <t>SAY (Rs.) - final DAR rate as printed (fixed value, not computed)</t>
        </is>
      </c>
      <c r="B940" s="30" t="n"/>
      <c r="C940" s="30" t="n"/>
      <c r="D940" s="30" t="n"/>
      <c r="E940" s="30" t="n"/>
      <c r="F940" s="31" t="n">
        <v>941.5</v>
      </c>
      <c r="G940" s="30" t="n"/>
    </row>
    <row r="942" ht="33" customHeight="1">
      <c r="A942" s="8" t="inlineStr">
        <is>
          <t>6.45</t>
        </is>
      </c>
      <c r="B942" s="17" t="inlineStr">
        <is>
          <t>Half brick masonry with non modular fly ash bricks of class designation 10, conformingio IS :12894, in super structure above plinth and upto floor V level.</t>
        </is>
      </c>
      <c r="C942" s="9" t="n"/>
      <c r="D942" s="9" t="n"/>
      <c r="E942" s="9" t="n"/>
      <c r="F942" s="9" t="n"/>
      <c r="G942" s="9" t="n"/>
    </row>
    <row r="943" ht="18.5" customHeight="1">
      <c r="A943" s="18" t="inlineStr">
        <is>
          <t>6.45.2</t>
        </is>
      </c>
      <c r="B943" s="19" t="inlineStr">
        <is>
          <t>Cement mortar 1 : 4 (1 cement : 4 coarse sand)</t>
        </is>
      </c>
      <c r="C943" s="20" t="n"/>
      <c r="D943" s="20" t="n"/>
      <c r="E943" s="20" t="n"/>
      <c r="F943" s="20" t="n"/>
      <c r="G943" s="20" t="n"/>
    </row>
    <row r="944">
      <c r="A944" s="21" t="inlineStr">
        <is>
          <t>Details of cost for 10 sqm   |   Source: CivilDAR_2019_Vol_1.pdf, page 320</t>
        </is>
      </c>
    </row>
    <row r="945">
      <c r="A945" s="5" t="inlineStr">
        <is>
          <t>Code</t>
        </is>
      </c>
      <c r="B945" s="5" t="inlineStr">
        <is>
          <t>Description</t>
        </is>
      </c>
      <c r="C945" s="5" t="inlineStr">
        <is>
          <t>Unit</t>
        </is>
      </c>
      <c r="D945" s="5" t="inlineStr">
        <is>
          <t>Quantity</t>
        </is>
      </c>
      <c r="E945" s="5" t="inlineStr">
        <is>
          <t>Rate (Rs.)</t>
        </is>
      </c>
      <c r="F945" s="5" t="inlineStr">
        <is>
          <t>Amount (Rs.)</t>
        </is>
      </c>
      <c r="G945" s="5" t="inlineStr">
        <is>
          <t>Note</t>
        </is>
      </c>
    </row>
    <row r="946">
      <c r="A946" s="22" t="inlineStr">
        <is>
          <t>7737</t>
        </is>
      </c>
      <c r="B946" s="11" t="inlineStr">
        <is>
          <t>Fly ash bricks conforming to I.S. 12894</t>
        </is>
      </c>
      <c r="C946" s="22" t="inlineStr">
        <is>
          <t>1000 Nos</t>
        </is>
      </c>
      <c r="D946" s="23" t="n">
        <v>0.5649999999999999</v>
      </c>
      <c r="E946" s="24" t="n">
        <v>4300</v>
      </c>
      <c r="F946" s="24">
        <f>D946*E946</f>
        <v/>
      </c>
      <c r="G946" s="22" t="n"/>
    </row>
    <row r="947">
      <c r="A947" s="7" t="inlineStr">
        <is>
          <t>3.9</t>
        </is>
      </c>
      <c r="B947" s="11" t="inlineStr">
        <is>
          <t>Rate as per item 3.9 - Cement mortar 1:4 (1 cement : 4 coarse sand)</t>
        </is>
      </c>
      <c r="C947" s="22" t="inlineStr">
        <is>
          <t>cum</t>
        </is>
      </c>
      <c r="D947" s="23" t="n">
        <v>0.28</v>
      </c>
      <c r="E947" s="24" t="n">
        <v>4010.35</v>
      </c>
      <c r="F947" s="24">
        <f>D947*E947</f>
        <v/>
      </c>
      <c r="G947" s="22" t="n"/>
    </row>
    <row r="948">
      <c r="A948" s="22" t="inlineStr">
        <is>
          <t>2201</t>
        </is>
      </c>
      <c r="B948" s="11" t="inlineStr">
        <is>
          <t>Carriage of Bricks</t>
        </is>
      </c>
      <c r="C948" s="22" t="inlineStr">
        <is>
          <t>1000 Nos</t>
        </is>
      </c>
      <c r="D948" s="23" t="n">
        <v>0.5649999999999999</v>
      </c>
      <c r="E948" s="24" t="n">
        <v>276.72</v>
      </c>
      <c r="F948" s="24">
        <f>D948*E948</f>
        <v/>
      </c>
      <c r="G948" s="22" t="n"/>
    </row>
    <row r="949">
      <c r="A949" s="22" t="inlineStr">
        <is>
          <t>9999</t>
        </is>
      </c>
      <c r="B949" s="11" t="inlineStr">
        <is>
          <t>Sundries &amp; Scaffolding</t>
        </is>
      </c>
      <c r="C949" s="22" t="inlineStr">
        <is>
          <t>L.S.</t>
        </is>
      </c>
      <c r="D949" s="23" t="n">
        <v>13.52</v>
      </c>
      <c r="E949" s="24" t="n">
        <v>2</v>
      </c>
      <c r="F949" s="24">
        <f>D949*E949</f>
        <v/>
      </c>
      <c r="G949" s="22" t="n"/>
    </row>
    <row r="950">
      <c r="A950" s="22" t="inlineStr">
        <is>
          <t>0123</t>
        </is>
      </c>
      <c r="B950" s="11" t="inlineStr">
        <is>
          <t>Mason (brick layer) 1st class</t>
        </is>
      </c>
      <c r="C950" s="22" t="inlineStr">
        <is>
          <t>day</t>
        </is>
      </c>
      <c r="D950" s="23" t="n">
        <v>0.6</v>
      </c>
      <c r="E950" s="24" t="n">
        <v>738</v>
      </c>
      <c r="F950" s="24">
        <f>D950*E950</f>
        <v/>
      </c>
      <c r="G950" s="22" t="n"/>
    </row>
    <row r="951">
      <c r="A951" s="22" t="inlineStr">
        <is>
          <t>0124</t>
        </is>
      </c>
      <c r="B951" s="11" t="inlineStr">
        <is>
          <t>Mason (brick layer) 2nd class</t>
        </is>
      </c>
      <c r="C951" s="22" t="inlineStr">
        <is>
          <t>day</t>
        </is>
      </c>
      <c r="D951" s="23" t="n">
        <v>0.6</v>
      </c>
      <c r="E951" s="24" t="n">
        <v>679</v>
      </c>
      <c r="F951" s="24">
        <f>D951*E951</f>
        <v/>
      </c>
      <c r="G951" s="22" t="n"/>
    </row>
    <row r="952">
      <c r="A952" s="22" t="inlineStr">
        <is>
          <t>0115</t>
        </is>
      </c>
      <c r="B952" s="11" t="inlineStr">
        <is>
          <t>Coolie</t>
        </is>
      </c>
      <c r="C952" s="22" t="inlineStr">
        <is>
          <t>day</t>
        </is>
      </c>
      <c r="D952" s="23" t="n">
        <v>2</v>
      </c>
      <c r="E952" s="24" t="n">
        <v>558</v>
      </c>
      <c r="F952" s="24">
        <f>D952*E952</f>
        <v/>
      </c>
      <c r="G952" s="22" t="n"/>
    </row>
    <row r="953">
      <c r="A953" s="22" t="inlineStr">
        <is>
          <t>0101</t>
        </is>
      </c>
      <c r="B953" s="11" t="inlineStr">
        <is>
          <t>Bhisti</t>
        </is>
      </c>
      <c r="C953" s="22" t="inlineStr">
        <is>
          <t>day</t>
        </is>
      </c>
      <c r="D953" s="23" t="n">
        <v>0.7</v>
      </c>
      <c r="E953" s="24" t="n">
        <v>617</v>
      </c>
      <c r="F953" s="24">
        <f>D953*E953</f>
        <v/>
      </c>
      <c r="G953" s="22" t="n"/>
    </row>
    <row r="954">
      <c r="A954" s="22" t="inlineStr">
        <is>
          <t>0115</t>
        </is>
      </c>
      <c r="B954" s="11" t="inlineStr">
        <is>
          <t>Coolie</t>
        </is>
      </c>
      <c r="C954" s="22" t="inlineStr">
        <is>
          <t>day</t>
        </is>
      </c>
      <c r="D954" s="23" t="n">
        <v>1.29</v>
      </c>
      <c r="E954" s="24" t="n">
        <v>558</v>
      </c>
      <c r="F954" s="24">
        <f>D954*E954</f>
        <v/>
      </c>
      <c r="G954" s="22" t="n"/>
    </row>
    <row r="955">
      <c r="A955" s="8" t="inlineStr">
        <is>
          <t>Calculated W - SUM of the Amount column above</t>
        </is>
      </c>
      <c r="B955" s="9" t="n"/>
      <c r="C955" s="9" t="n"/>
      <c r="D955" s="9" t="n"/>
      <c r="E955" s="9" t="n"/>
      <c r="F955" s="25">
        <f>SUM(F946:F954)</f>
        <v/>
      </c>
      <c r="G955" s="9" t="n"/>
    </row>
    <row r="956">
      <c r="A956" s="26" t="inlineStr">
        <is>
          <t>W as printed in the DAR</t>
        </is>
      </c>
      <c r="B956" s="22" t="n"/>
      <c r="C956" s="22" t="n"/>
      <c r="D956" s="22" t="n"/>
      <c r="E956" s="22" t="n"/>
      <c r="F956" s="27" t="n">
        <v>6853.7</v>
      </c>
      <c r="G956" s="22" t="n"/>
    </row>
    <row r="957">
      <c r="A957" s="26" t="inlineStr">
        <is>
          <t>Difference (calculated - printed)</t>
        </is>
      </c>
      <c r="B957" s="22" t="n"/>
      <c r="C957" s="22" t="n"/>
      <c r="D957" s="22" t="n"/>
      <c r="E957" s="22" t="n"/>
      <c r="F957" s="27">
        <f>F955-F956</f>
        <v/>
      </c>
      <c r="G957" s="22" t="n"/>
    </row>
    <row r="958">
      <c r="A958" s="29" t="inlineStr">
        <is>
          <t>SAY (Rs.) - final DAR rate as printed (fixed value, not computed)</t>
        </is>
      </c>
      <c r="B958" s="30" t="n"/>
      <c r="C958" s="30" t="n"/>
      <c r="D958" s="30" t="n"/>
      <c r="E958" s="30" t="n"/>
      <c r="F958" s="31" t="n">
        <v>917</v>
      </c>
      <c r="G958" s="30" t="n"/>
    </row>
    <row r="960" ht="62" customHeight="1">
      <c r="A960" s="18" t="inlineStr">
        <is>
          <t>6.47</t>
        </is>
      </c>
      <c r="B960" s="19" t="inlineStr">
        <is>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t>
        </is>
      </c>
      <c r="C960" s="20" t="n"/>
      <c r="D960" s="20" t="n"/>
      <c r="E960" s="20" t="n"/>
      <c r="F960" s="20" t="n"/>
      <c r="G960" s="20" t="n"/>
    </row>
    <row r="961">
      <c r="A961" s="21" t="inlineStr">
        <is>
          <t>Details of cost for 1 cum   |   Source: CivilDAR_2019_Vol_1.pdf, page 321</t>
        </is>
      </c>
    </row>
    <row r="962">
      <c r="A962" s="5" t="inlineStr">
        <is>
          <t>Code</t>
        </is>
      </c>
      <c r="B962" s="5" t="inlineStr">
        <is>
          <t>Description</t>
        </is>
      </c>
      <c r="C962" s="5" t="inlineStr">
        <is>
          <t>Unit</t>
        </is>
      </c>
      <c r="D962" s="5" t="inlineStr">
        <is>
          <t>Quantity</t>
        </is>
      </c>
      <c r="E962" s="5" t="inlineStr">
        <is>
          <t>Rate (Rs.)</t>
        </is>
      </c>
      <c r="F962" s="5" t="inlineStr">
        <is>
          <t>Amount (Rs.)</t>
        </is>
      </c>
      <c r="G962" s="5" t="inlineStr">
        <is>
          <t>Note</t>
        </is>
      </c>
    </row>
    <row r="963">
      <c r="A963" s="22" t="inlineStr">
        <is>
          <t>8655</t>
        </is>
      </c>
      <c r="B963" s="11" t="inlineStr">
        <is>
          <t>Autoclaved areated cement (AAC) blocks</t>
        </is>
      </c>
      <c r="C963" s="22" t="inlineStr">
        <is>
          <t>cum</t>
        </is>
      </c>
      <c r="D963" s="23" t="n">
        <v>1</v>
      </c>
      <c r="E963" s="24" t="n">
        <v>2600</v>
      </c>
      <c r="F963" s="24">
        <f>D963*E963</f>
        <v/>
      </c>
      <c r="G963" s="22" t="n"/>
    </row>
    <row r="964">
      <c r="A964" s="22" t="inlineStr">
        <is>
          <t>0357</t>
        </is>
      </c>
      <c r="B964" s="11" t="inlineStr">
        <is>
          <t>Polymer modified adhesive mortar</t>
        </is>
      </c>
      <c r="C964" s="22" t="inlineStr">
        <is>
          <t>Kg</t>
        </is>
      </c>
      <c r="D964" s="23" t="n">
        <v>30</v>
      </c>
      <c r="E964" s="24" t="n">
        <v>15</v>
      </c>
      <c r="F964" s="24">
        <f>D964*E964</f>
        <v/>
      </c>
      <c r="G964" s="22" t="n"/>
    </row>
    <row r="965">
      <c r="A965" s="22" t="inlineStr">
        <is>
          <t>9999</t>
        </is>
      </c>
      <c r="B965" s="11" t="inlineStr">
        <is>
          <t>Sundries</t>
        </is>
      </c>
      <c r="C965" s="22" t="inlineStr">
        <is>
          <t>L.S.</t>
        </is>
      </c>
      <c r="D965" s="23" t="n">
        <v>2.73</v>
      </c>
      <c r="E965" s="24" t="n">
        <v>2</v>
      </c>
      <c r="F965" s="24">
        <f>D965*E965</f>
        <v/>
      </c>
      <c r="G965" s="22" t="n"/>
    </row>
    <row r="966">
      <c r="A966" s="22" t="inlineStr">
        <is>
          <t>0123</t>
        </is>
      </c>
      <c r="B966" s="11" t="inlineStr">
        <is>
          <t>Mason (brick layer) 1 st class</t>
        </is>
      </c>
      <c r="C966" s="22" t="inlineStr">
        <is>
          <t>day</t>
        </is>
      </c>
      <c r="D966" s="23" t="n">
        <v>0.36</v>
      </c>
      <c r="E966" s="24" t="n">
        <v>738</v>
      </c>
      <c r="F966" s="24">
        <f>D966*E966</f>
        <v/>
      </c>
      <c r="G966" s="22" t="n"/>
    </row>
    <row r="967">
      <c r="A967" s="22" t="inlineStr">
        <is>
          <t>0124</t>
        </is>
      </c>
      <c r="B967" s="11" t="inlineStr">
        <is>
          <t>Mason (brick layer) 2nd class</t>
        </is>
      </c>
      <c r="C967" s="22" t="inlineStr">
        <is>
          <t>day</t>
        </is>
      </c>
      <c r="D967" s="23" t="n">
        <v>0.36</v>
      </c>
      <c r="E967" s="24" t="n">
        <v>679</v>
      </c>
      <c r="F967" s="24">
        <f>D967*E967</f>
        <v/>
      </c>
      <c r="G967" s="22" t="n"/>
    </row>
    <row r="968">
      <c r="A968" s="22" t="inlineStr">
        <is>
          <t>0115</t>
        </is>
      </c>
      <c r="B968" s="11" t="inlineStr">
        <is>
          <t>Coolie</t>
        </is>
      </c>
      <c r="C968" s="22" t="inlineStr">
        <is>
          <t>day</t>
        </is>
      </c>
      <c r="D968" s="23" t="n">
        <v>1.37</v>
      </c>
      <c r="E968" s="24" t="n">
        <v>558</v>
      </c>
      <c r="F968" s="24">
        <f>D968*E968</f>
        <v/>
      </c>
      <c r="G968" s="22" t="n"/>
    </row>
    <row r="969">
      <c r="A969" s="22" t="inlineStr">
        <is>
          <t>0115</t>
        </is>
      </c>
      <c r="B969" s="11" t="inlineStr">
        <is>
          <t>Coolie</t>
        </is>
      </c>
      <c r="C969" s="22" t="inlineStr">
        <is>
          <t>day</t>
        </is>
      </c>
      <c r="D969" s="23" t="n">
        <v>1.13</v>
      </c>
      <c r="E969" s="24" t="n">
        <v>558</v>
      </c>
      <c r="F969" s="24">
        <f>D969*E969</f>
        <v/>
      </c>
      <c r="G969" s="22" t="n"/>
    </row>
    <row r="970">
      <c r="A970" s="8" t="inlineStr">
        <is>
          <t>Calculated W - SUM of the Amount column above</t>
        </is>
      </c>
      <c r="B970" s="9" t="n"/>
      <c r="C970" s="9" t="n"/>
      <c r="D970" s="9" t="n"/>
      <c r="E970" s="9" t="n"/>
      <c r="F970" s="25">
        <f>SUM(F963:F969)</f>
        <v/>
      </c>
      <c r="G970" s="9" t="n"/>
    </row>
    <row r="971">
      <c r="A971" s="26" t="inlineStr">
        <is>
          <t>W as printed in the DAR</t>
        </is>
      </c>
      <c r="B971" s="22" t="n"/>
      <c r="C971" s="22" t="n"/>
      <c r="D971" s="22" t="n"/>
      <c r="E971" s="22" t="n"/>
      <c r="F971" s="27" t="n">
        <v>4960.58</v>
      </c>
      <c r="G971" s="22" t="n"/>
    </row>
    <row r="972">
      <c r="A972" s="26" t="inlineStr">
        <is>
          <t>Difference (calculated - printed)</t>
        </is>
      </c>
      <c r="B972" s="22" t="n"/>
      <c r="C972" s="22" t="n"/>
      <c r="D972" s="22" t="n"/>
      <c r="E972" s="22" t="n"/>
      <c r="F972" s="27">
        <f>F970-F971</f>
        <v/>
      </c>
      <c r="G972" s="22" t="n"/>
    </row>
    <row r="973">
      <c r="A973" s="29" t="inlineStr">
        <is>
          <t>SAY (Rs.) - final DAR rate as printed (fixed value, not computed)</t>
        </is>
      </c>
      <c r="B973" s="30" t="n"/>
      <c r="C973" s="30" t="n"/>
      <c r="D973" s="30" t="n"/>
      <c r="E973" s="30" t="n"/>
      <c r="F973" s="31" t="n">
        <v>6636.95</v>
      </c>
      <c r="G973" s="30" t="n"/>
    </row>
  </sheetData>
  <mergeCells count="385">
    <mergeCell ref="A852:G852"/>
    <mergeCell ref="A504:G504"/>
    <mergeCell ref="A429:E429"/>
    <mergeCell ref="A337:G337"/>
    <mergeCell ref="B649:G649"/>
    <mergeCell ref="A379:E379"/>
    <mergeCell ref="A595:G595"/>
    <mergeCell ref="A938:E938"/>
    <mergeCell ref="B415:G415"/>
    <mergeCell ref="A272:E272"/>
    <mergeCell ref="B221:G221"/>
    <mergeCell ref="A679:E679"/>
    <mergeCell ref="B110:G110"/>
    <mergeCell ref="A793:E793"/>
    <mergeCell ref="B777:G777"/>
    <mergeCell ref="B886:G886"/>
    <mergeCell ref="A23:G23"/>
    <mergeCell ref="B739:G739"/>
    <mergeCell ref="A650:G650"/>
    <mergeCell ref="A131:G131"/>
    <mergeCell ref="B470:G470"/>
    <mergeCell ref="A325:E325"/>
    <mergeCell ref="A430:E430"/>
    <mergeCell ref="A481:G481"/>
    <mergeCell ref="A488:E488"/>
    <mergeCell ref="A69:E69"/>
    <mergeCell ref="A846:E846"/>
    <mergeCell ref="A498:E498"/>
    <mergeCell ref="A183:E183"/>
    <mergeCell ref="A625:E625"/>
    <mergeCell ref="A276:G276"/>
    <mergeCell ref="A717:E717"/>
    <mergeCell ref="A198:E198"/>
    <mergeCell ref="B834:G834"/>
    <mergeCell ref="B899:G899"/>
    <mergeCell ref="A1:G1"/>
    <mergeCell ref="A741:G741"/>
    <mergeCell ref="B91:G91"/>
    <mergeCell ref="B327:G327"/>
    <mergeCell ref="A451:E451"/>
    <mergeCell ref="A432:E432"/>
    <mergeCell ref="B665:G665"/>
    <mergeCell ref="A972:E972"/>
    <mergeCell ref="A67:E67"/>
    <mergeCell ref="A794:E794"/>
    <mergeCell ref="A536:E536"/>
    <mergeCell ref="A486:E486"/>
    <mergeCell ref="A146:E146"/>
    <mergeCell ref="B38:G38"/>
    <mergeCell ref="A798:G798"/>
    <mergeCell ref="A252:E252"/>
    <mergeCell ref="A865:E865"/>
    <mergeCell ref="A698:E698"/>
    <mergeCell ref="B778:G778"/>
    <mergeCell ref="A896:E896"/>
    <mergeCell ref="A377:E377"/>
    <mergeCell ref="A591:E591"/>
    <mergeCell ref="A149:G149"/>
    <mergeCell ref="A662:E662"/>
    <mergeCell ref="A849:E849"/>
    <mergeCell ref="A199:E199"/>
    <mergeCell ref="A578:G578"/>
    <mergeCell ref="A288:E288"/>
    <mergeCell ref="B381:G381"/>
    <mergeCell ref="A791:E791"/>
    <mergeCell ref="B157:G157"/>
    <mergeCell ref="A88:E88"/>
    <mergeCell ref="A359:E359"/>
    <mergeCell ref="B520:G520"/>
    <mergeCell ref="A153:E153"/>
    <mergeCell ref="A517:E517"/>
    <mergeCell ref="A686:G686"/>
    <mergeCell ref="B172:G172"/>
    <mergeCell ref="A753:E753"/>
    <mergeCell ref="B397:G397"/>
    <mergeCell ref="B257:G257"/>
    <mergeCell ref="A217:E217"/>
    <mergeCell ref="A448:E448"/>
    <mergeCell ref="B92:G92"/>
    <mergeCell ref="A154:E154"/>
    <mergeCell ref="A760:G760"/>
    <mergeCell ref="B557:G557"/>
    <mergeCell ref="A241:G241"/>
    <mergeCell ref="A306:E306"/>
    <mergeCell ref="A973:E973"/>
    <mergeCell ref="A74:G74"/>
    <mergeCell ref="B56:G56"/>
    <mergeCell ref="A466:E466"/>
    <mergeCell ref="A143:E143"/>
    <mergeCell ref="A311:G311"/>
    <mergeCell ref="B685:G685"/>
    <mergeCell ref="A182:E182"/>
    <mergeCell ref="B908:G908"/>
    <mergeCell ref="B258:G258"/>
    <mergeCell ref="A271:E271"/>
    <mergeCell ref="A792:E792"/>
    <mergeCell ref="A571:E571"/>
    <mergeCell ref="B576:G576"/>
    <mergeCell ref="A881:E881"/>
    <mergeCell ref="A681:E681"/>
    <mergeCell ref="B336:G336"/>
    <mergeCell ref="A660:E660"/>
    <mergeCell ref="A696:E696"/>
    <mergeCell ref="B202:G202"/>
    <mergeCell ref="A883:E883"/>
    <mergeCell ref="A155:E155"/>
    <mergeCell ref="A518:E518"/>
    <mergeCell ref="B39:G39"/>
    <mergeCell ref="A961:G961"/>
    <mergeCell ref="A542:G542"/>
    <mergeCell ref="A884:E884"/>
    <mergeCell ref="A926:G926"/>
    <mergeCell ref="A173:G173"/>
    <mergeCell ref="A471:G471"/>
    <mergeCell ref="B364:G364"/>
    <mergeCell ref="A773:E773"/>
    <mergeCell ref="B453:G453"/>
    <mergeCell ref="A515:E515"/>
    <mergeCell ref="A813:E813"/>
    <mergeCell ref="A235:E235"/>
    <mergeCell ref="A775:E775"/>
    <mergeCell ref="A831:E831"/>
    <mergeCell ref="B924:G924"/>
    <mergeCell ref="B851:G851"/>
    <mergeCell ref="A106:E106"/>
    <mergeCell ref="A573:E573"/>
    <mergeCell ref="A522:G522"/>
    <mergeCell ref="A323:E323"/>
    <mergeCell ref="A170:E170"/>
    <mergeCell ref="A906:E906"/>
    <mergeCell ref="A289:E289"/>
    <mergeCell ref="A57:G57"/>
    <mergeCell ref="A956:E956"/>
    <mergeCell ref="B815:G815"/>
    <mergeCell ref="B942:G942"/>
    <mergeCell ref="A697:E697"/>
    <mergeCell ref="A920:E920"/>
    <mergeCell ref="A286:E286"/>
    <mergeCell ref="A699:E699"/>
    <mergeCell ref="A626:E626"/>
    <mergeCell ref="A236:E236"/>
    <mergeCell ref="B55:G55"/>
    <mergeCell ref="A394:E394"/>
    <mergeCell ref="A465:E465"/>
    <mergeCell ref="A900:G900"/>
    <mergeCell ref="A614:G614"/>
    <mergeCell ref="A254:E254"/>
    <mergeCell ref="B129:G129"/>
    <mergeCell ref="B365:G365"/>
    <mergeCell ref="B292:G292"/>
    <mergeCell ref="A125:E125"/>
    <mergeCell ref="B721:G721"/>
    <mergeCell ref="A554:E554"/>
    <mergeCell ref="B503:G503"/>
    <mergeCell ref="A475:E475"/>
    <mergeCell ref="A646:E646"/>
    <mergeCell ref="A127:E127"/>
    <mergeCell ref="B521:G521"/>
    <mergeCell ref="A904:E904"/>
    <mergeCell ref="A412:E412"/>
    <mergeCell ref="A555:E555"/>
    <mergeCell ref="A51:E51"/>
    <mergeCell ref="B594:G594"/>
    <mergeCell ref="A107:E107"/>
    <mergeCell ref="A939:E939"/>
    <mergeCell ref="A476:E476"/>
    <mergeCell ref="A905:E905"/>
    <mergeCell ref="A478:E478"/>
    <mergeCell ref="A624:E624"/>
    <mergeCell ref="B434:G434"/>
    <mergeCell ref="B816:G816"/>
    <mergeCell ref="A33:E33"/>
    <mergeCell ref="A398:G398"/>
    <mergeCell ref="B943:G943"/>
    <mergeCell ref="A269:E269"/>
    <mergeCell ref="A342:E342"/>
    <mergeCell ref="A35:E35"/>
    <mergeCell ref="A333:E333"/>
    <mergeCell ref="A344:E344"/>
    <mergeCell ref="A779:G779"/>
    <mergeCell ref="A362:E362"/>
    <mergeCell ref="A829:E829"/>
    <mergeCell ref="A887:G887"/>
    <mergeCell ref="A608:E608"/>
    <mergeCell ref="A259:G259"/>
    <mergeCell ref="B740:G740"/>
    <mergeCell ref="B73:G73"/>
    <mergeCell ref="A168:E168"/>
    <mergeCell ref="A718:E718"/>
    <mergeCell ref="B593:G593"/>
    <mergeCell ref="A255:E255"/>
    <mergeCell ref="B835:G835"/>
    <mergeCell ref="A497:E497"/>
    <mergeCell ref="A413:E413"/>
    <mergeCell ref="B310:G310"/>
    <mergeCell ref="A847:E847"/>
    <mergeCell ref="A869:G869"/>
    <mergeCell ref="A499:E499"/>
    <mergeCell ref="B5:G5"/>
    <mergeCell ref="A955:E955"/>
    <mergeCell ref="A181:E181"/>
    <mergeCell ref="A715:E715"/>
    <mergeCell ref="A366:G366"/>
    <mergeCell ref="A52:E52"/>
    <mergeCell ref="B684:G684"/>
    <mergeCell ref="B21:G21"/>
    <mergeCell ref="A34:E34"/>
    <mergeCell ref="A203:G203"/>
    <mergeCell ref="A270:E270"/>
    <mergeCell ref="B613:G613"/>
    <mergeCell ref="A810:E810"/>
    <mergeCell ref="A36:E36"/>
    <mergeCell ref="A334:E334"/>
    <mergeCell ref="A812:E812"/>
    <mergeCell ref="A643:E643"/>
    <mergeCell ref="A559:G559"/>
    <mergeCell ref="A378:E378"/>
    <mergeCell ref="A645:E645"/>
    <mergeCell ref="A909:G909"/>
    <mergeCell ref="B666:G666"/>
    <mergeCell ref="B309:G309"/>
    <mergeCell ref="A863:E863"/>
    <mergeCell ref="A200:E200"/>
    <mergeCell ref="A667:G667"/>
    <mergeCell ref="A848:E848"/>
    <mergeCell ref="A957:E957"/>
    <mergeCell ref="A500:E500"/>
    <mergeCell ref="A627:E627"/>
    <mergeCell ref="A736:E736"/>
    <mergeCell ref="B240:G240"/>
    <mergeCell ref="A431:E431"/>
    <mergeCell ref="A958:E958"/>
    <mergeCell ref="A197:E197"/>
    <mergeCell ref="A124:E124"/>
    <mergeCell ref="A360:E360"/>
    <mergeCell ref="A40:G40"/>
    <mergeCell ref="A382:G382"/>
    <mergeCell ref="A186:G186"/>
    <mergeCell ref="B758:G758"/>
    <mergeCell ref="A50:E50"/>
    <mergeCell ref="B502:G502"/>
    <mergeCell ref="B558:G558"/>
    <mergeCell ref="A86:E86"/>
    <mergeCell ref="A553:E553"/>
    <mergeCell ref="A6:G6"/>
    <mergeCell ref="B629:G629"/>
    <mergeCell ref="A449:E449"/>
    <mergeCell ref="A940:E940"/>
    <mergeCell ref="A607:E607"/>
    <mergeCell ref="A734:E734"/>
    <mergeCell ref="B72:G72"/>
    <mergeCell ref="A144:E144"/>
    <mergeCell ref="A411:E411"/>
    <mergeCell ref="A158:G158"/>
    <mergeCell ref="A152:E152"/>
    <mergeCell ref="A450:E450"/>
    <mergeCell ref="A882:E882"/>
    <mergeCell ref="A735:E735"/>
    <mergeCell ref="A971:E971"/>
    <mergeCell ref="A477:E477"/>
    <mergeCell ref="A491:G491"/>
    <mergeCell ref="B148:G148"/>
    <mergeCell ref="A589:E589"/>
    <mergeCell ref="A70:E70"/>
    <mergeCell ref="A435:G435"/>
    <mergeCell ref="A305:E305"/>
    <mergeCell ref="B540:G540"/>
    <mergeCell ref="A572:E572"/>
    <mergeCell ref="A737:E737"/>
    <mergeCell ref="A864:E864"/>
    <mergeCell ref="B490:G490"/>
    <mergeCell ref="A145:E145"/>
    <mergeCell ref="A866:E866"/>
    <mergeCell ref="B541:G541"/>
    <mergeCell ref="A361:E361"/>
    <mergeCell ref="A895:E895"/>
    <mergeCell ref="A817:G817"/>
    <mergeCell ref="A944:G944"/>
    <mergeCell ref="B759:G759"/>
    <mergeCell ref="A661:E661"/>
    <mergeCell ref="A392:E392"/>
    <mergeCell ref="A755:E755"/>
    <mergeCell ref="B630:G630"/>
    <mergeCell ref="B701:G701"/>
    <mergeCell ref="B111:G111"/>
    <mergeCell ref="B274:G274"/>
    <mergeCell ref="A216:E216"/>
    <mergeCell ref="A287:E287"/>
    <mergeCell ref="A343:E343"/>
    <mergeCell ref="A756:E756"/>
    <mergeCell ref="A921:E921"/>
    <mergeCell ref="A87:E87"/>
    <mergeCell ref="A218:E218"/>
    <mergeCell ref="A345:E345"/>
    <mergeCell ref="A516:E516"/>
    <mergeCell ref="A610:E610"/>
    <mergeCell ref="A89:E89"/>
    <mergeCell ref="A105:E105"/>
    <mergeCell ref="A376:E376"/>
    <mergeCell ref="A468:E468"/>
    <mergeCell ref="A703:G703"/>
    <mergeCell ref="A897:E897"/>
    <mergeCell ref="A307:E307"/>
    <mergeCell ref="A574:E574"/>
    <mergeCell ref="B612:G612"/>
    <mergeCell ref="B22:G22"/>
    <mergeCell ref="A680:E680"/>
    <mergeCell ref="A811:E811"/>
    <mergeCell ref="A903:E903"/>
    <mergeCell ref="A682:E682"/>
    <mergeCell ref="A454:G454"/>
    <mergeCell ref="A416:G416"/>
    <mergeCell ref="A293:G293"/>
    <mergeCell ref="A93:G93"/>
    <mergeCell ref="A328:G328"/>
    <mergeCell ref="B702:G702"/>
    <mergeCell ref="A222:G222"/>
    <mergeCell ref="B925:G925"/>
    <mergeCell ref="B275:G275"/>
    <mergeCell ref="A393:E393"/>
    <mergeCell ref="A331:E331"/>
    <mergeCell ref="B796:G796"/>
    <mergeCell ref="A219:E219"/>
    <mergeCell ref="A395:E395"/>
    <mergeCell ref="A588:E588"/>
    <mergeCell ref="A332:E332"/>
    <mergeCell ref="B130:G130"/>
    <mergeCell ref="A631:G631"/>
    <mergeCell ref="B480:G480"/>
    <mergeCell ref="A552:E552"/>
    <mergeCell ref="A237:E237"/>
    <mergeCell ref="A535:E535"/>
    <mergeCell ref="A644:E644"/>
    <mergeCell ref="A16:E16"/>
    <mergeCell ref="B348:G348"/>
    <mergeCell ref="A485:E485"/>
    <mergeCell ref="A108:E108"/>
    <mergeCell ref="A410:E410"/>
    <mergeCell ref="A537:E537"/>
    <mergeCell ref="A18:E18"/>
    <mergeCell ref="A487:E487"/>
    <mergeCell ref="A754:E754"/>
    <mergeCell ref="A722:G722"/>
    <mergeCell ref="A238:E238"/>
    <mergeCell ref="B648:G648"/>
    <mergeCell ref="A772:E772"/>
    <mergeCell ref="A970:E970"/>
    <mergeCell ref="B185:G185"/>
    <mergeCell ref="A2:G2"/>
    <mergeCell ref="B347:G347"/>
    <mergeCell ref="A830:E830"/>
    <mergeCell ref="A922:E922"/>
    <mergeCell ref="A167:E167"/>
    <mergeCell ref="B577:G577"/>
    <mergeCell ref="A919:E919"/>
    <mergeCell ref="B797:G797"/>
    <mergeCell ref="B868:G868"/>
    <mergeCell ref="A590:E590"/>
    <mergeCell ref="A894:E894"/>
    <mergeCell ref="A832:E832"/>
    <mergeCell ref="A937:E937"/>
    <mergeCell ref="A304:E304"/>
    <mergeCell ref="A663:E663"/>
    <mergeCell ref="A169:E169"/>
    <mergeCell ref="A467:E467"/>
    <mergeCell ref="A112:G112"/>
    <mergeCell ref="A349:G349"/>
    <mergeCell ref="A322:E322"/>
    <mergeCell ref="B4:G4"/>
    <mergeCell ref="A716:E716"/>
    <mergeCell ref="A836:G836"/>
    <mergeCell ref="A17:E17"/>
    <mergeCell ref="A126:E126"/>
    <mergeCell ref="A253:E253"/>
    <mergeCell ref="A53:E53"/>
    <mergeCell ref="A324:E324"/>
    <mergeCell ref="A180:E180"/>
    <mergeCell ref="B960:G960"/>
    <mergeCell ref="A538:E538"/>
    <mergeCell ref="A609:E609"/>
    <mergeCell ref="A774:E774"/>
    <mergeCell ref="A19:E19"/>
    <mergeCell ref="A68:E68"/>
    <mergeCell ref="B291:G291"/>
    <mergeCell ref="B720:G720"/>
  </mergeCells>
  <conditionalFormatting sqref="F18 F35 F52 F69 F88 F107 F126 F145 F154 F169 F182 F199 F218 F237 F254 F271 F288 F306 F324 F333 F344 F361 F378 F394 F412 F431 F450 F467 F477 F487 F499 F517 F537 F554 F573 F590 F609 F626 F645 F662 F681 F698 F717 F736 F755 F774 F793 F812 F831 F848 F865 F883 F896 F905 F921 F939 F957 F972">
    <cfRule type="cellIs" priority="1" operator="notBetween" dxfId="0">
      <formula>-0.05</formula>
      <formula>0.05</formula>
    </cfRule>
  </conditionalFormatting>
  <hyperlinks>
    <hyperlink xmlns:r="http://schemas.openxmlformats.org/officeDocument/2006/relationships" ref="A10" r:id="rId1"/>
    <hyperlink xmlns:r="http://schemas.openxmlformats.org/officeDocument/2006/relationships" ref="A27" r:id="rId2"/>
    <hyperlink xmlns:r="http://schemas.openxmlformats.org/officeDocument/2006/relationships" ref="A44" r:id="rId3"/>
    <hyperlink xmlns:r="http://schemas.openxmlformats.org/officeDocument/2006/relationships" ref="A61" r:id="rId4"/>
    <hyperlink xmlns:r="http://schemas.openxmlformats.org/officeDocument/2006/relationships" ref="A78" r:id="rId5"/>
    <hyperlink xmlns:r="http://schemas.openxmlformats.org/officeDocument/2006/relationships" ref="A97" r:id="rId6"/>
    <hyperlink xmlns:r="http://schemas.openxmlformats.org/officeDocument/2006/relationships" ref="A115" r:id="rId7"/>
    <hyperlink xmlns:r="http://schemas.openxmlformats.org/officeDocument/2006/relationships" ref="A134" r:id="rId8"/>
    <hyperlink xmlns:r="http://schemas.openxmlformats.org/officeDocument/2006/relationships" ref="A175" r:id="rId9"/>
    <hyperlink xmlns:r="http://schemas.openxmlformats.org/officeDocument/2006/relationships" ref="A189" r:id="rId10"/>
    <hyperlink xmlns:r="http://schemas.openxmlformats.org/officeDocument/2006/relationships" ref="A206" r:id="rId11"/>
    <hyperlink xmlns:r="http://schemas.openxmlformats.org/officeDocument/2006/relationships" ref="A209" r:id="rId12"/>
    <hyperlink xmlns:r="http://schemas.openxmlformats.org/officeDocument/2006/relationships" ref="A225" r:id="rId13"/>
    <hyperlink xmlns:r="http://schemas.openxmlformats.org/officeDocument/2006/relationships" ref="A228" r:id="rId14"/>
    <hyperlink xmlns:r="http://schemas.openxmlformats.org/officeDocument/2006/relationships" ref="A251" r:id="rId15"/>
    <hyperlink xmlns:r="http://schemas.openxmlformats.org/officeDocument/2006/relationships" ref="A262" r:id="rId16"/>
    <hyperlink xmlns:r="http://schemas.openxmlformats.org/officeDocument/2006/relationships" ref="A279" r:id="rId17"/>
    <hyperlink xmlns:r="http://schemas.openxmlformats.org/officeDocument/2006/relationships" ref="A296" r:id="rId18"/>
    <hyperlink xmlns:r="http://schemas.openxmlformats.org/officeDocument/2006/relationships" ref="A314" r:id="rId19"/>
    <hyperlink xmlns:r="http://schemas.openxmlformats.org/officeDocument/2006/relationships" ref="A352" r:id="rId20"/>
    <hyperlink xmlns:r="http://schemas.openxmlformats.org/officeDocument/2006/relationships" ref="A369" r:id="rId21"/>
    <hyperlink xmlns:r="http://schemas.openxmlformats.org/officeDocument/2006/relationships" ref="A386" r:id="rId22"/>
    <hyperlink xmlns:r="http://schemas.openxmlformats.org/officeDocument/2006/relationships" ref="A402" r:id="rId23"/>
    <hyperlink xmlns:r="http://schemas.openxmlformats.org/officeDocument/2006/relationships" ref="A420" r:id="rId24"/>
    <hyperlink xmlns:r="http://schemas.openxmlformats.org/officeDocument/2006/relationships" ref="A422" r:id="rId25"/>
    <hyperlink xmlns:r="http://schemas.openxmlformats.org/officeDocument/2006/relationships" ref="A439" r:id="rId26"/>
    <hyperlink xmlns:r="http://schemas.openxmlformats.org/officeDocument/2006/relationships" ref="A441" r:id="rId27"/>
    <hyperlink xmlns:r="http://schemas.openxmlformats.org/officeDocument/2006/relationships" ref="A458" r:id="rId28"/>
    <hyperlink xmlns:r="http://schemas.openxmlformats.org/officeDocument/2006/relationships" ref="A473" r:id="rId29"/>
    <hyperlink xmlns:r="http://schemas.openxmlformats.org/officeDocument/2006/relationships" ref="A508" r:id="rId30"/>
    <hyperlink xmlns:r="http://schemas.openxmlformats.org/officeDocument/2006/relationships" ref="A526" r:id="rId31"/>
    <hyperlink xmlns:r="http://schemas.openxmlformats.org/officeDocument/2006/relationships" ref="A546" r:id="rId32"/>
    <hyperlink xmlns:r="http://schemas.openxmlformats.org/officeDocument/2006/relationships" ref="A563" r:id="rId33"/>
    <hyperlink xmlns:r="http://schemas.openxmlformats.org/officeDocument/2006/relationships" ref="A582" r:id="rId34"/>
    <hyperlink xmlns:r="http://schemas.openxmlformats.org/officeDocument/2006/relationships" ref="A599" r:id="rId35"/>
    <hyperlink xmlns:r="http://schemas.openxmlformats.org/officeDocument/2006/relationships" ref="A618" r:id="rId36"/>
    <hyperlink xmlns:r="http://schemas.openxmlformats.org/officeDocument/2006/relationships" ref="A635" r:id="rId37"/>
    <hyperlink xmlns:r="http://schemas.openxmlformats.org/officeDocument/2006/relationships" ref="A654" r:id="rId38"/>
    <hyperlink xmlns:r="http://schemas.openxmlformats.org/officeDocument/2006/relationships" ref="A671" r:id="rId39"/>
    <hyperlink xmlns:r="http://schemas.openxmlformats.org/officeDocument/2006/relationships" ref="A690" r:id="rId40"/>
    <hyperlink xmlns:r="http://schemas.openxmlformats.org/officeDocument/2006/relationships" ref="A707" r:id="rId41"/>
    <hyperlink xmlns:r="http://schemas.openxmlformats.org/officeDocument/2006/relationships" ref="A725" r:id="rId42"/>
    <hyperlink xmlns:r="http://schemas.openxmlformats.org/officeDocument/2006/relationships" ref="A744" r:id="rId43"/>
    <hyperlink xmlns:r="http://schemas.openxmlformats.org/officeDocument/2006/relationships" ref="A763" r:id="rId44"/>
    <hyperlink xmlns:r="http://schemas.openxmlformats.org/officeDocument/2006/relationships" ref="A782" r:id="rId45"/>
    <hyperlink xmlns:r="http://schemas.openxmlformats.org/officeDocument/2006/relationships" ref="A801" r:id="rId46"/>
    <hyperlink xmlns:r="http://schemas.openxmlformats.org/officeDocument/2006/relationships" ref="A820" r:id="rId47"/>
    <hyperlink xmlns:r="http://schemas.openxmlformats.org/officeDocument/2006/relationships" ref="A839" r:id="rId48"/>
    <hyperlink xmlns:r="http://schemas.openxmlformats.org/officeDocument/2006/relationships" ref="A855" r:id="rId49"/>
    <hyperlink xmlns:r="http://schemas.openxmlformats.org/officeDocument/2006/relationships" ref="A858" r:id="rId50"/>
    <hyperlink xmlns:r="http://schemas.openxmlformats.org/officeDocument/2006/relationships" ref="A872" r:id="rId51"/>
    <hyperlink xmlns:r="http://schemas.openxmlformats.org/officeDocument/2006/relationships" ref="A879" r:id="rId52"/>
    <hyperlink xmlns:r="http://schemas.openxmlformats.org/officeDocument/2006/relationships" ref="A914" r:id="rId53"/>
    <hyperlink xmlns:r="http://schemas.openxmlformats.org/officeDocument/2006/relationships" ref="A929" r:id="rId54"/>
    <hyperlink xmlns:r="http://schemas.openxmlformats.org/officeDocument/2006/relationships" ref="A947" r:id="rId5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0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07: STONE WORK</t>
        </is>
      </c>
    </row>
    <row r="2" ht="28" customHeight="1">
      <c r="A2" s="16" t="inlineStr">
        <is>
          <t>53 priced items. Amount and Calculated W are live Excel formulas (Quantity x Rate, SUM); the printed W and SAY are the DAR's own figures. Edit any Quantity or Rate and the item's calculated W recalculates.</t>
        </is>
      </c>
    </row>
    <row r="4" ht="33" customHeight="1">
      <c r="A4" s="8" t="inlineStr">
        <is>
          <t>7.1</t>
        </is>
      </c>
      <c r="B4" s="17" t="inlineStr">
        <is>
          <t>Random rubble masonry with hard stone in foundation and plinth including levelling up with cement concrete 1:6:12 (1 cement : 6 coarse sand : 12 graded stone aggregate 20 mm nominal size) upto plinth level with :</t>
        </is>
      </c>
      <c r="C4" s="9" t="n"/>
      <c r="D4" s="9" t="n"/>
      <c r="E4" s="9" t="n"/>
      <c r="F4" s="9" t="n"/>
      <c r="G4" s="9" t="n"/>
    </row>
    <row r="5" ht="18.5" customHeight="1">
      <c r="A5" s="18" t="inlineStr">
        <is>
          <t>7.1.1</t>
        </is>
      </c>
      <c r="B5" s="19" t="inlineStr">
        <is>
          <t>Cement mortar 1:6 (1 cement : 6 coarse sand)</t>
        </is>
      </c>
      <c r="C5" s="20" t="n"/>
      <c r="D5" s="20" t="n"/>
      <c r="E5" s="20" t="n"/>
      <c r="F5" s="20" t="n"/>
      <c r="G5" s="20" t="n"/>
    </row>
    <row r="6">
      <c r="A6" s="21" t="inlineStr">
        <is>
          <t>Details of cost for 1 cum   |   Source: CivilDAR_2019_Vol_1.pdf, page 324</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1157</t>
        </is>
      </c>
      <c r="B8" s="11" t="inlineStr">
        <is>
          <t>Stone for masonry work</t>
        </is>
      </c>
      <c r="C8" s="22" t="inlineStr">
        <is>
          <t>cum</t>
        </is>
      </c>
      <c r="D8" s="23" t="n">
        <v>1</v>
      </c>
      <c r="E8" s="24" t="n">
        <v>1100</v>
      </c>
      <c r="F8" s="24">
        <f>D8*E8</f>
        <v/>
      </c>
      <c r="G8" s="22" t="n"/>
    </row>
    <row r="9">
      <c r="A9" s="22" t="inlineStr">
        <is>
          <t>1154</t>
        </is>
      </c>
      <c r="B9" s="11" t="inlineStr">
        <is>
          <t>Through and bond stone size 24 x24 x39 cm</t>
        </is>
      </c>
      <c r="C9" s="22" t="inlineStr">
        <is>
          <t>100 Nos</t>
        </is>
      </c>
      <c r="D9" s="23" t="n">
        <v>0.07000000000000001</v>
      </c>
      <c r="E9" s="24" t="n">
        <v>5000</v>
      </c>
      <c r="F9" s="24">
        <f>D9*E9</f>
        <v/>
      </c>
      <c r="G9" s="22" t="n"/>
    </row>
    <row r="10">
      <c r="A10" s="22" t="inlineStr">
        <is>
          <t>2215</t>
        </is>
      </c>
      <c r="B10" s="11" t="inlineStr">
        <is>
          <t>Carriage of Soling stone &amp; masonry stone</t>
        </is>
      </c>
      <c r="C10" s="22" t="inlineStr">
        <is>
          <t>cum</t>
        </is>
      </c>
      <c r="D10" s="23" t="n">
        <v>1.16</v>
      </c>
      <c r="E10" s="24" t="n">
        <v>122.08</v>
      </c>
      <c r="F10" s="24">
        <f>D10*E10</f>
        <v/>
      </c>
      <c r="G10" s="22" t="n"/>
    </row>
    <row r="11">
      <c r="A11" s="7" t="inlineStr">
        <is>
          <t>3.11</t>
        </is>
      </c>
      <c r="B11" s="11" t="inlineStr">
        <is>
          <t>Rate as per item 3.11 - Cement mortar 1:6 (1 cement : 6 coarse sand)</t>
        </is>
      </c>
      <c r="C11" s="22" t="inlineStr">
        <is>
          <t>cum</t>
        </is>
      </c>
      <c r="D11" s="23" t="n">
        <v>0.33</v>
      </c>
      <c r="E11" s="24" t="n">
        <v>3356.15</v>
      </c>
      <c r="F11" s="24">
        <f>D11*E11</f>
        <v/>
      </c>
      <c r="G11" s="22" t="n"/>
    </row>
    <row r="12">
      <c r="A12" s="22" t="inlineStr">
        <is>
          <t>0125</t>
        </is>
      </c>
      <c r="B12" s="11" t="inlineStr">
        <is>
          <t>Mason (for plain stone work) 2nd class)</t>
        </is>
      </c>
      <c r="C12" s="22" t="inlineStr">
        <is>
          <t>day</t>
        </is>
      </c>
      <c r="D12" s="23" t="n">
        <v>1.07</v>
      </c>
      <c r="E12" s="24" t="n">
        <v>679</v>
      </c>
      <c r="F12" s="24">
        <f>D12*E12</f>
        <v/>
      </c>
      <c r="G12" s="22" t="n"/>
    </row>
    <row r="13">
      <c r="A13" s="22" t="inlineStr">
        <is>
          <t>0114</t>
        </is>
      </c>
      <c r="B13" s="11" t="inlineStr">
        <is>
          <t>Beldar</t>
        </is>
      </c>
      <c r="C13" s="22" t="inlineStr">
        <is>
          <t>day</t>
        </is>
      </c>
      <c r="D13" s="23" t="n">
        <v>1.07</v>
      </c>
      <c r="E13" s="24" t="n">
        <v>558</v>
      </c>
      <c r="F13" s="24">
        <f>D13*E13</f>
        <v/>
      </c>
      <c r="G13" s="22" t="n"/>
    </row>
    <row r="14">
      <c r="A14" s="22" t="inlineStr">
        <is>
          <t>0115</t>
        </is>
      </c>
      <c r="B14" s="11" t="inlineStr">
        <is>
          <t>Coolie</t>
        </is>
      </c>
      <c r="C14" s="22" t="inlineStr">
        <is>
          <t>day</t>
        </is>
      </c>
      <c r="D14" s="23" t="n">
        <v>0.71</v>
      </c>
      <c r="E14" s="24" t="n">
        <v>558</v>
      </c>
      <c r="F14" s="24">
        <f>D14*E14</f>
        <v/>
      </c>
      <c r="G14" s="22" t="n"/>
    </row>
    <row r="15">
      <c r="A15" s="22" t="inlineStr">
        <is>
          <t>0101</t>
        </is>
      </c>
      <c r="B15" s="11" t="inlineStr">
        <is>
          <t>Bhisti</t>
        </is>
      </c>
      <c r="C15" s="22" t="inlineStr">
        <is>
          <t>day</t>
        </is>
      </c>
      <c r="D15" s="23" t="n">
        <v>0.09</v>
      </c>
      <c r="E15" s="24" t="n">
        <v>617</v>
      </c>
      <c r="F15" s="24">
        <f>D15*E15</f>
        <v/>
      </c>
      <c r="G15" s="22" t="n"/>
    </row>
    <row r="16">
      <c r="A16" s="22" t="inlineStr">
        <is>
          <t>9999</t>
        </is>
      </c>
      <c r="B16" s="11" t="inlineStr">
        <is>
          <t>Cement concrete 1:6:12</t>
        </is>
      </c>
      <c r="C16" s="22" t="inlineStr">
        <is>
          <t>L.S.</t>
        </is>
      </c>
      <c r="D16" s="23" t="n">
        <v>45.76</v>
      </c>
      <c r="E16" s="24" t="n">
        <v>2</v>
      </c>
      <c r="F16" s="24">
        <f>D16*E16</f>
        <v/>
      </c>
      <c r="G16" s="22" t="n"/>
    </row>
    <row r="17">
      <c r="A17" s="22" t="inlineStr">
        <is>
          <t>9999</t>
        </is>
      </c>
      <c r="B17" s="11" t="inlineStr">
        <is>
          <t>Sundries</t>
        </is>
      </c>
      <c r="C17" s="22" t="inlineStr">
        <is>
          <t>L.S.</t>
        </is>
      </c>
      <c r="D17" s="23" t="n">
        <v>4.42</v>
      </c>
      <c r="E17" s="24" t="n">
        <v>2</v>
      </c>
      <c r="F17" s="24">
        <f>D17*E17</f>
        <v/>
      </c>
      <c r="G17" s="22" t="n"/>
    </row>
    <row r="18">
      <c r="A18" s="8" t="inlineStr">
        <is>
          <t>Calculated W - SUM of the Amount column above</t>
        </is>
      </c>
      <c r="B18" s="9" t="n"/>
      <c r="C18" s="9" t="n"/>
      <c r="D18" s="9" t="n"/>
      <c r="E18" s="9" t="n"/>
      <c r="F18" s="25">
        <f>SUM(F8:F17)</f>
        <v/>
      </c>
      <c r="G18" s="9" t="n"/>
    </row>
    <row r="19">
      <c r="A19" s="26" t="inlineStr">
        <is>
          <t>W as printed in the DAR</t>
        </is>
      </c>
      <c r="B19" s="22" t="n"/>
      <c r="C19" s="22" t="n"/>
      <c r="D19" s="22" t="n"/>
      <c r="E19" s="22" t="n"/>
      <c r="F19" s="27" t="n">
        <v>4574.8</v>
      </c>
      <c r="G19" s="22" t="n"/>
    </row>
    <row r="20">
      <c r="A20" s="26" t="inlineStr">
        <is>
          <t>Difference (calculated - printed)</t>
        </is>
      </c>
      <c r="B20" s="22" t="n"/>
      <c r="C20" s="22" t="n"/>
      <c r="D20" s="22" t="n"/>
      <c r="E20" s="22" t="n"/>
      <c r="F20" s="27">
        <f>F18-F19</f>
        <v/>
      </c>
      <c r="G20" s="22" t="n"/>
    </row>
    <row r="21">
      <c r="A21" s="29" t="inlineStr">
        <is>
          <t>SAY (Rs.) - final DAR rate as printed (fixed value, not computed)</t>
        </is>
      </c>
      <c r="B21" s="30" t="n"/>
      <c r="C21" s="30" t="n"/>
      <c r="D21" s="30" t="n"/>
      <c r="E21" s="30" t="n"/>
      <c r="F21" s="31" t="n">
        <v>6120.8</v>
      </c>
      <c r="G21" s="30" t="n"/>
    </row>
    <row r="23" ht="47.5" customHeight="1">
      <c r="A23" s="8" t="inlineStr">
        <is>
          <t>7.2</t>
        </is>
      </c>
      <c r="B23" s="17" t="inlineStr">
        <is>
          <t>Random rubble masonry with hard stone in superstructure above plinth level and upto floor five level, including leveling up with cement concrete 1:6:12 (1 cement : 6 coarse sand : 12 graded stone aggregate 20 mm nominal size) at window sills, ceiling level and the like.</t>
        </is>
      </c>
      <c r="C23" s="9" t="n"/>
      <c r="D23" s="9" t="n"/>
      <c r="E23" s="9" t="n"/>
      <c r="F23" s="9" t="n"/>
      <c r="G23" s="9" t="n"/>
    </row>
    <row r="24" ht="18.5" customHeight="1">
      <c r="A24" s="18" t="inlineStr">
        <is>
          <t>7.2.1</t>
        </is>
      </c>
      <c r="B24" s="19" t="inlineStr">
        <is>
          <t>Cement mortar 1:6 (1 cement : 6 coarse sand)</t>
        </is>
      </c>
      <c r="C24" s="20" t="n"/>
      <c r="D24" s="20" t="n"/>
      <c r="E24" s="20" t="n"/>
      <c r="F24" s="20" t="n"/>
      <c r="G24" s="20" t="n"/>
    </row>
    <row r="25">
      <c r="A25" s="21" t="inlineStr">
        <is>
          <t>Details of cost for 1 cum   |   Source: CivilDAR_2019_Vol_1.pdf, page 324</t>
        </is>
      </c>
    </row>
    <row r="26">
      <c r="A26" s="5" t="inlineStr">
        <is>
          <t>Code</t>
        </is>
      </c>
      <c r="B26" s="5" t="inlineStr">
        <is>
          <t>Description</t>
        </is>
      </c>
      <c r="C26" s="5" t="inlineStr">
        <is>
          <t>Unit</t>
        </is>
      </c>
      <c r="D26" s="5" t="inlineStr">
        <is>
          <t>Quantity</t>
        </is>
      </c>
      <c r="E26" s="5" t="inlineStr">
        <is>
          <t>Rate (Rs.)</t>
        </is>
      </c>
      <c r="F26" s="5" t="inlineStr">
        <is>
          <t>Amount (Rs.)</t>
        </is>
      </c>
      <c r="G26" s="5" t="inlineStr">
        <is>
          <t>Note</t>
        </is>
      </c>
    </row>
    <row r="27">
      <c r="A27" s="22" t="inlineStr">
        <is>
          <t>1157</t>
        </is>
      </c>
      <c r="B27" s="11" t="inlineStr">
        <is>
          <t>Stone for masonry work</t>
        </is>
      </c>
      <c r="C27" s="22" t="inlineStr">
        <is>
          <t>cum</t>
        </is>
      </c>
      <c r="D27" s="23" t="n">
        <v>1</v>
      </c>
      <c r="E27" s="24" t="n">
        <v>1100</v>
      </c>
      <c r="F27" s="24">
        <f>D27*E27</f>
        <v/>
      </c>
      <c r="G27" s="22" t="n"/>
    </row>
    <row r="28">
      <c r="A28" s="22" t="inlineStr">
        <is>
          <t>1154</t>
        </is>
      </c>
      <c r="B28" s="11" t="inlineStr">
        <is>
          <t>Through and bond stone size 24 x 24 x39 cm</t>
        </is>
      </c>
      <c r="C28" s="22" t="inlineStr">
        <is>
          <t>100 Nos</t>
        </is>
      </c>
      <c r="D28" s="23" t="n">
        <v>0.07000000000000001</v>
      </c>
      <c r="E28" s="24" t="n">
        <v>5000</v>
      </c>
      <c r="F28" s="24">
        <f>D28*E28</f>
        <v/>
      </c>
      <c r="G28" s="22" t="n"/>
    </row>
    <row r="29">
      <c r="A29" s="22" t="inlineStr">
        <is>
          <t>2215</t>
        </is>
      </c>
      <c r="B29" s="11" t="inlineStr">
        <is>
          <t>Carriage of Soling stone &amp; masonry stone</t>
        </is>
      </c>
      <c r="C29" s="22" t="inlineStr">
        <is>
          <t>cum</t>
        </is>
      </c>
      <c r="D29" s="23" t="n">
        <v>1.16</v>
      </c>
      <c r="E29" s="24" t="n">
        <v>122.08</v>
      </c>
      <c r="F29" s="24">
        <f>D29*E29</f>
        <v/>
      </c>
      <c r="G29" s="22" t="n"/>
    </row>
    <row r="30">
      <c r="A30" s="7" t="inlineStr">
        <is>
          <t>3.11</t>
        </is>
      </c>
      <c r="B30" s="11" t="inlineStr">
        <is>
          <t>Rate as per item 3.11 - Cement mortar 1:6 (1 cement : 6 coarse sand)</t>
        </is>
      </c>
      <c r="C30" s="22" t="inlineStr">
        <is>
          <t>cum</t>
        </is>
      </c>
      <c r="D30" s="23" t="n">
        <v>0.33</v>
      </c>
      <c r="E30" s="24" t="n">
        <v>3356.15</v>
      </c>
      <c r="F30" s="24">
        <f>D30*E30</f>
        <v/>
      </c>
      <c r="G30" s="34" t="inlineStr">
        <is>
          <t>DAR prints 1,061.78; Quantity x Rate = 1,107.53</t>
        </is>
      </c>
    </row>
    <row r="31">
      <c r="A31" s="22" t="inlineStr">
        <is>
          <t>0125</t>
        </is>
      </c>
      <c r="B31" s="11" t="inlineStr">
        <is>
          <t>Mason (for plain stone work) 2nd class)</t>
        </is>
      </c>
      <c r="C31" s="22" t="inlineStr">
        <is>
          <t>day</t>
        </is>
      </c>
      <c r="D31" s="23" t="n">
        <v>1.34</v>
      </c>
      <c r="E31" s="24" t="n">
        <v>679</v>
      </c>
      <c r="F31" s="24">
        <f>D31*E31</f>
        <v/>
      </c>
      <c r="G31" s="22" t="n"/>
    </row>
    <row r="32">
      <c r="A32" s="22" t="inlineStr">
        <is>
          <t>0114</t>
        </is>
      </c>
      <c r="B32" s="11" t="inlineStr">
        <is>
          <t>Beldar</t>
        </is>
      </c>
      <c r="C32" s="22" t="inlineStr">
        <is>
          <t>day</t>
        </is>
      </c>
      <c r="D32" s="23" t="n">
        <v>1.45</v>
      </c>
      <c r="E32" s="24" t="n">
        <v>558</v>
      </c>
      <c r="F32" s="24">
        <f>D32*E32</f>
        <v/>
      </c>
      <c r="G32" s="22" t="n"/>
    </row>
    <row r="33">
      <c r="A33" s="22" t="inlineStr">
        <is>
          <t>0115</t>
        </is>
      </c>
      <c r="B33" s="11" t="inlineStr">
        <is>
          <t>Coolie</t>
        </is>
      </c>
      <c r="C33" s="22" t="inlineStr">
        <is>
          <t>day</t>
        </is>
      </c>
      <c r="D33" s="23" t="n">
        <v>0.71</v>
      </c>
      <c r="E33" s="24" t="n">
        <v>558</v>
      </c>
      <c r="F33" s="24">
        <f>D33*E33</f>
        <v/>
      </c>
      <c r="G33" s="22" t="n"/>
    </row>
    <row r="34">
      <c r="A34" s="22" t="inlineStr">
        <is>
          <t>0101</t>
        </is>
      </c>
      <c r="B34" s="11" t="inlineStr">
        <is>
          <t>Bhisti</t>
        </is>
      </c>
      <c r="C34" s="22" t="inlineStr">
        <is>
          <t>day</t>
        </is>
      </c>
      <c r="D34" s="23" t="n">
        <v>0.09</v>
      </c>
      <c r="E34" s="24" t="n">
        <v>617</v>
      </c>
      <c r="F34" s="24">
        <f>D34*E34</f>
        <v/>
      </c>
      <c r="G34" s="22" t="n"/>
    </row>
    <row r="35">
      <c r="A35" s="22" t="inlineStr">
        <is>
          <t>9999</t>
        </is>
      </c>
      <c r="B35" s="11" t="inlineStr">
        <is>
          <t>Cement concrete 1:6:12</t>
        </is>
      </c>
      <c r="C35" s="22" t="inlineStr">
        <is>
          <t>L.S.</t>
        </is>
      </c>
      <c r="D35" s="23" t="n">
        <v>56.55</v>
      </c>
      <c r="E35" s="24" t="n">
        <v>2</v>
      </c>
      <c r="F35" s="24">
        <f>D35*E35</f>
        <v/>
      </c>
      <c r="G35" s="22" t="n"/>
    </row>
    <row r="36">
      <c r="A36" s="22" t="inlineStr">
        <is>
          <t>0115</t>
        </is>
      </c>
      <c r="B36" s="11" t="inlineStr">
        <is>
          <t>Coolie</t>
        </is>
      </c>
      <c r="C36" s="22" t="inlineStr">
        <is>
          <t>day</t>
        </is>
      </c>
      <c r="D36" s="23" t="n">
        <v>1.13</v>
      </c>
      <c r="E36" s="24" t="n">
        <v>558</v>
      </c>
      <c r="F36" s="24">
        <f>D36*E36</f>
        <v/>
      </c>
      <c r="G36" s="22" t="n"/>
    </row>
    <row r="37">
      <c r="A37" s="22" t="inlineStr">
        <is>
          <t>9999</t>
        </is>
      </c>
      <c r="B37" s="11" t="inlineStr">
        <is>
          <t>Sundries</t>
        </is>
      </c>
      <c r="C37" s="22" t="inlineStr">
        <is>
          <t>L.S.</t>
        </is>
      </c>
      <c r="D37" s="23" t="n">
        <v>15.21</v>
      </c>
      <c r="E37" s="24" t="n">
        <v>2</v>
      </c>
      <c r="F37" s="24">
        <f>D37*E37</f>
        <v/>
      </c>
      <c r="G37" s="22" t="n"/>
    </row>
    <row r="38">
      <c r="A38" s="8" t="inlineStr">
        <is>
          <t>Calculated W - SUM of the Amount column above</t>
        </is>
      </c>
      <c r="B38" s="9" t="n"/>
      <c r="C38" s="9" t="n"/>
      <c r="D38" s="9" t="n"/>
      <c r="E38" s="9" t="n"/>
      <c r="F38" s="25">
        <f>SUM(F27:F37)</f>
        <v/>
      </c>
      <c r="G38" s="9" t="n"/>
    </row>
    <row r="39">
      <c r="A39" s="26" t="inlineStr">
        <is>
          <t>W as printed in the DAR</t>
        </is>
      </c>
      <c r="B39" s="22" t="n"/>
      <c r="C39" s="22" t="n"/>
      <c r="D39" s="22" t="n"/>
      <c r="E39" s="22" t="n"/>
      <c r="F39" s="27" t="n">
        <v>5598.12</v>
      </c>
      <c r="G39" s="22" t="n"/>
    </row>
    <row r="40">
      <c r="A40" s="26" t="inlineStr">
        <is>
          <t>Difference (calculated - printed)</t>
        </is>
      </c>
      <c r="B40" s="22" t="n"/>
      <c r="C40" s="22" t="n"/>
      <c r="D40" s="22" t="n"/>
      <c r="E40" s="22" t="n"/>
      <c r="F40" s="27">
        <f>F38-F39</f>
        <v/>
      </c>
      <c r="G40" s="28" t="inlineStr">
        <is>
          <t>DAR's own arithmetic slip(s) - see Cover errata</t>
        </is>
      </c>
    </row>
    <row r="41">
      <c r="A41" s="29" t="inlineStr">
        <is>
          <t>SAY (Rs.) - final DAR rate as printed (fixed value, not computed)</t>
        </is>
      </c>
      <c r="B41" s="30" t="n"/>
      <c r="C41" s="30" t="n"/>
      <c r="D41" s="30" t="n"/>
      <c r="E41" s="30" t="n"/>
      <c r="F41" s="31" t="n">
        <v>7489.95</v>
      </c>
      <c r="G41" s="30" t="n"/>
    </row>
    <row r="43" ht="18.5" customHeight="1">
      <c r="A43" s="8" t="inlineStr">
        <is>
          <t>7.4</t>
        </is>
      </c>
      <c r="B43" s="17" t="inlineStr">
        <is>
          <t>Extra for random rubble masonry with hard stone in :</t>
        </is>
      </c>
      <c r="C43" s="9" t="n"/>
      <c r="D43" s="9" t="n"/>
      <c r="E43" s="9" t="n"/>
      <c r="F43" s="9" t="n"/>
      <c r="G43" s="9" t="n"/>
    </row>
    <row r="44" ht="18.5" customHeight="1">
      <c r="A44" s="18" t="inlineStr">
        <is>
          <t>7.4.1</t>
        </is>
      </c>
      <c r="B44" s="19" t="inlineStr">
        <is>
          <t>Square or rectangular pillars</t>
        </is>
      </c>
      <c r="C44" s="20" t="n"/>
      <c r="D44" s="20" t="n"/>
      <c r="E44" s="20" t="n"/>
      <c r="F44" s="20" t="n"/>
      <c r="G44" s="20" t="n"/>
    </row>
    <row r="45">
      <c r="A45" s="21" t="inlineStr">
        <is>
          <t>Details of cost for 1 cum   |   Source: CivilDAR_2019_Vol_1.pdf, page 325</t>
        </is>
      </c>
    </row>
    <row r="46">
      <c r="A46" s="5" t="inlineStr">
        <is>
          <t>Code</t>
        </is>
      </c>
      <c r="B46" s="5" t="inlineStr">
        <is>
          <t>Description</t>
        </is>
      </c>
      <c r="C46" s="5" t="inlineStr">
        <is>
          <t>Unit</t>
        </is>
      </c>
      <c r="D46" s="5" t="inlineStr">
        <is>
          <t>Quantity</t>
        </is>
      </c>
      <c r="E46" s="5" t="inlineStr">
        <is>
          <t>Rate (Rs.)</t>
        </is>
      </c>
      <c r="F46" s="5" t="inlineStr">
        <is>
          <t>Amount (Rs.)</t>
        </is>
      </c>
      <c r="G46" s="5" t="inlineStr">
        <is>
          <t>Note</t>
        </is>
      </c>
    </row>
    <row r="47">
      <c r="A47" s="22" t="inlineStr">
        <is>
          <t>0125</t>
        </is>
      </c>
      <c r="B47" s="11" t="inlineStr">
        <is>
          <t>Mason (for plain stone work) 2nd class)</t>
        </is>
      </c>
      <c r="C47" s="22" t="inlineStr">
        <is>
          <t>day</t>
        </is>
      </c>
      <c r="D47" s="23" t="n">
        <v>0.58</v>
      </c>
      <c r="E47" s="24" t="n">
        <v>679</v>
      </c>
      <c r="F47" s="24">
        <f>D47*E47</f>
        <v/>
      </c>
      <c r="G47" s="22" t="n"/>
    </row>
    <row r="48">
      <c r="A48" s="22" t="inlineStr">
        <is>
          <t>0115</t>
        </is>
      </c>
      <c r="B48" s="11" t="inlineStr">
        <is>
          <t>Coolie</t>
        </is>
      </c>
      <c r="C48" s="22" t="inlineStr">
        <is>
          <t>day</t>
        </is>
      </c>
      <c r="D48" s="23" t="n">
        <v>0.27</v>
      </c>
      <c r="E48" s="24" t="n">
        <v>558</v>
      </c>
      <c r="F48" s="24">
        <f>D48*E48</f>
        <v/>
      </c>
      <c r="G48" s="22" t="n"/>
    </row>
    <row r="49">
      <c r="A49" s="8" t="inlineStr">
        <is>
          <t>Calculated W - SUM of the Amount column above</t>
        </is>
      </c>
      <c r="B49" s="9" t="n"/>
      <c r="C49" s="9" t="n"/>
      <c r="D49" s="9" t="n"/>
      <c r="E49" s="9" t="n"/>
      <c r="F49" s="25">
        <f>SUM(F47:F48)</f>
        <v/>
      </c>
      <c r="G49" s="9" t="n"/>
    </row>
    <row r="50">
      <c r="A50" s="26" t="inlineStr">
        <is>
          <t>W as printed in the DAR</t>
        </is>
      </c>
      <c r="B50" s="22" t="n"/>
      <c r="C50" s="22" t="n"/>
      <c r="D50" s="22" t="n"/>
      <c r="E50" s="22" t="n"/>
      <c r="F50" s="27" t="n">
        <v>544.48</v>
      </c>
      <c r="G50" s="22" t="n"/>
    </row>
    <row r="51">
      <c r="A51" s="26" t="inlineStr">
        <is>
          <t>Difference (calculated - printed)</t>
        </is>
      </c>
      <c r="B51" s="22" t="n"/>
      <c r="C51" s="22" t="n"/>
      <c r="D51" s="22" t="n"/>
      <c r="E51" s="22" t="n"/>
      <c r="F51" s="27">
        <f>F49-F50</f>
        <v/>
      </c>
      <c r="G51" s="22" t="n"/>
    </row>
    <row r="52">
      <c r="A52" s="29" t="inlineStr">
        <is>
          <t>SAY (Rs.) - final DAR rate as printed (fixed value, not computed)</t>
        </is>
      </c>
      <c r="B52" s="30" t="n"/>
      <c r="C52" s="30" t="n"/>
      <c r="D52" s="30" t="n"/>
      <c r="E52" s="30" t="n"/>
      <c r="F52" s="31" t="n">
        <v>728.5</v>
      </c>
      <c r="G52" s="30" t="n"/>
    </row>
    <row r="54" ht="18.5" customHeight="1">
      <c r="A54" s="8" t="inlineStr">
        <is>
          <t>7.4</t>
        </is>
      </c>
      <c r="B54" s="17" t="inlineStr">
        <is>
          <t>Extra for random rubble masonry with hard stone in :</t>
        </is>
      </c>
      <c r="C54" s="9" t="n"/>
      <c r="D54" s="9" t="n"/>
      <c r="E54" s="9" t="n"/>
      <c r="F54" s="9" t="n"/>
      <c r="G54" s="9" t="n"/>
    </row>
    <row r="55" ht="18.5" customHeight="1">
      <c r="A55" s="18" t="inlineStr">
        <is>
          <t>7.4.2</t>
        </is>
      </c>
      <c r="B55" s="19" t="inlineStr">
        <is>
          <t>Circular pillars</t>
        </is>
      </c>
      <c r="C55" s="20" t="n"/>
      <c r="D55" s="20" t="n"/>
      <c r="E55" s="20" t="n"/>
      <c r="F55" s="20" t="n"/>
      <c r="G55" s="20" t="n"/>
    </row>
    <row r="56">
      <c r="A56" s="21" t="inlineStr">
        <is>
          <t>Details of cost for 1 cum   |   Source: CivilDAR_2019_Vol_1.pdf, page 326</t>
        </is>
      </c>
    </row>
    <row r="57">
      <c r="A57" s="5" t="inlineStr">
        <is>
          <t>Code</t>
        </is>
      </c>
      <c r="B57" s="5" t="inlineStr">
        <is>
          <t>Description</t>
        </is>
      </c>
      <c r="C57" s="5" t="inlineStr">
        <is>
          <t>Unit</t>
        </is>
      </c>
      <c r="D57" s="5" t="inlineStr">
        <is>
          <t>Quantity</t>
        </is>
      </c>
      <c r="E57" s="5" t="inlineStr">
        <is>
          <t>Rate (Rs.)</t>
        </is>
      </c>
      <c r="F57" s="5" t="inlineStr">
        <is>
          <t>Amount (Rs.)</t>
        </is>
      </c>
      <c r="G57" s="5" t="inlineStr">
        <is>
          <t>Note</t>
        </is>
      </c>
    </row>
    <row r="58">
      <c r="A58" s="22" t="inlineStr">
        <is>
          <t>1157</t>
        </is>
      </c>
      <c r="B58" s="11" t="inlineStr">
        <is>
          <t>Stone for masonry work</t>
        </is>
      </c>
      <c r="C58" s="22" t="inlineStr">
        <is>
          <t>cum</t>
        </is>
      </c>
      <c r="D58" s="23" t="n">
        <v>0.29</v>
      </c>
      <c r="E58" s="24" t="n">
        <v>1100</v>
      </c>
      <c r="F58" s="24">
        <f>D58*E58</f>
        <v/>
      </c>
      <c r="G58" s="22" t="n"/>
    </row>
    <row r="59">
      <c r="A59" s="22" t="inlineStr">
        <is>
          <t>2215</t>
        </is>
      </c>
      <c r="B59" s="11" t="inlineStr">
        <is>
          <t>Carriage of Soling stone &amp; masonry stone</t>
        </is>
      </c>
      <c r="C59" s="22" t="inlineStr">
        <is>
          <t>cum</t>
        </is>
      </c>
      <c r="D59" s="23" t="n">
        <v>0.29</v>
      </c>
      <c r="E59" s="24" t="n">
        <v>122.08</v>
      </c>
      <c r="F59" s="24">
        <f>D59*E59</f>
        <v/>
      </c>
      <c r="G59" s="22" t="n"/>
    </row>
    <row r="60">
      <c r="A60" s="22" t="inlineStr">
        <is>
          <t>0125</t>
        </is>
      </c>
      <c r="B60" s="11" t="inlineStr">
        <is>
          <t>Mason (for plain stone work) 2nd class)</t>
        </is>
      </c>
      <c r="C60" s="22" t="inlineStr">
        <is>
          <t>day</t>
        </is>
      </c>
      <c r="D60" s="23" t="n">
        <v>1.42</v>
      </c>
      <c r="E60" s="24" t="n">
        <v>679</v>
      </c>
      <c r="F60" s="24">
        <f>D60*E60</f>
        <v/>
      </c>
      <c r="G60" s="22" t="n"/>
    </row>
    <row r="61">
      <c r="A61" s="22" t="inlineStr">
        <is>
          <t>0115</t>
        </is>
      </c>
      <c r="B61" s="11" t="inlineStr">
        <is>
          <t>Coolie</t>
        </is>
      </c>
      <c r="C61" s="22" t="inlineStr">
        <is>
          <t>day</t>
        </is>
      </c>
      <c r="D61" s="23" t="n">
        <v>0.35</v>
      </c>
      <c r="E61" s="24" t="n">
        <v>558</v>
      </c>
      <c r="F61" s="24">
        <f>D61*E61</f>
        <v/>
      </c>
      <c r="G61" s="22" t="n"/>
    </row>
    <row r="62">
      <c r="A62" s="8" t="inlineStr">
        <is>
          <t>Calculated W - SUM of the Amount column above</t>
        </is>
      </c>
      <c r="B62" s="9" t="n"/>
      <c r="C62" s="9" t="n"/>
      <c r="D62" s="9" t="n"/>
      <c r="E62" s="9" t="n"/>
      <c r="F62" s="25">
        <f>SUM(F58:F61)</f>
        <v/>
      </c>
      <c r="G62" s="9" t="n"/>
    </row>
    <row r="63">
      <c r="A63" s="26" t="inlineStr">
        <is>
          <t>W as printed in the DAR</t>
        </is>
      </c>
      <c r="B63" s="22" t="n"/>
      <c r="C63" s="22" t="n"/>
      <c r="D63" s="22" t="n"/>
      <c r="E63" s="22" t="n"/>
      <c r="F63" s="27" t="n">
        <v>1513.88</v>
      </c>
      <c r="G63" s="22" t="n"/>
    </row>
    <row r="64">
      <c r="A64" s="26" t="inlineStr">
        <is>
          <t>Difference (calculated - printed)</t>
        </is>
      </c>
      <c r="B64" s="22" t="n"/>
      <c r="C64" s="22" t="n"/>
      <c r="D64" s="22" t="n"/>
      <c r="E64" s="22" t="n"/>
      <c r="F64" s="27">
        <f>F62-F63</f>
        <v/>
      </c>
      <c r="G64" s="22" t="n"/>
    </row>
    <row r="65">
      <c r="A65" s="29" t="inlineStr">
        <is>
          <t>SAY (Rs.) - final DAR rate as printed (fixed value, not computed)</t>
        </is>
      </c>
      <c r="B65" s="30" t="n"/>
      <c r="C65" s="30" t="n"/>
      <c r="D65" s="30" t="n"/>
      <c r="E65" s="30" t="n"/>
      <c r="F65" s="31" t="n">
        <v>2025.5</v>
      </c>
      <c r="G65" s="30" t="n"/>
    </row>
    <row r="67" ht="18.5" customHeight="1">
      <c r="A67" s="18" t="inlineStr">
        <is>
          <t>7.5</t>
        </is>
      </c>
      <c r="B67" s="19" t="inlineStr">
        <is>
          <t>Extra for random rubble masonry with hard stone curved on plan for a mean radius not exceeding 6 m.</t>
        </is>
      </c>
      <c r="C67" s="20" t="n"/>
      <c r="D67" s="20" t="n"/>
      <c r="E67" s="20" t="n"/>
      <c r="F67" s="20" t="n"/>
      <c r="G67" s="20" t="n"/>
    </row>
    <row r="68">
      <c r="A68" s="21" t="inlineStr">
        <is>
          <t>Details of cost for 1 cum   |   Source: CivilDAR_2019_Vol_1.pdf, page 326</t>
        </is>
      </c>
    </row>
    <row r="69">
      <c r="A69" s="5" t="inlineStr">
        <is>
          <t>Code</t>
        </is>
      </c>
      <c r="B69" s="5" t="inlineStr">
        <is>
          <t>Description</t>
        </is>
      </c>
      <c r="C69" s="5" t="inlineStr">
        <is>
          <t>Unit</t>
        </is>
      </c>
      <c r="D69" s="5" t="inlineStr">
        <is>
          <t>Quantity</t>
        </is>
      </c>
      <c r="E69" s="5" t="inlineStr">
        <is>
          <t>Rate (Rs.)</t>
        </is>
      </c>
      <c r="F69" s="5" t="inlineStr">
        <is>
          <t>Amount (Rs.)</t>
        </is>
      </c>
      <c r="G69" s="5" t="inlineStr">
        <is>
          <t>Note</t>
        </is>
      </c>
    </row>
    <row r="70">
      <c r="A70" s="22" t="inlineStr">
        <is>
          <t>1157</t>
        </is>
      </c>
      <c r="B70" s="11" t="inlineStr">
        <is>
          <t>Stone for masonry work</t>
        </is>
      </c>
      <c r="C70" s="22" t="inlineStr">
        <is>
          <t>cum</t>
        </is>
      </c>
      <c r="D70" s="23" t="n">
        <v>0.1</v>
      </c>
      <c r="E70" s="24" t="n">
        <v>1100</v>
      </c>
      <c r="F70" s="24">
        <f>D70*E70</f>
        <v/>
      </c>
      <c r="G70" s="22" t="n"/>
    </row>
    <row r="71">
      <c r="A71" s="22" t="inlineStr">
        <is>
          <t>2215</t>
        </is>
      </c>
      <c r="B71" s="11" t="inlineStr">
        <is>
          <t>Carriage of Soling stone &amp; masonry stone</t>
        </is>
      </c>
      <c r="C71" s="22" t="inlineStr">
        <is>
          <t>cum</t>
        </is>
      </c>
      <c r="D71" s="23" t="n">
        <v>0.1</v>
      </c>
      <c r="E71" s="24" t="n">
        <v>122.08</v>
      </c>
      <c r="F71" s="24">
        <f>D71*E71</f>
        <v/>
      </c>
      <c r="G71" s="22" t="n"/>
    </row>
    <row r="72">
      <c r="A72" s="22" t="inlineStr">
        <is>
          <t>0125</t>
        </is>
      </c>
      <c r="B72" s="11" t="inlineStr">
        <is>
          <t>Mason (for plain stone work) 2nd class)</t>
        </is>
      </c>
      <c r="C72" s="22" t="inlineStr">
        <is>
          <t>day</t>
        </is>
      </c>
      <c r="D72" s="23" t="n">
        <v>0.27</v>
      </c>
      <c r="E72" s="24" t="n">
        <v>679</v>
      </c>
      <c r="F72" s="24">
        <f>D72*E72</f>
        <v/>
      </c>
      <c r="G72" s="22" t="n"/>
    </row>
    <row r="73">
      <c r="A73" s="22" t="inlineStr">
        <is>
          <t>0115</t>
        </is>
      </c>
      <c r="B73" s="11" t="inlineStr">
        <is>
          <t>Coolie</t>
        </is>
      </c>
      <c r="C73" s="22" t="inlineStr">
        <is>
          <t>day</t>
        </is>
      </c>
      <c r="D73" s="23" t="n">
        <v>0.53</v>
      </c>
      <c r="E73" s="24" t="n">
        <v>558</v>
      </c>
      <c r="F73" s="24">
        <f>D73*E73</f>
        <v/>
      </c>
      <c r="G73" s="22" t="n"/>
    </row>
    <row r="74">
      <c r="A74" s="8" t="inlineStr">
        <is>
          <t>Calculated W - SUM of the Amount column above</t>
        </is>
      </c>
      <c r="B74" s="9" t="n"/>
      <c r="C74" s="9" t="n"/>
      <c r="D74" s="9" t="n"/>
      <c r="E74" s="9" t="n"/>
      <c r="F74" s="25">
        <f>SUM(F70:F73)</f>
        <v/>
      </c>
      <c r="G74" s="9" t="n"/>
    </row>
    <row r="75">
      <c r="A75" s="26" t="inlineStr">
        <is>
          <t>W as printed in the DAR</t>
        </is>
      </c>
      <c r="B75" s="22" t="n"/>
      <c r="C75" s="22" t="n"/>
      <c r="D75" s="22" t="n"/>
      <c r="E75" s="22" t="n"/>
      <c r="F75" s="27" t="n">
        <v>601.28</v>
      </c>
      <c r="G75" s="22" t="n"/>
    </row>
    <row r="76">
      <c r="A76" s="26" t="inlineStr">
        <is>
          <t>Difference (calculated - printed)</t>
        </is>
      </c>
      <c r="B76" s="22" t="n"/>
      <c r="C76" s="22" t="n"/>
      <c r="D76" s="22" t="n"/>
      <c r="E76" s="22" t="n"/>
      <c r="F76" s="27">
        <f>F74-F75</f>
        <v/>
      </c>
      <c r="G76" s="22" t="n"/>
    </row>
    <row r="77">
      <c r="A77" s="29" t="inlineStr">
        <is>
          <t>SAY (Rs.) - final DAR rate as printed (fixed value, not computed)</t>
        </is>
      </c>
      <c r="B77" s="30" t="n"/>
      <c r="C77" s="30" t="n"/>
      <c r="D77" s="30" t="n"/>
      <c r="E77" s="30" t="n"/>
      <c r="F77" s="31" t="n">
        <v>804.45</v>
      </c>
      <c r="G77" s="30" t="n"/>
    </row>
    <row r="79" ht="18.5" customHeight="1">
      <c r="A79" s="8" t="inlineStr">
        <is>
          <t>7.6</t>
        </is>
      </c>
      <c r="B79" s="17" t="inlineStr">
        <is>
          <t>Coursed rubble masonry (first sort) with hard stone in foundation and plinth with :</t>
        </is>
      </c>
      <c r="C79" s="9" t="n"/>
      <c r="D79" s="9" t="n"/>
      <c r="E79" s="9" t="n"/>
      <c r="F79" s="9" t="n"/>
      <c r="G79" s="9" t="n"/>
    </row>
    <row r="80" ht="18.5" customHeight="1">
      <c r="A80" s="18" t="inlineStr">
        <is>
          <t>7.6.1</t>
        </is>
      </c>
      <c r="B80" s="19" t="inlineStr">
        <is>
          <t>Cement mortar 1:6 (1 cement : 6 coarse sand)</t>
        </is>
      </c>
      <c r="C80" s="20" t="n"/>
      <c r="D80" s="20" t="n"/>
      <c r="E80" s="20" t="n"/>
      <c r="F80" s="20" t="n"/>
      <c r="G80" s="20" t="n"/>
    </row>
    <row r="81">
      <c r="A81" s="21" t="inlineStr">
        <is>
          <t>Details of cost for 1 cum   |   Source: CivilDAR_2019_Vol_1.pdf, page 327</t>
        </is>
      </c>
    </row>
    <row r="82">
      <c r="A82" s="5" t="inlineStr">
        <is>
          <t>Code</t>
        </is>
      </c>
      <c r="B82" s="5" t="inlineStr">
        <is>
          <t>Description</t>
        </is>
      </c>
      <c r="C82" s="5" t="inlineStr">
        <is>
          <t>Unit</t>
        </is>
      </c>
      <c r="D82" s="5" t="inlineStr">
        <is>
          <t>Quantity</t>
        </is>
      </c>
      <c r="E82" s="5" t="inlineStr">
        <is>
          <t>Rate (Rs.)</t>
        </is>
      </c>
      <c r="F82" s="5" t="inlineStr">
        <is>
          <t>Amount (Rs.)</t>
        </is>
      </c>
      <c r="G82" s="5" t="inlineStr">
        <is>
          <t>Note</t>
        </is>
      </c>
    </row>
    <row r="83">
      <c r="A83" s="7" t="inlineStr">
        <is>
          <t>3.11</t>
        </is>
      </c>
      <c r="B83" s="11" t="inlineStr">
        <is>
          <t>Rate as per item 3.11 - Cement mortar 1:6 (1 cement : 6 coarse sand)</t>
        </is>
      </c>
      <c r="C83" s="22" t="inlineStr">
        <is>
          <t>cum</t>
        </is>
      </c>
      <c r="D83" s="23" t="n">
        <v>0.3</v>
      </c>
      <c r="E83" s="24" t="n">
        <v>3356.15</v>
      </c>
      <c r="F83" s="24">
        <f>D83*E83</f>
        <v/>
      </c>
      <c r="G83" s="22" t="n"/>
    </row>
    <row r="84">
      <c r="A84" s="22" t="inlineStr">
        <is>
          <t>1157</t>
        </is>
      </c>
      <c r="B84" s="11" t="inlineStr">
        <is>
          <t>Stone for masonry work</t>
        </is>
      </c>
      <c r="C84" s="22" t="inlineStr">
        <is>
          <t>cum</t>
        </is>
      </c>
      <c r="D84" s="23" t="n">
        <v>1.21</v>
      </c>
      <c r="E84" s="24" t="n">
        <v>1100</v>
      </c>
      <c r="F84" s="24">
        <f>D84*E84</f>
        <v/>
      </c>
      <c r="G84" s="22" t="n"/>
    </row>
    <row r="85">
      <c r="A85" s="22" t="inlineStr">
        <is>
          <t>1154</t>
        </is>
      </c>
      <c r="B85" s="11" t="inlineStr">
        <is>
          <t>Through and bond stone size 24 x24 x39 cm</t>
        </is>
      </c>
      <c r="C85" s="22" t="inlineStr">
        <is>
          <t>100 Nos</t>
        </is>
      </c>
      <c r="D85" s="23" t="n">
        <v>0.07000000000000001</v>
      </c>
      <c r="E85" s="24" t="n">
        <v>5000</v>
      </c>
      <c r="F85" s="24">
        <f>D85*E85</f>
        <v/>
      </c>
      <c r="G85" s="22" t="n"/>
    </row>
    <row r="86">
      <c r="A86" s="22" t="inlineStr">
        <is>
          <t>2215</t>
        </is>
      </c>
      <c r="B86" s="11" t="inlineStr">
        <is>
          <t>Carriage of Soling stone &amp; masonry stone</t>
        </is>
      </c>
      <c r="C86" s="22" t="inlineStr">
        <is>
          <t>cum</t>
        </is>
      </c>
      <c r="D86" s="23" t="n">
        <v>1.37</v>
      </c>
      <c r="E86" s="24" t="n">
        <v>122.08</v>
      </c>
      <c r="F86" s="24">
        <f>D86*E86</f>
        <v/>
      </c>
      <c r="G86" s="22" t="n"/>
    </row>
    <row r="87">
      <c r="A87" s="22" t="inlineStr">
        <is>
          <t>0125</t>
        </is>
      </c>
      <c r="B87" s="11" t="inlineStr">
        <is>
          <t>Mason (for plain stone work) 2nd class)</t>
        </is>
      </c>
      <c r="C87" s="22" t="inlineStr">
        <is>
          <t>day</t>
        </is>
      </c>
      <c r="D87" s="23" t="n">
        <v>2.12</v>
      </c>
      <c r="E87" s="24" t="n">
        <v>679</v>
      </c>
      <c r="F87" s="24">
        <f>D87*E87</f>
        <v/>
      </c>
      <c r="G87" s="22" t="n"/>
    </row>
    <row r="88">
      <c r="A88" s="22" t="inlineStr">
        <is>
          <t>0114</t>
        </is>
      </c>
      <c r="B88" s="11" t="inlineStr">
        <is>
          <t>Beldar</t>
        </is>
      </c>
      <c r="C88" s="22" t="inlineStr">
        <is>
          <t>day</t>
        </is>
      </c>
      <c r="D88" s="23" t="n">
        <v>1.24</v>
      </c>
      <c r="E88" s="24" t="n">
        <v>558</v>
      </c>
      <c r="F88" s="24">
        <f>D88*E88</f>
        <v/>
      </c>
      <c r="G88" s="22" t="n"/>
    </row>
    <row r="89">
      <c r="A89" s="22" t="inlineStr">
        <is>
          <t>0115</t>
        </is>
      </c>
      <c r="B89" s="11" t="inlineStr">
        <is>
          <t>Coolie</t>
        </is>
      </c>
      <c r="C89" s="22" t="inlineStr">
        <is>
          <t>day</t>
        </is>
      </c>
      <c r="D89" s="23" t="n">
        <v>0.71</v>
      </c>
      <c r="E89" s="24" t="n">
        <v>558</v>
      </c>
      <c r="F89" s="24">
        <f>D89*E89</f>
        <v/>
      </c>
      <c r="G89" s="22" t="n"/>
    </row>
    <row r="90">
      <c r="A90" s="22" t="inlineStr">
        <is>
          <t>0101</t>
        </is>
      </c>
      <c r="B90" s="11" t="inlineStr">
        <is>
          <t>Bhisti</t>
        </is>
      </c>
      <c r="C90" s="22" t="inlineStr">
        <is>
          <t>day</t>
        </is>
      </c>
      <c r="D90" s="23" t="n">
        <v>0.09</v>
      </c>
      <c r="E90" s="24" t="n">
        <v>617</v>
      </c>
      <c r="F90" s="24">
        <f>D90*E90</f>
        <v/>
      </c>
      <c r="G90" s="22" t="n"/>
    </row>
    <row r="91">
      <c r="A91" s="22" t="inlineStr">
        <is>
          <t>9999</t>
        </is>
      </c>
      <c r="B91" s="11" t="inlineStr">
        <is>
          <t>Sundries</t>
        </is>
      </c>
      <c r="C91" s="22" t="inlineStr">
        <is>
          <t>L.S.</t>
        </is>
      </c>
      <c r="D91" s="23" t="n">
        <v>13.52</v>
      </c>
      <c r="E91" s="24" t="n">
        <v>2</v>
      </c>
      <c r="F91" s="24">
        <f>D91*E91</f>
        <v/>
      </c>
      <c r="G91" s="22" t="n"/>
    </row>
    <row r="92">
      <c r="A92" s="8" t="inlineStr">
        <is>
          <t>Calculated W - SUM of the Amount column above</t>
        </is>
      </c>
      <c r="B92" s="9" t="n"/>
      <c r="C92" s="9" t="n"/>
      <c r="D92" s="9" t="n"/>
      <c r="E92" s="9" t="n"/>
      <c r="F92" s="25">
        <f>SUM(F83:F91)</f>
        <v/>
      </c>
      <c r="G92" s="9" t="n"/>
    </row>
    <row r="93">
      <c r="A93" s="26" t="inlineStr">
        <is>
          <t>W as printed in the DAR</t>
        </is>
      </c>
      <c r="B93" s="22" t="n"/>
      <c r="C93" s="22" t="n"/>
      <c r="D93" s="22" t="n"/>
      <c r="E93" s="22" t="n"/>
      <c r="F93" s="27" t="n">
        <v>5465.24</v>
      </c>
      <c r="G93" s="22" t="n"/>
    </row>
    <row r="94">
      <c r="A94" s="26" t="inlineStr">
        <is>
          <t>Difference (calculated - printed)</t>
        </is>
      </c>
      <c r="B94" s="22" t="n"/>
      <c r="C94" s="22" t="n"/>
      <c r="D94" s="22" t="n"/>
      <c r="E94" s="22" t="n"/>
      <c r="F94" s="27">
        <f>F92-F93</f>
        <v/>
      </c>
      <c r="G94" s="22" t="n"/>
    </row>
    <row r="95">
      <c r="A95" s="29" t="inlineStr">
        <is>
          <t>SAY (Rs.) - final DAR rate as printed (fixed value, not computed)</t>
        </is>
      </c>
      <c r="B95" s="30" t="n"/>
      <c r="C95" s="30" t="n"/>
      <c r="D95" s="30" t="n"/>
      <c r="E95" s="30" t="n"/>
      <c r="F95" s="31" t="n">
        <v>7312.15</v>
      </c>
      <c r="G95" s="30" t="n"/>
    </row>
    <row r="97" ht="18.5" customHeight="1">
      <c r="A97" s="8" t="inlineStr">
        <is>
          <t>7.7</t>
        </is>
      </c>
      <c r="B97" s="17" t="inlineStr">
        <is>
          <t>Coursed rubble masonry (second sort) with hard stone in foundation &amp; plinth with :</t>
        </is>
      </c>
      <c r="C97" s="9" t="n"/>
      <c r="D97" s="9" t="n"/>
      <c r="E97" s="9" t="n"/>
      <c r="F97" s="9" t="n"/>
      <c r="G97" s="9" t="n"/>
    </row>
    <row r="98" ht="18.5" customHeight="1">
      <c r="A98" s="18" t="inlineStr">
        <is>
          <t>7.7.1</t>
        </is>
      </c>
      <c r="B98" s="19" t="inlineStr">
        <is>
          <t>Cement mortar 1:6 (1 cement : 6 coarse sand)</t>
        </is>
      </c>
      <c r="C98" s="20" t="n"/>
      <c r="D98" s="20" t="n"/>
      <c r="E98" s="20" t="n"/>
      <c r="F98" s="20" t="n"/>
      <c r="G98" s="20" t="n"/>
    </row>
    <row r="99">
      <c r="A99" s="21" t="inlineStr">
        <is>
          <t>Details of cost for 1 cum   |   Source: CivilDAR_2019_Vol_1.pdf, page 327</t>
        </is>
      </c>
    </row>
    <row r="100">
      <c r="A100" s="5" t="inlineStr">
        <is>
          <t>Code</t>
        </is>
      </c>
      <c r="B100" s="5" t="inlineStr">
        <is>
          <t>Description</t>
        </is>
      </c>
      <c r="C100" s="5" t="inlineStr">
        <is>
          <t>Unit</t>
        </is>
      </c>
      <c r="D100" s="5" t="inlineStr">
        <is>
          <t>Quantity</t>
        </is>
      </c>
      <c r="E100" s="5" t="inlineStr">
        <is>
          <t>Rate (Rs.)</t>
        </is>
      </c>
      <c r="F100" s="5" t="inlineStr">
        <is>
          <t>Amount (Rs.)</t>
        </is>
      </c>
      <c r="G100" s="5" t="inlineStr">
        <is>
          <t>Note</t>
        </is>
      </c>
    </row>
    <row r="101">
      <c r="A101" s="7" t="inlineStr">
        <is>
          <t>3.11</t>
        </is>
      </c>
      <c r="B101" s="11" t="inlineStr">
        <is>
          <t>Rate as per item 3.11 - Cement mortar 1:6 (1 cement : 6 coarse sand)</t>
        </is>
      </c>
      <c r="C101" s="22" t="inlineStr">
        <is>
          <t>cum</t>
        </is>
      </c>
      <c r="D101" s="23" t="n">
        <v>0.3</v>
      </c>
      <c r="E101" s="24" t="n">
        <v>3356.15</v>
      </c>
      <c r="F101" s="24">
        <f>D101*E101</f>
        <v/>
      </c>
      <c r="G101" s="22" t="n"/>
    </row>
    <row r="102">
      <c r="A102" s="22" t="inlineStr">
        <is>
          <t>1157</t>
        </is>
      </c>
      <c r="B102" s="11" t="inlineStr">
        <is>
          <t>Stone for masonry work</t>
        </is>
      </c>
      <c r="C102" s="22" t="inlineStr">
        <is>
          <t>cum</t>
        </is>
      </c>
      <c r="D102" s="23" t="n">
        <v>1.1</v>
      </c>
      <c r="E102" s="24" t="n">
        <v>1100</v>
      </c>
      <c r="F102" s="24">
        <f>D102*E102</f>
        <v/>
      </c>
      <c r="G102" s="22" t="n"/>
    </row>
    <row r="103">
      <c r="A103" s="22" t="inlineStr">
        <is>
          <t>1154</t>
        </is>
      </c>
      <c r="B103" s="11" t="inlineStr">
        <is>
          <t>Through and bond stone size 24 x 24 x39 cm</t>
        </is>
      </c>
      <c r="C103" s="22" t="inlineStr">
        <is>
          <t>100 Nos</t>
        </is>
      </c>
      <c r="D103" s="23" t="n">
        <v>0.07000000000000001</v>
      </c>
      <c r="E103" s="24" t="n">
        <v>5000</v>
      </c>
      <c r="F103" s="24">
        <f>D103*E103</f>
        <v/>
      </c>
      <c r="G103" s="22" t="n"/>
    </row>
    <row r="104">
      <c r="A104" s="22" t="inlineStr">
        <is>
          <t>2215</t>
        </is>
      </c>
      <c r="B104" s="11" t="inlineStr">
        <is>
          <t>Carriage of Soling stone &amp; masonry stone</t>
        </is>
      </c>
      <c r="C104" s="22" t="inlineStr">
        <is>
          <t>cum</t>
        </is>
      </c>
      <c r="D104" s="23" t="n">
        <v>1.26</v>
      </c>
      <c r="E104" s="24" t="n">
        <v>122.08</v>
      </c>
      <c r="F104" s="24">
        <f>D104*E104</f>
        <v/>
      </c>
      <c r="G104" s="22" t="n"/>
    </row>
    <row r="105">
      <c r="A105" s="22" t="inlineStr">
        <is>
          <t>0125</t>
        </is>
      </c>
      <c r="B105" s="11" t="inlineStr">
        <is>
          <t>Mason (for plain stone work) 2nd class)</t>
        </is>
      </c>
      <c r="C105" s="22" t="inlineStr">
        <is>
          <t>day</t>
        </is>
      </c>
      <c r="D105" s="23" t="n">
        <v>1.76</v>
      </c>
      <c r="E105" s="24" t="n">
        <v>679</v>
      </c>
      <c r="F105" s="24">
        <f>D105*E105</f>
        <v/>
      </c>
      <c r="G105" s="22" t="n"/>
    </row>
    <row r="106">
      <c r="A106" s="22" t="inlineStr">
        <is>
          <t>0114</t>
        </is>
      </c>
      <c r="B106" s="11" t="inlineStr">
        <is>
          <t>Beldar</t>
        </is>
      </c>
      <c r="C106" s="22" t="inlineStr">
        <is>
          <t>day</t>
        </is>
      </c>
      <c r="D106" s="23" t="n">
        <v>1.24</v>
      </c>
      <c r="E106" s="24" t="n">
        <v>558</v>
      </c>
      <c r="F106" s="24">
        <f>D106*E106</f>
        <v/>
      </c>
      <c r="G106" s="22" t="n"/>
    </row>
    <row r="107">
      <c r="A107" s="22" t="inlineStr">
        <is>
          <t>0115</t>
        </is>
      </c>
      <c r="B107" s="11" t="inlineStr">
        <is>
          <t>Coolie</t>
        </is>
      </c>
      <c r="C107" s="22" t="inlineStr">
        <is>
          <t>day</t>
        </is>
      </c>
      <c r="D107" s="23" t="n">
        <v>0.71</v>
      </c>
      <c r="E107" s="24" t="n">
        <v>558</v>
      </c>
      <c r="F107" s="24">
        <f>D107*E107</f>
        <v/>
      </c>
      <c r="G107" s="22" t="n"/>
    </row>
    <row r="108">
      <c r="A108" s="22" t="inlineStr">
        <is>
          <t>0101</t>
        </is>
      </c>
      <c r="B108" s="11" t="inlineStr">
        <is>
          <t>Bhisti</t>
        </is>
      </c>
      <c r="C108" s="22" t="inlineStr">
        <is>
          <t>day</t>
        </is>
      </c>
      <c r="D108" s="23" t="n">
        <v>0.09</v>
      </c>
      <c r="E108" s="24" t="n">
        <v>617</v>
      </c>
      <c r="F108" s="24">
        <f>D108*E108</f>
        <v/>
      </c>
      <c r="G108" s="22" t="n"/>
    </row>
    <row r="109">
      <c r="A109" s="22" t="inlineStr">
        <is>
          <t>9999</t>
        </is>
      </c>
      <c r="B109" s="11" t="inlineStr">
        <is>
          <t>Sundries</t>
        </is>
      </c>
      <c r="C109" s="22" t="inlineStr">
        <is>
          <t>L.S.</t>
        </is>
      </c>
      <c r="D109" s="23" t="n">
        <v>13.52</v>
      </c>
      <c r="E109" s="24" t="n">
        <v>2</v>
      </c>
      <c r="F109" s="24">
        <f>D109*E109</f>
        <v/>
      </c>
      <c r="G109" s="22" t="n"/>
    </row>
    <row r="110">
      <c r="A110" s="8" t="inlineStr">
        <is>
          <t>Calculated W - SUM of the Amount column above</t>
        </is>
      </c>
      <c r="B110" s="9" t="n"/>
      <c r="C110" s="9" t="n"/>
      <c r="D110" s="9" t="n"/>
      <c r="E110" s="9" t="n"/>
      <c r="F110" s="25">
        <f>SUM(F101:F109)</f>
        <v/>
      </c>
      <c r="G110" s="9" t="n"/>
    </row>
    <row r="111">
      <c r="A111" s="26" t="inlineStr">
        <is>
          <t>W as printed in the DAR</t>
        </is>
      </c>
      <c r="B111" s="22" t="n"/>
      <c r="C111" s="22" t="n"/>
      <c r="D111" s="22" t="n"/>
      <c r="E111" s="22" t="n"/>
      <c r="F111" s="27" t="n">
        <v>5086.38</v>
      </c>
      <c r="G111" s="22" t="n"/>
    </row>
    <row r="112">
      <c r="A112" s="26" t="inlineStr">
        <is>
          <t>Difference (calculated - printed)</t>
        </is>
      </c>
      <c r="B112" s="22" t="n"/>
      <c r="C112" s="22" t="n"/>
      <c r="D112" s="22" t="n"/>
      <c r="E112" s="22" t="n"/>
      <c r="F112" s="27">
        <f>F110-F111</f>
        <v/>
      </c>
      <c r="G112" s="22" t="n"/>
    </row>
    <row r="113">
      <c r="A113" s="29" t="inlineStr">
        <is>
          <t>SAY (Rs.) - final DAR rate as printed (fixed value, not computed)</t>
        </is>
      </c>
      <c r="B113" s="30" t="n"/>
      <c r="C113" s="30" t="n"/>
      <c r="D113" s="30" t="n"/>
      <c r="E113" s="30" t="n"/>
      <c r="F113" s="31" t="n">
        <v>6805.25</v>
      </c>
      <c r="G113" s="30" t="n"/>
    </row>
    <row r="115" ht="18.5" customHeight="1">
      <c r="A115" s="8" t="inlineStr">
        <is>
          <t>7.8</t>
        </is>
      </c>
      <c r="B115" s="17" t="inlineStr">
        <is>
          <t>Coursed rubble masonry with hard stone (first or second sort) in superstructure above plinth level and upto floor five level.</t>
        </is>
      </c>
      <c r="C115" s="9" t="n"/>
      <c r="D115" s="9" t="n"/>
      <c r="E115" s="9" t="n"/>
      <c r="F115" s="9" t="n"/>
      <c r="G115" s="9" t="n"/>
    </row>
    <row r="116" ht="18.5" customHeight="1">
      <c r="A116" s="18" t="inlineStr">
        <is>
          <t>7.8.1</t>
        </is>
      </c>
      <c r="B116" s="19" t="inlineStr">
        <is>
          <t>Masonry work (first sort), in cement mortar 1:6 (1 cement : 6 coarse sand)</t>
        </is>
      </c>
      <c r="C116" s="20" t="n"/>
      <c r="D116" s="20" t="n"/>
      <c r="E116" s="20" t="n"/>
      <c r="F116" s="20" t="n"/>
      <c r="G116" s="20" t="n"/>
    </row>
    <row r="117">
      <c r="A117" s="21" t="inlineStr">
        <is>
          <t>Details of cost for 1 cum   |   Source: CivilDAR_2019_Vol_1.pdf, page 328</t>
        </is>
      </c>
    </row>
    <row r="118">
      <c r="A118" s="5" t="inlineStr">
        <is>
          <t>Code</t>
        </is>
      </c>
      <c r="B118" s="5" t="inlineStr">
        <is>
          <t>Description</t>
        </is>
      </c>
      <c r="C118" s="5" t="inlineStr">
        <is>
          <t>Unit</t>
        </is>
      </c>
      <c r="D118" s="5" t="inlineStr">
        <is>
          <t>Quantity</t>
        </is>
      </c>
      <c r="E118" s="5" t="inlineStr">
        <is>
          <t>Rate (Rs.)</t>
        </is>
      </c>
      <c r="F118" s="5" t="inlineStr">
        <is>
          <t>Amount (Rs.)</t>
        </is>
      </c>
      <c r="G118" s="5" t="inlineStr">
        <is>
          <t>Note</t>
        </is>
      </c>
    </row>
    <row r="119">
      <c r="A119" s="7" t="inlineStr">
        <is>
          <t>3.11</t>
        </is>
      </c>
      <c r="B119" s="11" t="inlineStr">
        <is>
          <t>Rate as per item 3.11 - Cement mortar 1:6 (1 cement : 6 coarse sand)</t>
        </is>
      </c>
      <c r="C119" s="22" t="inlineStr">
        <is>
          <t>cum</t>
        </is>
      </c>
      <c r="D119" s="23" t="n">
        <v>0.3</v>
      </c>
      <c r="E119" s="24" t="n">
        <v>3356.15</v>
      </c>
      <c r="F119" s="24">
        <f>D119*E119</f>
        <v/>
      </c>
      <c r="G119" s="22" t="n"/>
    </row>
    <row r="120">
      <c r="A120" s="22" t="inlineStr">
        <is>
          <t>1157</t>
        </is>
      </c>
      <c r="B120" s="11" t="inlineStr">
        <is>
          <t>Stone for masonry work</t>
        </is>
      </c>
      <c r="C120" s="22" t="inlineStr">
        <is>
          <t>cum</t>
        </is>
      </c>
      <c r="D120" s="23" t="n">
        <v>1.21</v>
      </c>
      <c r="E120" s="24" t="n">
        <v>1100</v>
      </c>
      <c r="F120" s="24">
        <f>D120*E120</f>
        <v/>
      </c>
      <c r="G120" s="22" t="n"/>
    </row>
    <row r="121">
      <c r="A121" s="22" t="inlineStr">
        <is>
          <t>1154</t>
        </is>
      </c>
      <c r="B121" s="11" t="inlineStr">
        <is>
          <t>Through and bond stone size 24 x 24 x39 cm</t>
        </is>
      </c>
      <c r="C121" s="22" t="inlineStr">
        <is>
          <t>100 Nos</t>
        </is>
      </c>
      <c r="D121" s="23" t="n">
        <v>0.07000000000000001</v>
      </c>
      <c r="E121" s="24" t="n">
        <v>5000</v>
      </c>
      <c r="F121" s="24">
        <f>D121*E121</f>
        <v/>
      </c>
      <c r="G121" s="22" t="n"/>
    </row>
    <row r="122">
      <c r="A122" s="22" t="inlineStr">
        <is>
          <t>2215</t>
        </is>
      </c>
      <c r="B122" s="11" t="inlineStr">
        <is>
          <t>Carriage of Soling stone &amp; masonry stone</t>
        </is>
      </c>
      <c r="C122" s="22" t="inlineStr">
        <is>
          <t>cum</t>
        </is>
      </c>
      <c r="D122" s="23" t="n">
        <v>1.37</v>
      </c>
      <c r="E122" s="24" t="n">
        <v>122.08</v>
      </c>
      <c r="F122" s="24">
        <f>D122*E122</f>
        <v/>
      </c>
      <c r="G122" s="22" t="n"/>
    </row>
    <row r="123">
      <c r="A123" s="22" t="inlineStr">
        <is>
          <t>0125</t>
        </is>
      </c>
      <c r="B123" s="11" t="inlineStr">
        <is>
          <t>Mason (for plain stone work) 2nd class)</t>
        </is>
      </c>
      <c r="C123" s="22" t="inlineStr">
        <is>
          <t>day</t>
        </is>
      </c>
      <c r="D123" s="23" t="n">
        <v>2.38</v>
      </c>
      <c r="E123" s="24" t="n">
        <v>679</v>
      </c>
      <c r="F123" s="24">
        <f>D123*E123</f>
        <v/>
      </c>
      <c r="G123" s="22" t="n"/>
    </row>
    <row r="124">
      <c r="A124" s="22" t="inlineStr">
        <is>
          <t>0114</t>
        </is>
      </c>
      <c r="B124" s="11" t="inlineStr">
        <is>
          <t>Beldar</t>
        </is>
      </c>
      <c r="C124" s="22" t="inlineStr">
        <is>
          <t>day</t>
        </is>
      </c>
      <c r="D124" s="23" t="n">
        <v>1.59</v>
      </c>
      <c r="E124" s="24" t="n">
        <v>558</v>
      </c>
      <c r="F124" s="24">
        <f>D124*E124</f>
        <v/>
      </c>
      <c r="G124" s="22" t="n"/>
    </row>
    <row r="125">
      <c r="A125" s="22" t="inlineStr">
        <is>
          <t>0115</t>
        </is>
      </c>
      <c r="B125" s="11" t="inlineStr">
        <is>
          <t>Coolie</t>
        </is>
      </c>
      <c r="C125" s="22" t="inlineStr">
        <is>
          <t>day</t>
        </is>
      </c>
      <c r="D125" s="23" t="n">
        <v>0.71</v>
      </c>
      <c r="E125" s="24" t="n">
        <v>558</v>
      </c>
      <c r="F125" s="24">
        <f>D125*E125</f>
        <v/>
      </c>
      <c r="G125" s="22" t="n"/>
    </row>
    <row r="126">
      <c r="A126" s="22" t="inlineStr">
        <is>
          <t>0101</t>
        </is>
      </c>
      <c r="B126" s="11" t="inlineStr">
        <is>
          <t>Bhisti</t>
        </is>
      </c>
      <c r="C126" s="22" t="inlineStr">
        <is>
          <t>day</t>
        </is>
      </c>
      <c r="D126" s="23" t="n">
        <v>0.09</v>
      </c>
      <c r="E126" s="24" t="n">
        <v>617</v>
      </c>
      <c r="F126" s="24">
        <f>D126*E126</f>
        <v/>
      </c>
      <c r="G126" s="22" t="n"/>
    </row>
    <row r="127">
      <c r="A127" s="22" t="inlineStr">
        <is>
          <t>0115</t>
        </is>
      </c>
      <c r="B127" s="11" t="inlineStr">
        <is>
          <t>Coolie</t>
        </is>
      </c>
      <c r="C127" s="22" t="inlineStr">
        <is>
          <t>day</t>
        </is>
      </c>
      <c r="D127" s="23" t="n">
        <v>1.13</v>
      </c>
      <c r="E127" s="24" t="n">
        <v>558</v>
      </c>
      <c r="F127" s="24">
        <f>D127*E127</f>
        <v/>
      </c>
      <c r="G127" s="22" t="n"/>
    </row>
    <row r="128">
      <c r="A128" s="22" t="inlineStr">
        <is>
          <t>9999</t>
        </is>
      </c>
      <c r="B128" s="11" t="inlineStr">
        <is>
          <t>Sundries, scaffolding etc.</t>
        </is>
      </c>
      <c r="C128" s="22" t="inlineStr">
        <is>
          <t>L.S.</t>
        </is>
      </c>
      <c r="D128" s="23" t="n">
        <v>37.7</v>
      </c>
      <c r="E128" s="24" t="n">
        <v>2</v>
      </c>
      <c r="F128" s="24">
        <f>D128*E128</f>
        <v/>
      </c>
      <c r="G128" s="22" t="n"/>
    </row>
    <row r="129">
      <c r="A129" s="8" t="inlineStr">
        <is>
          <t>Calculated W - SUM of the Amount column above</t>
        </is>
      </c>
      <c r="B129" s="9" t="n"/>
      <c r="C129" s="9" t="n"/>
      <c r="D129" s="9" t="n"/>
      <c r="E129" s="9" t="n"/>
      <c r="F129" s="25">
        <f>SUM(F119:F128)</f>
        <v/>
      </c>
      <c r="G129" s="9" t="n"/>
    </row>
    <row r="130">
      <c r="A130" s="26" t="inlineStr">
        <is>
          <t>W as printed in the DAR</t>
        </is>
      </c>
      <c r="B130" s="22" t="n"/>
      <c r="C130" s="22" t="n"/>
      <c r="D130" s="22" t="n"/>
      <c r="E130" s="22" t="n"/>
      <c r="F130" s="27" t="n">
        <v>6515.98</v>
      </c>
      <c r="G130" s="22" t="n"/>
    </row>
    <row r="131">
      <c r="A131" s="26" t="inlineStr">
        <is>
          <t>Difference (calculated - printed)</t>
        </is>
      </c>
      <c r="B131" s="22" t="n"/>
      <c r="C131" s="22" t="n"/>
      <c r="D131" s="22" t="n"/>
      <c r="E131" s="22" t="n"/>
      <c r="F131" s="27">
        <f>F129-F130</f>
        <v/>
      </c>
      <c r="G131" s="22" t="n"/>
    </row>
    <row r="132">
      <c r="A132" s="29" t="inlineStr">
        <is>
          <t>SAY (Rs.) - final DAR rate as printed (fixed value, not computed)</t>
        </is>
      </c>
      <c r="B132" s="30" t="n"/>
      <c r="C132" s="30" t="n"/>
      <c r="D132" s="30" t="n"/>
      <c r="E132" s="30" t="n"/>
      <c r="F132" s="31" t="n">
        <v>8718</v>
      </c>
      <c r="G132" s="30" t="n"/>
    </row>
    <row r="134" ht="18.5" customHeight="1">
      <c r="A134" s="8" t="inlineStr">
        <is>
          <t>7.8</t>
        </is>
      </c>
      <c r="B134" s="17" t="inlineStr">
        <is>
          <t>Coursed rubble masonry with hard stone (first or second sort) in superstructure above plinth level and upto floor five level.</t>
        </is>
      </c>
      <c r="C134" s="9" t="n"/>
      <c r="D134" s="9" t="n"/>
      <c r="E134" s="9" t="n"/>
      <c r="F134" s="9" t="n"/>
      <c r="G134" s="9" t="n"/>
    </row>
    <row r="135" ht="18.5" customHeight="1">
      <c r="A135" s="18" t="inlineStr">
        <is>
          <t>7.8.2</t>
        </is>
      </c>
      <c r="B135" s="19" t="inlineStr">
        <is>
          <t>Masonry work (second sort), in cement mortar 1:6 (1 cement: 6 coarse sand)</t>
        </is>
      </c>
      <c r="C135" s="20" t="n"/>
      <c r="D135" s="20" t="n"/>
      <c r="E135" s="20" t="n"/>
      <c r="F135" s="20" t="n"/>
      <c r="G135" s="20" t="n"/>
    </row>
    <row r="136">
      <c r="A136" s="21" t="inlineStr">
        <is>
          <t>Details of cost for 1 cum   |   Source: CivilDAR_2019_Vol_1.pdf, page 329</t>
        </is>
      </c>
    </row>
    <row r="137">
      <c r="A137" s="5" t="inlineStr">
        <is>
          <t>Code</t>
        </is>
      </c>
      <c r="B137" s="5" t="inlineStr">
        <is>
          <t>Description</t>
        </is>
      </c>
      <c r="C137" s="5" t="inlineStr">
        <is>
          <t>Unit</t>
        </is>
      </c>
      <c r="D137" s="5" t="inlineStr">
        <is>
          <t>Quantity</t>
        </is>
      </c>
      <c r="E137" s="5" t="inlineStr">
        <is>
          <t>Rate (Rs.)</t>
        </is>
      </c>
      <c r="F137" s="5" t="inlineStr">
        <is>
          <t>Amount (Rs.)</t>
        </is>
      </c>
      <c r="G137" s="5" t="inlineStr">
        <is>
          <t>Note</t>
        </is>
      </c>
    </row>
    <row r="138">
      <c r="A138" s="7" t="inlineStr">
        <is>
          <t>3.11</t>
        </is>
      </c>
      <c r="B138" s="11" t="inlineStr">
        <is>
          <t>Rate as per item 3.11 - Cement mortar 1:6 (1 cement : 6 coarse sand)</t>
        </is>
      </c>
      <c r="C138" s="22" t="inlineStr">
        <is>
          <t>cum</t>
        </is>
      </c>
      <c r="D138" s="23" t="n">
        <v>0.3</v>
      </c>
      <c r="E138" s="24" t="n">
        <v>3356.15</v>
      </c>
      <c r="F138" s="24">
        <f>D138*E138</f>
        <v/>
      </c>
      <c r="G138" s="22" t="n"/>
    </row>
    <row r="139">
      <c r="A139" s="22" t="inlineStr">
        <is>
          <t>1157</t>
        </is>
      </c>
      <c r="B139" s="11" t="inlineStr">
        <is>
          <t>Stone for masonry work</t>
        </is>
      </c>
      <c r="C139" s="22" t="inlineStr">
        <is>
          <t>cum</t>
        </is>
      </c>
      <c r="D139" s="23" t="n">
        <v>1.1</v>
      </c>
      <c r="E139" s="24" t="n">
        <v>1100</v>
      </c>
      <c r="F139" s="24">
        <f>D139*E139</f>
        <v/>
      </c>
      <c r="G139" s="22" t="n"/>
    </row>
    <row r="140">
      <c r="A140" s="22" t="inlineStr">
        <is>
          <t>1154</t>
        </is>
      </c>
      <c r="B140" s="11" t="inlineStr">
        <is>
          <t>Through and bond stone size 24 x24 x39 cm</t>
        </is>
      </c>
      <c r="C140" s="22" t="inlineStr">
        <is>
          <t>100 Nos</t>
        </is>
      </c>
      <c r="D140" s="23" t="n">
        <v>0.07000000000000001</v>
      </c>
      <c r="E140" s="24" t="n">
        <v>5000</v>
      </c>
      <c r="F140" s="24">
        <f>D140*E140</f>
        <v/>
      </c>
      <c r="G140" s="22" t="n"/>
    </row>
    <row r="141">
      <c r="A141" s="22" t="inlineStr">
        <is>
          <t>2215</t>
        </is>
      </c>
      <c r="B141" s="11" t="inlineStr">
        <is>
          <t>Carriage of Soling stone &amp; masonry stone</t>
        </is>
      </c>
      <c r="C141" s="22" t="inlineStr">
        <is>
          <t>cum</t>
        </is>
      </c>
      <c r="D141" s="23" t="n">
        <v>1.26</v>
      </c>
      <c r="E141" s="24" t="n">
        <v>122.08</v>
      </c>
      <c r="F141" s="24">
        <f>D141*E141</f>
        <v/>
      </c>
      <c r="G141" s="22" t="n"/>
    </row>
    <row r="142">
      <c r="A142" s="22" t="inlineStr">
        <is>
          <t>0125</t>
        </is>
      </c>
      <c r="B142" s="11" t="inlineStr">
        <is>
          <t>Mason (for plain stone work) 2nd class)</t>
        </is>
      </c>
      <c r="C142" s="22" t="inlineStr">
        <is>
          <t>day</t>
        </is>
      </c>
      <c r="D142" s="23" t="n">
        <v>2.02</v>
      </c>
      <c r="E142" s="24" t="n">
        <v>679</v>
      </c>
      <c r="F142" s="24">
        <f>D142*E142</f>
        <v/>
      </c>
      <c r="G142" s="22" t="n"/>
    </row>
    <row r="143">
      <c r="A143" s="22" t="inlineStr">
        <is>
          <t>0114</t>
        </is>
      </c>
      <c r="B143" s="11" t="inlineStr">
        <is>
          <t>Beldar</t>
        </is>
      </c>
      <c r="C143" s="22" t="inlineStr">
        <is>
          <t>day</t>
        </is>
      </c>
      <c r="D143" s="23" t="n">
        <v>1.59</v>
      </c>
      <c r="E143" s="24" t="n">
        <v>558</v>
      </c>
      <c r="F143" s="24">
        <f>D143*E143</f>
        <v/>
      </c>
      <c r="G143" s="22" t="n"/>
    </row>
    <row r="144">
      <c r="A144" s="22" t="inlineStr">
        <is>
          <t>0115</t>
        </is>
      </c>
      <c r="B144" s="11" t="inlineStr">
        <is>
          <t>Coolie</t>
        </is>
      </c>
      <c r="C144" s="22" t="inlineStr">
        <is>
          <t>day</t>
        </is>
      </c>
      <c r="D144" s="23" t="n">
        <v>0.71</v>
      </c>
      <c r="E144" s="24" t="n">
        <v>558</v>
      </c>
      <c r="F144" s="24">
        <f>D144*E144</f>
        <v/>
      </c>
      <c r="G144" s="22" t="n"/>
    </row>
    <row r="145">
      <c r="A145" s="22" t="inlineStr">
        <is>
          <t>0101</t>
        </is>
      </c>
      <c r="B145" s="11" t="inlineStr">
        <is>
          <t>Bhisti</t>
        </is>
      </c>
      <c r="C145" s="22" t="inlineStr">
        <is>
          <t>day</t>
        </is>
      </c>
      <c r="D145" s="23" t="n">
        <v>0.09</v>
      </c>
      <c r="E145" s="24" t="n">
        <v>617</v>
      </c>
      <c r="F145" s="24">
        <f>D145*E145</f>
        <v/>
      </c>
      <c r="G145" s="22" t="n"/>
    </row>
    <row r="146">
      <c r="A146" s="22" t="inlineStr">
        <is>
          <t>0115</t>
        </is>
      </c>
      <c r="B146" s="11" t="inlineStr">
        <is>
          <t>Coolie</t>
        </is>
      </c>
      <c r="C146" s="22" t="inlineStr">
        <is>
          <t>day</t>
        </is>
      </c>
      <c r="D146" s="23" t="n">
        <v>1.13</v>
      </c>
      <c r="E146" s="24" t="n">
        <v>558</v>
      </c>
      <c r="F146" s="24">
        <f>D146*E146</f>
        <v/>
      </c>
      <c r="G146" s="22" t="n"/>
    </row>
    <row r="147">
      <c r="A147" s="22" t="inlineStr">
        <is>
          <t>9999</t>
        </is>
      </c>
      <c r="B147" s="11" t="inlineStr">
        <is>
          <t>Sundries, scaffolding etc.</t>
        </is>
      </c>
      <c r="C147" s="22" t="inlineStr">
        <is>
          <t>L.S.</t>
        </is>
      </c>
      <c r="D147" s="23" t="n">
        <v>37.7</v>
      </c>
      <c r="E147" s="24" t="n">
        <v>2</v>
      </c>
      <c r="F147" s="24">
        <f>D147*E147</f>
        <v/>
      </c>
      <c r="G147" s="22" t="n"/>
    </row>
    <row r="148">
      <c r="A148" s="8" t="inlineStr">
        <is>
          <t>Calculated W - SUM of the Amount column above</t>
        </is>
      </c>
      <c r="B148" s="9" t="n"/>
      <c r="C148" s="9" t="n"/>
      <c r="D148" s="9" t="n"/>
      <c r="E148" s="9" t="n"/>
      <c r="F148" s="25">
        <f>SUM(F138:F147)</f>
        <v/>
      </c>
      <c r="G148" s="9" t="n"/>
    </row>
    <row r="149">
      <c r="A149" s="26" t="inlineStr">
        <is>
          <t>W as printed in the DAR</t>
        </is>
      </c>
      <c r="B149" s="22" t="n"/>
      <c r="C149" s="22" t="n"/>
      <c r="D149" s="22" t="n"/>
      <c r="E149" s="22" t="n"/>
      <c r="F149" s="27" t="n">
        <v>6137.12</v>
      </c>
      <c r="G149" s="22" t="n"/>
    </row>
    <row r="150">
      <c r="A150" s="26" t="inlineStr">
        <is>
          <t>Difference (calculated - printed)</t>
        </is>
      </c>
      <c r="B150" s="22" t="n"/>
      <c r="C150" s="22" t="n"/>
      <c r="D150" s="22" t="n"/>
      <c r="E150" s="22" t="n"/>
      <c r="F150" s="27">
        <f>F148-F149</f>
        <v/>
      </c>
      <c r="G150" s="22" t="n"/>
    </row>
    <row r="151">
      <c r="A151" s="29" t="inlineStr">
        <is>
          <t>SAY (Rs.) - final DAR rate as printed (fixed value, not computed)</t>
        </is>
      </c>
      <c r="B151" s="30" t="n"/>
      <c r="C151" s="30" t="n"/>
      <c r="D151" s="30" t="n"/>
      <c r="E151" s="30" t="n"/>
      <c r="F151" s="31" t="n">
        <v>8211.1</v>
      </c>
      <c r="G151" s="30" t="n"/>
    </row>
    <row r="153" ht="18.5" customHeight="1">
      <c r="A153" s="8" t="inlineStr">
        <is>
          <t>7.10</t>
        </is>
      </c>
      <c r="B153" s="17" t="inlineStr">
        <is>
          <t>Extra for coursed rubble masonry with hard stone (first or second sort) in:</t>
        </is>
      </c>
      <c r="C153" s="9" t="n"/>
      <c r="D153" s="9" t="n"/>
      <c r="E153" s="9" t="n"/>
      <c r="F153" s="9" t="n"/>
      <c r="G153" s="9" t="n"/>
    </row>
    <row r="154" ht="18.5" customHeight="1">
      <c r="A154" s="18" t="inlineStr">
        <is>
          <t>7.10.1</t>
        </is>
      </c>
      <c r="B154" s="19" t="inlineStr">
        <is>
          <t>Square or rectangular pillars</t>
        </is>
      </c>
      <c r="C154" s="20" t="n"/>
      <c r="D154" s="20" t="n"/>
      <c r="E154" s="20" t="n"/>
      <c r="F154" s="20" t="n"/>
      <c r="G154" s="20" t="n"/>
    </row>
    <row r="155">
      <c r="A155" s="21" t="inlineStr">
        <is>
          <t>Details of cost for 1 cum   |   Source: CivilDAR_2019_Vol_1.pdf, page 330</t>
        </is>
      </c>
    </row>
    <row r="156">
      <c r="A156" s="5" t="inlineStr">
        <is>
          <t>Code</t>
        </is>
      </c>
      <c r="B156" s="5" t="inlineStr">
        <is>
          <t>Description</t>
        </is>
      </c>
      <c r="C156" s="5" t="inlineStr">
        <is>
          <t>Unit</t>
        </is>
      </c>
      <c r="D156" s="5" t="inlineStr">
        <is>
          <t>Quantity</t>
        </is>
      </c>
      <c r="E156" s="5" t="inlineStr">
        <is>
          <t>Rate (Rs.)</t>
        </is>
      </c>
      <c r="F156" s="5" t="inlineStr">
        <is>
          <t>Amount (Rs.)</t>
        </is>
      </c>
      <c r="G156" s="5" t="inlineStr">
        <is>
          <t>Note</t>
        </is>
      </c>
    </row>
    <row r="157">
      <c r="A157" s="22" t="inlineStr">
        <is>
          <t>0125</t>
        </is>
      </c>
      <c r="B157" s="11" t="inlineStr">
        <is>
          <t>Mason (for plain stone work) 2nd class)</t>
        </is>
      </c>
      <c r="C157" s="22" t="inlineStr">
        <is>
          <t>day</t>
        </is>
      </c>
      <c r="D157" s="23" t="n">
        <v>0.67</v>
      </c>
      <c r="E157" s="24" t="n">
        <v>679</v>
      </c>
      <c r="F157" s="24">
        <f>D157*E157</f>
        <v/>
      </c>
      <c r="G157" s="34" t="inlineStr">
        <is>
          <t>DAR prints 300.16; Quantity x Rate = 454.93</t>
        </is>
      </c>
    </row>
    <row r="158">
      <c r="A158" s="22" t="inlineStr">
        <is>
          <t>0115</t>
        </is>
      </c>
      <c r="B158" s="11" t="inlineStr">
        <is>
          <t>Coolie</t>
        </is>
      </c>
      <c r="C158" s="22" t="inlineStr">
        <is>
          <t>day</t>
        </is>
      </c>
      <c r="D158" s="23" t="n">
        <v>0.27</v>
      </c>
      <c r="E158" s="24" t="n">
        <v>558</v>
      </c>
      <c r="F158" s="24">
        <f>D158*E158</f>
        <v/>
      </c>
      <c r="G158" s="22" t="n"/>
    </row>
    <row r="159">
      <c r="A159" s="8" t="inlineStr">
        <is>
          <t>Calculated W - SUM of the Amount column above</t>
        </is>
      </c>
      <c r="B159" s="9" t="n"/>
      <c r="C159" s="9" t="n"/>
      <c r="D159" s="9" t="n"/>
      <c r="E159" s="9" t="n"/>
      <c r="F159" s="25">
        <f>SUM(F157:F158)</f>
        <v/>
      </c>
      <c r="G159" s="9" t="n"/>
    </row>
    <row r="160">
      <c r="A160" s="26" t="inlineStr">
        <is>
          <t>W as printed in the DAR</t>
        </is>
      </c>
      <c r="B160" s="22" t="n"/>
      <c r="C160" s="22" t="n"/>
      <c r="D160" s="22" t="n"/>
      <c r="E160" s="22" t="n"/>
      <c r="F160" s="27" t="n">
        <v>450.82</v>
      </c>
      <c r="G160" s="22" t="n"/>
    </row>
    <row r="161">
      <c r="A161" s="26" t="inlineStr">
        <is>
          <t>Difference (calculated - printed)</t>
        </is>
      </c>
      <c r="B161" s="22" t="n"/>
      <c r="C161" s="22" t="n"/>
      <c r="D161" s="22" t="n"/>
      <c r="E161" s="22" t="n"/>
      <c r="F161" s="27">
        <f>F159-F160</f>
        <v/>
      </c>
      <c r="G161" s="28" t="inlineStr">
        <is>
          <t>DAR's own arithmetic slip(s) - see Cover errata</t>
        </is>
      </c>
    </row>
    <row r="162">
      <c r="A162" s="29" t="inlineStr">
        <is>
          <t>SAY (Rs.) - final DAR rate as printed (fixed value, not computed)</t>
        </is>
      </c>
      <c r="B162" s="30" t="n"/>
      <c r="C162" s="30" t="n"/>
      <c r="D162" s="30" t="n"/>
      <c r="E162" s="30" t="n"/>
      <c r="F162" s="31" t="n">
        <v>603.15</v>
      </c>
      <c r="G162" s="30" t="n"/>
    </row>
    <row r="164" ht="18.5" customHeight="1">
      <c r="A164" s="8" t="inlineStr">
        <is>
          <t>7.10</t>
        </is>
      </c>
      <c r="B164" s="17" t="inlineStr">
        <is>
          <t>Extra for coursed rubble masonry with hard stone (first or second sort) in:</t>
        </is>
      </c>
      <c r="C164" s="9" t="n"/>
      <c r="D164" s="9" t="n"/>
      <c r="E164" s="9" t="n"/>
      <c r="F164" s="9" t="n"/>
      <c r="G164" s="9" t="n"/>
    </row>
    <row r="165" ht="18.5" customHeight="1">
      <c r="A165" s="18" t="inlineStr">
        <is>
          <t>7.10.2</t>
        </is>
      </c>
      <c r="B165" s="19" t="inlineStr">
        <is>
          <t>Circular pillars</t>
        </is>
      </c>
      <c r="C165" s="20" t="n"/>
      <c r="D165" s="20" t="n"/>
      <c r="E165" s="20" t="n"/>
      <c r="F165" s="20" t="n"/>
      <c r="G165" s="20" t="n"/>
    </row>
    <row r="166">
      <c r="A166" s="21" t="inlineStr">
        <is>
          <t>Details of cost for 1 cum   |   Source: CivilDAR_2019_Vol_1.pdf, page 330</t>
        </is>
      </c>
    </row>
    <row r="167">
      <c r="A167" s="5" t="inlineStr">
        <is>
          <t>Code</t>
        </is>
      </c>
      <c r="B167" s="5" t="inlineStr">
        <is>
          <t>Description</t>
        </is>
      </c>
      <c r="C167" s="5" t="inlineStr">
        <is>
          <t>Unit</t>
        </is>
      </c>
      <c r="D167" s="5" t="inlineStr">
        <is>
          <t>Quantity</t>
        </is>
      </c>
      <c r="E167" s="5" t="inlineStr">
        <is>
          <t>Rate (Rs.)</t>
        </is>
      </c>
      <c r="F167" s="5" t="inlineStr">
        <is>
          <t>Amount (Rs.)</t>
        </is>
      </c>
      <c r="G167" s="5" t="inlineStr">
        <is>
          <t>Note</t>
        </is>
      </c>
    </row>
    <row r="168">
      <c r="A168" s="22" t="inlineStr">
        <is>
          <t>1157</t>
        </is>
      </c>
      <c r="B168" s="11" t="inlineStr">
        <is>
          <t>Stone for masonry work</t>
        </is>
      </c>
      <c r="C168" s="22" t="inlineStr">
        <is>
          <t>cum</t>
        </is>
      </c>
      <c r="D168" s="23" t="n">
        <v>0.32</v>
      </c>
      <c r="E168" s="24" t="n">
        <v>1100</v>
      </c>
      <c r="F168" s="24">
        <f>D168*E168</f>
        <v/>
      </c>
      <c r="G168" s="22" t="n"/>
    </row>
    <row r="169">
      <c r="A169" s="22" t="inlineStr">
        <is>
          <t>2215</t>
        </is>
      </c>
      <c r="B169" s="11" t="inlineStr">
        <is>
          <t>Carriage of Soling stone &amp; masonry stone</t>
        </is>
      </c>
      <c r="C169" s="22" t="inlineStr">
        <is>
          <t>cum</t>
        </is>
      </c>
      <c r="D169" s="23" t="n">
        <v>0.32</v>
      </c>
      <c r="E169" s="24" t="n">
        <v>122.08</v>
      </c>
      <c r="F169" s="24">
        <f>D169*E169</f>
        <v/>
      </c>
      <c r="G169" s="22" t="n"/>
    </row>
    <row r="170">
      <c r="A170" s="22" t="inlineStr">
        <is>
          <t>0125</t>
        </is>
      </c>
      <c r="B170" s="11" t="inlineStr">
        <is>
          <t>Mason (for plain stone work) 2nd class)</t>
        </is>
      </c>
      <c r="C170" s="22" t="inlineStr">
        <is>
          <t>day</t>
        </is>
      </c>
      <c r="D170" s="23" t="n">
        <v>1.67</v>
      </c>
      <c r="E170" s="24" t="n">
        <v>679</v>
      </c>
      <c r="F170" s="24">
        <f>D170*E170</f>
        <v/>
      </c>
      <c r="G170" s="22" t="n"/>
    </row>
    <row r="171">
      <c r="A171" s="22" t="inlineStr">
        <is>
          <t>0115</t>
        </is>
      </c>
      <c r="B171" s="11" t="inlineStr">
        <is>
          <t>Coolie</t>
        </is>
      </c>
      <c r="C171" s="22" t="inlineStr">
        <is>
          <t>day</t>
        </is>
      </c>
      <c r="D171" s="23" t="n">
        <v>0.35</v>
      </c>
      <c r="E171" s="24" t="n">
        <v>558</v>
      </c>
      <c r="F171" s="24">
        <f>D171*E171</f>
        <v/>
      </c>
      <c r="G171" s="22" t="n"/>
    </row>
    <row r="172">
      <c r="A172" s="8" t="inlineStr">
        <is>
          <t>Calculated W - SUM of the Amount column above</t>
        </is>
      </c>
      <c r="B172" s="9" t="n"/>
      <c r="C172" s="9" t="n"/>
      <c r="D172" s="9" t="n"/>
      <c r="E172" s="9" t="n"/>
      <c r="F172" s="25">
        <f>SUM(F168:F171)</f>
        <v/>
      </c>
      <c r="G172" s="9" t="n"/>
    </row>
    <row r="173">
      <c r="A173" s="26" t="inlineStr">
        <is>
          <t>W as printed in the DAR</t>
        </is>
      </c>
      <c r="B173" s="22" t="n"/>
      <c r="C173" s="22" t="n"/>
      <c r="D173" s="22" t="n"/>
      <c r="E173" s="22" t="n"/>
      <c r="F173" s="27" t="n">
        <v>1720.3</v>
      </c>
      <c r="G173" s="22" t="n"/>
    </row>
    <row r="174">
      <c r="A174" s="26" t="inlineStr">
        <is>
          <t>Difference (calculated - printed)</t>
        </is>
      </c>
      <c r="B174" s="22" t="n"/>
      <c r="C174" s="22" t="n"/>
      <c r="D174" s="22" t="n"/>
      <c r="E174" s="22" t="n"/>
      <c r="F174" s="27">
        <f>F172-F173</f>
        <v/>
      </c>
      <c r="G174" s="22" t="n"/>
    </row>
    <row r="175">
      <c r="A175" s="29" t="inlineStr">
        <is>
          <t>SAY (Rs.) - final DAR rate as printed (fixed value, not computed)</t>
        </is>
      </c>
      <c r="B175" s="30" t="n"/>
      <c r="C175" s="30" t="n"/>
      <c r="D175" s="30" t="n"/>
      <c r="E175" s="30" t="n"/>
      <c r="F175" s="31" t="n">
        <v>2301.65</v>
      </c>
      <c r="G175" s="30" t="n"/>
    </row>
    <row r="177" ht="18.5" customHeight="1">
      <c r="A177" s="18" t="inlineStr">
        <is>
          <t>7.11</t>
        </is>
      </c>
      <c r="B177" s="19" t="inlineStr">
        <is>
          <t>Extra for coursed rubble masonry with hard stone (first or second sort) curved on plan for a mean radius not exceeding 6 m.</t>
        </is>
      </c>
      <c r="C177" s="20" t="n"/>
      <c r="D177" s="20" t="n"/>
      <c r="E177" s="20" t="n"/>
      <c r="F177" s="20" t="n"/>
      <c r="G177" s="20" t="n"/>
    </row>
    <row r="178">
      <c r="A178" s="21" t="inlineStr">
        <is>
          <t>Details of cost for 1 cum   |   Source: CivilDAR_2019_Vol_1.pdf, page 330</t>
        </is>
      </c>
    </row>
    <row r="179">
      <c r="A179" s="5" t="inlineStr">
        <is>
          <t>Code</t>
        </is>
      </c>
      <c r="B179" s="5" t="inlineStr">
        <is>
          <t>Description</t>
        </is>
      </c>
      <c r="C179" s="5" t="inlineStr">
        <is>
          <t>Unit</t>
        </is>
      </c>
      <c r="D179" s="5" t="inlineStr">
        <is>
          <t>Quantity</t>
        </is>
      </c>
      <c r="E179" s="5" t="inlineStr">
        <is>
          <t>Rate (Rs.)</t>
        </is>
      </c>
      <c r="F179" s="5" t="inlineStr">
        <is>
          <t>Amount (Rs.)</t>
        </is>
      </c>
      <c r="G179" s="5" t="inlineStr">
        <is>
          <t>Note</t>
        </is>
      </c>
    </row>
    <row r="180">
      <c r="A180" s="22" t="inlineStr">
        <is>
          <t>1157</t>
        </is>
      </c>
      <c r="B180" s="11" t="inlineStr">
        <is>
          <t>Stone for masonry work</t>
        </is>
      </c>
      <c r="C180" s="22" t="inlineStr">
        <is>
          <t>cum</t>
        </is>
      </c>
      <c r="D180" s="23" t="n">
        <v>0.11</v>
      </c>
      <c r="E180" s="24" t="n">
        <v>1100</v>
      </c>
      <c r="F180" s="24">
        <f>D180*E180</f>
        <v/>
      </c>
      <c r="G180" s="22" t="n"/>
    </row>
    <row r="181">
      <c r="A181" s="22" t="inlineStr">
        <is>
          <t>2215</t>
        </is>
      </c>
      <c r="B181" s="11" t="inlineStr">
        <is>
          <t>Carriage of Soling stone &amp; masonry stone</t>
        </is>
      </c>
      <c r="C181" s="22" t="inlineStr">
        <is>
          <t>cum</t>
        </is>
      </c>
      <c r="D181" s="23" t="n">
        <v>0.11</v>
      </c>
      <c r="E181" s="24" t="n">
        <v>122.08</v>
      </c>
      <c r="F181" s="24">
        <f>D181*E181</f>
        <v/>
      </c>
      <c r="G181" s="22" t="n"/>
    </row>
    <row r="182">
      <c r="A182" s="22" t="inlineStr">
        <is>
          <t>0125</t>
        </is>
      </c>
      <c r="B182" s="11" t="inlineStr">
        <is>
          <t>Mason (for plain stone work) 2nd class)</t>
        </is>
      </c>
      <c r="C182" s="22" t="inlineStr">
        <is>
          <t>day</t>
        </is>
      </c>
      <c r="D182" s="23" t="n">
        <v>0.33</v>
      </c>
      <c r="E182" s="24" t="n">
        <v>679</v>
      </c>
      <c r="F182" s="24">
        <f>D182*E182</f>
        <v/>
      </c>
      <c r="G182" s="22" t="n"/>
    </row>
    <row r="183">
      <c r="A183" s="22" t="inlineStr">
        <is>
          <t>0115</t>
        </is>
      </c>
      <c r="B183" s="11" t="inlineStr">
        <is>
          <t>Coolie</t>
        </is>
      </c>
      <c r="C183" s="22" t="inlineStr">
        <is>
          <t>day</t>
        </is>
      </c>
      <c r="D183" s="23" t="n">
        <v>0.53</v>
      </c>
      <c r="E183" s="24" t="n">
        <v>558</v>
      </c>
      <c r="F183" s="24">
        <f>D183*E183</f>
        <v/>
      </c>
      <c r="G183" s="22" t="n"/>
    </row>
    <row r="184">
      <c r="A184" s="8" t="inlineStr">
        <is>
          <t>Calculated W - SUM of the Amount column above</t>
        </is>
      </c>
      <c r="B184" s="9" t="n"/>
      <c r="C184" s="9" t="n"/>
      <c r="D184" s="9" t="n"/>
      <c r="E184" s="9" t="n"/>
      <c r="F184" s="25">
        <f>SUM(F180:F183)</f>
        <v/>
      </c>
      <c r="G184" s="9" t="n"/>
    </row>
    <row r="185">
      <c r="A185" s="26" t="inlineStr">
        <is>
          <t>W as printed in the DAR</t>
        </is>
      </c>
      <c r="B185" s="22" t="n"/>
      <c r="C185" s="22" t="n"/>
      <c r="D185" s="22" t="n"/>
      <c r="E185" s="22" t="n"/>
      <c r="F185" s="27" t="n">
        <v>654.24</v>
      </c>
      <c r="G185" s="22" t="n"/>
    </row>
    <row r="186">
      <c r="A186" s="26" t="inlineStr">
        <is>
          <t>Difference (calculated - printed)</t>
        </is>
      </c>
      <c r="B186" s="22" t="n"/>
      <c r="C186" s="22" t="n"/>
      <c r="D186" s="22" t="n"/>
      <c r="E186" s="22" t="n"/>
      <c r="F186" s="27">
        <f>F184-F185</f>
        <v/>
      </c>
      <c r="G186" s="22" t="n"/>
    </row>
    <row r="187">
      <c r="A187" s="29" t="inlineStr">
        <is>
          <t>SAY (Rs.) - final DAR rate as printed (fixed value, not computed)</t>
        </is>
      </c>
      <c r="B187" s="30" t="n"/>
      <c r="C187" s="30" t="n"/>
      <c r="D187" s="30" t="n"/>
      <c r="E187" s="30" t="n"/>
      <c r="F187" s="31" t="n">
        <v>875.35</v>
      </c>
      <c r="G187" s="30" t="n"/>
    </row>
    <row r="189" ht="33" customHeight="1">
      <c r="A189" s="8" t="inlineStr">
        <is>
          <t>7.12</t>
        </is>
      </c>
      <c r="B189" s="17" t="inlineStr">
        <is>
          <t>Stone work in plain ashlar in super structure upto floor five level in cement mortar 1:6 (1 cement : 6 coarse sand) including pointing with cement mortar 1:2 (1 white cement : 2 stone dust) with an admixture of pigment matching the stone shade :</t>
        </is>
      </c>
      <c r="C189" s="9" t="n"/>
      <c r="D189" s="9" t="n"/>
      <c r="E189" s="9" t="n"/>
      <c r="F189" s="9" t="n"/>
      <c r="G189" s="9" t="n"/>
    </row>
    <row r="190" ht="18.5" customHeight="1">
      <c r="A190" s="8" t="inlineStr">
        <is>
          <t>7.12.1</t>
        </is>
      </c>
      <c r="B190" s="17" t="inlineStr">
        <is>
          <t>One face dressed</t>
        </is>
      </c>
      <c r="C190" s="9" t="n"/>
      <c r="D190" s="9" t="n"/>
      <c r="E190" s="9" t="n"/>
      <c r="F190" s="9" t="n"/>
      <c r="G190" s="9" t="n"/>
    </row>
    <row r="191" ht="18.5" customHeight="1">
      <c r="A191" s="18" t="inlineStr">
        <is>
          <t>7.12.1.1</t>
        </is>
      </c>
      <c r="B191" s="19" t="inlineStr">
        <is>
          <t>Red sand stone</t>
        </is>
      </c>
      <c r="C191" s="20" t="n"/>
      <c r="D191" s="20" t="n"/>
      <c r="E191" s="20" t="n"/>
      <c r="F191" s="20" t="n"/>
      <c r="G191" s="20" t="n"/>
    </row>
    <row r="192">
      <c r="A192" s="21" t="inlineStr">
        <is>
          <t>Details of cost for 10 cudm   |   Source: CivilDAR_2019_Vol_1.pdf, page 331</t>
        </is>
      </c>
    </row>
    <row r="193">
      <c r="A193" s="5" t="inlineStr">
        <is>
          <t>Code</t>
        </is>
      </c>
      <c r="B193" s="5" t="inlineStr">
        <is>
          <t>Description</t>
        </is>
      </c>
      <c r="C193" s="5" t="inlineStr">
        <is>
          <t>Unit</t>
        </is>
      </c>
      <c r="D193" s="5" t="inlineStr">
        <is>
          <t>Quantity</t>
        </is>
      </c>
      <c r="E193" s="5" t="inlineStr">
        <is>
          <t>Rate (Rs.)</t>
        </is>
      </c>
      <c r="F193" s="5" t="inlineStr">
        <is>
          <t>Amount (Rs.)</t>
        </is>
      </c>
      <c r="G193" s="5" t="inlineStr">
        <is>
          <t>Note</t>
        </is>
      </c>
    </row>
    <row r="194">
      <c r="A194" s="22" t="inlineStr">
        <is>
          <t>1160</t>
        </is>
      </c>
      <c r="B194" s="11" t="inlineStr">
        <is>
          <t>Red sand stone block</t>
        </is>
      </c>
      <c r="C194" s="22" t="inlineStr">
        <is>
          <t>10 cudm</t>
        </is>
      </c>
      <c r="D194" s="23" t="n">
        <v>1.333</v>
      </c>
      <c r="E194" s="24" t="n">
        <v>79</v>
      </c>
      <c r="F194" s="24">
        <f>D194*E194</f>
        <v/>
      </c>
      <c r="G194" s="22" t="n"/>
    </row>
    <row r="195">
      <c r="A195" s="22" t="inlineStr">
        <is>
          <t>2216</t>
        </is>
      </c>
      <c r="B195" s="11" t="inlineStr">
        <is>
          <t>Carriage of Stone blocks white &amp; red sand stone &amp; kota stone slab</t>
        </is>
      </c>
      <c r="C195" s="22" t="inlineStr">
        <is>
          <t>tonne</t>
        </is>
      </c>
      <c r="D195" s="23" t="n">
        <v>0.031</v>
      </c>
      <c r="E195" s="24" t="n">
        <v>92.23999999999999</v>
      </c>
      <c r="F195" s="24">
        <f>D195*E195</f>
        <v/>
      </c>
      <c r="G195" s="22" t="n"/>
    </row>
    <row r="196">
      <c r="A196" s="22" t="inlineStr">
        <is>
          <t>0115</t>
        </is>
      </c>
      <c r="B196" s="11" t="inlineStr">
        <is>
          <t>Coolie</t>
        </is>
      </c>
      <c r="C196" s="22" t="inlineStr">
        <is>
          <t>day</t>
        </is>
      </c>
      <c r="D196" s="23" t="n">
        <v>0.015</v>
      </c>
      <c r="E196" s="24" t="n">
        <v>558</v>
      </c>
      <c r="F196" s="24">
        <f>D196*E196</f>
        <v/>
      </c>
      <c r="G196" s="22" t="n"/>
    </row>
    <row r="197">
      <c r="A197" s="22" t="inlineStr">
        <is>
          <t>0125</t>
        </is>
      </c>
      <c r="B197" s="11" t="inlineStr">
        <is>
          <t>Mason (for plain stone work) 2nd class)</t>
        </is>
      </c>
      <c r="C197" s="22" t="inlineStr">
        <is>
          <t>day</t>
        </is>
      </c>
      <c r="D197" s="23" t="n">
        <v>0.08799999999999999</v>
      </c>
      <c r="E197" s="24" t="n">
        <v>679</v>
      </c>
      <c r="F197" s="24">
        <f>D197*E197</f>
        <v/>
      </c>
      <c r="G197" s="22" t="n"/>
    </row>
    <row r="198">
      <c r="A198" s="22" t="inlineStr">
        <is>
          <t>0102</t>
        </is>
      </c>
      <c r="B198" s="11" t="inlineStr">
        <is>
          <t>Blacksmith 1st class</t>
        </is>
      </c>
      <c r="C198" s="22" t="inlineStr">
        <is>
          <t>day</t>
        </is>
      </c>
      <c r="D198" s="23" t="n">
        <v>0.006</v>
      </c>
      <c r="E198" s="24" t="n">
        <v>738</v>
      </c>
      <c r="F198" s="24">
        <f>D198*E198</f>
        <v/>
      </c>
      <c r="G198" s="22" t="n"/>
    </row>
    <row r="199">
      <c r="A199" s="22" t="inlineStr">
        <is>
          <t>0114</t>
        </is>
      </c>
      <c r="B199" s="11" t="inlineStr">
        <is>
          <t>Beldar</t>
        </is>
      </c>
      <c r="C199" s="22" t="inlineStr">
        <is>
          <t>day</t>
        </is>
      </c>
      <c r="D199" s="23" t="n">
        <v>0.044</v>
      </c>
      <c r="E199" s="24" t="n">
        <v>558</v>
      </c>
      <c r="F199" s="24">
        <f>D199*E199</f>
        <v/>
      </c>
      <c r="G199" s="22" t="n"/>
    </row>
    <row r="200">
      <c r="A200" s="22" t="inlineStr">
        <is>
          <t>0115</t>
        </is>
      </c>
      <c r="B200" s="11" t="inlineStr">
        <is>
          <t>Coolie</t>
        </is>
      </c>
      <c r="C200" s="22" t="inlineStr">
        <is>
          <t>day</t>
        </is>
      </c>
      <c r="D200" s="23" t="n">
        <v>0.022</v>
      </c>
      <c r="E200" s="24" t="n">
        <v>558</v>
      </c>
      <c r="F200" s="24">
        <f>D200*E200</f>
        <v/>
      </c>
      <c r="G200" s="22" t="n"/>
    </row>
    <row r="201">
      <c r="A201" s="22" t="inlineStr">
        <is>
          <t>0100</t>
        </is>
      </c>
      <c r="B201" s="11" t="inlineStr">
        <is>
          <t>Bandhani</t>
        </is>
      </c>
      <c r="C201" s="22" t="inlineStr">
        <is>
          <t>day</t>
        </is>
      </c>
      <c r="D201" s="23" t="n">
        <v>0.044</v>
      </c>
      <c r="E201" s="24" t="n">
        <v>617</v>
      </c>
      <c r="F201" s="24">
        <f>D201*E201</f>
        <v/>
      </c>
      <c r="G201" s="22" t="n"/>
    </row>
    <row r="202">
      <c r="A202" s="22" t="inlineStr">
        <is>
          <t>0125</t>
        </is>
      </c>
      <c r="B202" s="11" t="inlineStr">
        <is>
          <t>Mason (for plain stone work) 2nd class)</t>
        </is>
      </c>
      <c r="C202" s="22" t="inlineStr">
        <is>
          <t>day</t>
        </is>
      </c>
      <c r="D202" s="23" t="n">
        <v>0.044</v>
      </c>
      <c r="E202" s="24" t="n">
        <v>679</v>
      </c>
      <c r="F202" s="24">
        <f>D202*E202</f>
        <v/>
      </c>
      <c r="G202" s="22" t="n"/>
    </row>
    <row r="203">
      <c r="A203" s="22" t="inlineStr">
        <is>
          <t>0102</t>
        </is>
      </c>
      <c r="B203" s="11" t="inlineStr">
        <is>
          <t>Blacksmith 1st class</t>
        </is>
      </c>
      <c r="C203" s="22" t="inlineStr">
        <is>
          <t>day</t>
        </is>
      </c>
      <c r="D203" s="23" t="n">
        <v>0.006</v>
      </c>
      <c r="E203" s="24" t="n">
        <v>738</v>
      </c>
      <c r="F203" s="24">
        <f>D203*E203</f>
        <v/>
      </c>
      <c r="G203" s="22" t="n"/>
    </row>
    <row r="204">
      <c r="A204" s="22" t="inlineStr">
        <is>
          <t>0114</t>
        </is>
      </c>
      <c r="B204" s="11" t="inlineStr">
        <is>
          <t>Beldar</t>
        </is>
      </c>
      <c r="C204" s="22" t="inlineStr">
        <is>
          <t>day</t>
        </is>
      </c>
      <c r="D204" s="23" t="n">
        <v>0.022</v>
      </c>
      <c r="E204" s="24" t="n">
        <v>558</v>
      </c>
      <c r="F204" s="24">
        <f>D204*E204</f>
        <v/>
      </c>
      <c r="G204" s="22" t="n"/>
    </row>
    <row r="205">
      <c r="A205" s="22" t="inlineStr">
        <is>
          <t>0115</t>
        </is>
      </c>
      <c r="B205" s="11" t="inlineStr">
        <is>
          <t>Coolie</t>
        </is>
      </c>
      <c r="C205" s="22" t="inlineStr">
        <is>
          <t>day</t>
        </is>
      </c>
      <c r="D205" s="23" t="n">
        <v>0.022</v>
      </c>
      <c r="E205" s="24" t="n">
        <v>558</v>
      </c>
      <c r="F205" s="24">
        <f>D205*E205</f>
        <v/>
      </c>
      <c r="G205" s="22" t="n"/>
    </row>
    <row r="206">
      <c r="A206" s="22" t="inlineStr">
        <is>
          <t>0100</t>
        </is>
      </c>
      <c r="B206" s="11" t="inlineStr">
        <is>
          <t>Bandhani</t>
        </is>
      </c>
      <c r="C206" s="22" t="inlineStr">
        <is>
          <t>day</t>
        </is>
      </c>
      <c r="D206" s="23" t="n">
        <v>0.022</v>
      </c>
      <c r="E206" s="24" t="n">
        <v>617</v>
      </c>
      <c r="F206" s="24">
        <f>D206*E206</f>
        <v/>
      </c>
      <c r="G206" s="22" t="n"/>
    </row>
    <row r="207">
      <c r="A207" s="22" t="inlineStr">
        <is>
          <t>0101</t>
        </is>
      </c>
      <c r="B207" s="11" t="inlineStr">
        <is>
          <t>Bhisti</t>
        </is>
      </c>
      <c r="C207" s="22" t="inlineStr">
        <is>
          <t>day</t>
        </is>
      </c>
      <c r="D207" s="23" t="n">
        <v>0.022</v>
      </c>
      <c r="E207" s="24" t="n">
        <v>617</v>
      </c>
      <c r="F207" s="24">
        <f>D207*E207</f>
        <v/>
      </c>
      <c r="G207" s="22" t="n"/>
    </row>
    <row r="208">
      <c r="A208" s="22" t="inlineStr">
        <is>
          <t>9999</t>
        </is>
      </c>
      <c r="B208" s="11" t="inlineStr">
        <is>
          <t>Scafolding</t>
        </is>
      </c>
      <c r="C208" s="22" t="inlineStr">
        <is>
          <t>L.S.</t>
        </is>
      </c>
      <c r="D208" s="23" t="n">
        <v>2.73</v>
      </c>
      <c r="E208" s="24" t="n">
        <v>2</v>
      </c>
      <c r="F208" s="24">
        <f>D208*E208</f>
        <v/>
      </c>
      <c r="G208" s="22" t="n"/>
    </row>
    <row r="209">
      <c r="A209" s="22" t="inlineStr">
        <is>
          <t>9999</t>
        </is>
      </c>
      <c r="B209" s="11" t="inlineStr">
        <is>
          <t>Mortar for laying and pointing</t>
        </is>
      </c>
      <c r="C209" s="22" t="inlineStr">
        <is>
          <t>L.S.</t>
        </is>
      </c>
      <c r="D209" s="23" t="n">
        <v>8.06</v>
      </c>
      <c r="E209" s="24" t="n">
        <v>2</v>
      </c>
      <c r="F209" s="24">
        <f>D209*E209</f>
        <v/>
      </c>
      <c r="G209" s="22" t="n"/>
    </row>
    <row r="210">
      <c r="A210" s="8" t="inlineStr">
        <is>
          <t>Calculated W - SUM of the Amount column above</t>
        </is>
      </c>
      <c r="B210" s="9" t="n"/>
      <c r="C210" s="9" t="n"/>
      <c r="D210" s="9" t="n"/>
      <c r="E210" s="9" t="n"/>
      <c r="F210" s="25">
        <f>SUM(F194:F209)</f>
        <v/>
      </c>
      <c r="G210" s="9" t="n"/>
    </row>
    <row r="211">
      <c r="A211" s="26" t="inlineStr">
        <is>
          <t>W as printed in the DAR</t>
        </is>
      </c>
      <c r="B211" s="22" t="n"/>
      <c r="C211" s="22" t="n"/>
      <c r="D211" s="22" t="n"/>
      <c r="E211" s="22" t="n"/>
      <c r="F211" s="27" t="n">
        <v>352.28</v>
      </c>
      <c r="G211" s="22" t="n"/>
    </row>
    <row r="212">
      <c r="A212" s="26" t="inlineStr">
        <is>
          <t>Difference (calculated - printed)</t>
        </is>
      </c>
      <c r="B212" s="22" t="n"/>
      <c r="C212" s="22" t="n"/>
      <c r="D212" s="22" t="n"/>
      <c r="E212" s="22" t="n"/>
      <c r="F212" s="27">
        <f>F210-F211</f>
        <v/>
      </c>
      <c r="G212" s="22" t="n"/>
    </row>
    <row r="213">
      <c r="A213" s="29" t="inlineStr">
        <is>
          <t>SAY (Rs.) - final DAR rate as printed (fixed value, not computed)</t>
        </is>
      </c>
      <c r="B213" s="30" t="n"/>
      <c r="C213" s="30" t="n"/>
      <c r="D213" s="30" t="n"/>
      <c r="E213" s="30" t="n"/>
      <c r="F213" s="31" t="n">
        <v>47132</v>
      </c>
      <c r="G213" s="30" t="n"/>
    </row>
    <row r="215" ht="33" customHeight="1">
      <c r="A215" s="8" t="inlineStr">
        <is>
          <t>7.12</t>
        </is>
      </c>
      <c r="B215" s="17" t="inlineStr">
        <is>
          <t>Stone work in plain ashlar in super structure upto floor five level in cement mortar 1:6 (1 cement : 6 coarse sand) including pointing with cement mortar 1:2 (1 white cement : 2 stone dust) with an admixture of pigment matching the stone shade :</t>
        </is>
      </c>
      <c r="C215" s="9" t="n"/>
      <c r="D215" s="9" t="n"/>
      <c r="E215" s="9" t="n"/>
      <c r="F215" s="9" t="n"/>
      <c r="G215" s="9" t="n"/>
    </row>
    <row r="216" ht="18.5" customHeight="1">
      <c r="A216" s="8" t="inlineStr">
        <is>
          <t>7.12.1</t>
        </is>
      </c>
      <c r="B216" s="17" t="inlineStr">
        <is>
          <t>One face dressed</t>
        </is>
      </c>
      <c r="C216" s="9" t="n"/>
      <c r="D216" s="9" t="n"/>
      <c r="E216" s="9" t="n"/>
      <c r="F216" s="9" t="n"/>
      <c r="G216" s="9" t="n"/>
    </row>
    <row r="217" ht="18.5" customHeight="1">
      <c r="A217" s="18" t="inlineStr">
        <is>
          <t>7.12.1.2</t>
        </is>
      </c>
      <c r="B217" s="19" t="inlineStr">
        <is>
          <t>White sand stone</t>
        </is>
      </c>
      <c r="C217" s="20" t="n"/>
      <c r="D217" s="20" t="n"/>
      <c r="E217" s="20" t="n"/>
      <c r="F217" s="20" t="n"/>
      <c r="G217" s="20" t="n"/>
    </row>
    <row r="218">
      <c r="A218" s="21" t="inlineStr">
        <is>
          <t>Details of cost for 10 cudm   |   Source: CivilDAR_2019_Vol_1.pdf, page 332</t>
        </is>
      </c>
    </row>
    <row r="219">
      <c r="A219" s="5" t="inlineStr">
        <is>
          <t>Code</t>
        </is>
      </c>
      <c r="B219" s="5" t="inlineStr">
        <is>
          <t>Description</t>
        </is>
      </c>
      <c r="C219" s="5" t="inlineStr">
        <is>
          <t>Unit</t>
        </is>
      </c>
      <c r="D219" s="5" t="inlineStr">
        <is>
          <t>Quantity</t>
        </is>
      </c>
      <c r="E219" s="5" t="inlineStr">
        <is>
          <t>Rate (Rs.)</t>
        </is>
      </c>
      <c r="F219" s="5" t="inlineStr">
        <is>
          <t>Amount (Rs.)</t>
        </is>
      </c>
      <c r="G219" s="5" t="inlineStr">
        <is>
          <t>Note</t>
        </is>
      </c>
    </row>
    <row r="220">
      <c r="A220" s="22" t="inlineStr">
        <is>
          <t>1161</t>
        </is>
      </c>
      <c r="B220" s="11" t="inlineStr">
        <is>
          <t>White sand stone block</t>
        </is>
      </c>
      <c r="C220" s="22" t="inlineStr">
        <is>
          <t>10 cudm</t>
        </is>
      </c>
      <c r="D220" s="23" t="n">
        <v>1.333</v>
      </c>
      <c r="E220" s="24" t="n">
        <v>205</v>
      </c>
      <c r="F220" s="24">
        <f>D220*E220</f>
        <v/>
      </c>
      <c r="G220" s="22" t="n"/>
    </row>
    <row r="221">
      <c r="A221" s="22" t="inlineStr">
        <is>
          <t>2216</t>
        </is>
      </c>
      <c r="B221" s="11" t="inlineStr">
        <is>
          <t>Carriage of Stone blocks white &amp; red sand stone &amp; kota stone slab</t>
        </is>
      </c>
      <c r="C221" s="22" t="inlineStr">
        <is>
          <t>tonne</t>
        </is>
      </c>
      <c r="D221" s="23" t="n">
        <v>0.031</v>
      </c>
      <c r="E221" s="24" t="n">
        <v>92.23999999999999</v>
      </c>
      <c r="F221" s="24">
        <f>D221*E221</f>
        <v/>
      </c>
      <c r="G221" s="22" t="n"/>
    </row>
    <row r="222">
      <c r="A222" s="22" t="inlineStr">
        <is>
          <t>0115</t>
        </is>
      </c>
      <c r="B222" s="11" t="inlineStr">
        <is>
          <t>Coolie</t>
        </is>
      </c>
      <c r="C222" s="22" t="inlineStr">
        <is>
          <t>day</t>
        </is>
      </c>
      <c r="D222" s="23" t="n">
        <v>0.015</v>
      </c>
      <c r="E222" s="24" t="n">
        <v>558</v>
      </c>
      <c r="F222" s="24">
        <f>D222*E222</f>
        <v/>
      </c>
      <c r="G222" s="22" t="n"/>
    </row>
    <row r="223">
      <c r="A223" s="22" t="inlineStr">
        <is>
          <t>0125</t>
        </is>
      </c>
      <c r="B223" s="11" t="inlineStr">
        <is>
          <t>Mason (for plain stone work) 2nd class)</t>
        </is>
      </c>
      <c r="C223" s="22" t="inlineStr">
        <is>
          <t>day</t>
        </is>
      </c>
      <c r="D223" s="23" t="n">
        <v>0.08799999999999999</v>
      </c>
      <c r="E223" s="24" t="n">
        <v>679</v>
      </c>
      <c r="F223" s="24">
        <f>D223*E223</f>
        <v/>
      </c>
      <c r="G223" s="22" t="n"/>
    </row>
    <row r="224">
      <c r="A224" s="22" t="inlineStr">
        <is>
          <t>0102</t>
        </is>
      </c>
      <c r="B224" s="11" t="inlineStr">
        <is>
          <t>Blacksmith 1st class</t>
        </is>
      </c>
      <c r="C224" s="22" t="inlineStr">
        <is>
          <t>day</t>
        </is>
      </c>
      <c r="D224" s="23" t="n">
        <v>0.006</v>
      </c>
      <c r="E224" s="24" t="n">
        <v>738</v>
      </c>
      <c r="F224" s="24">
        <f>D224*E224</f>
        <v/>
      </c>
      <c r="G224" s="22" t="n"/>
    </row>
    <row r="225">
      <c r="A225" s="22" t="inlineStr">
        <is>
          <t>0114</t>
        </is>
      </c>
      <c r="B225" s="11" t="inlineStr">
        <is>
          <t>Beldar</t>
        </is>
      </c>
      <c r="C225" s="22" t="inlineStr">
        <is>
          <t>day</t>
        </is>
      </c>
      <c r="D225" s="23" t="n">
        <v>0.044</v>
      </c>
      <c r="E225" s="24" t="n">
        <v>558</v>
      </c>
      <c r="F225" s="24">
        <f>D225*E225</f>
        <v/>
      </c>
      <c r="G225" s="22" t="n"/>
    </row>
    <row r="226">
      <c r="A226" s="22" t="inlineStr">
        <is>
          <t>0115</t>
        </is>
      </c>
      <c r="B226" s="11" t="inlineStr">
        <is>
          <t>Coolie</t>
        </is>
      </c>
      <c r="C226" s="22" t="inlineStr">
        <is>
          <t>day</t>
        </is>
      </c>
      <c r="D226" s="23" t="n">
        <v>0.022</v>
      </c>
      <c r="E226" s="24" t="n">
        <v>558</v>
      </c>
      <c r="F226" s="24">
        <f>D226*E226</f>
        <v/>
      </c>
      <c r="G226" s="22" t="n"/>
    </row>
    <row r="227">
      <c r="A227" s="22" t="inlineStr">
        <is>
          <t>0100</t>
        </is>
      </c>
      <c r="B227" s="11" t="inlineStr">
        <is>
          <t>Bandhani</t>
        </is>
      </c>
      <c r="C227" s="22" t="inlineStr">
        <is>
          <t>day</t>
        </is>
      </c>
      <c r="D227" s="23" t="n">
        <v>0.044</v>
      </c>
      <c r="E227" s="24" t="n">
        <v>617</v>
      </c>
      <c r="F227" s="24">
        <f>D227*E227</f>
        <v/>
      </c>
      <c r="G227" s="22" t="n"/>
    </row>
    <row r="228">
      <c r="A228" s="22" t="inlineStr">
        <is>
          <t>0125</t>
        </is>
      </c>
      <c r="B228" s="11" t="inlineStr">
        <is>
          <t>Mason (for plain stone work) 2nd class)</t>
        </is>
      </c>
      <c r="C228" s="22" t="inlineStr">
        <is>
          <t>day</t>
        </is>
      </c>
      <c r="D228" s="23" t="n">
        <v>0.044</v>
      </c>
      <c r="E228" s="24" t="n">
        <v>679</v>
      </c>
      <c r="F228" s="24">
        <f>D228*E228</f>
        <v/>
      </c>
      <c r="G228" s="22" t="n"/>
    </row>
    <row r="229">
      <c r="A229" s="22" t="inlineStr">
        <is>
          <t>0102</t>
        </is>
      </c>
      <c r="B229" s="11" t="inlineStr">
        <is>
          <t>Blacksmith 1st class</t>
        </is>
      </c>
      <c r="C229" s="22" t="inlineStr">
        <is>
          <t>day</t>
        </is>
      </c>
      <c r="D229" s="23" t="n">
        <v>0.006</v>
      </c>
      <c r="E229" s="24" t="n">
        <v>738</v>
      </c>
      <c r="F229" s="24">
        <f>D229*E229</f>
        <v/>
      </c>
      <c r="G229" s="22" t="n"/>
    </row>
    <row r="230">
      <c r="A230" s="22" t="inlineStr">
        <is>
          <t>0114</t>
        </is>
      </c>
      <c r="B230" s="11" t="inlineStr">
        <is>
          <t>Beldar</t>
        </is>
      </c>
      <c r="C230" s="22" t="inlineStr">
        <is>
          <t>day</t>
        </is>
      </c>
      <c r="D230" s="23" t="n">
        <v>0.022</v>
      </c>
      <c r="E230" s="24" t="n">
        <v>558</v>
      </c>
      <c r="F230" s="24">
        <f>D230*E230</f>
        <v/>
      </c>
      <c r="G230" s="22" t="n"/>
    </row>
    <row r="231">
      <c r="A231" s="22" t="inlineStr">
        <is>
          <t>0115</t>
        </is>
      </c>
      <c r="B231" s="11" t="inlineStr">
        <is>
          <t>Coolie</t>
        </is>
      </c>
      <c r="C231" s="22" t="inlineStr">
        <is>
          <t>day</t>
        </is>
      </c>
      <c r="D231" s="23" t="n">
        <v>0.022</v>
      </c>
      <c r="E231" s="24" t="n">
        <v>558</v>
      </c>
      <c r="F231" s="24">
        <f>D231*E231</f>
        <v/>
      </c>
      <c r="G231" s="22" t="n"/>
    </row>
    <row r="232">
      <c r="A232" s="22" t="inlineStr">
        <is>
          <t>0100</t>
        </is>
      </c>
      <c r="B232" s="11" t="inlineStr">
        <is>
          <t>Bandhani</t>
        </is>
      </c>
      <c r="C232" s="22" t="inlineStr">
        <is>
          <t>day</t>
        </is>
      </c>
      <c r="D232" s="23" t="n">
        <v>0.022</v>
      </c>
      <c r="E232" s="24" t="n">
        <v>617</v>
      </c>
      <c r="F232" s="24">
        <f>D232*E232</f>
        <v/>
      </c>
      <c r="G232" s="22" t="n"/>
    </row>
    <row r="233">
      <c r="A233" s="22" t="inlineStr">
        <is>
          <t>0101</t>
        </is>
      </c>
      <c r="B233" s="11" t="inlineStr">
        <is>
          <t>Bhisti</t>
        </is>
      </c>
      <c r="C233" s="22" t="inlineStr">
        <is>
          <t>day</t>
        </is>
      </c>
      <c r="D233" s="23" t="n">
        <v>0.022</v>
      </c>
      <c r="E233" s="24" t="n">
        <v>617</v>
      </c>
      <c r="F233" s="24">
        <f>D233*E233</f>
        <v/>
      </c>
      <c r="G233" s="22" t="n"/>
    </row>
    <row r="234">
      <c r="A234" s="22" t="inlineStr">
        <is>
          <t>9999</t>
        </is>
      </c>
      <c r="B234" s="11" t="inlineStr">
        <is>
          <t>Scaffolding</t>
        </is>
      </c>
      <c r="C234" s="22" t="inlineStr">
        <is>
          <t>L.S.</t>
        </is>
      </c>
      <c r="D234" s="23" t="n">
        <v>2.73</v>
      </c>
      <c r="E234" s="24" t="n">
        <v>2</v>
      </c>
      <c r="F234" s="24">
        <f>D234*E234</f>
        <v/>
      </c>
      <c r="G234" s="22" t="n"/>
    </row>
    <row r="235">
      <c r="A235" s="22" t="inlineStr">
        <is>
          <t>9999</t>
        </is>
      </c>
      <c r="B235" s="11" t="inlineStr">
        <is>
          <t>Mortar for laying and pointing</t>
        </is>
      </c>
      <c r="C235" s="22" t="inlineStr">
        <is>
          <t>L.S.</t>
        </is>
      </c>
      <c r="D235" s="23" t="n">
        <v>8.06</v>
      </c>
      <c r="E235" s="24" t="n">
        <v>2</v>
      </c>
      <c r="F235" s="24">
        <f>D235*E235</f>
        <v/>
      </c>
      <c r="G235" s="22" t="n"/>
    </row>
    <row r="236">
      <c r="A236" s="8" t="inlineStr">
        <is>
          <t>Calculated W - SUM of the Amount column above</t>
        </is>
      </c>
      <c r="B236" s="9" t="n"/>
      <c r="C236" s="9" t="n"/>
      <c r="D236" s="9" t="n"/>
      <c r="E236" s="9" t="n"/>
      <c r="F236" s="25">
        <f>SUM(F220:F235)</f>
        <v/>
      </c>
      <c r="G236" s="9" t="n"/>
    </row>
    <row r="237">
      <c r="A237" s="26" t="inlineStr">
        <is>
          <t>W as printed in the DAR</t>
        </is>
      </c>
      <c r="B237" s="22" t="n"/>
      <c r="C237" s="22" t="n"/>
      <c r="D237" s="22" t="n"/>
      <c r="E237" s="22" t="n"/>
      <c r="F237" s="27" t="n">
        <v>520.23</v>
      </c>
      <c r="G237" s="22" t="n"/>
    </row>
    <row r="238">
      <c r="A238" s="26" t="inlineStr">
        <is>
          <t>Difference (calculated - printed)</t>
        </is>
      </c>
      <c r="B238" s="22" t="n"/>
      <c r="C238" s="22" t="n"/>
      <c r="D238" s="22" t="n"/>
      <c r="E238" s="22" t="n"/>
      <c r="F238" s="27">
        <f>F236-F237</f>
        <v/>
      </c>
      <c r="G238" s="22" t="n"/>
    </row>
    <row r="239">
      <c r="A239" s="29" t="inlineStr">
        <is>
          <t>SAY (Rs.) - final DAR rate as printed (fixed value, not computed)</t>
        </is>
      </c>
      <c r="B239" s="30" t="n"/>
      <c r="C239" s="30" t="n"/>
      <c r="D239" s="30" t="n"/>
      <c r="E239" s="30" t="n"/>
      <c r="F239" s="31" t="n">
        <v>69604</v>
      </c>
      <c r="G239" s="30" t="n"/>
    </row>
    <row r="241" ht="33" customHeight="1">
      <c r="A241" s="8" t="inlineStr">
        <is>
          <t>7.12</t>
        </is>
      </c>
      <c r="B241" s="17" t="inlineStr">
        <is>
          <t>Stone work in plain ashlar in super structure upto floor five level in cement mortar 1:6 (1 cement : 6 coarse sand) including pointing with cement mortar 1:2 (1 white cement : 2 stone dust) with an admixture of pigment matching the stone shade :</t>
        </is>
      </c>
      <c r="C241" s="9" t="n"/>
      <c r="D241" s="9" t="n"/>
      <c r="E241" s="9" t="n"/>
      <c r="F241" s="9" t="n"/>
      <c r="G241" s="9" t="n"/>
    </row>
    <row r="242" ht="18.5" customHeight="1">
      <c r="A242" s="8" t="inlineStr">
        <is>
          <t>7.12.2</t>
        </is>
      </c>
      <c r="B242" s="17" t="inlineStr">
        <is>
          <t>Both face dressed</t>
        </is>
      </c>
      <c r="C242" s="9" t="n"/>
      <c r="D242" s="9" t="n"/>
      <c r="E242" s="9" t="n"/>
      <c r="F242" s="9" t="n"/>
      <c r="G242" s="9" t="n"/>
    </row>
    <row r="243" ht="18.5" customHeight="1">
      <c r="A243" s="18" t="inlineStr">
        <is>
          <t>7.12.2.1</t>
        </is>
      </c>
      <c r="B243" s="19" t="inlineStr">
        <is>
          <t>Red sand stone</t>
        </is>
      </c>
      <c r="C243" s="20" t="n"/>
      <c r="D243" s="20" t="n"/>
      <c r="E243" s="20" t="n"/>
      <c r="F243" s="20" t="n"/>
      <c r="G243" s="20" t="n"/>
    </row>
    <row r="244">
      <c r="A244" s="21" t="inlineStr">
        <is>
          <t>Details of cost for 10 cudm   |   Source: CivilDAR_2019_Vol_1.pdf, page 333</t>
        </is>
      </c>
    </row>
    <row r="245">
      <c r="A245" s="5" t="inlineStr">
        <is>
          <t>Code</t>
        </is>
      </c>
      <c r="B245" s="5" t="inlineStr">
        <is>
          <t>Description</t>
        </is>
      </c>
      <c r="C245" s="5" t="inlineStr">
        <is>
          <t>Unit</t>
        </is>
      </c>
      <c r="D245" s="5" t="inlineStr">
        <is>
          <t>Quantity</t>
        </is>
      </c>
      <c r="E245" s="5" t="inlineStr">
        <is>
          <t>Rate (Rs.)</t>
        </is>
      </c>
      <c r="F245" s="5" t="inlineStr">
        <is>
          <t>Amount (Rs.)</t>
        </is>
      </c>
      <c r="G245" s="5" t="inlineStr">
        <is>
          <t>Note</t>
        </is>
      </c>
    </row>
    <row r="246">
      <c r="A246" s="22" t="inlineStr">
        <is>
          <t>1160</t>
        </is>
      </c>
      <c r="B246" s="11" t="inlineStr">
        <is>
          <t>Red sand stone block</t>
        </is>
      </c>
      <c r="C246" s="22" t="inlineStr">
        <is>
          <t>10 cudm</t>
        </is>
      </c>
      <c r="D246" s="23" t="n">
        <v>1.333</v>
      </c>
      <c r="E246" s="24" t="n">
        <v>79</v>
      </c>
      <c r="F246" s="24">
        <f>D246*E246</f>
        <v/>
      </c>
      <c r="G246" s="22" t="n"/>
    </row>
    <row r="247">
      <c r="A247" s="22" t="inlineStr">
        <is>
          <t>2216</t>
        </is>
      </c>
      <c r="B247" s="11" t="inlineStr">
        <is>
          <t>Carriage of Stone blocks white &amp; red sand stone &amp; kota stone slab</t>
        </is>
      </c>
      <c r="C247" s="22" t="inlineStr">
        <is>
          <t>tonne</t>
        </is>
      </c>
      <c r="D247" s="23" t="n">
        <v>0.031</v>
      </c>
      <c r="E247" s="24" t="n">
        <v>92.23999999999999</v>
      </c>
      <c r="F247" s="24">
        <f>D247*E247</f>
        <v/>
      </c>
      <c r="G247" s="22" t="n"/>
    </row>
    <row r="248">
      <c r="A248" s="22" t="inlineStr">
        <is>
          <t>0115</t>
        </is>
      </c>
      <c r="B248" s="11" t="inlineStr">
        <is>
          <t>Coolie</t>
        </is>
      </c>
      <c r="C248" s="22" t="inlineStr">
        <is>
          <t>day</t>
        </is>
      </c>
      <c r="D248" s="23" t="n">
        <v>0.015</v>
      </c>
      <c r="E248" s="24" t="n">
        <v>558</v>
      </c>
      <c r="F248" s="24">
        <f>D248*E248</f>
        <v/>
      </c>
      <c r="G248" s="22" t="n"/>
    </row>
    <row r="249">
      <c r="A249" s="22" t="inlineStr">
        <is>
          <t>0125</t>
        </is>
      </c>
      <c r="B249" s="11" t="inlineStr">
        <is>
          <t>Mason (for plain stone work) 2nd class)</t>
        </is>
      </c>
      <c r="C249" s="22" t="inlineStr">
        <is>
          <t>day</t>
        </is>
      </c>
      <c r="D249" s="23" t="n">
        <v>0.176</v>
      </c>
      <c r="E249" s="24" t="n">
        <v>679</v>
      </c>
      <c r="F249" s="24">
        <f>D249*E249</f>
        <v/>
      </c>
      <c r="G249" s="22" t="n"/>
    </row>
    <row r="250">
      <c r="A250" s="22" t="inlineStr">
        <is>
          <t>0102</t>
        </is>
      </c>
      <c r="B250" s="11" t="inlineStr">
        <is>
          <t>Blacksmith 1st class</t>
        </is>
      </c>
      <c r="C250" s="22" t="inlineStr">
        <is>
          <t>day</t>
        </is>
      </c>
      <c r="D250" s="23" t="n">
        <v>0.012</v>
      </c>
      <c r="E250" s="24" t="n">
        <v>738</v>
      </c>
      <c r="F250" s="24">
        <f>D250*E250</f>
        <v/>
      </c>
      <c r="G250" s="22" t="n"/>
    </row>
    <row r="251">
      <c r="A251" s="22" t="inlineStr">
        <is>
          <t>0114</t>
        </is>
      </c>
      <c r="B251" s="11" t="inlineStr">
        <is>
          <t>Beldar</t>
        </is>
      </c>
      <c r="C251" s="22" t="inlineStr">
        <is>
          <t>day</t>
        </is>
      </c>
      <c r="D251" s="23" t="n">
        <v>0.08799999999999999</v>
      </c>
      <c r="E251" s="24" t="n">
        <v>558</v>
      </c>
      <c r="F251" s="24">
        <f>D251*E251</f>
        <v/>
      </c>
      <c r="G251" s="22" t="n"/>
    </row>
    <row r="252">
      <c r="A252" s="22" t="inlineStr">
        <is>
          <t>0115</t>
        </is>
      </c>
      <c r="B252" s="11" t="inlineStr">
        <is>
          <t>Coolie</t>
        </is>
      </c>
      <c r="C252" s="22" t="inlineStr">
        <is>
          <t>day</t>
        </is>
      </c>
      <c r="D252" s="23" t="n">
        <v>0.044</v>
      </c>
      <c r="E252" s="24" t="n">
        <v>558</v>
      </c>
      <c r="F252" s="24">
        <f>D252*E252</f>
        <v/>
      </c>
      <c r="G252" s="22" t="n"/>
    </row>
    <row r="253">
      <c r="A253" s="22" t="inlineStr">
        <is>
          <t>0100</t>
        </is>
      </c>
      <c r="B253" s="11" t="inlineStr">
        <is>
          <t>Bandhani</t>
        </is>
      </c>
      <c r="C253" s="22" t="inlineStr">
        <is>
          <t>day</t>
        </is>
      </c>
      <c r="D253" s="23" t="n">
        <v>0.08799999999999999</v>
      </c>
      <c r="E253" s="24" t="n">
        <v>617</v>
      </c>
      <c r="F253" s="24">
        <f>D253*E253</f>
        <v/>
      </c>
      <c r="G253" s="22" t="n"/>
    </row>
    <row r="254">
      <c r="A254" s="22" t="inlineStr">
        <is>
          <t>0125</t>
        </is>
      </c>
      <c r="B254" s="11" t="inlineStr">
        <is>
          <t>Mason (for plain stone work) 2nd class)</t>
        </is>
      </c>
      <c r="C254" s="22" t="inlineStr">
        <is>
          <t>day</t>
        </is>
      </c>
      <c r="D254" s="23" t="n">
        <v>0.044</v>
      </c>
      <c r="E254" s="24" t="n">
        <v>679</v>
      </c>
      <c r="F254" s="24">
        <f>D254*E254</f>
        <v/>
      </c>
      <c r="G254" s="22" t="n"/>
    </row>
    <row r="255">
      <c r="A255" s="22" t="inlineStr">
        <is>
          <t>0102</t>
        </is>
      </c>
      <c r="B255" s="11" t="inlineStr">
        <is>
          <t>Blacksmith 1st class</t>
        </is>
      </c>
      <c r="C255" s="22" t="inlineStr">
        <is>
          <t>day</t>
        </is>
      </c>
      <c r="D255" s="23" t="n">
        <v>0.006</v>
      </c>
      <c r="E255" s="24" t="n">
        <v>738</v>
      </c>
      <c r="F255" s="24">
        <f>D255*E255</f>
        <v/>
      </c>
      <c r="G255" s="22" t="n"/>
    </row>
    <row r="256">
      <c r="A256" s="22" t="inlineStr">
        <is>
          <t>0114</t>
        </is>
      </c>
      <c r="B256" s="11" t="inlineStr">
        <is>
          <t>Beldar</t>
        </is>
      </c>
      <c r="C256" s="22" t="inlineStr">
        <is>
          <t>day</t>
        </is>
      </c>
      <c r="D256" s="23" t="n">
        <v>0.022</v>
      </c>
      <c r="E256" s="24" t="n">
        <v>558</v>
      </c>
      <c r="F256" s="24">
        <f>D256*E256</f>
        <v/>
      </c>
      <c r="G256" s="22" t="n"/>
    </row>
    <row r="257">
      <c r="A257" s="22" t="inlineStr">
        <is>
          <t>0115</t>
        </is>
      </c>
      <c r="B257" s="11" t="inlineStr">
        <is>
          <t>Coolie</t>
        </is>
      </c>
      <c r="C257" s="22" t="inlineStr">
        <is>
          <t>day</t>
        </is>
      </c>
      <c r="D257" s="23" t="n">
        <v>0.022</v>
      </c>
      <c r="E257" s="24" t="n">
        <v>558</v>
      </c>
      <c r="F257" s="24">
        <f>D257*E257</f>
        <v/>
      </c>
      <c r="G257" s="22" t="n"/>
    </row>
    <row r="258">
      <c r="A258" s="22" t="inlineStr">
        <is>
          <t>0100</t>
        </is>
      </c>
      <c r="B258" s="11" t="inlineStr">
        <is>
          <t>Bandhani</t>
        </is>
      </c>
      <c r="C258" s="22" t="inlineStr">
        <is>
          <t>day</t>
        </is>
      </c>
      <c r="D258" s="23" t="n">
        <v>0.022</v>
      </c>
      <c r="E258" s="24" t="n">
        <v>617</v>
      </c>
      <c r="F258" s="24">
        <f>D258*E258</f>
        <v/>
      </c>
      <c r="G258" s="22" t="n"/>
    </row>
    <row r="259">
      <c r="A259" s="22" t="inlineStr">
        <is>
          <t>0101</t>
        </is>
      </c>
      <c r="B259" s="11" t="inlineStr">
        <is>
          <t>Bhisti</t>
        </is>
      </c>
      <c r="C259" s="22" t="inlineStr">
        <is>
          <t>day</t>
        </is>
      </c>
      <c r="D259" s="23" t="n">
        <v>0.022</v>
      </c>
      <c r="E259" s="24" t="n">
        <v>617</v>
      </c>
      <c r="F259" s="24">
        <f>D259*E259</f>
        <v/>
      </c>
      <c r="G259" s="22" t="n"/>
    </row>
    <row r="260">
      <c r="A260" s="22" t="inlineStr">
        <is>
          <t>9999</t>
        </is>
      </c>
      <c r="B260" s="11" t="inlineStr">
        <is>
          <t>Scafolding</t>
        </is>
      </c>
      <c r="C260" s="22" t="inlineStr">
        <is>
          <t>L.S.</t>
        </is>
      </c>
      <c r="D260" s="23" t="n">
        <v>2.73</v>
      </c>
      <c r="E260" s="24" t="n">
        <v>2</v>
      </c>
      <c r="F260" s="24">
        <f>D260*E260</f>
        <v/>
      </c>
      <c r="G260" s="22" t="n"/>
    </row>
    <row r="261">
      <c r="A261" s="22" t="inlineStr">
        <is>
          <t>9999</t>
        </is>
      </c>
      <c r="B261" s="11" t="inlineStr">
        <is>
          <t>Mortar for laying and pointing</t>
        </is>
      </c>
      <c r="C261" s="22" t="inlineStr">
        <is>
          <t>L.S.</t>
        </is>
      </c>
      <c r="D261" s="23" t="n">
        <v>8.06</v>
      </c>
      <c r="E261" s="24" t="n">
        <v>2</v>
      </c>
      <c r="F261" s="24">
        <f>D261*E261</f>
        <v/>
      </c>
      <c r="G261" s="22" t="n"/>
    </row>
    <row r="262">
      <c r="A262" s="8" t="inlineStr">
        <is>
          <t>Calculated W - SUM of the Amount column above</t>
        </is>
      </c>
      <c r="B262" s="9" t="n"/>
      <c r="C262" s="9" t="n"/>
      <c r="D262" s="9" t="n"/>
      <c r="E262" s="9" t="n"/>
      <c r="F262" s="25">
        <f>SUM(F246:F261)</f>
        <v/>
      </c>
      <c r="G262" s="9" t="n"/>
    </row>
    <row r="263">
      <c r="A263" s="26" t="inlineStr">
        <is>
          <t>W as printed in the DAR</t>
        </is>
      </c>
      <c r="B263" s="22" t="n"/>
      <c r="C263" s="22" t="n"/>
      <c r="D263" s="22" t="n"/>
      <c r="E263" s="22" t="n"/>
      <c r="F263" s="27" t="n">
        <v>480.43</v>
      </c>
      <c r="G263" s="22" t="n"/>
    </row>
    <row r="264">
      <c r="A264" s="26" t="inlineStr">
        <is>
          <t>Difference (calculated - printed)</t>
        </is>
      </c>
      <c r="B264" s="22" t="n"/>
      <c r="C264" s="22" t="n"/>
      <c r="D264" s="22" t="n"/>
      <c r="E264" s="22" t="n"/>
      <c r="F264" s="27">
        <f>F262-F263</f>
        <v/>
      </c>
      <c r="G264" s="22" t="n"/>
    </row>
    <row r="265">
      <c r="A265" s="29" t="inlineStr">
        <is>
          <t>SAY (Rs.) - final DAR rate as printed (fixed value, not computed)</t>
        </is>
      </c>
      <c r="B265" s="30" t="n"/>
      <c r="C265" s="30" t="n"/>
      <c r="D265" s="30" t="n"/>
      <c r="E265" s="30" t="n"/>
      <c r="F265" s="31" t="n">
        <v>64279</v>
      </c>
      <c r="G265" s="30" t="n"/>
    </row>
    <row r="267" ht="33" customHeight="1">
      <c r="A267" s="8" t="inlineStr">
        <is>
          <t>7.12</t>
        </is>
      </c>
      <c r="B267" s="17" t="inlineStr">
        <is>
          <t>Stone work in plain ashlar in super structure upto floor five level in cement mortar 1:6 (1 cement : 6 coarse sand) including pointing with cement mortar 1:2 (1 white cement : 2 stone dust) with an admixture of pigment matching the stone shade :</t>
        </is>
      </c>
      <c r="C267" s="9" t="n"/>
      <c r="D267" s="9" t="n"/>
      <c r="E267" s="9" t="n"/>
      <c r="F267" s="9" t="n"/>
      <c r="G267" s="9" t="n"/>
    </row>
    <row r="268" ht="18.5" customHeight="1">
      <c r="A268" s="8" t="inlineStr">
        <is>
          <t>7.12.2</t>
        </is>
      </c>
      <c r="B268" s="17" t="inlineStr">
        <is>
          <t>Both face dressed</t>
        </is>
      </c>
      <c r="C268" s="9" t="n"/>
      <c r="D268" s="9" t="n"/>
      <c r="E268" s="9" t="n"/>
      <c r="F268" s="9" t="n"/>
      <c r="G268" s="9" t="n"/>
    </row>
    <row r="269" ht="18.5" customHeight="1">
      <c r="A269" s="18" t="inlineStr">
        <is>
          <t>7.12.2.2</t>
        </is>
      </c>
      <c r="B269" s="19" t="inlineStr">
        <is>
          <t>White sand stone</t>
        </is>
      </c>
      <c r="C269" s="20" t="n"/>
      <c r="D269" s="20" t="n"/>
      <c r="E269" s="20" t="n"/>
      <c r="F269" s="20" t="n"/>
      <c r="G269" s="20" t="n"/>
    </row>
    <row r="270">
      <c r="A270" s="21" t="inlineStr">
        <is>
          <t>Details of cost for 10 cudm   |   Source: CivilDAR_2019_Vol_1.pdf, page 334</t>
        </is>
      </c>
    </row>
    <row r="271">
      <c r="A271" s="5" t="inlineStr">
        <is>
          <t>Code</t>
        </is>
      </c>
      <c r="B271" s="5" t="inlineStr">
        <is>
          <t>Description</t>
        </is>
      </c>
      <c r="C271" s="5" t="inlineStr">
        <is>
          <t>Unit</t>
        </is>
      </c>
      <c r="D271" s="5" t="inlineStr">
        <is>
          <t>Quantity</t>
        </is>
      </c>
      <c r="E271" s="5" t="inlineStr">
        <is>
          <t>Rate (Rs.)</t>
        </is>
      </c>
      <c r="F271" s="5" t="inlineStr">
        <is>
          <t>Amount (Rs.)</t>
        </is>
      </c>
      <c r="G271" s="5" t="inlineStr">
        <is>
          <t>Note</t>
        </is>
      </c>
    </row>
    <row r="272">
      <c r="A272" s="22" t="inlineStr">
        <is>
          <t>1161</t>
        </is>
      </c>
      <c r="B272" s="11" t="inlineStr">
        <is>
          <t>White sand stone block</t>
        </is>
      </c>
      <c r="C272" s="22" t="inlineStr">
        <is>
          <t>10 cudm</t>
        </is>
      </c>
      <c r="D272" s="23" t="n">
        <v>1.333</v>
      </c>
      <c r="E272" s="24" t="n">
        <v>205</v>
      </c>
      <c r="F272" s="24">
        <f>D272*E272</f>
        <v/>
      </c>
      <c r="G272" s="22" t="n"/>
    </row>
    <row r="273">
      <c r="A273" s="22" t="inlineStr">
        <is>
          <t>2216</t>
        </is>
      </c>
      <c r="B273" s="11" t="inlineStr">
        <is>
          <t>Carriage of Stone blocks white &amp; red sand stone &amp; kota stone slab @ 2.30kg/cudm = 13.33x2.30 = 30.659 kg = 0.03065 tonne say 0.031 t.</t>
        </is>
      </c>
      <c r="C273" s="22" t="inlineStr">
        <is>
          <t>tonne</t>
        </is>
      </c>
      <c r="D273" s="23" t="n">
        <v>0.031</v>
      </c>
      <c r="E273" s="24" t="n">
        <v>92.23999999999999</v>
      </c>
      <c r="F273" s="24">
        <f>D273*E273</f>
        <v/>
      </c>
      <c r="G273" s="22" t="n"/>
    </row>
    <row r="274">
      <c r="A274" s="22" t="inlineStr">
        <is>
          <t>0115</t>
        </is>
      </c>
      <c r="B274" s="11" t="inlineStr">
        <is>
          <t>Coolie</t>
        </is>
      </c>
      <c r="C274" s="22" t="inlineStr">
        <is>
          <t>day</t>
        </is>
      </c>
      <c r="D274" s="23" t="n">
        <v>0.015</v>
      </c>
      <c r="E274" s="24" t="n">
        <v>558</v>
      </c>
      <c r="F274" s="24">
        <f>D274*E274</f>
        <v/>
      </c>
      <c r="G274" s="22" t="n"/>
    </row>
    <row r="275">
      <c r="A275" s="22" t="inlineStr">
        <is>
          <t>0125</t>
        </is>
      </c>
      <c r="B275" s="11" t="inlineStr">
        <is>
          <t>Mason (for plain stone work) 2nd class)</t>
        </is>
      </c>
      <c r="C275" s="22" t="inlineStr">
        <is>
          <t>day</t>
        </is>
      </c>
      <c r="D275" s="23" t="n">
        <v>0.176</v>
      </c>
      <c r="E275" s="24" t="n">
        <v>679</v>
      </c>
      <c r="F275" s="24">
        <f>D275*E275</f>
        <v/>
      </c>
      <c r="G275" s="22" t="n"/>
    </row>
    <row r="276">
      <c r="A276" s="22" t="inlineStr">
        <is>
          <t>0102</t>
        </is>
      </c>
      <c r="B276" s="11" t="inlineStr">
        <is>
          <t>Blacksmith 1st class</t>
        </is>
      </c>
      <c r="C276" s="22" t="inlineStr">
        <is>
          <t>day</t>
        </is>
      </c>
      <c r="D276" s="23" t="n">
        <v>0.012</v>
      </c>
      <c r="E276" s="24" t="n">
        <v>738</v>
      </c>
      <c r="F276" s="24">
        <f>D276*E276</f>
        <v/>
      </c>
      <c r="G276" s="22" t="n"/>
    </row>
    <row r="277">
      <c r="A277" s="22" t="inlineStr">
        <is>
          <t>0114</t>
        </is>
      </c>
      <c r="B277" s="11" t="inlineStr">
        <is>
          <t>Beldar</t>
        </is>
      </c>
      <c r="C277" s="22" t="inlineStr">
        <is>
          <t>day</t>
        </is>
      </c>
      <c r="D277" s="23" t="n">
        <v>0.08799999999999999</v>
      </c>
      <c r="E277" s="24" t="n">
        <v>558</v>
      </c>
      <c r="F277" s="24">
        <f>D277*E277</f>
        <v/>
      </c>
      <c r="G277" s="22" t="n"/>
    </row>
    <row r="278">
      <c r="A278" s="22" t="inlineStr">
        <is>
          <t>0115</t>
        </is>
      </c>
      <c r="B278" s="11" t="inlineStr">
        <is>
          <t>Coolie</t>
        </is>
      </c>
      <c r="C278" s="22" t="inlineStr">
        <is>
          <t>day</t>
        </is>
      </c>
      <c r="D278" s="23" t="n">
        <v>0.044</v>
      </c>
      <c r="E278" s="24" t="n">
        <v>558</v>
      </c>
      <c r="F278" s="24">
        <f>D278*E278</f>
        <v/>
      </c>
      <c r="G278" s="22" t="n"/>
    </row>
    <row r="279">
      <c r="A279" s="22" t="inlineStr">
        <is>
          <t>0100</t>
        </is>
      </c>
      <c r="B279" s="11" t="inlineStr">
        <is>
          <t>Bandhani</t>
        </is>
      </c>
      <c r="C279" s="22" t="inlineStr">
        <is>
          <t>day</t>
        </is>
      </c>
      <c r="D279" s="23" t="n">
        <v>0.08799999999999999</v>
      </c>
      <c r="E279" s="24" t="n">
        <v>617</v>
      </c>
      <c r="F279" s="24">
        <f>D279*E279</f>
        <v/>
      </c>
      <c r="G279" s="22" t="n"/>
    </row>
    <row r="280">
      <c r="A280" s="22" t="inlineStr">
        <is>
          <t>0125</t>
        </is>
      </c>
      <c r="B280" s="11" t="inlineStr">
        <is>
          <t>Mason (for plain stone work) 2nd class)</t>
        </is>
      </c>
      <c r="C280" s="22" t="inlineStr">
        <is>
          <t>day</t>
        </is>
      </c>
      <c r="D280" s="23" t="n">
        <v>0.044</v>
      </c>
      <c r="E280" s="24" t="n">
        <v>679</v>
      </c>
      <c r="F280" s="24">
        <f>D280*E280</f>
        <v/>
      </c>
      <c r="G280" s="22" t="n"/>
    </row>
    <row r="281">
      <c r="A281" s="22" t="inlineStr">
        <is>
          <t>0102</t>
        </is>
      </c>
      <c r="B281" s="11" t="inlineStr">
        <is>
          <t>Blacksmith 1st class</t>
        </is>
      </c>
      <c r="C281" s="22" t="inlineStr">
        <is>
          <t>day</t>
        </is>
      </c>
      <c r="D281" s="23" t="n">
        <v>0.006</v>
      </c>
      <c r="E281" s="24" t="n">
        <v>738</v>
      </c>
      <c r="F281" s="24">
        <f>D281*E281</f>
        <v/>
      </c>
      <c r="G281" s="22" t="n"/>
    </row>
    <row r="282">
      <c r="A282" s="22" t="inlineStr">
        <is>
          <t>0114</t>
        </is>
      </c>
      <c r="B282" s="11" t="inlineStr">
        <is>
          <t>Beldar</t>
        </is>
      </c>
      <c r="C282" s="22" t="inlineStr">
        <is>
          <t>day</t>
        </is>
      </c>
      <c r="D282" s="23" t="n">
        <v>0.022</v>
      </c>
      <c r="E282" s="24" t="n">
        <v>558</v>
      </c>
      <c r="F282" s="24">
        <f>D282*E282</f>
        <v/>
      </c>
      <c r="G282" s="22" t="n"/>
    </row>
    <row r="283">
      <c r="A283" s="22" t="inlineStr">
        <is>
          <t>0115</t>
        </is>
      </c>
      <c r="B283" s="11" t="inlineStr">
        <is>
          <t>Coolie</t>
        </is>
      </c>
      <c r="C283" s="22" t="inlineStr">
        <is>
          <t>day</t>
        </is>
      </c>
      <c r="D283" s="23" t="n">
        <v>0.022</v>
      </c>
      <c r="E283" s="24" t="n">
        <v>558</v>
      </c>
      <c r="F283" s="24">
        <f>D283*E283</f>
        <v/>
      </c>
      <c r="G283" s="22" t="n"/>
    </row>
    <row r="284">
      <c r="A284" s="22" t="inlineStr">
        <is>
          <t>0100</t>
        </is>
      </c>
      <c r="B284" s="11" t="inlineStr">
        <is>
          <t>Bandhani</t>
        </is>
      </c>
      <c r="C284" s="22" t="inlineStr">
        <is>
          <t>day</t>
        </is>
      </c>
      <c r="D284" s="23" t="n">
        <v>0.022</v>
      </c>
      <c r="E284" s="24" t="n">
        <v>617</v>
      </c>
      <c r="F284" s="24">
        <f>D284*E284</f>
        <v/>
      </c>
      <c r="G284" s="22" t="n"/>
    </row>
    <row r="285">
      <c r="A285" s="22" t="inlineStr">
        <is>
          <t>0101</t>
        </is>
      </c>
      <c r="B285" s="11" t="inlineStr">
        <is>
          <t>Bhisti</t>
        </is>
      </c>
      <c r="C285" s="22" t="inlineStr">
        <is>
          <t>day</t>
        </is>
      </c>
      <c r="D285" s="23" t="n">
        <v>0.022</v>
      </c>
      <c r="E285" s="24" t="n">
        <v>617</v>
      </c>
      <c r="F285" s="24">
        <f>D285*E285</f>
        <v/>
      </c>
      <c r="G285" s="22" t="n"/>
    </row>
    <row r="286">
      <c r="A286" s="22" t="inlineStr">
        <is>
          <t>9999</t>
        </is>
      </c>
      <c r="B286" s="11" t="inlineStr">
        <is>
          <t>Scaffolding</t>
        </is>
      </c>
      <c r="C286" s="22" t="inlineStr">
        <is>
          <t>L.S.</t>
        </is>
      </c>
      <c r="D286" s="23" t="n">
        <v>2.73</v>
      </c>
      <c r="E286" s="24" t="n">
        <v>2</v>
      </c>
      <c r="F286" s="24">
        <f>D286*E286</f>
        <v/>
      </c>
      <c r="G286" s="22" t="n"/>
    </row>
    <row r="287">
      <c r="A287" s="22" t="inlineStr">
        <is>
          <t>9999</t>
        </is>
      </c>
      <c r="B287" s="11" t="inlineStr">
        <is>
          <t>Mortar for laying and pointing</t>
        </is>
      </c>
      <c r="C287" s="22" t="inlineStr">
        <is>
          <t>L.S.</t>
        </is>
      </c>
      <c r="D287" s="23" t="n">
        <v>8.06</v>
      </c>
      <c r="E287" s="24" t="n">
        <v>2</v>
      </c>
      <c r="F287" s="24">
        <f>D287*E287</f>
        <v/>
      </c>
      <c r="G287" s="22" t="n"/>
    </row>
    <row r="288">
      <c r="A288" s="8" t="inlineStr">
        <is>
          <t>Calculated W - SUM of the Amount column above</t>
        </is>
      </c>
      <c r="B288" s="9" t="n"/>
      <c r="C288" s="9" t="n"/>
      <c r="D288" s="9" t="n"/>
      <c r="E288" s="9" t="n"/>
      <c r="F288" s="25">
        <f>SUM(F272:F287)</f>
        <v/>
      </c>
      <c r="G288" s="9" t="n"/>
    </row>
    <row r="289">
      <c r="A289" s="26" t="inlineStr">
        <is>
          <t>W as printed in the DAR</t>
        </is>
      </c>
      <c r="B289" s="22" t="n"/>
      <c r="C289" s="22" t="n"/>
      <c r="D289" s="22" t="n"/>
      <c r="E289" s="22" t="n"/>
      <c r="F289" s="27" t="n">
        <v>648.39</v>
      </c>
      <c r="G289" s="22" t="n"/>
    </row>
    <row r="290">
      <c r="A290" s="26" t="inlineStr">
        <is>
          <t>Difference (calculated - printed)</t>
        </is>
      </c>
      <c r="B290" s="22" t="n"/>
      <c r="C290" s="22" t="n"/>
      <c r="D290" s="22" t="n"/>
      <c r="E290" s="22" t="n"/>
      <c r="F290" s="27">
        <f>F288-F289</f>
        <v/>
      </c>
      <c r="G290" s="22" t="n"/>
    </row>
    <row r="291">
      <c r="A291" s="29" t="inlineStr">
        <is>
          <t>SAY (Rs.) - final DAR rate as printed (fixed value, not computed)</t>
        </is>
      </c>
      <c r="B291" s="30" t="n"/>
      <c r="C291" s="30" t="n"/>
      <c r="D291" s="30" t="n"/>
      <c r="E291" s="30" t="n"/>
      <c r="F291" s="31" t="n">
        <v>86751</v>
      </c>
      <c r="G291" s="30" t="n"/>
    </row>
    <row r="293" ht="47.5" customHeight="1">
      <c r="A293" s="8" t="inlineStr">
        <is>
          <t>7.13</t>
        </is>
      </c>
      <c r="B293" s="17"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t>
        </is>
      </c>
      <c r="C293" s="9" t="n"/>
      <c r="D293" s="9" t="n"/>
      <c r="E293" s="9" t="n"/>
      <c r="F293" s="9" t="n"/>
      <c r="G293" s="9" t="n"/>
    </row>
    <row r="294" ht="18.5" customHeight="1">
      <c r="A294" s="8" t="inlineStr">
        <is>
          <t>7.13.1</t>
        </is>
      </c>
      <c r="B294" s="17" t="inlineStr">
        <is>
          <t>One face dressed</t>
        </is>
      </c>
      <c r="C294" s="9" t="n"/>
      <c r="D294" s="9" t="n"/>
      <c r="E294" s="9" t="n"/>
      <c r="F294" s="9" t="n"/>
      <c r="G294" s="9" t="n"/>
    </row>
    <row r="295" ht="18.5" customHeight="1">
      <c r="A295" s="18" t="inlineStr">
        <is>
          <t>7.13.1.1</t>
        </is>
      </c>
      <c r="B295" s="19" t="inlineStr">
        <is>
          <t>Red sand stone</t>
        </is>
      </c>
      <c r="C295" s="20" t="n"/>
      <c r="D295" s="20" t="n"/>
      <c r="E295" s="20" t="n"/>
      <c r="F295" s="20" t="n"/>
      <c r="G295" s="20" t="n"/>
    </row>
    <row r="296">
      <c r="A296" s="21" t="inlineStr">
        <is>
          <t>Details of cost for 10 cudm   |   Source: CivilDAR_2019_Vol_1.pdf, page 335</t>
        </is>
      </c>
    </row>
    <row r="297">
      <c r="A297" s="5" t="inlineStr">
        <is>
          <t>Code</t>
        </is>
      </c>
      <c r="B297" s="5" t="inlineStr">
        <is>
          <t>Description</t>
        </is>
      </c>
      <c r="C297" s="5" t="inlineStr">
        <is>
          <t>Unit</t>
        </is>
      </c>
      <c r="D297" s="5" t="inlineStr">
        <is>
          <t>Quantity</t>
        </is>
      </c>
      <c r="E297" s="5" t="inlineStr">
        <is>
          <t>Rate (Rs.)</t>
        </is>
      </c>
      <c r="F297" s="5" t="inlineStr">
        <is>
          <t>Amount (Rs.)</t>
        </is>
      </c>
      <c r="G297" s="5" t="inlineStr">
        <is>
          <t>Note</t>
        </is>
      </c>
    </row>
    <row r="298">
      <c r="A298" s="22" t="inlineStr">
        <is>
          <t>1160</t>
        </is>
      </c>
      <c r="B298" s="11" t="inlineStr">
        <is>
          <t>Red sand stone block</t>
        </is>
      </c>
      <c r="C298" s="22" t="inlineStr">
        <is>
          <t>10 cudm</t>
        </is>
      </c>
      <c r="D298" s="23" t="n">
        <v>1.333</v>
      </c>
      <c r="E298" s="24" t="n">
        <v>79</v>
      </c>
      <c r="F298" s="24">
        <f>D298*E298</f>
        <v/>
      </c>
      <c r="G298" s="22" t="n"/>
    </row>
    <row r="299">
      <c r="A299" s="22" t="inlineStr">
        <is>
          <t>2216</t>
        </is>
      </c>
      <c r="B299" s="11" t="inlineStr">
        <is>
          <t>Carriage of Stone blocks white &amp; red sand stone &amp; kota stone slab</t>
        </is>
      </c>
      <c r="C299" s="22" t="inlineStr">
        <is>
          <t>tonne</t>
        </is>
      </c>
      <c r="D299" s="23" t="n">
        <v>0.031</v>
      </c>
      <c r="E299" s="24" t="n">
        <v>92.23999999999999</v>
      </c>
      <c r="F299" s="24">
        <f>D299*E299</f>
        <v/>
      </c>
      <c r="G299" s="22" t="n"/>
    </row>
    <row r="300">
      <c r="A300" s="22" t="inlineStr">
        <is>
          <t>0125</t>
        </is>
      </c>
      <c r="B300" s="11" t="inlineStr">
        <is>
          <t>Mason (for plain stone work) 2nd class)</t>
        </is>
      </c>
      <c r="C300" s="22" t="inlineStr">
        <is>
          <t>day</t>
        </is>
      </c>
      <c r="D300" s="23" t="n">
        <v>0.08799999999999999</v>
      </c>
      <c r="E300" s="24" t="n">
        <v>679</v>
      </c>
      <c r="F300" s="24">
        <f>D300*E300</f>
        <v/>
      </c>
      <c r="G300" s="22" t="n"/>
    </row>
    <row r="301">
      <c r="A301" s="22" t="inlineStr">
        <is>
          <t>0102</t>
        </is>
      </c>
      <c r="B301" s="11" t="inlineStr">
        <is>
          <t>Blacksmith 1st class</t>
        </is>
      </c>
      <c r="C301" s="22" t="inlineStr">
        <is>
          <t>day</t>
        </is>
      </c>
      <c r="D301" s="23" t="n">
        <v>0.006</v>
      </c>
      <c r="E301" s="24" t="n">
        <v>738</v>
      </c>
      <c r="F301" s="24">
        <f>D301*E301</f>
        <v/>
      </c>
      <c r="G301" s="22" t="n"/>
    </row>
    <row r="302">
      <c r="A302" s="22" t="inlineStr">
        <is>
          <t>0114</t>
        </is>
      </c>
      <c r="B302" s="11" t="inlineStr">
        <is>
          <t>Beldar</t>
        </is>
      </c>
      <c r="C302" s="22" t="inlineStr">
        <is>
          <t>day</t>
        </is>
      </c>
      <c r="D302" s="23" t="n">
        <v>0.044</v>
      </c>
      <c r="E302" s="24" t="n">
        <v>558</v>
      </c>
      <c r="F302" s="24">
        <f>D302*E302</f>
        <v/>
      </c>
      <c r="G302" s="22" t="n"/>
    </row>
    <row r="303">
      <c r="A303" s="22" t="inlineStr">
        <is>
          <t>0115</t>
        </is>
      </c>
      <c r="B303" s="11" t="inlineStr">
        <is>
          <t>Coolie</t>
        </is>
      </c>
      <c r="C303" s="22" t="inlineStr">
        <is>
          <t>day</t>
        </is>
      </c>
      <c r="D303" s="23" t="n">
        <v>0.022</v>
      </c>
      <c r="E303" s="24" t="n">
        <v>558</v>
      </c>
      <c r="F303" s="24">
        <f>D303*E303</f>
        <v/>
      </c>
      <c r="G303" s="22" t="n"/>
    </row>
    <row r="304">
      <c r="A304" s="22" t="inlineStr">
        <is>
          <t>0100</t>
        </is>
      </c>
      <c r="B304" s="11" t="inlineStr">
        <is>
          <t>Bandhani</t>
        </is>
      </c>
      <c r="C304" s="22" t="inlineStr">
        <is>
          <t>day</t>
        </is>
      </c>
      <c r="D304" s="23" t="n">
        <v>0.044</v>
      </c>
      <c r="E304" s="24" t="n">
        <v>617</v>
      </c>
      <c r="F304" s="24">
        <f>D304*E304</f>
        <v/>
      </c>
      <c r="G304" s="22" t="n"/>
    </row>
    <row r="305">
      <c r="A305" s="22" t="inlineStr">
        <is>
          <t>0125</t>
        </is>
      </c>
      <c r="B305" s="11" t="inlineStr">
        <is>
          <t>Mason (for plain stone work) 2nd class)</t>
        </is>
      </c>
      <c r="C305" s="22" t="inlineStr">
        <is>
          <t>day</t>
        </is>
      </c>
      <c r="D305" s="23" t="n">
        <v>0.044</v>
      </c>
      <c r="E305" s="24" t="n">
        <v>679</v>
      </c>
      <c r="F305" s="24">
        <f>D305*E305</f>
        <v/>
      </c>
      <c r="G305" s="22" t="n"/>
    </row>
    <row r="306">
      <c r="A306" s="22" t="inlineStr">
        <is>
          <t>0102</t>
        </is>
      </c>
      <c r="B306" s="11" t="inlineStr">
        <is>
          <t>Blacksmith 1st class</t>
        </is>
      </c>
      <c r="C306" s="22" t="inlineStr">
        <is>
          <t>day</t>
        </is>
      </c>
      <c r="D306" s="23" t="n">
        <v>0.006</v>
      </c>
      <c r="E306" s="24" t="n">
        <v>738</v>
      </c>
      <c r="F306" s="24">
        <f>D306*E306</f>
        <v/>
      </c>
      <c r="G306" s="22" t="n"/>
    </row>
    <row r="307">
      <c r="A307" s="22" t="inlineStr">
        <is>
          <t>0114</t>
        </is>
      </c>
      <c r="B307" s="11" t="inlineStr">
        <is>
          <t>Beldar</t>
        </is>
      </c>
      <c r="C307" s="22" t="inlineStr">
        <is>
          <t>day</t>
        </is>
      </c>
      <c r="D307" s="23" t="n">
        <v>0.022</v>
      </c>
      <c r="E307" s="24" t="n">
        <v>558</v>
      </c>
      <c r="F307" s="24">
        <f>D307*E307</f>
        <v/>
      </c>
      <c r="G307" s="22" t="n"/>
    </row>
    <row r="308">
      <c r="A308" s="22" t="inlineStr">
        <is>
          <t>0115</t>
        </is>
      </c>
      <c r="B308" s="11" t="inlineStr">
        <is>
          <t>Coolie</t>
        </is>
      </c>
      <c r="C308" s="22" t="inlineStr">
        <is>
          <t>day</t>
        </is>
      </c>
      <c r="D308" s="23" t="n">
        <v>0.022</v>
      </c>
      <c r="E308" s="24" t="n">
        <v>558</v>
      </c>
      <c r="F308" s="24">
        <f>D308*E308</f>
        <v/>
      </c>
      <c r="G308" s="22" t="n"/>
    </row>
    <row r="309">
      <c r="A309" s="22" t="inlineStr">
        <is>
          <t>0100</t>
        </is>
      </c>
      <c r="B309" s="11" t="inlineStr">
        <is>
          <t>Bandhani</t>
        </is>
      </c>
      <c r="C309" s="22" t="inlineStr">
        <is>
          <t>day</t>
        </is>
      </c>
      <c r="D309" s="23" t="n">
        <v>0.022</v>
      </c>
      <c r="E309" s="24" t="n">
        <v>617</v>
      </c>
      <c r="F309" s="24">
        <f>D309*E309</f>
        <v/>
      </c>
      <c r="G309" s="22" t="n"/>
    </row>
    <row r="310">
      <c r="A310" s="22" t="inlineStr">
        <is>
          <t>0101</t>
        </is>
      </c>
      <c r="B310" s="11" t="inlineStr">
        <is>
          <t>Bhisti</t>
        </is>
      </c>
      <c r="C310" s="22" t="inlineStr">
        <is>
          <t>day</t>
        </is>
      </c>
      <c r="D310" s="23" t="n">
        <v>0.022</v>
      </c>
      <c r="E310" s="24" t="n">
        <v>617</v>
      </c>
      <c r="F310" s="24">
        <f>D310*E310</f>
        <v/>
      </c>
      <c r="G310" s="22" t="n"/>
    </row>
    <row r="311">
      <c r="A311" s="22" t="inlineStr">
        <is>
          <t>9999</t>
        </is>
      </c>
      <c r="B311" s="11" t="inlineStr">
        <is>
          <t>Scaffolding</t>
        </is>
      </c>
      <c r="C311" s="22" t="inlineStr">
        <is>
          <t>L.S.</t>
        </is>
      </c>
      <c r="D311" s="23" t="n">
        <v>2.73</v>
      </c>
      <c r="E311" s="24" t="n">
        <v>2</v>
      </c>
      <c r="F311" s="24">
        <f>D311*E311</f>
        <v/>
      </c>
      <c r="G311" s="22" t="n"/>
    </row>
    <row r="312">
      <c r="A312" s="22" t="inlineStr">
        <is>
          <t>9999</t>
        </is>
      </c>
      <c r="B312" s="11" t="inlineStr">
        <is>
          <t>Mortar for laying and pointing</t>
        </is>
      </c>
      <c r="C312" s="22" t="inlineStr">
        <is>
          <t>L.S.</t>
        </is>
      </c>
      <c r="D312" s="23" t="n">
        <v>8.06</v>
      </c>
      <c r="E312" s="24" t="n">
        <v>2</v>
      </c>
      <c r="F312" s="24">
        <f>D312*E312</f>
        <v/>
      </c>
      <c r="G312" s="22" t="n"/>
    </row>
    <row r="313">
      <c r="A313" s="22" t="inlineStr">
        <is>
          <t>9999</t>
        </is>
      </c>
      <c r="B313" s="11" t="inlineStr">
        <is>
          <t>Centering and shuttering</t>
        </is>
      </c>
      <c r="C313" s="22" t="inlineStr">
        <is>
          <t>L.S.</t>
        </is>
      </c>
      <c r="D313" s="23" t="n">
        <v>13.52</v>
      </c>
      <c r="E313" s="24" t="n">
        <v>2</v>
      </c>
      <c r="F313" s="24">
        <f>D313*E313</f>
        <v/>
      </c>
      <c r="G313" s="22" t="n"/>
    </row>
    <row r="314">
      <c r="A314" s="22" t="inlineStr">
        <is>
          <t>9999</t>
        </is>
      </c>
      <c r="B314" s="11" t="inlineStr">
        <is>
          <t>Extra for using white cement</t>
        </is>
      </c>
      <c r="C314" s="22" t="inlineStr">
        <is>
          <t>L.S.</t>
        </is>
      </c>
      <c r="D314" s="23" t="n">
        <v>8.06</v>
      </c>
      <c r="E314" s="24" t="n">
        <v>2</v>
      </c>
      <c r="F314" s="24">
        <f>D314*E314</f>
        <v/>
      </c>
      <c r="G314" s="22" t="n"/>
    </row>
    <row r="315">
      <c r="A315" s="22" t="inlineStr">
        <is>
          <t>0115</t>
        </is>
      </c>
      <c r="B315" s="11" t="inlineStr">
        <is>
          <t>Coolie</t>
        </is>
      </c>
      <c r="C315" s="22" t="inlineStr">
        <is>
          <t>day</t>
        </is>
      </c>
      <c r="D315" s="23" t="n">
        <v>0.015</v>
      </c>
      <c r="E315" s="24" t="n">
        <v>558</v>
      </c>
      <c r="F315" s="24">
        <f>D315*E315</f>
        <v/>
      </c>
      <c r="G315" s="22" t="n"/>
    </row>
    <row r="316">
      <c r="A316" s="8" t="inlineStr">
        <is>
          <t>Calculated W - SUM of the Amount column above</t>
        </is>
      </c>
      <c r="B316" s="9" t="n"/>
      <c r="C316" s="9" t="n"/>
      <c r="D316" s="9" t="n"/>
      <c r="E316" s="9" t="n"/>
      <c r="F316" s="25">
        <f>SUM(F298:F315)</f>
        <v/>
      </c>
      <c r="G316" s="9" t="n"/>
    </row>
    <row r="317">
      <c r="A317" s="26" t="inlineStr">
        <is>
          <t>W as printed in the DAR</t>
        </is>
      </c>
      <c r="B317" s="22" t="n"/>
      <c r="C317" s="22" t="n"/>
      <c r="D317" s="22" t="n"/>
      <c r="E317" s="22" t="n"/>
      <c r="F317" s="27" t="n">
        <v>395.44</v>
      </c>
      <c r="G317" s="22" t="n"/>
    </row>
    <row r="318">
      <c r="A318" s="26" t="inlineStr">
        <is>
          <t>Difference (calculated - printed)</t>
        </is>
      </c>
      <c r="B318" s="22" t="n"/>
      <c r="C318" s="22" t="n"/>
      <c r="D318" s="22" t="n"/>
      <c r="E318" s="22" t="n"/>
      <c r="F318" s="27">
        <f>F316-F317</f>
        <v/>
      </c>
      <c r="G318" s="22" t="n"/>
    </row>
    <row r="319">
      <c r="A319" s="29" t="inlineStr">
        <is>
          <t>SAY (Rs.) - final DAR rate as printed (fixed value, not computed)</t>
        </is>
      </c>
      <c r="B319" s="30" t="n"/>
      <c r="C319" s="30" t="n"/>
      <c r="D319" s="30" t="n"/>
      <c r="E319" s="30" t="n"/>
      <c r="F319" s="31" t="n">
        <v>52907</v>
      </c>
      <c r="G319" s="30" t="n"/>
    </row>
    <row r="321" ht="47.5" customHeight="1">
      <c r="A321" s="8" t="inlineStr">
        <is>
          <t>7.13</t>
        </is>
      </c>
      <c r="B321" s="17"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t>
        </is>
      </c>
      <c r="C321" s="9" t="n"/>
      <c r="D321" s="9" t="n"/>
      <c r="E321" s="9" t="n"/>
      <c r="F321" s="9" t="n"/>
      <c r="G321" s="9" t="n"/>
    </row>
    <row r="322" ht="18.5" customHeight="1">
      <c r="A322" s="8" t="inlineStr">
        <is>
          <t>7.13.1</t>
        </is>
      </c>
      <c r="B322" s="17" t="inlineStr">
        <is>
          <t>One face dressed</t>
        </is>
      </c>
      <c r="C322" s="9" t="n"/>
      <c r="D322" s="9" t="n"/>
      <c r="E322" s="9" t="n"/>
      <c r="F322" s="9" t="n"/>
      <c r="G322" s="9" t="n"/>
    </row>
    <row r="323" ht="18.5" customHeight="1">
      <c r="A323" s="18" t="inlineStr">
        <is>
          <t>7.13.1.2</t>
        </is>
      </c>
      <c r="B323" s="19" t="inlineStr">
        <is>
          <t>White sand stone</t>
        </is>
      </c>
      <c r="C323" s="20" t="n"/>
      <c r="D323" s="20" t="n"/>
      <c r="E323" s="20" t="n"/>
      <c r="F323" s="20" t="n"/>
      <c r="G323" s="20" t="n"/>
    </row>
    <row r="324">
      <c r="A324" s="21" t="inlineStr">
        <is>
          <t>Details of cost for 10 cudm   |   Source: CivilDAR_2019_Vol_1.pdf, page 336</t>
        </is>
      </c>
    </row>
    <row r="325">
      <c r="A325" s="5" t="inlineStr">
        <is>
          <t>Code</t>
        </is>
      </c>
      <c r="B325" s="5" t="inlineStr">
        <is>
          <t>Description</t>
        </is>
      </c>
      <c r="C325" s="5" t="inlineStr">
        <is>
          <t>Unit</t>
        </is>
      </c>
      <c r="D325" s="5" t="inlineStr">
        <is>
          <t>Quantity</t>
        </is>
      </c>
      <c r="E325" s="5" t="inlineStr">
        <is>
          <t>Rate (Rs.)</t>
        </is>
      </c>
      <c r="F325" s="5" t="inlineStr">
        <is>
          <t>Amount (Rs.)</t>
        </is>
      </c>
      <c r="G325" s="5" t="inlineStr">
        <is>
          <t>Note</t>
        </is>
      </c>
    </row>
    <row r="326">
      <c r="A326" s="22" t="inlineStr">
        <is>
          <t>1161</t>
        </is>
      </c>
      <c r="B326" s="11" t="inlineStr">
        <is>
          <t>White sand stone block</t>
        </is>
      </c>
      <c r="C326" s="22" t="inlineStr">
        <is>
          <t>10 cudm</t>
        </is>
      </c>
      <c r="D326" s="23" t="n">
        <v>1.333</v>
      </c>
      <c r="E326" s="24" t="n">
        <v>205</v>
      </c>
      <c r="F326" s="24">
        <f>D326*E326</f>
        <v/>
      </c>
      <c r="G326" s="22" t="n"/>
    </row>
    <row r="327">
      <c r="A327" s="22" t="inlineStr">
        <is>
          <t>2216</t>
        </is>
      </c>
      <c r="B327" s="11" t="inlineStr">
        <is>
          <t>Carriage of Stone blocks white &amp; red sand stone &amp; kota stone slab</t>
        </is>
      </c>
      <c r="C327" s="22" t="inlineStr">
        <is>
          <t>tonne</t>
        </is>
      </c>
      <c r="D327" s="23" t="n">
        <v>0.031</v>
      </c>
      <c r="E327" s="24" t="n">
        <v>92.23999999999999</v>
      </c>
      <c r="F327" s="24">
        <f>D327*E327</f>
        <v/>
      </c>
      <c r="G327" s="22" t="n"/>
    </row>
    <row r="328">
      <c r="A328" s="22" t="inlineStr">
        <is>
          <t>0125</t>
        </is>
      </c>
      <c r="B328" s="11" t="inlineStr">
        <is>
          <t>Mason (for plain stone work) 2nd class)</t>
        </is>
      </c>
      <c r="C328" s="22" t="inlineStr">
        <is>
          <t>day</t>
        </is>
      </c>
      <c r="D328" s="23" t="n">
        <v>0.08799999999999999</v>
      </c>
      <c r="E328" s="24" t="n">
        <v>679</v>
      </c>
      <c r="F328" s="24">
        <f>D328*E328</f>
        <v/>
      </c>
      <c r="G328" s="22" t="n"/>
    </row>
    <row r="329">
      <c r="A329" s="22" t="inlineStr">
        <is>
          <t>0102</t>
        </is>
      </c>
      <c r="B329" s="11" t="inlineStr">
        <is>
          <t>Blacksmith 1st class</t>
        </is>
      </c>
      <c r="C329" s="22" t="inlineStr">
        <is>
          <t>day</t>
        </is>
      </c>
      <c r="D329" s="23" t="n">
        <v>0.006</v>
      </c>
      <c r="E329" s="24" t="n">
        <v>738</v>
      </c>
      <c r="F329" s="24">
        <f>D329*E329</f>
        <v/>
      </c>
      <c r="G329" s="22" t="n"/>
    </row>
    <row r="330">
      <c r="A330" s="22" t="inlineStr">
        <is>
          <t>0114</t>
        </is>
      </c>
      <c r="B330" s="11" t="inlineStr">
        <is>
          <t>Beldar</t>
        </is>
      </c>
      <c r="C330" s="22" t="inlineStr">
        <is>
          <t>day</t>
        </is>
      </c>
      <c r="D330" s="23" t="n">
        <v>0.044</v>
      </c>
      <c r="E330" s="24" t="n">
        <v>558</v>
      </c>
      <c r="F330" s="24">
        <f>D330*E330</f>
        <v/>
      </c>
      <c r="G330" s="22" t="n"/>
    </row>
    <row r="331">
      <c r="A331" s="22" t="inlineStr">
        <is>
          <t>0115</t>
        </is>
      </c>
      <c r="B331" s="11" t="inlineStr">
        <is>
          <t>Coolie</t>
        </is>
      </c>
      <c r="C331" s="22" t="inlineStr">
        <is>
          <t>day</t>
        </is>
      </c>
      <c r="D331" s="23" t="n">
        <v>0.022</v>
      </c>
      <c r="E331" s="24" t="n">
        <v>558</v>
      </c>
      <c r="F331" s="24">
        <f>D331*E331</f>
        <v/>
      </c>
      <c r="G331" s="22" t="n"/>
    </row>
    <row r="332">
      <c r="A332" s="22" t="inlineStr">
        <is>
          <t>0100</t>
        </is>
      </c>
      <c r="B332" s="11" t="inlineStr">
        <is>
          <t>Bandhani</t>
        </is>
      </c>
      <c r="C332" s="22" t="inlineStr">
        <is>
          <t>day</t>
        </is>
      </c>
      <c r="D332" s="23" t="n">
        <v>0.044</v>
      </c>
      <c r="E332" s="24" t="n">
        <v>617</v>
      </c>
      <c r="F332" s="24">
        <f>D332*E332</f>
        <v/>
      </c>
      <c r="G332" s="22" t="n"/>
    </row>
    <row r="333">
      <c r="A333" s="22" t="inlineStr">
        <is>
          <t>0125</t>
        </is>
      </c>
      <c r="B333" s="11" t="inlineStr">
        <is>
          <t>Mason (for plain stone work) 2nd class)</t>
        </is>
      </c>
      <c r="C333" s="22" t="inlineStr">
        <is>
          <t>day</t>
        </is>
      </c>
      <c r="D333" s="23" t="n">
        <v>0.044</v>
      </c>
      <c r="E333" s="24" t="n">
        <v>679</v>
      </c>
      <c r="F333" s="24">
        <f>D333*E333</f>
        <v/>
      </c>
      <c r="G333" s="22" t="n"/>
    </row>
    <row r="334">
      <c r="A334" s="22" t="inlineStr">
        <is>
          <t>0102</t>
        </is>
      </c>
      <c r="B334" s="11" t="inlineStr">
        <is>
          <t>Blacksmith 1st class</t>
        </is>
      </c>
      <c r="C334" s="22" t="inlineStr">
        <is>
          <t>day</t>
        </is>
      </c>
      <c r="D334" s="23" t="n">
        <v>0.006</v>
      </c>
      <c r="E334" s="24" t="n">
        <v>738</v>
      </c>
      <c r="F334" s="24">
        <f>D334*E334</f>
        <v/>
      </c>
      <c r="G334" s="22" t="n"/>
    </row>
    <row r="335">
      <c r="A335" s="22" t="inlineStr">
        <is>
          <t>0114</t>
        </is>
      </c>
      <c r="B335" s="11" t="inlineStr">
        <is>
          <t>Beldar</t>
        </is>
      </c>
      <c r="C335" s="22" t="inlineStr">
        <is>
          <t>day</t>
        </is>
      </c>
      <c r="D335" s="23" t="n">
        <v>0.022</v>
      </c>
      <c r="E335" s="24" t="n">
        <v>558</v>
      </c>
      <c r="F335" s="24">
        <f>D335*E335</f>
        <v/>
      </c>
      <c r="G335" s="22" t="n"/>
    </row>
    <row r="336">
      <c r="A336" s="22" t="inlineStr">
        <is>
          <t>0115</t>
        </is>
      </c>
      <c r="B336" s="11" t="inlineStr">
        <is>
          <t>Coolie</t>
        </is>
      </c>
      <c r="C336" s="22" t="inlineStr">
        <is>
          <t>day</t>
        </is>
      </c>
      <c r="D336" s="23" t="n">
        <v>0.022</v>
      </c>
      <c r="E336" s="24" t="n">
        <v>558</v>
      </c>
      <c r="F336" s="24">
        <f>D336*E336</f>
        <v/>
      </c>
      <c r="G336" s="22" t="n"/>
    </row>
    <row r="337">
      <c r="A337" s="22" t="inlineStr">
        <is>
          <t>0100</t>
        </is>
      </c>
      <c r="B337" s="11" t="inlineStr">
        <is>
          <t>Bandhani</t>
        </is>
      </c>
      <c r="C337" s="22" t="inlineStr">
        <is>
          <t>day</t>
        </is>
      </c>
      <c r="D337" s="23" t="n">
        <v>0.022</v>
      </c>
      <c r="E337" s="24" t="n">
        <v>617</v>
      </c>
      <c r="F337" s="24">
        <f>D337*E337</f>
        <v/>
      </c>
      <c r="G337" s="22" t="n"/>
    </row>
    <row r="338">
      <c r="A338" s="22" t="inlineStr">
        <is>
          <t>0101</t>
        </is>
      </c>
      <c r="B338" s="11" t="inlineStr">
        <is>
          <t>Bhisti</t>
        </is>
      </c>
      <c r="C338" s="22" t="inlineStr">
        <is>
          <t>day</t>
        </is>
      </c>
      <c r="D338" s="23" t="n">
        <v>0.022</v>
      </c>
      <c r="E338" s="24" t="n">
        <v>617</v>
      </c>
      <c r="F338" s="24">
        <f>D338*E338</f>
        <v/>
      </c>
      <c r="G338" s="22" t="n"/>
    </row>
    <row r="339">
      <c r="A339" s="22" t="inlineStr">
        <is>
          <t>9999</t>
        </is>
      </c>
      <c r="B339" s="11" t="inlineStr">
        <is>
          <t>Scaffolding</t>
        </is>
      </c>
      <c r="C339" s="22" t="inlineStr">
        <is>
          <t>L.S.</t>
        </is>
      </c>
      <c r="D339" s="23" t="n">
        <v>2.73</v>
      </c>
      <c r="E339" s="24" t="n">
        <v>2</v>
      </c>
      <c r="F339" s="24">
        <f>D339*E339</f>
        <v/>
      </c>
      <c r="G339" s="22" t="n"/>
    </row>
    <row r="340">
      <c r="A340" s="22" t="inlineStr">
        <is>
          <t>9999</t>
        </is>
      </c>
      <c r="B340" s="11" t="inlineStr">
        <is>
          <t>Mortar for laying and pointing</t>
        </is>
      </c>
      <c r="C340" s="22" t="inlineStr">
        <is>
          <t>L.S.</t>
        </is>
      </c>
      <c r="D340" s="23" t="n">
        <v>8.06</v>
      </c>
      <c r="E340" s="24" t="n">
        <v>2</v>
      </c>
      <c r="F340" s="24">
        <f>D340*E340</f>
        <v/>
      </c>
      <c r="G340" s="22" t="n"/>
    </row>
    <row r="341">
      <c r="A341" s="22" t="inlineStr">
        <is>
          <t>9999</t>
        </is>
      </c>
      <c r="B341" s="11" t="inlineStr">
        <is>
          <t>Centering and shuttering</t>
        </is>
      </c>
      <c r="C341" s="22" t="inlineStr">
        <is>
          <t>L.S.</t>
        </is>
      </c>
      <c r="D341" s="23" t="n">
        <v>13.52</v>
      </c>
      <c r="E341" s="24" t="n">
        <v>2</v>
      </c>
      <c r="F341" s="24">
        <f>D341*E341</f>
        <v/>
      </c>
      <c r="G341" s="22" t="n"/>
    </row>
    <row r="342">
      <c r="A342" s="22" t="inlineStr">
        <is>
          <t>9999</t>
        </is>
      </c>
      <c r="B342" s="11" t="inlineStr">
        <is>
          <t>Extra for using white cement</t>
        </is>
      </c>
      <c r="C342" s="22" t="inlineStr">
        <is>
          <t>L.S.</t>
        </is>
      </c>
      <c r="D342" s="23" t="n">
        <v>8.06</v>
      </c>
      <c r="E342" s="24" t="n">
        <v>2</v>
      </c>
      <c r="F342" s="24">
        <f>D342*E342</f>
        <v/>
      </c>
      <c r="G342" s="22" t="n"/>
    </row>
    <row r="343">
      <c r="A343" s="22" t="inlineStr">
        <is>
          <t>0115</t>
        </is>
      </c>
      <c r="B343" s="11" t="inlineStr">
        <is>
          <t>Coolie</t>
        </is>
      </c>
      <c r="C343" s="22" t="inlineStr">
        <is>
          <t>day</t>
        </is>
      </c>
      <c r="D343" s="23" t="n">
        <v>0.015</v>
      </c>
      <c r="E343" s="24" t="n">
        <v>558</v>
      </c>
      <c r="F343" s="24">
        <f>D343*E343</f>
        <v/>
      </c>
      <c r="G343" s="22" t="n"/>
    </row>
    <row r="344">
      <c r="A344" s="8" t="inlineStr">
        <is>
          <t>Calculated W - SUM of the Amount column above</t>
        </is>
      </c>
      <c r="B344" s="9" t="n"/>
      <c r="C344" s="9" t="n"/>
      <c r="D344" s="9" t="n"/>
      <c r="E344" s="9" t="n"/>
      <c r="F344" s="25">
        <f>SUM(F326:F343)</f>
        <v/>
      </c>
      <c r="G344" s="9" t="n"/>
    </row>
    <row r="345">
      <c r="A345" s="26" t="inlineStr">
        <is>
          <t>W as printed in the DAR</t>
        </is>
      </c>
      <c r="B345" s="22" t="n"/>
      <c r="C345" s="22" t="n"/>
      <c r="D345" s="22" t="n"/>
      <c r="E345" s="22" t="n"/>
      <c r="F345" s="27" t="n">
        <v>563.39</v>
      </c>
      <c r="G345" s="22" t="n"/>
    </row>
    <row r="346">
      <c r="A346" s="26" t="inlineStr">
        <is>
          <t>Difference (calculated - printed)</t>
        </is>
      </c>
      <c r="B346" s="22" t="n"/>
      <c r="C346" s="22" t="n"/>
      <c r="D346" s="22" t="n"/>
      <c r="E346" s="22" t="n"/>
      <c r="F346" s="27">
        <f>F344-F345</f>
        <v/>
      </c>
      <c r="G346" s="22" t="n"/>
    </row>
    <row r="347">
      <c r="A347" s="29" t="inlineStr">
        <is>
          <t>SAY (Rs.) - final DAR rate as printed (fixed value, not computed)</t>
        </is>
      </c>
      <c r="B347" s="30" t="n"/>
      <c r="C347" s="30" t="n"/>
      <c r="D347" s="30" t="n"/>
      <c r="E347" s="30" t="n"/>
      <c r="F347" s="31" t="n">
        <v>75379</v>
      </c>
      <c r="G347" s="30" t="n"/>
    </row>
    <row r="349" ht="47.5" customHeight="1">
      <c r="A349" s="8" t="inlineStr">
        <is>
          <t>7.13</t>
        </is>
      </c>
      <c r="B349" s="17"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t>
        </is>
      </c>
      <c r="C349" s="9" t="n"/>
      <c r="D349" s="9" t="n"/>
      <c r="E349" s="9" t="n"/>
      <c r="F349" s="9" t="n"/>
      <c r="G349" s="9" t="n"/>
    </row>
    <row r="350" ht="18.5" customHeight="1">
      <c r="A350" s="8" t="inlineStr">
        <is>
          <t>7.13.2</t>
        </is>
      </c>
      <c r="B350" s="17" t="inlineStr">
        <is>
          <t>Both face dressed</t>
        </is>
      </c>
      <c r="C350" s="9" t="n"/>
      <c r="D350" s="9" t="n"/>
      <c r="E350" s="9" t="n"/>
      <c r="F350" s="9" t="n"/>
      <c r="G350" s="9" t="n"/>
    </row>
    <row r="351" ht="18.5" customHeight="1">
      <c r="A351" s="18" t="inlineStr">
        <is>
          <t>7.13.2.1</t>
        </is>
      </c>
      <c r="B351" s="19" t="inlineStr">
        <is>
          <t>Red sand stone</t>
        </is>
      </c>
      <c r="C351" s="20" t="n"/>
      <c r="D351" s="20" t="n"/>
      <c r="E351" s="20" t="n"/>
      <c r="F351" s="20" t="n"/>
      <c r="G351" s="20" t="n"/>
    </row>
    <row r="352">
      <c r="A352" s="21" t="inlineStr">
        <is>
          <t>Details of cost for 10 cudm   |   Source: CivilDAR_2019_Vol_1.pdf, page 337</t>
        </is>
      </c>
    </row>
    <row r="353">
      <c r="A353" s="5" t="inlineStr">
        <is>
          <t>Code</t>
        </is>
      </c>
      <c r="B353" s="5" t="inlineStr">
        <is>
          <t>Description</t>
        </is>
      </c>
      <c r="C353" s="5" t="inlineStr">
        <is>
          <t>Unit</t>
        </is>
      </c>
      <c r="D353" s="5" t="inlineStr">
        <is>
          <t>Quantity</t>
        </is>
      </c>
      <c r="E353" s="5" t="inlineStr">
        <is>
          <t>Rate (Rs.)</t>
        </is>
      </c>
      <c r="F353" s="5" t="inlineStr">
        <is>
          <t>Amount (Rs.)</t>
        </is>
      </c>
      <c r="G353" s="5" t="inlineStr">
        <is>
          <t>Note</t>
        </is>
      </c>
    </row>
    <row r="354">
      <c r="A354" s="22" t="inlineStr">
        <is>
          <t>1160</t>
        </is>
      </c>
      <c r="B354" s="11" t="inlineStr">
        <is>
          <t>Red sand stone block</t>
        </is>
      </c>
      <c r="C354" s="22" t="inlineStr">
        <is>
          <t>10 cudm</t>
        </is>
      </c>
      <c r="D354" s="23" t="n">
        <v>1.333</v>
      </c>
      <c r="E354" s="24" t="n">
        <v>79</v>
      </c>
      <c r="F354" s="24">
        <f>D354*E354</f>
        <v/>
      </c>
      <c r="G354" s="22" t="n"/>
    </row>
    <row r="355">
      <c r="A355" s="22" t="inlineStr">
        <is>
          <t>2216</t>
        </is>
      </c>
      <c r="B355" s="11" t="inlineStr">
        <is>
          <t>Carriage of Stone blocks white &amp; red sand stone &amp; kota stone slab</t>
        </is>
      </c>
      <c r="C355" s="22" t="inlineStr">
        <is>
          <t>tonne</t>
        </is>
      </c>
      <c r="D355" s="23" t="n">
        <v>0.031</v>
      </c>
      <c r="E355" s="24" t="n">
        <v>92.23999999999999</v>
      </c>
      <c r="F355" s="24">
        <f>D355*E355</f>
        <v/>
      </c>
      <c r="G355" s="22" t="n"/>
    </row>
    <row r="356">
      <c r="A356" s="22" t="inlineStr">
        <is>
          <t>0125</t>
        </is>
      </c>
      <c r="B356" s="11" t="inlineStr">
        <is>
          <t>Mason (for plain stone work) 2nd class)</t>
        </is>
      </c>
      <c r="C356" s="22" t="inlineStr">
        <is>
          <t>day</t>
        </is>
      </c>
      <c r="D356" s="23" t="n">
        <v>0.176</v>
      </c>
      <c r="E356" s="24" t="n">
        <v>679</v>
      </c>
      <c r="F356" s="24">
        <f>D356*E356</f>
        <v/>
      </c>
      <c r="G356" s="22" t="n"/>
    </row>
    <row r="357">
      <c r="A357" s="22" t="inlineStr">
        <is>
          <t>0102</t>
        </is>
      </c>
      <c r="B357" s="11" t="inlineStr">
        <is>
          <t>Blacksmith 1st class</t>
        </is>
      </c>
      <c r="C357" s="22" t="inlineStr">
        <is>
          <t>day</t>
        </is>
      </c>
      <c r="D357" s="23" t="n">
        <v>0.012</v>
      </c>
      <c r="E357" s="24" t="n">
        <v>738</v>
      </c>
      <c r="F357" s="24">
        <f>D357*E357</f>
        <v/>
      </c>
      <c r="G357" s="22" t="n"/>
    </row>
    <row r="358">
      <c r="A358" s="22" t="inlineStr">
        <is>
          <t>0114</t>
        </is>
      </c>
      <c r="B358" s="11" t="inlineStr">
        <is>
          <t>Beldar</t>
        </is>
      </c>
      <c r="C358" s="22" t="inlineStr">
        <is>
          <t>day</t>
        </is>
      </c>
      <c r="D358" s="23" t="n">
        <v>0.08799999999999999</v>
      </c>
      <c r="E358" s="24" t="n">
        <v>558</v>
      </c>
      <c r="F358" s="24">
        <f>D358*E358</f>
        <v/>
      </c>
      <c r="G358" s="22" t="n"/>
    </row>
    <row r="359">
      <c r="A359" s="22" t="inlineStr">
        <is>
          <t>0115</t>
        </is>
      </c>
      <c r="B359" s="11" t="inlineStr">
        <is>
          <t>Coolie</t>
        </is>
      </c>
      <c r="C359" s="22" t="inlineStr">
        <is>
          <t>day</t>
        </is>
      </c>
      <c r="D359" s="23" t="n">
        <v>0.044</v>
      </c>
      <c r="E359" s="24" t="n">
        <v>558</v>
      </c>
      <c r="F359" s="24">
        <f>D359*E359</f>
        <v/>
      </c>
      <c r="G359" s="22" t="n"/>
    </row>
    <row r="360">
      <c r="A360" s="22" t="inlineStr">
        <is>
          <t>0100</t>
        </is>
      </c>
      <c r="B360" s="11" t="inlineStr">
        <is>
          <t>Bandhani</t>
        </is>
      </c>
      <c r="C360" s="22" t="inlineStr">
        <is>
          <t>day</t>
        </is>
      </c>
      <c r="D360" s="23" t="n">
        <v>0.08799999999999999</v>
      </c>
      <c r="E360" s="24" t="n">
        <v>617</v>
      </c>
      <c r="F360" s="24">
        <f>D360*E360</f>
        <v/>
      </c>
      <c r="G360" s="22" t="n"/>
    </row>
    <row r="361">
      <c r="A361" s="22" t="inlineStr">
        <is>
          <t>0125</t>
        </is>
      </c>
      <c r="B361" s="11" t="inlineStr">
        <is>
          <t>Mason (for plain stone work) 2nd class)</t>
        </is>
      </c>
      <c r="C361" s="22" t="inlineStr">
        <is>
          <t>day</t>
        </is>
      </c>
      <c r="D361" s="23" t="n">
        <v>0.044</v>
      </c>
      <c r="E361" s="24" t="n">
        <v>679</v>
      </c>
      <c r="F361" s="24">
        <f>D361*E361</f>
        <v/>
      </c>
      <c r="G361" s="22" t="n"/>
    </row>
    <row r="362">
      <c r="A362" s="22" t="inlineStr">
        <is>
          <t>0102</t>
        </is>
      </c>
      <c r="B362" s="11" t="inlineStr">
        <is>
          <t>Blacksmith 1st class</t>
        </is>
      </c>
      <c r="C362" s="22" t="inlineStr">
        <is>
          <t>day</t>
        </is>
      </c>
      <c r="D362" s="23" t="n">
        <v>0.006</v>
      </c>
      <c r="E362" s="24" t="n">
        <v>738</v>
      </c>
      <c r="F362" s="24">
        <f>D362*E362</f>
        <v/>
      </c>
      <c r="G362" s="22" t="n"/>
    </row>
    <row r="363">
      <c r="A363" s="22" t="inlineStr">
        <is>
          <t>0114</t>
        </is>
      </c>
      <c r="B363" s="11" t="inlineStr">
        <is>
          <t>Beldar</t>
        </is>
      </c>
      <c r="C363" s="22" t="inlineStr">
        <is>
          <t>day</t>
        </is>
      </c>
      <c r="D363" s="23" t="n">
        <v>0.022</v>
      </c>
      <c r="E363" s="24" t="n">
        <v>558</v>
      </c>
      <c r="F363" s="24">
        <f>D363*E363</f>
        <v/>
      </c>
      <c r="G363" s="22" t="n"/>
    </row>
    <row r="364">
      <c r="A364" s="22" t="inlineStr">
        <is>
          <t>0115</t>
        </is>
      </c>
      <c r="B364" s="11" t="inlineStr">
        <is>
          <t>Coolie</t>
        </is>
      </c>
      <c r="C364" s="22" t="inlineStr">
        <is>
          <t>day</t>
        </is>
      </c>
      <c r="D364" s="23" t="n">
        <v>0.022</v>
      </c>
      <c r="E364" s="24" t="n">
        <v>558</v>
      </c>
      <c r="F364" s="24">
        <f>D364*E364</f>
        <v/>
      </c>
      <c r="G364" s="22" t="n"/>
    </row>
    <row r="365">
      <c r="A365" s="22" t="inlineStr">
        <is>
          <t>0100</t>
        </is>
      </c>
      <c r="B365" s="11" t="inlineStr">
        <is>
          <t>Bandhani</t>
        </is>
      </c>
      <c r="C365" s="22" t="inlineStr">
        <is>
          <t>day</t>
        </is>
      </c>
      <c r="D365" s="23" t="n">
        <v>0.022</v>
      </c>
      <c r="E365" s="24" t="n">
        <v>617</v>
      </c>
      <c r="F365" s="24">
        <f>D365*E365</f>
        <v/>
      </c>
      <c r="G365" s="22" t="n"/>
    </row>
    <row r="366">
      <c r="A366" s="22" t="inlineStr">
        <is>
          <t>0101</t>
        </is>
      </c>
      <c r="B366" s="11" t="inlineStr">
        <is>
          <t>Bhisti</t>
        </is>
      </c>
      <c r="C366" s="22" t="inlineStr">
        <is>
          <t>day</t>
        </is>
      </c>
      <c r="D366" s="23" t="n">
        <v>0.022</v>
      </c>
      <c r="E366" s="24" t="n">
        <v>617</v>
      </c>
      <c r="F366" s="24">
        <f>D366*E366</f>
        <v/>
      </c>
      <c r="G366" s="22" t="n"/>
    </row>
    <row r="367">
      <c r="A367" s="22" t="inlineStr">
        <is>
          <t>9999</t>
        </is>
      </c>
      <c r="B367" s="11" t="inlineStr">
        <is>
          <t>Scaffolding</t>
        </is>
      </c>
      <c r="C367" s="22" t="inlineStr">
        <is>
          <t>L.S.</t>
        </is>
      </c>
      <c r="D367" s="23" t="n">
        <v>2.73</v>
      </c>
      <c r="E367" s="24" t="n">
        <v>2</v>
      </c>
      <c r="F367" s="24">
        <f>D367*E367</f>
        <v/>
      </c>
      <c r="G367" s="22" t="n"/>
    </row>
    <row r="368">
      <c r="A368" s="22" t="inlineStr">
        <is>
          <t>9999</t>
        </is>
      </c>
      <c r="B368" s="11" t="inlineStr">
        <is>
          <t>Mortar for laying and pointing</t>
        </is>
      </c>
      <c r="C368" s="22" t="inlineStr">
        <is>
          <t>L.S.</t>
        </is>
      </c>
      <c r="D368" s="23" t="n">
        <v>8.06</v>
      </c>
      <c r="E368" s="24" t="n">
        <v>2</v>
      </c>
      <c r="F368" s="24">
        <f>D368*E368</f>
        <v/>
      </c>
      <c r="G368" s="22" t="n"/>
    </row>
    <row r="369">
      <c r="A369" s="22" t="inlineStr">
        <is>
          <t>9999</t>
        </is>
      </c>
      <c r="B369" s="11" t="inlineStr">
        <is>
          <t>Centering and shuttering</t>
        </is>
      </c>
      <c r="C369" s="22" t="inlineStr">
        <is>
          <t>L.S.</t>
        </is>
      </c>
      <c r="D369" s="23" t="n">
        <v>13.52</v>
      </c>
      <c r="E369" s="24" t="n">
        <v>2</v>
      </c>
      <c r="F369" s="24">
        <f>D369*E369</f>
        <v/>
      </c>
      <c r="G369" s="22" t="n"/>
    </row>
    <row r="370">
      <c r="A370" s="22" t="inlineStr">
        <is>
          <t>9999</t>
        </is>
      </c>
      <c r="B370" s="11" t="inlineStr">
        <is>
          <t>Extra for using white cement</t>
        </is>
      </c>
      <c r="C370" s="22" t="inlineStr">
        <is>
          <t>L.S.</t>
        </is>
      </c>
      <c r="D370" s="23" t="n">
        <v>8.06</v>
      </c>
      <c r="E370" s="24" t="n">
        <v>2</v>
      </c>
      <c r="F370" s="24">
        <f>D370*E370</f>
        <v/>
      </c>
      <c r="G370" s="22" t="n"/>
    </row>
    <row r="371">
      <c r="A371" s="22" t="inlineStr">
        <is>
          <t>0115</t>
        </is>
      </c>
      <c r="B371" s="11" t="inlineStr">
        <is>
          <t>Coolie</t>
        </is>
      </c>
      <c r="C371" s="22" t="inlineStr">
        <is>
          <t>day</t>
        </is>
      </c>
      <c r="D371" s="23" t="n">
        <v>0.015</v>
      </c>
      <c r="E371" s="24" t="n">
        <v>558</v>
      </c>
      <c r="F371" s="24">
        <f>D371*E371</f>
        <v/>
      </c>
      <c r="G371" s="22" t="n"/>
    </row>
    <row r="372">
      <c r="A372" s="8" t="inlineStr">
        <is>
          <t>Calculated W - SUM of the Amount column above</t>
        </is>
      </c>
      <c r="B372" s="9" t="n"/>
      <c r="C372" s="9" t="n"/>
      <c r="D372" s="9" t="n"/>
      <c r="E372" s="9" t="n"/>
      <c r="F372" s="25">
        <f>SUM(F354:F371)</f>
        <v/>
      </c>
      <c r="G372" s="9" t="n"/>
    </row>
    <row r="373">
      <c r="A373" s="26" t="inlineStr">
        <is>
          <t>W as printed in the DAR</t>
        </is>
      </c>
      <c r="B373" s="22" t="n"/>
      <c r="C373" s="22" t="n"/>
      <c r="D373" s="22" t="n"/>
      <c r="E373" s="22" t="n"/>
      <c r="F373" s="27" t="n">
        <v>523.59</v>
      </c>
      <c r="G373" s="22" t="n"/>
    </row>
    <row r="374">
      <c r="A374" s="26" t="inlineStr">
        <is>
          <t>Difference (calculated - printed)</t>
        </is>
      </c>
      <c r="B374" s="22" t="n"/>
      <c r="C374" s="22" t="n"/>
      <c r="D374" s="22" t="n"/>
      <c r="E374" s="22" t="n"/>
      <c r="F374" s="27">
        <f>F372-F373</f>
        <v/>
      </c>
      <c r="G374" s="22" t="n"/>
    </row>
    <row r="375">
      <c r="A375" s="29" t="inlineStr">
        <is>
          <t>SAY (Rs.) - final DAR rate as printed (fixed value, not computed)</t>
        </is>
      </c>
      <c r="B375" s="30" t="n"/>
      <c r="C375" s="30" t="n"/>
      <c r="D375" s="30" t="n"/>
      <c r="E375" s="30" t="n"/>
      <c r="F375" s="31" t="n">
        <v>70053</v>
      </c>
      <c r="G375" s="30" t="n"/>
    </row>
    <row r="377" ht="47.5" customHeight="1">
      <c r="A377" s="8" t="inlineStr">
        <is>
          <t>7.13</t>
        </is>
      </c>
      <c r="B377" s="17"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t>
        </is>
      </c>
      <c r="C377" s="9" t="n"/>
      <c r="D377" s="9" t="n"/>
      <c r="E377" s="9" t="n"/>
      <c r="F377" s="9" t="n"/>
      <c r="G377" s="9" t="n"/>
    </row>
    <row r="378" ht="18.5" customHeight="1">
      <c r="A378" s="8" t="inlineStr">
        <is>
          <t>7.13.2</t>
        </is>
      </c>
      <c r="B378" s="17" t="inlineStr">
        <is>
          <t>Both face dressed</t>
        </is>
      </c>
      <c r="C378" s="9" t="n"/>
      <c r="D378" s="9" t="n"/>
      <c r="E378" s="9" t="n"/>
      <c r="F378" s="9" t="n"/>
      <c r="G378" s="9" t="n"/>
    </row>
    <row r="379" ht="18.5" customHeight="1">
      <c r="A379" s="18" t="inlineStr">
        <is>
          <t>7.13.2.2</t>
        </is>
      </c>
      <c r="B379" s="19" t="inlineStr">
        <is>
          <t>White sand stone</t>
        </is>
      </c>
      <c r="C379" s="20" t="n"/>
      <c r="D379" s="20" t="n"/>
      <c r="E379" s="20" t="n"/>
      <c r="F379" s="20" t="n"/>
      <c r="G379" s="20" t="n"/>
    </row>
    <row r="380">
      <c r="A380" s="21" t="inlineStr">
        <is>
          <t>Details of cost for 10 cudm   |   Source: CivilDAR_2019_Vol_1.pdf, page 338</t>
        </is>
      </c>
    </row>
    <row r="381">
      <c r="A381" s="5" t="inlineStr">
        <is>
          <t>Code</t>
        </is>
      </c>
      <c r="B381" s="5" t="inlineStr">
        <is>
          <t>Description</t>
        </is>
      </c>
      <c r="C381" s="5" t="inlineStr">
        <is>
          <t>Unit</t>
        </is>
      </c>
      <c r="D381" s="5" t="inlineStr">
        <is>
          <t>Quantity</t>
        </is>
      </c>
      <c r="E381" s="5" t="inlineStr">
        <is>
          <t>Rate (Rs.)</t>
        </is>
      </c>
      <c r="F381" s="5" t="inlineStr">
        <is>
          <t>Amount (Rs.)</t>
        </is>
      </c>
      <c r="G381" s="5" t="inlineStr">
        <is>
          <t>Note</t>
        </is>
      </c>
    </row>
    <row r="382">
      <c r="A382" s="22" t="inlineStr">
        <is>
          <t>1161</t>
        </is>
      </c>
      <c r="B382" s="11" t="inlineStr">
        <is>
          <t>White sand stone block</t>
        </is>
      </c>
      <c r="C382" s="22" t="inlineStr">
        <is>
          <t>10 cudm</t>
        </is>
      </c>
      <c r="D382" s="23" t="n">
        <v>1.333</v>
      </c>
      <c r="E382" s="24" t="n">
        <v>205</v>
      </c>
      <c r="F382" s="24">
        <f>D382*E382</f>
        <v/>
      </c>
      <c r="G382" s="22" t="n"/>
    </row>
    <row r="383">
      <c r="A383" s="22" t="inlineStr">
        <is>
          <t>2216</t>
        </is>
      </c>
      <c r="B383" s="11" t="inlineStr">
        <is>
          <t>Carriage of Stone blocks white &amp; red sand stone &amp; kota stone slab</t>
        </is>
      </c>
      <c r="C383" s="22" t="inlineStr">
        <is>
          <t>tonne</t>
        </is>
      </c>
      <c r="D383" s="23" t="n">
        <v>0.031</v>
      </c>
      <c r="E383" s="24" t="n">
        <v>92.23999999999999</v>
      </c>
      <c r="F383" s="24">
        <f>D383*E383</f>
        <v/>
      </c>
      <c r="G383" s="22" t="n"/>
    </row>
    <row r="384">
      <c r="A384" s="22" t="inlineStr">
        <is>
          <t>0125</t>
        </is>
      </c>
      <c r="B384" s="11" t="inlineStr">
        <is>
          <t>Mason (for plain stone work) 2nd class)</t>
        </is>
      </c>
      <c r="C384" s="22" t="inlineStr">
        <is>
          <t>day</t>
        </is>
      </c>
      <c r="D384" s="23" t="n">
        <v>0.176</v>
      </c>
      <c r="E384" s="24" t="n">
        <v>679</v>
      </c>
      <c r="F384" s="24">
        <f>D384*E384</f>
        <v/>
      </c>
      <c r="G384" s="22" t="n"/>
    </row>
    <row r="385">
      <c r="A385" s="22" t="inlineStr">
        <is>
          <t>0102</t>
        </is>
      </c>
      <c r="B385" s="11" t="inlineStr">
        <is>
          <t>Blacksmith 1st class</t>
        </is>
      </c>
      <c r="C385" s="22" t="inlineStr">
        <is>
          <t>day</t>
        </is>
      </c>
      <c r="D385" s="23" t="n">
        <v>0.012</v>
      </c>
      <c r="E385" s="24" t="n">
        <v>738</v>
      </c>
      <c r="F385" s="24">
        <f>D385*E385</f>
        <v/>
      </c>
      <c r="G385" s="22" t="n"/>
    </row>
    <row r="386">
      <c r="A386" s="22" t="inlineStr">
        <is>
          <t>0114</t>
        </is>
      </c>
      <c r="B386" s="11" t="inlineStr">
        <is>
          <t>Beldar</t>
        </is>
      </c>
      <c r="C386" s="22" t="inlineStr">
        <is>
          <t>day</t>
        </is>
      </c>
      <c r="D386" s="23" t="n">
        <v>0.08799999999999999</v>
      </c>
      <c r="E386" s="24" t="n">
        <v>558</v>
      </c>
      <c r="F386" s="24">
        <f>D386*E386</f>
        <v/>
      </c>
      <c r="G386" s="22" t="n"/>
    </row>
    <row r="387">
      <c r="A387" s="22" t="inlineStr">
        <is>
          <t>0115</t>
        </is>
      </c>
      <c r="B387" s="11" t="inlineStr">
        <is>
          <t>Coolie</t>
        </is>
      </c>
      <c r="C387" s="22" t="inlineStr">
        <is>
          <t>day</t>
        </is>
      </c>
      <c r="D387" s="23" t="n">
        <v>0.044</v>
      </c>
      <c r="E387" s="24" t="n">
        <v>558</v>
      </c>
      <c r="F387" s="24">
        <f>D387*E387</f>
        <v/>
      </c>
      <c r="G387" s="22" t="n"/>
    </row>
    <row r="388">
      <c r="A388" s="22" t="inlineStr">
        <is>
          <t>0100</t>
        </is>
      </c>
      <c r="B388" s="11" t="inlineStr">
        <is>
          <t>Bandhani</t>
        </is>
      </c>
      <c r="C388" s="22" t="inlineStr">
        <is>
          <t>day</t>
        </is>
      </c>
      <c r="D388" s="23" t="n">
        <v>0.08799999999999999</v>
      </c>
      <c r="E388" s="24" t="n">
        <v>617</v>
      </c>
      <c r="F388" s="24">
        <f>D388*E388</f>
        <v/>
      </c>
      <c r="G388" s="22" t="n"/>
    </row>
    <row r="389">
      <c r="A389" s="22" t="inlineStr">
        <is>
          <t>0125</t>
        </is>
      </c>
      <c r="B389" s="11" t="inlineStr">
        <is>
          <t>Mason (for plain stone work) 2nd class)</t>
        </is>
      </c>
      <c r="C389" s="22" t="inlineStr">
        <is>
          <t>day</t>
        </is>
      </c>
      <c r="D389" s="23" t="n">
        <v>0.044</v>
      </c>
      <c r="E389" s="24" t="n">
        <v>679</v>
      </c>
      <c r="F389" s="24">
        <f>D389*E389</f>
        <v/>
      </c>
      <c r="G389" s="22" t="n"/>
    </row>
    <row r="390">
      <c r="A390" s="22" t="inlineStr">
        <is>
          <t>0102</t>
        </is>
      </c>
      <c r="B390" s="11" t="inlineStr">
        <is>
          <t>Blacksmith 1st class</t>
        </is>
      </c>
      <c r="C390" s="22" t="inlineStr">
        <is>
          <t>day</t>
        </is>
      </c>
      <c r="D390" s="23" t="n">
        <v>0.006</v>
      </c>
      <c r="E390" s="24" t="n">
        <v>738</v>
      </c>
      <c r="F390" s="24">
        <f>D390*E390</f>
        <v/>
      </c>
      <c r="G390" s="22" t="n"/>
    </row>
    <row r="391">
      <c r="A391" s="22" t="inlineStr">
        <is>
          <t>0114</t>
        </is>
      </c>
      <c r="B391" s="11" t="inlineStr">
        <is>
          <t>Beldar</t>
        </is>
      </c>
      <c r="C391" s="22" t="inlineStr">
        <is>
          <t>day</t>
        </is>
      </c>
      <c r="D391" s="23" t="n">
        <v>0.022</v>
      </c>
      <c r="E391" s="24" t="n">
        <v>558</v>
      </c>
      <c r="F391" s="24">
        <f>D391*E391</f>
        <v/>
      </c>
      <c r="G391" s="22" t="n"/>
    </row>
    <row r="392">
      <c r="A392" s="22" t="inlineStr">
        <is>
          <t>0115</t>
        </is>
      </c>
      <c r="B392" s="11" t="inlineStr">
        <is>
          <t>Coolie</t>
        </is>
      </c>
      <c r="C392" s="22" t="inlineStr">
        <is>
          <t>day</t>
        </is>
      </c>
      <c r="D392" s="23" t="n">
        <v>0.022</v>
      </c>
      <c r="E392" s="24" t="n">
        <v>558</v>
      </c>
      <c r="F392" s="24">
        <f>D392*E392</f>
        <v/>
      </c>
      <c r="G392" s="22" t="n"/>
    </row>
    <row r="393">
      <c r="A393" s="22" t="inlineStr">
        <is>
          <t>0100</t>
        </is>
      </c>
      <c r="B393" s="11" t="inlineStr">
        <is>
          <t>Bandhani</t>
        </is>
      </c>
      <c r="C393" s="22" t="inlineStr">
        <is>
          <t>day</t>
        </is>
      </c>
      <c r="D393" s="23" t="n">
        <v>0.022</v>
      </c>
      <c r="E393" s="24" t="n">
        <v>617</v>
      </c>
      <c r="F393" s="24">
        <f>D393*E393</f>
        <v/>
      </c>
      <c r="G393" s="22" t="n"/>
    </row>
    <row r="394">
      <c r="A394" s="22" t="inlineStr">
        <is>
          <t>0101</t>
        </is>
      </c>
      <c r="B394" s="11" t="inlineStr">
        <is>
          <t>Bhisti</t>
        </is>
      </c>
      <c r="C394" s="22" t="inlineStr">
        <is>
          <t>day</t>
        </is>
      </c>
      <c r="D394" s="23" t="n">
        <v>0.022</v>
      </c>
      <c r="E394" s="24" t="n">
        <v>617</v>
      </c>
      <c r="F394" s="24">
        <f>D394*E394</f>
        <v/>
      </c>
      <c r="G394" s="22" t="n"/>
    </row>
    <row r="395">
      <c r="A395" s="22" t="inlineStr">
        <is>
          <t>9999</t>
        </is>
      </c>
      <c r="B395" s="11" t="inlineStr">
        <is>
          <t>Scaffolding</t>
        </is>
      </c>
      <c r="C395" s="22" t="inlineStr">
        <is>
          <t>L.S.</t>
        </is>
      </c>
      <c r="D395" s="23" t="n">
        <v>2.73</v>
      </c>
      <c r="E395" s="24" t="n">
        <v>2</v>
      </c>
      <c r="F395" s="24">
        <f>D395*E395</f>
        <v/>
      </c>
      <c r="G395" s="22" t="n"/>
    </row>
    <row r="396">
      <c r="A396" s="22" t="inlineStr">
        <is>
          <t>9999</t>
        </is>
      </c>
      <c r="B396" s="11" t="inlineStr">
        <is>
          <t>Mortar for laying and pointing</t>
        </is>
      </c>
      <c r="C396" s="22" t="inlineStr">
        <is>
          <t>L.S.</t>
        </is>
      </c>
      <c r="D396" s="23" t="n">
        <v>8.06</v>
      </c>
      <c r="E396" s="24" t="n">
        <v>2</v>
      </c>
      <c r="F396" s="24">
        <f>D396*E396</f>
        <v/>
      </c>
      <c r="G396" s="22" t="n"/>
    </row>
    <row r="397">
      <c r="A397" s="22" t="inlineStr">
        <is>
          <t>9999</t>
        </is>
      </c>
      <c r="B397" s="11" t="inlineStr">
        <is>
          <t>Centering and shuttering</t>
        </is>
      </c>
      <c r="C397" s="22" t="inlineStr">
        <is>
          <t>L.S.</t>
        </is>
      </c>
      <c r="D397" s="23" t="n">
        <v>13.52</v>
      </c>
      <c r="E397" s="24" t="n">
        <v>2</v>
      </c>
      <c r="F397" s="24">
        <f>D397*E397</f>
        <v/>
      </c>
      <c r="G397" s="22" t="n"/>
    </row>
    <row r="398">
      <c r="A398" s="22" t="inlineStr">
        <is>
          <t>9999</t>
        </is>
      </c>
      <c r="B398" s="11" t="inlineStr">
        <is>
          <t>Extra for using white cement</t>
        </is>
      </c>
      <c r="C398" s="22" t="inlineStr">
        <is>
          <t>L.S.</t>
        </is>
      </c>
      <c r="D398" s="23" t="n">
        <v>8.06</v>
      </c>
      <c r="E398" s="24" t="n">
        <v>2</v>
      </c>
      <c r="F398" s="24">
        <f>D398*E398</f>
        <v/>
      </c>
      <c r="G398" s="22" t="n"/>
    </row>
    <row r="399">
      <c r="A399" s="22" t="inlineStr">
        <is>
          <t>0115</t>
        </is>
      </c>
      <c r="B399" s="11" t="inlineStr">
        <is>
          <t>Coolie</t>
        </is>
      </c>
      <c r="C399" s="22" t="inlineStr">
        <is>
          <t>day</t>
        </is>
      </c>
      <c r="D399" s="23" t="n">
        <v>0.015</v>
      </c>
      <c r="E399" s="24" t="n">
        <v>558</v>
      </c>
      <c r="F399" s="24">
        <f>D399*E399</f>
        <v/>
      </c>
      <c r="G399" s="22" t="n"/>
    </row>
    <row r="400">
      <c r="A400" s="8" t="inlineStr">
        <is>
          <t>Calculated W - SUM of the Amount column above</t>
        </is>
      </c>
      <c r="B400" s="9" t="n"/>
      <c r="C400" s="9" t="n"/>
      <c r="D400" s="9" t="n"/>
      <c r="E400" s="9" t="n"/>
      <c r="F400" s="25">
        <f>SUM(F382:F399)</f>
        <v/>
      </c>
      <c r="G400" s="9" t="n"/>
    </row>
    <row r="401">
      <c r="A401" s="26" t="inlineStr">
        <is>
          <t>W as printed in the DAR</t>
        </is>
      </c>
      <c r="B401" s="22" t="n"/>
      <c r="C401" s="22" t="n"/>
      <c r="D401" s="22" t="n"/>
      <c r="E401" s="22" t="n"/>
      <c r="F401" s="27" t="n">
        <v>691.55</v>
      </c>
      <c r="G401" s="22" t="n"/>
    </row>
    <row r="402">
      <c r="A402" s="26" t="inlineStr">
        <is>
          <t>Difference (calculated - printed)</t>
        </is>
      </c>
      <c r="B402" s="22" t="n"/>
      <c r="C402" s="22" t="n"/>
      <c r="D402" s="22" t="n"/>
      <c r="E402" s="22" t="n"/>
      <c r="F402" s="27">
        <f>F400-F401</f>
        <v/>
      </c>
      <c r="G402" s="22" t="n"/>
    </row>
    <row r="403">
      <c r="A403" s="29" t="inlineStr">
        <is>
          <t>SAY (Rs.) - final DAR rate as printed (fixed value, not computed)</t>
        </is>
      </c>
      <c r="B403" s="30" t="n"/>
      <c r="C403" s="30" t="n"/>
      <c r="D403" s="30" t="n"/>
      <c r="E403" s="30" t="n"/>
      <c r="F403" s="31" t="n">
        <v>92525</v>
      </c>
      <c r="G403" s="30" t="n"/>
    </row>
    <row r="405" ht="47.5" customHeight="1">
      <c r="A405" s="8" t="inlineStr">
        <is>
          <t>7.14</t>
        </is>
      </c>
      <c r="B405" s="17"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t>
        </is>
      </c>
      <c r="C405" s="9" t="n"/>
      <c r="D405" s="9" t="n"/>
      <c r="E405" s="9" t="n"/>
      <c r="F405" s="9" t="n"/>
      <c r="G405" s="9" t="n"/>
    </row>
    <row r="406" ht="18.5" customHeight="1">
      <c r="A406" s="8" t="inlineStr">
        <is>
          <t>7.14.1</t>
        </is>
      </c>
      <c r="B406" s="17" t="inlineStr">
        <is>
          <t>One face dressed</t>
        </is>
      </c>
      <c r="C406" s="9" t="n"/>
      <c r="D406" s="9" t="n"/>
      <c r="E406" s="9" t="n"/>
      <c r="F406" s="9" t="n"/>
      <c r="G406" s="9" t="n"/>
    </row>
    <row r="407" ht="18.5" customHeight="1">
      <c r="A407" s="18" t="inlineStr">
        <is>
          <t>7.14.1.1</t>
        </is>
      </c>
      <c r="B407" s="19" t="inlineStr">
        <is>
          <t>Red sand stone</t>
        </is>
      </c>
      <c r="C407" s="20" t="n"/>
      <c r="D407" s="20" t="n"/>
      <c r="E407" s="20" t="n"/>
      <c r="F407" s="20" t="n"/>
      <c r="G407" s="20" t="n"/>
    </row>
    <row r="408">
      <c r="A408" s="21" t="inlineStr">
        <is>
          <t>Details of cost for 10 cudm   |   Source: CivilDAR_2019_Vol_1.pdf, page 339</t>
        </is>
      </c>
    </row>
    <row r="409">
      <c r="A409" s="5" t="inlineStr">
        <is>
          <t>Code</t>
        </is>
      </c>
      <c r="B409" s="5" t="inlineStr">
        <is>
          <t>Description</t>
        </is>
      </c>
      <c r="C409" s="5" t="inlineStr">
        <is>
          <t>Unit</t>
        </is>
      </c>
      <c r="D409" s="5" t="inlineStr">
        <is>
          <t>Quantity</t>
        </is>
      </c>
      <c r="E409" s="5" t="inlineStr">
        <is>
          <t>Rate (Rs.)</t>
        </is>
      </c>
      <c r="F409" s="5" t="inlineStr">
        <is>
          <t>Amount (Rs.)</t>
        </is>
      </c>
      <c r="G409" s="5" t="inlineStr">
        <is>
          <t>Note</t>
        </is>
      </c>
    </row>
    <row r="410">
      <c r="A410" s="22" t="inlineStr">
        <is>
          <t>1160</t>
        </is>
      </c>
      <c r="B410" s="11" t="inlineStr">
        <is>
          <t>Red sand stone block</t>
        </is>
      </c>
      <c r="C410" s="22" t="inlineStr">
        <is>
          <t>10 cudm</t>
        </is>
      </c>
      <c r="D410" s="23" t="n">
        <v>1.333</v>
      </c>
      <c r="E410" s="24" t="n">
        <v>79</v>
      </c>
      <c r="F410" s="24">
        <f>D410*E410</f>
        <v/>
      </c>
      <c r="G410" s="22" t="n"/>
    </row>
    <row r="411">
      <c r="A411" s="22" t="inlineStr">
        <is>
          <t>2216</t>
        </is>
      </c>
      <c r="B411" s="11" t="inlineStr">
        <is>
          <t>Carriage of Stone blocks white &amp; red sand stone &amp; kota stone slab</t>
        </is>
      </c>
      <c r="C411" s="22" t="inlineStr">
        <is>
          <t>tonne</t>
        </is>
      </c>
      <c r="D411" s="23" t="n">
        <v>0.031</v>
      </c>
      <c r="E411" s="24" t="n">
        <v>92.23999999999999</v>
      </c>
      <c r="F411" s="24">
        <f>D411*E411</f>
        <v/>
      </c>
      <c r="G411" s="22" t="n"/>
    </row>
    <row r="412">
      <c r="A412" s="22" t="inlineStr">
        <is>
          <t>0125</t>
        </is>
      </c>
      <c r="B412" s="11" t="inlineStr">
        <is>
          <t>Mason (for plain stone work) 2nd class)</t>
        </is>
      </c>
      <c r="C412" s="22" t="inlineStr">
        <is>
          <t>day</t>
        </is>
      </c>
      <c r="D412" s="23" t="n">
        <v>0.176</v>
      </c>
      <c r="E412" s="24" t="n">
        <v>679</v>
      </c>
      <c r="F412" s="24">
        <f>D412*E412</f>
        <v/>
      </c>
      <c r="G412" s="22" t="n"/>
    </row>
    <row r="413">
      <c r="A413" s="22" t="inlineStr">
        <is>
          <t>0102</t>
        </is>
      </c>
      <c r="B413" s="11" t="inlineStr">
        <is>
          <t>Blacksmith 1st class</t>
        </is>
      </c>
      <c r="C413" s="22" t="inlineStr">
        <is>
          <t>day</t>
        </is>
      </c>
      <c r="D413" s="23" t="n">
        <v>0.006</v>
      </c>
      <c r="E413" s="24" t="n">
        <v>738</v>
      </c>
      <c r="F413" s="24">
        <f>D413*E413</f>
        <v/>
      </c>
      <c r="G413" s="22" t="n"/>
    </row>
    <row r="414">
      <c r="A414" s="22" t="inlineStr">
        <is>
          <t>0126</t>
        </is>
      </c>
      <c r="B414" s="11" t="inlineStr">
        <is>
          <t>Mason (for ornamental stone work) 1st class</t>
        </is>
      </c>
      <c r="C414" s="22" t="inlineStr">
        <is>
          <t>day</t>
        </is>
      </c>
      <c r="D414" s="23" t="n">
        <v>0.176</v>
      </c>
      <c r="E414" s="24" t="n">
        <v>738</v>
      </c>
      <c r="F414" s="24">
        <f>D414*E414</f>
        <v/>
      </c>
      <c r="G414" s="22" t="n"/>
    </row>
    <row r="415">
      <c r="A415" s="22" t="inlineStr">
        <is>
          <t>0114</t>
        </is>
      </c>
      <c r="B415" s="11" t="inlineStr">
        <is>
          <t>Beldar</t>
        </is>
      </c>
      <c r="C415" s="22" t="inlineStr">
        <is>
          <t>day</t>
        </is>
      </c>
      <c r="D415" s="23" t="n">
        <v>0.044</v>
      </c>
      <c r="E415" s="24" t="n">
        <v>558</v>
      </c>
      <c r="F415" s="24">
        <f>D415*E415</f>
        <v/>
      </c>
      <c r="G415" s="22" t="n"/>
    </row>
    <row r="416">
      <c r="A416" s="22" t="inlineStr">
        <is>
          <t>0115</t>
        </is>
      </c>
      <c r="B416" s="11" t="inlineStr">
        <is>
          <t>Coolie</t>
        </is>
      </c>
      <c r="C416" s="22" t="inlineStr">
        <is>
          <t>day</t>
        </is>
      </c>
      <c r="D416" s="23" t="n">
        <v>0.022</v>
      </c>
      <c r="E416" s="24" t="n">
        <v>558</v>
      </c>
      <c r="F416" s="24">
        <f>D416*E416</f>
        <v/>
      </c>
      <c r="G416" s="22" t="n"/>
    </row>
    <row r="417">
      <c r="A417" s="22" t="inlineStr">
        <is>
          <t>0100</t>
        </is>
      </c>
      <c r="B417" s="11" t="inlineStr">
        <is>
          <t>Bandhani</t>
        </is>
      </c>
      <c r="C417" s="22" t="inlineStr">
        <is>
          <t>day</t>
        </is>
      </c>
      <c r="D417" s="23" t="n">
        <v>0.044</v>
      </c>
      <c r="E417" s="24" t="n">
        <v>617</v>
      </c>
      <c r="F417" s="24">
        <f>D417*E417</f>
        <v/>
      </c>
      <c r="G417" s="22" t="n"/>
    </row>
    <row r="418">
      <c r="A418" s="22" t="inlineStr">
        <is>
          <t>0125</t>
        </is>
      </c>
      <c r="B418" s="11" t="inlineStr">
        <is>
          <t>Mason (for plain stone work) 2nd class)</t>
        </is>
      </c>
      <c r="C418" s="22" t="inlineStr">
        <is>
          <t>day</t>
        </is>
      </c>
      <c r="D418" s="23" t="n">
        <v>0.044</v>
      </c>
      <c r="E418" s="24" t="n">
        <v>679</v>
      </c>
      <c r="F418" s="24">
        <f>D418*E418</f>
        <v/>
      </c>
      <c r="G418" s="22" t="n"/>
    </row>
    <row r="419">
      <c r="A419" s="22" t="inlineStr">
        <is>
          <t>0102</t>
        </is>
      </c>
      <c r="B419" s="11" t="inlineStr">
        <is>
          <t>Blacksmith 1st class</t>
        </is>
      </c>
      <c r="C419" s="22" t="inlineStr">
        <is>
          <t>day</t>
        </is>
      </c>
      <c r="D419" s="23" t="n">
        <v>0.006</v>
      </c>
      <c r="E419" s="24" t="n">
        <v>738</v>
      </c>
      <c r="F419" s="24">
        <f>D419*E419</f>
        <v/>
      </c>
      <c r="G419" s="22" t="n"/>
    </row>
    <row r="420">
      <c r="A420" s="22" t="inlineStr">
        <is>
          <t>0114</t>
        </is>
      </c>
      <c r="B420" s="11" t="inlineStr">
        <is>
          <t>Beldar</t>
        </is>
      </c>
      <c r="C420" s="22" t="inlineStr">
        <is>
          <t>day</t>
        </is>
      </c>
      <c r="D420" s="23" t="n">
        <v>0.022</v>
      </c>
      <c r="E420" s="24" t="n">
        <v>558</v>
      </c>
      <c r="F420" s="24">
        <f>D420*E420</f>
        <v/>
      </c>
      <c r="G420" s="22" t="n"/>
    </row>
    <row r="421">
      <c r="A421" s="22" t="inlineStr">
        <is>
          <t>0115</t>
        </is>
      </c>
      <c r="B421" s="11" t="inlineStr">
        <is>
          <t>Coolie</t>
        </is>
      </c>
      <c r="C421" s="22" t="inlineStr">
        <is>
          <t>day</t>
        </is>
      </c>
      <c r="D421" s="23" t="n">
        <v>0.022</v>
      </c>
      <c r="E421" s="24" t="n">
        <v>558</v>
      </c>
      <c r="F421" s="24">
        <f>D421*E421</f>
        <v/>
      </c>
      <c r="G421" s="22" t="n"/>
    </row>
    <row r="422">
      <c r="A422" s="22" t="inlineStr">
        <is>
          <t>0100</t>
        </is>
      </c>
      <c r="B422" s="11" t="inlineStr">
        <is>
          <t>Bandhani</t>
        </is>
      </c>
      <c r="C422" s="22" t="inlineStr">
        <is>
          <t>day</t>
        </is>
      </c>
      <c r="D422" s="23" t="n">
        <v>0.022</v>
      </c>
      <c r="E422" s="24" t="n">
        <v>617</v>
      </c>
      <c r="F422" s="24">
        <f>D422*E422</f>
        <v/>
      </c>
      <c r="G422" s="22" t="n"/>
    </row>
    <row r="423">
      <c r="A423" s="22" t="inlineStr">
        <is>
          <t>0101</t>
        </is>
      </c>
      <c r="B423" s="11" t="inlineStr">
        <is>
          <t>Bhisti</t>
        </is>
      </c>
      <c r="C423" s="22" t="inlineStr">
        <is>
          <t>day</t>
        </is>
      </c>
      <c r="D423" s="23" t="n">
        <v>0.022</v>
      </c>
      <c r="E423" s="24" t="n">
        <v>617</v>
      </c>
      <c r="F423" s="24">
        <f>D423*E423</f>
        <v/>
      </c>
      <c r="G423" s="22" t="n"/>
    </row>
    <row r="424">
      <c r="A424" s="22" t="inlineStr">
        <is>
          <t>9999</t>
        </is>
      </c>
      <c r="B424" s="11" t="inlineStr">
        <is>
          <t>Scaffolding</t>
        </is>
      </c>
      <c r="C424" s="22" t="inlineStr">
        <is>
          <t>L.S.</t>
        </is>
      </c>
      <c r="D424" s="23" t="n">
        <v>2.73</v>
      </c>
      <c r="E424" s="24" t="n">
        <v>2</v>
      </c>
      <c r="F424" s="24">
        <f>D424*E424</f>
        <v/>
      </c>
      <c r="G424" s="22" t="n"/>
    </row>
    <row r="425">
      <c r="A425" s="22" t="inlineStr">
        <is>
          <t>9999</t>
        </is>
      </c>
      <c r="B425" s="11" t="inlineStr">
        <is>
          <t>Mortar for laying and pointing</t>
        </is>
      </c>
      <c r="C425" s="22" t="inlineStr">
        <is>
          <t>L.S.</t>
        </is>
      </c>
      <c r="D425" s="23" t="n">
        <v>8.06</v>
      </c>
      <c r="E425" s="24" t="n">
        <v>2</v>
      </c>
      <c r="F425" s="24">
        <f>D425*E425</f>
        <v/>
      </c>
      <c r="G425" s="22" t="n"/>
    </row>
    <row r="426">
      <c r="A426" s="22" t="inlineStr">
        <is>
          <t>9999</t>
        </is>
      </c>
      <c r="B426" s="11" t="inlineStr">
        <is>
          <t>Centring and shuttering</t>
        </is>
      </c>
      <c r="C426" s="22" t="inlineStr">
        <is>
          <t>L.S.</t>
        </is>
      </c>
      <c r="D426" s="23" t="n">
        <v>33.15</v>
      </c>
      <c r="E426" s="24" t="n">
        <v>2</v>
      </c>
      <c r="F426" s="24">
        <f>D426*E426</f>
        <v/>
      </c>
      <c r="G426" s="22" t="n"/>
    </row>
    <row r="427">
      <c r="A427" s="22" t="inlineStr">
        <is>
          <t>9999</t>
        </is>
      </c>
      <c r="B427" s="11" t="inlineStr">
        <is>
          <t>Extra for using white cement</t>
        </is>
      </c>
      <c r="C427" s="22" t="inlineStr">
        <is>
          <t>L.S.</t>
        </is>
      </c>
      <c r="D427" s="23" t="n">
        <v>8.06</v>
      </c>
      <c r="E427" s="24" t="n">
        <v>2</v>
      </c>
      <c r="F427" s="24">
        <f>D427*E427</f>
        <v/>
      </c>
      <c r="G427" s="22" t="n"/>
    </row>
    <row r="428">
      <c r="A428" s="22" t="inlineStr">
        <is>
          <t>0115</t>
        </is>
      </c>
      <c r="B428" s="11" t="inlineStr">
        <is>
          <t>Coolie</t>
        </is>
      </c>
      <c r="C428" s="22" t="inlineStr">
        <is>
          <t>day</t>
        </is>
      </c>
      <c r="D428" s="23" t="n">
        <v>0.015</v>
      </c>
      <c r="E428" s="24" t="n">
        <v>558</v>
      </c>
      <c r="F428" s="24">
        <f>D428*E428</f>
        <v/>
      </c>
      <c r="G428" s="22" t="n"/>
    </row>
    <row r="429">
      <c r="A429" s="8" t="inlineStr">
        <is>
          <t>Calculated W - SUM of the Amount column above</t>
        </is>
      </c>
      <c r="B429" s="9" t="n"/>
      <c r="C429" s="9" t="n"/>
      <c r="D429" s="9" t="n"/>
      <c r="E429" s="9" t="n"/>
      <c r="F429" s="25">
        <f>SUM(F410:F428)</f>
        <v/>
      </c>
      <c r="G429" s="9" t="n"/>
    </row>
    <row r="430">
      <c r="A430" s="26" t="inlineStr">
        <is>
          <t>W as printed in the DAR</t>
        </is>
      </c>
      <c r="B430" s="22" t="n"/>
      <c r="C430" s="22" t="n"/>
      <c r="D430" s="22" t="n"/>
      <c r="E430" s="22" t="n"/>
      <c r="F430" s="27" t="n">
        <v>624.34</v>
      </c>
      <c r="G430" s="22" t="n"/>
    </row>
    <row r="431">
      <c r="A431" s="26" t="inlineStr">
        <is>
          <t>Difference (calculated - printed)</t>
        </is>
      </c>
      <c r="B431" s="22" t="n"/>
      <c r="C431" s="22" t="n"/>
      <c r="D431" s="22" t="n"/>
      <c r="E431" s="22" t="n"/>
      <c r="F431" s="27">
        <f>F429-F430</f>
        <v/>
      </c>
      <c r="G431" s="22" t="n"/>
    </row>
    <row r="432">
      <c r="A432" s="29" t="inlineStr">
        <is>
          <t>SAY (Rs.) - final DAR rate as printed (fixed value, not computed)</t>
        </is>
      </c>
      <c r="B432" s="30" t="n"/>
      <c r="C432" s="30" t="n"/>
      <c r="D432" s="30" t="n"/>
      <c r="E432" s="30" t="n"/>
      <c r="F432" s="31" t="n">
        <v>83532</v>
      </c>
      <c r="G432" s="30" t="n"/>
    </row>
    <row r="434" ht="47.5" customHeight="1">
      <c r="A434" s="8" t="inlineStr">
        <is>
          <t>7.14</t>
        </is>
      </c>
      <c r="B434" s="17"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t>
        </is>
      </c>
      <c r="C434" s="9" t="n"/>
      <c r="D434" s="9" t="n"/>
      <c r="E434" s="9" t="n"/>
      <c r="F434" s="9" t="n"/>
      <c r="G434" s="9" t="n"/>
    </row>
    <row r="435" ht="18.5" customHeight="1">
      <c r="A435" s="8" t="inlineStr">
        <is>
          <t>7.14.1</t>
        </is>
      </c>
      <c r="B435" s="17" t="inlineStr">
        <is>
          <t>One face dressed</t>
        </is>
      </c>
      <c r="C435" s="9" t="n"/>
      <c r="D435" s="9" t="n"/>
      <c r="E435" s="9" t="n"/>
      <c r="F435" s="9" t="n"/>
      <c r="G435" s="9" t="n"/>
    </row>
    <row r="436" ht="18.5" customHeight="1">
      <c r="A436" s="18" t="inlineStr">
        <is>
          <t>7.14.1.2</t>
        </is>
      </c>
      <c r="B436" s="19" t="inlineStr">
        <is>
          <t>White sand stone</t>
        </is>
      </c>
      <c r="C436" s="20" t="n"/>
      <c r="D436" s="20" t="n"/>
      <c r="E436" s="20" t="n"/>
      <c r="F436" s="20" t="n"/>
      <c r="G436" s="20" t="n"/>
    </row>
    <row r="437">
      <c r="A437" s="21" t="inlineStr">
        <is>
          <t>Details of cost for 10 cudm   |   Source: CivilDAR_2019_Vol_1.pdf, page 340</t>
        </is>
      </c>
    </row>
    <row r="438">
      <c r="A438" s="5" t="inlineStr">
        <is>
          <t>Code</t>
        </is>
      </c>
      <c r="B438" s="5" t="inlineStr">
        <is>
          <t>Description</t>
        </is>
      </c>
      <c r="C438" s="5" t="inlineStr">
        <is>
          <t>Unit</t>
        </is>
      </c>
      <c r="D438" s="5" t="inlineStr">
        <is>
          <t>Quantity</t>
        </is>
      </c>
      <c r="E438" s="5" t="inlineStr">
        <is>
          <t>Rate (Rs.)</t>
        </is>
      </c>
      <c r="F438" s="5" t="inlineStr">
        <is>
          <t>Amount (Rs.)</t>
        </is>
      </c>
      <c r="G438" s="5" t="inlineStr">
        <is>
          <t>Note</t>
        </is>
      </c>
    </row>
    <row r="439">
      <c r="A439" s="22" t="inlineStr">
        <is>
          <t>1161</t>
        </is>
      </c>
      <c r="B439" s="11" t="inlineStr">
        <is>
          <t>White sand stone block</t>
        </is>
      </c>
      <c r="C439" s="22" t="inlineStr">
        <is>
          <t>10 cudm</t>
        </is>
      </c>
      <c r="D439" s="23" t="n">
        <v>1.333</v>
      </c>
      <c r="E439" s="24" t="n">
        <v>205</v>
      </c>
      <c r="F439" s="24">
        <f>D439*E439</f>
        <v/>
      </c>
      <c r="G439" s="22" t="n"/>
    </row>
    <row r="440">
      <c r="A440" s="22" t="inlineStr">
        <is>
          <t>2216</t>
        </is>
      </c>
      <c r="B440" s="11" t="inlineStr">
        <is>
          <t>Carriage of Stone blocks white &amp; red sand stone &amp; kota stone slab</t>
        </is>
      </c>
      <c r="C440" s="22" t="inlineStr">
        <is>
          <t>tonne</t>
        </is>
      </c>
      <c r="D440" s="23" t="n">
        <v>0.031</v>
      </c>
      <c r="E440" s="24" t="n">
        <v>92.23999999999999</v>
      </c>
      <c r="F440" s="24">
        <f>D440*E440</f>
        <v/>
      </c>
      <c r="G440" s="22" t="n"/>
    </row>
    <row r="441">
      <c r="A441" s="22" t="inlineStr">
        <is>
          <t>0125</t>
        </is>
      </c>
      <c r="B441" s="11" t="inlineStr">
        <is>
          <t>Mason (for plain stone work) 2nd class)</t>
        </is>
      </c>
      <c r="C441" s="22" t="inlineStr">
        <is>
          <t>day</t>
        </is>
      </c>
      <c r="D441" s="23" t="n">
        <v>0.176</v>
      </c>
      <c r="E441" s="24" t="n">
        <v>679</v>
      </c>
      <c r="F441" s="24">
        <f>D441*E441</f>
        <v/>
      </c>
      <c r="G441" s="22" t="n"/>
    </row>
    <row r="442">
      <c r="A442" s="22" t="inlineStr">
        <is>
          <t>0102</t>
        </is>
      </c>
      <c r="B442" s="11" t="inlineStr">
        <is>
          <t>Blacksmith 1st class</t>
        </is>
      </c>
      <c r="C442" s="22" t="inlineStr">
        <is>
          <t>day</t>
        </is>
      </c>
      <c r="D442" s="23" t="n">
        <v>0.006</v>
      </c>
      <c r="E442" s="24" t="n">
        <v>738</v>
      </c>
      <c r="F442" s="24">
        <f>D442*E442</f>
        <v/>
      </c>
      <c r="G442" s="22" t="n"/>
    </row>
    <row r="443">
      <c r="A443" s="22" t="inlineStr">
        <is>
          <t>0126</t>
        </is>
      </c>
      <c r="B443" s="11" t="inlineStr">
        <is>
          <t>Mason (for ornamental stone work) 1st class</t>
        </is>
      </c>
      <c r="C443" s="22" t="inlineStr">
        <is>
          <t>day</t>
        </is>
      </c>
      <c r="D443" s="23" t="n">
        <v>0.176</v>
      </c>
      <c r="E443" s="24" t="n">
        <v>738</v>
      </c>
      <c r="F443" s="24">
        <f>D443*E443</f>
        <v/>
      </c>
      <c r="G443" s="22" t="n"/>
    </row>
    <row r="444">
      <c r="A444" s="22" t="inlineStr">
        <is>
          <t>0114</t>
        </is>
      </c>
      <c r="B444" s="11" t="inlineStr">
        <is>
          <t>Beldar</t>
        </is>
      </c>
      <c r="C444" s="22" t="inlineStr">
        <is>
          <t>day</t>
        </is>
      </c>
      <c r="D444" s="23" t="n">
        <v>0.044</v>
      </c>
      <c r="E444" s="24" t="n">
        <v>558</v>
      </c>
      <c r="F444" s="24">
        <f>D444*E444</f>
        <v/>
      </c>
      <c r="G444" s="22" t="n"/>
    </row>
    <row r="445">
      <c r="A445" s="22" t="inlineStr">
        <is>
          <t>0115</t>
        </is>
      </c>
      <c r="B445" s="11" t="inlineStr">
        <is>
          <t>Coolie</t>
        </is>
      </c>
      <c r="C445" s="22" t="inlineStr">
        <is>
          <t>day</t>
        </is>
      </c>
      <c r="D445" s="23" t="n">
        <v>0.022</v>
      </c>
      <c r="E445" s="24" t="n">
        <v>558</v>
      </c>
      <c r="F445" s="24">
        <f>D445*E445</f>
        <v/>
      </c>
      <c r="G445" s="22" t="n"/>
    </row>
    <row r="446">
      <c r="A446" s="22" t="inlineStr">
        <is>
          <t>0100</t>
        </is>
      </c>
      <c r="B446" s="11" t="inlineStr">
        <is>
          <t>Bandhani</t>
        </is>
      </c>
      <c r="C446" s="22" t="inlineStr">
        <is>
          <t>day</t>
        </is>
      </c>
      <c r="D446" s="23" t="n">
        <v>0.044</v>
      </c>
      <c r="E446" s="24" t="n">
        <v>617</v>
      </c>
      <c r="F446" s="24">
        <f>D446*E446</f>
        <v/>
      </c>
      <c r="G446" s="22" t="n"/>
    </row>
    <row r="447">
      <c r="A447" s="22" t="inlineStr">
        <is>
          <t>0125</t>
        </is>
      </c>
      <c r="B447" s="11" t="inlineStr">
        <is>
          <t>Mason (for plain stone work) 2nd class)</t>
        </is>
      </c>
      <c r="C447" s="22" t="inlineStr">
        <is>
          <t>day</t>
        </is>
      </c>
      <c r="D447" s="23" t="n">
        <v>0.044</v>
      </c>
      <c r="E447" s="24" t="n">
        <v>679</v>
      </c>
      <c r="F447" s="24">
        <f>D447*E447</f>
        <v/>
      </c>
      <c r="G447" s="22" t="n"/>
    </row>
    <row r="448">
      <c r="A448" s="22" t="inlineStr">
        <is>
          <t>0102</t>
        </is>
      </c>
      <c r="B448" s="11" t="inlineStr">
        <is>
          <t>Blacksmith 1st class</t>
        </is>
      </c>
      <c r="C448" s="22" t="inlineStr">
        <is>
          <t>day</t>
        </is>
      </c>
      <c r="D448" s="23" t="n">
        <v>0.006</v>
      </c>
      <c r="E448" s="24" t="n">
        <v>738</v>
      </c>
      <c r="F448" s="24">
        <f>D448*E448</f>
        <v/>
      </c>
      <c r="G448" s="22" t="n"/>
    </row>
    <row r="449">
      <c r="A449" s="22" t="inlineStr">
        <is>
          <t>0114</t>
        </is>
      </c>
      <c r="B449" s="11" t="inlineStr">
        <is>
          <t>Beldar</t>
        </is>
      </c>
      <c r="C449" s="22" t="inlineStr">
        <is>
          <t>day</t>
        </is>
      </c>
      <c r="D449" s="23" t="n">
        <v>0.022</v>
      </c>
      <c r="E449" s="24" t="n">
        <v>558</v>
      </c>
      <c r="F449" s="24">
        <f>D449*E449</f>
        <v/>
      </c>
      <c r="G449" s="22" t="n"/>
    </row>
    <row r="450">
      <c r="A450" s="22" t="inlineStr">
        <is>
          <t>0115</t>
        </is>
      </c>
      <c r="B450" s="11" t="inlineStr">
        <is>
          <t>Coolie</t>
        </is>
      </c>
      <c r="C450" s="22" t="inlineStr">
        <is>
          <t>day</t>
        </is>
      </c>
      <c r="D450" s="23" t="n">
        <v>0.022</v>
      </c>
      <c r="E450" s="24" t="n">
        <v>558</v>
      </c>
      <c r="F450" s="24">
        <f>D450*E450</f>
        <v/>
      </c>
      <c r="G450" s="22" t="n"/>
    </row>
    <row r="451">
      <c r="A451" s="22" t="inlineStr">
        <is>
          <t>0100</t>
        </is>
      </c>
      <c r="B451" s="11" t="inlineStr">
        <is>
          <t>Bandhani</t>
        </is>
      </c>
      <c r="C451" s="22" t="inlineStr">
        <is>
          <t>day</t>
        </is>
      </c>
      <c r="D451" s="23" t="n">
        <v>0.022</v>
      </c>
      <c r="E451" s="24" t="n">
        <v>617</v>
      </c>
      <c r="F451" s="24">
        <f>D451*E451</f>
        <v/>
      </c>
      <c r="G451" s="22" t="n"/>
    </row>
    <row r="452">
      <c r="A452" s="22" t="inlineStr">
        <is>
          <t>0101</t>
        </is>
      </c>
      <c r="B452" s="11" t="inlineStr">
        <is>
          <t>Bhisti</t>
        </is>
      </c>
      <c r="C452" s="22" t="inlineStr">
        <is>
          <t>day</t>
        </is>
      </c>
      <c r="D452" s="23" t="n">
        <v>0.022</v>
      </c>
      <c r="E452" s="24" t="n">
        <v>617</v>
      </c>
      <c r="F452" s="24">
        <f>D452*E452</f>
        <v/>
      </c>
      <c r="G452" s="22" t="n"/>
    </row>
    <row r="453">
      <c r="A453" s="22" t="inlineStr">
        <is>
          <t>9999</t>
        </is>
      </c>
      <c r="B453" s="11" t="inlineStr">
        <is>
          <t>Scaffolding</t>
        </is>
      </c>
      <c r="C453" s="22" t="inlineStr">
        <is>
          <t>L.S.</t>
        </is>
      </c>
      <c r="D453" s="23" t="n">
        <v>2.73</v>
      </c>
      <c r="E453" s="24" t="n">
        <v>2</v>
      </c>
      <c r="F453" s="24">
        <f>D453*E453</f>
        <v/>
      </c>
      <c r="G453" s="22" t="n"/>
    </row>
    <row r="454">
      <c r="A454" s="22" t="inlineStr">
        <is>
          <t>9999</t>
        </is>
      </c>
      <c r="B454" s="11" t="inlineStr">
        <is>
          <t>Mortar for laying and pointing</t>
        </is>
      </c>
      <c r="C454" s="22" t="inlineStr">
        <is>
          <t>L.S.</t>
        </is>
      </c>
      <c r="D454" s="23" t="n">
        <v>8.06</v>
      </c>
      <c r="E454" s="24" t="n">
        <v>2</v>
      </c>
      <c r="F454" s="24">
        <f>D454*E454</f>
        <v/>
      </c>
      <c r="G454" s="22" t="n"/>
    </row>
    <row r="455">
      <c r="A455" s="22" t="inlineStr">
        <is>
          <t>9999</t>
        </is>
      </c>
      <c r="B455" s="11" t="inlineStr">
        <is>
          <t>Centring and shuttering</t>
        </is>
      </c>
      <c r="C455" s="22" t="inlineStr">
        <is>
          <t>L.S.</t>
        </is>
      </c>
      <c r="D455" s="23" t="n">
        <v>33.15</v>
      </c>
      <c r="E455" s="24" t="n">
        <v>2</v>
      </c>
      <c r="F455" s="24">
        <f>D455*E455</f>
        <v/>
      </c>
      <c r="G455" s="22" t="n"/>
    </row>
    <row r="456">
      <c r="A456" s="22" t="inlineStr">
        <is>
          <t>9999</t>
        </is>
      </c>
      <c r="B456" s="11" t="inlineStr">
        <is>
          <t>Extra for using white cement</t>
        </is>
      </c>
      <c r="C456" s="22" t="inlineStr">
        <is>
          <t>L.S.</t>
        </is>
      </c>
      <c r="D456" s="23" t="n">
        <v>8.06</v>
      </c>
      <c r="E456" s="24" t="n">
        <v>2</v>
      </c>
      <c r="F456" s="24">
        <f>D456*E456</f>
        <v/>
      </c>
      <c r="G456" s="22" t="n"/>
    </row>
    <row r="457">
      <c r="A457" s="22" t="inlineStr">
        <is>
          <t>0115</t>
        </is>
      </c>
      <c r="B457" s="11" t="inlineStr">
        <is>
          <t>Coolie</t>
        </is>
      </c>
      <c r="C457" s="22" t="inlineStr">
        <is>
          <t>day</t>
        </is>
      </c>
      <c r="D457" s="23" t="n">
        <v>0.015</v>
      </c>
      <c r="E457" s="24" t="n">
        <v>558</v>
      </c>
      <c r="F457" s="24">
        <f>D457*E457</f>
        <v/>
      </c>
      <c r="G457" s="22" t="n"/>
    </row>
    <row r="458">
      <c r="A458" s="8" t="inlineStr">
        <is>
          <t>Calculated W - SUM of the Amount column above</t>
        </is>
      </c>
      <c r="B458" s="9" t="n"/>
      <c r="C458" s="9" t="n"/>
      <c r="D458" s="9" t="n"/>
      <c r="E458" s="9" t="n"/>
      <c r="F458" s="25">
        <f>SUM(F439:F457)</f>
        <v/>
      </c>
      <c r="G458" s="9" t="n"/>
    </row>
    <row r="459">
      <c r="A459" s="26" t="inlineStr">
        <is>
          <t>W as printed in the DAR</t>
        </is>
      </c>
      <c r="B459" s="22" t="n"/>
      <c r="C459" s="22" t="n"/>
      <c r="D459" s="22" t="n"/>
      <c r="E459" s="22" t="n"/>
      <c r="F459" s="27" t="n">
        <v>792.29</v>
      </c>
      <c r="G459" s="22" t="n"/>
    </row>
    <row r="460">
      <c r="A460" s="26" t="inlineStr">
        <is>
          <t>Difference (calculated - printed)</t>
        </is>
      </c>
      <c r="B460" s="22" t="n"/>
      <c r="C460" s="22" t="n"/>
      <c r="D460" s="22" t="n"/>
      <c r="E460" s="22" t="n"/>
      <c r="F460" s="27">
        <f>F458-F459</f>
        <v/>
      </c>
      <c r="G460" s="22" t="n"/>
    </row>
    <row r="461">
      <c r="A461" s="29" t="inlineStr">
        <is>
          <t>SAY (Rs.) - final DAR rate as printed (fixed value, not computed)</t>
        </is>
      </c>
      <c r="B461" s="30" t="n"/>
      <c r="C461" s="30" t="n"/>
      <c r="D461" s="30" t="n"/>
      <c r="E461" s="30" t="n"/>
      <c r="F461" s="31" t="n">
        <v>106004</v>
      </c>
      <c r="G461" s="30" t="n"/>
    </row>
    <row r="463" ht="47.5" customHeight="1">
      <c r="A463" s="8" t="inlineStr">
        <is>
          <t>7.14</t>
        </is>
      </c>
      <c r="B463" s="17"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t>
        </is>
      </c>
      <c r="C463" s="9" t="n"/>
      <c r="D463" s="9" t="n"/>
      <c r="E463" s="9" t="n"/>
      <c r="F463" s="9" t="n"/>
      <c r="G463" s="9" t="n"/>
    </row>
    <row r="464" ht="18.5" customHeight="1">
      <c r="A464" s="8" t="inlineStr">
        <is>
          <t>7.14.2</t>
        </is>
      </c>
      <c r="B464" s="17" t="inlineStr">
        <is>
          <t>Both face dressed</t>
        </is>
      </c>
      <c r="C464" s="9" t="n"/>
      <c r="D464" s="9" t="n"/>
      <c r="E464" s="9" t="n"/>
      <c r="F464" s="9" t="n"/>
      <c r="G464" s="9" t="n"/>
    </row>
    <row r="465" ht="18.5" customHeight="1">
      <c r="A465" s="18" t="inlineStr">
        <is>
          <t>7.14.2.1</t>
        </is>
      </c>
      <c r="B465" s="19" t="inlineStr">
        <is>
          <t>Red sand stone</t>
        </is>
      </c>
      <c r="C465" s="20" t="n"/>
      <c r="D465" s="20" t="n"/>
      <c r="E465" s="20" t="n"/>
      <c r="F465" s="20" t="n"/>
      <c r="G465" s="20" t="n"/>
    </row>
    <row r="466">
      <c r="A466" s="21" t="inlineStr">
        <is>
          <t>Details of cost for 10 cudm   |   Source: CivilDAR_2019_Vol_1.pdf, page 341</t>
        </is>
      </c>
    </row>
    <row r="467">
      <c r="A467" s="5" t="inlineStr">
        <is>
          <t>Code</t>
        </is>
      </c>
      <c r="B467" s="5" t="inlineStr">
        <is>
          <t>Description</t>
        </is>
      </c>
      <c r="C467" s="5" t="inlineStr">
        <is>
          <t>Unit</t>
        </is>
      </c>
      <c r="D467" s="5" t="inlineStr">
        <is>
          <t>Quantity</t>
        </is>
      </c>
      <c r="E467" s="5" t="inlineStr">
        <is>
          <t>Rate (Rs.)</t>
        </is>
      </c>
      <c r="F467" s="5" t="inlineStr">
        <is>
          <t>Amount (Rs.)</t>
        </is>
      </c>
      <c r="G467" s="5" t="inlineStr">
        <is>
          <t>Note</t>
        </is>
      </c>
    </row>
    <row r="468">
      <c r="A468" s="22" t="inlineStr">
        <is>
          <t>1160</t>
        </is>
      </c>
      <c r="B468" s="11" t="inlineStr">
        <is>
          <t>Red sand stone block</t>
        </is>
      </c>
      <c r="C468" s="22" t="inlineStr">
        <is>
          <t>10 cudm</t>
        </is>
      </c>
      <c r="D468" s="23" t="n">
        <v>1.333</v>
      </c>
      <c r="E468" s="24" t="n">
        <v>79</v>
      </c>
      <c r="F468" s="24">
        <f>D468*E468</f>
        <v/>
      </c>
      <c r="G468" s="22" t="n"/>
    </row>
    <row r="469">
      <c r="A469" s="22" t="inlineStr">
        <is>
          <t>2216</t>
        </is>
      </c>
      <c r="B469" s="11" t="inlineStr">
        <is>
          <t>Carriage of Stone blocks white &amp; red sand stone &amp; kota stone slab</t>
        </is>
      </c>
      <c r="C469" s="22" t="inlineStr">
        <is>
          <t>tonne</t>
        </is>
      </c>
      <c r="D469" s="23" t="n">
        <v>0.031</v>
      </c>
      <c r="E469" s="24" t="n">
        <v>92.23999999999999</v>
      </c>
      <c r="F469" s="24">
        <f>D469*E469</f>
        <v/>
      </c>
      <c r="G469" s="22" t="n"/>
    </row>
    <row r="470">
      <c r="A470" s="22" t="inlineStr">
        <is>
          <t>0125</t>
        </is>
      </c>
      <c r="B470" s="11" t="inlineStr">
        <is>
          <t>Mason (for plain stone work) 2nd class)</t>
        </is>
      </c>
      <c r="C470" s="22" t="inlineStr">
        <is>
          <t>day</t>
        </is>
      </c>
      <c r="D470" s="23" t="n">
        <v>0.352</v>
      </c>
      <c r="E470" s="24" t="n">
        <v>679</v>
      </c>
      <c r="F470" s="24">
        <f>D470*E470</f>
        <v/>
      </c>
      <c r="G470" s="22" t="n"/>
    </row>
    <row r="471">
      <c r="A471" s="22" t="inlineStr">
        <is>
          <t>0102</t>
        </is>
      </c>
      <c r="B471" s="11" t="inlineStr">
        <is>
          <t>Blacksmith 1st class</t>
        </is>
      </c>
      <c r="C471" s="22" t="inlineStr">
        <is>
          <t>day</t>
        </is>
      </c>
      <c r="D471" s="23" t="n">
        <v>0.012</v>
      </c>
      <c r="E471" s="24" t="n">
        <v>738</v>
      </c>
      <c r="F471" s="24">
        <f>D471*E471</f>
        <v/>
      </c>
      <c r="G471" s="22" t="n"/>
    </row>
    <row r="472">
      <c r="A472" s="22" t="inlineStr">
        <is>
          <t>0126</t>
        </is>
      </c>
      <c r="B472" s="11" t="inlineStr">
        <is>
          <t>Mason (for ornamental stone work) 1st class</t>
        </is>
      </c>
      <c r="C472" s="22" t="inlineStr">
        <is>
          <t>day</t>
        </is>
      </c>
      <c r="D472" s="23" t="n">
        <v>0.352</v>
      </c>
      <c r="E472" s="24" t="n">
        <v>738</v>
      </c>
      <c r="F472" s="24">
        <f>D472*E472</f>
        <v/>
      </c>
      <c r="G472" s="22" t="n"/>
    </row>
    <row r="473">
      <c r="A473" s="22" t="inlineStr">
        <is>
          <t>0114</t>
        </is>
      </c>
      <c r="B473" s="11" t="inlineStr">
        <is>
          <t>Beldar</t>
        </is>
      </c>
      <c r="C473" s="22" t="inlineStr">
        <is>
          <t>day</t>
        </is>
      </c>
      <c r="D473" s="23" t="n">
        <v>0.08799999999999999</v>
      </c>
      <c r="E473" s="24" t="n">
        <v>558</v>
      </c>
      <c r="F473" s="24">
        <f>D473*E473</f>
        <v/>
      </c>
      <c r="G473" s="22" t="n"/>
    </row>
    <row r="474">
      <c r="A474" s="22" t="inlineStr">
        <is>
          <t>0115</t>
        </is>
      </c>
      <c r="B474" s="11" t="inlineStr">
        <is>
          <t>Coolie</t>
        </is>
      </c>
      <c r="C474" s="22" t="inlineStr">
        <is>
          <t>day</t>
        </is>
      </c>
      <c r="D474" s="23" t="n">
        <v>0.044</v>
      </c>
      <c r="E474" s="24" t="n">
        <v>558</v>
      </c>
      <c r="F474" s="24">
        <f>D474*E474</f>
        <v/>
      </c>
      <c r="G474" s="22" t="n"/>
    </row>
    <row r="475">
      <c r="A475" s="22" t="inlineStr">
        <is>
          <t>0100</t>
        </is>
      </c>
      <c r="B475" s="11" t="inlineStr">
        <is>
          <t>Bandhani</t>
        </is>
      </c>
      <c r="C475" s="22" t="inlineStr">
        <is>
          <t>day</t>
        </is>
      </c>
      <c r="D475" s="23" t="n">
        <v>0.08799999999999999</v>
      </c>
      <c r="E475" s="24" t="n">
        <v>617</v>
      </c>
      <c r="F475" s="24">
        <f>D475*E475</f>
        <v/>
      </c>
      <c r="G475" s="22" t="n"/>
    </row>
    <row r="476">
      <c r="A476" s="22" t="inlineStr">
        <is>
          <t>0125</t>
        </is>
      </c>
      <c r="B476" s="11" t="inlineStr">
        <is>
          <t>Mason (for plain stone work) 2nd class)</t>
        </is>
      </c>
      <c r="C476" s="22" t="inlineStr">
        <is>
          <t>day</t>
        </is>
      </c>
      <c r="D476" s="23" t="n">
        <v>0.044</v>
      </c>
      <c r="E476" s="24" t="n">
        <v>679</v>
      </c>
      <c r="F476" s="24">
        <f>D476*E476</f>
        <v/>
      </c>
      <c r="G476" s="22" t="n"/>
    </row>
    <row r="477">
      <c r="A477" s="22" t="inlineStr">
        <is>
          <t>0102</t>
        </is>
      </c>
      <c r="B477" s="11" t="inlineStr">
        <is>
          <t>Blacksmith 1st class</t>
        </is>
      </c>
      <c r="C477" s="22" t="inlineStr">
        <is>
          <t>day</t>
        </is>
      </c>
      <c r="D477" s="23" t="n">
        <v>0.006</v>
      </c>
      <c r="E477" s="24" t="n">
        <v>738</v>
      </c>
      <c r="F477" s="24">
        <f>D477*E477</f>
        <v/>
      </c>
      <c r="G477" s="22" t="n"/>
    </row>
    <row r="478">
      <c r="A478" s="22" t="inlineStr">
        <is>
          <t>0114</t>
        </is>
      </c>
      <c r="B478" s="11" t="inlineStr">
        <is>
          <t>Beldar</t>
        </is>
      </c>
      <c r="C478" s="22" t="inlineStr">
        <is>
          <t>day</t>
        </is>
      </c>
      <c r="D478" s="23" t="n">
        <v>0.022</v>
      </c>
      <c r="E478" s="24" t="n">
        <v>558</v>
      </c>
      <c r="F478" s="24">
        <f>D478*E478</f>
        <v/>
      </c>
      <c r="G478" s="22" t="n"/>
    </row>
    <row r="479">
      <c r="A479" s="22" t="inlineStr">
        <is>
          <t>0115</t>
        </is>
      </c>
      <c r="B479" s="11" t="inlineStr">
        <is>
          <t>Coolie</t>
        </is>
      </c>
      <c r="C479" s="22" t="inlineStr">
        <is>
          <t>day</t>
        </is>
      </c>
      <c r="D479" s="23" t="n">
        <v>0.022</v>
      </c>
      <c r="E479" s="24" t="n">
        <v>558</v>
      </c>
      <c r="F479" s="24">
        <f>D479*E479</f>
        <v/>
      </c>
      <c r="G479" s="22" t="n"/>
    </row>
    <row r="480">
      <c r="A480" s="22" t="inlineStr">
        <is>
          <t>0100</t>
        </is>
      </c>
      <c r="B480" s="11" t="inlineStr">
        <is>
          <t>Bandhani</t>
        </is>
      </c>
      <c r="C480" s="22" t="inlineStr">
        <is>
          <t>day</t>
        </is>
      </c>
      <c r="D480" s="23" t="n">
        <v>0.022</v>
      </c>
      <c r="E480" s="24" t="n">
        <v>617</v>
      </c>
      <c r="F480" s="24">
        <f>D480*E480</f>
        <v/>
      </c>
      <c r="G480" s="22" t="n"/>
    </row>
    <row r="481">
      <c r="A481" s="22" t="inlineStr">
        <is>
          <t>0101</t>
        </is>
      </c>
      <c r="B481" s="11" t="inlineStr">
        <is>
          <t>Bhisti</t>
        </is>
      </c>
      <c r="C481" s="22" t="inlineStr">
        <is>
          <t>day</t>
        </is>
      </c>
      <c r="D481" s="23" t="n">
        <v>0.022</v>
      </c>
      <c r="E481" s="24" t="n">
        <v>617</v>
      </c>
      <c r="F481" s="24">
        <f>D481*E481</f>
        <v/>
      </c>
      <c r="G481" s="22" t="n"/>
    </row>
    <row r="482">
      <c r="A482" s="22" t="inlineStr">
        <is>
          <t>9999</t>
        </is>
      </c>
      <c r="B482" s="11" t="inlineStr">
        <is>
          <t>Scaffolding</t>
        </is>
      </c>
      <c r="C482" s="22" t="inlineStr">
        <is>
          <t>L.S.</t>
        </is>
      </c>
      <c r="D482" s="23" t="n">
        <v>2.73</v>
      </c>
      <c r="E482" s="24" t="n">
        <v>2</v>
      </c>
      <c r="F482" s="24">
        <f>D482*E482</f>
        <v/>
      </c>
      <c r="G482" s="22" t="n"/>
    </row>
    <row r="483">
      <c r="A483" s="22" t="inlineStr">
        <is>
          <t>9999</t>
        </is>
      </c>
      <c r="B483" s="11" t="inlineStr">
        <is>
          <t>Mortar for laying and pointing</t>
        </is>
      </c>
      <c r="C483" s="22" t="inlineStr">
        <is>
          <t>L.S.</t>
        </is>
      </c>
      <c r="D483" s="23" t="n">
        <v>8.06</v>
      </c>
      <c r="E483" s="24" t="n">
        <v>2</v>
      </c>
      <c r="F483" s="24">
        <f>D483*E483</f>
        <v/>
      </c>
      <c r="G483" s="22" t="n"/>
    </row>
    <row r="484">
      <c r="A484" s="22" t="inlineStr">
        <is>
          <t>9999</t>
        </is>
      </c>
      <c r="B484" s="11" t="inlineStr">
        <is>
          <t>Centring and shuttering</t>
        </is>
      </c>
      <c r="C484" s="22" t="inlineStr">
        <is>
          <t>L.S.</t>
        </is>
      </c>
      <c r="D484" s="23" t="n">
        <v>33.15</v>
      </c>
      <c r="E484" s="24" t="n">
        <v>2</v>
      </c>
      <c r="F484" s="24">
        <f>D484*E484</f>
        <v/>
      </c>
      <c r="G484" s="22" t="n"/>
    </row>
    <row r="485">
      <c r="A485" s="22" t="inlineStr">
        <is>
          <t>9999</t>
        </is>
      </c>
      <c r="B485" s="11" t="inlineStr">
        <is>
          <t>Extra for using white cement</t>
        </is>
      </c>
      <c r="C485" s="22" t="inlineStr">
        <is>
          <t>L.S.</t>
        </is>
      </c>
      <c r="D485" s="23" t="n">
        <v>8.06</v>
      </c>
      <c r="E485" s="24" t="n">
        <v>2</v>
      </c>
      <c r="F485" s="24">
        <f>D485*E485</f>
        <v/>
      </c>
      <c r="G485" s="22" t="n"/>
    </row>
    <row r="486">
      <c r="A486" s="22" t="inlineStr">
        <is>
          <t>0115</t>
        </is>
      </c>
      <c r="B486" s="11" t="inlineStr">
        <is>
          <t>Coolie</t>
        </is>
      </c>
      <c r="C486" s="22" t="inlineStr">
        <is>
          <t>day</t>
        </is>
      </c>
      <c r="D486" s="23" t="n">
        <v>0.015</v>
      </c>
      <c r="E486" s="24" t="n">
        <v>558</v>
      </c>
      <c r="F486" s="24">
        <f>D486*E486</f>
        <v/>
      </c>
      <c r="G486" s="22" t="n"/>
    </row>
    <row r="487">
      <c r="A487" s="8" t="inlineStr">
        <is>
          <t>Calculated W - SUM of the Amount column above</t>
        </is>
      </c>
      <c r="B487" s="9" t="n"/>
      <c r="C487" s="9" t="n"/>
      <c r="D487" s="9" t="n"/>
      <c r="E487" s="9" t="n"/>
      <c r="F487" s="25">
        <f>SUM(F468:F486)</f>
        <v/>
      </c>
      <c r="G487" s="9" t="n"/>
    </row>
    <row r="488">
      <c r="A488" s="26" t="inlineStr">
        <is>
          <t>W as printed in the DAR</t>
        </is>
      </c>
      <c r="B488" s="22" t="n"/>
      <c r="C488" s="22" t="n"/>
      <c r="D488" s="22" t="n"/>
      <c r="E488" s="22" t="n"/>
      <c r="F488" s="27" t="n">
        <v>942.13</v>
      </c>
      <c r="G488" s="22" t="n"/>
    </row>
    <row r="489">
      <c r="A489" s="26" t="inlineStr">
        <is>
          <t>Difference (calculated - printed)</t>
        </is>
      </c>
      <c r="B489" s="22" t="n"/>
      <c r="C489" s="22" t="n"/>
      <c r="D489" s="22" t="n"/>
      <c r="E489" s="22" t="n"/>
      <c r="F489" s="27">
        <f>F487-F488</f>
        <v/>
      </c>
      <c r="G489" s="22" t="n"/>
    </row>
    <row r="490">
      <c r="A490" s="29" t="inlineStr">
        <is>
          <t>SAY (Rs.) - final DAR rate as printed (fixed value, not computed)</t>
        </is>
      </c>
      <c r="B490" s="30" t="n"/>
      <c r="C490" s="30" t="n"/>
      <c r="D490" s="30" t="n"/>
      <c r="E490" s="30" t="n"/>
      <c r="F490" s="31" t="n">
        <v>126051</v>
      </c>
      <c r="G490" s="30" t="n"/>
    </row>
    <row r="492" ht="47.5" customHeight="1">
      <c r="A492" s="8" t="inlineStr">
        <is>
          <t>7.14</t>
        </is>
      </c>
      <c r="B492" s="17"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t>
        </is>
      </c>
      <c r="C492" s="9" t="n"/>
      <c r="D492" s="9" t="n"/>
      <c r="E492" s="9" t="n"/>
      <c r="F492" s="9" t="n"/>
      <c r="G492" s="9" t="n"/>
    </row>
    <row r="493" ht="18.5" customHeight="1">
      <c r="A493" s="8" t="inlineStr">
        <is>
          <t>7.14.2</t>
        </is>
      </c>
      <c r="B493" s="17" t="inlineStr">
        <is>
          <t>Both face dressed</t>
        </is>
      </c>
      <c r="C493" s="9" t="n"/>
      <c r="D493" s="9" t="n"/>
      <c r="E493" s="9" t="n"/>
      <c r="F493" s="9" t="n"/>
      <c r="G493" s="9" t="n"/>
    </row>
    <row r="494" ht="18.5" customHeight="1">
      <c r="A494" s="18" t="inlineStr">
        <is>
          <t>7.14.2.2</t>
        </is>
      </c>
      <c r="B494" s="19" t="inlineStr">
        <is>
          <t>White sand stone</t>
        </is>
      </c>
      <c r="C494" s="20" t="n"/>
      <c r="D494" s="20" t="n"/>
      <c r="E494" s="20" t="n"/>
      <c r="F494" s="20" t="n"/>
      <c r="G494" s="20" t="n"/>
    </row>
    <row r="495">
      <c r="A495" s="21" t="inlineStr">
        <is>
          <t>Details of cost for 10 cudm   |   Source: CivilDAR_2019_Vol_1.pdf, page 342</t>
        </is>
      </c>
    </row>
    <row r="496">
      <c r="A496" s="5" t="inlineStr">
        <is>
          <t>Code</t>
        </is>
      </c>
      <c r="B496" s="5" t="inlineStr">
        <is>
          <t>Description</t>
        </is>
      </c>
      <c r="C496" s="5" t="inlineStr">
        <is>
          <t>Unit</t>
        </is>
      </c>
      <c r="D496" s="5" t="inlineStr">
        <is>
          <t>Quantity</t>
        </is>
      </c>
      <c r="E496" s="5" t="inlineStr">
        <is>
          <t>Rate (Rs.)</t>
        </is>
      </c>
      <c r="F496" s="5" t="inlineStr">
        <is>
          <t>Amount (Rs.)</t>
        </is>
      </c>
      <c r="G496" s="5" t="inlineStr">
        <is>
          <t>Note</t>
        </is>
      </c>
    </row>
    <row r="497">
      <c r="A497" s="22" t="inlineStr">
        <is>
          <t>1161</t>
        </is>
      </c>
      <c r="B497" s="11" t="inlineStr">
        <is>
          <t>White sand stone block</t>
        </is>
      </c>
      <c r="C497" s="22" t="inlineStr">
        <is>
          <t>10 cudm</t>
        </is>
      </c>
      <c r="D497" s="23" t="n">
        <v>1.333</v>
      </c>
      <c r="E497" s="24" t="n">
        <v>205</v>
      </c>
      <c r="F497" s="24">
        <f>D497*E497</f>
        <v/>
      </c>
      <c r="G497" s="22" t="n"/>
    </row>
    <row r="498">
      <c r="A498" s="22" t="inlineStr">
        <is>
          <t>2216</t>
        </is>
      </c>
      <c r="B498" s="11" t="inlineStr">
        <is>
          <t>Carriage of Stone blocks white &amp; red sand stone &amp; kota stone slab</t>
        </is>
      </c>
      <c r="C498" s="22" t="inlineStr">
        <is>
          <t>tonne</t>
        </is>
      </c>
      <c r="D498" s="23" t="n">
        <v>0.031</v>
      </c>
      <c r="E498" s="24" t="n">
        <v>92.23999999999999</v>
      </c>
      <c r="F498" s="24">
        <f>D498*E498</f>
        <v/>
      </c>
      <c r="G498" s="22" t="n"/>
    </row>
    <row r="499">
      <c r="A499" s="22" t="inlineStr">
        <is>
          <t>0125</t>
        </is>
      </c>
      <c r="B499" s="11" t="inlineStr">
        <is>
          <t>Mason (for plain stone work) 2nd class)</t>
        </is>
      </c>
      <c r="C499" s="22" t="inlineStr">
        <is>
          <t>day</t>
        </is>
      </c>
      <c r="D499" s="23" t="n">
        <v>0.352</v>
      </c>
      <c r="E499" s="24" t="n">
        <v>679</v>
      </c>
      <c r="F499" s="24">
        <f>D499*E499</f>
        <v/>
      </c>
      <c r="G499" s="22" t="n"/>
    </row>
    <row r="500">
      <c r="A500" s="22" t="inlineStr">
        <is>
          <t>0102</t>
        </is>
      </c>
      <c r="B500" s="11" t="inlineStr">
        <is>
          <t>Blacksmith 1st class</t>
        </is>
      </c>
      <c r="C500" s="22" t="inlineStr">
        <is>
          <t>day</t>
        </is>
      </c>
      <c r="D500" s="23" t="n">
        <v>0.012</v>
      </c>
      <c r="E500" s="24" t="n">
        <v>738</v>
      </c>
      <c r="F500" s="24">
        <f>D500*E500</f>
        <v/>
      </c>
      <c r="G500" s="22" t="n"/>
    </row>
    <row r="501">
      <c r="A501" s="22" t="inlineStr">
        <is>
          <t>0126</t>
        </is>
      </c>
      <c r="B501" s="11" t="inlineStr">
        <is>
          <t>Mason (for ornamental stone work) 1st class</t>
        </is>
      </c>
      <c r="C501" s="22" t="inlineStr">
        <is>
          <t>day</t>
        </is>
      </c>
      <c r="D501" s="23" t="n">
        <v>0.352</v>
      </c>
      <c r="E501" s="24" t="n">
        <v>738</v>
      </c>
      <c r="F501" s="24">
        <f>D501*E501</f>
        <v/>
      </c>
      <c r="G501" s="22" t="n"/>
    </row>
    <row r="502">
      <c r="A502" s="22" t="inlineStr">
        <is>
          <t>0114</t>
        </is>
      </c>
      <c r="B502" s="11" t="inlineStr">
        <is>
          <t>Beldar</t>
        </is>
      </c>
      <c r="C502" s="22" t="inlineStr">
        <is>
          <t>day</t>
        </is>
      </c>
      <c r="D502" s="23" t="n">
        <v>0.08799999999999999</v>
      </c>
      <c r="E502" s="24" t="n">
        <v>558</v>
      </c>
      <c r="F502" s="24">
        <f>D502*E502</f>
        <v/>
      </c>
      <c r="G502" s="22" t="n"/>
    </row>
    <row r="503">
      <c r="A503" s="22" t="inlineStr">
        <is>
          <t>0115</t>
        </is>
      </c>
      <c r="B503" s="11" t="inlineStr">
        <is>
          <t>Coolie</t>
        </is>
      </c>
      <c r="C503" s="22" t="inlineStr">
        <is>
          <t>day</t>
        </is>
      </c>
      <c r="D503" s="23" t="n">
        <v>0.044</v>
      </c>
      <c r="E503" s="24" t="n">
        <v>558</v>
      </c>
      <c r="F503" s="24">
        <f>D503*E503</f>
        <v/>
      </c>
      <c r="G503" s="22" t="n"/>
    </row>
    <row r="504">
      <c r="A504" s="22" t="inlineStr">
        <is>
          <t>0100</t>
        </is>
      </c>
      <c r="B504" s="11" t="inlineStr">
        <is>
          <t>Bandhani</t>
        </is>
      </c>
      <c r="C504" s="22" t="inlineStr">
        <is>
          <t>day</t>
        </is>
      </c>
      <c r="D504" s="23" t="n">
        <v>0.08799999999999999</v>
      </c>
      <c r="E504" s="24" t="n">
        <v>617</v>
      </c>
      <c r="F504" s="24">
        <f>D504*E504</f>
        <v/>
      </c>
      <c r="G504" s="22" t="n"/>
    </row>
    <row r="505">
      <c r="A505" s="22" t="inlineStr">
        <is>
          <t>0125</t>
        </is>
      </c>
      <c r="B505" s="11" t="inlineStr">
        <is>
          <t>Mason (for plain stone work) 2nd class)</t>
        </is>
      </c>
      <c r="C505" s="22" t="inlineStr">
        <is>
          <t>day</t>
        </is>
      </c>
      <c r="D505" s="23" t="n">
        <v>0.044</v>
      </c>
      <c r="E505" s="24" t="n">
        <v>679</v>
      </c>
      <c r="F505" s="24">
        <f>D505*E505</f>
        <v/>
      </c>
      <c r="G505" s="22" t="n"/>
    </row>
    <row r="506">
      <c r="A506" s="22" t="inlineStr">
        <is>
          <t>0102</t>
        </is>
      </c>
      <c r="B506" s="11" t="inlineStr">
        <is>
          <t>Blacksmith 1st class</t>
        </is>
      </c>
      <c r="C506" s="22" t="inlineStr">
        <is>
          <t>day</t>
        </is>
      </c>
      <c r="D506" s="23" t="n">
        <v>0.006</v>
      </c>
      <c r="E506" s="24" t="n">
        <v>738</v>
      </c>
      <c r="F506" s="24">
        <f>D506*E506</f>
        <v/>
      </c>
      <c r="G506" s="22" t="n"/>
    </row>
    <row r="507">
      <c r="A507" s="22" t="inlineStr">
        <is>
          <t>0114</t>
        </is>
      </c>
      <c r="B507" s="11" t="inlineStr">
        <is>
          <t>Beldar</t>
        </is>
      </c>
      <c r="C507" s="22" t="inlineStr">
        <is>
          <t>day</t>
        </is>
      </c>
      <c r="D507" s="23" t="n">
        <v>0.022</v>
      </c>
      <c r="E507" s="24" t="n">
        <v>558</v>
      </c>
      <c r="F507" s="24">
        <f>D507*E507</f>
        <v/>
      </c>
      <c r="G507" s="22" t="n"/>
    </row>
    <row r="508">
      <c r="A508" s="22" t="inlineStr">
        <is>
          <t>0115</t>
        </is>
      </c>
      <c r="B508" s="11" t="inlineStr">
        <is>
          <t>Coolie</t>
        </is>
      </c>
      <c r="C508" s="22" t="inlineStr">
        <is>
          <t>day</t>
        </is>
      </c>
      <c r="D508" s="23" t="n">
        <v>0.022</v>
      </c>
      <c r="E508" s="24" t="n">
        <v>558</v>
      </c>
      <c r="F508" s="24">
        <f>D508*E508</f>
        <v/>
      </c>
      <c r="G508" s="22" t="n"/>
    </row>
    <row r="509">
      <c r="A509" s="22" t="inlineStr">
        <is>
          <t>0100</t>
        </is>
      </c>
      <c r="B509" s="11" t="inlineStr">
        <is>
          <t>Bandhani</t>
        </is>
      </c>
      <c r="C509" s="22" t="inlineStr">
        <is>
          <t>day</t>
        </is>
      </c>
      <c r="D509" s="23" t="n">
        <v>0.022</v>
      </c>
      <c r="E509" s="24" t="n">
        <v>617</v>
      </c>
      <c r="F509" s="24">
        <f>D509*E509</f>
        <v/>
      </c>
      <c r="G509" s="22" t="n"/>
    </row>
    <row r="510">
      <c r="A510" s="22" t="inlineStr">
        <is>
          <t>0101</t>
        </is>
      </c>
      <c r="B510" s="11" t="inlineStr">
        <is>
          <t>Bhisti</t>
        </is>
      </c>
      <c r="C510" s="22" t="inlineStr">
        <is>
          <t>day</t>
        </is>
      </c>
      <c r="D510" s="23" t="n">
        <v>0.022</v>
      </c>
      <c r="E510" s="24" t="n">
        <v>617</v>
      </c>
      <c r="F510" s="24">
        <f>D510*E510</f>
        <v/>
      </c>
      <c r="G510" s="22" t="n"/>
    </row>
    <row r="511">
      <c r="A511" s="22" t="inlineStr">
        <is>
          <t>9999</t>
        </is>
      </c>
      <c r="B511" s="11" t="inlineStr">
        <is>
          <t>Scaffolding</t>
        </is>
      </c>
      <c r="C511" s="22" t="inlineStr">
        <is>
          <t>L.S.</t>
        </is>
      </c>
      <c r="D511" s="23" t="n">
        <v>2.73</v>
      </c>
      <c r="E511" s="24" t="n">
        <v>2</v>
      </c>
      <c r="F511" s="24">
        <f>D511*E511</f>
        <v/>
      </c>
      <c r="G511" s="22" t="n"/>
    </row>
    <row r="512">
      <c r="A512" s="22" t="inlineStr">
        <is>
          <t>9999</t>
        </is>
      </c>
      <c r="B512" s="11" t="inlineStr">
        <is>
          <t>Mortar for laying and pointing</t>
        </is>
      </c>
      <c r="C512" s="22" t="inlineStr">
        <is>
          <t>L.S.</t>
        </is>
      </c>
      <c r="D512" s="23" t="n">
        <v>8.06</v>
      </c>
      <c r="E512" s="24" t="n">
        <v>2</v>
      </c>
      <c r="F512" s="24">
        <f>D512*E512</f>
        <v/>
      </c>
      <c r="G512" s="22" t="n"/>
    </row>
    <row r="513">
      <c r="A513" s="22" t="inlineStr">
        <is>
          <t>9999</t>
        </is>
      </c>
      <c r="B513" s="11" t="inlineStr">
        <is>
          <t>Centring and shuttering</t>
        </is>
      </c>
      <c r="C513" s="22" t="inlineStr">
        <is>
          <t>L.S.</t>
        </is>
      </c>
      <c r="D513" s="23" t="n">
        <v>33.15</v>
      </c>
      <c r="E513" s="24" t="n">
        <v>2</v>
      </c>
      <c r="F513" s="24">
        <f>D513*E513</f>
        <v/>
      </c>
      <c r="G513" s="22" t="n"/>
    </row>
    <row r="514">
      <c r="A514" s="22" t="inlineStr">
        <is>
          <t>9999</t>
        </is>
      </c>
      <c r="B514" s="11" t="inlineStr">
        <is>
          <t>Extra for using white cement</t>
        </is>
      </c>
      <c r="C514" s="22" t="inlineStr">
        <is>
          <t>L.S.</t>
        </is>
      </c>
      <c r="D514" s="23" t="n">
        <v>8.06</v>
      </c>
      <c r="E514" s="24" t="n">
        <v>2</v>
      </c>
      <c r="F514" s="24">
        <f>D514*E514</f>
        <v/>
      </c>
      <c r="G514" s="22" t="n"/>
    </row>
    <row r="515">
      <c r="A515" s="22" t="inlineStr">
        <is>
          <t>0115</t>
        </is>
      </c>
      <c r="B515" s="11" t="inlineStr">
        <is>
          <t>Coolie</t>
        </is>
      </c>
      <c r="C515" s="22" t="inlineStr">
        <is>
          <t>day</t>
        </is>
      </c>
      <c r="D515" s="23" t="n">
        <v>0.015</v>
      </c>
      <c r="E515" s="24" t="n">
        <v>558</v>
      </c>
      <c r="F515" s="24">
        <f>D515*E515</f>
        <v/>
      </c>
      <c r="G515" s="22" t="n"/>
    </row>
    <row r="516">
      <c r="A516" s="8" t="inlineStr">
        <is>
          <t>Calculated W - SUM of the Amount column above</t>
        </is>
      </c>
      <c r="B516" s="9" t="n"/>
      <c r="C516" s="9" t="n"/>
      <c r="D516" s="9" t="n"/>
      <c r="E516" s="9" t="n"/>
      <c r="F516" s="25">
        <f>SUM(F497:F515)</f>
        <v/>
      </c>
      <c r="G516" s="9" t="n"/>
    </row>
    <row r="517">
      <c r="A517" s="26" t="inlineStr">
        <is>
          <t>W as printed in the DAR</t>
        </is>
      </c>
      <c r="B517" s="22" t="n"/>
      <c r="C517" s="22" t="n"/>
      <c r="D517" s="22" t="n"/>
      <c r="E517" s="22" t="n"/>
      <c r="F517" s="27" t="n">
        <v>1110.09</v>
      </c>
      <c r="G517" s="22" t="n"/>
    </row>
    <row r="518">
      <c r="A518" s="26" t="inlineStr">
        <is>
          <t>Difference (calculated - printed)</t>
        </is>
      </c>
      <c r="B518" s="22" t="n"/>
      <c r="C518" s="22" t="n"/>
      <c r="D518" s="22" t="n"/>
      <c r="E518" s="22" t="n"/>
      <c r="F518" s="27">
        <f>F516-F517</f>
        <v/>
      </c>
      <c r="G518" s="22" t="n"/>
    </row>
    <row r="519">
      <c r="A519" s="29" t="inlineStr">
        <is>
          <t>SAY (Rs.) - final DAR rate as printed (fixed value, not computed)</t>
        </is>
      </c>
      <c r="B519" s="30" t="n"/>
      <c r="C519" s="30" t="n"/>
      <c r="D519" s="30" t="n"/>
      <c r="E519" s="30" t="n"/>
      <c r="F519" s="31" t="n">
        <v>148523</v>
      </c>
      <c r="G519" s="30" t="n"/>
    </row>
    <row r="521" ht="47.5" customHeight="1">
      <c r="A521" s="8" t="inlineStr">
        <is>
          <t>7.15</t>
        </is>
      </c>
      <c r="B521" s="17" t="inlineStr">
        <is>
          <t>Stone work ashlar punched (ordinary) in superstructure upto floor five level in cement mortar 1:6 (1 white cement : 6 coarse sand) including pointing with cement mortar 1:2 (1 white cement : 2 stone dust) with an admixture of pigment matching the stone shade.</t>
        </is>
      </c>
      <c r="C521" s="9" t="n"/>
      <c r="D521" s="9" t="n"/>
      <c r="E521" s="9" t="n"/>
      <c r="F521" s="9" t="n"/>
      <c r="G521" s="9" t="n"/>
    </row>
    <row r="522" ht="18.5" customHeight="1">
      <c r="A522" s="8" t="inlineStr">
        <is>
          <t>7.15.1</t>
        </is>
      </c>
      <c r="B522" s="17" t="inlineStr">
        <is>
          <t>One face dressed</t>
        </is>
      </c>
      <c r="C522" s="9" t="n"/>
      <c r="D522" s="9" t="n"/>
      <c r="E522" s="9" t="n"/>
      <c r="F522" s="9" t="n"/>
      <c r="G522" s="9" t="n"/>
    </row>
    <row r="523" ht="18.5" customHeight="1">
      <c r="A523" s="18" t="inlineStr">
        <is>
          <t>7.15.1.1</t>
        </is>
      </c>
      <c r="B523" s="19" t="inlineStr">
        <is>
          <t>Red sand stone</t>
        </is>
      </c>
      <c r="C523" s="20" t="n"/>
      <c r="D523" s="20" t="n"/>
      <c r="E523" s="20" t="n"/>
      <c r="F523" s="20" t="n"/>
      <c r="G523" s="20" t="n"/>
    </row>
    <row r="524">
      <c r="A524" s="21" t="inlineStr">
        <is>
          <t>Details of cost for 10 cudm   |   Source: CivilDAR_2019_Vol_1.pdf, page 343</t>
        </is>
      </c>
    </row>
    <row r="525">
      <c r="A525" s="5" t="inlineStr">
        <is>
          <t>Code</t>
        </is>
      </c>
      <c r="B525" s="5" t="inlineStr">
        <is>
          <t>Description</t>
        </is>
      </c>
      <c r="C525" s="5" t="inlineStr">
        <is>
          <t>Unit</t>
        </is>
      </c>
      <c r="D525" s="5" t="inlineStr">
        <is>
          <t>Quantity</t>
        </is>
      </c>
      <c r="E525" s="5" t="inlineStr">
        <is>
          <t>Rate (Rs.)</t>
        </is>
      </c>
      <c r="F525" s="5" t="inlineStr">
        <is>
          <t>Amount (Rs.)</t>
        </is>
      </c>
      <c r="G525" s="5" t="inlineStr">
        <is>
          <t>Note</t>
        </is>
      </c>
    </row>
    <row r="526">
      <c r="A526" s="22" t="inlineStr">
        <is>
          <t>1160</t>
        </is>
      </c>
      <c r="B526" s="11" t="inlineStr">
        <is>
          <t>Red sand stone block</t>
        </is>
      </c>
      <c r="C526" s="22" t="inlineStr">
        <is>
          <t>10 cudm</t>
        </is>
      </c>
      <c r="D526" s="23" t="n">
        <v>1.333</v>
      </c>
      <c r="E526" s="24" t="n">
        <v>79</v>
      </c>
      <c r="F526" s="24">
        <f>D526*E526</f>
        <v/>
      </c>
      <c r="G526" s="22" t="n"/>
    </row>
    <row r="527">
      <c r="A527" s="22" t="inlineStr">
        <is>
          <t>2216</t>
        </is>
      </c>
      <c r="B527" s="11" t="inlineStr">
        <is>
          <t>Carriage of Stone blocks white &amp; red sand stone &amp; kota stone slab</t>
        </is>
      </c>
      <c r="C527" s="22" t="inlineStr">
        <is>
          <t>tonne</t>
        </is>
      </c>
      <c r="D527" s="23" t="n">
        <v>0.031</v>
      </c>
      <c r="E527" s="24" t="n">
        <v>92.23999999999999</v>
      </c>
      <c r="F527" s="24">
        <f>D527*E527</f>
        <v/>
      </c>
      <c r="G527" s="22" t="n"/>
    </row>
    <row r="528">
      <c r="A528" s="22" t="inlineStr">
        <is>
          <t>0125</t>
        </is>
      </c>
      <c r="B528" s="11" t="inlineStr">
        <is>
          <t>Mason (for plain stone work) 2nd class)</t>
        </is>
      </c>
      <c r="C528" s="22" t="inlineStr">
        <is>
          <t>day</t>
        </is>
      </c>
      <c r="D528" s="23" t="n">
        <v>0.059</v>
      </c>
      <c r="E528" s="24" t="n">
        <v>679</v>
      </c>
      <c r="F528" s="24">
        <f>D528*E528</f>
        <v/>
      </c>
      <c r="G528" s="22" t="n"/>
    </row>
    <row r="529">
      <c r="A529" s="22" t="inlineStr">
        <is>
          <t>0102</t>
        </is>
      </c>
      <c r="B529" s="11" t="inlineStr">
        <is>
          <t>Blacksmith 1st class</t>
        </is>
      </c>
      <c r="C529" s="22" t="inlineStr">
        <is>
          <t>day</t>
        </is>
      </c>
      <c r="D529" s="23" t="n">
        <v>0.006</v>
      </c>
      <c r="E529" s="24" t="n">
        <v>738</v>
      </c>
      <c r="F529" s="24">
        <f>D529*E529</f>
        <v/>
      </c>
      <c r="G529" s="22" t="n"/>
    </row>
    <row r="530">
      <c r="A530" s="22" t="inlineStr">
        <is>
          <t>0114</t>
        </is>
      </c>
      <c r="B530" s="11" t="inlineStr">
        <is>
          <t>Beldar</t>
        </is>
      </c>
      <c r="C530" s="22" t="inlineStr">
        <is>
          <t>day</t>
        </is>
      </c>
      <c r="D530" s="23" t="n">
        <v>0.044</v>
      </c>
      <c r="E530" s="24" t="n">
        <v>558</v>
      </c>
      <c r="F530" s="24">
        <f>D530*E530</f>
        <v/>
      </c>
      <c r="G530" s="22" t="n"/>
    </row>
    <row r="531">
      <c r="A531" s="22" t="inlineStr">
        <is>
          <t>0115</t>
        </is>
      </c>
      <c r="B531" s="11" t="inlineStr">
        <is>
          <t>Coolie</t>
        </is>
      </c>
      <c r="C531" s="22" t="inlineStr">
        <is>
          <t>day</t>
        </is>
      </c>
      <c r="D531" s="23" t="n">
        <v>0.022</v>
      </c>
      <c r="E531" s="24" t="n">
        <v>558</v>
      </c>
      <c r="F531" s="24">
        <f>D531*E531</f>
        <v/>
      </c>
      <c r="G531" s="22" t="n"/>
    </row>
    <row r="532">
      <c r="A532" s="22" t="inlineStr">
        <is>
          <t>0100</t>
        </is>
      </c>
      <c r="B532" s="11" t="inlineStr">
        <is>
          <t>Bandhani</t>
        </is>
      </c>
      <c r="C532" s="22" t="inlineStr">
        <is>
          <t>day</t>
        </is>
      </c>
      <c r="D532" s="23" t="n">
        <v>0.044</v>
      </c>
      <c r="E532" s="24" t="n">
        <v>617</v>
      </c>
      <c r="F532" s="24">
        <f>D532*E532</f>
        <v/>
      </c>
      <c r="G532" s="22" t="n"/>
    </row>
    <row r="533">
      <c r="A533" s="22" t="inlineStr">
        <is>
          <t>0125</t>
        </is>
      </c>
      <c r="B533" s="11" t="inlineStr">
        <is>
          <t>Mason (for plain stone work) 2nd class)</t>
        </is>
      </c>
      <c r="C533" s="22" t="inlineStr">
        <is>
          <t>day</t>
        </is>
      </c>
      <c r="D533" s="23" t="n">
        <v>0.044</v>
      </c>
      <c r="E533" s="24" t="n">
        <v>679</v>
      </c>
      <c r="F533" s="24">
        <f>D533*E533</f>
        <v/>
      </c>
      <c r="G533" s="22" t="n"/>
    </row>
    <row r="534">
      <c r="A534" s="22" t="inlineStr">
        <is>
          <t>0102</t>
        </is>
      </c>
      <c r="B534" s="11" t="inlineStr">
        <is>
          <t>Blacksmith 1st class</t>
        </is>
      </c>
      <c r="C534" s="22" t="inlineStr">
        <is>
          <t>day</t>
        </is>
      </c>
      <c r="D534" s="23" t="n">
        <v>0.006</v>
      </c>
      <c r="E534" s="24" t="n">
        <v>738</v>
      </c>
      <c r="F534" s="24">
        <f>D534*E534</f>
        <v/>
      </c>
      <c r="G534" s="22" t="n"/>
    </row>
    <row r="535">
      <c r="A535" s="22" t="inlineStr">
        <is>
          <t>0114</t>
        </is>
      </c>
      <c r="B535" s="11" t="inlineStr">
        <is>
          <t>Beldar</t>
        </is>
      </c>
      <c r="C535" s="22" t="inlineStr">
        <is>
          <t>day</t>
        </is>
      </c>
      <c r="D535" s="23" t="n">
        <v>0.022</v>
      </c>
      <c r="E535" s="24" t="n">
        <v>558</v>
      </c>
      <c r="F535" s="24">
        <f>D535*E535</f>
        <v/>
      </c>
      <c r="G535" s="22" t="n"/>
    </row>
    <row r="536">
      <c r="A536" s="22" t="inlineStr">
        <is>
          <t>0115</t>
        </is>
      </c>
      <c r="B536" s="11" t="inlineStr">
        <is>
          <t>Coolie</t>
        </is>
      </c>
      <c r="C536" s="22" t="inlineStr">
        <is>
          <t>day</t>
        </is>
      </c>
      <c r="D536" s="23" t="n">
        <v>0.022</v>
      </c>
      <c r="E536" s="24" t="n">
        <v>558</v>
      </c>
      <c r="F536" s="24">
        <f>D536*E536</f>
        <v/>
      </c>
      <c r="G536" s="22" t="n"/>
    </row>
    <row r="537">
      <c r="A537" s="22" t="inlineStr">
        <is>
          <t>0100</t>
        </is>
      </c>
      <c r="B537" s="11" t="inlineStr">
        <is>
          <t>Bandhani</t>
        </is>
      </c>
      <c r="C537" s="22" t="inlineStr">
        <is>
          <t>day</t>
        </is>
      </c>
      <c r="D537" s="23" t="n">
        <v>0.022</v>
      </c>
      <c r="E537" s="24" t="n">
        <v>617</v>
      </c>
      <c r="F537" s="24">
        <f>D537*E537</f>
        <v/>
      </c>
      <c r="G537" s="22" t="n"/>
    </row>
    <row r="538">
      <c r="A538" s="22" t="inlineStr">
        <is>
          <t>0101</t>
        </is>
      </c>
      <c r="B538" s="11" t="inlineStr">
        <is>
          <t>Bhisti</t>
        </is>
      </c>
      <c r="C538" s="22" t="inlineStr">
        <is>
          <t>day</t>
        </is>
      </c>
      <c r="D538" s="23" t="n">
        <v>0.022</v>
      </c>
      <c r="E538" s="24" t="n">
        <v>617</v>
      </c>
      <c r="F538" s="24">
        <f>D538*E538</f>
        <v/>
      </c>
      <c r="G538" s="22" t="n"/>
    </row>
    <row r="539">
      <c r="A539" s="22" t="inlineStr">
        <is>
          <t>9999</t>
        </is>
      </c>
      <c r="B539" s="11" t="inlineStr">
        <is>
          <t>Scaffolding</t>
        </is>
      </c>
      <c r="C539" s="22" t="inlineStr">
        <is>
          <t>L.S.</t>
        </is>
      </c>
      <c r="D539" s="23" t="n">
        <v>2.73</v>
      </c>
      <c r="E539" s="24" t="n">
        <v>2</v>
      </c>
      <c r="F539" s="24">
        <f>D539*E539</f>
        <v/>
      </c>
      <c r="G539" s="22" t="n"/>
    </row>
    <row r="540">
      <c r="A540" s="22" t="inlineStr">
        <is>
          <t>9999</t>
        </is>
      </c>
      <c r="B540" s="11" t="inlineStr">
        <is>
          <t>Mortar for laying and pointing</t>
        </is>
      </c>
      <c r="C540" s="22" t="inlineStr">
        <is>
          <t>L.S.</t>
        </is>
      </c>
      <c r="D540" s="23" t="n">
        <v>8.06</v>
      </c>
      <c r="E540" s="24" t="n">
        <v>2</v>
      </c>
      <c r="F540" s="24">
        <f>D540*E540</f>
        <v/>
      </c>
      <c r="G540" s="22" t="n"/>
    </row>
    <row r="541">
      <c r="A541" s="22" t="inlineStr">
        <is>
          <t>0115</t>
        </is>
      </c>
      <c r="B541" s="11" t="inlineStr">
        <is>
          <t>Coolie</t>
        </is>
      </c>
      <c r="C541" s="22" t="inlineStr">
        <is>
          <t>day</t>
        </is>
      </c>
      <c r="D541" s="23" t="n">
        <v>0.015</v>
      </c>
      <c r="E541" s="24" t="n">
        <v>558</v>
      </c>
      <c r="F541" s="24">
        <f>D541*E541</f>
        <v/>
      </c>
      <c r="G541" s="22" t="n"/>
    </row>
    <row r="542">
      <c r="A542" s="8" t="inlineStr">
        <is>
          <t>Calculated W - SUM of the Amount column above</t>
        </is>
      </c>
      <c r="B542" s="9" t="n"/>
      <c r="C542" s="9" t="n"/>
      <c r="D542" s="9" t="n"/>
      <c r="E542" s="9" t="n"/>
      <c r="F542" s="25">
        <f>SUM(F526:F541)</f>
        <v/>
      </c>
      <c r="G542" s="9" t="n"/>
    </row>
    <row r="543">
      <c r="A543" s="26" t="inlineStr">
        <is>
          <t>W as printed in the DAR</t>
        </is>
      </c>
      <c r="B543" s="22" t="n"/>
      <c r="C543" s="22" t="n"/>
      <c r="D543" s="22" t="n"/>
      <c r="E543" s="22" t="n"/>
      <c r="F543" s="27" t="n">
        <v>332.59</v>
      </c>
      <c r="G543" s="22" t="n"/>
    </row>
    <row r="544">
      <c r="A544" s="26" t="inlineStr">
        <is>
          <t>Difference (calculated - printed)</t>
        </is>
      </c>
      <c r="B544" s="22" t="n"/>
      <c r="C544" s="22" t="n"/>
      <c r="D544" s="22" t="n"/>
      <c r="E544" s="22" t="n"/>
      <c r="F544" s="27">
        <f>F542-F543</f>
        <v/>
      </c>
      <c r="G544" s="22" t="n"/>
    </row>
    <row r="545">
      <c r="A545" s="29" t="inlineStr">
        <is>
          <t>SAY (Rs.) - final DAR rate as printed (fixed value, not computed)</t>
        </is>
      </c>
      <c r="B545" s="30" t="n"/>
      <c r="C545" s="30" t="n"/>
      <c r="D545" s="30" t="n"/>
      <c r="E545" s="30" t="n"/>
      <c r="F545" s="31" t="n">
        <v>44498</v>
      </c>
      <c r="G545" s="30" t="n"/>
    </row>
    <row r="547" ht="47.5" customHeight="1">
      <c r="A547" s="8" t="inlineStr">
        <is>
          <t>7.15</t>
        </is>
      </c>
      <c r="B547" s="17" t="inlineStr">
        <is>
          <t>Stone work ashlar punched (ordinary) in superstructure upto floor five level in cement mortar 1:6 (1 white cement : 6 coarse sand) including pointing with cement mortar 1:2 (1 white cement : 2 stone dust) with an admixture of pigment matching the stone shade.</t>
        </is>
      </c>
      <c r="C547" s="9" t="n"/>
      <c r="D547" s="9" t="n"/>
      <c r="E547" s="9" t="n"/>
      <c r="F547" s="9" t="n"/>
      <c r="G547" s="9" t="n"/>
    </row>
    <row r="548" ht="18.5" customHeight="1">
      <c r="A548" s="8" t="inlineStr">
        <is>
          <t>7.15.1</t>
        </is>
      </c>
      <c r="B548" s="17" t="inlineStr">
        <is>
          <t>One face dressed</t>
        </is>
      </c>
      <c r="C548" s="9" t="n"/>
      <c r="D548" s="9" t="n"/>
      <c r="E548" s="9" t="n"/>
      <c r="F548" s="9" t="n"/>
      <c r="G548" s="9" t="n"/>
    </row>
    <row r="549" ht="18.5" customHeight="1">
      <c r="A549" s="18" t="inlineStr">
        <is>
          <t>7.15.1.2</t>
        </is>
      </c>
      <c r="B549" s="19" t="inlineStr">
        <is>
          <t>White sand stone</t>
        </is>
      </c>
      <c r="C549" s="20" t="n"/>
      <c r="D549" s="20" t="n"/>
      <c r="E549" s="20" t="n"/>
      <c r="F549" s="20" t="n"/>
      <c r="G549" s="20" t="n"/>
    </row>
    <row r="550">
      <c r="A550" s="21" t="inlineStr">
        <is>
          <t>Details of cost for 10 cudm   |   Source: CivilDAR_2019_Vol_1.pdf, page 344</t>
        </is>
      </c>
    </row>
    <row r="551">
      <c r="A551" s="5" t="inlineStr">
        <is>
          <t>Code</t>
        </is>
      </c>
      <c r="B551" s="5" t="inlineStr">
        <is>
          <t>Description</t>
        </is>
      </c>
      <c r="C551" s="5" t="inlineStr">
        <is>
          <t>Unit</t>
        </is>
      </c>
      <c r="D551" s="5" t="inlineStr">
        <is>
          <t>Quantity</t>
        </is>
      </c>
      <c r="E551" s="5" t="inlineStr">
        <is>
          <t>Rate (Rs.)</t>
        </is>
      </c>
      <c r="F551" s="5" t="inlineStr">
        <is>
          <t>Amount (Rs.)</t>
        </is>
      </c>
      <c r="G551" s="5" t="inlineStr">
        <is>
          <t>Note</t>
        </is>
      </c>
    </row>
    <row r="552">
      <c r="A552" s="22" t="inlineStr">
        <is>
          <t>1161</t>
        </is>
      </c>
      <c r="B552" s="11" t="inlineStr">
        <is>
          <t>White sand stone block</t>
        </is>
      </c>
      <c r="C552" s="22" t="inlineStr">
        <is>
          <t>10 cudm</t>
        </is>
      </c>
      <c r="D552" s="23" t="n">
        <v>1.333</v>
      </c>
      <c r="E552" s="24" t="n">
        <v>205</v>
      </c>
      <c r="F552" s="24">
        <f>D552*E552</f>
        <v/>
      </c>
      <c r="G552" s="22" t="n"/>
    </row>
    <row r="553">
      <c r="A553" s="22" t="inlineStr">
        <is>
          <t>2216</t>
        </is>
      </c>
      <c r="B553" s="11" t="inlineStr">
        <is>
          <t>Carriage of Stone blocks white &amp; red sand stone &amp; kota stone slab</t>
        </is>
      </c>
      <c r="C553" s="22" t="inlineStr">
        <is>
          <t>tonne</t>
        </is>
      </c>
      <c r="D553" s="23" t="n">
        <v>0.031</v>
      </c>
      <c r="E553" s="24" t="n">
        <v>92.23999999999999</v>
      </c>
      <c r="F553" s="24">
        <f>D553*E553</f>
        <v/>
      </c>
      <c r="G553" s="22" t="n"/>
    </row>
    <row r="554">
      <c r="A554" s="22" t="inlineStr">
        <is>
          <t>0125</t>
        </is>
      </c>
      <c r="B554" s="11" t="inlineStr">
        <is>
          <t>Mason (for plain stone work) 2nd class)</t>
        </is>
      </c>
      <c r="C554" s="22" t="inlineStr">
        <is>
          <t>day</t>
        </is>
      </c>
      <c r="D554" s="23" t="n">
        <v>0.059</v>
      </c>
      <c r="E554" s="24" t="n">
        <v>679</v>
      </c>
      <c r="F554" s="24">
        <f>D554*E554</f>
        <v/>
      </c>
      <c r="G554" s="22" t="n"/>
    </row>
    <row r="555">
      <c r="A555" s="22" t="inlineStr">
        <is>
          <t>0102</t>
        </is>
      </c>
      <c r="B555" s="11" t="inlineStr">
        <is>
          <t>Blacksmith 1st class</t>
        </is>
      </c>
      <c r="C555" s="22" t="inlineStr">
        <is>
          <t>day</t>
        </is>
      </c>
      <c r="D555" s="23" t="n">
        <v>0.006</v>
      </c>
      <c r="E555" s="24" t="n">
        <v>738</v>
      </c>
      <c r="F555" s="24">
        <f>D555*E555</f>
        <v/>
      </c>
      <c r="G555" s="22" t="n"/>
    </row>
    <row r="556">
      <c r="A556" s="22" t="inlineStr">
        <is>
          <t>0114</t>
        </is>
      </c>
      <c r="B556" s="11" t="inlineStr">
        <is>
          <t>Beldar</t>
        </is>
      </c>
      <c r="C556" s="22" t="inlineStr">
        <is>
          <t>day</t>
        </is>
      </c>
      <c r="D556" s="23" t="n">
        <v>0.044</v>
      </c>
      <c r="E556" s="24" t="n">
        <v>558</v>
      </c>
      <c r="F556" s="24">
        <f>D556*E556</f>
        <v/>
      </c>
      <c r="G556" s="22" t="n"/>
    </row>
    <row r="557">
      <c r="A557" s="22" t="inlineStr">
        <is>
          <t>0115</t>
        </is>
      </c>
      <c r="B557" s="11" t="inlineStr">
        <is>
          <t>Coolie</t>
        </is>
      </c>
      <c r="C557" s="22" t="inlineStr">
        <is>
          <t>day</t>
        </is>
      </c>
      <c r="D557" s="23" t="n">
        <v>0.022</v>
      </c>
      <c r="E557" s="24" t="n">
        <v>558</v>
      </c>
      <c r="F557" s="24">
        <f>D557*E557</f>
        <v/>
      </c>
      <c r="G557" s="22" t="n"/>
    </row>
    <row r="558">
      <c r="A558" s="22" t="inlineStr">
        <is>
          <t>0100</t>
        </is>
      </c>
      <c r="B558" s="11" t="inlineStr">
        <is>
          <t>Bandhani</t>
        </is>
      </c>
      <c r="C558" s="22" t="inlineStr">
        <is>
          <t>day</t>
        </is>
      </c>
      <c r="D558" s="23" t="n">
        <v>0.044</v>
      </c>
      <c r="E558" s="24" t="n">
        <v>617</v>
      </c>
      <c r="F558" s="24">
        <f>D558*E558</f>
        <v/>
      </c>
      <c r="G558" s="22" t="n"/>
    </row>
    <row r="559">
      <c r="A559" s="22" t="inlineStr">
        <is>
          <t>0125</t>
        </is>
      </c>
      <c r="B559" s="11" t="inlineStr">
        <is>
          <t>Mason (for plain stone work) 2nd class)</t>
        </is>
      </c>
      <c r="C559" s="22" t="inlineStr">
        <is>
          <t>day</t>
        </is>
      </c>
      <c r="D559" s="23" t="n">
        <v>0.044</v>
      </c>
      <c r="E559" s="24" t="n">
        <v>679</v>
      </c>
      <c r="F559" s="24">
        <f>D559*E559</f>
        <v/>
      </c>
      <c r="G559" s="22" t="n"/>
    </row>
    <row r="560">
      <c r="A560" s="22" t="inlineStr">
        <is>
          <t>0102</t>
        </is>
      </c>
      <c r="B560" s="11" t="inlineStr">
        <is>
          <t>Blacksmith 1st class</t>
        </is>
      </c>
      <c r="C560" s="22" t="inlineStr">
        <is>
          <t>day</t>
        </is>
      </c>
      <c r="D560" s="23" t="n">
        <v>0.006</v>
      </c>
      <c r="E560" s="24" t="n">
        <v>738</v>
      </c>
      <c r="F560" s="24">
        <f>D560*E560</f>
        <v/>
      </c>
      <c r="G560" s="22" t="n"/>
    </row>
    <row r="561">
      <c r="A561" s="22" t="inlineStr">
        <is>
          <t>0114</t>
        </is>
      </c>
      <c r="B561" s="11" t="inlineStr">
        <is>
          <t>Beldar</t>
        </is>
      </c>
      <c r="C561" s="22" t="inlineStr">
        <is>
          <t>day</t>
        </is>
      </c>
      <c r="D561" s="23" t="n">
        <v>0.022</v>
      </c>
      <c r="E561" s="24" t="n">
        <v>558</v>
      </c>
      <c r="F561" s="24">
        <f>D561*E561</f>
        <v/>
      </c>
      <c r="G561" s="22" t="n"/>
    </row>
    <row r="562">
      <c r="A562" s="22" t="inlineStr">
        <is>
          <t>0115</t>
        </is>
      </c>
      <c r="B562" s="11" t="inlineStr">
        <is>
          <t>Coolie</t>
        </is>
      </c>
      <c r="C562" s="22" t="inlineStr">
        <is>
          <t>day</t>
        </is>
      </c>
      <c r="D562" s="23" t="n">
        <v>0.022</v>
      </c>
      <c r="E562" s="24" t="n">
        <v>558</v>
      </c>
      <c r="F562" s="24">
        <f>D562*E562</f>
        <v/>
      </c>
      <c r="G562" s="22" t="n"/>
    </row>
    <row r="563">
      <c r="A563" s="22" t="inlineStr">
        <is>
          <t>0100</t>
        </is>
      </c>
      <c r="B563" s="11" t="inlineStr">
        <is>
          <t>Bandhani</t>
        </is>
      </c>
      <c r="C563" s="22" t="inlineStr">
        <is>
          <t>day</t>
        </is>
      </c>
      <c r="D563" s="23" t="n">
        <v>0.022</v>
      </c>
      <c r="E563" s="24" t="n">
        <v>617</v>
      </c>
      <c r="F563" s="24">
        <f>D563*E563</f>
        <v/>
      </c>
      <c r="G563" s="22" t="n"/>
    </row>
    <row r="564">
      <c r="A564" s="22" t="inlineStr">
        <is>
          <t>0101</t>
        </is>
      </c>
      <c r="B564" s="11" t="inlineStr">
        <is>
          <t>Bhisti</t>
        </is>
      </c>
      <c r="C564" s="22" t="inlineStr">
        <is>
          <t>day</t>
        </is>
      </c>
      <c r="D564" s="23" t="n">
        <v>0.022</v>
      </c>
      <c r="E564" s="24" t="n">
        <v>617</v>
      </c>
      <c r="F564" s="24">
        <f>D564*E564</f>
        <v/>
      </c>
      <c r="G564" s="22" t="n"/>
    </row>
    <row r="565">
      <c r="A565" s="22" t="inlineStr">
        <is>
          <t>9999</t>
        </is>
      </c>
      <c r="B565" s="11" t="inlineStr">
        <is>
          <t>Scaffolding</t>
        </is>
      </c>
      <c r="C565" s="22" t="inlineStr">
        <is>
          <t>L.S.</t>
        </is>
      </c>
      <c r="D565" s="23" t="n">
        <v>2.73</v>
      </c>
      <c r="E565" s="24" t="n">
        <v>2</v>
      </c>
      <c r="F565" s="24">
        <f>D565*E565</f>
        <v/>
      </c>
      <c r="G565" s="22" t="n"/>
    </row>
    <row r="566">
      <c r="A566" s="22" t="inlineStr">
        <is>
          <t>9999</t>
        </is>
      </c>
      <c r="B566" s="11" t="inlineStr">
        <is>
          <t>Mortar for laying and pointing</t>
        </is>
      </c>
      <c r="C566" s="22" t="inlineStr">
        <is>
          <t>L.S.</t>
        </is>
      </c>
      <c r="D566" s="23" t="n">
        <v>8.06</v>
      </c>
      <c r="E566" s="24" t="n">
        <v>2</v>
      </c>
      <c r="F566" s="24">
        <f>D566*E566</f>
        <v/>
      </c>
      <c r="G566" s="22" t="n"/>
    </row>
    <row r="567">
      <c r="A567" s="22" t="inlineStr">
        <is>
          <t>0115</t>
        </is>
      </c>
      <c r="B567" s="11" t="inlineStr">
        <is>
          <t>Coolie</t>
        </is>
      </c>
      <c r="C567" s="22" t="inlineStr">
        <is>
          <t>day</t>
        </is>
      </c>
      <c r="D567" s="23" t="n">
        <v>0.015</v>
      </c>
      <c r="E567" s="24" t="n">
        <v>558</v>
      </c>
      <c r="F567" s="24">
        <f>D567*E567</f>
        <v/>
      </c>
      <c r="G567" s="22" t="n"/>
    </row>
    <row r="568">
      <c r="A568" s="8" t="inlineStr">
        <is>
          <t>Calculated W - SUM of the Amount column above</t>
        </is>
      </c>
      <c r="B568" s="9" t="n"/>
      <c r="C568" s="9" t="n"/>
      <c r="D568" s="9" t="n"/>
      <c r="E568" s="9" t="n"/>
      <c r="F568" s="25">
        <f>SUM(F552:F567)</f>
        <v/>
      </c>
      <c r="G568" s="9" t="n"/>
    </row>
    <row r="569">
      <c r="A569" s="26" t="inlineStr">
        <is>
          <t>W as printed in the DAR</t>
        </is>
      </c>
      <c r="B569" s="22" t="n"/>
      <c r="C569" s="22" t="n"/>
      <c r="D569" s="22" t="n"/>
      <c r="E569" s="22" t="n"/>
      <c r="F569" s="27" t="n">
        <v>500.54</v>
      </c>
      <c r="G569" s="22" t="n"/>
    </row>
    <row r="570">
      <c r="A570" s="26" t="inlineStr">
        <is>
          <t>Difference (calculated - printed)</t>
        </is>
      </c>
      <c r="B570" s="22" t="n"/>
      <c r="C570" s="22" t="n"/>
      <c r="D570" s="22" t="n"/>
      <c r="E570" s="22" t="n"/>
      <c r="F570" s="27">
        <f>F568-F569</f>
        <v/>
      </c>
      <c r="G570" s="22" t="n"/>
    </row>
    <row r="571">
      <c r="A571" s="29" t="inlineStr">
        <is>
          <t>SAY (Rs.) - final DAR rate as printed (fixed value, not computed)</t>
        </is>
      </c>
      <c r="B571" s="30" t="n"/>
      <c r="C571" s="30" t="n"/>
      <c r="D571" s="30" t="n"/>
      <c r="E571" s="30" t="n"/>
      <c r="F571" s="31" t="n">
        <v>66970</v>
      </c>
      <c r="G571" s="30" t="n"/>
    </row>
    <row r="573" ht="47.5" customHeight="1">
      <c r="A573" s="8" t="inlineStr">
        <is>
          <t>7.15</t>
        </is>
      </c>
      <c r="B573" s="17" t="inlineStr">
        <is>
          <t>Stone work ashlar punched (ordinary) in superstructure upto floor five level in cement mortar 1:6 (1 white cement : 6 coarse sand) including pointing with cement mortar 1:2 (1 white cement : 2 stone dust) with an admixture of pigment matching the stone shade.</t>
        </is>
      </c>
      <c r="C573" s="9" t="n"/>
      <c r="D573" s="9" t="n"/>
      <c r="E573" s="9" t="n"/>
      <c r="F573" s="9" t="n"/>
      <c r="G573" s="9" t="n"/>
    </row>
    <row r="574" ht="18.5" customHeight="1">
      <c r="A574" s="8" t="inlineStr">
        <is>
          <t>7.15.2</t>
        </is>
      </c>
      <c r="B574" s="17" t="inlineStr">
        <is>
          <t>Both faced punched</t>
        </is>
      </c>
      <c r="C574" s="9" t="n"/>
      <c r="D574" s="9" t="n"/>
      <c r="E574" s="9" t="n"/>
      <c r="F574" s="9" t="n"/>
      <c r="G574" s="9" t="n"/>
    </row>
    <row r="575" ht="18.5" customHeight="1">
      <c r="A575" s="18" t="inlineStr">
        <is>
          <t>7.15.2.1</t>
        </is>
      </c>
      <c r="B575" s="19" t="inlineStr">
        <is>
          <t>Red sand stone</t>
        </is>
      </c>
      <c r="C575" s="20" t="n"/>
      <c r="D575" s="20" t="n"/>
      <c r="E575" s="20" t="n"/>
      <c r="F575" s="20" t="n"/>
      <c r="G575" s="20" t="n"/>
    </row>
    <row r="576">
      <c r="A576" s="21" t="inlineStr">
        <is>
          <t>Details of cost for 10 cudm   |   Source: CivilDAR_2019_Vol_1.pdf, page 345</t>
        </is>
      </c>
    </row>
    <row r="577">
      <c r="A577" s="5" t="inlineStr">
        <is>
          <t>Code</t>
        </is>
      </c>
      <c r="B577" s="5" t="inlineStr">
        <is>
          <t>Description</t>
        </is>
      </c>
      <c r="C577" s="5" t="inlineStr">
        <is>
          <t>Unit</t>
        </is>
      </c>
      <c r="D577" s="5" t="inlineStr">
        <is>
          <t>Quantity</t>
        </is>
      </c>
      <c r="E577" s="5" t="inlineStr">
        <is>
          <t>Rate (Rs.)</t>
        </is>
      </c>
      <c r="F577" s="5" t="inlineStr">
        <is>
          <t>Amount (Rs.)</t>
        </is>
      </c>
      <c r="G577" s="5" t="inlineStr">
        <is>
          <t>Note</t>
        </is>
      </c>
    </row>
    <row r="578">
      <c r="A578" s="22" t="inlineStr">
        <is>
          <t>1160</t>
        </is>
      </c>
      <c r="B578" s="11" t="inlineStr">
        <is>
          <t>Red sand stone block</t>
        </is>
      </c>
      <c r="C578" s="22" t="inlineStr">
        <is>
          <t>10 cudm</t>
        </is>
      </c>
      <c r="D578" s="23" t="n">
        <v>1.333</v>
      </c>
      <c r="E578" s="24" t="n">
        <v>79</v>
      </c>
      <c r="F578" s="24">
        <f>D578*E578</f>
        <v/>
      </c>
      <c r="G578" s="22" t="n"/>
    </row>
    <row r="579">
      <c r="A579" s="22" t="inlineStr">
        <is>
          <t>2216</t>
        </is>
      </c>
      <c r="B579" s="11" t="inlineStr">
        <is>
          <t>Carriage of Stone blocks white &amp; red sand stone &amp; kota stone slab</t>
        </is>
      </c>
      <c r="C579" s="22" t="inlineStr">
        <is>
          <t>tonne</t>
        </is>
      </c>
      <c r="D579" s="23" t="n">
        <v>0.031</v>
      </c>
      <c r="E579" s="24" t="n">
        <v>92.23999999999999</v>
      </c>
      <c r="F579" s="24">
        <f>D579*E579</f>
        <v/>
      </c>
      <c r="G579" s="22" t="n"/>
    </row>
    <row r="580">
      <c r="A580" s="22" t="inlineStr">
        <is>
          <t>0115</t>
        </is>
      </c>
      <c r="B580" s="11" t="inlineStr">
        <is>
          <t>Coolie</t>
        </is>
      </c>
      <c r="C580" s="22" t="inlineStr">
        <is>
          <t>day</t>
        </is>
      </c>
      <c r="D580" s="23" t="n">
        <v>0.015</v>
      </c>
      <c r="E580" s="24" t="n">
        <v>558</v>
      </c>
      <c r="F580" s="24">
        <f>D580*E580</f>
        <v/>
      </c>
      <c r="G580" s="22" t="n"/>
    </row>
    <row r="581">
      <c r="A581" s="22" t="inlineStr">
        <is>
          <t>0125</t>
        </is>
      </c>
      <c r="B581" s="11" t="inlineStr">
        <is>
          <t>Mason (for plain stone work) 2nd class)</t>
        </is>
      </c>
      <c r="C581" s="22" t="inlineStr">
        <is>
          <t>day</t>
        </is>
      </c>
      <c r="D581" s="23" t="n">
        <v>0.118</v>
      </c>
      <c r="E581" s="24" t="n">
        <v>679</v>
      </c>
      <c r="F581" s="24">
        <f>D581*E581</f>
        <v/>
      </c>
      <c r="G581" s="22" t="n"/>
    </row>
    <row r="582">
      <c r="A582" s="22" t="inlineStr">
        <is>
          <t>0102</t>
        </is>
      </c>
      <c r="B582" s="11" t="inlineStr">
        <is>
          <t>Blacksmith 1st class</t>
        </is>
      </c>
      <c r="C582" s="22" t="inlineStr">
        <is>
          <t>day</t>
        </is>
      </c>
      <c r="D582" s="23" t="n">
        <v>0.012</v>
      </c>
      <c r="E582" s="24" t="n">
        <v>738</v>
      </c>
      <c r="F582" s="24">
        <f>D582*E582</f>
        <v/>
      </c>
      <c r="G582" s="22" t="n"/>
    </row>
    <row r="583">
      <c r="A583" s="22" t="inlineStr">
        <is>
          <t>0114</t>
        </is>
      </c>
      <c r="B583" s="11" t="inlineStr">
        <is>
          <t>Beldar</t>
        </is>
      </c>
      <c r="C583" s="22" t="inlineStr">
        <is>
          <t>day</t>
        </is>
      </c>
      <c r="D583" s="23" t="n">
        <v>0.08799999999999999</v>
      </c>
      <c r="E583" s="24" t="n">
        <v>558</v>
      </c>
      <c r="F583" s="24">
        <f>D583*E583</f>
        <v/>
      </c>
      <c r="G583" s="22" t="n"/>
    </row>
    <row r="584">
      <c r="A584" s="22" t="inlineStr">
        <is>
          <t>0115</t>
        </is>
      </c>
      <c r="B584" s="11" t="inlineStr">
        <is>
          <t>Coolie</t>
        </is>
      </c>
      <c r="C584" s="22" t="inlineStr">
        <is>
          <t>day</t>
        </is>
      </c>
      <c r="D584" s="23" t="n">
        <v>0.044</v>
      </c>
      <c r="E584" s="24" t="n">
        <v>558</v>
      </c>
      <c r="F584" s="24">
        <f>D584*E584</f>
        <v/>
      </c>
      <c r="G584" s="22" t="n"/>
    </row>
    <row r="585">
      <c r="A585" s="22" t="inlineStr">
        <is>
          <t>0100</t>
        </is>
      </c>
      <c r="B585" s="11" t="inlineStr">
        <is>
          <t>Bandhani</t>
        </is>
      </c>
      <c r="C585" s="22" t="inlineStr">
        <is>
          <t>day</t>
        </is>
      </c>
      <c r="D585" s="23" t="n">
        <v>0.08799999999999999</v>
      </c>
      <c r="E585" s="24" t="n">
        <v>617</v>
      </c>
      <c r="F585" s="24">
        <f>D585*E585</f>
        <v/>
      </c>
      <c r="G585" s="22" t="n"/>
    </row>
    <row r="586">
      <c r="A586" s="22" t="inlineStr">
        <is>
          <t>0125</t>
        </is>
      </c>
      <c r="B586" s="11" t="inlineStr">
        <is>
          <t>Mason (for plain stone work) 2nd class)</t>
        </is>
      </c>
      <c r="C586" s="22" t="inlineStr">
        <is>
          <t>day</t>
        </is>
      </c>
      <c r="D586" s="23" t="n">
        <v>0.044</v>
      </c>
      <c r="E586" s="24" t="n">
        <v>679</v>
      </c>
      <c r="F586" s="24">
        <f>D586*E586</f>
        <v/>
      </c>
      <c r="G586" s="22" t="n"/>
    </row>
    <row r="587">
      <c r="A587" s="22" t="inlineStr">
        <is>
          <t>0102</t>
        </is>
      </c>
      <c r="B587" s="11" t="inlineStr">
        <is>
          <t>Blacksmith 1st class</t>
        </is>
      </c>
      <c r="C587" s="22" t="inlineStr">
        <is>
          <t>day</t>
        </is>
      </c>
      <c r="D587" s="23" t="n">
        <v>0.006</v>
      </c>
      <c r="E587" s="24" t="n">
        <v>738</v>
      </c>
      <c r="F587" s="24">
        <f>D587*E587</f>
        <v/>
      </c>
      <c r="G587" s="22" t="n"/>
    </row>
    <row r="588">
      <c r="A588" s="22" t="inlineStr">
        <is>
          <t>0114</t>
        </is>
      </c>
      <c r="B588" s="11" t="inlineStr">
        <is>
          <t>Beldar</t>
        </is>
      </c>
      <c r="C588" s="22" t="inlineStr">
        <is>
          <t>day</t>
        </is>
      </c>
      <c r="D588" s="23" t="n">
        <v>0.022</v>
      </c>
      <c r="E588" s="24" t="n">
        <v>558</v>
      </c>
      <c r="F588" s="24">
        <f>D588*E588</f>
        <v/>
      </c>
      <c r="G588" s="22" t="n"/>
    </row>
    <row r="589">
      <c r="A589" s="22" t="inlineStr">
        <is>
          <t>0115</t>
        </is>
      </c>
      <c r="B589" s="11" t="inlineStr">
        <is>
          <t>Coolie</t>
        </is>
      </c>
      <c r="C589" s="22" t="inlineStr">
        <is>
          <t>day</t>
        </is>
      </c>
      <c r="D589" s="23" t="n">
        <v>0.022</v>
      </c>
      <c r="E589" s="24" t="n">
        <v>558</v>
      </c>
      <c r="F589" s="24">
        <f>D589*E589</f>
        <v/>
      </c>
      <c r="G589" s="22" t="n"/>
    </row>
    <row r="590">
      <c r="A590" s="22" t="inlineStr">
        <is>
          <t>0100</t>
        </is>
      </c>
      <c r="B590" s="11" t="inlineStr">
        <is>
          <t>Bandhani</t>
        </is>
      </c>
      <c r="C590" s="22" t="inlineStr">
        <is>
          <t>day</t>
        </is>
      </c>
      <c r="D590" s="23" t="n">
        <v>0.022</v>
      </c>
      <c r="E590" s="24" t="n">
        <v>617</v>
      </c>
      <c r="F590" s="24">
        <f>D590*E590</f>
        <v/>
      </c>
      <c r="G590" s="22" t="n"/>
    </row>
    <row r="591">
      <c r="A591" s="22" t="inlineStr">
        <is>
          <t>0101</t>
        </is>
      </c>
      <c r="B591" s="11" t="inlineStr">
        <is>
          <t>Bhisti</t>
        </is>
      </c>
      <c r="C591" s="22" t="inlineStr">
        <is>
          <t>day</t>
        </is>
      </c>
      <c r="D591" s="23" t="n">
        <v>0.022</v>
      </c>
      <c r="E591" s="24" t="n">
        <v>617</v>
      </c>
      <c r="F591" s="24">
        <f>D591*E591</f>
        <v/>
      </c>
      <c r="G591" s="22" t="n"/>
    </row>
    <row r="592">
      <c r="A592" s="22" t="inlineStr">
        <is>
          <t>9999</t>
        </is>
      </c>
      <c r="B592" s="11" t="inlineStr">
        <is>
          <t>Scafolding</t>
        </is>
      </c>
      <c r="C592" s="22" t="inlineStr">
        <is>
          <t>L.S.</t>
        </is>
      </c>
      <c r="D592" s="23" t="n">
        <v>2.73</v>
      </c>
      <c r="E592" s="24" t="n">
        <v>2</v>
      </c>
      <c r="F592" s="24">
        <f>D592*E592</f>
        <v/>
      </c>
      <c r="G592" s="22" t="n"/>
    </row>
    <row r="593">
      <c r="A593" s="22" t="inlineStr">
        <is>
          <t>9999</t>
        </is>
      </c>
      <c r="B593" s="11" t="inlineStr">
        <is>
          <t>Mortar for laying and pointing</t>
        </is>
      </c>
      <c r="C593" s="22" t="inlineStr">
        <is>
          <t>L.S.</t>
        </is>
      </c>
      <c r="D593" s="23" t="n">
        <v>8.06</v>
      </c>
      <c r="E593" s="24" t="n">
        <v>2</v>
      </c>
      <c r="F593" s="24">
        <f>D593*E593</f>
        <v/>
      </c>
      <c r="G593" s="22" t="n"/>
    </row>
    <row r="594">
      <c r="A594" s="8" t="inlineStr">
        <is>
          <t>Calculated W - SUM of the Amount column above</t>
        </is>
      </c>
      <c r="B594" s="9" t="n"/>
      <c r="C594" s="9" t="n"/>
      <c r="D594" s="9" t="n"/>
      <c r="E594" s="9" t="n"/>
      <c r="F594" s="25">
        <f>SUM(F578:F593)</f>
        <v/>
      </c>
      <c r="G594" s="9" t="n"/>
    </row>
    <row r="595">
      <c r="A595" s="26" t="inlineStr">
        <is>
          <t>W as printed in the DAR</t>
        </is>
      </c>
      <c r="B595" s="22" t="n"/>
      <c r="C595" s="22" t="n"/>
      <c r="D595" s="22" t="n"/>
      <c r="E595" s="22" t="n"/>
      <c r="F595" s="27" t="n">
        <v>441.05</v>
      </c>
      <c r="G595" s="22" t="n"/>
    </row>
    <row r="596">
      <c r="A596" s="26" t="inlineStr">
        <is>
          <t>Difference (calculated - printed)</t>
        </is>
      </c>
      <c r="B596" s="22" t="n"/>
      <c r="C596" s="22" t="n"/>
      <c r="D596" s="22" t="n"/>
      <c r="E596" s="22" t="n"/>
      <c r="F596" s="27">
        <f>F594-F595</f>
        <v/>
      </c>
      <c r="G596" s="22" t="n"/>
    </row>
    <row r="597">
      <c r="A597" s="29" t="inlineStr">
        <is>
          <t>SAY (Rs.) - final DAR rate as printed (fixed value, not computed)</t>
        </is>
      </c>
      <c r="B597" s="30" t="n"/>
      <c r="C597" s="30" t="n"/>
      <c r="D597" s="30" t="n"/>
      <c r="E597" s="30" t="n"/>
      <c r="F597" s="31" t="n">
        <v>59010</v>
      </c>
      <c r="G597" s="30" t="n"/>
    </row>
    <row r="599" ht="47.5" customHeight="1">
      <c r="A599" s="8" t="inlineStr">
        <is>
          <t>7.15</t>
        </is>
      </c>
      <c r="B599" s="17" t="inlineStr">
        <is>
          <t>Stone work ashlar punched (ordinary) in superstructure upto floor five level in cement mortar 1:6 (1 white cement : 6 coarse sand) including pointing with cement mortar 1:2 (1 white cement : 2 stone dust) with an admixture of pigment matching the stone shade.</t>
        </is>
      </c>
      <c r="C599" s="9" t="n"/>
      <c r="D599" s="9" t="n"/>
      <c r="E599" s="9" t="n"/>
      <c r="F599" s="9" t="n"/>
      <c r="G599" s="9" t="n"/>
    </row>
    <row r="600" ht="18.5" customHeight="1">
      <c r="A600" s="8" t="inlineStr">
        <is>
          <t>7.15.2</t>
        </is>
      </c>
      <c r="B600" s="17" t="inlineStr">
        <is>
          <t>Both faced punched</t>
        </is>
      </c>
      <c r="C600" s="9" t="n"/>
      <c r="D600" s="9" t="n"/>
      <c r="E600" s="9" t="n"/>
      <c r="F600" s="9" t="n"/>
      <c r="G600" s="9" t="n"/>
    </row>
    <row r="601" ht="18.5" customHeight="1">
      <c r="A601" s="18" t="inlineStr">
        <is>
          <t>7.15.2.2</t>
        </is>
      </c>
      <c r="B601" s="19" t="inlineStr">
        <is>
          <t>White sand stone</t>
        </is>
      </c>
      <c r="C601" s="20" t="n"/>
      <c r="D601" s="20" t="n"/>
      <c r="E601" s="20" t="n"/>
      <c r="F601" s="20" t="n"/>
      <c r="G601" s="20" t="n"/>
    </row>
    <row r="602">
      <c r="A602" s="21" t="inlineStr">
        <is>
          <t>Details of cost for 10 cudm   |   Source: CivilDAR_2019_Vol_1.pdf, page 346</t>
        </is>
      </c>
    </row>
    <row r="603">
      <c r="A603" s="5" t="inlineStr">
        <is>
          <t>Code</t>
        </is>
      </c>
      <c r="B603" s="5" t="inlineStr">
        <is>
          <t>Description</t>
        </is>
      </c>
      <c r="C603" s="5" t="inlineStr">
        <is>
          <t>Unit</t>
        </is>
      </c>
      <c r="D603" s="5" t="inlineStr">
        <is>
          <t>Quantity</t>
        </is>
      </c>
      <c r="E603" s="5" t="inlineStr">
        <is>
          <t>Rate (Rs.)</t>
        </is>
      </c>
      <c r="F603" s="5" t="inlineStr">
        <is>
          <t>Amount (Rs.)</t>
        </is>
      </c>
      <c r="G603" s="5" t="inlineStr">
        <is>
          <t>Note</t>
        </is>
      </c>
    </row>
    <row r="604">
      <c r="A604" s="22" t="inlineStr">
        <is>
          <t>1161</t>
        </is>
      </c>
      <c r="B604" s="11" t="inlineStr">
        <is>
          <t>White sand stone block</t>
        </is>
      </c>
      <c r="C604" s="22" t="inlineStr">
        <is>
          <t>10 cudm</t>
        </is>
      </c>
      <c r="D604" s="23" t="n">
        <v>1.333</v>
      </c>
      <c r="E604" s="24" t="n">
        <v>205</v>
      </c>
      <c r="F604" s="24">
        <f>D604*E604</f>
        <v/>
      </c>
      <c r="G604" s="22" t="n"/>
    </row>
    <row r="605">
      <c r="A605" s="22" t="inlineStr">
        <is>
          <t>2216</t>
        </is>
      </c>
      <c r="B605" s="11" t="inlineStr">
        <is>
          <t>Carriage of Stone blocks white &amp; red sand stone &amp; kota stone slab</t>
        </is>
      </c>
      <c r="C605" s="22" t="inlineStr">
        <is>
          <t>tonne</t>
        </is>
      </c>
      <c r="D605" s="23" t="n">
        <v>0.031</v>
      </c>
      <c r="E605" s="24" t="n">
        <v>92.23999999999999</v>
      </c>
      <c r="F605" s="24">
        <f>D605*E605</f>
        <v/>
      </c>
      <c r="G605" s="22" t="n"/>
    </row>
    <row r="606">
      <c r="A606" s="22" t="inlineStr">
        <is>
          <t>0115</t>
        </is>
      </c>
      <c r="B606" s="11" t="inlineStr">
        <is>
          <t>Coolie</t>
        </is>
      </c>
      <c r="C606" s="22" t="inlineStr">
        <is>
          <t>day</t>
        </is>
      </c>
      <c r="D606" s="23" t="n">
        <v>0.015</v>
      </c>
      <c r="E606" s="24" t="n">
        <v>558</v>
      </c>
      <c r="F606" s="24">
        <f>D606*E606</f>
        <v/>
      </c>
      <c r="G606" s="22" t="n"/>
    </row>
    <row r="607">
      <c r="A607" s="22" t="inlineStr">
        <is>
          <t>0125</t>
        </is>
      </c>
      <c r="B607" s="11" t="inlineStr">
        <is>
          <t>Mason (for plain stone work) 2nd class)</t>
        </is>
      </c>
      <c r="C607" s="22" t="inlineStr">
        <is>
          <t>day</t>
        </is>
      </c>
      <c r="D607" s="23" t="n">
        <v>0.118</v>
      </c>
      <c r="E607" s="24" t="n">
        <v>679</v>
      </c>
      <c r="F607" s="24">
        <f>D607*E607</f>
        <v/>
      </c>
      <c r="G607" s="22" t="n"/>
    </row>
    <row r="608">
      <c r="A608" s="22" t="inlineStr">
        <is>
          <t>0102</t>
        </is>
      </c>
      <c r="B608" s="11" t="inlineStr">
        <is>
          <t>Blacksmith 1st class</t>
        </is>
      </c>
      <c r="C608" s="22" t="inlineStr">
        <is>
          <t>day</t>
        </is>
      </c>
      <c r="D608" s="23" t="n">
        <v>0.012</v>
      </c>
      <c r="E608" s="24" t="n">
        <v>738</v>
      </c>
      <c r="F608" s="24">
        <f>D608*E608</f>
        <v/>
      </c>
      <c r="G608" s="22" t="n"/>
    </row>
    <row r="609">
      <c r="A609" s="22" t="inlineStr">
        <is>
          <t>0114</t>
        </is>
      </c>
      <c r="B609" s="11" t="inlineStr">
        <is>
          <t>Beldar</t>
        </is>
      </c>
      <c r="C609" s="22" t="inlineStr">
        <is>
          <t>day</t>
        </is>
      </c>
      <c r="D609" s="23" t="n">
        <v>0.08799999999999999</v>
      </c>
      <c r="E609" s="24" t="n">
        <v>558</v>
      </c>
      <c r="F609" s="24">
        <f>D609*E609</f>
        <v/>
      </c>
      <c r="G609" s="22" t="n"/>
    </row>
    <row r="610">
      <c r="A610" s="22" t="inlineStr">
        <is>
          <t>0115</t>
        </is>
      </c>
      <c r="B610" s="11" t="inlineStr">
        <is>
          <t>Coolie</t>
        </is>
      </c>
      <c r="C610" s="22" t="inlineStr">
        <is>
          <t>day</t>
        </is>
      </c>
      <c r="D610" s="23" t="n">
        <v>0.044</v>
      </c>
      <c r="E610" s="24" t="n">
        <v>558</v>
      </c>
      <c r="F610" s="24">
        <f>D610*E610</f>
        <v/>
      </c>
      <c r="G610" s="22" t="n"/>
    </row>
    <row r="611">
      <c r="A611" s="22" t="inlineStr">
        <is>
          <t>0100</t>
        </is>
      </c>
      <c r="B611" s="11" t="inlineStr">
        <is>
          <t>Bandhani</t>
        </is>
      </c>
      <c r="C611" s="22" t="inlineStr">
        <is>
          <t>day</t>
        </is>
      </c>
      <c r="D611" s="23" t="n">
        <v>0.08799999999999999</v>
      </c>
      <c r="E611" s="24" t="n">
        <v>617</v>
      </c>
      <c r="F611" s="24">
        <f>D611*E611</f>
        <v/>
      </c>
      <c r="G611" s="22" t="n"/>
    </row>
    <row r="612">
      <c r="A612" s="22" t="inlineStr">
        <is>
          <t>0125</t>
        </is>
      </c>
      <c r="B612" s="11" t="inlineStr">
        <is>
          <t>Mason (for plain stone work) 2nd class</t>
        </is>
      </c>
      <c r="C612" s="22" t="inlineStr">
        <is>
          <t>day</t>
        </is>
      </c>
      <c r="D612" s="23" t="n">
        <v>0.044</v>
      </c>
      <c r="E612" s="24" t="n">
        <v>679</v>
      </c>
      <c r="F612" s="24">
        <f>D612*E612</f>
        <v/>
      </c>
      <c r="G612" s="22" t="n"/>
    </row>
    <row r="613">
      <c r="A613" s="22" t="inlineStr">
        <is>
          <t>0102</t>
        </is>
      </c>
      <c r="B613" s="11" t="inlineStr">
        <is>
          <t>Blacksmith 1st class</t>
        </is>
      </c>
      <c r="C613" s="22" t="inlineStr">
        <is>
          <t>day</t>
        </is>
      </c>
      <c r="D613" s="23" t="n">
        <v>0.006</v>
      </c>
      <c r="E613" s="24" t="n">
        <v>738</v>
      </c>
      <c r="F613" s="24">
        <f>D613*E613</f>
        <v/>
      </c>
      <c r="G613" s="22" t="n"/>
    </row>
    <row r="614">
      <c r="A614" s="22" t="inlineStr">
        <is>
          <t>0114</t>
        </is>
      </c>
      <c r="B614" s="11" t="inlineStr">
        <is>
          <t>Beldar</t>
        </is>
      </c>
      <c r="C614" s="22" t="inlineStr">
        <is>
          <t>day</t>
        </is>
      </c>
      <c r="D614" s="23" t="n">
        <v>0.022</v>
      </c>
      <c r="E614" s="24" t="n">
        <v>558</v>
      </c>
      <c r="F614" s="24">
        <f>D614*E614</f>
        <v/>
      </c>
      <c r="G614" s="22" t="n"/>
    </row>
    <row r="615">
      <c r="A615" s="22" t="inlineStr">
        <is>
          <t>0115</t>
        </is>
      </c>
      <c r="B615" s="11" t="inlineStr">
        <is>
          <t>Coolie</t>
        </is>
      </c>
      <c r="C615" s="22" t="inlineStr">
        <is>
          <t>day</t>
        </is>
      </c>
      <c r="D615" s="23" t="n">
        <v>0.022</v>
      </c>
      <c r="E615" s="24" t="n">
        <v>558</v>
      </c>
      <c r="F615" s="24">
        <f>D615*E615</f>
        <v/>
      </c>
      <c r="G615" s="22" t="n"/>
    </row>
    <row r="616">
      <c r="A616" s="22" t="inlineStr">
        <is>
          <t>0100</t>
        </is>
      </c>
      <c r="B616" s="11" t="inlineStr">
        <is>
          <t>Bandhani</t>
        </is>
      </c>
      <c r="C616" s="22" t="inlineStr">
        <is>
          <t>day</t>
        </is>
      </c>
      <c r="D616" s="23" t="n">
        <v>0.022</v>
      </c>
      <c r="E616" s="24" t="n">
        <v>617</v>
      </c>
      <c r="F616" s="24">
        <f>D616*E616</f>
        <v/>
      </c>
      <c r="G616" s="22" t="n"/>
    </row>
    <row r="617">
      <c r="A617" s="22" t="inlineStr">
        <is>
          <t>0101</t>
        </is>
      </c>
      <c r="B617" s="11" t="inlineStr">
        <is>
          <t>Bhisti</t>
        </is>
      </c>
      <c r="C617" s="22" t="inlineStr">
        <is>
          <t>day</t>
        </is>
      </c>
      <c r="D617" s="23" t="n">
        <v>0.022</v>
      </c>
      <c r="E617" s="24" t="n">
        <v>617</v>
      </c>
      <c r="F617" s="24">
        <f>D617*E617</f>
        <v/>
      </c>
      <c r="G617" s="22" t="n"/>
    </row>
    <row r="618">
      <c r="A618" s="22" t="inlineStr">
        <is>
          <t>9999</t>
        </is>
      </c>
      <c r="B618" s="11" t="inlineStr">
        <is>
          <t>Scaffolding</t>
        </is>
      </c>
      <c r="C618" s="22" t="inlineStr">
        <is>
          <t>L.S.</t>
        </is>
      </c>
      <c r="D618" s="23" t="n">
        <v>2.73</v>
      </c>
      <c r="E618" s="24" t="n">
        <v>2</v>
      </c>
      <c r="F618" s="24">
        <f>D618*E618</f>
        <v/>
      </c>
      <c r="G618" s="22" t="n"/>
    </row>
    <row r="619">
      <c r="A619" s="22" t="inlineStr">
        <is>
          <t>9999</t>
        </is>
      </c>
      <c r="B619" s="11" t="inlineStr">
        <is>
          <t>Mortar for laying and pointing</t>
        </is>
      </c>
      <c r="C619" s="22" t="inlineStr">
        <is>
          <t>L.S.</t>
        </is>
      </c>
      <c r="D619" s="23" t="n">
        <v>8.06</v>
      </c>
      <c r="E619" s="24" t="n">
        <v>2</v>
      </c>
      <c r="F619" s="24">
        <f>D619*E619</f>
        <v/>
      </c>
      <c r="G619" s="22" t="n"/>
    </row>
    <row r="620">
      <c r="A620" s="8" t="inlineStr">
        <is>
          <t>Calculated W - SUM of the Amount column above</t>
        </is>
      </c>
      <c r="B620" s="9" t="n"/>
      <c r="C620" s="9" t="n"/>
      <c r="D620" s="9" t="n"/>
      <c r="E620" s="9" t="n"/>
      <c r="F620" s="25">
        <f>SUM(F604:F619)</f>
        <v/>
      </c>
      <c r="G620" s="9" t="n"/>
    </row>
    <row r="621">
      <c r="A621" s="26" t="inlineStr">
        <is>
          <t>W as printed in the DAR</t>
        </is>
      </c>
      <c r="B621" s="22" t="n"/>
      <c r="C621" s="22" t="n"/>
      <c r="D621" s="22" t="n"/>
      <c r="E621" s="22" t="n"/>
      <c r="F621" s="27" t="n">
        <v>609.01</v>
      </c>
      <c r="G621" s="22" t="n"/>
    </row>
    <row r="622">
      <c r="A622" s="26" t="inlineStr">
        <is>
          <t>Difference (calculated - printed)</t>
        </is>
      </c>
      <c r="B622" s="22" t="n"/>
      <c r="C622" s="22" t="n"/>
      <c r="D622" s="22" t="n"/>
      <c r="E622" s="22" t="n"/>
      <c r="F622" s="27">
        <f>F620-F621</f>
        <v/>
      </c>
      <c r="G622" s="22" t="n"/>
    </row>
    <row r="623">
      <c r="A623" s="29" t="inlineStr">
        <is>
          <t>SAY (Rs.) - final DAR rate as printed (fixed value, not computed)</t>
        </is>
      </c>
      <c r="B623" s="30" t="n"/>
      <c r="C623" s="30" t="n"/>
      <c r="D623" s="30" t="n"/>
      <c r="E623" s="30" t="n"/>
      <c r="F623" s="31" t="n">
        <v>81482</v>
      </c>
      <c r="G623" s="30" t="n"/>
    </row>
    <row r="625" ht="33" customHeight="1">
      <c r="A625" s="18" t="inlineStr">
        <is>
          <t>7.16</t>
        </is>
      </c>
      <c r="B625" s="19" t="inlineStr">
        <is>
          <t>Extra for stone work, random rubble / coursed rubble masonry / ashlar masonry above floor V level for every four floors or part thereof.</t>
        </is>
      </c>
      <c r="C625" s="20" t="n"/>
      <c r="D625" s="20" t="n"/>
      <c r="E625" s="20" t="n"/>
      <c r="F625" s="20" t="n"/>
      <c r="G625" s="20" t="n"/>
    </row>
    <row r="626">
      <c r="A626" s="21" t="inlineStr">
        <is>
          <t>Details of cost for 10 cudm   |   Source: CivilDAR_2019_Vol_1.pdf, page 347</t>
        </is>
      </c>
    </row>
    <row r="627">
      <c r="A627" s="5" t="inlineStr">
        <is>
          <t>Code</t>
        </is>
      </c>
      <c r="B627" s="5" t="inlineStr">
        <is>
          <t>Description</t>
        </is>
      </c>
      <c r="C627" s="5" t="inlineStr">
        <is>
          <t>Unit</t>
        </is>
      </c>
      <c r="D627" s="5" t="inlineStr">
        <is>
          <t>Quantity</t>
        </is>
      </c>
      <c r="E627" s="5" t="inlineStr">
        <is>
          <t>Rate (Rs.)</t>
        </is>
      </c>
      <c r="F627" s="5" t="inlineStr">
        <is>
          <t>Amount (Rs.)</t>
        </is>
      </c>
      <c r="G627" s="5" t="inlineStr">
        <is>
          <t>Note</t>
        </is>
      </c>
    </row>
    <row r="628">
      <c r="A628" s="22" t="inlineStr">
        <is>
          <t>0114</t>
        </is>
      </c>
      <c r="B628" s="11" t="inlineStr">
        <is>
          <t>Beldar</t>
        </is>
      </c>
      <c r="C628" s="22" t="inlineStr">
        <is>
          <t>day</t>
        </is>
      </c>
      <c r="D628" s="23" t="n">
        <v>0.02</v>
      </c>
      <c r="E628" s="24" t="n">
        <v>558</v>
      </c>
      <c r="F628" s="24">
        <f>D628*E628</f>
        <v/>
      </c>
      <c r="G628" s="22" t="n"/>
    </row>
    <row r="629">
      <c r="A629" s="8" t="inlineStr">
        <is>
          <t>Calculated W - SUM of the Amount column above</t>
        </is>
      </c>
      <c r="B629" s="9" t="n"/>
      <c r="C629" s="9" t="n"/>
      <c r="D629" s="9" t="n"/>
      <c r="E629" s="9" t="n"/>
      <c r="F629" s="25">
        <f>SUM(F628:F628)</f>
        <v/>
      </c>
      <c r="G629" s="9" t="n"/>
    </row>
    <row r="630">
      <c r="A630" s="26" t="inlineStr">
        <is>
          <t>W as printed in the DAR</t>
        </is>
      </c>
      <c r="B630" s="22" t="n"/>
      <c r="C630" s="22" t="n"/>
      <c r="D630" s="22" t="n"/>
      <c r="E630" s="22" t="n"/>
      <c r="F630" s="27" t="n">
        <v>11.16</v>
      </c>
      <c r="G630" s="22" t="n"/>
    </row>
    <row r="631">
      <c r="A631" s="26" t="inlineStr">
        <is>
          <t>Difference (calculated - printed)</t>
        </is>
      </c>
      <c r="B631" s="22" t="n"/>
      <c r="C631" s="22" t="n"/>
      <c r="D631" s="22" t="n"/>
      <c r="E631" s="22" t="n"/>
      <c r="F631" s="27">
        <f>F629-F630</f>
        <v/>
      </c>
      <c r="G631" s="22" t="n"/>
    </row>
    <row r="632">
      <c r="A632" s="29" t="inlineStr">
        <is>
          <t>SAY (Rs.) - final DAR rate as printed (fixed value, not computed)</t>
        </is>
      </c>
      <c r="B632" s="30" t="n"/>
      <c r="C632" s="30" t="n"/>
      <c r="D632" s="30" t="n"/>
      <c r="E632" s="30" t="n"/>
      <c r="F632" s="31" t="n">
        <v>1493</v>
      </c>
      <c r="G632" s="30" t="n"/>
    </row>
    <row r="634" ht="18.5" customHeight="1">
      <c r="A634" s="8" t="inlineStr">
        <is>
          <t>7.17</t>
        </is>
      </c>
      <c r="B634" s="17" t="inlineStr">
        <is>
          <t>Extra for plain ashlar or ashlar punched in :</t>
        </is>
      </c>
      <c r="C634" s="9" t="n"/>
      <c r="D634" s="9" t="n"/>
      <c r="E634" s="9" t="n"/>
      <c r="F634" s="9" t="n"/>
      <c r="G634" s="9" t="n"/>
    </row>
    <row r="635" ht="18.5" customHeight="1">
      <c r="A635" s="18" t="inlineStr">
        <is>
          <t>7.17.1</t>
        </is>
      </c>
      <c r="B635" s="19" t="inlineStr">
        <is>
          <t>Square or rectangular pillars</t>
        </is>
      </c>
      <c r="C635" s="20" t="n"/>
      <c r="D635" s="20" t="n"/>
      <c r="E635" s="20" t="n"/>
      <c r="F635" s="20" t="n"/>
      <c r="G635" s="20" t="n"/>
    </row>
    <row r="636">
      <c r="A636" s="21" t="inlineStr">
        <is>
          <t>Details of cost for 10 cudm   |   Source: CivilDAR_2019_Vol_1.pdf, page 348</t>
        </is>
      </c>
    </row>
    <row r="637">
      <c r="A637" s="5" t="inlineStr">
        <is>
          <t>Code</t>
        </is>
      </c>
      <c r="B637" s="5" t="inlineStr">
        <is>
          <t>Description</t>
        </is>
      </c>
      <c r="C637" s="5" t="inlineStr">
        <is>
          <t>Unit</t>
        </is>
      </c>
      <c r="D637" s="5" t="inlineStr">
        <is>
          <t>Quantity</t>
        </is>
      </c>
      <c r="E637" s="5" t="inlineStr">
        <is>
          <t>Rate (Rs.)</t>
        </is>
      </c>
      <c r="F637" s="5" t="inlineStr">
        <is>
          <t>Amount (Rs.)</t>
        </is>
      </c>
      <c r="G637" s="5" t="inlineStr">
        <is>
          <t>Note</t>
        </is>
      </c>
    </row>
    <row r="638">
      <c r="A638" s="22" t="inlineStr">
        <is>
          <t>9999</t>
        </is>
      </c>
      <c r="B638" s="11" t="inlineStr">
        <is>
          <t>Labour and materials</t>
        </is>
      </c>
      <c r="C638" s="22" t="inlineStr">
        <is>
          <t>L.S.</t>
        </is>
      </c>
      <c r="D638" s="23" t="n">
        <v>8.970000000000001</v>
      </c>
      <c r="E638" s="24" t="n">
        <v>2</v>
      </c>
      <c r="F638" s="24">
        <f>D638*E638</f>
        <v/>
      </c>
      <c r="G638" s="22" t="n"/>
    </row>
    <row r="639">
      <c r="A639" s="8" t="inlineStr">
        <is>
          <t>Calculated W - SUM of the Amount column above</t>
        </is>
      </c>
      <c r="B639" s="9" t="n"/>
      <c r="C639" s="9" t="n"/>
      <c r="D639" s="9" t="n"/>
      <c r="E639" s="9" t="n"/>
      <c r="F639" s="25">
        <f>SUM(F638:F638)</f>
        <v/>
      </c>
      <c r="G639" s="9" t="n"/>
    </row>
    <row r="640">
      <c r="A640" s="26" t="inlineStr">
        <is>
          <t>W as printed in the DAR</t>
        </is>
      </c>
      <c r="B640" s="22" t="n"/>
      <c r="C640" s="22" t="n"/>
      <c r="D640" s="22" t="n"/>
      <c r="E640" s="22" t="n"/>
      <c r="F640" s="27" t="n">
        <v>17.94</v>
      </c>
      <c r="G640" s="22" t="n"/>
    </row>
    <row r="641">
      <c r="A641" s="26" t="inlineStr">
        <is>
          <t>Difference (calculated - printed)</t>
        </is>
      </c>
      <c r="B641" s="22" t="n"/>
      <c r="C641" s="22" t="n"/>
      <c r="D641" s="22" t="n"/>
      <c r="E641" s="22" t="n"/>
      <c r="F641" s="27">
        <f>F639-F640</f>
        <v/>
      </c>
      <c r="G641" s="22" t="n"/>
    </row>
    <row r="642">
      <c r="A642" s="29" t="inlineStr">
        <is>
          <t>SAY (Rs.) - final DAR rate as printed (fixed value, not computed)</t>
        </is>
      </c>
      <c r="B642" s="30" t="n"/>
      <c r="C642" s="30" t="n"/>
      <c r="D642" s="30" t="n"/>
      <c r="E642" s="30" t="n"/>
      <c r="F642" s="31" t="n">
        <v>2400</v>
      </c>
      <c r="G642" s="30" t="n"/>
    </row>
    <row r="644" ht="18.5" customHeight="1">
      <c r="A644" s="18" t="inlineStr">
        <is>
          <t>7.18</t>
        </is>
      </c>
      <c r="B644" s="19" t="inlineStr">
        <is>
          <t>Extra for stone work; plain ashlar or ashlar punched curved on plan with a mean radius not exceeding 6 m.</t>
        </is>
      </c>
      <c r="C644" s="20" t="n"/>
      <c r="D644" s="20" t="n"/>
      <c r="E644" s="20" t="n"/>
      <c r="F644" s="20" t="n"/>
      <c r="G644" s="20" t="n"/>
    </row>
    <row r="645">
      <c r="A645" s="21" t="inlineStr">
        <is>
          <t>Details of cost for 10 cudm   |   Source: CivilDAR_2019_Vol_1.pdf, page 348</t>
        </is>
      </c>
    </row>
    <row r="646">
      <c r="A646" s="5" t="inlineStr">
        <is>
          <t>Code</t>
        </is>
      </c>
      <c r="B646" s="5" t="inlineStr">
        <is>
          <t>Description</t>
        </is>
      </c>
      <c r="C646" s="5" t="inlineStr">
        <is>
          <t>Unit</t>
        </is>
      </c>
      <c r="D646" s="5" t="inlineStr">
        <is>
          <t>Quantity</t>
        </is>
      </c>
      <c r="E646" s="5" t="inlineStr">
        <is>
          <t>Rate (Rs.)</t>
        </is>
      </c>
      <c r="F646" s="5" t="inlineStr">
        <is>
          <t>Amount (Rs.)</t>
        </is>
      </c>
      <c r="G646" s="5" t="inlineStr">
        <is>
          <t>Note</t>
        </is>
      </c>
    </row>
    <row r="647">
      <c r="A647" s="22" t="inlineStr">
        <is>
          <t>9999</t>
        </is>
      </c>
      <c r="B647" s="11" t="inlineStr">
        <is>
          <t>Labour and materials</t>
        </is>
      </c>
      <c r="C647" s="22" t="inlineStr">
        <is>
          <t>L.S.</t>
        </is>
      </c>
      <c r="D647" s="23" t="n">
        <v>6.24</v>
      </c>
      <c r="E647" s="24" t="n">
        <v>2</v>
      </c>
      <c r="F647" s="24">
        <f>D647*E647</f>
        <v/>
      </c>
      <c r="G647" s="22" t="n"/>
    </row>
    <row r="648">
      <c r="A648" s="8" t="inlineStr">
        <is>
          <t>Calculated W - SUM of the Amount column above</t>
        </is>
      </c>
      <c r="B648" s="9" t="n"/>
      <c r="C648" s="9" t="n"/>
      <c r="D648" s="9" t="n"/>
      <c r="E648" s="9" t="n"/>
      <c r="F648" s="25">
        <f>SUM(F647:F647)</f>
        <v/>
      </c>
      <c r="G648" s="9" t="n"/>
    </row>
    <row r="649">
      <c r="A649" s="26" t="inlineStr">
        <is>
          <t>W as printed in the DAR</t>
        </is>
      </c>
      <c r="B649" s="22" t="n"/>
      <c r="C649" s="22" t="n"/>
      <c r="D649" s="22" t="n"/>
      <c r="E649" s="22" t="n"/>
      <c r="F649" s="27" t="n">
        <v>12.48</v>
      </c>
      <c r="G649" s="22" t="n"/>
    </row>
    <row r="650">
      <c r="A650" s="26" t="inlineStr">
        <is>
          <t>Difference (calculated - printed)</t>
        </is>
      </c>
      <c r="B650" s="22" t="n"/>
      <c r="C650" s="22" t="n"/>
      <c r="D650" s="22" t="n"/>
      <c r="E650" s="22" t="n"/>
      <c r="F650" s="27">
        <f>F648-F649</f>
        <v/>
      </c>
      <c r="G650" s="22" t="n"/>
    </row>
    <row r="651">
      <c r="A651" s="29" t="inlineStr">
        <is>
          <t>SAY (Rs.) - final DAR rate as printed (fixed value, not computed)</t>
        </is>
      </c>
      <c r="B651" s="30" t="n"/>
      <c r="C651" s="30" t="n"/>
      <c r="D651" s="30" t="n"/>
      <c r="E651" s="30" t="n"/>
      <c r="F651" s="31" t="n">
        <v>1670</v>
      </c>
      <c r="G651" s="30" t="n"/>
    </row>
    <row r="653" ht="33" customHeight="1">
      <c r="A653" s="18" t="inlineStr">
        <is>
          <t>7.19</t>
        </is>
      </c>
      <c r="B653" s="19" t="inlineStr">
        <is>
          <t>Extra for additional cost of centering for arches exceeding 6m span including all strutting, bolting, wedging etc. and removal (area of soffit to be measured).</t>
        </is>
      </c>
      <c r="C653" s="20" t="n"/>
      <c r="D653" s="20" t="n"/>
      <c r="E653" s="20" t="n"/>
      <c r="F653" s="20" t="n"/>
      <c r="G653" s="20" t="n"/>
    </row>
    <row r="654">
      <c r="A654" s="21" t="inlineStr">
        <is>
          <t>Details of cost for 33.31 sqm   |   Source: CivilDAR_2019_Vol_1.pdf, page 348</t>
        </is>
      </c>
    </row>
    <row r="655">
      <c r="A655" s="5" t="inlineStr">
        <is>
          <t>Code</t>
        </is>
      </c>
      <c r="B655" s="5" t="inlineStr">
        <is>
          <t>Description</t>
        </is>
      </c>
      <c r="C655" s="5" t="inlineStr">
        <is>
          <t>Unit</t>
        </is>
      </c>
      <c r="D655" s="5" t="inlineStr">
        <is>
          <t>Quantity</t>
        </is>
      </c>
      <c r="E655" s="5" t="inlineStr">
        <is>
          <t>Rate (Rs.)</t>
        </is>
      </c>
      <c r="F655" s="5" t="inlineStr">
        <is>
          <t>Amount (Rs.)</t>
        </is>
      </c>
      <c r="G655" s="5" t="inlineStr">
        <is>
          <t>Note</t>
        </is>
      </c>
    </row>
    <row r="656">
      <c r="A656" s="22" t="inlineStr">
        <is>
          <t>1197</t>
        </is>
      </c>
      <c r="B656" s="11" t="inlineStr">
        <is>
          <t>Second class kail wood in scantling</t>
        </is>
      </c>
      <c r="C656" s="22" t="inlineStr">
        <is>
          <t>10 cudm</t>
        </is>
      </c>
      <c r="D656" s="23" t="n">
        <v>88.79000000000001</v>
      </c>
      <c r="E656" s="24" t="n">
        <v>260</v>
      </c>
      <c r="F656" s="24">
        <f>D656*E656</f>
        <v/>
      </c>
      <c r="G656" s="22" t="n"/>
    </row>
    <row r="657">
      <c r="A657" s="22" t="inlineStr">
        <is>
          <t>2204</t>
        </is>
      </c>
      <c r="B657" s="11" t="inlineStr">
        <is>
          <t>Carriage of Timber</t>
        </is>
      </c>
      <c r="C657" s="22" t="inlineStr">
        <is>
          <t>cum</t>
        </is>
      </c>
      <c r="D657" s="23" t="n">
        <v>0.8879</v>
      </c>
      <c r="E657" s="24" t="n">
        <v>118.59</v>
      </c>
      <c r="F657" s="24">
        <f>D657*E657</f>
        <v/>
      </c>
      <c r="G657" s="22" t="n"/>
    </row>
    <row r="658">
      <c r="A658" s="22" t="inlineStr">
        <is>
          <t>1225</t>
        </is>
      </c>
      <c r="B658" s="11" t="inlineStr">
        <is>
          <t>Mild steel flat strap fitting</t>
        </is>
      </c>
      <c r="C658" s="22" t="inlineStr">
        <is>
          <t>quintal</t>
        </is>
      </c>
      <c r="D658" s="23" t="n">
        <v>0.0878</v>
      </c>
      <c r="E658" s="24" t="n">
        <v>4120</v>
      </c>
      <c r="F658" s="24">
        <f>D658*E658</f>
        <v/>
      </c>
      <c r="G658" s="22" t="n"/>
    </row>
    <row r="659">
      <c r="A659" s="22" t="inlineStr">
        <is>
          <t>1034</t>
        </is>
      </c>
      <c r="B659" s="11" t="inlineStr">
        <is>
          <t>Bolts and nuts upto 300 mm in length</t>
        </is>
      </c>
      <c r="C659" s="22" t="inlineStr">
        <is>
          <t>quintal</t>
        </is>
      </c>
      <c r="D659" s="23" t="n">
        <v>0.08</v>
      </c>
      <c r="E659" s="24" t="n">
        <v>4800</v>
      </c>
      <c r="F659" s="24">
        <f>D659*E659</f>
        <v/>
      </c>
      <c r="G659" s="22" t="n"/>
    </row>
    <row r="660">
      <c r="A660" s="22" t="inlineStr">
        <is>
          <t>2302</t>
        </is>
      </c>
      <c r="B660" s="11" t="inlineStr">
        <is>
          <t>Carriage of G.I.sheet and accessories</t>
        </is>
      </c>
      <c r="C660" s="22" t="inlineStr">
        <is>
          <t>tonne</t>
        </is>
      </c>
      <c r="D660" s="23" t="n">
        <v>0.0168</v>
      </c>
      <c r="E660" s="24" t="n">
        <v>92.23999999999999</v>
      </c>
      <c r="F660" s="24">
        <f>D660*E660</f>
        <v/>
      </c>
      <c r="G660" s="22" t="n"/>
    </row>
    <row r="661">
      <c r="A661" s="22" t="inlineStr">
        <is>
          <t>0112</t>
        </is>
      </c>
      <c r="B661" s="11" t="inlineStr">
        <is>
          <t>Carpenter 2nd class</t>
        </is>
      </c>
      <c r="C661" s="22" t="inlineStr">
        <is>
          <t>day</t>
        </is>
      </c>
      <c r="D661" s="23" t="n">
        <v>28</v>
      </c>
      <c r="E661" s="24" t="n">
        <v>679</v>
      </c>
      <c r="F661" s="24">
        <f>D661*E661</f>
        <v/>
      </c>
      <c r="G661" s="22" t="n"/>
    </row>
    <row r="662">
      <c r="A662" s="22" t="inlineStr">
        <is>
          <t>0114</t>
        </is>
      </c>
      <c r="B662" s="11" t="inlineStr">
        <is>
          <t>Beldar</t>
        </is>
      </c>
      <c r="C662" s="22" t="inlineStr">
        <is>
          <t>day</t>
        </is>
      </c>
      <c r="D662" s="23" t="n">
        <v>24</v>
      </c>
      <c r="E662" s="24" t="n">
        <v>558</v>
      </c>
      <c r="F662" s="24">
        <f>D662*E662</f>
        <v/>
      </c>
      <c r="G662" s="22" t="n"/>
    </row>
    <row r="663">
      <c r="A663" s="22" t="inlineStr">
        <is>
          <t>9999</t>
        </is>
      </c>
      <c r="B663" s="11" t="inlineStr">
        <is>
          <t>Sundries</t>
        </is>
      </c>
      <c r="C663" s="22" t="inlineStr">
        <is>
          <t>L.S.</t>
        </is>
      </c>
      <c r="D663" s="23" t="n">
        <v>134.55</v>
      </c>
      <c r="E663" s="24" t="n">
        <v>2</v>
      </c>
      <c r="F663" s="24">
        <f>D663*E663</f>
        <v/>
      </c>
      <c r="G663" s="22" t="n"/>
    </row>
    <row r="664">
      <c r="A664" s="7" t="inlineStr">
        <is>
          <t>5.9.9</t>
        </is>
      </c>
      <c r="B664" s="11" t="inlineStr">
        <is>
          <t>Rate as per item 5.9.9 - Centering and shuttering including strutting, propping etc. and removal of form for - Arches, domes, vaults...</t>
        </is>
      </c>
      <c r="C664" s="22" t="inlineStr">
        <is>
          <t>sqm</t>
        </is>
      </c>
      <c r="D664" s="23" t="n">
        <v>-33.31</v>
      </c>
      <c r="E664" s="24" t="n">
        <v>1713.2</v>
      </c>
      <c r="F664" s="24">
        <f>D664*E664</f>
        <v/>
      </c>
      <c r="G664" s="22" t="n"/>
    </row>
    <row r="665">
      <c r="A665" s="8" t="inlineStr">
        <is>
          <t>Calculated W - SUM of the Amount column above</t>
        </is>
      </c>
      <c r="B665" s="9" t="n"/>
      <c r="C665" s="9" t="n"/>
      <c r="D665" s="9" t="n"/>
      <c r="E665" s="9" t="n"/>
      <c r="F665" s="25">
        <f>SUM(F656:F664)</f>
        <v/>
      </c>
      <c r="G665" s="9" t="n"/>
    </row>
    <row r="666">
      <c r="A666" s="26" t="inlineStr">
        <is>
          <t>W as printed in the DAR</t>
        </is>
      </c>
      <c r="B666" s="22" t="n"/>
      <c r="C666" s="22" t="n"/>
      <c r="D666" s="22" t="n"/>
      <c r="E666" s="22" t="n"/>
      <c r="F666" s="27" t="n">
        <v>-455.61</v>
      </c>
      <c r="G666" s="22" t="n"/>
    </row>
    <row r="667">
      <c r="A667" s="26" t="inlineStr">
        <is>
          <t>Difference (calculated - printed)</t>
        </is>
      </c>
      <c r="B667" s="22" t="n"/>
      <c r="C667" s="22" t="n"/>
      <c r="D667" s="22" t="n"/>
      <c r="E667" s="22" t="n"/>
      <c r="F667" s="27">
        <f>F665-F666</f>
        <v/>
      </c>
      <c r="G667" s="22" t="n"/>
    </row>
    <row r="668">
      <c r="A668" s="29" t="inlineStr">
        <is>
          <t>SAY (Rs.) - final DAR rate as printed (fixed value, not computed)</t>
        </is>
      </c>
      <c r="B668" s="30" t="n"/>
      <c r="C668" s="30" t="n"/>
      <c r="D668" s="30" t="n"/>
      <c r="E668" s="30" t="n"/>
      <c r="F668" s="31" t="n">
        <v>560.65</v>
      </c>
      <c r="G668" s="30" t="n"/>
    </row>
    <row r="670" ht="47.5" customHeight="1">
      <c r="A670" s="8" t="inlineStr">
        <is>
          <t>7.20</t>
        </is>
      </c>
      <c r="B670" s="17" t="inlineStr">
        <is>
          <t>Stone work ashlar sunk or moulded or sunk and moulded upto floor five level in cement mortar 1:6 (1 cement : 6 coarse sand) including pointing with white cement mortar 1:2 (1 white cement : 2 stone dust) with an admixture of pigment matching the stone shade :</t>
        </is>
      </c>
      <c r="C670" s="9" t="n"/>
      <c r="D670" s="9" t="n"/>
      <c r="E670" s="9" t="n"/>
      <c r="F670" s="9" t="n"/>
      <c r="G670" s="9" t="n"/>
    </row>
    <row r="671" ht="18.5" customHeight="1">
      <c r="A671" s="18" t="inlineStr">
        <is>
          <t>7.20.1</t>
        </is>
      </c>
      <c r="B671" s="19" t="inlineStr">
        <is>
          <t>Red sand stone</t>
        </is>
      </c>
      <c r="C671" s="20" t="n"/>
      <c r="D671" s="20" t="n"/>
      <c r="E671" s="20" t="n"/>
      <c r="F671" s="20" t="n"/>
      <c r="G671" s="20" t="n"/>
    </row>
    <row r="672">
      <c r="A672" s="21" t="inlineStr">
        <is>
          <t>Details of cost for 10 cudm   |   Source: CivilDAR_2019_Vol_1.pdf, page 350</t>
        </is>
      </c>
    </row>
    <row r="673">
      <c r="A673" s="5" t="inlineStr">
        <is>
          <t>Code</t>
        </is>
      </c>
      <c r="B673" s="5" t="inlineStr">
        <is>
          <t>Description</t>
        </is>
      </c>
      <c r="C673" s="5" t="inlineStr">
        <is>
          <t>Unit</t>
        </is>
      </c>
      <c r="D673" s="5" t="inlineStr">
        <is>
          <t>Quantity</t>
        </is>
      </c>
      <c r="E673" s="5" t="inlineStr">
        <is>
          <t>Rate (Rs.)</t>
        </is>
      </c>
      <c r="F673" s="5" t="inlineStr">
        <is>
          <t>Amount (Rs.)</t>
        </is>
      </c>
      <c r="G673" s="5" t="inlineStr">
        <is>
          <t>Note</t>
        </is>
      </c>
    </row>
    <row r="674">
      <c r="A674" s="22" t="inlineStr">
        <is>
          <t>1160</t>
        </is>
      </c>
      <c r="B674" s="11" t="inlineStr">
        <is>
          <t>Red sand stone block</t>
        </is>
      </c>
      <c r="C674" s="22" t="inlineStr">
        <is>
          <t>10 cudm</t>
        </is>
      </c>
      <c r="D674" s="23" t="n">
        <v>1.333</v>
      </c>
      <c r="E674" s="24" t="n">
        <v>79</v>
      </c>
      <c r="F674" s="24">
        <f>D674*E674</f>
        <v/>
      </c>
      <c r="G674" s="22" t="n"/>
    </row>
    <row r="675">
      <c r="A675" s="22" t="inlineStr">
        <is>
          <t>2216</t>
        </is>
      </c>
      <c r="B675" s="11" t="inlineStr">
        <is>
          <t>Carriage of Stone blocks white &amp; red sand stone &amp; kota stone slab</t>
        </is>
      </c>
      <c r="C675" s="22" t="inlineStr">
        <is>
          <t>tonne</t>
        </is>
      </c>
      <c r="D675" s="23" t="n">
        <v>0.031</v>
      </c>
      <c r="E675" s="24" t="n">
        <v>92.23999999999999</v>
      </c>
      <c r="F675" s="24">
        <f>D675*E675</f>
        <v/>
      </c>
      <c r="G675" s="22" t="n"/>
    </row>
    <row r="676">
      <c r="A676" s="22" t="inlineStr">
        <is>
          <t>9999</t>
        </is>
      </c>
      <c r="B676" s="11" t="inlineStr">
        <is>
          <t>Extra for using white cement</t>
        </is>
      </c>
      <c r="C676" s="22" t="inlineStr">
        <is>
          <t>L.S.</t>
        </is>
      </c>
      <c r="D676" s="23" t="n">
        <v>8.06</v>
      </c>
      <c r="E676" s="24" t="n">
        <v>2</v>
      </c>
      <c r="F676" s="24">
        <f>D676*E676</f>
        <v/>
      </c>
      <c r="G676" s="22" t="n"/>
    </row>
    <row r="677">
      <c r="A677" s="22" t="inlineStr">
        <is>
          <t>0125</t>
        </is>
      </c>
      <c r="B677" s="11" t="inlineStr">
        <is>
          <t>Mason (for plain stone work) 2nd class)</t>
        </is>
      </c>
      <c r="C677" s="22" t="inlineStr">
        <is>
          <t>day</t>
        </is>
      </c>
      <c r="D677" s="23" t="n">
        <v>0.291</v>
      </c>
      <c r="E677" s="24" t="n">
        <v>679</v>
      </c>
      <c r="F677" s="24">
        <f>D677*E677</f>
        <v/>
      </c>
      <c r="G677" s="22" t="n"/>
    </row>
    <row r="678">
      <c r="A678" s="22" t="inlineStr">
        <is>
          <t>0102</t>
        </is>
      </c>
      <c r="B678" s="11" t="inlineStr">
        <is>
          <t>Blacksmith 1st class</t>
        </is>
      </c>
      <c r="C678" s="22" t="inlineStr">
        <is>
          <t>day</t>
        </is>
      </c>
      <c r="D678" s="23" t="n">
        <v>0.006</v>
      </c>
      <c r="E678" s="24" t="n">
        <v>738</v>
      </c>
      <c r="F678" s="24">
        <f>D678*E678</f>
        <v/>
      </c>
      <c r="G678" s="22" t="n"/>
    </row>
    <row r="679">
      <c r="A679" s="22" t="inlineStr">
        <is>
          <t>0114</t>
        </is>
      </c>
      <c r="B679" s="11" t="inlineStr">
        <is>
          <t>Beldar</t>
        </is>
      </c>
      <c r="C679" s="22" t="inlineStr">
        <is>
          <t>day</t>
        </is>
      </c>
      <c r="D679" s="23" t="n">
        <v>0.044</v>
      </c>
      <c r="E679" s="24" t="n">
        <v>558</v>
      </c>
      <c r="F679" s="24">
        <f>D679*E679</f>
        <v/>
      </c>
      <c r="G679" s="22" t="n"/>
    </row>
    <row r="680">
      <c r="A680" s="22" t="inlineStr">
        <is>
          <t>0115</t>
        </is>
      </c>
      <c r="B680" s="11" t="inlineStr">
        <is>
          <t>Coolie</t>
        </is>
      </c>
      <c r="C680" s="22" t="inlineStr">
        <is>
          <t>day</t>
        </is>
      </c>
      <c r="D680" s="23" t="n">
        <v>0.022</v>
      </c>
      <c r="E680" s="24" t="n">
        <v>558</v>
      </c>
      <c r="F680" s="24">
        <f>D680*E680</f>
        <v/>
      </c>
      <c r="G680" s="22" t="n"/>
    </row>
    <row r="681">
      <c r="A681" s="22" t="inlineStr">
        <is>
          <t>0100</t>
        </is>
      </c>
      <c r="B681" s="11" t="inlineStr">
        <is>
          <t>Bandhani</t>
        </is>
      </c>
      <c r="C681" s="22" t="inlineStr">
        <is>
          <t>day</t>
        </is>
      </c>
      <c r="D681" s="23" t="n">
        <v>0.044</v>
      </c>
      <c r="E681" s="24" t="n">
        <v>617</v>
      </c>
      <c r="F681" s="24">
        <f>D681*E681</f>
        <v/>
      </c>
      <c r="G681" s="22" t="n"/>
    </row>
    <row r="682">
      <c r="A682" s="22" t="inlineStr">
        <is>
          <t>0125</t>
        </is>
      </c>
      <c r="B682" s="11" t="inlineStr">
        <is>
          <t>Mason (for plain stone work) 2nd class</t>
        </is>
      </c>
      <c r="C682" s="22" t="inlineStr">
        <is>
          <t>day</t>
        </is>
      </c>
      <c r="D682" s="23" t="n">
        <v>0.044</v>
      </c>
      <c r="E682" s="24" t="n">
        <v>679</v>
      </c>
      <c r="F682" s="24">
        <f>D682*E682</f>
        <v/>
      </c>
      <c r="G682" s="22" t="n"/>
    </row>
    <row r="683">
      <c r="A683" s="22" t="inlineStr">
        <is>
          <t>0102</t>
        </is>
      </c>
      <c r="B683" s="11" t="inlineStr">
        <is>
          <t>Blacksmith 1st class</t>
        </is>
      </c>
      <c r="C683" s="22" t="inlineStr">
        <is>
          <t>day</t>
        </is>
      </c>
      <c r="D683" s="23" t="n">
        <v>0.006</v>
      </c>
      <c r="E683" s="24" t="n">
        <v>738</v>
      </c>
      <c r="F683" s="24">
        <f>D683*E683</f>
        <v/>
      </c>
      <c r="G683" s="22" t="n"/>
    </row>
    <row r="684">
      <c r="A684" s="22" t="inlineStr">
        <is>
          <t>0114</t>
        </is>
      </c>
      <c r="B684" s="11" t="inlineStr">
        <is>
          <t>Beldar</t>
        </is>
      </c>
      <c r="C684" s="22" t="inlineStr">
        <is>
          <t>day</t>
        </is>
      </c>
      <c r="D684" s="23" t="n">
        <v>0.022</v>
      </c>
      <c r="E684" s="24" t="n">
        <v>558</v>
      </c>
      <c r="F684" s="24">
        <f>D684*E684</f>
        <v/>
      </c>
      <c r="G684" s="22" t="n"/>
    </row>
    <row r="685">
      <c r="A685" s="22" t="inlineStr">
        <is>
          <t>0115</t>
        </is>
      </c>
      <c r="B685" s="11" t="inlineStr">
        <is>
          <t>Coolie</t>
        </is>
      </c>
      <c r="C685" s="22" t="inlineStr">
        <is>
          <t>day</t>
        </is>
      </c>
      <c r="D685" s="23" t="n">
        <v>0.022</v>
      </c>
      <c r="E685" s="24" t="n">
        <v>558</v>
      </c>
      <c r="F685" s="24">
        <f>D685*E685</f>
        <v/>
      </c>
      <c r="G685" s="22" t="n"/>
    </row>
    <row r="686">
      <c r="A686" s="22" t="inlineStr">
        <is>
          <t>0100</t>
        </is>
      </c>
      <c r="B686" s="11" t="inlineStr">
        <is>
          <t>Bandhani</t>
        </is>
      </c>
      <c r="C686" s="22" t="inlineStr">
        <is>
          <t>day</t>
        </is>
      </c>
      <c r="D686" s="23" t="n">
        <v>0.022</v>
      </c>
      <c r="E686" s="24" t="n">
        <v>617</v>
      </c>
      <c r="F686" s="24">
        <f>D686*E686</f>
        <v/>
      </c>
      <c r="G686" s="22" t="n"/>
    </row>
    <row r="687">
      <c r="A687" s="22" t="inlineStr">
        <is>
          <t>0101</t>
        </is>
      </c>
      <c r="B687" s="11" t="inlineStr">
        <is>
          <t>Bhisti</t>
        </is>
      </c>
      <c r="C687" s="22" t="inlineStr">
        <is>
          <t>day</t>
        </is>
      </c>
      <c r="D687" s="23" t="n">
        <v>0.022</v>
      </c>
      <c r="E687" s="24" t="n">
        <v>617</v>
      </c>
      <c r="F687" s="24">
        <f>D687*E687</f>
        <v/>
      </c>
      <c r="G687" s="22" t="n"/>
    </row>
    <row r="688">
      <c r="A688" s="22" t="inlineStr">
        <is>
          <t>9999</t>
        </is>
      </c>
      <c r="B688" s="11" t="inlineStr">
        <is>
          <t>Scaffolding</t>
        </is>
      </c>
      <c r="C688" s="22" t="inlineStr">
        <is>
          <t>L.S.</t>
        </is>
      </c>
      <c r="D688" s="23" t="n">
        <v>2.73</v>
      </c>
      <c r="E688" s="24" t="n">
        <v>2</v>
      </c>
      <c r="F688" s="24">
        <f>D688*E688</f>
        <v/>
      </c>
      <c r="G688" s="22" t="n"/>
    </row>
    <row r="689">
      <c r="A689" s="22" t="inlineStr">
        <is>
          <t>9999</t>
        </is>
      </c>
      <c r="B689" s="11" t="inlineStr">
        <is>
          <t>Mortar for laying and pointing</t>
        </is>
      </c>
      <c r="C689" s="22" t="inlineStr">
        <is>
          <t>L.S.</t>
        </is>
      </c>
      <c r="D689" s="23" t="n">
        <v>8.06</v>
      </c>
      <c r="E689" s="24" t="n">
        <v>2</v>
      </c>
      <c r="F689" s="24">
        <f>D689*E689</f>
        <v/>
      </c>
      <c r="G689" s="22" t="n"/>
    </row>
    <row r="690">
      <c r="A690" s="22" t="inlineStr">
        <is>
          <t>0115</t>
        </is>
      </c>
      <c r="B690" s="11" t="inlineStr">
        <is>
          <t>Coolie</t>
        </is>
      </c>
      <c r="C690" s="22" t="inlineStr">
        <is>
          <t>day</t>
        </is>
      </c>
      <c r="D690" s="23" t="n">
        <v>0.015</v>
      </c>
      <c r="E690" s="24" t="n">
        <v>558</v>
      </c>
      <c r="F690" s="24">
        <f>D690*E690</f>
        <v/>
      </c>
      <c r="G690" s="22" t="n"/>
    </row>
    <row r="691">
      <c r="A691" s="8" t="inlineStr">
        <is>
          <t>Calculated W - SUM of the Amount column above</t>
        </is>
      </c>
      <c r="B691" s="9" t="n"/>
      <c r="C691" s="9" t="n"/>
      <c r="D691" s="9" t="n"/>
      <c r="E691" s="9" t="n"/>
      <c r="F691" s="25">
        <f>SUM(F674:F690)</f>
        <v/>
      </c>
      <c r="G691" s="9" t="n"/>
    </row>
    <row r="692">
      <c r="A692" s="26" t="inlineStr">
        <is>
          <t>W as printed in the DAR</t>
        </is>
      </c>
      <c r="B692" s="22" t="n"/>
      <c r="C692" s="22" t="n"/>
      <c r="D692" s="22" t="n"/>
      <c r="E692" s="22" t="n"/>
      <c r="F692" s="27" t="n">
        <v>506.23</v>
      </c>
      <c r="G692" s="22" t="n"/>
    </row>
    <row r="693">
      <c r="A693" s="26" t="inlineStr">
        <is>
          <t>Difference (calculated - printed)</t>
        </is>
      </c>
      <c r="B693" s="22" t="n"/>
      <c r="C693" s="22" t="n"/>
      <c r="D693" s="22" t="n"/>
      <c r="E693" s="22" t="n"/>
      <c r="F693" s="27">
        <f>F691-F692</f>
        <v/>
      </c>
      <c r="G693" s="22" t="n"/>
    </row>
    <row r="694">
      <c r="A694" s="29" t="inlineStr">
        <is>
          <t>SAY (Rs.) - final DAR rate as printed (fixed value, not computed)</t>
        </is>
      </c>
      <c r="B694" s="30" t="n"/>
      <c r="C694" s="30" t="n"/>
      <c r="D694" s="30" t="n"/>
      <c r="E694" s="30" t="n"/>
      <c r="F694" s="31" t="n">
        <v>67731</v>
      </c>
      <c r="G694" s="30" t="n"/>
    </row>
    <row r="696" ht="47.5" customHeight="1">
      <c r="A696" s="8" t="inlineStr">
        <is>
          <t>7.20</t>
        </is>
      </c>
      <c r="B696" s="17" t="inlineStr">
        <is>
          <t>Stone work ashlar sunk or moulded or sunk and moulded upto floor five level in cement mortar 1:6 (1 cement : 6 coarse sand) including pointing with white cement mortar 1:2 (1 white cement : 2 stone dust) with an admixture of pigment matching the stone shade :</t>
        </is>
      </c>
      <c r="C696" s="9" t="n"/>
      <c r="D696" s="9" t="n"/>
      <c r="E696" s="9" t="n"/>
      <c r="F696" s="9" t="n"/>
      <c r="G696" s="9" t="n"/>
    </row>
    <row r="697" ht="18.5" customHeight="1">
      <c r="A697" s="18" t="inlineStr">
        <is>
          <t>7.20.2</t>
        </is>
      </c>
      <c r="B697" s="19" t="inlineStr">
        <is>
          <t>White sand stone</t>
        </is>
      </c>
      <c r="C697" s="20" t="n"/>
      <c r="D697" s="20" t="n"/>
      <c r="E697" s="20" t="n"/>
      <c r="F697" s="20" t="n"/>
      <c r="G697" s="20" t="n"/>
    </row>
    <row r="698">
      <c r="A698" s="21" t="inlineStr">
        <is>
          <t>Details of cost for 10 cudm   |   Source: CivilDAR_2019_Vol_1.pdf, page 351</t>
        </is>
      </c>
    </row>
    <row r="699">
      <c r="A699" s="5" t="inlineStr">
        <is>
          <t>Code</t>
        </is>
      </c>
      <c r="B699" s="5" t="inlineStr">
        <is>
          <t>Description</t>
        </is>
      </c>
      <c r="C699" s="5" t="inlineStr">
        <is>
          <t>Unit</t>
        </is>
      </c>
      <c r="D699" s="5" t="inlineStr">
        <is>
          <t>Quantity</t>
        </is>
      </c>
      <c r="E699" s="5" t="inlineStr">
        <is>
          <t>Rate (Rs.)</t>
        </is>
      </c>
      <c r="F699" s="5" t="inlineStr">
        <is>
          <t>Amount (Rs.)</t>
        </is>
      </c>
      <c r="G699" s="5" t="inlineStr">
        <is>
          <t>Note</t>
        </is>
      </c>
    </row>
    <row r="700">
      <c r="A700" s="22" t="inlineStr">
        <is>
          <t>1161</t>
        </is>
      </c>
      <c r="B700" s="11" t="inlineStr">
        <is>
          <t>White sand stone block</t>
        </is>
      </c>
      <c r="C700" s="22" t="inlineStr">
        <is>
          <t>10 cudm</t>
        </is>
      </c>
      <c r="D700" s="23" t="n">
        <v>1.333</v>
      </c>
      <c r="E700" s="24" t="n">
        <v>205</v>
      </c>
      <c r="F700" s="24">
        <f>D700*E700</f>
        <v/>
      </c>
      <c r="G700" s="22" t="n"/>
    </row>
    <row r="701">
      <c r="A701" s="22" t="inlineStr">
        <is>
          <t>2216</t>
        </is>
      </c>
      <c r="B701" s="11" t="inlineStr">
        <is>
          <t>Carriage of Stone blocks white &amp; red sand stone &amp; kota stone slab</t>
        </is>
      </c>
      <c r="C701" s="22" t="inlineStr">
        <is>
          <t>tonne</t>
        </is>
      </c>
      <c r="D701" s="23" t="n">
        <v>0.031</v>
      </c>
      <c r="E701" s="24" t="n">
        <v>92.23999999999999</v>
      </c>
      <c r="F701" s="24">
        <f>D701*E701</f>
        <v/>
      </c>
      <c r="G701" s="22" t="n"/>
    </row>
    <row r="702">
      <c r="A702" s="22" t="inlineStr">
        <is>
          <t>9999</t>
        </is>
      </c>
      <c r="B702" s="11" t="inlineStr">
        <is>
          <t>Extra for using white cement</t>
        </is>
      </c>
      <c r="C702" s="22" t="inlineStr">
        <is>
          <t>L.S.</t>
        </is>
      </c>
      <c r="D702" s="23" t="n">
        <v>8.06</v>
      </c>
      <c r="E702" s="24" t="n">
        <v>2</v>
      </c>
      <c r="F702" s="24">
        <f>D702*E702</f>
        <v/>
      </c>
      <c r="G702" s="22" t="n"/>
    </row>
    <row r="703">
      <c r="A703" s="22" t="inlineStr">
        <is>
          <t>0125</t>
        </is>
      </c>
      <c r="B703" s="11" t="inlineStr">
        <is>
          <t>Mason (for plain stone work) 2nd class)</t>
        </is>
      </c>
      <c r="C703" s="22" t="inlineStr">
        <is>
          <t>day</t>
        </is>
      </c>
      <c r="D703" s="23" t="n">
        <v>0.291</v>
      </c>
      <c r="E703" s="24" t="n">
        <v>679</v>
      </c>
      <c r="F703" s="24">
        <f>D703*E703</f>
        <v/>
      </c>
      <c r="G703" s="22" t="n"/>
    </row>
    <row r="704">
      <c r="A704" s="22" t="inlineStr">
        <is>
          <t>0102</t>
        </is>
      </c>
      <c r="B704" s="11" t="inlineStr">
        <is>
          <t>Blacksmith 1st class</t>
        </is>
      </c>
      <c r="C704" s="22" t="inlineStr">
        <is>
          <t>day</t>
        </is>
      </c>
      <c r="D704" s="23" t="n">
        <v>0.006</v>
      </c>
      <c r="E704" s="24" t="n">
        <v>738</v>
      </c>
      <c r="F704" s="24">
        <f>D704*E704</f>
        <v/>
      </c>
      <c r="G704" s="22" t="n"/>
    </row>
    <row r="705">
      <c r="A705" s="22" t="inlineStr">
        <is>
          <t>0114</t>
        </is>
      </c>
      <c r="B705" s="11" t="inlineStr">
        <is>
          <t>Beldar</t>
        </is>
      </c>
      <c r="C705" s="22" t="inlineStr">
        <is>
          <t>day</t>
        </is>
      </c>
      <c r="D705" s="23" t="n">
        <v>0.044</v>
      </c>
      <c r="E705" s="24" t="n">
        <v>558</v>
      </c>
      <c r="F705" s="24">
        <f>D705*E705</f>
        <v/>
      </c>
      <c r="G705" s="22" t="n"/>
    </row>
    <row r="706">
      <c r="A706" s="22" t="inlineStr">
        <is>
          <t>0115</t>
        </is>
      </c>
      <c r="B706" s="11" t="inlineStr">
        <is>
          <t>Coolie</t>
        </is>
      </c>
      <c r="C706" s="22" t="inlineStr">
        <is>
          <t>day</t>
        </is>
      </c>
      <c r="D706" s="23" t="n">
        <v>0.022</v>
      </c>
      <c r="E706" s="24" t="n">
        <v>558</v>
      </c>
      <c r="F706" s="24">
        <f>D706*E706</f>
        <v/>
      </c>
      <c r="G706" s="22" t="n"/>
    </row>
    <row r="707">
      <c r="A707" s="22" t="inlineStr">
        <is>
          <t>0100</t>
        </is>
      </c>
      <c r="B707" s="11" t="inlineStr">
        <is>
          <t>Bandhani</t>
        </is>
      </c>
      <c r="C707" s="22" t="inlineStr">
        <is>
          <t>day</t>
        </is>
      </c>
      <c r="D707" s="23" t="n">
        <v>0.044</v>
      </c>
      <c r="E707" s="24" t="n">
        <v>617</v>
      </c>
      <c r="F707" s="24">
        <f>D707*E707</f>
        <v/>
      </c>
      <c r="G707" s="22" t="n"/>
    </row>
    <row r="708">
      <c r="A708" s="22" t="inlineStr">
        <is>
          <t>0125</t>
        </is>
      </c>
      <c r="B708" s="11" t="inlineStr">
        <is>
          <t>Mason (for plain stone work) 2nd class)</t>
        </is>
      </c>
      <c r="C708" s="22" t="inlineStr">
        <is>
          <t>day</t>
        </is>
      </c>
      <c r="D708" s="23" t="n">
        <v>0.044</v>
      </c>
      <c r="E708" s="24" t="n">
        <v>679</v>
      </c>
      <c r="F708" s="24">
        <f>D708*E708</f>
        <v/>
      </c>
      <c r="G708" s="22" t="n"/>
    </row>
    <row r="709">
      <c r="A709" s="22" t="inlineStr">
        <is>
          <t>0102</t>
        </is>
      </c>
      <c r="B709" s="11" t="inlineStr">
        <is>
          <t>Blacksmith 1st class</t>
        </is>
      </c>
      <c r="C709" s="22" t="inlineStr">
        <is>
          <t>day</t>
        </is>
      </c>
      <c r="D709" s="23" t="n">
        <v>0.006</v>
      </c>
      <c r="E709" s="24" t="n">
        <v>738</v>
      </c>
      <c r="F709" s="24">
        <f>D709*E709</f>
        <v/>
      </c>
      <c r="G709" s="22" t="n"/>
    </row>
    <row r="710">
      <c r="A710" s="22" t="inlineStr">
        <is>
          <t>0114</t>
        </is>
      </c>
      <c r="B710" s="11" t="inlineStr">
        <is>
          <t>Beldar</t>
        </is>
      </c>
      <c r="C710" s="22" t="inlineStr">
        <is>
          <t>day</t>
        </is>
      </c>
      <c r="D710" s="23" t="n">
        <v>0.022</v>
      </c>
      <c r="E710" s="24" t="n">
        <v>558</v>
      </c>
      <c r="F710" s="24">
        <f>D710*E710</f>
        <v/>
      </c>
      <c r="G710" s="22" t="n"/>
    </row>
    <row r="711">
      <c r="A711" s="22" t="inlineStr">
        <is>
          <t>0115</t>
        </is>
      </c>
      <c r="B711" s="11" t="inlineStr">
        <is>
          <t>Coolie</t>
        </is>
      </c>
      <c r="C711" s="22" t="inlineStr">
        <is>
          <t>day</t>
        </is>
      </c>
      <c r="D711" s="23" t="n">
        <v>0.022</v>
      </c>
      <c r="E711" s="24" t="n">
        <v>558</v>
      </c>
      <c r="F711" s="24">
        <f>D711*E711</f>
        <v/>
      </c>
      <c r="G711" s="22" t="n"/>
    </row>
    <row r="712">
      <c r="A712" s="22" t="inlineStr">
        <is>
          <t>0100</t>
        </is>
      </c>
      <c r="B712" s="11" t="inlineStr">
        <is>
          <t>Bandhani</t>
        </is>
      </c>
      <c r="C712" s="22" t="inlineStr">
        <is>
          <t>day</t>
        </is>
      </c>
      <c r="D712" s="23" t="n">
        <v>0.022</v>
      </c>
      <c r="E712" s="24" t="n">
        <v>617</v>
      </c>
      <c r="F712" s="24">
        <f>D712*E712</f>
        <v/>
      </c>
      <c r="G712" s="22" t="n"/>
    </row>
    <row r="713">
      <c r="A713" s="22" t="inlineStr">
        <is>
          <t>0101</t>
        </is>
      </c>
      <c r="B713" s="11" t="inlineStr">
        <is>
          <t>Bhisti</t>
        </is>
      </c>
      <c r="C713" s="22" t="inlineStr">
        <is>
          <t>day</t>
        </is>
      </c>
      <c r="D713" s="23" t="n">
        <v>0.022</v>
      </c>
      <c r="E713" s="24" t="n">
        <v>617</v>
      </c>
      <c r="F713" s="24">
        <f>D713*E713</f>
        <v/>
      </c>
      <c r="G713" s="22" t="n"/>
    </row>
    <row r="714">
      <c r="A714" s="22" t="inlineStr">
        <is>
          <t>9999</t>
        </is>
      </c>
      <c r="B714" s="11" t="inlineStr">
        <is>
          <t>Scaffolding</t>
        </is>
      </c>
      <c r="C714" s="22" t="inlineStr">
        <is>
          <t>L.S.</t>
        </is>
      </c>
      <c r="D714" s="23" t="n">
        <v>2.73</v>
      </c>
      <c r="E714" s="24" t="n">
        <v>2</v>
      </c>
      <c r="F714" s="24">
        <f>D714*E714</f>
        <v/>
      </c>
      <c r="G714" s="22" t="n"/>
    </row>
    <row r="715">
      <c r="A715" s="22" t="inlineStr">
        <is>
          <t>9999</t>
        </is>
      </c>
      <c r="B715" s="11" t="inlineStr">
        <is>
          <t>Mortar for laying and pointing</t>
        </is>
      </c>
      <c r="C715" s="22" t="inlineStr">
        <is>
          <t>L.S.</t>
        </is>
      </c>
      <c r="D715" s="23" t="n">
        <v>8.06</v>
      </c>
      <c r="E715" s="24" t="n">
        <v>2</v>
      </c>
      <c r="F715" s="24">
        <f>D715*E715</f>
        <v/>
      </c>
      <c r="G715" s="22" t="n"/>
    </row>
    <row r="716">
      <c r="A716" s="22" t="inlineStr">
        <is>
          <t>0115</t>
        </is>
      </c>
      <c r="B716" s="11" t="inlineStr">
        <is>
          <t>Coolie</t>
        </is>
      </c>
      <c r="C716" s="22" t="inlineStr">
        <is>
          <t>day</t>
        </is>
      </c>
      <c r="D716" s="23" t="n">
        <v>0.015</v>
      </c>
      <c r="E716" s="24" t="n">
        <v>558</v>
      </c>
      <c r="F716" s="24">
        <f>D716*E716</f>
        <v/>
      </c>
      <c r="G716" s="22" t="n"/>
    </row>
    <row r="717">
      <c r="A717" s="8" t="inlineStr">
        <is>
          <t>Calculated W - SUM of the Amount column above</t>
        </is>
      </c>
      <c r="B717" s="9" t="n"/>
      <c r="C717" s="9" t="n"/>
      <c r="D717" s="9" t="n"/>
      <c r="E717" s="9" t="n"/>
      <c r="F717" s="25">
        <f>SUM(F700:F716)</f>
        <v/>
      </c>
      <c r="G717" s="9" t="n"/>
    </row>
    <row r="718">
      <c r="A718" s="26" t="inlineStr">
        <is>
          <t>W as printed in the DAR</t>
        </is>
      </c>
      <c r="B718" s="22" t="n"/>
      <c r="C718" s="22" t="n"/>
      <c r="D718" s="22" t="n"/>
      <c r="E718" s="22" t="n"/>
      <c r="F718" s="27" t="n">
        <v>674.1900000000001</v>
      </c>
      <c r="G718" s="22" t="n"/>
    </row>
    <row r="719">
      <c r="A719" s="26" t="inlineStr">
        <is>
          <t>Difference (calculated - printed)</t>
        </is>
      </c>
      <c r="B719" s="22" t="n"/>
      <c r="C719" s="22" t="n"/>
      <c r="D719" s="22" t="n"/>
      <c r="E719" s="22" t="n"/>
      <c r="F719" s="27">
        <f>F717-F718</f>
        <v/>
      </c>
      <c r="G719" s="22" t="n"/>
    </row>
    <row r="720">
      <c r="A720" s="29" t="inlineStr">
        <is>
          <t>SAY (Rs.) - final DAR rate as printed (fixed value, not computed)</t>
        </is>
      </c>
      <c r="B720" s="30" t="n"/>
      <c r="C720" s="30" t="n"/>
      <c r="D720" s="30" t="n"/>
      <c r="E720" s="30" t="n"/>
      <c r="F720" s="31" t="n">
        <v>90203</v>
      </c>
      <c r="G720" s="30" t="n"/>
    </row>
    <row r="722" ht="18.5" customHeight="1">
      <c r="A722" s="8" t="inlineStr">
        <is>
          <t>7.21</t>
        </is>
      </c>
      <c r="B722" s="17" t="inlineStr">
        <is>
          <t>Extra for stone work ashlar sunk or moulded or sunk and moulded or carved in :</t>
        </is>
      </c>
      <c r="C722" s="9" t="n"/>
      <c r="D722" s="9" t="n"/>
      <c r="E722" s="9" t="n"/>
      <c r="F722" s="9" t="n"/>
      <c r="G722" s="9" t="n"/>
    </row>
    <row r="723" ht="18.5" customHeight="1">
      <c r="A723" s="18" t="inlineStr">
        <is>
          <t>7.21.1</t>
        </is>
      </c>
      <c r="B723" s="19" t="inlineStr">
        <is>
          <t>Triangular or Square or rectangular pillars</t>
        </is>
      </c>
      <c r="C723" s="20" t="n"/>
      <c r="D723" s="20" t="n"/>
      <c r="E723" s="20" t="n"/>
      <c r="F723" s="20" t="n"/>
      <c r="G723" s="20" t="n"/>
    </row>
    <row r="724">
      <c r="A724" s="21" t="inlineStr">
        <is>
          <t>Details of cost for 10 cudm   |   Source: CivilDAR_2019_Vol_1.pdf, page 352</t>
        </is>
      </c>
    </row>
    <row r="725">
      <c r="A725" s="5" t="inlineStr">
        <is>
          <t>Code</t>
        </is>
      </c>
      <c r="B725" s="5" t="inlineStr">
        <is>
          <t>Description</t>
        </is>
      </c>
      <c r="C725" s="5" t="inlineStr">
        <is>
          <t>Unit</t>
        </is>
      </c>
      <c r="D725" s="5" t="inlineStr">
        <is>
          <t>Quantity</t>
        </is>
      </c>
      <c r="E725" s="5" t="inlineStr">
        <is>
          <t>Rate (Rs.)</t>
        </is>
      </c>
      <c r="F725" s="5" t="inlineStr">
        <is>
          <t>Amount (Rs.)</t>
        </is>
      </c>
      <c r="G725" s="5" t="inlineStr">
        <is>
          <t>Note</t>
        </is>
      </c>
    </row>
    <row r="726">
      <c r="A726" s="22" t="inlineStr">
        <is>
          <t>9999</t>
        </is>
      </c>
      <c r="B726" s="11" t="inlineStr">
        <is>
          <t>LABOUR</t>
        </is>
      </c>
      <c r="C726" s="22" t="inlineStr">
        <is>
          <t>L.S.</t>
        </is>
      </c>
      <c r="D726" s="23" t="n">
        <v>11.7</v>
      </c>
      <c r="E726" s="24" t="n">
        <v>2</v>
      </c>
      <c r="F726" s="24">
        <f>D726*E726</f>
        <v/>
      </c>
      <c r="G726" s="22" t="n"/>
    </row>
    <row r="727">
      <c r="A727" s="8" t="inlineStr">
        <is>
          <t>Calculated W - SUM of the Amount column above</t>
        </is>
      </c>
      <c r="B727" s="9" t="n"/>
      <c r="C727" s="9" t="n"/>
      <c r="D727" s="9" t="n"/>
      <c r="E727" s="9" t="n"/>
      <c r="F727" s="25">
        <f>SUM(F726:F726)</f>
        <v/>
      </c>
      <c r="G727" s="9" t="n"/>
    </row>
    <row r="728">
      <c r="A728" s="26" t="inlineStr">
        <is>
          <t>W as printed in the DAR</t>
        </is>
      </c>
      <c r="B728" s="22" t="n"/>
      <c r="C728" s="22" t="n"/>
      <c r="D728" s="22" t="n"/>
      <c r="E728" s="22" t="n"/>
      <c r="F728" s="27" t="n">
        <v>23.4</v>
      </c>
      <c r="G728" s="22" t="n"/>
    </row>
    <row r="729">
      <c r="A729" s="26" t="inlineStr">
        <is>
          <t>Difference (calculated - printed)</t>
        </is>
      </c>
      <c r="B729" s="22" t="n"/>
      <c r="C729" s="22" t="n"/>
      <c r="D729" s="22" t="n"/>
      <c r="E729" s="22" t="n"/>
      <c r="F729" s="27">
        <f>F727-F728</f>
        <v/>
      </c>
      <c r="G729" s="22" t="n"/>
    </row>
    <row r="730">
      <c r="A730" s="29" t="inlineStr">
        <is>
          <t>SAY (Rs.) - final DAR rate as printed (fixed value, not computed)</t>
        </is>
      </c>
      <c r="B730" s="30" t="n"/>
      <c r="C730" s="30" t="n"/>
      <c r="D730" s="30" t="n"/>
      <c r="E730" s="30" t="n"/>
      <c r="F730" s="31" t="n">
        <v>3131</v>
      </c>
      <c r="G730" s="30" t="n"/>
    </row>
    <row r="732" ht="18.5" customHeight="1">
      <c r="A732" s="8" t="inlineStr">
        <is>
          <t>7.21</t>
        </is>
      </c>
      <c r="B732" s="17" t="inlineStr">
        <is>
          <t>Extra for stone work ashlar sunk or moulded or sunk and moulded or carved in :</t>
        </is>
      </c>
      <c r="C732" s="9" t="n"/>
      <c r="D732" s="9" t="n"/>
      <c r="E732" s="9" t="n"/>
      <c r="F732" s="9" t="n"/>
      <c r="G732" s="9" t="n"/>
    </row>
    <row r="733" ht="18.5" customHeight="1">
      <c r="A733" s="18" t="inlineStr">
        <is>
          <t>7.21.2</t>
        </is>
      </c>
      <c r="B733" s="19" t="inlineStr">
        <is>
          <t>Circular or polygonal pillars</t>
        </is>
      </c>
      <c r="C733" s="20" t="n"/>
      <c r="D733" s="20" t="n"/>
      <c r="E733" s="20" t="n"/>
      <c r="F733" s="20" t="n"/>
      <c r="G733" s="20" t="n"/>
    </row>
    <row r="734">
      <c r="A734" s="21" t="inlineStr">
        <is>
          <t>Details of cost for 10 cudm   |   Source: CivilDAR_2019_Vol_1.pdf, page 352</t>
        </is>
      </c>
    </row>
    <row r="735">
      <c r="A735" s="5" t="inlineStr">
        <is>
          <t>Code</t>
        </is>
      </c>
      <c r="B735" s="5" t="inlineStr">
        <is>
          <t>Description</t>
        </is>
      </c>
      <c r="C735" s="5" t="inlineStr">
        <is>
          <t>Unit</t>
        </is>
      </c>
      <c r="D735" s="5" t="inlineStr">
        <is>
          <t>Quantity</t>
        </is>
      </c>
      <c r="E735" s="5" t="inlineStr">
        <is>
          <t>Rate (Rs.)</t>
        </is>
      </c>
      <c r="F735" s="5" t="inlineStr">
        <is>
          <t>Amount (Rs.)</t>
        </is>
      </c>
      <c r="G735" s="5" t="inlineStr">
        <is>
          <t>Note</t>
        </is>
      </c>
    </row>
    <row r="736">
      <c r="A736" s="22" t="inlineStr">
        <is>
          <t>9999</t>
        </is>
      </c>
      <c r="B736" s="11" t="inlineStr">
        <is>
          <t>LABOUR</t>
        </is>
      </c>
      <c r="C736" s="22" t="inlineStr">
        <is>
          <t>L.S.</t>
        </is>
      </c>
      <c r="D736" s="23" t="n">
        <v>33.15</v>
      </c>
      <c r="E736" s="24" t="n">
        <v>2</v>
      </c>
      <c r="F736" s="24">
        <f>D736*E736</f>
        <v/>
      </c>
      <c r="G736" s="22" t="n"/>
    </row>
    <row r="737">
      <c r="A737" s="8" t="inlineStr">
        <is>
          <t>Calculated W - SUM of the Amount column above</t>
        </is>
      </c>
      <c r="B737" s="9" t="n"/>
      <c r="C737" s="9" t="n"/>
      <c r="D737" s="9" t="n"/>
      <c r="E737" s="9" t="n"/>
      <c r="F737" s="25">
        <f>SUM(F736:F736)</f>
        <v/>
      </c>
      <c r="G737" s="9" t="n"/>
    </row>
    <row r="738">
      <c r="A738" s="26" t="inlineStr">
        <is>
          <t>W as printed in the DAR</t>
        </is>
      </c>
      <c r="B738" s="22" t="n"/>
      <c r="C738" s="22" t="n"/>
      <c r="D738" s="22" t="n"/>
      <c r="E738" s="22" t="n"/>
      <c r="F738" s="27" t="n">
        <v>66.3</v>
      </c>
      <c r="G738" s="22" t="n"/>
    </row>
    <row r="739">
      <c r="A739" s="26" t="inlineStr">
        <is>
          <t>Difference (calculated - printed)</t>
        </is>
      </c>
      <c r="B739" s="22" t="n"/>
      <c r="C739" s="22" t="n"/>
      <c r="D739" s="22" t="n"/>
      <c r="E739" s="22" t="n"/>
      <c r="F739" s="27">
        <f>F737-F738</f>
        <v/>
      </c>
      <c r="G739" s="22" t="n"/>
    </row>
    <row r="740">
      <c r="A740" s="29" t="inlineStr">
        <is>
          <t>SAY (Rs.) - final DAR rate as printed (fixed value, not computed)</t>
        </is>
      </c>
      <c r="B740" s="30" t="n"/>
      <c r="C740" s="30" t="n"/>
      <c r="D740" s="30" t="n"/>
      <c r="E740" s="30" t="n"/>
      <c r="F740" s="31" t="n">
        <v>8871</v>
      </c>
      <c r="G740" s="30" t="n"/>
    </row>
    <row r="742" ht="18.5" customHeight="1">
      <c r="A742" s="18" t="inlineStr">
        <is>
          <t>7.22</t>
        </is>
      </c>
      <c r="B742" s="19" t="inlineStr">
        <is>
          <t>Extra for stone work ashlar sunk or moulded in cornices.</t>
        </is>
      </c>
      <c r="C742" s="20" t="n"/>
      <c r="D742" s="20" t="n"/>
      <c r="E742" s="20" t="n"/>
      <c r="F742" s="20" t="n"/>
      <c r="G742" s="20" t="n"/>
    </row>
    <row r="743">
      <c r="A743" s="21" t="inlineStr">
        <is>
          <t>Details of cost for 1 nos   |   Source: CivilDAR_2019_Vol_1.pdf, page 353</t>
        </is>
      </c>
    </row>
    <row r="744">
      <c r="A744" s="5" t="inlineStr">
        <is>
          <t>Code</t>
        </is>
      </c>
      <c r="B744" s="5" t="inlineStr">
        <is>
          <t>Description</t>
        </is>
      </c>
      <c r="C744" s="5" t="inlineStr">
        <is>
          <t>Unit</t>
        </is>
      </c>
      <c r="D744" s="5" t="inlineStr">
        <is>
          <t>Quantity</t>
        </is>
      </c>
      <c r="E744" s="5" t="inlineStr">
        <is>
          <t>Rate (Rs.)</t>
        </is>
      </c>
      <c r="F744" s="5" t="inlineStr">
        <is>
          <t>Amount (Rs.)</t>
        </is>
      </c>
      <c r="G744" s="5" t="inlineStr">
        <is>
          <t>Note</t>
        </is>
      </c>
    </row>
    <row r="745">
      <c r="A745" s="22" t="inlineStr">
        <is>
          <t>0125</t>
        </is>
      </c>
      <c r="B745" s="11" t="inlineStr">
        <is>
          <t>Mason (for plain stone work) 2nd class)</t>
        </is>
      </c>
      <c r="C745" s="22" t="inlineStr">
        <is>
          <t>day</t>
        </is>
      </c>
      <c r="D745" s="23" t="n">
        <v>0.5</v>
      </c>
      <c r="E745" s="24" t="n">
        <v>679</v>
      </c>
      <c r="F745" s="24">
        <f>D745*E745</f>
        <v/>
      </c>
      <c r="G745" s="22" t="n"/>
    </row>
    <row r="746">
      <c r="A746" s="22" t="inlineStr">
        <is>
          <t>0114</t>
        </is>
      </c>
      <c r="B746" s="11" t="inlineStr">
        <is>
          <t>Beldar</t>
        </is>
      </c>
      <c r="C746" s="22" t="inlineStr">
        <is>
          <t>day</t>
        </is>
      </c>
      <c r="D746" s="23" t="n">
        <v>0.75</v>
      </c>
      <c r="E746" s="24" t="n">
        <v>558</v>
      </c>
      <c r="F746" s="24">
        <f>D746*E746</f>
        <v/>
      </c>
      <c r="G746" s="22" t="n"/>
    </row>
    <row r="747">
      <c r="A747" s="8" t="inlineStr">
        <is>
          <t>Calculated W - SUM of the Amount column above</t>
        </is>
      </c>
      <c r="B747" s="9" t="n"/>
      <c r="C747" s="9" t="n"/>
      <c r="D747" s="9" t="n"/>
      <c r="E747" s="9" t="n"/>
      <c r="F747" s="25">
        <f>SUM(F745:F746)</f>
        <v/>
      </c>
      <c r="G747" s="9" t="n"/>
    </row>
    <row r="748">
      <c r="A748" s="26" t="inlineStr">
        <is>
          <t>W as printed in the DAR</t>
        </is>
      </c>
      <c r="B748" s="22" t="n"/>
      <c r="C748" s="22" t="n"/>
      <c r="D748" s="22" t="n"/>
      <c r="E748" s="22" t="n"/>
      <c r="F748" s="27" t="n">
        <v>758</v>
      </c>
      <c r="G748" s="22" t="n"/>
    </row>
    <row r="749">
      <c r="A749" s="26" t="inlineStr">
        <is>
          <t>Difference (calculated - printed)</t>
        </is>
      </c>
      <c r="B749" s="22" t="n"/>
      <c r="C749" s="22" t="n"/>
      <c r="D749" s="22" t="n"/>
      <c r="E749" s="22" t="n"/>
      <c r="F749" s="27">
        <f>F747-F748</f>
        <v/>
      </c>
      <c r="G749" s="22" t="n"/>
    </row>
    <row r="750">
      <c r="A750" s="29" t="inlineStr">
        <is>
          <t>SAY (Rs.) - final DAR rate as printed (fixed value, not computed)</t>
        </is>
      </c>
      <c r="B750" s="30" t="n"/>
      <c r="C750" s="30" t="n"/>
      <c r="D750" s="30" t="n"/>
      <c r="E750" s="30" t="n"/>
      <c r="F750" s="31" t="n">
        <v>225.35</v>
      </c>
      <c r="G750" s="30" t="n"/>
    </row>
    <row r="752" ht="18.5" customHeight="1">
      <c r="A752" s="18" t="inlineStr">
        <is>
          <t>7.24</t>
        </is>
      </c>
      <c r="B752" s="19" t="inlineStr">
        <is>
          <t>Extra for stone work (veneer work) curved on plan with a mean radius not exceeding 6 m.</t>
        </is>
      </c>
      <c r="C752" s="20" t="n"/>
      <c r="D752" s="20" t="n"/>
      <c r="E752" s="20" t="n"/>
      <c r="F752" s="20" t="n"/>
      <c r="G752" s="20" t="n"/>
    </row>
    <row r="753">
      <c r="A753" s="21" t="inlineStr">
        <is>
          <t>Details of cost for 10 cudm   |   Source: CivilDAR_2019_Vol_1.pdf, page 353</t>
        </is>
      </c>
    </row>
    <row r="754">
      <c r="A754" s="5" t="inlineStr">
        <is>
          <t>Code</t>
        </is>
      </c>
      <c r="B754" s="5" t="inlineStr">
        <is>
          <t>Description</t>
        </is>
      </c>
      <c r="C754" s="5" t="inlineStr">
        <is>
          <t>Unit</t>
        </is>
      </c>
      <c r="D754" s="5" t="inlineStr">
        <is>
          <t>Quantity</t>
        </is>
      </c>
      <c r="E754" s="5" t="inlineStr">
        <is>
          <t>Rate (Rs.)</t>
        </is>
      </c>
      <c r="F754" s="5" t="inlineStr">
        <is>
          <t>Amount (Rs.)</t>
        </is>
      </c>
      <c r="G754" s="5" t="inlineStr">
        <is>
          <t>Note</t>
        </is>
      </c>
    </row>
    <row r="755">
      <c r="A755" s="22" t="inlineStr">
        <is>
          <t>9999</t>
        </is>
      </c>
      <c r="B755" s="11" t="inlineStr">
        <is>
          <t>Labour and materials</t>
        </is>
      </c>
      <c r="C755" s="22" t="inlineStr">
        <is>
          <t>L.S.</t>
        </is>
      </c>
      <c r="D755" s="23" t="n">
        <v>8.970000000000001</v>
      </c>
      <c r="E755" s="24" t="n">
        <v>2</v>
      </c>
      <c r="F755" s="24">
        <f>D755*E755</f>
        <v/>
      </c>
      <c r="G755" s="22" t="n"/>
    </row>
    <row r="756">
      <c r="A756" s="8" t="inlineStr">
        <is>
          <t>Calculated W - SUM of the Amount column above</t>
        </is>
      </c>
      <c r="B756" s="9" t="n"/>
      <c r="C756" s="9" t="n"/>
      <c r="D756" s="9" t="n"/>
      <c r="E756" s="9" t="n"/>
      <c r="F756" s="25">
        <f>SUM(F755:F755)</f>
        <v/>
      </c>
      <c r="G756" s="9" t="n"/>
    </row>
    <row r="757">
      <c r="A757" s="26" t="inlineStr">
        <is>
          <t>W as printed in the DAR</t>
        </is>
      </c>
      <c r="B757" s="22" t="n"/>
      <c r="C757" s="22" t="n"/>
      <c r="D757" s="22" t="n"/>
      <c r="E757" s="22" t="n"/>
      <c r="F757" s="27" t="n">
        <v>17.94</v>
      </c>
      <c r="G757" s="22" t="n"/>
    </row>
    <row r="758">
      <c r="A758" s="26" t="inlineStr">
        <is>
          <t>Difference (calculated - printed)</t>
        </is>
      </c>
      <c r="B758" s="22" t="n"/>
      <c r="C758" s="22" t="n"/>
      <c r="D758" s="22" t="n"/>
      <c r="E758" s="22" t="n"/>
      <c r="F758" s="27">
        <f>F756-F757</f>
        <v/>
      </c>
      <c r="G758" s="22" t="n"/>
    </row>
    <row r="759">
      <c r="A759" s="29" t="inlineStr">
        <is>
          <t>SAY (Rs.) - final DAR rate as printed (fixed value, not computed)</t>
        </is>
      </c>
      <c r="B759" s="30" t="n"/>
      <c r="C759" s="30" t="n"/>
      <c r="D759" s="30" t="n"/>
      <c r="E759" s="30" t="n"/>
      <c r="F759" s="31" t="n">
        <v>2400</v>
      </c>
      <c r="G759" s="30" t="n"/>
    </row>
    <row r="761" ht="33" customHeight="1">
      <c r="A761" s="18" t="inlineStr">
        <is>
          <t>7.26</t>
        </is>
      </c>
      <c r="B761" s="19" t="inlineStr">
        <is>
          <t>Providing and fixing stone dowels 10x5x2.50 cm cut to double wedge shape as per design in cement mortar 1:2 (1 cement : 2 coarse sand), including making the necessary chases.</t>
        </is>
      </c>
      <c r="C761" s="20" t="n"/>
      <c r="D761" s="20" t="n"/>
      <c r="E761" s="20" t="n"/>
      <c r="F761" s="20" t="n"/>
      <c r="G761" s="20" t="n"/>
    </row>
    <row r="762">
      <c r="A762" s="21" t="inlineStr">
        <is>
          <t>Details of cost for 1 nos   |   Source: CivilDAR_2019_Vol_1.pdf, page 353</t>
        </is>
      </c>
    </row>
    <row r="763">
      <c r="A763" s="5" t="inlineStr">
        <is>
          <t>Code</t>
        </is>
      </c>
      <c r="B763" s="5" t="inlineStr">
        <is>
          <t>Description</t>
        </is>
      </c>
      <c r="C763" s="5" t="inlineStr">
        <is>
          <t>Unit</t>
        </is>
      </c>
      <c r="D763" s="5" t="inlineStr">
        <is>
          <t>Quantity</t>
        </is>
      </c>
      <c r="E763" s="5" t="inlineStr">
        <is>
          <t>Rate (Rs.)</t>
        </is>
      </c>
      <c r="F763" s="5" t="inlineStr">
        <is>
          <t>Amount (Rs.)</t>
        </is>
      </c>
      <c r="G763" s="5" t="inlineStr">
        <is>
          <t>Note</t>
        </is>
      </c>
    </row>
    <row r="764">
      <c r="A764" s="22" t="inlineStr">
        <is>
          <t>9999</t>
        </is>
      </c>
      <c r="B764" s="11" t="inlineStr">
        <is>
          <t>Cost of stone including carriage</t>
        </is>
      </c>
      <c r="C764" s="22" t="inlineStr">
        <is>
          <t>L.S.</t>
        </is>
      </c>
      <c r="D764" s="23" t="n">
        <v>9.1</v>
      </c>
      <c r="E764" s="24" t="n">
        <v>2</v>
      </c>
      <c r="F764" s="24">
        <f>D764*E764</f>
        <v/>
      </c>
      <c r="G764" s="22" t="n"/>
    </row>
    <row r="765">
      <c r="A765" s="22" t="inlineStr">
        <is>
          <t>9999</t>
        </is>
      </c>
      <c r="B765" s="11" t="inlineStr">
        <is>
          <t>Labour for dressing dowel cutting chase and fixing etc.</t>
        </is>
      </c>
      <c r="C765" s="22" t="inlineStr">
        <is>
          <t>L.S.</t>
        </is>
      </c>
      <c r="D765" s="23" t="n">
        <v>5.33</v>
      </c>
      <c r="E765" s="24" t="n">
        <v>2</v>
      </c>
      <c r="F765" s="24">
        <f>D765*E765</f>
        <v/>
      </c>
      <c r="G765" s="22" t="n"/>
    </row>
    <row r="766">
      <c r="A766" s="7" t="inlineStr">
        <is>
          <t>3.7</t>
        </is>
      </c>
      <c r="B766" s="11" t="inlineStr">
        <is>
          <t>Rate as per item 3.7 - Cement mortar 1:2 (1 cement : 2 coarse sand)</t>
        </is>
      </c>
      <c r="C766" s="22" t="inlineStr">
        <is>
          <t>cum</t>
        </is>
      </c>
      <c r="D766" s="23" t="n">
        <v>0.001</v>
      </c>
      <c r="E766" s="24" t="n">
        <v>5345.55</v>
      </c>
      <c r="F766" s="24">
        <f>D766*E766</f>
        <v/>
      </c>
      <c r="G766" s="22" t="n"/>
    </row>
    <row r="767">
      <c r="A767" s="8" t="inlineStr">
        <is>
          <t>Calculated W - SUM of the Amount column above</t>
        </is>
      </c>
      <c r="B767" s="9" t="n"/>
      <c r="C767" s="9" t="n"/>
      <c r="D767" s="9" t="n"/>
      <c r="E767" s="9" t="n"/>
      <c r="F767" s="25">
        <f>SUM(F764:F766)</f>
        <v/>
      </c>
      <c r="G767" s="9" t="n"/>
    </row>
    <row r="768">
      <c r="A768" s="26" t="inlineStr">
        <is>
          <t>W as printed in the DAR</t>
        </is>
      </c>
      <c r="B768" s="22" t="n"/>
      <c r="C768" s="22" t="n"/>
      <c r="D768" s="22" t="n"/>
      <c r="E768" s="22" t="n"/>
      <c r="F768" s="27" t="n">
        <v>34.21</v>
      </c>
      <c r="G768" s="22" t="n"/>
    </row>
    <row r="769">
      <c r="A769" s="26" t="inlineStr">
        <is>
          <t>Difference (calculated - printed)</t>
        </is>
      </c>
      <c r="B769" s="22" t="n"/>
      <c r="C769" s="22" t="n"/>
      <c r="D769" s="22" t="n"/>
      <c r="E769" s="22" t="n"/>
      <c r="F769" s="27">
        <f>F767-F768</f>
        <v/>
      </c>
      <c r="G769" s="22" t="n"/>
    </row>
    <row r="770">
      <c r="A770" s="29" t="inlineStr">
        <is>
          <t>SAY (Rs.) - final DAR rate as printed (fixed value, not computed)</t>
        </is>
      </c>
      <c r="B770" s="30" t="n"/>
      <c r="C770" s="30" t="n"/>
      <c r="D770" s="30" t="n"/>
      <c r="E770" s="30" t="n"/>
      <c r="F770" s="31" t="n">
        <v>45.75</v>
      </c>
      <c r="G770" s="30" t="n"/>
    </row>
    <row r="772" ht="62" customHeight="1">
      <c r="A772" s="8" t="inlineStr">
        <is>
          <t>7.28</t>
        </is>
      </c>
      <c r="B772" s="17"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is>
      </c>
      <c r="C772" s="9" t="n"/>
      <c r="D772" s="9" t="n"/>
      <c r="E772" s="9" t="n"/>
      <c r="F772" s="9" t="n"/>
      <c r="G772" s="9" t="n"/>
    </row>
    <row r="773" ht="18.5" customHeight="1">
      <c r="A773" s="8" t="inlineStr">
        <is>
          <t>7.28.1</t>
        </is>
      </c>
      <c r="B773" s="17" t="inlineStr">
        <is>
          <t>Red sand stone :</t>
        </is>
      </c>
      <c r="C773" s="9" t="n"/>
      <c r="D773" s="9" t="n"/>
      <c r="E773" s="9" t="n"/>
      <c r="F773" s="9" t="n"/>
      <c r="G773" s="9" t="n"/>
    </row>
    <row r="774" ht="18.5" customHeight="1">
      <c r="A774" s="18" t="inlineStr">
        <is>
          <t>7.28.1.1</t>
        </is>
      </c>
      <c r="B774" s="19" t="inlineStr">
        <is>
          <t>With common burnt clay F.P.S.(non modular) bricks of class designation 7.5</t>
        </is>
      </c>
      <c r="C774" s="20" t="n"/>
      <c r="D774" s="20" t="n"/>
      <c r="E774" s="20" t="n"/>
      <c r="F774" s="20" t="n"/>
      <c r="G774" s="20" t="n"/>
    </row>
    <row r="775">
      <c r="A775" s="21" t="inlineStr">
        <is>
          <t>Details of cost for 2 sqm   |   Source: CivilDAR_2019_Vol_1.pdf, page 354</t>
        </is>
      </c>
    </row>
    <row r="776">
      <c r="A776" s="5" t="inlineStr">
        <is>
          <t>Code</t>
        </is>
      </c>
      <c r="B776" s="5" t="inlineStr">
        <is>
          <t>Description</t>
        </is>
      </c>
      <c r="C776" s="5" t="inlineStr">
        <is>
          <t>Unit</t>
        </is>
      </c>
      <c r="D776" s="5" t="inlineStr">
        <is>
          <t>Quantity</t>
        </is>
      </c>
      <c r="E776" s="5" t="inlineStr">
        <is>
          <t>Rate (Rs.)</t>
        </is>
      </c>
      <c r="F776" s="5" t="inlineStr">
        <is>
          <t>Amount (Rs.)</t>
        </is>
      </c>
      <c r="G776" s="5" t="inlineStr">
        <is>
          <t>Note</t>
        </is>
      </c>
    </row>
    <row r="777">
      <c r="A777" s="22" t="inlineStr">
        <is>
          <t>1164</t>
        </is>
      </c>
      <c r="B777" s="11" t="inlineStr">
        <is>
          <t>Red sand stone slab 40 mmthick (un-dressed)</t>
        </is>
      </c>
      <c r="C777" s="22" t="inlineStr">
        <is>
          <t>sqm</t>
        </is>
      </c>
      <c r="D777" s="23" t="n">
        <v>2.75</v>
      </c>
      <c r="E777" s="24" t="n">
        <v>200</v>
      </c>
      <c r="F777" s="24">
        <f>D777*E777</f>
        <v/>
      </c>
      <c r="G777" s="22" t="n"/>
    </row>
    <row r="778">
      <c r="A778" s="22" t="inlineStr">
        <is>
          <t>2216</t>
        </is>
      </c>
      <c r="B778" s="11" t="inlineStr">
        <is>
          <t>Carriage of Stone blocks white &amp; red sand stone &amp; kota stone slab</t>
        </is>
      </c>
      <c r="C778" s="22" t="inlineStr">
        <is>
          <t>tonne</t>
        </is>
      </c>
      <c r="D778" s="23" t="n">
        <v>0.253</v>
      </c>
      <c r="E778" s="24" t="n">
        <v>92.23999999999999</v>
      </c>
      <c r="F778" s="24">
        <f>D778*E778</f>
        <v/>
      </c>
      <c r="G778" s="22" t="n"/>
    </row>
    <row r="779">
      <c r="A779" s="22" t="inlineStr">
        <is>
          <t>0125</t>
        </is>
      </c>
      <c r="B779" s="11" t="inlineStr">
        <is>
          <t>Mason (for plain stone work) 2nd class)</t>
        </is>
      </c>
      <c r="C779" s="22" t="inlineStr">
        <is>
          <t>day</t>
        </is>
      </c>
      <c r="D779" s="23" t="n">
        <v>0.5</v>
      </c>
      <c r="E779" s="24" t="n">
        <v>679</v>
      </c>
      <c r="F779" s="24">
        <f>D779*E779</f>
        <v/>
      </c>
      <c r="G779" s="22" t="n"/>
    </row>
    <row r="780">
      <c r="A780" s="22" t="inlineStr">
        <is>
          <t>1002</t>
        </is>
      </c>
      <c r="B780" s="11" t="inlineStr">
        <is>
          <t>Mild steel round bar 12 mm dia and below</t>
        </is>
      </c>
      <c r="C780" s="22" t="inlineStr">
        <is>
          <t>quintal</t>
        </is>
      </c>
      <c r="D780" s="23" t="n">
        <v>0.02</v>
      </c>
      <c r="E780" s="24" t="n">
        <v>4500</v>
      </c>
      <c r="F780" s="24">
        <f>D780*E780</f>
        <v/>
      </c>
      <c r="G780" s="22" t="n"/>
    </row>
    <row r="781">
      <c r="A781" s="22" t="inlineStr">
        <is>
          <t>9999</t>
        </is>
      </c>
      <c r="B781" s="11" t="inlineStr">
        <is>
          <t>Cutting threads and cost of nuts, washers, etc.</t>
        </is>
      </c>
      <c r="C781" s="22" t="inlineStr">
        <is>
          <t>L.S.</t>
        </is>
      </c>
      <c r="D781" s="23" t="n">
        <v>67.34</v>
      </c>
      <c r="E781" s="24" t="n">
        <v>2</v>
      </c>
      <c r="F781" s="24">
        <f>D781*E781</f>
        <v/>
      </c>
      <c r="G781" s="22" t="n"/>
    </row>
    <row r="782">
      <c r="A782" s="7" t="inlineStr">
        <is>
          <t>3.12</t>
        </is>
      </c>
      <c r="B782" s="11" t="inlineStr">
        <is>
          <t>Rate as per item 3.12 - Cement mortar 1:2 (1 cement : 2 stone dust)</t>
        </is>
      </c>
      <c r="C782" s="22" t="inlineStr">
        <is>
          <t>cum</t>
        </is>
      </c>
      <c r="D782" s="23" t="n">
        <v>0.008999999999999999</v>
      </c>
      <c r="E782" s="24" t="n">
        <v>5108.05</v>
      </c>
      <c r="F782" s="24">
        <f>D782*E782</f>
        <v/>
      </c>
      <c r="G782" s="22" t="n"/>
    </row>
    <row r="783">
      <c r="A783" s="22" t="inlineStr">
        <is>
          <t>9999</t>
        </is>
      </c>
      <c r="B783" s="11" t="inlineStr">
        <is>
          <t>Pigment</t>
        </is>
      </c>
      <c r="C783" s="22" t="inlineStr">
        <is>
          <t>L.S.</t>
        </is>
      </c>
      <c r="D783" s="23" t="n">
        <v>6.24</v>
      </c>
      <c r="E783" s="24" t="n">
        <v>2</v>
      </c>
      <c r="F783" s="24">
        <f>D783*E783</f>
        <v/>
      </c>
      <c r="G783" s="22" t="n"/>
    </row>
    <row r="784">
      <c r="A784" s="22" t="inlineStr">
        <is>
          <t>9999</t>
        </is>
      </c>
      <c r="B784" s="11" t="inlineStr">
        <is>
          <t>Extra cost of white cement</t>
        </is>
      </c>
      <c r="C784" s="22" t="inlineStr">
        <is>
          <t>L.S.</t>
        </is>
      </c>
      <c r="D784" s="23" t="n">
        <v>26.91</v>
      </c>
      <c r="E784" s="24" t="n">
        <v>2</v>
      </c>
      <c r="F784" s="24">
        <f>D784*E784</f>
        <v/>
      </c>
      <c r="G784" s="22" t="n"/>
    </row>
    <row r="785">
      <c r="A785" s="22" t="inlineStr">
        <is>
          <t>0125</t>
        </is>
      </c>
      <c r="B785" s="11" t="inlineStr">
        <is>
          <t>Mason (for plain stone work) 2nd class)</t>
        </is>
      </c>
      <c r="C785" s="22" t="inlineStr">
        <is>
          <t>day</t>
        </is>
      </c>
      <c r="D785" s="23" t="n">
        <v>1</v>
      </c>
      <c r="E785" s="24" t="n">
        <v>679</v>
      </c>
      <c r="F785" s="24">
        <f>D785*E785</f>
        <v/>
      </c>
      <c r="G785" s="22" t="n"/>
    </row>
    <row r="786">
      <c r="A786" s="22" t="inlineStr">
        <is>
          <t>0114</t>
        </is>
      </c>
      <c r="B786" s="11" t="inlineStr">
        <is>
          <t>Beldar</t>
        </is>
      </c>
      <c r="C786" s="22" t="inlineStr">
        <is>
          <t>day</t>
        </is>
      </c>
      <c r="D786" s="23" t="n">
        <v>1.5</v>
      </c>
      <c r="E786" s="24" t="n">
        <v>558</v>
      </c>
      <c r="F786" s="24">
        <f>D786*E786</f>
        <v/>
      </c>
      <c r="G786" s="22" t="n"/>
    </row>
    <row r="787">
      <c r="A787" s="22" t="inlineStr">
        <is>
          <t>9999</t>
        </is>
      </c>
      <c r="B787" s="11" t="inlineStr">
        <is>
          <t>Scaffolding and sundries etc.</t>
        </is>
      </c>
      <c r="C787" s="22" t="inlineStr">
        <is>
          <t>L.S.</t>
        </is>
      </c>
      <c r="D787" s="23" t="n">
        <v>16.12</v>
      </c>
      <c r="E787" s="24" t="n">
        <v>2</v>
      </c>
      <c r="F787" s="24">
        <f>D787*E787</f>
        <v/>
      </c>
      <c r="G787" s="22" t="n"/>
    </row>
    <row r="788">
      <c r="A788" s="22" t="inlineStr">
        <is>
          <t>9999</t>
        </is>
      </c>
      <c r="B788" s="11" t="inlineStr">
        <is>
          <t>Cost of Brick cover support.</t>
        </is>
      </c>
      <c r="C788" s="22" t="inlineStr">
        <is>
          <t>L.S.</t>
        </is>
      </c>
      <c r="D788" s="23" t="n">
        <v>104</v>
      </c>
      <c r="E788" s="24" t="n">
        <v>2</v>
      </c>
      <c r="F788" s="24">
        <f>D788*E788</f>
        <v/>
      </c>
      <c r="G788" s="22" t="n"/>
    </row>
    <row r="789">
      <c r="A789" s="7" t="inlineStr">
        <is>
          <t>6.4.1</t>
        </is>
      </c>
      <c r="B789" s="11" t="inlineStr">
        <is>
          <t>Rate as per item 6.4.1 - Brick work with common burnt clay F.P.S. (non modular) bricks of class designation 7.5 in superstructure ab...</t>
        </is>
      </c>
      <c r="C789" s="22" t="inlineStr">
        <is>
          <t>cum</t>
        </is>
      </c>
      <c r="D789" s="23" t="n">
        <v>0.018</v>
      </c>
      <c r="E789" s="24" t="n">
        <v>7809.25</v>
      </c>
      <c r="F789" s="24">
        <f>D789*E789</f>
        <v/>
      </c>
      <c r="G789" s="22" t="n"/>
    </row>
    <row r="790">
      <c r="A790" s="8" t="inlineStr">
        <is>
          <t>Calculated W - SUM of the Amount column above</t>
        </is>
      </c>
      <c r="B790" s="9" t="n"/>
      <c r="C790" s="9" t="n"/>
      <c r="D790" s="9" t="n"/>
      <c r="E790" s="9" t="n"/>
      <c r="F790" s="25">
        <f>SUM(F777:F789)</f>
        <v/>
      </c>
      <c r="G790" s="9" t="n"/>
    </row>
    <row r="791">
      <c r="A791" s="26" t="inlineStr">
        <is>
          <t>W as printed in the DAR</t>
        </is>
      </c>
      <c r="B791" s="22" t="n"/>
      <c r="C791" s="22" t="n"/>
      <c r="D791" s="22" t="n"/>
      <c r="E791" s="22" t="n"/>
      <c r="F791" s="27" t="n">
        <v>3146.6</v>
      </c>
      <c r="G791" s="22" t="n"/>
    </row>
    <row r="792">
      <c r="A792" s="26" t="inlineStr">
        <is>
          <t>Difference (calculated - printed)</t>
        </is>
      </c>
      <c r="B792" s="22" t="n"/>
      <c r="C792" s="22" t="n"/>
      <c r="D792" s="22" t="n"/>
      <c r="E792" s="22" t="n"/>
      <c r="F792" s="27">
        <f>F790-F791</f>
        <v/>
      </c>
      <c r="G792" s="22" t="n"/>
    </row>
    <row r="793">
      <c r="A793" s="29" t="inlineStr">
        <is>
          <t>SAY (Rs.) - final DAR rate as printed (fixed value, not computed)</t>
        </is>
      </c>
      <c r="B793" s="30" t="n"/>
      <c r="C793" s="30" t="n"/>
      <c r="D793" s="30" t="n"/>
      <c r="E793" s="30" t="n"/>
      <c r="F793" s="31" t="n">
        <v>2081.2</v>
      </c>
      <c r="G793" s="30" t="n"/>
    </row>
    <row r="795" ht="62" customHeight="1">
      <c r="A795" s="8" t="inlineStr">
        <is>
          <t>7.28</t>
        </is>
      </c>
      <c r="B795" s="17"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is>
      </c>
      <c r="C795" s="9" t="n"/>
      <c r="D795" s="9" t="n"/>
      <c r="E795" s="9" t="n"/>
      <c r="F795" s="9" t="n"/>
      <c r="G795" s="9" t="n"/>
    </row>
    <row r="796" ht="18.5" customHeight="1">
      <c r="A796" s="8" t="inlineStr">
        <is>
          <t>7.28.2</t>
        </is>
      </c>
      <c r="B796" s="17" t="inlineStr">
        <is>
          <t>White sand stone :</t>
        </is>
      </c>
      <c r="C796" s="9" t="n"/>
      <c r="D796" s="9" t="n"/>
      <c r="E796" s="9" t="n"/>
      <c r="F796" s="9" t="n"/>
      <c r="G796" s="9" t="n"/>
    </row>
    <row r="797" ht="18.5" customHeight="1">
      <c r="A797" s="18" t="inlineStr">
        <is>
          <t>7.28.2.1</t>
        </is>
      </c>
      <c r="B797" s="19" t="inlineStr">
        <is>
          <t>With common burnt clay F.P.S.(non modular) bricks of class designation 7.5</t>
        </is>
      </c>
      <c r="C797" s="20" t="n"/>
      <c r="D797" s="20" t="n"/>
      <c r="E797" s="20" t="n"/>
      <c r="F797" s="20" t="n"/>
      <c r="G797" s="20" t="n"/>
    </row>
    <row r="798">
      <c r="A798" s="21" t="inlineStr">
        <is>
          <t>Details of cost for 2 sqm   |   Source: CivilDAR_2019_Vol_1.pdf, page 355</t>
        </is>
      </c>
    </row>
    <row r="799">
      <c r="A799" s="5" t="inlineStr">
        <is>
          <t>Code</t>
        </is>
      </c>
      <c r="B799" s="5" t="inlineStr">
        <is>
          <t>Description</t>
        </is>
      </c>
      <c r="C799" s="5" t="inlineStr">
        <is>
          <t>Unit</t>
        </is>
      </c>
      <c r="D799" s="5" t="inlineStr">
        <is>
          <t>Quantity</t>
        </is>
      </c>
      <c r="E799" s="5" t="inlineStr">
        <is>
          <t>Rate (Rs.)</t>
        </is>
      </c>
      <c r="F799" s="5" t="inlineStr">
        <is>
          <t>Amount (Rs.)</t>
        </is>
      </c>
      <c r="G799" s="5" t="inlineStr">
        <is>
          <t>Note</t>
        </is>
      </c>
    </row>
    <row r="800">
      <c r="A800" s="22" t="inlineStr">
        <is>
          <t>1165</t>
        </is>
      </c>
      <c r="B800" s="11" t="inlineStr">
        <is>
          <t>White sand stone slab 40 mm thick (un-dressed)</t>
        </is>
      </c>
      <c r="C800" s="22" t="inlineStr">
        <is>
          <t>sqm</t>
        </is>
      </c>
      <c r="D800" s="23" t="n">
        <v>2.75</v>
      </c>
      <c r="E800" s="24" t="n">
        <v>200</v>
      </c>
      <c r="F800" s="24">
        <f>D800*E800</f>
        <v/>
      </c>
      <c r="G800" s="22" t="n"/>
    </row>
    <row r="801">
      <c r="A801" s="22" t="inlineStr">
        <is>
          <t>2216</t>
        </is>
      </c>
      <c r="B801" s="11" t="inlineStr">
        <is>
          <t>Carriage of Stone blocks white &amp; red sand stone &amp; kota stone slab @ 2.3kg/cudm.</t>
        </is>
      </c>
      <c r="C801" s="22" t="inlineStr">
        <is>
          <t>tonne</t>
        </is>
      </c>
      <c r="D801" s="23" t="n">
        <v>0.253</v>
      </c>
      <c r="E801" s="24" t="n">
        <v>92.23999999999999</v>
      </c>
      <c r="F801" s="24">
        <f>D801*E801</f>
        <v/>
      </c>
      <c r="G801" s="22" t="n"/>
    </row>
    <row r="802">
      <c r="A802" s="22" t="inlineStr">
        <is>
          <t>0125</t>
        </is>
      </c>
      <c r="B802" s="11" t="inlineStr">
        <is>
          <t>Mason (for plain stone work) 2nd class)</t>
        </is>
      </c>
      <c r="C802" s="22" t="inlineStr">
        <is>
          <t>day</t>
        </is>
      </c>
      <c r="D802" s="23" t="n">
        <v>0.5</v>
      </c>
      <c r="E802" s="24" t="n">
        <v>679</v>
      </c>
      <c r="F802" s="24">
        <f>D802*E802</f>
        <v/>
      </c>
      <c r="G802" s="22" t="n"/>
    </row>
    <row r="803">
      <c r="A803" s="22" t="inlineStr">
        <is>
          <t>1002</t>
        </is>
      </c>
      <c r="B803" s="11" t="inlineStr">
        <is>
          <t>Mild steel round bar 12 mm dia and below</t>
        </is>
      </c>
      <c r="C803" s="22" t="inlineStr">
        <is>
          <t>quintal</t>
        </is>
      </c>
      <c r="D803" s="23" t="n">
        <v>0.02</v>
      </c>
      <c r="E803" s="24" t="n">
        <v>4500</v>
      </c>
      <c r="F803" s="24">
        <f>D803*E803</f>
        <v/>
      </c>
      <c r="G803" s="22" t="n"/>
    </row>
    <row r="804">
      <c r="A804" s="22" t="inlineStr">
        <is>
          <t>9999</t>
        </is>
      </c>
      <c r="B804" s="11" t="inlineStr">
        <is>
          <t>Cutting threads and cost of nuts, washers, etc.</t>
        </is>
      </c>
      <c r="C804" s="22" t="inlineStr">
        <is>
          <t>L.S.</t>
        </is>
      </c>
      <c r="D804" s="23" t="n">
        <v>67.34</v>
      </c>
      <c r="E804" s="24" t="n">
        <v>2</v>
      </c>
      <c r="F804" s="24">
        <f>D804*E804</f>
        <v/>
      </c>
      <c r="G804" s="22" t="n"/>
    </row>
    <row r="805">
      <c r="A805" s="7" t="inlineStr">
        <is>
          <t>3.12</t>
        </is>
      </c>
      <c r="B805" s="11" t="inlineStr">
        <is>
          <t>Rate as per item 3.12 - Cement mortar 1:2 (1 cement : 2 stone dust)</t>
        </is>
      </c>
      <c r="C805" s="22" t="inlineStr">
        <is>
          <t>cum</t>
        </is>
      </c>
      <c r="D805" s="23" t="n">
        <v>0.008999999999999999</v>
      </c>
      <c r="E805" s="24" t="n">
        <v>5108.05</v>
      </c>
      <c r="F805" s="24">
        <f>D805*E805</f>
        <v/>
      </c>
      <c r="G805" s="22" t="n"/>
    </row>
    <row r="806">
      <c r="A806" s="22" t="inlineStr">
        <is>
          <t>9999</t>
        </is>
      </c>
      <c r="B806" s="11" t="inlineStr">
        <is>
          <t>Pigment</t>
        </is>
      </c>
      <c r="C806" s="22" t="inlineStr">
        <is>
          <t>L.S.</t>
        </is>
      </c>
      <c r="D806" s="23" t="n">
        <v>6.24</v>
      </c>
      <c r="E806" s="24" t="n">
        <v>2</v>
      </c>
      <c r="F806" s="24">
        <f>D806*E806</f>
        <v/>
      </c>
      <c r="G806" s="22" t="n"/>
    </row>
    <row r="807">
      <c r="A807" s="22" t="inlineStr">
        <is>
          <t>9999</t>
        </is>
      </c>
      <c r="B807" s="11" t="inlineStr">
        <is>
          <t>Extra cost of white cement</t>
        </is>
      </c>
      <c r="C807" s="22" t="inlineStr">
        <is>
          <t>L.S.</t>
        </is>
      </c>
      <c r="D807" s="23" t="n">
        <v>26.91</v>
      </c>
      <c r="E807" s="24" t="n">
        <v>2</v>
      </c>
      <c r="F807" s="24">
        <f>D807*E807</f>
        <v/>
      </c>
      <c r="G807" s="22" t="n"/>
    </row>
    <row r="808">
      <c r="A808" s="22" t="inlineStr">
        <is>
          <t>0125</t>
        </is>
      </c>
      <c r="B808" s="11" t="inlineStr">
        <is>
          <t>Mason (for plain stone work) 2nd class)</t>
        </is>
      </c>
      <c r="C808" s="22" t="inlineStr">
        <is>
          <t>day</t>
        </is>
      </c>
      <c r="D808" s="23" t="n">
        <v>1</v>
      </c>
      <c r="E808" s="24" t="n">
        <v>679</v>
      </c>
      <c r="F808" s="24">
        <f>D808*E808</f>
        <v/>
      </c>
      <c r="G808" s="22" t="n"/>
    </row>
    <row r="809">
      <c r="A809" s="22" t="inlineStr">
        <is>
          <t>0114</t>
        </is>
      </c>
      <c r="B809" s="11" t="inlineStr">
        <is>
          <t>Beldar</t>
        </is>
      </c>
      <c r="C809" s="22" t="inlineStr">
        <is>
          <t>day</t>
        </is>
      </c>
      <c r="D809" s="23" t="n">
        <v>1.5</v>
      </c>
      <c r="E809" s="24" t="n">
        <v>558</v>
      </c>
      <c r="F809" s="24">
        <f>D809*E809</f>
        <v/>
      </c>
      <c r="G809" s="22" t="n"/>
    </row>
    <row r="810">
      <c r="A810" s="22" t="inlineStr">
        <is>
          <t>9999</t>
        </is>
      </c>
      <c r="B810" s="11" t="inlineStr">
        <is>
          <t>Scaffolding and sundries etc.</t>
        </is>
      </c>
      <c r="C810" s="22" t="inlineStr">
        <is>
          <t>L.S.</t>
        </is>
      </c>
      <c r="D810" s="23" t="n">
        <v>16.12</v>
      </c>
      <c r="E810" s="24" t="n">
        <v>2</v>
      </c>
      <c r="F810" s="24">
        <f>D810*E810</f>
        <v/>
      </c>
      <c r="G810" s="22" t="n"/>
    </row>
    <row r="811">
      <c r="A811" s="22" t="inlineStr">
        <is>
          <t>9999</t>
        </is>
      </c>
      <c r="B811" s="11" t="inlineStr">
        <is>
          <t>Cost for Brick cover support .</t>
        </is>
      </c>
      <c r="C811" s="22" t="inlineStr">
        <is>
          <t>L.S.</t>
        </is>
      </c>
      <c r="D811" s="23" t="n">
        <v>104</v>
      </c>
      <c r="E811" s="24" t="n">
        <v>2</v>
      </c>
      <c r="F811" s="24">
        <f>D811*E811</f>
        <v/>
      </c>
      <c r="G811" s="22" t="n"/>
    </row>
    <row r="812">
      <c r="A812" s="7" t="inlineStr">
        <is>
          <t>6.4.1</t>
        </is>
      </c>
      <c r="B812" s="11" t="inlineStr">
        <is>
          <t>Rate as per item 6.4.1 - Brick work with common burnt clay F.P.S. (non modular) bricks of class designation 7.5 in superstructure ab...</t>
        </is>
      </c>
      <c r="C812" s="22" t="inlineStr">
        <is>
          <t>cum</t>
        </is>
      </c>
      <c r="D812" s="23" t="n">
        <v>0.018</v>
      </c>
      <c r="E812" s="24" t="n">
        <v>7809.25</v>
      </c>
      <c r="F812" s="24">
        <f>D812*E812</f>
        <v/>
      </c>
      <c r="G812" s="22" t="n"/>
    </row>
    <row r="813">
      <c r="A813" s="8" t="inlineStr">
        <is>
          <t>Calculated W - SUM of the Amount column above</t>
        </is>
      </c>
      <c r="B813" s="9" t="n"/>
      <c r="C813" s="9" t="n"/>
      <c r="D813" s="9" t="n"/>
      <c r="E813" s="9" t="n"/>
      <c r="F813" s="25">
        <f>SUM(F800:F812)</f>
        <v/>
      </c>
      <c r="G813" s="9" t="n"/>
    </row>
    <row r="814">
      <c r="A814" s="26" t="inlineStr">
        <is>
          <t>W as printed in the DAR</t>
        </is>
      </c>
      <c r="B814" s="22" t="n"/>
      <c r="C814" s="22" t="n"/>
      <c r="D814" s="22" t="n"/>
      <c r="E814" s="22" t="n"/>
      <c r="F814" s="27" t="n">
        <v>3146.6</v>
      </c>
      <c r="G814" s="22" t="n"/>
    </row>
    <row r="815">
      <c r="A815" s="26" t="inlineStr">
        <is>
          <t>Difference (calculated - printed)</t>
        </is>
      </c>
      <c r="B815" s="22" t="n"/>
      <c r="C815" s="22" t="n"/>
      <c r="D815" s="22" t="n"/>
      <c r="E815" s="22" t="n"/>
      <c r="F815" s="27">
        <f>F813-F814</f>
        <v/>
      </c>
      <c r="G815" s="22" t="n"/>
    </row>
    <row r="816">
      <c r="A816" s="29" t="inlineStr">
        <is>
          <t>SAY (Rs.) - final DAR rate as printed (fixed value, not computed)</t>
        </is>
      </c>
      <c r="B816" s="30" t="n"/>
      <c r="C816" s="30" t="n"/>
      <c r="D816" s="30" t="n"/>
      <c r="E816" s="30" t="n"/>
      <c r="F816" s="31" t="n">
        <v>2081.2</v>
      </c>
      <c r="G816" s="30" t="n"/>
    </row>
    <row r="818" ht="47.5" customHeight="1">
      <c r="A818" s="8" t="inlineStr">
        <is>
          <t>7.29</t>
        </is>
      </c>
      <c r="B818" s="17" t="inlineStr">
        <is>
          <t>Providing and fixing horizontal chajja of stone 40 mm thick and upto 80 cm projection in cement mortar 1:4 (1 cement : 4 coarse sand), including pointing in white cement mortar 1:2 (1 white cement : 2 stone dust) with an admixture of pigment matching the stone shade :</t>
        </is>
      </c>
      <c r="C818" s="9" t="n"/>
      <c r="D818" s="9" t="n"/>
      <c r="E818" s="9" t="n"/>
      <c r="F818" s="9" t="n"/>
      <c r="G818" s="9" t="n"/>
    </row>
    <row r="819" ht="18.5" customHeight="1">
      <c r="A819" s="18" t="inlineStr">
        <is>
          <t>7.29.1</t>
        </is>
      </c>
      <c r="B819" s="19" t="inlineStr">
        <is>
          <t>Red sand stone</t>
        </is>
      </c>
      <c r="C819" s="20" t="n"/>
      <c r="D819" s="20" t="n"/>
      <c r="E819" s="20" t="n"/>
      <c r="F819" s="20" t="n"/>
      <c r="G819" s="20" t="n"/>
    </row>
    <row r="820">
      <c r="A820" s="21" t="inlineStr">
        <is>
          <t>Details of cost for 1.875 sqm   |   Source: CivilDAR_2019_Vol_1.pdf, page 356</t>
        </is>
      </c>
    </row>
    <row r="821">
      <c r="A821" s="5" t="inlineStr">
        <is>
          <t>Code</t>
        </is>
      </c>
      <c r="B821" s="5" t="inlineStr">
        <is>
          <t>Description</t>
        </is>
      </c>
      <c r="C821" s="5" t="inlineStr">
        <is>
          <t>Unit</t>
        </is>
      </c>
      <c r="D821" s="5" t="inlineStr">
        <is>
          <t>Quantity</t>
        </is>
      </c>
      <c r="E821" s="5" t="inlineStr">
        <is>
          <t>Rate (Rs.)</t>
        </is>
      </c>
      <c r="F821" s="5" t="inlineStr">
        <is>
          <t>Amount (Rs.)</t>
        </is>
      </c>
      <c r="G821" s="5" t="inlineStr">
        <is>
          <t>Note</t>
        </is>
      </c>
    </row>
    <row r="822">
      <c r="A822" s="22" t="inlineStr">
        <is>
          <t>1164</t>
        </is>
      </c>
      <c r="B822" s="11" t="inlineStr">
        <is>
          <t>Red sand stone slab 40 mmthick (un-dressed)</t>
        </is>
      </c>
      <c r="C822" s="22" t="inlineStr">
        <is>
          <t>sqm</t>
        </is>
      </c>
      <c r="D822" s="23" t="n">
        <v>2.25</v>
      </c>
      <c r="E822" s="24" t="n">
        <v>200</v>
      </c>
      <c r="F822" s="24">
        <f>D822*E822</f>
        <v/>
      </c>
      <c r="G822" s="22" t="n"/>
    </row>
    <row r="823">
      <c r="A823" s="22" t="inlineStr">
        <is>
          <t>2216</t>
        </is>
      </c>
      <c r="B823" s="11" t="inlineStr">
        <is>
          <t>Carriage of Stone blocks white &amp; red sand stone &amp; kota stone slab @ 2.3kg/cudm.</t>
        </is>
      </c>
      <c r="C823" s="22" t="inlineStr">
        <is>
          <t>tonne</t>
        </is>
      </c>
      <c r="D823" s="23" t="n">
        <v>0.227</v>
      </c>
      <c r="E823" s="24" t="n">
        <v>92.23999999999999</v>
      </c>
      <c r="F823" s="24">
        <f>D823*E823</f>
        <v/>
      </c>
      <c r="G823" s="22" t="n"/>
    </row>
    <row r="824">
      <c r="A824" s="22" t="inlineStr">
        <is>
          <t>0125</t>
        </is>
      </c>
      <c r="B824" s="11" t="inlineStr">
        <is>
          <t>Mason (for plain stone work) 2nd class)</t>
        </is>
      </c>
      <c r="C824" s="22" t="inlineStr">
        <is>
          <t>day</t>
        </is>
      </c>
      <c r="D824" s="23" t="n">
        <v>0.45</v>
      </c>
      <c r="E824" s="24" t="n">
        <v>679</v>
      </c>
      <c r="F824" s="24">
        <f>D824*E824</f>
        <v/>
      </c>
      <c r="G824" s="22" t="n"/>
    </row>
    <row r="825">
      <c r="A825" s="22" t="inlineStr">
        <is>
          <t>9999</t>
        </is>
      </c>
      <c r="B825" s="11" t="inlineStr">
        <is>
          <t>Mortar for pointing 1:2</t>
        </is>
      </c>
      <c r="C825" s="22" t="inlineStr">
        <is>
          <t>L.S.</t>
        </is>
      </c>
      <c r="D825" s="23" t="n">
        <v>53.82</v>
      </c>
      <c r="E825" s="24" t="n">
        <v>2</v>
      </c>
      <c r="F825" s="24">
        <f>D825*E825</f>
        <v/>
      </c>
      <c r="G825" s="22" t="n"/>
    </row>
    <row r="826">
      <c r="A826" s="22" t="inlineStr">
        <is>
          <t>9999</t>
        </is>
      </c>
      <c r="B826" s="11" t="inlineStr">
        <is>
          <t>Pigment</t>
        </is>
      </c>
      <c r="C826" s="22" t="inlineStr">
        <is>
          <t>L.S.</t>
        </is>
      </c>
      <c r="D826" s="23" t="n">
        <v>6.24</v>
      </c>
      <c r="E826" s="24" t="n">
        <v>2</v>
      </c>
      <c r="F826" s="24">
        <f>D826*E826</f>
        <v/>
      </c>
      <c r="G826" s="22" t="n"/>
    </row>
    <row r="827">
      <c r="A827" s="22" t="inlineStr">
        <is>
          <t>9999</t>
        </is>
      </c>
      <c r="B827" s="11" t="inlineStr">
        <is>
          <t>Extra cost of white cement</t>
        </is>
      </c>
      <c r="C827" s="22" t="inlineStr">
        <is>
          <t>L.S.</t>
        </is>
      </c>
      <c r="D827" s="23" t="n">
        <v>26.91</v>
      </c>
      <c r="E827" s="24" t="n">
        <v>2</v>
      </c>
      <c r="F827" s="24">
        <f>D827*E827</f>
        <v/>
      </c>
      <c r="G827" s="22" t="n"/>
    </row>
    <row r="828">
      <c r="A828" s="22" t="inlineStr">
        <is>
          <t>0125</t>
        </is>
      </c>
      <c r="B828" s="11" t="inlineStr">
        <is>
          <t>Mason (for plain stone work) 2nd class)</t>
        </is>
      </c>
      <c r="C828" s="22" t="inlineStr">
        <is>
          <t>day</t>
        </is>
      </c>
      <c r="D828" s="23" t="n">
        <v>0.6</v>
      </c>
      <c r="E828" s="24" t="n">
        <v>679</v>
      </c>
      <c r="F828" s="24">
        <f>D828*E828</f>
        <v/>
      </c>
      <c r="G828" s="22" t="n"/>
    </row>
    <row r="829">
      <c r="A829" s="22" t="inlineStr">
        <is>
          <t>0114</t>
        </is>
      </c>
      <c r="B829" s="11" t="inlineStr">
        <is>
          <t>Beldar</t>
        </is>
      </c>
      <c r="C829" s="22" t="inlineStr">
        <is>
          <t>day</t>
        </is>
      </c>
      <c r="D829" s="23" t="n">
        <v>0.8</v>
      </c>
      <c r="E829" s="24" t="n">
        <v>558</v>
      </c>
      <c r="F829" s="24">
        <f>D829*E829</f>
        <v/>
      </c>
      <c r="G829" s="22" t="n"/>
    </row>
    <row r="830">
      <c r="A830" s="22" t="inlineStr">
        <is>
          <t>9999</t>
        </is>
      </c>
      <c r="B830" s="11" t="inlineStr">
        <is>
          <t>Scaffolding and sundries etc.</t>
        </is>
      </c>
      <c r="C830" s="22" t="inlineStr">
        <is>
          <t>L.S.</t>
        </is>
      </c>
      <c r="D830" s="23" t="n">
        <v>13.52</v>
      </c>
      <c r="E830" s="24" t="n">
        <v>2</v>
      </c>
      <c r="F830" s="24">
        <f>D830*E830</f>
        <v/>
      </c>
      <c r="G830" s="22" t="n"/>
    </row>
    <row r="831">
      <c r="A831" s="8" t="inlineStr">
        <is>
          <t>Calculated W - SUM of the Amount column above</t>
        </is>
      </c>
      <c r="B831" s="9" t="n"/>
      <c r="C831" s="9" t="n"/>
      <c r="D831" s="9" t="n"/>
      <c r="E831" s="9" t="n"/>
      <c r="F831" s="25">
        <f>SUM(F822:F830)</f>
        <v/>
      </c>
      <c r="G831" s="9" t="n"/>
    </row>
    <row r="832">
      <c r="A832" s="26" t="inlineStr">
        <is>
          <t>W as printed in the DAR</t>
        </is>
      </c>
      <c r="B832" s="22" t="n"/>
      <c r="C832" s="22" t="n"/>
      <c r="D832" s="22" t="n"/>
      <c r="E832" s="22" t="n"/>
      <c r="F832" s="27" t="n">
        <v>1831.27</v>
      </c>
      <c r="G832" s="22" t="n"/>
    </row>
    <row r="833">
      <c r="A833" s="26" t="inlineStr">
        <is>
          <t>Difference (calculated - printed)</t>
        </is>
      </c>
      <c r="B833" s="22" t="n"/>
      <c r="C833" s="22" t="n"/>
      <c r="D833" s="22" t="n"/>
      <c r="E833" s="22" t="n"/>
      <c r="F833" s="27">
        <f>F831-F832</f>
        <v/>
      </c>
      <c r="G833" s="22" t="n"/>
    </row>
    <row r="834">
      <c r="A834" s="29" t="inlineStr">
        <is>
          <t>SAY (Rs.) - final DAR rate as printed (fixed value, not computed)</t>
        </is>
      </c>
      <c r="B834" s="30" t="n"/>
      <c r="C834" s="30" t="n"/>
      <c r="D834" s="30" t="n"/>
      <c r="E834" s="30" t="n"/>
      <c r="F834" s="31" t="n">
        <v>1306.75</v>
      </c>
      <c r="G834" s="30" t="n"/>
    </row>
    <row r="836" ht="47.5" customHeight="1">
      <c r="A836" s="8" t="inlineStr">
        <is>
          <t>7.29</t>
        </is>
      </c>
      <c r="B836" s="17" t="inlineStr">
        <is>
          <t>Providing and fixing horizontal chajja of stone 40 mm thick and upto 80 cm projection in cement mortar 1:4 (1 cement : 4 coarse sand), including pointing in white cement mortar 1:2 (1 white cement : 2 stone dust) with an admixture of pigment matching the stone shade :</t>
        </is>
      </c>
      <c r="C836" s="9" t="n"/>
      <c r="D836" s="9" t="n"/>
      <c r="E836" s="9" t="n"/>
      <c r="F836" s="9" t="n"/>
      <c r="G836" s="9" t="n"/>
    </row>
    <row r="837" ht="18.5" customHeight="1">
      <c r="A837" s="18" t="inlineStr">
        <is>
          <t>7.29.2</t>
        </is>
      </c>
      <c r="B837" s="19" t="inlineStr">
        <is>
          <t>White sand stone</t>
        </is>
      </c>
      <c r="C837" s="20" t="n"/>
      <c r="D837" s="20" t="n"/>
      <c r="E837" s="20" t="n"/>
      <c r="F837" s="20" t="n"/>
      <c r="G837" s="20" t="n"/>
    </row>
    <row r="838">
      <c r="A838" s="21" t="inlineStr">
        <is>
          <t>Details of cost for 1.875 sqm   |   Source: CivilDAR_2019_Vol_1.pdf, page 357</t>
        </is>
      </c>
    </row>
    <row r="839">
      <c r="A839" s="5" t="inlineStr">
        <is>
          <t>Code</t>
        </is>
      </c>
      <c r="B839" s="5" t="inlineStr">
        <is>
          <t>Description</t>
        </is>
      </c>
      <c r="C839" s="5" t="inlineStr">
        <is>
          <t>Unit</t>
        </is>
      </c>
      <c r="D839" s="5" t="inlineStr">
        <is>
          <t>Quantity</t>
        </is>
      </c>
      <c r="E839" s="5" t="inlineStr">
        <is>
          <t>Rate (Rs.)</t>
        </is>
      </c>
      <c r="F839" s="5" t="inlineStr">
        <is>
          <t>Amount (Rs.)</t>
        </is>
      </c>
      <c r="G839" s="5" t="inlineStr">
        <is>
          <t>Note</t>
        </is>
      </c>
    </row>
    <row r="840">
      <c r="A840" s="22" t="inlineStr">
        <is>
          <t>1165</t>
        </is>
      </c>
      <c r="B840" s="11" t="inlineStr">
        <is>
          <t>White sand stone slab 40 mm thick (un-dressed)</t>
        </is>
      </c>
      <c r="C840" s="22" t="inlineStr">
        <is>
          <t>sqm</t>
        </is>
      </c>
      <c r="D840" s="23" t="n">
        <v>2.25</v>
      </c>
      <c r="E840" s="24" t="n">
        <v>200</v>
      </c>
      <c r="F840" s="24">
        <f>D840*E840</f>
        <v/>
      </c>
      <c r="G840" s="22" t="n"/>
    </row>
    <row r="841">
      <c r="A841" s="22" t="inlineStr">
        <is>
          <t>2216</t>
        </is>
      </c>
      <c r="B841" s="11" t="inlineStr">
        <is>
          <t>Carriage of Stone blocks white &amp; red sand stone &amp; kota stone slab @ 2.3kg/cudm.</t>
        </is>
      </c>
      <c r="C841" s="22" t="inlineStr">
        <is>
          <t>tonne</t>
        </is>
      </c>
      <c r="D841" s="23" t="n">
        <v>0.227</v>
      </c>
      <c r="E841" s="24" t="n">
        <v>92.23999999999999</v>
      </c>
      <c r="F841" s="24">
        <f>D841*E841</f>
        <v/>
      </c>
      <c r="G841" s="22" t="n"/>
    </row>
    <row r="842">
      <c r="A842" s="22" t="inlineStr">
        <is>
          <t>0125</t>
        </is>
      </c>
      <c r="B842" s="11" t="inlineStr">
        <is>
          <t>Mason (for plain stone work) 2nd class)</t>
        </is>
      </c>
      <c r="C842" s="22" t="inlineStr">
        <is>
          <t>day</t>
        </is>
      </c>
      <c r="D842" s="23" t="n">
        <v>0.45</v>
      </c>
      <c r="E842" s="24" t="n">
        <v>679</v>
      </c>
      <c r="F842" s="24">
        <f>D842*E842</f>
        <v/>
      </c>
      <c r="G842" s="22" t="n"/>
    </row>
    <row r="843">
      <c r="A843" s="22" t="inlineStr">
        <is>
          <t>9999</t>
        </is>
      </c>
      <c r="B843" s="11" t="inlineStr">
        <is>
          <t>Mortar for pointing 1:2</t>
        </is>
      </c>
      <c r="C843" s="22" t="inlineStr">
        <is>
          <t>L.S.</t>
        </is>
      </c>
      <c r="D843" s="23" t="n">
        <v>53.82</v>
      </c>
      <c r="E843" s="24" t="n">
        <v>2</v>
      </c>
      <c r="F843" s="24">
        <f>D843*E843</f>
        <v/>
      </c>
      <c r="G843" s="22" t="n"/>
    </row>
    <row r="844">
      <c r="A844" s="22" t="inlineStr">
        <is>
          <t>9999</t>
        </is>
      </c>
      <c r="B844" s="11" t="inlineStr">
        <is>
          <t>Pigment</t>
        </is>
      </c>
      <c r="C844" s="22" t="inlineStr">
        <is>
          <t>L.S.</t>
        </is>
      </c>
      <c r="D844" s="23" t="n">
        <v>6.24</v>
      </c>
      <c r="E844" s="24" t="n">
        <v>2</v>
      </c>
      <c r="F844" s="24">
        <f>D844*E844</f>
        <v/>
      </c>
      <c r="G844" s="22" t="n"/>
    </row>
    <row r="845">
      <c r="A845" s="22" t="inlineStr">
        <is>
          <t>9999</t>
        </is>
      </c>
      <c r="B845" s="11" t="inlineStr">
        <is>
          <t>Extra cost of white cement</t>
        </is>
      </c>
      <c r="C845" s="22" t="inlineStr">
        <is>
          <t>L.S.</t>
        </is>
      </c>
      <c r="D845" s="23" t="n">
        <v>26.91</v>
      </c>
      <c r="E845" s="24" t="n">
        <v>2</v>
      </c>
      <c r="F845" s="24">
        <f>D845*E845</f>
        <v/>
      </c>
      <c r="G845" s="22" t="n"/>
    </row>
    <row r="846">
      <c r="A846" s="22" t="inlineStr">
        <is>
          <t>0125</t>
        </is>
      </c>
      <c r="B846" s="11" t="inlineStr">
        <is>
          <t>Mason (for plain stone work) 2nd class)</t>
        </is>
      </c>
      <c r="C846" s="22" t="inlineStr">
        <is>
          <t>day</t>
        </is>
      </c>
      <c r="D846" s="23" t="n">
        <v>0.6</v>
      </c>
      <c r="E846" s="24" t="n">
        <v>679</v>
      </c>
      <c r="F846" s="24">
        <f>D846*E846</f>
        <v/>
      </c>
      <c r="G846" s="22" t="n"/>
    </row>
    <row r="847">
      <c r="A847" s="22" t="inlineStr">
        <is>
          <t>0114</t>
        </is>
      </c>
      <c r="B847" s="11" t="inlineStr">
        <is>
          <t>Beldar</t>
        </is>
      </c>
      <c r="C847" s="22" t="inlineStr">
        <is>
          <t>day</t>
        </is>
      </c>
      <c r="D847" s="23" t="n">
        <v>0.8</v>
      </c>
      <c r="E847" s="24" t="n">
        <v>558</v>
      </c>
      <c r="F847" s="24">
        <f>D847*E847</f>
        <v/>
      </c>
      <c r="G847" s="22" t="n"/>
    </row>
    <row r="848">
      <c r="A848" s="22" t="inlineStr">
        <is>
          <t>9999</t>
        </is>
      </c>
      <c r="B848" s="11" t="inlineStr">
        <is>
          <t>Scaffolding and sundries etc.</t>
        </is>
      </c>
      <c r="C848" s="22" t="inlineStr">
        <is>
          <t>L.S.</t>
        </is>
      </c>
      <c r="D848" s="23" t="n">
        <v>13.52</v>
      </c>
      <c r="E848" s="24" t="n">
        <v>2</v>
      </c>
      <c r="F848" s="24">
        <f>D848*E848</f>
        <v/>
      </c>
      <c r="G848" s="22" t="n"/>
    </row>
    <row r="849">
      <c r="A849" s="8" t="inlineStr">
        <is>
          <t>Calculated W - SUM of the Amount column above</t>
        </is>
      </c>
      <c r="B849" s="9" t="n"/>
      <c r="C849" s="9" t="n"/>
      <c r="D849" s="9" t="n"/>
      <c r="E849" s="9" t="n"/>
      <c r="F849" s="25">
        <f>SUM(F840:F848)</f>
        <v/>
      </c>
      <c r="G849" s="9" t="n"/>
    </row>
    <row r="850">
      <c r="A850" s="26" t="inlineStr">
        <is>
          <t>W as printed in the DAR</t>
        </is>
      </c>
      <c r="B850" s="22" t="n"/>
      <c r="C850" s="22" t="n"/>
      <c r="D850" s="22" t="n"/>
      <c r="E850" s="22" t="n"/>
      <c r="F850" s="27" t="n">
        <v>1831.27</v>
      </c>
      <c r="G850" s="22" t="n"/>
    </row>
    <row r="851">
      <c r="A851" s="26" t="inlineStr">
        <is>
          <t>Difference (calculated - printed)</t>
        </is>
      </c>
      <c r="B851" s="22" t="n"/>
      <c r="C851" s="22" t="n"/>
      <c r="D851" s="22" t="n"/>
      <c r="E851" s="22" t="n"/>
      <c r="F851" s="27">
        <f>F849-F850</f>
        <v/>
      </c>
      <c r="G851" s="22" t="n"/>
    </row>
    <row r="852">
      <c r="A852" s="29" t="inlineStr">
        <is>
          <t>SAY (Rs.) - final DAR rate as printed (fixed value, not computed)</t>
        </is>
      </c>
      <c r="B852" s="30" t="n"/>
      <c r="C852" s="30" t="n"/>
      <c r="D852" s="30" t="n"/>
      <c r="E852" s="30" t="n"/>
      <c r="F852" s="31" t="n">
        <v>1306.75</v>
      </c>
      <c r="G852" s="30" t="n"/>
    </row>
    <row r="854" ht="33" customHeight="1">
      <c r="A854" s="18" t="inlineStr">
        <is>
          <t>7.30</t>
        </is>
      </c>
      <c r="B854" s="19" t="inlineStr">
        <is>
          <t>30 mm red sand stone sun-shade (chisel-dressed) supported on red sand stone brackets, fixed in walls with cement mortar 1:4 (1 cement : 4 coarse sand), including finishing complete.</t>
        </is>
      </c>
      <c r="C854" s="20" t="n"/>
      <c r="D854" s="20" t="n"/>
      <c r="E854" s="20" t="n"/>
      <c r="F854" s="20" t="n"/>
      <c r="G854" s="20" t="n"/>
    </row>
    <row r="855">
      <c r="A855" s="21" t="inlineStr">
        <is>
          <t>Details of cost for 1.12 sqm   |   Source: CivilDAR_2019_Vol_1.pdf, page 358</t>
        </is>
      </c>
    </row>
    <row r="856">
      <c r="A856" s="5" t="inlineStr">
        <is>
          <t>Code</t>
        </is>
      </c>
      <c r="B856" s="5" t="inlineStr">
        <is>
          <t>Description</t>
        </is>
      </c>
      <c r="C856" s="5" t="inlineStr">
        <is>
          <t>Unit</t>
        </is>
      </c>
      <c r="D856" s="5" t="inlineStr">
        <is>
          <t>Quantity</t>
        </is>
      </c>
      <c r="E856" s="5" t="inlineStr">
        <is>
          <t>Rate (Rs.)</t>
        </is>
      </c>
      <c r="F856" s="5" t="inlineStr">
        <is>
          <t>Amount (Rs.)</t>
        </is>
      </c>
      <c r="G856" s="5" t="inlineStr">
        <is>
          <t>Note</t>
        </is>
      </c>
    </row>
    <row r="857">
      <c r="A857" s="22" t="inlineStr">
        <is>
          <t>1166</t>
        </is>
      </c>
      <c r="B857" s="11" t="inlineStr">
        <is>
          <t>Red sand stone slab 30 mmthick (un-dressed)</t>
        </is>
      </c>
      <c r="C857" s="22" t="inlineStr">
        <is>
          <t>sqm</t>
        </is>
      </c>
      <c r="D857" s="23" t="n">
        <v>2</v>
      </c>
      <c r="E857" s="24" t="n">
        <v>200</v>
      </c>
      <c r="F857" s="24">
        <f>D857*E857</f>
        <v/>
      </c>
      <c r="G857" s="22" t="n"/>
    </row>
    <row r="858">
      <c r="A858" s="22" t="inlineStr">
        <is>
          <t>2216</t>
        </is>
      </c>
      <c r="B858" s="11" t="inlineStr">
        <is>
          <t>Carriage of Stone blocks white &amp; red sand stone &amp; kota stone slab</t>
        </is>
      </c>
      <c r="C858" s="22" t="inlineStr">
        <is>
          <t>tonne</t>
        </is>
      </c>
      <c r="D858" s="23" t="n">
        <v>0.14</v>
      </c>
      <c r="E858" s="24" t="n">
        <v>92.23999999999999</v>
      </c>
      <c r="F858" s="24">
        <f>D858*E858</f>
        <v/>
      </c>
      <c r="G858" s="22" t="n"/>
    </row>
    <row r="859">
      <c r="A859" s="22" t="inlineStr">
        <is>
          <t>9999</t>
        </is>
      </c>
      <c r="B859" s="11" t="inlineStr">
        <is>
          <t>Cement mortar 1 :4</t>
        </is>
      </c>
      <c r="C859" s="22" t="inlineStr">
        <is>
          <t>L.S.</t>
        </is>
      </c>
      <c r="D859" s="23" t="n">
        <v>13.52</v>
      </c>
      <c r="E859" s="24" t="n">
        <v>2</v>
      </c>
      <c r="F859" s="24">
        <f>D859*E859</f>
        <v/>
      </c>
      <c r="G859" s="22" t="n"/>
    </row>
    <row r="860">
      <c r="A860" s="22" t="inlineStr">
        <is>
          <t>0125</t>
        </is>
      </c>
      <c r="B860" s="11" t="inlineStr">
        <is>
          <t>Mason (for plain stone work) 2nd class)</t>
        </is>
      </c>
      <c r="C860" s="22" t="inlineStr">
        <is>
          <t>day</t>
        </is>
      </c>
      <c r="D860" s="23" t="n">
        <v>0.86</v>
      </c>
      <c r="E860" s="24" t="n">
        <v>679</v>
      </c>
      <c r="F860" s="24">
        <f>D860*E860</f>
        <v/>
      </c>
      <c r="G860" s="22" t="n"/>
    </row>
    <row r="861">
      <c r="A861" s="22" t="inlineStr">
        <is>
          <t>0114</t>
        </is>
      </c>
      <c r="B861" s="11" t="inlineStr">
        <is>
          <t>Beldar</t>
        </is>
      </c>
      <c r="C861" s="22" t="inlineStr">
        <is>
          <t>day</t>
        </is>
      </c>
      <c r="D861" s="23" t="n">
        <v>0.5</v>
      </c>
      <c r="E861" s="24" t="n">
        <v>558</v>
      </c>
      <c r="F861" s="24">
        <f>D861*E861</f>
        <v/>
      </c>
      <c r="G861" s="22" t="n"/>
    </row>
    <row r="862">
      <c r="A862" s="8" t="inlineStr">
        <is>
          <t>Calculated W - SUM of the Amount column above</t>
        </is>
      </c>
      <c r="B862" s="9" t="n"/>
      <c r="C862" s="9" t="n"/>
      <c r="D862" s="9" t="n"/>
      <c r="E862" s="9" t="n"/>
      <c r="F862" s="25">
        <f>SUM(F857:F861)</f>
        <v/>
      </c>
      <c r="G862" s="9" t="n"/>
    </row>
    <row r="863">
      <c r="A863" s="26" t="inlineStr">
        <is>
          <t>W as printed in the DAR</t>
        </is>
      </c>
      <c r="B863" s="22" t="n"/>
      <c r="C863" s="22" t="n"/>
      <c r="D863" s="22" t="n"/>
      <c r="E863" s="22" t="n"/>
      <c r="F863" s="27" t="n">
        <v>1302.89</v>
      </c>
      <c r="G863" s="22" t="n"/>
    </row>
    <row r="864">
      <c r="A864" s="26" t="inlineStr">
        <is>
          <t>Difference (calculated - printed)</t>
        </is>
      </c>
      <c r="B864" s="22" t="n"/>
      <c r="C864" s="22" t="n"/>
      <c r="D864" s="22" t="n"/>
      <c r="E864" s="22" t="n"/>
      <c r="F864" s="27">
        <f>F862-F863</f>
        <v/>
      </c>
      <c r="G864" s="22" t="n"/>
    </row>
    <row r="865">
      <c r="A865" s="29" t="inlineStr">
        <is>
          <t>SAY (Rs.) - final DAR rate as printed (fixed value, not computed)</t>
        </is>
      </c>
      <c r="B865" s="30" t="n"/>
      <c r="C865" s="30" t="n"/>
      <c r="D865" s="30" t="n"/>
      <c r="E865" s="30" t="n"/>
      <c r="F865" s="31" t="n">
        <v>1556.4</v>
      </c>
      <c r="G865" s="30" t="n"/>
    </row>
    <row r="867" ht="33" customHeight="1">
      <c r="A867" s="18" t="inlineStr">
        <is>
          <t>7.31</t>
        </is>
      </c>
      <c r="B867" s="19" t="inlineStr">
        <is>
          <t>Providing and fixing red sand stone brackets 55x22.5x45 cm sunk and moulded including providing and fixing with 4 Nos gun metal cramp 25x6 mm 30 cm long</t>
        </is>
      </c>
      <c r="C867" s="20" t="n"/>
      <c r="D867" s="20" t="n"/>
      <c r="E867" s="20" t="n"/>
      <c r="F867" s="20" t="n"/>
      <c r="G867" s="20" t="n"/>
    </row>
    <row r="868">
      <c r="A868" s="21" t="inlineStr">
        <is>
          <t>Details of cost for 1 bracket   |   Source: CivilDAR_2019_Vol_1.pdf, page 358</t>
        </is>
      </c>
    </row>
    <row r="869">
      <c r="A869" s="5" t="inlineStr">
        <is>
          <t>Code</t>
        </is>
      </c>
      <c r="B869" s="5" t="inlineStr">
        <is>
          <t>Description</t>
        </is>
      </c>
      <c r="C869" s="5" t="inlineStr">
        <is>
          <t>Unit</t>
        </is>
      </c>
      <c r="D869" s="5" t="inlineStr">
        <is>
          <t>Quantity</t>
        </is>
      </c>
      <c r="E869" s="5" t="inlineStr">
        <is>
          <t>Rate (Rs.)</t>
        </is>
      </c>
      <c r="F869" s="5" t="inlineStr">
        <is>
          <t>Amount (Rs.)</t>
        </is>
      </c>
      <c r="G869" s="5" t="inlineStr">
        <is>
          <t>Note</t>
        </is>
      </c>
    </row>
    <row r="870">
      <c r="A870" s="22" t="inlineStr">
        <is>
          <t>1160</t>
        </is>
      </c>
      <c r="B870" s="11" t="inlineStr">
        <is>
          <t>Red sand stone block</t>
        </is>
      </c>
      <c r="C870" s="22" t="inlineStr">
        <is>
          <t>10 cudm</t>
        </is>
      </c>
      <c r="D870" s="23" t="n">
        <v>6.16</v>
      </c>
      <c r="E870" s="24" t="n">
        <v>79</v>
      </c>
      <c r="F870" s="24">
        <f>D870*E870</f>
        <v/>
      </c>
      <c r="G870" s="22" t="n"/>
    </row>
    <row r="871">
      <c r="A871" s="22" t="inlineStr">
        <is>
          <t>2216</t>
        </is>
      </c>
      <c r="B871" s="11" t="inlineStr">
        <is>
          <t>Carriage of Stone blocks white &amp; red sand stone &amp; kota stone slab @ 2.3kg/ cudm.</t>
        </is>
      </c>
      <c r="C871" s="22" t="inlineStr">
        <is>
          <t>tonne</t>
        </is>
      </c>
      <c r="D871" s="23" t="n">
        <v>0.14</v>
      </c>
      <c r="E871" s="24" t="n">
        <v>92.23999999999999</v>
      </c>
      <c r="F871" s="24">
        <f>D871*E871</f>
        <v/>
      </c>
      <c r="G871" s="22" t="n"/>
    </row>
    <row r="872">
      <c r="A872" s="22" t="inlineStr">
        <is>
          <t>0125</t>
        </is>
      </c>
      <c r="B872" s="11" t="inlineStr">
        <is>
          <t>Mason (for plain stone work) 2nd class)</t>
        </is>
      </c>
      <c r="C872" s="22" t="inlineStr">
        <is>
          <t>day</t>
        </is>
      </c>
      <c r="D872" s="23" t="n">
        <v>1.7926</v>
      </c>
      <c r="E872" s="24" t="n">
        <v>679</v>
      </c>
      <c r="F872" s="24">
        <f>D872*E872</f>
        <v/>
      </c>
      <c r="G872" s="22" t="n"/>
    </row>
    <row r="873">
      <c r="A873" s="22" t="inlineStr">
        <is>
          <t>0102</t>
        </is>
      </c>
      <c r="B873" s="11" t="inlineStr">
        <is>
          <t>Blacksmith 1st class</t>
        </is>
      </c>
      <c r="C873" s="22" t="inlineStr">
        <is>
          <t>day</t>
        </is>
      </c>
      <c r="D873" s="23" t="n">
        <v>0.037</v>
      </c>
      <c r="E873" s="24" t="n">
        <v>738</v>
      </c>
      <c r="F873" s="24">
        <f>D873*E873</f>
        <v/>
      </c>
      <c r="G873" s="22" t="n"/>
    </row>
    <row r="874">
      <c r="A874" s="22" t="inlineStr">
        <is>
          <t>0114</t>
        </is>
      </c>
      <c r="B874" s="11" t="inlineStr">
        <is>
          <t>Beldar</t>
        </is>
      </c>
      <c r="C874" s="22" t="inlineStr">
        <is>
          <t>day</t>
        </is>
      </c>
      <c r="D874" s="23" t="n">
        <v>0.271</v>
      </c>
      <c r="E874" s="24" t="n">
        <v>558</v>
      </c>
      <c r="F874" s="24">
        <f>D874*E874</f>
        <v/>
      </c>
      <c r="G874" s="22" t="n"/>
    </row>
    <row r="875">
      <c r="A875" s="22" t="inlineStr">
        <is>
          <t>0115</t>
        </is>
      </c>
      <c r="B875" s="11" t="inlineStr">
        <is>
          <t>Coolie</t>
        </is>
      </c>
      <c r="C875" s="22" t="inlineStr">
        <is>
          <t>day</t>
        </is>
      </c>
      <c r="D875" s="23" t="n">
        <v>0.1355</v>
      </c>
      <c r="E875" s="24" t="n">
        <v>558</v>
      </c>
      <c r="F875" s="24">
        <f>D875*E875</f>
        <v/>
      </c>
      <c r="G875" s="22" t="n"/>
    </row>
    <row r="876">
      <c r="A876" s="22" t="inlineStr">
        <is>
          <t>0100</t>
        </is>
      </c>
      <c r="B876" s="11" t="inlineStr">
        <is>
          <t>Bandhani</t>
        </is>
      </c>
      <c r="C876" s="22" t="inlineStr">
        <is>
          <t>day</t>
        </is>
      </c>
      <c r="D876" s="23" t="n">
        <v>0.271</v>
      </c>
      <c r="E876" s="24" t="n">
        <v>617</v>
      </c>
      <c r="F876" s="24">
        <f>D876*E876</f>
        <v/>
      </c>
      <c r="G876" s="22" t="n"/>
    </row>
    <row r="877">
      <c r="A877" s="22" t="inlineStr">
        <is>
          <t>0373</t>
        </is>
      </c>
      <c r="B877" s="11" t="inlineStr">
        <is>
          <t>Cramp Gun metal 25x6x300 mm</t>
        </is>
      </c>
      <c r="C877" s="22" t="inlineStr">
        <is>
          <t>each</t>
        </is>
      </c>
      <c r="D877" s="23" t="n">
        <v>4</v>
      </c>
      <c r="E877" s="24" t="n">
        <v>80</v>
      </c>
      <c r="F877" s="24">
        <f>D877*E877</f>
        <v/>
      </c>
      <c r="G877" s="22" t="n"/>
    </row>
    <row r="878">
      <c r="A878" s="22" t="inlineStr">
        <is>
          <t>0125</t>
        </is>
      </c>
      <c r="B878" s="11" t="inlineStr">
        <is>
          <t>Mason (for plain stone work) 2nd class)</t>
        </is>
      </c>
      <c r="C878" s="22" t="inlineStr">
        <is>
          <t>day</t>
        </is>
      </c>
      <c r="D878" s="23" t="n">
        <v>0.2464</v>
      </c>
      <c r="E878" s="24" t="n">
        <v>679</v>
      </c>
      <c r="F878" s="24">
        <f>D878*E878</f>
        <v/>
      </c>
      <c r="G878" s="22" t="n"/>
    </row>
    <row r="879">
      <c r="A879" s="22" t="inlineStr">
        <is>
          <t>0102</t>
        </is>
      </c>
      <c r="B879" s="11" t="inlineStr">
        <is>
          <t>Blacksmith 1st class</t>
        </is>
      </c>
      <c r="C879" s="22" t="inlineStr">
        <is>
          <t>day</t>
        </is>
      </c>
      <c r="D879" s="23" t="n">
        <v>0.0336</v>
      </c>
      <c r="E879" s="24" t="n">
        <v>738</v>
      </c>
      <c r="F879" s="24">
        <f>D879*E879</f>
        <v/>
      </c>
      <c r="G879" s="22" t="n"/>
    </row>
    <row r="880">
      <c r="A880" s="22" t="inlineStr">
        <is>
          <t>0114</t>
        </is>
      </c>
      <c r="B880" s="11" t="inlineStr">
        <is>
          <t>Beldar</t>
        </is>
      </c>
      <c r="C880" s="22" t="inlineStr">
        <is>
          <t>day</t>
        </is>
      </c>
      <c r="D880" s="23" t="n">
        <v>0.1232</v>
      </c>
      <c r="E880" s="24" t="n">
        <v>558</v>
      </c>
      <c r="F880" s="24">
        <f>D880*E880</f>
        <v/>
      </c>
      <c r="G880" s="22" t="n"/>
    </row>
    <row r="881">
      <c r="A881" s="22" t="inlineStr">
        <is>
          <t>0115</t>
        </is>
      </c>
      <c r="B881" s="11" t="inlineStr">
        <is>
          <t>Coolie</t>
        </is>
      </c>
      <c r="C881" s="22" t="inlineStr">
        <is>
          <t>day</t>
        </is>
      </c>
      <c r="D881" s="23" t="n">
        <v>0.1232</v>
      </c>
      <c r="E881" s="24" t="n">
        <v>558</v>
      </c>
      <c r="F881" s="24">
        <f>D881*E881</f>
        <v/>
      </c>
      <c r="G881" s="22" t="n"/>
    </row>
    <row r="882">
      <c r="A882" s="22" t="inlineStr">
        <is>
          <t>0100</t>
        </is>
      </c>
      <c r="B882" s="11" t="inlineStr">
        <is>
          <t>Bandhani</t>
        </is>
      </c>
      <c r="C882" s="22" t="inlineStr">
        <is>
          <t>day</t>
        </is>
      </c>
      <c r="D882" s="23" t="n">
        <v>0.1232</v>
      </c>
      <c r="E882" s="24" t="n">
        <v>617</v>
      </c>
      <c r="F882" s="24">
        <f>D882*E882</f>
        <v/>
      </c>
      <c r="G882" s="22" t="n"/>
    </row>
    <row r="883">
      <c r="A883" s="22" t="inlineStr">
        <is>
          <t>0101</t>
        </is>
      </c>
      <c r="B883" s="11" t="inlineStr">
        <is>
          <t>Bhisti</t>
        </is>
      </c>
      <c r="C883" s="22" t="inlineStr">
        <is>
          <t>day</t>
        </is>
      </c>
      <c r="D883" s="23" t="n">
        <v>0.1232</v>
      </c>
      <c r="E883" s="24" t="n">
        <v>617</v>
      </c>
      <c r="F883" s="24">
        <f>D883*E883</f>
        <v/>
      </c>
      <c r="G883" s="22" t="n"/>
    </row>
    <row r="884">
      <c r="A884" s="22" t="inlineStr">
        <is>
          <t>9999</t>
        </is>
      </c>
      <c r="B884" s="11" t="inlineStr">
        <is>
          <t>Scaffolding</t>
        </is>
      </c>
      <c r="C884" s="22" t="inlineStr">
        <is>
          <t>L.S.</t>
        </is>
      </c>
      <c r="D884" s="23" t="n">
        <v>15.29</v>
      </c>
      <c r="E884" s="24" t="n">
        <v>2</v>
      </c>
      <c r="F884" s="24">
        <f>D884*E884</f>
        <v/>
      </c>
      <c r="G884" s="22" t="n"/>
    </row>
    <row r="885">
      <c r="A885" s="22" t="inlineStr">
        <is>
          <t>9999</t>
        </is>
      </c>
      <c r="B885" s="11" t="inlineStr">
        <is>
          <t>Mortar for laying and pointing</t>
        </is>
      </c>
      <c r="C885" s="22" t="inlineStr">
        <is>
          <t>L.S.</t>
        </is>
      </c>
      <c r="D885" s="23" t="n">
        <v>45.14</v>
      </c>
      <c r="E885" s="24" t="n">
        <v>2</v>
      </c>
      <c r="F885" s="24">
        <f>D885*E885</f>
        <v/>
      </c>
      <c r="G885" s="22" t="n"/>
    </row>
    <row r="886">
      <c r="A886" s="22" t="inlineStr">
        <is>
          <t>0126</t>
        </is>
      </c>
      <c r="B886" s="11" t="inlineStr">
        <is>
          <t>Mason (for ornamental stone work) 1st class</t>
        </is>
      </c>
      <c r="C886" s="22" t="inlineStr">
        <is>
          <t>day</t>
        </is>
      </c>
      <c r="D886" s="23" t="n">
        <v>0.95</v>
      </c>
      <c r="E886" s="24" t="n">
        <v>738</v>
      </c>
      <c r="F886" s="24">
        <f>D886*E886</f>
        <v/>
      </c>
      <c r="G886" s="22" t="n"/>
    </row>
    <row r="887">
      <c r="A887" s="8" t="inlineStr">
        <is>
          <t>Calculated W - SUM of the Amount column above</t>
        </is>
      </c>
      <c r="B887" s="9" t="n"/>
      <c r="C887" s="9" t="n"/>
      <c r="D887" s="9" t="n"/>
      <c r="E887" s="9" t="n"/>
      <c r="F887" s="25">
        <f>SUM(F870:F886)</f>
        <v/>
      </c>
      <c r="G887" s="9" t="n"/>
    </row>
    <row r="888">
      <c r="A888" s="26" t="inlineStr">
        <is>
          <t>W as printed in the DAR</t>
        </is>
      </c>
      <c r="B888" s="22" t="n"/>
      <c r="C888" s="22" t="n"/>
      <c r="D888" s="22" t="n"/>
      <c r="E888" s="22" t="n"/>
      <c r="F888" s="27" t="n">
        <v>3761.65</v>
      </c>
      <c r="G888" s="22" t="n"/>
    </row>
    <row r="889">
      <c r="A889" s="26" t="inlineStr">
        <is>
          <t>Difference (calculated - printed)</t>
        </is>
      </c>
      <c r="B889" s="22" t="n"/>
      <c r="C889" s="22" t="n"/>
      <c r="D889" s="22" t="n"/>
      <c r="E889" s="22" t="n"/>
      <c r="F889" s="27">
        <f>F887-F888</f>
        <v/>
      </c>
      <c r="G889" s="22" t="n"/>
    </row>
    <row r="890">
      <c r="A890" s="29" t="inlineStr">
        <is>
          <t>SAY (Rs.) - final DAR rate as printed (fixed value, not computed)</t>
        </is>
      </c>
      <c r="B890" s="30" t="n"/>
      <c r="C890" s="30" t="n"/>
      <c r="D890" s="30" t="n"/>
      <c r="E890" s="30" t="n"/>
      <c r="F890" s="31" t="n">
        <v>5032.85</v>
      </c>
      <c r="G890" s="30" t="n"/>
    </row>
    <row r="892" ht="47.5" customHeight="1">
      <c r="A892" s="8" t="inlineStr">
        <is>
          <t>7.32</t>
        </is>
      </c>
      <c r="B892" s="17" t="inlineStr">
        <is>
          <t>Stone work, plain in copings, cornices, string courses and plinth courses, upto 75 mm thick in Cement mortar 1:6 (1 cement : 6 coarse sand), including pointing with white cement mortar 1:2 (1 white cement : 2 stone dust) with an admixture of pigment matching the stone shade.</t>
        </is>
      </c>
      <c r="C892" s="9" t="n"/>
      <c r="D892" s="9" t="n"/>
      <c r="E892" s="9" t="n"/>
      <c r="F892" s="9" t="n"/>
      <c r="G892" s="9" t="n"/>
    </row>
    <row r="893" ht="18.5" customHeight="1">
      <c r="A893" s="18" t="inlineStr">
        <is>
          <t>7.32.1</t>
        </is>
      </c>
      <c r="B893" s="19" t="inlineStr">
        <is>
          <t>Red sand stone</t>
        </is>
      </c>
      <c r="C893" s="20" t="n"/>
      <c r="D893" s="20" t="n"/>
      <c r="E893" s="20" t="n"/>
      <c r="F893" s="20" t="n"/>
      <c r="G893" s="20" t="n"/>
    </row>
    <row r="894">
      <c r="A894" s="21" t="inlineStr">
        <is>
          <t>Details of cost for 6.75 cudm   |   Source: CivilDAR_2019_Vol_1.pdf, page 359</t>
        </is>
      </c>
    </row>
    <row r="895">
      <c r="A895" s="5" t="inlineStr">
        <is>
          <t>Code</t>
        </is>
      </c>
      <c r="B895" s="5" t="inlineStr">
        <is>
          <t>Description</t>
        </is>
      </c>
      <c r="C895" s="5" t="inlineStr">
        <is>
          <t>Unit</t>
        </is>
      </c>
      <c r="D895" s="5" t="inlineStr">
        <is>
          <t>Quantity</t>
        </is>
      </c>
      <c r="E895" s="5" t="inlineStr">
        <is>
          <t>Rate (Rs.)</t>
        </is>
      </c>
      <c r="F895" s="5" t="inlineStr">
        <is>
          <t>Amount (Rs.)</t>
        </is>
      </c>
      <c r="G895" s="5" t="inlineStr">
        <is>
          <t>Note</t>
        </is>
      </c>
    </row>
    <row r="896">
      <c r="A896" s="7" t="inlineStr">
        <is>
          <t>7.12.1.1</t>
        </is>
      </c>
      <c r="B896" s="11" t="inlineStr">
        <is>
          <t>Rate as per item 7.12.1.1 - Stone work in plain ashlar in super structure upto floor five level in cement mortar 1:6 (1 cement : 6 coar...</t>
        </is>
      </c>
      <c r="C896" s="22" t="inlineStr">
        <is>
          <t>cum</t>
        </is>
      </c>
      <c r="D896" s="23" t="n">
        <v>0.00675</v>
      </c>
      <c r="E896" s="24" t="n">
        <v>47132</v>
      </c>
      <c r="F896" s="24">
        <f>D896*E896</f>
        <v/>
      </c>
      <c r="G896" s="22" t="n"/>
    </row>
    <row r="897">
      <c r="A897" s="22" t="inlineStr">
        <is>
          <t>9999</t>
        </is>
      </c>
      <c r="B897" s="11" t="inlineStr">
        <is>
          <t>Extra for using white cement</t>
        </is>
      </c>
      <c r="C897" s="22" t="inlineStr">
        <is>
          <t>L.S.</t>
        </is>
      </c>
      <c r="D897" s="23" t="n">
        <v>5.33</v>
      </c>
      <c r="E897" s="24" t="n">
        <v>2</v>
      </c>
      <c r="F897" s="24">
        <f>D897*E897</f>
        <v/>
      </c>
      <c r="G897" s="22" t="n"/>
    </row>
    <row r="898">
      <c r="A898" s="22" t="inlineStr">
        <is>
          <t>0125</t>
        </is>
      </c>
      <c r="B898" s="11" t="inlineStr">
        <is>
          <t>Mason (for plain stone work) 2nd class)</t>
        </is>
      </c>
      <c r="C898" s="22" t="inlineStr">
        <is>
          <t>day</t>
        </is>
      </c>
      <c r="D898" s="23" t="n">
        <v>0.07000000000000001</v>
      </c>
      <c r="E898" s="24" t="n">
        <v>679</v>
      </c>
      <c r="F898" s="24">
        <f>D898*E898</f>
        <v/>
      </c>
      <c r="G898" s="22" t="n"/>
    </row>
    <row r="899">
      <c r="A899" s="22" t="inlineStr">
        <is>
          <t>0114</t>
        </is>
      </c>
      <c r="B899" s="11" t="inlineStr">
        <is>
          <t>Beldar</t>
        </is>
      </c>
      <c r="C899" s="22" t="inlineStr">
        <is>
          <t>day</t>
        </is>
      </c>
      <c r="D899" s="23" t="n">
        <v>0.07000000000000001</v>
      </c>
      <c r="E899" s="24" t="n">
        <v>558</v>
      </c>
      <c r="F899" s="24">
        <f>D899*E899</f>
        <v/>
      </c>
      <c r="G899" s="22" t="n"/>
    </row>
    <row r="900">
      <c r="A900" s="8" t="inlineStr">
        <is>
          <t>Calculated W - SUM of the Amount column above</t>
        </is>
      </c>
      <c r="B900" s="9" t="n"/>
      <c r="C900" s="9" t="n"/>
      <c r="D900" s="9" t="n"/>
      <c r="E900" s="9" t="n"/>
      <c r="F900" s="25">
        <f>SUM(F896:F899)</f>
        <v/>
      </c>
      <c r="G900" s="9" t="n"/>
    </row>
    <row r="901">
      <c r="A901" s="26" t="inlineStr">
        <is>
          <t>W as printed in the DAR</t>
        </is>
      </c>
      <c r="B901" s="22" t="n"/>
      <c r="C901" s="22" t="n"/>
      <c r="D901" s="22" t="n"/>
      <c r="E901" s="22" t="n"/>
      <c r="F901" s="27" t="n">
        <v>415.39</v>
      </c>
      <c r="G901" s="22" t="n"/>
    </row>
    <row r="902">
      <c r="A902" s="26" t="inlineStr">
        <is>
          <t>Difference (calculated - printed)</t>
        </is>
      </c>
      <c r="B902" s="22" t="n"/>
      <c r="C902" s="22" t="n"/>
      <c r="D902" s="22" t="n"/>
      <c r="E902" s="22" t="n"/>
      <c r="F902" s="27">
        <f>F900-F901</f>
        <v/>
      </c>
      <c r="G902" s="22" t="n"/>
    </row>
    <row r="903">
      <c r="A903" s="29" t="inlineStr">
        <is>
          <t>SAY (Rs.) - final DAR rate as printed (fixed value, not computed)</t>
        </is>
      </c>
      <c r="B903" s="30" t="n"/>
      <c r="C903" s="30" t="n"/>
      <c r="D903" s="30" t="n"/>
      <c r="E903" s="30" t="n"/>
      <c r="F903" s="31" t="n">
        <v>66408.89999999999</v>
      </c>
      <c r="G903" s="30" t="n"/>
    </row>
    <row r="905" ht="47.5" customHeight="1">
      <c r="A905" s="8" t="inlineStr">
        <is>
          <t>7.32</t>
        </is>
      </c>
      <c r="B905" s="17" t="inlineStr">
        <is>
          <t>Stone work, plain in copings, cornices, string courses and plinth courses, upto 75 mm thick in Cement mortar 1:6 (1 cement : 6 coarse sand), including pointing with white cement mortar 1:2 (1 white cement : 2 stone dust) with an admixture of pigment matching the stone shade.</t>
        </is>
      </c>
      <c r="C905" s="9" t="n"/>
      <c r="D905" s="9" t="n"/>
      <c r="E905" s="9" t="n"/>
      <c r="F905" s="9" t="n"/>
      <c r="G905" s="9" t="n"/>
    </row>
    <row r="906" ht="18.5" customHeight="1">
      <c r="A906" s="18" t="inlineStr">
        <is>
          <t>7.32.2</t>
        </is>
      </c>
      <c r="B906" s="19" t="inlineStr">
        <is>
          <t>White sand stone</t>
        </is>
      </c>
      <c r="C906" s="20" t="n"/>
      <c r="D906" s="20" t="n"/>
      <c r="E906" s="20" t="n"/>
      <c r="F906" s="20" t="n"/>
      <c r="G906" s="20" t="n"/>
    </row>
    <row r="907">
      <c r="A907" s="21" t="inlineStr">
        <is>
          <t>Details of cost for 6.75 cudm   |   Source: CivilDAR_2019_Vol_1.pdf, page 360</t>
        </is>
      </c>
    </row>
    <row r="908">
      <c r="A908" s="5" t="inlineStr">
        <is>
          <t>Code</t>
        </is>
      </c>
      <c r="B908" s="5" t="inlineStr">
        <is>
          <t>Description</t>
        </is>
      </c>
      <c r="C908" s="5" t="inlineStr">
        <is>
          <t>Unit</t>
        </is>
      </c>
      <c r="D908" s="5" t="inlineStr">
        <is>
          <t>Quantity</t>
        </is>
      </c>
      <c r="E908" s="5" t="inlineStr">
        <is>
          <t>Rate (Rs.)</t>
        </is>
      </c>
      <c r="F908" s="5" t="inlineStr">
        <is>
          <t>Amount (Rs.)</t>
        </is>
      </c>
      <c r="G908" s="5" t="inlineStr">
        <is>
          <t>Note</t>
        </is>
      </c>
    </row>
    <row r="909">
      <c r="A909" s="7" t="inlineStr">
        <is>
          <t>7.12.1.2</t>
        </is>
      </c>
      <c r="B909" s="11" t="inlineStr">
        <is>
          <t>Rate as per item 7.12.1.2 - Stone work in plain ashlar in super structure upto floor five level in cement mortar 1:6 (1 cement : 6 coar...</t>
        </is>
      </c>
      <c r="C909" s="22" t="inlineStr">
        <is>
          <t>cum</t>
        </is>
      </c>
      <c r="D909" s="23" t="n">
        <v>0.00675</v>
      </c>
      <c r="E909" s="24" t="n">
        <v>69604</v>
      </c>
      <c r="F909" s="24">
        <f>D909*E909</f>
        <v/>
      </c>
      <c r="G909" s="22" t="n"/>
    </row>
    <row r="910">
      <c r="A910" s="22" t="inlineStr">
        <is>
          <t>9999</t>
        </is>
      </c>
      <c r="B910" s="11" t="inlineStr">
        <is>
          <t>Extra for using white cement</t>
        </is>
      </c>
      <c r="C910" s="22" t="inlineStr">
        <is>
          <t>L.S.</t>
        </is>
      </c>
      <c r="D910" s="23" t="n">
        <v>5.33</v>
      </c>
      <c r="E910" s="24" t="n">
        <v>2</v>
      </c>
      <c r="F910" s="24">
        <f>D910*E910</f>
        <v/>
      </c>
      <c r="G910" s="22" t="n"/>
    </row>
    <row r="911">
      <c r="A911" s="22" t="inlineStr">
        <is>
          <t>0125</t>
        </is>
      </c>
      <c r="B911" s="11" t="inlineStr">
        <is>
          <t>Mason (for plain stone work) 2nd class)</t>
        </is>
      </c>
      <c r="C911" s="22" t="inlineStr">
        <is>
          <t>day</t>
        </is>
      </c>
      <c r="D911" s="23" t="n">
        <v>0.07000000000000001</v>
      </c>
      <c r="E911" s="24" t="n">
        <v>679</v>
      </c>
      <c r="F911" s="24">
        <f>D911*E911</f>
        <v/>
      </c>
      <c r="G911" s="22" t="n"/>
    </row>
    <row r="912">
      <c r="A912" s="22" t="inlineStr">
        <is>
          <t>0114</t>
        </is>
      </c>
      <c r="B912" s="11" t="inlineStr">
        <is>
          <t>Beldar</t>
        </is>
      </c>
      <c r="C912" s="22" t="inlineStr">
        <is>
          <t>day</t>
        </is>
      </c>
      <c r="D912" s="23" t="n">
        <v>0.07000000000000001</v>
      </c>
      <c r="E912" s="24" t="n">
        <v>558</v>
      </c>
      <c r="F912" s="24">
        <f>D912*E912</f>
        <v/>
      </c>
      <c r="G912" s="22" t="n"/>
    </row>
    <row r="913">
      <c r="A913" s="8" t="inlineStr">
        <is>
          <t>Calculated W - SUM of the Amount column above</t>
        </is>
      </c>
      <c r="B913" s="9" t="n"/>
      <c r="C913" s="9" t="n"/>
      <c r="D913" s="9" t="n"/>
      <c r="E913" s="9" t="n"/>
      <c r="F913" s="25">
        <f>SUM(F909:F912)</f>
        <v/>
      </c>
      <c r="G913" s="9" t="n"/>
    </row>
    <row r="914">
      <c r="A914" s="26" t="inlineStr">
        <is>
          <t>W as printed in the DAR</t>
        </is>
      </c>
      <c r="B914" s="22" t="n"/>
      <c r="C914" s="22" t="n"/>
      <c r="D914" s="22" t="n"/>
      <c r="E914" s="22" t="n"/>
      <c r="F914" s="27" t="n">
        <v>567.08</v>
      </c>
      <c r="G914" s="22" t="n"/>
    </row>
    <row r="915">
      <c r="A915" s="26" t="inlineStr">
        <is>
          <t>Difference (calculated - printed)</t>
        </is>
      </c>
      <c r="B915" s="22" t="n"/>
      <c r="C915" s="22" t="n"/>
      <c r="D915" s="22" t="n"/>
      <c r="E915" s="22" t="n"/>
      <c r="F915" s="27">
        <f>F913-F914</f>
        <v/>
      </c>
      <c r="G915" s="22" t="n"/>
    </row>
    <row r="916">
      <c r="A916" s="29" t="inlineStr">
        <is>
          <t>SAY (Rs.) - final DAR rate as printed (fixed value, not computed)</t>
        </is>
      </c>
      <c r="B916" s="30" t="n"/>
      <c r="C916" s="30" t="n"/>
      <c r="D916" s="30" t="n"/>
      <c r="E916" s="30" t="n"/>
      <c r="F916" s="31" t="n">
        <v>88880</v>
      </c>
      <c r="G916" s="30" t="n"/>
    </row>
    <row r="918" ht="47.5" customHeight="1">
      <c r="A918" s="8" t="inlineStr">
        <is>
          <t>7.33</t>
        </is>
      </c>
      <c r="B918" s="17" t="inlineStr">
        <is>
          <t>Providing and fixing stone jali 40 mm thick throughout in cement mortar 1:3 (1 cement : 3 coarse sand), including pointing in white cement mortar 1:2 (1 white cement : 2 stone dust) with an admixture of pigment, matching the stone shade, jali slab without any chamfers etc.</t>
        </is>
      </c>
      <c r="C918" s="9" t="n"/>
      <c r="D918" s="9" t="n"/>
      <c r="E918" s="9" t="n"/>
      <c r="F918" s="9" t="n"/>
      <c r="G918" s="9" t="n"/>
    </row>
    <row r="919" ht="18.5" customHeight="1">
      <c r="A919" s="18" t="inlineStr">
        <is>
          <t>7.33.1</t>
        </is>
      </c>
      <c r="B919" s="19" t="inlineStr">
        <is>
          <t>Red sand stone</t>
        </is>
      </c>
      <c r="C919" s="20" t="n"/>
      <c r="D919" s="20" t="n"/>
      <c r="E919" s="20" t="n"/>
      <c r="F919" s="20" t="n"/>
      <c r="G919" s="20" t="n"/>
    </row>
    <row r="920">
      <c r="A920" s="21" t="inlineStr">
        <is>
          <t>Details of cost for 1 sqm   |   Source: CivilDAR_2019_Vol_1.pdf, page 360</t>
        </is>
      </c>
    </row>
    <row r="921">
      <c r="A921" s="5" t="inlineStr">
        <is>
          <t>Code</t>
        </is>
      </c>
      <c r="B921" s="5" t="inlineStr">
        <is>
          <t>Description</t>
        </is>
      </c>
      <c r="C921" s="5" t="inlineStr">
        <is>
          <t>Unit</t>
        </is>
      </c>
      <c r="D921" s="5" t="inlineStr">
        <is>
          <t>Quantity</t>
        </is>
      </c>
      <c r="E921" s="5" t="inlineStr">
        <is>
          <t>Rate (Rs.)</t>
        </is>
      </c>
      <c r="F921" s="5" t="inlineStr">
        <is>
          <t>Amount (Rs.)</t>
        </is>
      </c>
      <c r="G921" s="5" t="inlineStr">
        <is>
          <t>Note</t>
        </is>
      </c>
    </row>
    <row r="922">
      <c r="A922" s="22" t="inlineStr">
        <is>
          <t>1164</t>
        </is>
      </c>
      <c r="B922" s="11" t="inlineStr">
        <is>
          <t>Red sand stone slab 40 mm thick (un-dressed)</t>
        </is>
      </c>
      <c r="C922" s="22" t="inlineStr">
        <is>
          <t>sqm</t>
        </is>
      </c>
      <c r="D922" s="23" t="n">
        <v>1.1</v>
      </c>
      <c r="E922" s="24" t="n">
        <v>200</v>
      </c>
      <c r="F922" s="24">
        <f>D922*E922</f>
        <v/>
      </c>
      <c r="G922" s="22" t="n"/>
    </row>
    <row r="923">
      <c r="A923" s="22" t="inlineStr">
        <is>
          <t>2216</t>
        </is>
      </c>
      <c r="B923" s="11" t="inlineStr">
        <is>
          <t>Carriage of Stone blocks white &amp; red sand stone &amp; kota stone slab</t>
        </is>
      </c>
      <c r="C923" s="22" t="inlineStr">
        <is>
          <t>tonne</t>
        </is>
      </c>
      <c r="D923" s="23" t="n">
        <v>0.101</v>
      </c>
      <c r="E923" s="24" t="n">
        <v>92.23999999999999</v>
      </c>
      <c r="F923" s="24">
        <f>D923*E923</f>
        <v/>
      </c>
      <c r="G923" s="22" t="n"/>
    </row>
    <row r="924">
      <c r="A924" s="22" t="inlineStr">
        <is>
          <t>0125</t>
        </is>
      </c>
      <c r="B924" s="11" t="inlineStr">
        <is>
          <t>Mason (for plain stone work) 2nd class)</t>
        </is>
      </c>
      <c r="C924" s="22" t="inlineStr">
        <is>
          <t>day</t>
        </is>
      </c>
      <c r="D924" s="23" t="n">
        <v>7.62</v>
      </c>
      <c r="E924" s="24" t="n">
        <v>679</v>
      </c>
      <c r="F924" s="24">
        <f>D924*E924</f>
        <v/>
      </c>
      <c r="G924" s="22" t="n"/>
    </row>
    <row r="925">
      <c r="A925" s="22" t="inlineStr">
        <is>
          <t>0114</t>
        </is>
      </c>
      <c r="B925" s="11" t="inlineStr">
        <is>
          <t>Beldar</t>
        </is>
      </c>
      <c r="C925" s="22" t="inlineStr">
        <is>
          <t>day</t>
        </is>
      </c>
      <c r="D925" s="23" t="n">
        <v>5.07</v>
      </c>
      <c r="E925" s="24" t="n">
        <v>558</v>
      </c>
      <c r="F925" s="24">
        <f>D925*E925</f>
        <v/>
      </c>
      <c r="G925" s="22" t="n"/>
    </row>
    <row r="926">
      <c r="A926" s="22" t="inlineStr">
        <is>
          <t>9999</t>
        </is>
      </c>
      <c r="B926" s="11" t="inlineStr">
        <is>
          <t>Mortar and Sundries</t>
        </is>
      </c>
      <c r="C926" s="22" t="inlineStr">
        <is>
          <t>L.S.</t>
        </is>
      </c>
      <c r="D926" s="23" t="n">
        <v>80.73</v>
      </c>
      <c r="E926" s="24" t="n">
        <v>2</v>
      </c>
      <c r="F926" s="24">
        <f>D926*E926</f>
        <v/>
      </c>
      <c r="G926" s="22" t="n"/>
    </row>
    <row r="927">
      <c r="A927" s="8" t="inlineStr">
        <is>
          <t>Calculated W - SUM of the Amount column above</t>
        </is>
      </c>
      <c r="B927" s="9" t="n"/>
      <c r="C927" s="9" t="n"/>
      <c r="D927" s="9" t="n"/>
      <c r="E927" s="9" t="n"/>
      <c r="F927" s="25">
        <f>SUM(F922:F926)</f>
        <v/>
      </c>
      <c r="G927" s="9" t="n"/>
    </row>
    <row r="928">
      <c r="A928" s="26" t="inlineStr">
        <is>
          <t>W as printed in the DAR</t>
        </is>
      </c>
      <c r="B928" s="22" t="n"/>
      <c r="C928" s="22" t="n"/>
      <c r="D928" s="22" t="n"/>
      <c r="E928" s="22" t="n"/>
      <c r="F928" s="27" t="n">
        <v>8393.82</v>
      </c>
      <c r="G928" s="22" t="n"/>
    </row>
    <row r="929">
      <c r="A929" s="26" t="inlineStr">
        <is>
          <t>Difference (calculated - printed)</t>
        </is>
      </c>
      <c r="B929" s="22" t="n"/>
      <c r="C929" s="22" t="n"/>
      <c r="D929" s="22" t="n"/>
      <c r="E929" s="22" t="n"/>
      <c r="F929" s="27">
        <f>F927-F928</f>
        <v/>
      </c>
      <c r="G929" s="22" t="n"/>
    </row>
    <row r="930">
      <c r="A930" s="29" t="inlineStr">
        <is>
          <t>SAY (Rs.) - final DAR rate as printed (fixed value, not computed)</t>
        </is>
      </c>
      <c r="B930" s="30" t="n"/>
      <c r="C930" s="30" t="n"/>
      <c r="D930" s="30" t="n"/>
      <c r="E930" s="30" t="n"/>
      <c r="F930" s="31" t="n">
        <v>11230.4</v>
      </c>
      <c r="G930" s="30" t="n"/>
    </row>
    <row r="932" ht="47.5" customHeight="1">
      <c r="A932" s="8" t="inlineStr">
        <is>
          <t>7.33</t>
        </is>
      </c>
      <c r="B932" s="17" t="inlineStr">
        <is>
          <t>Providing and fixing stone jali 40 mm thick throughout in cement mortar 1:3 (1 cement : 3 coarse sand), including pointing in white cement mortar 1:2 (1 white cement : 2 stone dust) with an admixture of pigment, matching the stone shade, jali slab without any chamfers etc.</t>
        </is>
      </c>
      <c r="C932" s="9" t="n"/>
      <c r="D932" s="9" t="n"/>
      <c r="E932" s="9" t="n"/>
      <c r="F932" s="9" t="n"/>
      <c r="G932" s="9" t="n"/>
    </row>
    <row r="933" ht="18.5" customHeight="1">
      <c r="A933" s="18" t="inlineStr">
        <is>
          <t>7.33.2</t>
        </is>
      </c>
      <c r="B933" s="19" t="inlineStr">
        <is>
          <t>White sand stone</t>
        </is>
      </c>
      <c r="C933" s="20" t="n"/>
      <c r="D933" s="20" t="n"/>
      <c r="E933" s="20" t="n"/>
      <c r="F933" s="20" t="n"/>
      <c r="G933" s="20" t="n"/>
    </row>
    <row r="934">
      <c r="A934" s="21" t="inlineStr">
        <is>
          <t>Details of cost for 1 sqm   |   Source: CivilDAR_2019_Vol_1.pdf, page 361</t>
        </is>
      </c>
    </row>
    <row r="935">
      <c r="A935" s="5" t="inlineStr">
        <is>
          <t>Code</t>
        </is>
      </c>
      <c r="B935" s="5" t="inlineStr">
        <is>
          <t>Description</t>
        </is>
      </c>
      <c r="C935" s="5" t="inlineStr">
        <is>
          <t>Unit</t>
        </is>
      </c>
      <c r="D935" s="5" t="inlineStr">
        <is>
          <t>Quantity</t>
        </is>
      </c>
      <c r="E935" s="5" t="inlineStr">
        <is>
          <t>Rate (Rs.)</t>
        </is>
      </c>
      <c r="F935" s="5" t="inlineStr">
        <is>
          <t>Amount (Rs.)</t>
        </is>
      </c>
      <c r="G935" s="5" t="inlineStr">
        <is>
          <t>Note</t>
        </is>
      </c>
    </row>
    <row r="936">
      <c r="A936" s="22" t="inlineStr">
        <is>
          <t>1165</t>
        </is>
      </c>
      <c r="B936" s="11" t="inlineStr">
        <is>
          <t>White sand stone slab 40 mm thick (un-dressed)</t>
        </is>
      </c>
      <c r="C936" s="22" t="inlineStr">
        <is>
          <t>sqm</t>
        </is>
      </c>
      <c r="D936" s="23" t="n">
        <v>1.1</v>
      </c>
      <c r="E936" s="24" t="n">
        <v>200</v>
      </c>
      <c r="F936" s="24">
        <f>D936*E936</f>
        <v/>
      </c>
      <c r="G936" s="22" t="n"/>
    </row>
    <row r="937">
      <c r="A937" s="22" t="inlineStr">
        <is>
          <t>2216</t>
        </is>
      </c>
      <c r="B937" s="11" t="inlineStr">
        <is>
          <t>Carriage of Stone blocks white &amp; red sand stone &amp; kota stone slab</t>
        </is>
      </c>
      <c r="C937" s="22" t="inlineStr">
        <is>
          <t>tonne</t>
        </is>
      </c>
      <c r="D937" s="23" t="n">
        <v>0.101</v>
      </c>
      <c r="E937" s="24" t="n">
        <v>92.23999999999999</v>
      </c>
      <c r="F937" s="24">
        <f>D937*E937</f>
        <v/>
      </c>
      <c r="G937" s="22" t="n"/>
    </row>
    <row r="938">
      <c r="A938" s="22" t="inlineStr">
        <is>
          <t>0125</t>
        </is>
      </c>
      <c r="B938" s="11" t="inlineStr">
        <is>
          <t>Mason (for plain stone work) 2nd class)</t>
        </is>
      </c>
      <c r="C938" s="22" t="inlineStr">
        <is>
          <t>day</t>
        </is>
      </c>
      <c r="D938" s="23" t="n">
        <v>7.62</v>
      </c>
      <c r="E938" s="24" t="n">
        <v>679</v>
      </c>
      <c r="F938" s="24">
        <f>D938*E938</f>
        <v/>
      </c>
      <c r="G938" s="22" t="n"/>
    </row>
    <row r="939">
      <c r="A939" s="22" t="inlineStr">
        <is>
          <t>0114</t>
        </is>
      </c>
      <c r="B939" s="11" t="inlineStr">
        <is>
          <t>Beldar</t>
        </is>
      </c>
      <c r="C939" s="22" t="inlineStr">
        <is>
          <t>day</t>
        </is>
      </c>
      <c r="D939" s="23" t="n">
        <v>5.07</v>
      </c>
      <c r="E939" s="24" t="n">
        <v>558</v>
      </c>
      <c r="F939" s="24">
        <f>D939*E939</f>
        <v/>
      </c>
      <c r="G939" s="22" t="n"/>
    </row>
    <row r="940">
      <c r="A940" s="22" t="inlineStr">
        <is>
          <t>9999</t>
        </is>
      </c>
      <c r="B940" s="11" t="inlineStr">
        <is>
          <t>Mortar and Sundries</t>
        </is>
      </c>
      <c r="C940" s="22" t="inlineStr">
        <is>
          <t>L.S.</t>
        </is>
      </c>
      <c r="D940" s="23" t="n">
        <v>80.73</v>
      </c>
      <c r="E940" s="24" t="n">
        <v>2</v>
      </c>
      <c r="F940" s="24">
        <f>D940*E940</f>
        <v/>
      </c>
      <c r="G940" s="22" t="n"/>
    </row>
    <row r="941">
      <c r="A941" s="8" t="inlineStr">
        <is>
          <t>Calculated W - SUM of the Amount column above</t>
        </is>
      </c>
      <c r="B941" s="9" t="n"/>
      <c r="C941" s="9" t="n"/>
      <c r="D941" s="9" t="n"/>
      <c r="E941" s="9" t="n"/>
      <c r="F941" s="25">
        <f>SUM(F936:F940)</f>
        <v/>
      </c>
      <c r="G941" s="9" t="n"/>
    </row>
    <row r="942">
      <c r="A942" s="26" t="inlineStr">
        <is>
          <t>W as printed in the DAR</t>
        </is>
      </c>
      <c r="B942" s="22" t="n"/>
      <c r="C942" s="22" t="n"/>
      <c r="D942" s="22" t="n"/>
      <c r="E942" s="22" t="n"/>
      <c r="F942" s="27" t="n">
        <v>8393.82</v>
      </c>
      <c r="G942" s="22" t="n"/>
    </row>
    <row r="943">
      <c r="A943" s="26" t="inlineStr">
        <is>
          <t>Difference (calculated - printed)</t>
        </is>
      </c>
      <c r="B943" s="22" t="n"/>
      <c r="C943" s="22" t="n"/>
      <c r="D943" s="22" t="n"/>
      <c r="E943" s="22" t="n"/>
      <c r="F943" s="27">
        <f>F941-F942</f>
        <v/>
      </c>
      <c r="G943" s="22" t="n"/>
    </row>
    <row r="944">
      <c r="A944" s="29" t="inlineStr">
        <is>
          <t>SAY (Rs.) - final DAR rate as printed (fixed value, not computed)</t>
        </is>
      </c>
      <c r="B944" s="30" t="n"/>
      <c r="C944" s="30" t="n"/>
      <c r="D944" s="30" t="n"/>
      <c r="E944" s="30" t="n"/>
      <c r="F944" s="31" t="n">
        <v>11230.4</v>
      </c>
      <c r="G944" s="30" t="n"/>
    </row>
    <row r="946" ht="76.5" customHeight="1">
      <c r="A946" s="18" t="inlineStr">
        <is>
          <t>7.34</t>
        </is>
      </c>
      <c r="B946" s="19" t="inlineStr">
        <is>
          <t>Extra for laying stone work in or under water and/or liquid mud including cost of pumping or bailing out water and removing slush etc. complete. 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t>
        </is>
      </c>
      <c r="C946" s="20" t="n"/>
      <c r="D946" s="20" t="n"/>
      <c r="E946" s="20" t="n"/>
      <c r="F946" s="20" t="n"/>
      <c r="G946" s="20" t="n"/>
    </row>
    <row r="947">
      <c r="A947" s="21" t="inlineStr">
        <is>
          <t>Details of cost for 14 cum   |   Source: CivilDAR_2019_Vol_1.pdf, page 362</t>
        </is>
      </c>
    </row>
    <row r="948">
      <c r="A948" s="5" t="inlineStr">
        <is>
          <t>Code</t>
        </is>
      </c>
      <c r="B948" s="5" t="inlineStr">
        <is>
          <t>Description</t>
        </is>
      </c>
      <c r="C948" s="5" t="inlineStr">
        <is>
          <t>Unit</t>
        </is>
      </c>
      <c r="D948" s="5" t="inlineStr">
        <is>
          <t>Quantity</t>
        </is>
      </c>
      <c r="E948" s="5" t="inlineStr">
        <is>
          <t>Rate (Rs.)</t>
        </is>
      </c>
      <c r="F948" s="5" t="inlineStr">
        <is>
          <t>Amount (Rs.)</t>
        </is>
      </c>
      <c r="G948" s="5" t="inlineStr">
        <is>
          <t>Note</t>
        </is>
      </c>
    </row>
    <row r="949">
      <c r="A949" s="22" t="inlineStr">
        <is>
          <t>0011</t>
        </is>
      </c>
      <c r="B949" s="11" t="inlineStr">
        <is>
          <t>Hire charges of Pumpset of capacity 4000 litres/hour.</t>
        </is>
      </c>
      <c r="C949" s="22" t="inlineStr">
        <is>
          <t>day</t>
        </is>
      </c>
      <c r="D949" s="23" t="n">
        <v>0.375</v>
      </c>
      <c r="E949" s="24" t="n">
        <v>700</v>
      </c>
      <c r="F949" s="24">
        <f>D949*E949</f>
        <v/>
      </c>
      <c r="G949" s="22" t="n"/>
    </row>
    <row r="950">
      <c r="A950" s="22" t="inlineStr">
        <is>
          <t>0114</t>
        </is>
      </c>
      <c r="B950" s="11" t="inlineStr">
        <is>
          <t>Beldar</t>
        </is>
      </c>
      <c r="C950" s="22" t="inlineStr">
        <is>
          <t>day</t>
        </is>
      </c>
      <c r="D950" s="23" t="n">
        <v>4</v>
      </c>
      <c r="E950" s="24" t="n">
        <v>558</v>
      </c>
      <c r="F950" s="24">
        <f>D950*E950</f>
        <v/>
      </c>
      <c r="G950" s="22" t="n"/>
    </row>
    <row r="951">
      <c r="A951" s="8" t="inlineStr">
        <is>
          <t>Calculated W - SUM of the Amount column above</t>
        </is>
      </c>
      <c r="B951" s="9" t="n"/>
      <c r="C951" s="9" t="n"/>
      <c r="D951" s="9" t="n"/>
      <c r="E951" s="9" t="n"/>
      <c r="F951" s="25">
        <f>SUM(F949:F950)</f>
        <v/>
      </c>
      <c r="G951" s="9" t="n"/>
    </row>
    <row r="952">
      <c r="A952" s="26" t="inlineStr">
        <is>
          <t>W as printed in the DAR</t>
        </is>
      </c>
      <c r="B952" s="22" t="n"/>
      <c r="C952" s="22" t="n"/>
      <c r="D952" s="22" t="n"/>
      <c r="E952" s="22" t="n"/>
      <c r="F952" s="27" t="n">
        <v>2494.5</v>
      </c>
      <c r="G952" s="22" t="n"/>
    </row>
    <row r="953">
      <c r="A953" s="26" t="inlineStr">
        <is>
          <t>Difference (calculated - printed)</t>
        </is>
      </c>
      <c r="B953" s="22" t="n"/>
      <c r="C953" s="22" t="n"/>
      <c r="D953" s="22" t="n"/>
      <c r="E953" s="22" t="n"/>
      <c r="F953" s="27">
        <f>F951-F952</f>
        <v/>
      </c>
      <c r="G953" s="22" t="n"/>
    </row>
    <row r="954">
      <c r="A954" s="29" t="inlineStr">
        <is>
          <t>SAY (Rs.) - final DAR rate as printed (fixed value, not computed)</t>
        </is>
      </c>
      <c r="B954" s="30" t="n"/>
      <c r="C954" s="30" t="n"/>
      <c r="D954" s="30" t="n"/>
      <c r="E954" s="30" t="n"/>
      <c r="F954" s="31" t="n">
        <v>794.65</v>
      </c>
      <c r="G954" s="30" t="n"/>
    </row>
    <row r="956" ht="18.5" customHeight="1">
      <c r="A956" s="18" t="inlineStr">
        <is>
          <t>7.35</t>
        </is>
      </c>
      <c r="B956" s="19" t="inlineStr">
        <is>
          <t>Extra for laying stone work in or under foul position.</t>
        </is>
      </c>
      <c r="C956" s="20" t="n"/>
      <c r="D956" s="20" t="n"/>
      <c r="E956" s="20" t="n"/>
      <c r="F956" s="20" t="n"/>
      <c r="G956" s="20" t="n"/>
    </row>
    <row r="957">
      <c r="A957" s="21" t="inlineStr">
        <is>
          <t>Details of cost for 1 cum   |   Source: CivilDAR_2019_Vol_1.pdf, page 362</t>
        </is>
      </c>
    </row>
    <row r="958">
      <c r="A958" s="5" t="inlineStr">
        <is>
          <t>Code</t>
        </is>
      </c>
      <c r="B958" s="5" t="inlineStr">
        <is>
          <t>Description</t>
        </is>
      </c>
      <c r="C958" s="5" t="inlineStr">
        <is>
          <t>Unit</t>
        </is>
      </c>
      <c r="D958" s="5" t="inlineStr">
        <is>
          <t>Quantity</t>
        </is>
      </c>
      <c r="E958" s="5" t="inlineStr">
        <is>
          <t>Rate (Rs.)</t>
        </is>
      </c>
      <c r="F958" s="5" t="inlineStr">
        <is>
          <t>Amount (Rs.)</t>
        </is>
      </c>
      <c r="G958" s="5" t="inlineStr">
        <is>
          <t>Note</t>
        </is>
      </c>
    </row>
    <row r="959">
      <c r="A959" s="22" t="inlineStr">
        <is>
          <t>0123</t>
        </is>
      </c>
      <c r="B959" s="11" t="inlineStr">
        <is>
          <t>Mason (brick layer) 1st class</t>
        </is>
      </c>
      <c r="C959" s="22" t="inlineStr">
        <is>
          <t>day</t>
        </is>
      </c>
      <c r="D959" s="23" t="n">
        <v>0.02</v>
      </c>
      <c r="E959" s="24" t="n">
        <v>738</v>
      </c>
      <c r="F959" s="24">
        <f>D959*E959</f>
        <v/>
      </c>
      <c r="G959" s="22" t="n"/>
    </row>
    <row r="960">
      <c r="A960" s="22" t="inlineStr">
        <is>
          <t>0124</t>
        </is>
      </c>
      <c r="B960" s="11" t="inlineStr">
        <is>
          <t>Mason (brick layer) 2nd class</t>
        </is>
      </c>
      <c r="C960" s="22" t="inlineStr">
        <is>
          <t>day</t>
        </is>
      </c>
      <c r="D960" s="23" t="n">
        <v>0.02</v>
      </c>
      <c r="E960" s="24" t="n">
        <v>679</v>
      </c>
      <c r="F960" s="24">
        <f>D960*E960</f>
        <v/>
      </c>
      <c r="G960" s="22" t="n"/>
    </row>
    <row r="961">
      <c r="A961" s="22" t="inlineStr">
        <is>
          <t>0114</t>
        </is>
      </c>
      <c r="B961" s="11" t="inlineStr">
        <is>
          <t>Beldar</t>
        </is>
      </c>
      <c r="C961" s="22" t="inlineStr">
        <is>
          <t>day</t>
        </is>
      </c>
      <c r="D961" s="23" t="n">
        <v>0.25</v>
      </c>
      <c r="E961" s="24" t="n">
        <v>558</v>
      </c>
      <c r="F961" s="24">
        <f>D961*E961</f>
        <v/>
      </c>
      <c r="G961" s="22" t="n"/>
    </row>
    <row r="962">
      <c r="A962" s="22" t="inlineStr">
        <is>
          <t>0115</t>
        </is>
      </c>
      <c r="B962" s="11" t="inlineStr">
        <is>
          <t>Coolie</t>
        </is>
      </c>
      <c r="C962" s="22" t="inlineStr">
        <is>
          <t>day</t>
        </is>
      </c>
      <c r="D962" s="23" t="n">
        <v>0.15</v>
      </c>
      <c r="E962" s="24" t="n">
        <v>558</v>
      </c>
      <c r="F962" s="24">
        <f>D962*E962</f>
        <v/>
      </c>
      <c r="G962" s="22" t="n"/>
    </row>
    <row r="963">
      <c r="A963" s="8" t="inlineStr">
        <is>
          <t>Calculated W - SUM of the Amount column above</t>
        </is>
      </c>
      <c r="B963" s="9" t="n"/>
      <c r="C963" s="9" t="n"/>
      <c r="D963" s="9" t="n"/>
      <c r="E963" s="9" t="n"/>
      <c r="F963" s="25">
        <f>SUM(F959:F962)</f>
        <v/>
      </c>
      <c r="G963" s="9" t="n"/>
    </row>
    <row r="964">
      <c r="A964" s="26" t="inlineStr">
        <is>
          <t>W as printed in the DAR</t>
        </is>
      </c>
      <c r="B964" s="22" t="n"/>
      <c r="C964" s="22" t="n"/>
      <c r="D964" s="22" t="n"/>
      <c r="E964" s="22" t="n"/>
      <c r="F964" s="27" t="n">
        <v>251.54</v>
      </c>
      <c r="G964" s="22" t="n"/>
    </row>
    <row r="965">
      <c r="A965" s="26" t="inlineStr">
        <is>
          <t>Difference (calculated - printed)</t>
        </is>
      </c>
      <c r="B965" s="22" t="n"/>
      <c r="C965" s="22" t="n"/>
      <c r="D965" s="22" t="n"/>
      <c r="E965" s="22" t="n"/>
      <c r="F965" s="27">
        <f>F963-F964</f>
        <v/>
      </c>
      <c r="G965" s="22" t="n"/>
    </row>
    <row r="966">
      <c r="A966" s="29" t="inlineStr">
        <is>
          <t>SAY (Rs.) - final DAR rate as printed (fixed value, not computed)</t>
        </is>
      </c>
      <c r="B966" s="30" t="n"/>
      <c r="C966" s="30" t="n"/>
      <c r="D966" s="30" t="n"/>
      <c r="E966" s="30" t="n"/>
      <c r="F966" s="31" t="n">
        <v>336.55</v>
      </c>
      <c r="G966" s="30" t="n"/>
    </row>
    <row r="968" ht="33" customHeight="1">
      <c r="A968" s="8" t="inlineStr">
        <is>
          <t>7.38</t>
        </is>
      </c>
      <c r="B968" s="17" t="inlineStr">
        <is>
          <t>Stone tile work for wall lining upto 10 m height with special adhesive over 12 mm thick bed of cement mortar 1:3 (1 cement : 3 coarse sand), including pointing in white cement with an admixture of pigment to match the stone shade.</t>
        </is>
      </c>
      <c r="C968" s="9" t="n"/>
      <c r="D968" s="9" t="n"/>
      <c r="E968" s="9" t="n"/>
      <c r="F968" s="9" t="n"/>
      <c r="G968" s="9" t="n"/>
    </row>
    <row r="969" ht="18.5" customHeight="1">
      <c r="A969" s="8" t="inlineStr">
        <is>
          <t>7.38.1</t>
        </is>
      </c>
      <c r="B969" s="17" t="inlineStr">
        <is>
          <t>8mm thick (mirror polished and machine cut edge)</t>
        </is>
      </c>
      <c r="C969" s="9" t="n"/>
      <c r="D969" s="9" t="n"/>
      <c r="E969" s="9" t="n"/>
      <c r="F969" s="9" t="n"/>
      <c r="G969" s="9" t="n"/>
    </row>
    <row r="970" ht="18.5" customHeight="1">
      <c r="A970" s="18" t="inlineStr">
        <is>
          <t>7.38.1.1</t>
        </is>
      </c>
      <c r="B970" s="19" t="inlineStr">
        <is>
          <t>Granite stone of any colour and shade</t>
        </is>
      </c>
      <c r="C970" s="20" t="n"/>
      <c r="D970" s="20" t="n"/>
      <c r="E970" s="20" t="n"/>
      <c r="F970" s="20" t="n"/>
      <c r="G970" s="20" t="n"/>
    </row>
    <row r="971">
      <c r="A971" s="21" t="inlineStr">
        <is>
          <t>Details of cost for 10 sqm   |   Source: CivilDAR_2019_Vol_1.pdf, page 363</t>
        </is>
      </c>
    </row>
    <row r="972">
      <c r="A972" s="5" t="inlineStr">
        <is>
          <t>Code</t>
        </is>
      </c>
      <c r="B972" s="5" t="inlineStr">
        <is>
          <t>Description</t>
        </is>
      </c>
      <c r="C972" s="5" t="inlineStr">
        <is>
          <t>Unit</t>
        </is>
      </c>
      <c r="D972" s="5" t="inlineStr">
        <is>
          <t>Quantity</t>
        </is>
      </c>
      <c r="E972" s="5" t="inlineStr">
        <is>
          <t>Rate (Rs.)</t>
        </is>
      </c>
      <c r="F972" s="5" t="inlineStr">
        <is>
          <t>Amount (Rs.)</t>
        </is>
      </c>
      <c r="G972" s="5" t="inlineStr">
        <is>
          <t>Note</t>
        </is>
      </c>
    </row>
    <row r="973">
      <c r="A973" s="22" t="inlineStr">
        <is>
          <t>2750</t>
        </is>
      </c>
      <c r="B973" s="11" t="inlineStr">
        <is>
          <t>8 mm thick granite stone tiles (mirror polished of all shades)</t>
        </is>
      </c>
      <c r="C973" s="22" t="inlineStr">
        <is>
          <t>sqm</t>
        </is>
      </c>
      <c r="D973" s="23" t="n">
        <v>10.25</v>
      </c>
      <c r="E973" s="24" t="n">
        <v>700</v>
      </c>
      <c r="F973" s="24">
        <f>D973*E973</f>
        <v/>
      </c>
      <c r="G973" s="22" t="n"/>
    </row>
    <row r="974">
      <c r="A974" s="22" t="inlineStr">
        <is>
          <t>9977</t>
        </is>
      </c>
      <c r="B974" s="11" t="inlineStr">
        <is>
          <t>Carriage of granite tiles</t>
        </is>
      </c>
      <c r="C974" s="22" t="inlineStr">
        <is>
          <t>L.S.</t>
        </is>
      </c>
      <c r="D974" s="23" t="n">
        <v>40.04</v>
      </c>
      <c r="E974" s="24" t="n">
        <v>2</v>
      </c>
      <c r="F974" s="24">
        <f>D974*E974</f>
        <v/>
      </c>
      <c r="G974" s="22" t="n"/>
    </row>
    <row r="975">
      <c r="A975" s="7" t="inlineStr">
        <is>
          <t>3.8</t>
        </is>
      </c>
      <c r="B975" s="11" t="inlineStr">
        <is>
          <t>Rate as per item 3.8 - Cement mortar 1:3 (1 cement : 3 coarse sand)</t>
        </is>
      </c>
      <c r="C975" s="22" t="inlineStr">
        <is>
          <t>cum</t>
        </is>
      </c>
      <c r="D975" s="23" t="n">
        <v>0.14</v>
      </c>
      <c r="E975" s="24" t="n">
        <v>4664.55</v>
      </c>
      <c r="F975" s="24">
        <f>D975*E975</f>
        <v/>
      </c>
      <c r="G975" s="22" t="n"/>
    </row>
    <row r="976">
      <c r="A976" s="22" t="inlineStr">
        <is>
          <t>0367</t>
        </is>
      </c>
      <c r="B976" s="11" t="inlineStr">
        <is>
          <t>Portland Cement</t>
        </is>
      </c>
      <c r="C976" s="22" t="inlineStr">
        <is>
          <t>tonne</t>
        </is>
      </c>
      <c r="D976" s="23" t="n">
        <v>0.033</v>
      </c>
      <c r="E976" s="24" t="n">
        <v>4940</v>
      </c>
      <c r="F976" s="24">
        <f>D976*E976</f>
        <v/>
      </c>
      <c r="G976" s="22" t="n"/>
    </row>
    <row r="977">
      <c r="A977" s="22" t="inlineStr">
        <is>
          <t>9999</t>
        </is>
      </c>
      <c r="B977" s="11" t="inlineStr">
        <is>
          <t>Mortar for pointing in white cement</t>
        </is>
      </c>
      <c r="C977" s="22" t="inlineStr">
        <is>
          <t>L.S.</t>
        </is>
      </c>
      <c r="D977" s="23" t="n">
        <v>25.74</v>
      </c>
      <c r="E977" s="24" t="n">
        <v>2</v>
      </c>
      <c r="F977" s="24">
        <f>D977*E977</f>
        <v/>
      </c>
      <c r="G977" s="22" t="n"/>
    </row>
    <row r="978">
      <c r="A978" s="22" t="inlineStr">
        <is>
          <t>0123</t>
        </is>
      </c>
      <c r="B978" s="11" t="inlineStr">
        <is>
          <t>Mason (brick layer) 1st class</t>
        </is>
      </c>
      <c r="C978" s="22" t="inlineStr">
        <is>
          <t>day</t>
        </is>
      </c>
      <c r="D978" s="23" t="n">
        <v>7.7</v>
      </c>
      <c r="E978" s="24" t="n">
        <v>738</v>
      </c>
      <c r="F978" s="24">
        <f>D978*E978</f>
        <v/>
      </c>
      <c r="G978" s="22" t="n"/>
    </row>
    <row r="979">
      <c r="A979" s="22" t="inlineStr">
        <is>
          <t>0114</t>
        </is>
      </c>
      <c r="B979" s="11" t="inlineStr">
        <is>
          <t>Beldar</t>
        </is>
      </c>
      <c r="C979" s="22" t="inlineStr">
        <is>
          <t>day</t>
        </is>
      </c>
      <c r="D979" s="23" t="n">
        <v>7.7</v>
      </c>
      <c r="E979" s="24" t="n">
        <v>558</v>
      </c>
      <c r="F979" s="24">
        <f>D979*E979</f>
        <v/>
      </c>
      <c r="G979" s="22" t="n"/>
    </row>
    <row r="980">
      <c r="A980" s="22" t="inlineStr">
        <is>
          <t>9999</t>
        </is>
      </c>
      <c r="B980" s="11" t="inlineStr">
        <is>
          <t>Granular sand particles mixed with araldite to be pasted on each side to form interlocking arrangement with cement plaster</t>
        </is>
      </c>
      <c r="C980" s="22" t="inlineStr">
        <is>
          <t>L.S.</t>
        </is>
      </c>
      <c r="D980" s="23" t="n">
        <v>260</v>
      </c>
      <c r="E980" s="24" t="n">
        <v>2</v>
      </c>
      <c r="F980" s="24">
        <f>D980*E980</f>
        <v/>
      </c>
      <c r="G980" s="22" t="n"/>
    </row>
    <row r="981">
      <c r="A981" s="22" t="inlineStr">
        <is>
          <t>9999</t>
        </is>
      </c>
      <c r="B981" s="11" t="inlineStr">
        <is>
          <t>Sundries</t>
        </is>
      </c>
      <c r="C981" s="22" t="inlineStr">
        <is>
          <t>L.S.</t>
        </is>
      </c>
      <c r="D981" s="23" t="n">
        <v>171.6</v>
      </c>
      <c r="E981" s="24" t="n">
        <v>2</v>
      </c>
      <c r="F981" s="24">
        <f>D981*E981</f>
        <v/>
      </c>
      <c r="G981" s="22" t="n"/>
    </row>
    <row r="982">
      <c r="A982" s="8" t="inlineStr">
        <is>
          <t>Calculated W - SUM of the Amount column above</t>
        </is>
      </c>
      <c r="B982" s="9" t="n"/>
      <c r="C982" s="9" t="n"/>
      <c r="D982" s="9" t="n"/>
      <c r="E982" s="9" t="n"/>
      <c r="F982" s="25">
        <f>SUM(F973:F981)</f>
        <v/>
      </c>
      <c r="G982" s="9" t="n"/>
    </row>
    <row r="983">
      <c r="A983" s="26" t="inlineStr">
        <is>
          <t>W as printed in the DAR</t>
        </is>
      </c>
      <c r="B983" s="22" t="n"/>
      <c r="C983" s="22" t="n"/>
      <c r="D983" s="22" t="n"/>
      <c r="E983" s="22" t="n"/>
      <c r="F983" s="27" t="n">
        <v>18965.02</v>
      </c>
      <c r="G983" s="22" t="n"/>
    </row>
    <row r="984">
      <c r="A984" s="26" t="inlineStr">
        <is>
          <t>Difference (calculated - printed)</t>
        </is>
      </c>
      <c r="B984" s="22" t="n"/>
      <c r="C984" s="22" t="n"/>
      <c r="D984" s="22" t="n"/>
      <c r="E984" s="22" t="n"/>
      <c r="F984" s="27">
        <f>F982-F983</f>
        <v/>
      </c>
      <c r="G984" s="22" t="n"/>
    </row>
    <row r="985">
      <c r="A985" s="29" t="inlineStr">
        <is>
          <t>SAY (Rs.) - final DAR rate as printed (fixed value, not computed)</t>
        </is>
      </c>
      <c r="B985" s="30" t="n"/>
      <c r="C985" s="30" t="n"/>
      <c r="D985" s="30" t="n"/>
      <c r="E985" s="30" t="n"/>
      <c r="F985" s="31" t="n">
        <v>2537.4</v>
      </c>
      <c r="G985" s="30" t="n"/>
    </row>
    <row r="987" ht="33" customHeight="1">
      <c r="A987" s="8" t="inlineStr">
        <is>
          <t>7.38</t>
        </is>
      </c>
      <c r="B987" s="17" t="inlineStr">
        <is>
          <t>Stone tile work for wall lining upto 10 m height with special adhesive over 12 mm thick bed of cement mortar 1:3 (1 cement : 3 coarse sand), including pointing in white cement with an admixture of pigment to match the stone shade.</t>
        </is>
      </c>
      <c r="C987" s="9" t="n"/>
      <c r="D987" s="9" t="n"/>
      <c r="E987" s="9" t="n"/>
      <c r="F987" s="9" t="n"/>
      <c r="G987" s="9" t="n"/>
    </row>
    <row r="988" ht="18.5" customHeight="1">
      <c r="A988" s="8" t="inlineStr">
        <is>
          <t>7.38.1</t>
        </is>
      </c>
      <c r="B988" s="17" t="inlineStr">
        <is>
          <t>8mm thick (mirror polished and machine cut edge)</t>
        </is>
      </c>
      <c r="C988" s="9" t="n"/>
      <c r="D988" s="9" t="n"/>
      <c r="E988" s="9" t="n"/>
      <c r="F988" s="9" t="n"/>
      <c r="G988" s="9" t="n"/>
    </row>
    <row r="989" ht="18.5" customHeight="1">
      <c r="A989" s="18" t="inlineStr">
        <is>
          <t>7.38.1.2</t>
        </is>
      </c>
      <c r="B989" s="19" t="inlineStr">
        <is>
          <t>Raj Nagar plain white marble/ Udaipur green marble/ Zebra black marble</t>
        </is>
      </c>
      <c r="C989" s="20" t="n"/>
      <c r="D989" s="20" t="n"/>
      <c r="E989" s="20" t="n"/>
      <c r="F989" s="20" t="n"/>
      <c r="G989" s="20" t="n"/>
    </row>
    <row r="990">
      <c r="A990" s="21" t="inlineStr">
        <is>
          <t>Details of cost for 10 sqm   |   Source: CivilDAR_2019_Vol_1.pdf, page 363</t>
        </is>
      </c>
    </row>
    <row r="991">
      <c r="A991" s="5" t="inlineStr">
        <is>
          <t>Code</t>
        </is>
      </c>
      <c r="B991" s="5" t="inlineStr">
        <is>
          <t>Description</t>
        </is>
      </c>
      <c r="C991" s="5" t="inlineStr">
        <is>
          <t>Unit</t>
        </is>
      </c>
      <c r="D991" s="5" t="inlineStr">
        <is>
          <t>Quantity</t>
        </is>
      </c>
      <c r="E991" s="5" t="inlineStr">
        <is>
          <t>Rate (Rs.)</t>
        </is>
      </c>
      <c r="F991" s="5" t="inlineStr">
        <is>
          <t>Amount (Rs.)</t>
        </is>
      </c>
      <c r="G991" s="5" t="inlineStr">
        <is>
          <t>Note</t>
        </is>
      </c>
    </row>
    <row r="992">
      <c r="A992" s="22" t="inlineStr">
        <is>
          <t>7439</t>
        </is>
      </c>
      <c r="B992" s="11" t="inlineStr">
        <is>
          <t>8mm thick (mirror polished tiles machine cut edge) Raj Nagar white</t>
        </is>
      </c>
      <c r="C992" s="22" t="inlineStr">
        <is>
          <t>sqm</t>
        </is>
      </c>
      <c r="D992" s="23" t="n">
        <v>10.25</v>
      </c>
      <c r="E992" s="24" t="n">
        <v>500</v>
      </c>
      <c r="F992" s="24">
        <f>D992*E992</f>
        <v/>
      </c>
      <c r="G992" s="22" t="n"/>
    </row>
    <row r="993">
      <c r="A993" s="22" t="inlineStr">
        <is>
          <t>9977</t>
        </is>
      </c>
      <c r="B993" s="11" t="inlineStr">
        <is>
          <t>Carriage of Raj Nagar white stone tiles</t>
        </is>
      </c>
      <c r="C993" s="22" t="inlineStr">
        <is>
          <t>L.S.</t>
        </is>
      </c>
      <c r="D993" s="23" t="n">
        <v>40.04</v>
      </c>
      <c r="E993" s="24" t="n">
        <v>2</v>
      </c>
      <c r="F993" s="24">
        <f>D993*E993</f>
        <v/>
      </c>
      <c r="G993" s="22" t="n"/>
    </row>
    <row r="994">
      <c r="A994" s="7" t="inlineStr">
        <is>
          <t>3.8</t>
        </is>
      </c>
      <c r="B994" s="11" t="inlineStr">
        <is>
          <t>Rate as per item 3.8 - Cement mortar 1:3 (1 cement : 3 coarse sand)</t>
        </is>
      </c>
      <c r="C994" s="22" t="inlineStr">
        <is>
          <t>cum</t>
        </is>
      </c>
      <c r="D994" s="23" t="n">
        <v>0.14</v>
      </c>
      <c r="E994" s="24" t="n">
        <v>4664.55</v>
      </c>
      <c r="F994" s="24">
        <f>D994*E994</f>
        <v/>
      </c>
      <c r="G994" s="22" t="n"/>
    </row>
    <row r="995">
      <c r="A995" s="22" t="inlineStr">
        <is>
          <t>0367</t>
        </is>
      </c>
      <c r="B995" s="11" t="inlineStr">
        <is>
          <t>Portland Cement</t>
        </is>
      </c>
      <c r="C995" s="22" t="inlineStr">
        <is>
          <t>tonne</t>
        </is>
      </c>
      <c r="D995" s="23" t="n">
        <v>0.033</v>
      </c>
      <c r="E995" s="24" t="n">
        <v>4940</v>
      </c>
      <c r="F995" s="24">
        <f>D995*E995</f>
        <v/>
      </c>
      <c r="G995" s="22" t="n"/>
    </row>
    <row r="996">
      <c r="A996" s="22" t="inlineStr">
        <is>
          <t>9999</t>
        </is>
      </c>
      <c r="B996" s="11" t="inlineStr">
        <is>
          <t>Mortar for pointing in white cement</t>
        </is>
      </c>
      <c r="C996" s="22" t="inlineStr">
        <is>
          <t>L.S.</t>
        </is>
      </c>
      <c r="D996" s="23" t="n">
        <v>25.74</v>
      </c>
      <c r="E996" s="24" t="n">
        <v>2</v>
      </c>
      <c r="F996" s="24">
        <f>D996*E996</f>
        <v/>
      </c>
      <c r="G996" s="22" t="n"/>
    </row>
    <row r="997">
      <c r="A997" s="22" t="inlineStr">
        <is>
          <t>0123</t>
        </is>
      </c>
      <c r="B997" s="11" t="inlineStr">
        <is>
          <t>Mason (brick layer) 1st class</t>
        </is>
      </c>
      <c r="C997" s="22" t="inlineStr">
        <is>
          <t>day</t>
        </is>
      </c>
      <c r="D997" s="23" t="n">
        <v>7.7</v>
      </c>
      <c r="E997" s="24" t="n">
        <v>738</v>
      </c>
      <c r="F997" s="24">
        <f>D997*E997</f>
        <v/>
      </c>
      <c r="G997" s="22" t="n"/>
    </row>
    <row r="998">
      <c r="A998" s="22" t="inlineStr">
        <is>
          <t>0114</t>
        </is>
      </c>
      <c r="B998" s="11" t="inlineStr">
        <is>
          <t>Beldar</t>
        </is>
      </c>
      <c r="C998" s="22" t="inlineStr">
        <is>
          <t>day</t>
        </is>
      </c>
      <c r="D998" s="23" t="n">
        <v>7.7</v>
      </c>
      <c r="E998" s="24" t="n">
        <v>558</v>
      </c>
      <c r="F998" s="24">
        <f>D998*E998</f>
        <v/>
      </c>
      <c r="G998" s="22" t="n"/>
    </row>
    <row r="999">
      <c r="A999" s="22" t="inlineStr">
        <is>
          <t>9999</t>
        </is>
      </c>
      <c r="B999" s="11" t="inlineStr">
        <is>
          <t>Granular sand particles mixed with araldite to be pasted on each side to form interlocking arrangement with cement plaster</t>
        </is>
      </c>
      <c r="C999" s="22" t="inlineStr">
        <is>
          <t>L.S.</t>
        </is>
      </c>
      <c r="D999" s="23" t="n">
        <v>260</v>
      </c>
      <c r="E999" s="24" t="n">
        <v>2</v>
      </c>
      <c r="F999" s="24">
        <f>D999*E999</f>
        <v/>
      </c>
      <c r="G999" s="22" t="n"/>
    </row>
    <row r="1000">
      <c r="A1000" s="22" t="inlineStr">
        <is>
          <t>9999</t>
        </is>
      </c>
      <c r="B1000" s="11" t="inlineStr">
        <is>
          <t>Sundries</t>
        </is>
      </c>
      <c r="C1000" s="22" t="inlineStr">
        <is>
          <t>L.S.</t>
        </is>
      </c>
      <c r="D1000" s="23" t="n">
        <v>171.6</v>
      </c>
      <c r="E1000" s="24" t="n">
        <v>2</v>
      </c>
      <c r="F1000" s="24">
        <f>D1000*E1000</f>
        <v/>
      </c>
      <c r="G1000" s="22" t="n"/>
    </row>
    <row r="1001">
      <c r="A1001" s="8" t="inlineStr">
        <is>
          <t>Calculated W - SUM of the Amount column above</t>
        </is>
      </c>
      <c r="B1001" s="9" t="n"/>
      <c r="C1001" s="9" t="n"/>
      <c r="D1001" s="9" t="n"/>
      <c r="E1001" s="9" t="n"/>
      <c r="F1001" s="25">
        <f>SUM(F992:F1000)</f>
        <v/>
      </c>
      <c r="G1001" s="9" t="n"/>
    </row>
    <row r="1002">
      <c r="A1002" s="26" t="inlineStr">
        <is>
          <t>W as printed in the DAR</t>
        </is>
      </c>
      <c r="B1002" s="22" t="n"/>
      <c r="C1002" s="22" t="n"/>
      <c r="D1002" s="22" t="n"/>
      <c r="E1002" s="22" t="n"/>
      <c r="F1002" s="27" t="n">
        <v>16915.02</v>
      </c>
      <c r="G1002" s="22" t="n"/>
    </row>
    <row r="1003">
      <c r="A1003" s="26" t="inlineStr">
        <is>
          <t>Difference (calculated - printed)</t>
        </is>
      </c>
      <c r="B1003" s="22" t="n"/>
      <c r="C1003" s="22" t="n"/>
      <c r="D1003" s="22" t="n"/>
      <c r="E1003" s="22" t="n"/>
      <c r="F1003" s="27">
        <f>F1001-F1002</f>
        <v/>
      </c>
      <c r="G1003" s="22" t="n"/>
    </row>
    <row r="1004">
      <c r="A1004" s="29" t="inlineStr">
        <is>
          <t>SAY (Rs.) - final DAR rate as printed (fixed value, not computed)</t>
        </is>
      </c>
      <c r="B1004" s="30" t="n"/>
      <c r="C1004" s="30" t="n"/>
      <c r="D1004" s="30" t="n"/>
      <c r="E1004" s="30" t="n"/>
      <c r="F1004" s="31" t="n">
        <v>2263.1</v>
      </c>
      <c r="G1004" s="30" t="n"/>
    </row>
  </sheetData>
  <mergeCells count="381">
    <mergeCell ref="B293:G293"/>
    <mergeCell ref="A319:E319"/>
    <mergeCell ref="B322:G322"/>
    <mergeCell ref="A490:E490"/>
    <mergeCell ref="B818:G818"/>
    <mergeCell ref="A429:E429"/>
    <mergeCell ref="B217:G217"/>
    <mergeCell ref="A727:E727"/>
    <mergeCell ref="A963:E963"/>
    <mergeCell ref="A640:E640"/>
    <mergeCell ref="A729:E729"/>
    <mergeCell ref="A210:E210"/>
    <mergeCell ref="A1002:E1002"/>
    <mergeCell ref="A185:E185"/>
    <mergeCell ref="A793:E793"/>
    <mergeCell ref="A768:E768"/>
    <mergeCell ref="A1004:E1004"/>
    <mergeCell ref="A855:G855"/>
    <mergeCell ref="A136:G136"/>
    <mergeCell ref="A192:G192"/>
    <mergeCell ref="A63:E63"/>
    <mergeCell ref="A770:E770"/>
    <mergeCell ref="A941:E941"/>
    <mergeCell ref="A130:E130"/>
    <mergeCell ref="B670:G670"/>
    <mergeCell ref="A915:E915"/>
    <mergeCell ref="A132:E132"/>
    <mergeCell ref="A430:E430"/>
    <mergeCell ref="A982:E982"/>
    <mergeCell ref="B243:G243"/>
    <mergeCell ref="A488:E488"/>
    <mergeCell ref="B436:G436"/>
    <mergeCell ref="B599:G599"/>
    <mergeCell ref="A352:G352"/>
    <mergeCell ref="A270:G270"/>
    <mergeCell ref="A717:E717"/>
    <mergeCell ref="A264:E264"/>
    <mergeCell ref="A667:E667"/>
    <mergeCell ref="A1:G1"/>
    <mergeCell ref="A576:G576"/>
    <mergeCell ref="A719:E719"/>
    <mergeCell ref="A748:E748"/>
    <mergeCell ref="B154:G154"/>
    <mergeCell ref="B625:G625"/>
    <mergeCell ref="A38:E38"/>
    <mergeCell ref="A645:G645"/>
    <mergeCell ref="A372:E372"/>
    <mergeCell ref="A814:E814"/>
    <mergeCell ref="A432:E432"/>
    <mergeCell ref="A730:E730"/>
    <mergeCell ref="A966:E966"/>
    <mergeCell ref="A40:E40"/>
    <mergeCell ref="A211:E211"/>
    <mergeCell ref="A186:E186"/>
    <mergeCell ref="B547:G547"/>
    <mergeCell ref="A550:G550"/>
    <mergeCell ref="A957:G957"/>
    <mergeCell ref="A798:G798"/>
    <mergeCell ref="A865:E865"/>
    <mergeCell ref="A437:G437"/>
    <mergeCell ref="B80:G80"/>
    <mergeCell ref="B378:G378"/>
    <mergeCell ref="B549:G549"/>
    <mergeCell ref="B742:G742"/>
    <mergeCell ref="B918:G918"/>
    <mergeCell ref="B79:G79"/>
    <mergeCell ref="B905:G905"/>
    <mergeCell ref="A489:E489"/>
    <mergeCell ref="A160:E160"/>
    <mergeCell ref="B242:G242"/>
    <mergeCell ref="B600:G600"/>
    <mergeCell ref="B671:G671"/>
    <mergeCell ref="B836:G836"/>
    <mergeCell ref="B969:G969"/>
    <mergeCell ref="A862:E862"/>
    <mergeCell ref="A849:E849"/>
    <mergeCell ref="A288:E288"/>
    <mergeCell ref="A791:E791"/>
    <mergeCell ref="A734:G734"/>
    <mergeCell ref="A81:G81"/>
    <mergeCell ref="A907:G907"/>
    <mergeCell ref="B697:G697"/>
    <mergeCell ref="B933:G933"/>
    <mergeCell ref="B989:G989"/>
    <mergeCell ref="A346:E346"/>
    <mergeCell ref="A517:E517"/>
    <mergeCell ref="B854:G854"/>
    <mergeCell ref="A971:G971"/>
    <mergeCell ref="A41:E41"/>
    <mergeCell ref="A212:E212"/>
    <mergeCell ref="A519:E519"/>
    <mergeCell ref="A375:E375"/>
    <mergeCell ref="A944:E944"/>
    <mergeCell ref="A762:G762"/>
    <mergeCell ref="A650:E650"/>
    <mergeCell ref="A99:G99"/>
    <mergeCell ref="B54:G54"/>
    <mergeCell ref="B321:G321"/>
    <mergeCell ref="A626:G626"/>
    <mergeCell ref="B323:G323"/>
    <mergeCell ref="B906:G906"/>
    <mergeCell ref="A739:E739"/>
    <mergeCell ref="A728:E728"/>
    <mergeCell ref="A65:E65"/>
    <mergeCell ref="A792:E792"/>
    <mergeCell ref="A990:G990"/>
    <mergeCell ref="A571:E571"/>
    <mergeCell ref="B463:G463"/>
    <mergeCell ref="A45:G45"/>
    <mergeCell ref="A218:G218"/>
    <mergeCell ref="B165:G165"/>
    <mergeCell ref="B634:G634"/>
    <mergeCell ref="A460:E460"/>
    <mergeCell ref="B115:G115"/>
    <mergeCell ref="B919:G919"/>
    <mergeCell ref="A889:E889"/>
    <mergeCell ref="A93:E93"/>
    <mergeCell ref="A518:E518"/>
    <mergeCell ref="A747:E747"/>
    <mergeCell ref="B573:G573"/>
    <mergeCell ref="A983:E983"/>
    <mergeCell ref="A244:G244"/>
    <mergeCell ref="A691:E691"/>
    <mergeCell ref="B191:G191"/>
    <mergeCell ref="B349:G349"/>
    <mergeCell ref="A75:E75"/>
    <mergeCell ref="A166:G166"/>
    <mergeCell ref="A317:E317"/>
    <mergeCell ref="A749:E749"/>
    <mergeCell ref="A596:E596"/>
    <mergeCell ref="A767:E767"/>
    <mergeCell ref="B987:G987"/>
    <mergeCell ref="A175:E175"/>
    <mergeCell ref="A813:E813"/>
    <mergeCell ref="A831:E831"/>
    <mergeCell ref="A631:E631"/>
    <mergeCell ref="A902:E902"/>
    <mergeCell ref="A815:E815"/>
    <mergeCell ref="A597:E597"/>
    <mergeCell ref="A833:E833"/>
    <mergeCell ref="A621:E621"/>
    <mergeCell ref="A289:E289"/>
    <mergeCell ref="A524:G524"/>
    <mergeCell ref="B548:G548"/>
    <mergeCell ref="B464:G464"/>
    <mergeCell ref="B644:G644"/>
    <mergeCell ref="B116:G116"/>
    <mergeCell ref="A172:E172"/>
    <mergeCell ref="B574:G574"/>
    <mergeCell ref="A236:E236"/>
    <mergeCell ref="A984:E984"/>
    <mergeCell ref="B55:G55"/>
    <mergeCell ref="A890:E890"/>
    <mergeCell ref="A408:G408"/>
    <mergeCell ref="B134:G134"/>
    <mergeCell ref="B492:G492"/>
    <mergeCell ref="A20:E20"/>
    <mergeCell ref="A318:E318"/>
    <mergeCell ref="A112:E112"/>
    <mergeCell ref="B494:G494"/>
    <mergeCell ref="B294:G294"/>
    <mergeCell ref="B350:G350"/>
    <mergeCell ref="B465:G465"/>
    <mergeCell ref="B521:G521"/>
    <mergeCell ref="B932:G932"/>
    <mergeCell ref="A347:E347"/>
    <mergeCell ref="A648:E648"/>
    <mergeCell ref="A64:E64"/>
    <mergeCell ref="A952:E952"/>
    <mergeCell ref="B523:G523"/>
    <mergeCell ref="A51:E51"/>
    <mergeCell ref="A816:E816"/>
    <mergeCell ref="A620:E620"/>
    <mergeCell ref="B892:G892"/>
    <mergeCell ref="B867:G867"/>
    <mergeCell ref="A649:E649"/>
    <mergeCell ref="A894:G894"/>
    <mergeCell ref="A930:E930"/>
    <mergeCell ref="B241:G241"/>
    <mergeCell ref="B434:G434"/>
    <mergeCell ref="B216:G216"/>
    <mergeCell ref="B968:G968"/>
    <mergeCell ref="B772:G772"/>
    <mergeCell ref="A738:E738"/>
    <mergeCell ref="B522:G522"/>
    <mergeCell ref="A542:E542"/>
    <mergeCell ref="A852:E852"/>
    <mergeCell ref="B774:G774"/>
    <mergeCell ref="B190:G190"/>
    <mergeCell ref="A62:E62"/>
    <mergeCell ref="A262:E262"/>
    <mergeCell ref="A544:E544"/>
    <mergeCell ref="A344:E344"/>
    <mergeCell ref="A642:E642"/>
    <mergeCell ref="A927:E927"/>
    <mergeCell ref="A39:E39"/>
    <mergeCell ref="A402:E402"/>
    <mergeCell ref="A595:E595"/>
    <mergeCell ref="A324:G324"/>
    <mergeCell ref="A495:G495"/>
    <mergeCell ref="A68:G68"/>
    <mergeCell ref="A117:G117"/>
    <mergeCell ref="A724:G724"/>
    <mergeCell ref="B379:G379"/>
    <mergeCell ref="A718:E718"/>
    <mergeCell ref="A954:E954"/>
    <mergeCell ref="B956:G956"/>
    <mergeCell ref="A720:E720"/>
    <mergeCell ref="A21:E21"/>
    <mergeCell ref="A113:E113"/>
    <mergeCell ref="B5:G5"/>
    <mergeCell ref="B722:G722"/>
    <mergeCell ref="B893:G893"/>
    <mergeCell ref="A129:E129"/>
    <mergeCell ref="A131:E131"/>
    <mergeCell ref="A52:E52"/>
    <mergeCell ref="A665:E665"/>
    <mergeCell ref="B215:G215"/>
    <mergeCell ref="B819:G819"/>
    <mergeCell ref="A568:E568"/>
    <mergeCell ref="A639:E639"/>
    <mergeCell ref="B23:G23"/>
    <mergeCell ref="A49:E49"/>
    <mergeCell ref="B946:G946"/>
    <mergeCell ref="A570:E570"/>
    <mergeCell ref="A668:E668"/>
    <mergeCell ref="B761:G761"/>
    <mergeCell ref="A943:E943"/>
    <mergeCell ref="B837:G837"/>
    <mergeCell ref="A863:E863"/>
    <mergeCell ref="A265:E265"/>
    <mergeCell ref="A654:G654"/>
    <mergeCell ref="B601:G601"/>
    <mergeCell ref="B732:G732"/>
    <mergeCell ref="A850:E850"/>
    <mergeCell ref="A431:E431"/>
    <mergeCell ref="A629:E629"/>
    <mergeCell ref="A380:G380"/>
    <mergeCell ref="B377:G377"/>
    <mergeCell ref="A743:G743"/>
    <mergeCell ref="A672:G672"/>
    <mergeCell ref="A149:E149"/>
    <mergeCell ref="B24:G24"/>
    <mergeCell ref="A50:E50"/>
    <mergeCell ref="A6:G6"/>
    <mergeCell ref="A213:E213"/>
    <mergeCell ref="A151:E151"/>
    <mergeCell ref="A887:E887"/>
    <mergeCell ref="B97:G97"/>
    <mergeCell ref="B153:G153"/>
    <mergeCell ref="B268:G268"/>
    <mergeCell ref="A150:E150"/>
    <mergeCell ref="A951:E951"/>
    <mergeCell ref="A373:E373"/>
    <mergeCell ref="A698:G698"/>
    <mergeCell ref="A953:E953"/>
    <mergeCell ref="A868:G868"/>
    <mergeCell ref="A291:E291"/>
    <mergeCell ref="B44:G44"/>
    <mergeCell ref="B988:G988"/>
    <mergeCell ref="B733:G733"/>
    <mergeCell ref="A737:E737"/>
    <mergeCell ref="A864:E864"/>
    <mergeCell ref="A74:E74"/>
    <mergeCell ref="A851:E851"/>
    <mergeCell ref="A630:E630"/>
    <mergeCell ref="A666:E666"/>
    <mergeCell ref="A964:E964"/>
    <mergeCell ref="A76:E76"/>
    <mergeCell ref="A374:E374"/>
    <mergeCell ref="A753:G753"/>
    <mergeCell ref="B970:G970"/>
    <mergeCell ref="B635:G635"/>
    <mergeCell ref="A790:E790"/>
    <mergeCell ref="A56:G56"/>
    <mergeCell ref="A740:E740"/>
    <mergeCell ref="A913:E913"/>
    <mergeCell ref="A92:E92"/>
    <mergeCell ref="A692:E692"/>
    <mergeCell ref="B98:G98"/>
    <mergeCell ref="A757:E757"/>
    <mergeCell ref="A928:E928"/>
    <mergeCell ref="A94:E94"/>
    <mergeCell ref="A458:E458"/>
    <mergeCell ref="A623:E623"/>
    <mergeCell ref="A756:E756"/>
    <mergeCell ref="A694:E694"/>
    <mergeCell ref="A750:E750"/>
    <mergeCell ref="B267:G267"/>
    <mergeCell ref="B795:G795"/>
    <mergeCell ref="A466:G466"/>
    <mergeCell ref="B696:G696"/>
    <mergeCell ref="A345:E345"/>
    <mergeCell ref="A316:E316"/>
    <mergeCell ref="A516:E516"/>
    <mergeCell ref="B269:G269"/>
    <mergeCell ref="B752:G752"/>
    <mergeCell ref="A296:G296"/>
    <mergeCell ref="B189:G189"/>
    <mergeCell ref="B493:G493"/>
    <mergeCell ref="A641:E641"/>
    <mergeCell ref="A834:E834"/>
    <mergeCell ref="B351:G351"/>
    <mergeCell ref="A184:E184"/>
    <mergeCell ref="B295:G295"/>
    <mergeCell ref="A901:E901"/>
    <mergeCell ref="A594:E594"/>
    <mergeCell ref="A569:E569"/>
    <mergeCell ref="A173:E173"/>
    <mergeCell ref="A400:E400"/>
    <mergeCell ref="A965:E965"/>
    <mergeCell ref="A77:E77"/>
    <mergeCell ref="A769:E769"/>
    <mergeCell ref="A148:E148"/>
    <mergeCell ref="A903:E903"/>
    <mergeCell ref="A155:G155"/>
    <mergeCell ref="A820:G820"/>
    <mergeCell ref="B177:G177"/>
    <mergeCell ref="A758:E758"/>
    <mergeCell ref="B164:G164"/>
    <mergeCell ref="B406:G406"/>
    <mergeCell ref="A239:E239"/>
    <mergeCell ref="A95:E95"/>
    <mergeCell ref="B796:G796"/>
    <mergeCell ref="A651:E651"/>
    <mergeCell ref="B575:G575"/>
    <mergeCell ref="A159:E159"/>
    <mergeCell ref="A985:E985"/>
    <mergeCell ref="A290:E290"/>
    <mergeCell ref="A759:E759"/>
    <mergeCell ref="A693:E693"/>
    <mergeCell ref="A602:G602"/>
    <mergeCell ref="A916:E916"/>
    <mergeCell ref="A161:E161"/>
    <mergeCell ref="A459:E459"/>
    <mergeCell ref="A838:G838"/>
    <mergeCell ref="A775:G775"/>
    <mergeCell ref="B67:G67"/>
    <mergeCell ref="A900:E900"/>
    <mergeCell ref="A110:E110"/>
    <mergeCell ref="B653:G653"/>
    <mergeCell ref="A237:E237"/>
    <mergeCell ref="A942:E942"/>
    <mergeCell ref="A187:E187"/>
    <mergeCell ref="A929:E929"/>
    <mergeCell ref="A174:E174"/>
    <mergeCell ref="A914:E914"/>
    <mergeCell ref="A18:E18"/>
    <mergeCell ref="A487:E487"/>
    <mergeCell ref="A238:E238"/>
    <mergeCell ref="B773:G773"/>
    <mergeCell ref="A920:G920"/>
    <mergeCell ref="A25:G25"/>
    <mergeCell ref="A263:E263"/>
    <mergeCell ref="A401:E401"/>
    <mergeCell ref="A636:G636"/>
    <mergeCell ref="A934:G934"/>
    <mergeCell ref="A2:G2"/>
    <mergeCell ref="B43:G43"/>
    <mergeCell ref="A403:E403"/>
    <mergeCell ref="B797:G797"/>
    <mergeCell ref="A832:E832"/>
    <mergeCell ref="A888:E888"/>
    <mergeCell ref="B405:G405"/>
    <mergeCell ref="A1003:E1003"/>
    <mergeCell ref="A461:E461"/>
    <mergeCell ref="A632:E632"/>
    <mergeCell ref="A1001:E1001"/>
    <mergeCell ref="B407:G407"/>
    <mergeCell ref="A162:E162"/>
    <mergeCell ref="A178:G178"/>
    <mergeCell ref="B723:G723"/>
    <mergeCell ref="A543:E543"/>
    <mergeCell ref="B4:G4"/>
    <mergeCell ref="B135:G135"/>
    <mergeCell ref="A947:G947"/>
    <mergeCell ref="A545:E545"/>
    <mergeCell ref="A622:E622"/>
    <mergeCell ref="B435:G435"/>
    <mergeCell ref="A19:E19"/>
    <mergeCell ref="A111:E111"/>
  </mergeCells>
  <conditionalFormatting sqref="F20 F40 F51 F64 F76 F94 F112 F131 F150 F161 F174 F186 F212 F238 F264 F290 F318 F346 F374 F402 F431 F460 F489 F518 F544 F570 F596 F622 F631 F641 F650 F667 F693 F719 F729 F739 F749 F758 F769 F792 F815 F833 F851 F864 F889 F902 F915 F929 F943 F953 F965 F984 F1003">
    <cfRule type="cellIs" priority="1" operator="notBetween" dxfId="0">
      <formula>-0.05</formula>
      <formula>0.05</formula>
    </cfRule>
  </conditionalFormatting>
  <hyperlinks>
    <hyperlink xmlns:r="http://schemas.openxmlformats.org/officeDocument/2006/relationships" ref="A11" r:id="rId1"/>
    <hyperlink xmlns:r="http://schemas.openxmlformats.org/officeDocument/2006/relationships" ref="A30" r:id="rId2"/>
    <hyperlink xmlns:r="http://schemas.openxmlformats.org/officeDocument/2006/relationships" ref="A83" r:id="rId3"/>
    <hyperlink xmlns:r="http://schemas.openxmlformats.org/officeDocument/2006/relationships" ref="A101" r:id="rId4"/>
    <hyperlink xmlns:r="http://schemas.openxmlformats.org/officeDocument/2006/relationships" ref="A119" r:id="rId5"/>
    <hyperlink xmlns:r="http://schemas.openxmlformats.org/officeDocument/2006/relationships" ref="A138" r:id="rId6"/>
    <hyperlink xmlns:r="http://schemas.openxmlformats.org/officeDocument/2006/relationships" ref="A664" r:id="rId7"/>
    <hyperlink xmlns:r="http://schemas.openxmlformats.org/officeDocument/2006/relationships" ref="A766" r:id="rId8"/>
    <hyperlink xmlns:r="http://schemas.openxmlformats.org/officeDocument/2006/relationships" ref="A782" r:id="rId9"/>
    <hyperlink xmlns:r="http://schemas.openxmlformats.org/officeDocument/2006/relationships" ref="A789" r:id="rId10"/>
    <hyperlink xmlns:r="http://schemas.openxmlformats.org/officeDocument/2006/relationships" ref="A805" r:id="rId11"/>
    <hyperlink xmlns:r="http://schemas.openxmlformats.org/officeDocument/2006/relationships" ref="A812" r:id="rId12"/>
    <hyperlink xmlns:r="http://schemas.openxmlformats.org/officeDocument/2006/relationships" ref="A896" r:id="rId13"/>
    <hyperlink xmlns:r="http://schemas.openxmlformats.org/officeDocument/2006/relationships" ref="A909" r:id="rId14"/>
    <hyperlink xmlns:r="http://schemas.openxmlformats.org/officeDocument/2006/relationships" ref="A975" r:id="rId15"/>
    <hyperlink xmlns:r="http://schemas.openxmlformats.org/officeDocument/2006/relationships" ref="A994"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4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08: CLADDING WORK</t>
        </is>
      </c>
    </row>
    <row r="2" ht="28" customHeight="1">
      <c r="A2" s="16" t="inlineStr">
        <is>
          <t>71 priced items. Amount and Calculated W are live Excel formulas (Quantity x Rate, SUM); the printed W and SAY are the DAR's own figures. Edit any Quantity or Rate and the item's calculated W recalculates.</t>
        </is>
      </c>
    </row>
    <row r="4" ht="62" customHeight="1">
      <c r="A4" s="8" t="inlineStr">
        <is>
          <t>8.1</t>
        </is>
      </c>
      <c r="B4" s="17"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t>
        </is>
      </c>
      <c r="C4" s="9" t="n"/>
      <c r="D4" s="9" t="n"/>
      <c r="E4" s="9" t="n"/>
      <c r="F4" s="9" t="n"/>
      <c r="G4" s="9" t="n"/>
    </row>
    <row r="5" ht="18.5" customHeight="1">
      <c r="A5" s="8" t="inlineStr">
        <is>
          <t>8.1.1</t>
        </is>
      </c>
      <c r="B5" s="17" t="inlineStr">
        <is>
          <t>Raj Nagar Plain white marble/ Udaipur green marble/ Zebra black marble.</t>
        </is>
      </c>
      <c r="C5" s="9" t="n"/>
      <c r="D5" s="9" t="n"/>
      <c r="E5" s="9" t="n"/>
      <c r="F5" s="9" t="n"/>
      <c r="G5" s="9" t="n"/>
    </row>
    <row r="6" ht="18.5" customHeight="1">
      <c r="A6" s="18" t="inlineStr">
        <is>
          <t>8.1.1.1</t>
        </is>
      </c>
      <c r="B6" s="19" t="inlineStr">
        <is>
          <t>Area of slab upto 0.50 sqm</t>
        </is>
      </c>
      <c r="C6" s="20" t="n"/>
      <c r="D6" s="20" t="n"/>
      <c r="E6" s="20" t="n"/>
      <c r="F6" s="20" t="n"/>
      <c r="G6" s="20" t="n"/>
    </row>
    <row r="7">
      <c r="A7" s="21" t="inlineStr">
        <is>
          <t>Details of cost for 0.5 sqm   |   Source: CivilDAR_2019_Vol_1.pdf, page 368</t>
        </is>
      </c>
    </row>
    <row r="8">
      <c r="A8" s="5" t="inlineStr">
        <is>
          <t>Code</t>
        </is>
      </c>
      <c r="B8" s="5" t="inlineStr">
        <is>
          <t>Description</t>
        </is>
      </c>
      <c r="C8" s="5" t="inlineStr">
        <is>
          <t>Unit</t>
        </is>
      </c>
      <c r="D8" s="5" t="inlineStr">
        <is>
          <t>Quantity</t>
        </is>
      </c>
      <c r="E8" s="5" t="inlineStr">
        <is>
          <t>Rate (Rs.)</t>
        </is>
      </c>
      <c r="F8" s="5" t="inlineStr">
        <is>
          <t>Amount (Rs.)</t>
        </is>
      </c>
      <c r="G8" s="5" t="inlineStr">
        <is>
          <t>Note</t>
        </is>
      </c>
    </row>
    <row r="9">
      <c r="A9" s="22" t="inlineStr">
        <is>
          <t>7452</t>
        </is>
      </c>
      <c r="B9" s="11" t="inlineStr">
        <is>
          <t>Raj nagar plain white marble (table rubbed and polished) 18 mm thick (slab area upto 0.50 sqm)</t>
        </is>
      </c>
      <c r="C9" s="22" t="inlineStr">
        <is>
          <t>sqm</t>
        </is>
      </c>
      <c r="D9" s="23" t="n">
        <v>0.6</v>
      </c>
      <c r="E9" s="24" t="n">
        <v>575</v>
      </c>
      <c r="F9" s="24">
        <f>D9*E9</f>
        <v/>
      </c>
      <c r="G9" s="22" t="n"/>
    </row>
    <row r="10">
      <c r="A10" s="22" t="inlineStr">
        <is>
          <t>2216</t>
        </is>
      </c>
      <c r="B10" s="11" t="inlineStr">
        <is>
          <t>Carriage of Stone blocks white &amp; red sand stone &amp; kota stone slab</t>
        </is>
      </c>
      <c r="C10" s="22" t="inlineStr">
        <is>
          <t>tonne</t>
        </is>
      </c>
      <c r="D10" s="23" t="n">
        <v>0.03</v>
      </c>
      <c r="E10" s="24" t="n">
        <v>92.23999999999999</v>
      </c>
      <c r="F10" s="24">
        <f>D10*E10</f>
        <v/>
      </c>
      <c r="G10" s="22" t="n"/>
    </row>
    <row r="11">
      <c r="A11" s="7" t="inlineStr">
        <is>
          <t>3.8</t>
        </is>
      </c>
      <c r="B11" s="11" t="inlineStr">
        <is>
          <t>Rate as per item 3.8 - Cement mortar 1:3 (1 cement : 3 coarse sand)</t>
        </is>
      </c>
      <c r="C11" s="22" t="inlineStr">
        <is>
          <t>cum</t>
        </is>
      </c>
      <c r="D11" s="23" t="n">
        <v>0.008</v>
      </c>
      <c r="E11" s="24" t="n">
        <v>4664.55</v>
      </c>
      <c r="F11" s="24">
        <f>D11*E11</f>
        <v/>
      </c>
      <c r="G11" s="22" t="n"/>
    </row>
    <row r="12">
      <c r="A12" s="7" t="inlineStr">
        <is>
          <t>3.15</t>
        </is>
      </c>
      <c r="B12" s="11" t="inlineStr">
        <is>
          <t>Rate as per item 3.15 - White cement mortar 1:2 (1 white cement : 2 marble dust)</t>
        </is>
      </c>
      <c r="C12" s="22" t="inlineStr">
        <is>
          <t>cum</t>
        </is>
      </c>
      <c r="D12" s="23" t="n">
        <v>0.0012</v>
      </c>
      <c r="E12" s="24" t="n">
        <v>9393.35</v>
      </c>
      <c r="F12" s="24">
        <f>D12*E12</f>
        <v/>
      </c>
      <c r="G12" s="22" t="n"/>
    </row>
    <row r="13">
      <c r="A13" s="22" t="inlineStr">
        <is>
          <t>0126</t>
        </is>
      </c>
      <c r="B13" s="11" t="inlineStr">
        <is>
          <t>Mason (for ornamental stone work) 1st class</t>
        </is>
      </c>
      <c r="C13" s="22" t="inlineStr">
        <is>
          <t>day</t>
        </is>
      </c>
      <c r="D13" s="23" t="n">
        <v>0.335</v>
      </c>
      <c r="E13" s="24" t="n">
        <v>738</v>
      </c>
      <c r="F13" s="24">
        <f>D13*E13</f>
        <v/>
      </c>
      <c r="G13" s="22" t="n"/>
    </row>
    <row r="14">
      <c r="A14" s="22" t="inlineStr">
        <is>
          <t>0100</t>
        </is>
      </c>
      <c r="B14" s="11" t="inlineStr">
        <is>
          <t>Bandhani</t>
        </is>
      </c>
      <c r="C14" s="22" t="inlineStr">
        <is>
          <t>day</t>
        </is>
      </c>
      <c r="D14" s="23" t="n">
        <v>0.335</v>
      </c>
      <c r="E14" s="24" t="n">
        <v>617</v>
      </c>
      <c r="F14" s="24">
        <f>D14*E14</f>
        <v/>
      </c>
      <c r="G14" s="22" t="n"/>
    </row>
    <row r="15">
      <c r="A15" s="22" t="inlineStr">
        <is>
          <t>0114</t>
        </is>
      </c>
      <c r="B15" s="11" t="inlineStr">
        <is>
          <t>Beldar</t>
        </is>
      </c>
      <c r="C15" s="22" t="inlineStr">
        <is>
          <t>day</t>
        </is>
      </c>
      <c r="D15" s="23" t="n">
        <v>0.335</v>
      </c>
      <c r="E15" s="24" t="n">
        <v>558</v>
      </c>
      <c r="F15" s="24">
        <f>D15*E15</f>
        <v/>
      </c>
      <c r="G15" s="22" t="n"/>
    </row>
    <row r="16">
      <c r="A16" s="22" t="inlineStr">
        <is>
          <t>0115</t>
        </is>
      </c>
      <c r="B16" s="11" t="inlineStr">
        <is>
          <t>Coolie</t>
        </is>
      </c>
      <c r="C16" s="22" t="inlineStr">
        <is>
          <t>day</t>
        </is>
      </c>
      <c r="D16" s="23" t="n">
        <v>0.335</v>
      </c>
      <c r="E16" s="24" t="n">
        <v>558</v>
      </c>
      <c r="F16" s="24">
        <f>D16*E16</f>
        <v/>
      </c>
      <c r="G16" s="22" t="n"/>
    </row>
    <row r="17">
      <c r="A17" s="22" t="inlineStr">
        <is>
          <t>0101</t>
        </is>
      </c>
      <c r="B17" s="11" t="inlineStr">
        <is>
          <t>Bhisti</t>
        </is>
      </c>
      <c r="C17" s="22" t="inlineStr">
        <is>
          <t>day</t>
        </is>
      </c>
      <c r="D17" s="23" t="n">
        <v>0.335</v>
      </c>
      <c r="E17" s="24" t="n">
        <v>617</v>
      </c>
      <c r="F17" s="24">
        <f>D17*E17</f>
        <v/>
      </c>
      <c r="G17" s="22" t="n"/>
    </row>
    <row r="18">
      <c r="A18" s="22" t="inlineStr">
        <is>
          <t>0128</t>
        </is>
      </c>
      <c r="B18" s="11" t="inlineStr">
        <is>
          <t>Mate</t>
        </is>
      </c>
      <c r="C18" s="22" t="inlineStr">
        <is>
          <t>day</t>
        </is>
      </c>
      <c r="D18" s="23" t="n">
        <v>0.165</v>
      </c>
      <c r="E18" s="24" t="n">
        <v>617</v>
      </c>
      <c r="F18" s="24">
        <f>D18*E18</f>
        <v/>
      </c>
      <c r="G18" s="22" t="n"/>
    </row>
    <row r="19">
      <c r="A19" s="22" t="inlineStr">
        <is>
          <t>0102</t>
        </is>
      </c>
      <c r="B19" s="11" t="inlineStr">
        <is>
          <t>Blacksmith 1st class</t>
        </is>
      </c>
      <c r="C19" s="22" t="inlineStr">
        <is>
          <t>day</t>
        </is>
      </c>
      <c r="D19" s="23" t="n">
        <v>0.135</v>
      </c>
      <c r="E19" s="24" t="n">
        <v>738</v>
      </c>
      <c r="F19" s="24">
        <f>D19*E19</f>
        <v/>
      </c>
      <c r="G19" s="22" t="n"/>
    </row>
    <row r="20">
      <c r="A20" s="22" t="inlineStr">
        <is>
          <t>9999</t>
        </is>
      </c>
      <c r="B20" s="11" t="inlineStr">
        <is>
          <t>Scaffolding</t>
        </is>
      </c>
      <c r="C20" s="22" t="inlineStr">
        <is>
          <t>L.S.</t>
        </is>
      </c>
      <c r="D20" s="23" t="n">
        <v>13.39</v>
      </c>
      <c r="E20" s="24" t="n">
        <v>2</v>
      </c>
      <c r="F20" s="24">
        <f>D20*E20</f>
        <v/>
      </c>
      <c r="G20" s="22" t="n"/>
    </row>
    <row r="21">
      <c r="A21" s="8" t="inlineStr">
        <is>
          <t>Calculated W - SUM of the Amount column above</t>
        </is>
      </c>
      <c r="B21" s="9" t="n"/>
      <c r="C21" s="9" t="n"/>
      <c r="D21" s="9" t="n"/>
      <c r="E21" s="9" t="n"/>
      <c r="F21" s="25">
        <f>SUM(F9:F20)</f>
        <v/>
      </c>
      <c r="G21" s="9" t="n"/>
    </row>
    <row r="22">
      <c r="A22" s="26" t="inlineStr">
        <is>
          <t>W as printed in the DAR</t>
        </is>
      </c>
      <c r="B22" s="22" t="n"/>
      <c r="C22" s="22" t="n"/>
      <c r="D22" s="22" t="n"/>
      <c r="E22" s="22" t="n"/>
      <c r="F22" s="27" t="n">
        <v>1659.05</v>
      </c>
      <c r="G22" s="22" t="n"/>
    </row>
    <row r="23">
      <c r="A23" s="26" t="inlineStr">
        <is>
          <t>Difference (calculated - printed)</t>
        </is>
      </c>
      <c r="B23" s="22" t="n"/>
      <c r="C23" s="22" t="n"/>
      <c r="D23" s="22" t="n"/>
      <c r="E23" s="22" t="n"/>
      <c r="F23" s="27">
        <f>F21-F22</f>
        <v/>
      </c>
      <c r="G23" s="22" t="n"/>
    </row>
    <row r="24">
      <c r="A24" s="29" t="inlineStr">
        <is>
          <t>SAY (Rs.) - final DAR rate as printed (fixed value, not computed)</t>
        </is>
      </c>
      <c r="B24" s="30" t="n"/>
      <c r="C24" s="30" t="n"/>
      <c r="D24" s="30" t="n"/>
      <c r="E24" s="30" t="n"/>
      <c r="F24" s="31" t="n">
        <v>4439.4</v>
      </c>
      <c r="G24" s="30" t="n"/>
    </row>
    <row r="26" ht="62" customHeight="1">
      <c r="A26" s="8" t="inlineStr">
        <is>
          <t>8.1</t>
        </is>
      </c>
      <c r="B26" s="17"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t>
        </is>
      </c>
      <c r="C26" s="9" t="n"/>
      <c r="D26" s="9" t="n"/>
      <c r="E26" s="9" t="n"/>
      <c r="F26" s="9" t="n"/>
      <c r="G26" s="9" t="n"/>
    </row>
    <row r="27" ht="18.5" customHeight="1">
      <c r="A27" s="8" t="inlineStr">
        <is>
          <t>8.1.1</t>
        </is>
      </c>
      <c r="B27" s="17" t="inlineStr">
        <is>
          <t>Raj Nagar Plain white marble/ Udaipur green marble/ Zebra black marble.</t>
        </is>
      </c>
      <c r="C27" s="9" t="n"/>
      <c r="D27" s="9" t="n"/>
      <c r="E27" s="9" t="n"/>
      <c r="F27" s="9" t="n"/>
      <c r="G27" s="9" t="n"/>
    </row>
    <row r="28" ht="18.5" customHeight="1">
      <c r="A28" s="18" t="inlineStr">
        <is>
          <t>8.1.1.2</t>
        </is>
      </c>
      <c r="B28" s="19" t="inlineStr">
        <is>
          <t>Area of slab over 0.50 sqm</t>
        </is>
      </c>
      <c r="C28" s="20" t="n"/>
      <c r="D28" s="20" t="n"/>
      <c r="E28" s="20" t="n"/>
      <c r="F28" s="20" t="n"/>
      <c r="G28" s="20" t="n"/>
    </row>
    <row r="29">
      <c r="A29" s="21" t="inlineStr">
        <is>
          <t>Details of cost for 1 sqm   |   Source: CivilDAR_2019_Vol_1.pdf, page 369</t>
        </is>
      </c>
    </row>
    <row r="30">
      <c r="A30" s="5" t="inlineStr">
        <is>
          <t>Code</t>
        </is>
      </c>
      <c r="B30" s="5" t="inlineStr">
        <is>
          <t>Description</t>
        </is>
      </c>
      <c r="C30" s="5" t="inlineStr">
        <is>
          <t>Unit</t>
        </is>
      </c>
      <c r="D30" s="5" t="inlineStr">
        <is>
          <t>Quantity</t>
        </is>
      </c>
      <c r="E30" s="5" t="inlineStr">
        <is>
          <t>Rate (Rs.)</t>
        </is>
      </c>
      <c r="F30" s="5" t="inlineStr">
        <is>
          <t>Amount (Rs.)</t>
        </is>
      </c>
      <c r="G30" s="5" t="inlineStr">
        <is>
          <t>Note</t>
        </is>
      </c>
    </row>
    <row r="31">
      <c r="A31" s="22" t="inlineStr">
        <is>
          <t>7453</t>
        </is>
      </c>
      <c r="B31" s="11" t="inlineStr">
        <is>
          <t>Raj nagar plain white marble (table rubbed and polished) 18 mm thick (slab area more than 0.50 sqm)</t>
        </is>
      </c>
      <c r="C31" s="22" t="inlineStr">
        <is>
          <t>sqm</t>
        </is>
      </c>
      <c r="D31" s="23" t="n">
        <v>1.2</v>
      </c>
      <c r="E31" s="24" t="n">
        <v>690</v>
      </c>
      <c r="F31" s="24">
        <f>D31*E31</f>
        <v/>
      </c>
      <c r="G31" s="22" t="n"/>
    </row>
    <row r="32">
      <c r="A32" s="22" t="inlineStr">
        <is>
          <t>2216</t>
        </is>
      </c>
      <c r="B32" s="11" t="inlineStr">
        <is>
          <t>Carriage of Stone blocks white &amp; red sand stone &amp; kota stone slab</t>
        </is>
      </c>
      <c r="C32" s="22" t="inlineStr">
        <is>
          <t>tonne</t>
        </is>
      </c>
      <c r="D32" s="23" t="n">
        <v>0.06</v>
      </c>
      <c r="E32" s="24" t="n">
        <v>92.23999999999999</v>
      </c>
      <c r="F32" s="24">
        <f>D32*E32</f>
        <v/>
      </c>
      <c r="G32" s="22" t="n"/>
    </row>
    <row r="33">
      <c r="A33" s="7" t="inlineStr">
        <is>
          <t>3.8</t>
        </is>
      </c>
      <c r="B33" s="11" t="inlineStr">
        <is>
          <t>Rate as per item 3.8 - Cement mortar 1:3 (1 cement : 3 coarse sand)</t>
        </is>
      </c>
      <c r="C33" s="22" t="inlineStr">
        <is>
          <t>cum</t>
        </is>
      </c>
      <c r="D33" s="23" t="n">
        <v>0.0144</v>
      </c>
      <c r="E33" s="24" t="n">
        <v>4664.55</v>
      </c>
      <c r="F33" s="24">
        <f>D33*E33</f>
        <v/>
      </c>
      <c r="G33" s="22" t="n"/>
    </row>
    <row r="34">
      <c r="A34" s="7" t="inlineStr">
        <is>
          <t>3.15</t>
        </is>
      </c>
      <c r="B34" s="11" t="inlineStr">
        <is>
          <t>Rate as per item 3.15 - White cement mortar 1:2 (1 white cement : 2 marble dust)</t>
        </is>
      </c>
      <c r="C34" s="22" t="inlineStr">
        <is>
          <t>cum</t>
        </is>
      </c>
      <c r="D34" s="23" t="n">
        <v>0.0025</v>
      </c>
      <c r="E34" s="24" t="n">
        <v>9393.35</v>
      </c>
      <c r="F34" s="24">
        <f>D34*E34</f>
        <v/>
      </c>
      <c r="G34" s="22" t="n"/>
    </row>
    <row r="35">
      <c r="A35" s="22" t="inlineStr">
        <is>
          <t>0126</t>
        </is>
      </c>
      <c r="B35" s="11" t="inlineStr">
        <is>
          <t>Mason (for ornamental stone work) 1st class</t>
        </is>
      </c>
      <c r="C35" s="22" t="inlineStr">
        <is>
          <t>day</t>
        </is>
      </c>
      <c r="D35" s="23" t="n">
        <v>0.67</v>
      </c>
      <c r="E35" s="24" t="n">
        <v>738</v>
      </c>
      <c r="F35" s="24">
        <f>D35*E35</f>
        <v/>
      </c>
      <c r="G35" s="22" t="n"/>
    </row>
    <row r="36">
      <c r="A36" s="22" t="inlineStr">
        <is>
          <t>0100</t>
        </is>
      </c>
      <c r="B36" s="11" t="inlineStr">
        <is>
          <t>Bandhani</t>
        </is>
      </c>
      <c r="C36" s="22" t="inlineStr">
        <is>
          <t>day</t>
        </is>
      </c>
      <c r="D36" s="23" t="n">
        <v>0.67</v>
      </c>
      <c r="E36" s="24" t="n">
        <v>617</v>
      </c>
      <c r="F36" s="24">
        <f>D36*E36</f>
        <v/>
      </c>
      <c r="G36" s="22" t="n"/>
    </row>
    <row r="37">
      <c r="A37" s="22" t="inlineStr">
        <is>
          <t>0114</t>
        </is>
      </c>
      <c r="B37" s="11" t="inlineStr">
        <is>
          <t>Beldar</t>
        </is>
      </c>
      <c r="C37" s="22" t="inlineStr">
        <is>
          <t>day</t>
        </is>
      </c>
      <c r="D37" s="23" t="n">
        <v>0.67</v>
      </c>
      <c r="E37" s="24" t="n">
        <v>558</v>
      </c>
      <c r="F37" s="24">
        <f>D37*E37</f>
        <v/>
      </c>
      <c r="G37" s="22" t="n"/>
    </row>
    <row r="38">
      <c r="A38" s="22" t="inlineStr">
        <is>
          <t>0115</t>
        </is>
      </c>
      <c r="B38" s="11" t="inlineStr">
        <is>
          <t>Coolie</t>
        </is>
      </c>
      <c r="C38" s="22" t="inlineStr">
        <is>
          <t>day</t>
        </is>
      </c>
      <c r="D38" s="23" t="n">
        <v>0.67</v>
      </c>
      <c r="E38" s="24" t="n">
        <v>558</v>
      </c>
      <c r="F38" s="24">
        <f>D38*E38</f>
        <v/>
      </c>
      <c r="G38" s="22" t="n"/>
    </row>
    <row r="39">
      <c r="A39" s="22" t="inlineStr">
        <is>
          <t>0101</t>
        </is>
      </c>
      <c r="B39" s="11" t="inlineStr">
        <is>
          <t>Bhisti</t>
        </is>
      </c>
      <c r="C39" s="22" t="inlineStr">
        <is>
          <t>day</t>
        </is>
      </c>
      <c r="D39" s="23" t="n">
        <v>0.67</v>
      </c>
      <c r="E39" s="24" t="n">
        <v>617</v>
      </c>
      <c r="F39" s="24">
        <f>D39*E39</f>
        <v/>
      </c>
      <c r="G39" s="22" t="n"/>
    </row>
    <row r="40">
      <c r="A40" s="22" t="inlineStr">
        <is>
          <t>0128</t>
        </is>
      </c>
      <c r="B40" s="11" t="inlineStr">
        <is>
          <t>Mate</t>
        </is>
      </c>
      <c r="C40" s="22" t="inlineStr">
        <is>
          <t>day</t>
        </is>
      </c>
      <c r="D40" s="23" t="n">
        <v>0.33</v>
      </c>
      <c r="E40" s="24" t="n">
        <v>617</v>
      </c>
      <c r="F40" s="24">
        <f>D40*E40</f>
        <v/>
      </c>
      <c r="G40" s="22" t="n"/>
    </row>
    <row r="41">
      <c r="A41" s="22" t="inlineStr">
        <is>
          <t>0102</t>
        </is>
      </c>
      <c r="B41" s="11" t="inlineStr">
        <is>
          <t>Blacksmith 1st class</t>
        </is>
      </c>
      <c r="C41" s="22" t="inlineStr">
        <is>
          <t>day</t>
        </is>
      </c>
      <c r="D41" s="23" t="n">
        <v>0.27</v>
      </c>
      <c r="E41" s="24" t="n">
        <v>738</v>
      </c>
      <c r="F41" s="24">
        <f>D41*E41</f>
        <v/>
      </c>
      <c r="G41" s="22" t="n"/>
    </row>
    <row r="42">
      <c r="A42" s="22" t="inlineStr">
        <is>
          <t>9999</t>
        </is>
      </c>
      <c r="B42" s="11" t="inlineStr">
        <is>
          <t>Scaffolding</t>
        </is>
      </c>
      <c r="C42" s="22" t="inlineStr">
        <is>
          <t>L.S.</t>
        </is>
      </c>
      <c r="D42" s="23" t="n">
        <v>26.91</v>
      </c>
      <c r="E42" s="24" t="n">
        <v>2</v>
      </c>
      <c r="F42" s="24">
        <f>D42*E42</f>
        <v/>
      </c>
      <c r="G42" s="22" t="n"/>
    </row>
    <row r="43">
      <c r="A43" s="8" t="inlineStr">
        <is>
          <t>Calculated W - SUM of the Amount column above</t>
        </is>
      </c>
      <c r="B43" s="9" t="n"/>
      <c r="C43" s="9" t="n"/>
      <c r="D43" s="9" t="n"/>
      <c r="E43" s="9" t="n"/>
      <c r="F43" s="25">
        <f>SUM(F31:F42)</f>
        <v/>
      </c>
      <c r="G43" s="9" t="n"/>
    </row>
    <row r="44">
      <c r="A44" s="26" t="inlineStr">
        <is>
          <t>W as printed in the DAR</t>
        </is>
      </c>
      <c r="B44" s="22" t="n"/>
      <c r="C44" s="22" t="n"/>
      <c r="D44" s="22" t="n"/>
      <c r="E44" s="22" t="n"/>
      <c r="F44" s="27" t="n">
        <v>3449.84</v>
      </c>
      <c r="G44" s="22" t="n"/>
    </row>
    <row r="45">
      <c r="A45" s="26" t="inlineStr">
        <is>
          <t>Difference (calculated - printed)</t>
        </is>
      </c>
      <c r="B45" s="22" t="n"/>
      <c r="C45" s="22" t="n"/>
      <c r="D45" s="22" t="n"/>
      <c r="E45" s="22" t="n"/>
      <c r="F45" s="27">
        <f>F43-F44</f>
        <v/>
      </c>
      <c r="G45" s="22" t="n"/>
    </row>
    <row r="46">
      <c r="A46" s="29" t="inlineStr">
        <is>
          <t>SAY (Rs.) - final DAR rate as printed (fixed value, not computed)</t>
        </is>
      </c>
      <c r="B46" s="30" t="n"/>
      <c r="C46" s="30" t="n"/>
      <c r="D46" s="30" t="n"/>
      <c r="E46" s="30" t="n"/>
      <c r="F46" s="31" t="n">
        <v>4615.65</v>
      </c>
      <c r="G46" s="30" t="n"/>
    </row>
    <row r="48" ht="76.5" customHeight="1">
      <c r="A48" s="8" t="inlineStr">
        <is>
          <t>8.2</t>
        </is>
      </c>
      <c r="B48" s="17"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t>
        </is>
      </c>
      <c r="C48" s="9" t="n"/>
      <c r="D48" s="9" t="n"/>
      <c r="E48" s="9" t="n"/>
      <c r="F48" s="9" t="n"/>
      <c r="G48" s="9" t="n"/>
    </row>
    <row r="49" ht="18.5" customHeight="1">
      <c r="A49" s="8" t="inlineStr">
        <is>
          <t>8.2.1</t>
        </is>
      </c>
      <c r="B49" s="17" t="inlineStr">
        <is>
          <t>Raj Nagar Plain white marble/ Udaipur green marble/ Zebra black marble</t>
        </is>
      </c>
      <c r="C49" s="9" t="n"/>
      <c r="D49" s="9" t="n"/>
      <c r="E49" s="9" t="n"/>
      <c r="F49" s="9" t="n"/>
      <c r="G49" s="9" t="n"/>
    </row>
    <row r="50" ht="18.5" customHeight="1">
      <c r="A50" s="18" t="inlineStr">
        <is>
          <t>8.2.1.1</t>
        </is>
      </c>
      <c r="B50" s="19" t="inlineStr">
        <is>
          <t>Area of slab upto 0.50 sqm</t>
        </is>
      </c>
      <c r="C50" s="20" t="n"/>
      <c r="D50" s="20" t="n"/>
      <c r="E50" s="20" t="n"/>
      <c r="F50" s="20" t="n"/>
      <c r="G50" s="20" t="n"/>
    </row>
    <row r="51">
      <c r="A51" s="21" t="inlineStr">
        <is>
          <t>Details of cost for 0.5 sqm   |   Source: CivilDAR_2019_Vol_1.pdf, page 370</t>
        </is>
      </c>
    </row>
    <row r="52">
      <c r="A52" s="5" t="inlineStr">
        <is>
          <t>Code</t>
        </is>
      </c>
      <c r="B52" s="5" t="inlineStr">
        <is>
          <t>Description</t>
        </is>
      </c>
      <c r="C52" s="5" t="inlineStr">
        <is>
          <t>Unit</t>
        </is>
      </c>
      <c r="D52" s="5" t="inlineStr">
        <is>
          <t>Quantity</t>
        </is>
      </c>
      <c r="E52" s="5" t="inlineStr">
        <is>
          <t>Rate (Rs.)</t>
        </is>
      </c>
      <c r="F52" s="5" t="inlineStr">
        <is>
          <t>Amount (Rs.)</t>
        </is>
      </c>
      <c r="G52" s="5" t="inlineStr">
        <is>
          <t>Note</t>
        </is>
      </c>
    </row>
    <row r="53">
      <c r="A53" s="22" t="inlineStr">
        <is>
          <t>7452</t>
        </is>
      </c>
      <c r="B53" s="11" t="inlineStr">
        <is>
          <t>Raj nagar plain white marble (table rubbed and polished) 18 mm thick (slab area upto 0.50 sqm)</t>
        </is>
      </c>
      <c r="C53" s="22" t="inlineStr">
        <is>
          <t>sqm</t>
        </is>
      </c>
      <c r="D53" s="23" t="n">
        <v>0.525</v>
      </c>
      <c r="E53" s="24" t="n">
        <v>575</v>
      </c>
      <c r="F53" s="24">
        <f>D53*E53</f>
        <v/>
      </c>
      <c r="G53" s="22" t="n"/>
    </row>
    <row r="54">
      <c r="A54" s="7" t="inlineStr">
        <is>
          <t>3.9</t>
        </is>
      </c>
      <c r="B54" s="11" t="inlineStr">
        <is>
          <t>Rate as per item 3.9 - Cement mortar 1:4 (1 cement : 4 coarse sand)</t>
        </is>
      </c>
      <c r="C54" s="22" t="inlineStr">
        <is>
          <t>cum</t>
        </is>
      </c>
      <c r="D54" s="23" t="n">
        <v>0.012</v>
      </c>
      <c r="E54" s="24" t="n">
        <v>4010.35</v>
      </c>
      <c r="F54" s="24">
        <f>D54*E54</f>
        <v/>
      </c>
      <c r="G54" s="22" t="n"/>
    </row>
    <row r="55">
      <c r="A55" s="22" t="inlineStr">
        <is>
          <t>0123</t>
        </is>
      </c>
      <c r="B55" s="11" t="inlineStr">
        <is>
          <t>Mason (brick layer) 1st class</t>
        </is>
      </c>
      <c r="C55" s="22" t="inlineStr">
        <is>
          <t>day</t>
        </is>
      </c>
      <c r="D55" s="23" t="n">
        <v>0.48</v>
      </c>
      <c r="E55" s="24" t="n">
        <v>738</v>
      </c>
      <c r="F55" s="24">
        <f>D55*E55</f>
        <v/>
      </c>
      <c r="G55" s="22" t="n"/>
    </row>
    <row r="56">
      <c r="A56" s="22" t="inlineStr">
        <is>
          <t>0114</t>
        </is>
      </c>
      <c r="B56" s="11" t="inlineStr">
        <is>
          <t>Beldar</t>
        </is>
      </c>
      <c r="C56" s="22" t="inlineStr">
        <is>
          <t>day</t>
        </is>
      </c>
      <c r="D56" s="23" t="n">
        <v>0.2</v>
      </c>
      <c r="E56" s="24" t="n">
        <v>558</v>
      </c>
      <c r="F56" s="24">
        <f>D56*E56</f>
        <v/>
      </c>
      <c r="G56" s="22" t="n"/>
    </row>
    <row r="57">
      <c r="A57" s="22" t="inlineStr">
        <is>
          <t>0115</t>
        </is>
      </c>
      <c r="B57" s="11" t="inlineStr">
        <is>
          <t>Coolie</t>
        </is>
      </c>
      <c r="C57" s="22" t="inlineStr">
        <is>
          <t>day</t>
        </is>
      </c>
      <c r="D57" s="23" t="n">
        <v>0.2</v>
      </c>
      <c r="E57" s="24" t="n">
        <v>558</v>
      </c>
      <c r="F57" s="24">
        <f>D57*E57</f>
        <v/>
      </c>
      <c r="G57" s="22" t="n"/>
    </row>
    <row r="58">
      <c r="A58" s="22" t="inlineStr">
        <is>
          <t>9999</t>
        </is>
      </c>
      <c r="B58" s="11" t="inlineStr">
        <is>
          <t>Moulding and edge polishing</t>
        </is>
      </c>
      <c r="C58" s="22" t="inlineStr">
        <is>
          <t>L.S.</t>
        </is>
      </c>
      <c r="D58" s="23" t="n">
        <v>39</v>
      </c>
      <c r="E58" s="24" t="n">
        <v>2</v>
      </c>
      <c r="F58" s="24">
        <f>D58*E58</f>
        <v/>
      </c>
      <c r="G58" s="22" t="n"/>
    </row>
    <row r="59">
      <c r="A59" s="22" t="inlineStr">
        <is>
          <t>9999</t>
        </is>
      </c>
      <c r="B59" s="11" t="inlineStr">
        <is>
          <t>Sundries apoxy resin &amp; cutting machine etc.</t>
        </is>
      </c>
      <c r="C59" s="22" t="inlineStr">
        <is>
          <t>L.S.</t>
        </is>
      </c>
      <c r="D59" s="23" t="n">
        <v>16.25</v>
      </c>
      <c r="E59" s="24" t="n">
        <v>2</v>
      </c>
      <c r="F59" s="24">
        <f>D59*E59</f>
        <v/>
      </c>
      <c r="G59" s="22" t="n"/>
    </row>
    <row r="60">
      <c r="A60" s="8" t="inlineStr">
        <is>
          <t>Calculated W - SUM of the Amount column above</t>
        </is>
      </c>
      <c r="B60" s="9" t="n"/>
      <c r="C60" s="9" t="n"/>
      <c r="D60" s="9" t="n"/>
      <c r="E60" s="9" t="n"/>
      <c r="F60" s="25">
        <f>SUM(F53:F59)</f>
        <v/>
      </c>
      <c r="G60" s="9" t="n"/>
    </row>
    <row r="61">
      <c r="A61" s="26" t="inlineStr">
        <is>
          <t>W as printed in the DAR</t>
        </is>
      </c>
      <c r="B61" s="22" t="n"/>
      <c r="C61" s="22" t="n"/>
      <c r="D61" s="22" t="n"/>
      <c r="E61" s="22" t="n"/>
      <c r="F61" s="27" t="n">
        <v>1037.94</v>
      </c>
      <c r="G61" s="22" t="n"/>
    </row>
    <row r="62">
      <c r="A62" s="26" t="inlineStr">
        <is>
          <t>Difference (calculated - printed)</t>
        </is>
      </c>
      <c r="B62" s="22" t="n"/>
      <c r="C62" s="22" t="n"/>
      <c r="D62" s="22" t="n"/>
      <c r="E62" s="22" t="n"/>
      <c r="F62" s="27">
        <f>F60-F61</f>
        <v/>
      </c>
      <c r="G62" s="22" t="n"/>
    </row>
    <row r="63">
      <c r="A63" s="29" t="inlineStr">
        <is>
          <t>SAY (Rs.) - final DAR rate as printed (fixed value, not computed)</t>
        </is>
      </c>
      <c r="B63" s="30" t="n"/>
      <c r="C63" s="30" t="n"/>
      <c r="D63" s="30" t="n"/>
      <c r="E63" s="30" t="n"/>
      <c r="F63" s="31" t="n">
        <v>2777.4</v>
      </c>
      <c r="G63" s="30" t="n"/>
    </row>
    <row r="65" ht="76.5" customHeight="1">
      <c r="A65" s="8" t="inlineStr">
        <is>
          <t>8.2</t>
        </is>
      </c>
      <c r="B65" s="17"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t>
        </is>
      </c>
      <c r="C65" s="9" t="n"/>
      <c r="D65" s="9" t="n"/>
      <c r="E65" s="9" t="n"/>
      <c r="F65" s="9" t="n"/>
      <c r="G65" s="9" t="n"/>
    </row>
    <row r="66" ht="18.5" customHeight="1">
      <c r="A66" s="8" t="inlineStr">
        <is>
          <t>8.2.1</t>
        </is>
      </c>
      <c r="B66" s="17" t="inlineStr">
        <is>
          <t>Raj Nagar Plain white marble/ Udaipur green marble/ Zebra black marble</t>
        </is>
      </c>
      <c r="C66" s="9" t="n"/>
      <c r="D66" s="9" t="n"/>
      <c r="E66" s="9" t="n"/>
      <c r="F66" s="9" t="n"/>
      <c r="G66" s="9" t="n"/>
    </row>
    <row r="67" ht="18.5" customHeight="1">
      <c r="A67" s="18" t="inlineStr">
        <is>
          <t>8.2.1.2</t>
        </is>
      </c>
      <c r="B67" s="19" t="inlineStr">
        <is>
          <t>Area of slab over 0.50 sqm</t>
        </is>
      </c>
      <c r="C67" s="20" t="n"/>
      <c r="D67" s="20" t="n"/>
      <c r="E67" s="20" t="n"/>
      <c r="F67" s="20" t="n"/>
      <c r="G67" s="20" t="n"/>
    </row>
    <row r="68">
      <c r="A68" s="21" t="inlineStr">
        <is>
          <t>Details of cost for 1 sqm   |   Source: CivilDAR_2019_Vol_1.pdf, page 370</t>
        </is>
      </c>
    </row>
    <row r="69">
      <c r="A69" s="5" t="inlineStr">
        <is>
          <t>Code</t>
        </is>
      </c>
      <c r="B69" s="5" t="inlineStr">
        <is>
          <t>Description</t>
        </is>
      </c>
      <c r="C69" s="5" t="inlineStr">
        <is>
          <t>Unit</t>
        </is>
      </c>
      <c r="D69" s="5" t="inlineStr">
        <is>
          <t>Quantity</t>
        </is>
      </c>
      <c r="E69" s="5" t="inlineStr">
        <is>
          <t>Rate (Rs.)</t>
        </is>
      </c>
      <c r="F69" s="5" t="inlineStr">
        <is>
          <t>Amount (Rs.)</t>
        </is>
      </c>
      <c r="G69" s="5" t="inlineStr">
        <is>
          <t>Note</t>
        </is>
      </c>
    </row>
    <row r="70">
      <c r="A70" s="22" t="inlineStr">
        <is>
          <t>7453</t>
        </is>
      </c>
      <c r="B70" s="11" t="inlineStr">
        <is>
          <t>Raj nagar plain white marble (table rubbed and polished) 18 mm thick (slab area more than 0.50 sqm)</t>
        </is>
      </c>
      <c r="C70" s="22" t="inlineStr">
        <is>
          <t>sqm</t>
        </is>
      </c>
      <c r="D70" s="23" t="n">
        <v>1.05</v>
      </c>
      <c r="E70" s="24" t="n">
        <v>690</v>
      </c>
      <c r="F70" s="24">
        <f>D70*E70</f>
        <v/>
      </c>
      <c r="G70" s="22" t="n"/>
    </row>
    <row r="71">
      <c r="A71" s="7" t="inlineStr">
        <is>
          <t>3.9</t>
        </is>
      </c>
      <c r="B71" s="11" t="inlineStr">
        <is>
          <t>Rate as per item 3.9 - Cement mortar 1:4 (1 cement : 4 coarse sand)</t>
        </is>
      </c>
      <c r="C71" s="22" t="inlineStr">
        <is>
          <t>cum</t>
        </is>
      </c>
      <c r="D71" s="23" t="n">
        <v>0.024</v>
      </c>
      <c r="E71" s="24" t="n">
        <v>4010.35</v>
      </c>
      <c r="F71" s="24">
        <f>D71*E71</f>
        <v/>
      </c>
      <c r="G71" s="22" t="n"/>
    </row>
    <row r="72">
      <c r="A72" s="22" t="inlineStr">
        <is>
          <t>0123</t>
        </is>
      </c>
      <c r="B72" s="11" t="inlineStr">
        <is>
          <t>Mason (brick layer) 1st class</t>
        </is>
      </c>
      <c r="C72" s="22" t="inlineStr">
        <is>
          <t>day</t>
        </is>
      </c>
      <c r="D72" s="23" t="n">
        <v>0.72</v>
      </c>
      <c r="E72" s="24" t="n">
        <v>738</v>
      </c>
      <c r="F72" s="24">
        <f>D72*E72</f>
        <v/>
      </c>
      <c r="G72" s="22" t="n"/>
    </row>
    <row r="73">
      <c r="A73" s="22" t="inlineStr">
        <is>
          <t>0114</t>
        </is>
      </c>
      <c r="B73" s="11" t="inlineStr">
        <is>
          <t>Beldar</t>
        </is>
      </c>
      <c r="C73" s="22" t="inlineStr">
        <is>
          <t>day</t>
        </is>
      </c>
      <c r="D73" s="23" t="n">
        <v>0.3</v>
      </c>
      <c r="E73" s="24" t="n">
        <v>558</v>
      </c>
      <c r="F73" s="24">
        <f>D73*E73</f>
        <v/>
      </c>
      <c r="G73" s="22" t="n"/>
    </row>
    <row r="74">
      <c r="A74" s="22" t="inlineStr">
        <is>
          <t>0115</t>
        </is>
      </c>
      <c r="B74" s="11" t="inlineStr">
        <is>
          <t>Coolie</t>
        </is>
      </c>
      <c r="C74" s="22" t="inlineStr">
        <is>
          <t>day</t>
        </is>
      </c>
      <c r="D74" s="23" t="n">
        <v>0.3</v>
      </c>
      <c r="E74" s="24" t="n">
        <v>558</v>
      </c>
      <c r="F74" s="24">
        <f>D74*E74</f>
        <v/>
      </c>
      <c r="G74" s="22" t="n"/>
    </row>
    <row r="75">
      <c r="A75" s="22" t="inlineStr">
        <is>
          <t>9999</t>
        </is>
      </c>
      <c r="B75" s="11" t="inlineStr">
        <is>
          <t>Moulding and edge polishing</t>
        </is>
      </c>
      <c r="C75" s="22" t="inlineStr">
        <is>
          <t>L.S.</t>
        </is>
      </c>
      <c r="D75" s="23" t="n">
        <v>78</v>
      </c>
      <c r="E75" s="24" t="n">
        <v>2</v>
      </c>
      <c r="F75" s="24">
        <f>D75*E75</f>
        <v/>
      </c>
      <c r="G75" s="22" t="n"/>
    </row>
    <row r="76">
      <c r="A76" s="22" t="inlineStr">
        <is>
          <t>9999</t>
        </is>
      </c>
      <c r="B76" s="11" t="inlineStr">
        <is>
          <t>Sundries apoxy resin &amp; cutting machine etc.</t>
        </is>
      </c>
      <c r="C76" s="22" t="inlineStr">
        <is>
          <t>L.S.</t>
        </is>
      </c>
      <c r="D76" s="23" t="n">
        <v>32.5</v>
      </c>
      <c r="E76" s="24" t="n">
        <v>2</v>
      </c>
      <c r="F76" s="24">
        <f>D76*E76</f>
        <v/>
      </c>
      <c r="G76" s="22" t="n"/>
    </row>
    <row r="77">
      <c r="A77" s="8" t="inlineStr">
        <is>
          <t>Calculated W - SUM of the Amount column above</t>
        </is>
      </c>
      <c r="B77" s="9" t="n"/>
      <c r="C77" s="9" t="n"/>
      <c r="D77" s="9" t="n"/>
      <c r="E77" s="9" t="n"/>
      <c r="F77" s="25">
        <f>SUM(F70:F76)</f>
        <v/>
      </c>
      <c r="G77" s="9" t="n"/>
    </row>
    <row r="78">
      <c r="A78" s="26" t="inlineStr">
        <is>
          <t>W as printed in the DAR</t>
        </is>
      </c>
      <c r="B78" s="22" t="n"/>
      <c r="C78" s="22" t="n"/>
      <c r="D78" s="22" t="n"/>
      <c r="E78" s="22" t="n"/>
      <c r="F78" s="27" t="n">
        <v>1907.91</v>
      </c>
      <c r="G78" s="22" t="n"/>
    </row>
    <row r="79">
      <c r="A79" s="26" t="inlineStr">
        <is>
          <t>Difference (calculated - printed)</t>
        </is>
      </c>
      <c r="B79" s="22" t="n"/>
      <c r="C79" s="22" t="n"/>
      <c r="D79" s="22" t="n"/>
      <c r="E79" s="22" t="n"/>
      <c r="F79" s="27">
        <f>F77-F78</f>
        <v/>
      </c>
      <c r="G79" s="22" t="n"/>
    </row>
    <row r="80">
      <c r="A80" s="29" t="inlineStr">
        <is>
          <t>SAY (Rs.) - final DAR rate as printed (fixed value, not computed)</t>
        </is>
      </c>
      <c r="B80" s="30" t="n"/>
      <c r="C80" s="30" t="n"/>
      <c r="D80" s="30" t="n"/>
      <c r="E80" s="30" t="n"/>
      <c r="F80" s="31" t="n">
        <v>2552.65</v>
      </c>
      <c r="G80" s="30" t="n"/>
    </row>
    <row r="82" ht="76.5" customHeight="1">
      <c r="A82" s="8" t="inlineStr">
        <is>
          <t>8.2</t>
        </is>
      </c>
      <c r="B82" s="17"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t>
        </is>
      </c>
      <c r="C82" s="9" t="n"/>
      <c r="D82" s="9" t="n"/>
      <c r="E82" s="9" t="n"/>
      <c r="F82" s="9" t="n"/>
      <c r="G82" s="9" t="n"/>
    </row>
    <row r="83" ht="18.5" customHeight="1">
      <c r="A83" s="8" t="inlineStr">
        <is>
          <t>8.2.2</t>
        </is>
      </c>
      <c r="B83" s="17" t="inlineStr">
        <is>
          <t>Granite of any colour and shade</t>
        </is>
      </c>
      <c r="C83" s="9" t="n"/>
      <c r="D83" s="9" t="n"/>
      <c r="E83" s="9" t="n"/>
      <c r="F83" s="9" t="n"/>
      <c r="G83" s="9" t="n"/>
    </row>
    <row r="84" ht="18.5" customHeight="1">
      <c r="A84" s="18" t="inlineStr">
        <is>
          <t>8.2.2.1</t>
        </is>
      </c>
      <c r="B84" s="19" t="inlineStr">
        <is>
          <t>Area of slab upto 0.50 sqm</t>
        </is>
      </c>
      <c r="C84" s="20" t="n"/>
      <c r="D84" s="20" t="n"/>
      <c r="E84" s="20" t="n"/>
      <c r="F84" s="20" t="n"/>
      <c r="G84" s="20" t="n"/>
    </row>
    <row r="85">
      <c r="A85" s="21" t="inlineStr">
        <is>
          <t>Details of cost for 0.5 sqm   |   Source: CivilDAR_2019_Vol_1.pdf, page 371</t>
        </is>
      </c>
    </row>
    <row r="86">
      <c r="A86" s="5" t="inlineStr">
        <is>
          <t>Code</t>
        </is>
      </c>
      <c r="B86" s="5" t="inlineStr">
        <is>
          <t>Description</t>
        </is>
      </c>
      <c r="C86" s="5" t="inlineStr">
        <is>
          <t>Unit</t>
        </is>
      </c>
      <c r="D86" s="5" t="inlineStr">
        <is>
          <t>Quantity</t>
        </is>
      </c>
      <c r="E86" s="5" t="inlineStr">
        <is>
          <t>Rate (Rs.)</t>
        </is>
      </c>
      <c r="F86" s="5" t="inlineStr">
        <is>
          <t>Amount (Rs.)</t>
        </is>
      </c>
      <c r="G86" s="5" t="inlineStr">
        <is>
          <t>Note</t>
        </is>
      </c>
    </row>
    <row r="87">
      <c r="A87" s="22" t="inlineStr">
        <is>
          <t>7295</t>
        </is>
      </c>
      <c r="B87" s="11" t="inlineStr">
        <is>
          <t>Granite of any colour, 18 mm thick (slab area upto 0.50 sqm)</t>
        </is>
      </c>
      <c r="C87" s="22" t="inlineStr">
        <is>
          <t>sqm</t>
        </is>
      </c>
      <c r="D87" s="23" t="n">
        <v>0.525</v>
      </c>
      <c r="E87" s="24" t="n">
        <v>1600</v>
      </c>
      <c r="F87" s="24">
        <f>D87*E87</f>
        <v/>
      </c>
      <c r="G87" s="22" t="n"/>
    </row>
    <row r="88">
      <c r="A88" s="7" t="inlineStr">
        <is>
          <t>3.9</t>
        </is>
      </c>
      <c r="B88" s="11" t="inlineStr">
        <is>
          <t>Rate as per item 3.9 - Cement mortar 1:4 (1 cement : 4 coarse sand)</t>
        </is>
      </c>
      <c r="C88" s="22" t="inlineStr">
        <is>
          <t>cum</t>
        </is>
      </c>
      <c r="D88" s="23" t="n">
        <v>0.012</v>
      </c>
      <c r="E88" s="24" t="n">
        <v>4010.35</v>
      </c>
      <c r="F88" s="24">
        <f>D88*E88</f>
        <v/>
      </c>
      <c r="G88" s="22" t="n"/>
    </row>
    <row r="89">
      <c r="A89" s="22" t="inlineStr">
        <is>
          <t>0123</t>
        </is>
      </c>
      <c r="B89" s="11" t="inlineStr">
        <is>
          <t>Mason (brick layer) 1st class</t>
        </is>
      </c>
      <c r="C89" s="22" t="inlineStr">
        <is>
          <t>day</t>
        </is>
      </c>
      <c r="D89" s="23" t="n">
        <v>0.48</v>
      </c>
      <c r="E89" s="24" t="n">
        <v>738</v>
      </c>
      <c r="F89" s="24">
        <f>D89*E89</f>
        <v/>
      </c>
      <c r="G89" s="22" t="n"/>
    </row>
    <row r="90">
      <c r="A90" s="22" t="inlineStr">
        <is>
          <t>0114</t>
        </is>
      </c>
      <c r="B90" s="11" t="inlineStr">
        <is>
          <t>Beldar</t>
        </is>
      </c>
      <c r="C90" s="22" t="inlineStr">
        <is>
          <t>day</t>
        </is>
      </c>
      <c r="D90" s="23" t="n">
        <v>0.2</v>
      </c>
      <c r="E90" s="24" t="n">
        <v>558</v>
      </c>
      <c r="F90" s="24">
        <f>D90*E90</f>
        <v/>
      </c>
      <c r="G90" s="22" t="n"/>
    </row>
    <row r="91">
      <c r="A91" s="22" t="inlineStr">
        <is>
          <t>0115</t>
        </is>
      </c>
      <c r="B91" s="11" t="inlineStr">
        <is>
          <t>Coolie</t>
        </is>
      </c>
      <c r="C91" s="22" t="inlineStr">
        <is>
          <t>day</t>
        </is>
      </c>
      <c r="D91" s="23" t="n">
        <v>0.2</v>
      </c>
      <c r="E91" s="24" t="n">
        <v>558</v>
      </c>
      <c r="F91" s="24">
        <f>D91*E91</f>
        <v/>
      </c>
      <c r="G91" s="22" t="n"/>
    </row>
    <row r="92">
      <c r="A92" s="22" t="inlineStr">
        <is>
          <t>9999</t>
        </is>
      </c>
      <c r="B92" s="11" t="inlineStr">
        <is>
          <t>Moulding and edge polishing</t>
        </is>
      </c>
      <c r="C92" s="22" t="inlineStr">
        <is>
          <t>L.S.</t>
        </is>
      </c>
      <c r="D92" s="23" t="n">
        <v>39</v>
      </c>
      <c r="E92" s="24" t="n">
        <v>2</v>
      </c>
      <c r="F92" s="24">
        <f>D92*E92</f>
        <v/>
      </c>
      <c r="G92" s="22" t="n"/>
    </row>
    <row r="93">
      <c r="A93" s="22" t="inlineStr">
        <is>
          <t>9999</t>
        </is>
      </c>
      <c r="B93" s="11" t="inlineStr">
        <is>
          <t>Sundries apoxy resin &amp; cutting machine etc.</t>
        </is>
      </c>
      <c r="C93" s="22" t="inlineStr">
        <is>
          <t>L.S.</t>
        </is>
      </c>
      <c r="D93" s="23" t="n">
        <v>16.25</v>
      </c>
      <c r="E93" s="24" t="n">
        <v>2</v>
      </c>
      <c r="F93" s="24">
        <f>D93*E93</f>
        <v/>
      </c>
      <c r="G93" s="22" t="n"/>
    </row>
    <row r="94">
      <c r="A94" s="8" t="inlineStr">
        <is>
          <t>Calculated W - SUM of the Amount column above</t>
        </is>
      </c>
      <c r="B94" s="9" t="n"/>
      <c r="C94" s="9" t="n"/>
      <c r="D94" s="9" t="n"/>
      <c r="E94" s="9" t="n"/>
      <c r="F94" s="25">
        <f>SUM(F87:F93)</f>
        <v/>
      </c>
      <c r="G94" s="9" t="n"/>
    </row>
    <row r="95">
      <c r="A95" s="26" t="inlineStr">
        <is>
          <t>W as printed in the DAR</t>
        </is>
      </c>
      <c r="B95" s="22" t="n"/>
      <c r="C95" s="22" t="n"/>
      <c r="D95" s="22" t="n"/>
      <c r="E95" s="22" t="n"/>
      <c r="F95" s="27" t="n">
        <v>1576.06</v>
      </c>
      <c r="G95" s="22" t="n"/>
    </row>
    <row r="96">
      <c r="A96" s="26" t="inlineStr">
        <is>
          <t>Difference (calculated - printed)</t>
        </is>
      </c>
      <c r="B96" s="22" t="n"/>
      <c r="C96" s="22" t="n"/>
      <c r="D96" s="22" t="n"/>
      <c r="E96" s="22" t="n"/>
      <c r="F96" s="27">
        <f>F94-F95</f>
        <v/>
      </c>
      <c r="G96" s="22" t="n"/>
    </row>
    <row r="97">
      <c r="A97" s="29" t="inlineStr">
        <is>
          <t>SAY (Rs.) - final DAR rate as printed (fixed value, not computed)</t>
        </is>
      </c>
      <c r="B97" s="30" t="n"/>
      <c r="C97" s="30" t="n"/>
      <c r="D97" s="30" t="n"/>
      <c r="E97" s="30" t="n"/>
      <c r="F97" s="31" t="n">
        <v>4217.35</v>
      </c>
      <c r="G97" s="30" t="n"/>
    </row>
    <row r="99" ht="76.5" customHeight="1">
      <c r="A99" s="8" t="inlineStr">
        <is>
          <t>8.2</t>
        </is>
      </c>
      <c r="B99" s="17"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t>
        </is>
      </c>
      <c r="C99" s="9" t="n"/>
      <c r="D99" s="9" t="n"/>
      <c r="E99" s="9" t="n"/>
      <c r="F99" s="9" t="n"/>
      <c r="G99" s="9" t="n"/>
    </row>
    <row r="100" ht="18.5" customHeight="1">
      <c r="A100" s="8" t="inlineStr">
        <is>
          <t>8.2.2</t>
        </is>
      </c>
      <c r="B100" s="17" t="inlineStr">
        <is>
          <t>Granite of any colour and shade</t>
        </is>
      </c>
      <c r="C100" s="9" t="n"/>
      <c r="D100" s="9" t="n"/>
      <c r="E100" s="9" t="n"/>
      <c r="F100" s="9" t="n"/>
      <c r="G100" s="9" t="n"/>
    </row>
    <row r="101" ht="18.5" customHeight="1">
      <c r="A101" s="18" t="inlineStr">
        <is>
          <t>8.2.2.2</t>
        </is>
      </c>
      <c r="B101" s="19" t="inlineStr">
        <is>
          <t>Area of slab over 0.50 sqm</t>
        </is>
      </c>
      <c r="C101" s="20" t="n"/>
      <c r="D101" s="20" t="n"/>
      <c r="E101" s="20" t="n"/>
      <c r="F101" s="20" t="n"/>
      <c r="G101" s="20" t="n"/>
    </row>
    <row r="102">
      <c r="A102" s="21" t="inlineStr">
        <is>
          <t>Details of cost for 2 sqm   |   Source: CivilDAR_2019_Vol_1.pdf, page 372</t>
        </is>
      </c>
    </row>
    <row r="103">
      <c r="A103" s="5" t="inlineStr">
        <is>
          <t>Code</t>
        </is>
      </c>
      <c r="B103" s="5" t="inlineStr">
        <is>
          <t>Description</t>
        </is>
      </c>
      <c r="C103" s="5" t="inlineStr">
        <is>
          <t>Unit</t>
        </is>
      </c>
      <c r="D103" s="5" t="inlineStr">
        <is>
          <t>Quantity</t>
        </is>
      </c>
      <c r="E103" s="5" t="inlineStr">
        <is>
          <t>Rate (Rs.)</t>
        </is>
      </c>
      <c r="F103" s="5" t="inlineStr">
        <is>
          <t>Amount (Rs.)</t>
        </is>
      </c>
      <c r="G103" s="5" t="inlineStr">
        <is>
          <t>Note</t>
        </is>
      </c>
    </row>
    <row r="104">
      <c r="A104" s="22" t="inlineStr">
        <is>
          <t>7297</t>
        </is>
      </c>
      <c r="B104" s="11" t="inlineStr">
        <is>
          <t>Granite of any colour, 18 mm thick (slab area above 0.50 sqm)</t>
        </is>
      </c>
      <c r="C104" s="22" t="inlineStr">
        <is>
          <t>sqm</t>
        </is>
      </c>
      <c r="D104" s="23" t="n">
        <v>2.1</v>
      </c>
      <c r="E104" s="24" t="n">
        <v>1800</v>
      </c>
      <c r="F104" s="24">
        <f>D104*E104</f>
        <v/>
      </c>
      <c r="G104" s="22" t="n"/>
    </row>
    <row r="105">
      <c r="A105" s="7" t="inlineStr">
        <is>
          <t>3.9</t>
        </is>
      </c>
      <c r="B105" s="11" t="inlineStr">
        <is>
          <t>Rate as per item 3.9 - Cement mortar 1:4 (1 cement : 4 coarse sand)</t>
        </is>
      </c>
      <c r="C105" s="22" t="inlineStr">
        <is>
          <t>cum</t>
        </is>
      </c>
      <c r="D105" s="23" t="n">
        <v>0.048</v>
      </c>
      <c r="E105" s="24" t="n">
        <v>4010.35</v>
      </c>
      <c r="F105" s="24">
        <f>D105*E105</f>
        <v/>
      </c>
      <c r="G105" s="22" t="n"/>
    </row>
    <row r="106">
      <c r="A106" s="22" t="inlineStr">
        <is>
          <t>0123</t>
        </is>
      </c>
      <c r="B106" s="11" t="inlineStr">
        <is>
          <t>Mason (brick layer) 1st class</t>
        </is>
      </c>
      <c r="C106" s="22" t="inlineStr">
        <is>
          <t>day</t>
        </is>
      </c>
      <c r="D106" s="23" t="n">
        <v>1.44</v>
      </c>
      <c r="E106" s="24" t="n">
        <v>738</v>
      </c>
      <c r="F106" s="24">
        <f>D106*E106</f>
        <v/>
      </c>
      <c r="G106" s="22" t="n"/>
    </row>
    <row r="107">
      <c r="A107" s="22" t="inlineStr">
        <is>
          <t>0114</t>
        </is>
      </c>
      <c r="B107" s="11" t="inlineStr">
        <is>
          <t>Beldar</t>
        </is>
      </c>
      <c r="C107" s="22" t="inlineStr">
        <is>
          <t>day</t>
        </is>
      </c>
      <c r="D107" s="23" t="n">
        <v>0.6</v>
      </c>
      <c r="E107" s="24" t="n">
        <v>558</v>
      </c>
      <c r="F107" s="24">
        <f>D107*E107</f>
        <v/>
      </c>
      <c r="G107" s="22" t="n"/>
    </row>
    <row r="108">
      <c r="A108" s="22" t="inlineStr">
        <is>
          <t>0115</t>
        </is>
      </c>
      <c r="B108" s="11" t="inlineStr">
        <is>
          <t>Coolie</t>
        </is>
      </c>
      <c r="C108" s="22" t="inlineStr">
        <is>
          <t>day</t>
        </is>
      </c>
      <c r="D108" s="23" t="n">
        <v>0.6</v>
      </c>
      <c r="E108" s="24" t="n">
        <v>558</v>
      </c>
      <c r="F108" s="24">
        <f>D108*E108</f>
        <v/>
      </c>
      <c r="G108" s="22" t="n"/>
    </row>
    <row r="109">
      <c r="A109" s="22" t="inlineStr">
        <is>
          <t>9999</t>
        </is>
      </c>
      <c r="B109" s="11" t="inlineStr">
        <is>
          <t>Moulding and edge polishing</t>
        </is>
      </c>
      <c r="C109" s="22" t="inlineStr">
        <is>
          <t>L.S.</t>
        </is>
      </c>
      <c r="D109" s="23" t="n">
        <v>78</v>
      </c>
      <c r="E109" s="24" t="n">
        <v>2</v>
      </c>
      <c r="F109" s="24">
        <f>D109*E109</f>
        <v/>
      </c>
      <c r="G109" s="22" t="n"/>
    </row>
    <row r="110">
      <c r="A110" s="22" t="inlineStr">
        <is>
          <t>9999</t>
        </is>
      </c>
      <c r="B110" s="11" t="inlineStr">
        <is>
          <t>Sundries apoxy resin &amp; cutting machine etc.</t>
        </is>
      </c>
      <c r="C110" s="22" t="inlineStr">
        <is>
          <t>L.S.</t>
        </is>
      </c>
      <c r="D110" s="23" t="n">
        <v>65</v>
      </c>
      <c r="E110" s="24" t="n">
        <v>2</v>
      </c>
      <c r="F110" s="24">
        <f>D110*E110</f>
        <v/>
      </c>
      <c r="G110" s="22" t="n"/>
    </row>
    <row r="111">
      <c r="A111" s="8" t="inlineStr">
        <is>
          <t>Calculated W - SUM of the Amount column above</t>
        </is>
      </c>
      <c r="B111" s="9" t="n"/>
      <c r="C111" s="9" t="n"/>
      <c r="D111" s="9" t="n"/>
      <c r="E111" s="9" t="n"/>
      <c r="F111" s="25">
        <f>SUM(F104:F110)</f>
        <v/>
      </c>
      <c r="G111" s="9" t="n"/>
    </row>
    <row r="112">
      <c r="A112" s="26" t="inlineStr">
        <is>
          <t>W as printed in the DAR</t>
        </is>
      </c>
      <c r="B112" s="22" t="n"/>
      <c r="C112" s="22" t="n"/>
      <c r="D112" s="22" t="n"/>
      <c r="E112" s="22" t="n"/>
      <c r="F112" s="27" t="n">
        <v>5990.82</v>
      </c>
      <c r="G112" s="22" t="n"/>
    </row>
    <row r="113">
      <c r="A113" s="26" t="inlineStr">
        <is>
          <t>Difference (calculated - printed)</t>
        </is>
      </c>
      <c r="B113" s="22" t="n"/>
      <c r="C113" s="22" t="n"/>
      <c r="D113" s="22" t="n"/>
      <c r="E113" s="22" t="n"/>
      <c r="F113" s="27">
        <f>F111-F112</f>
        <v/>
      </c>
      <c r="G113" s="22" t="n"/>
    </row>
    <row r="114">
      <c r="A114" s="29" t="inlineStr">
        <is>
          <t>SAY (Rs.) - final DAR rate as printed (fixed value, not computed)</t>
        </is>
      </c>
      <c r="B114" s="30" t="n"/>
      <c r="C114" s="30" t="n"/>
      <c r="D114" s="30" t="n"/>
      <c r="E114" s="30" t="n"/>
      <c r="F114" s="31" t="n">
        <v>4007.65</v>
      </c>
      <c r="G114" s="30" t="n"/>
    </row>
    <row r="116" ht="33" customHeight="1">
      <c r="A116" s="8" t="inlineStr">
        <is>
          <t>8.3</t>
        </is>
      </c>
      <c r="B116" s="17" t="inlineStr">
        <is>
          <t>Providing edge moulding to 18 mm thick marble stone counters, Vanities etc., including machine polishing to edge to give high gloss finish etc. complete as per design approved by Engineer-in-Charge.</t>
        </is>
      </c>
      <c r="C116" s="9" t="n"/>
      <c r="D116" s="9" t="n"/>
      <c r="E116" s="9" t="n"/>
      <c r="F116" s="9" t="n"/>
      <c r="G116" s="9" t="n"/>
    </row>
    <row r="117" ht="18.5" customHeight="1">
      <c r="A117" s="18" t="inlineStr">
        <is>
          <t>8.3.1</t>
        </is>
      </c>
      <c r="B117" s="19" t="inlineStr">
        <is>
          <t>Marble work</t>
        </is>
      </c>
      <c r="C117" s="20" t="n"/>
      <c r="D117" s="20" t="n"/>
      <c r="E117" s="20" t="n"/>
      <c r="F117" s="20" t="n"/>
      <c r="G117" s="20" t="n"/>
    </row>
    <row r="118">
      <c r="A118" s="21" t="inlineStr">
        <is>
          <t>Details of cost for 10 metre   |   Source: CivilDAR_2019_Vol_1.pdf, page 372</t>
        </is>
      </c>
    </row>
    <row r="119">
      <c r="A119" s="5" t="inlineStr">
        <is>
          <t>Code</t>
        </is>
      </c>
      <c r="B119" s="5" t="inlineStr">
        <is>
          <t>Description</t>
        </is>
      </c>
      <c r="C119" s="5" t="inlineStr">
        <is>
          <t>Unit</t>
        </is>
      </c>
      <c r="D119" s="5" t="inlineStr">
        <is>
          <t>Quantity</t>
        </is>
      </c>
      <c r="E119" s="5" t="inlineStr">
        <is>
          <t>Rate (Rs.)</t>
        </is>
      </c>
      <c r="F119" s="5" t="inlineStr">
        <is>
          <t>Amount (Rs.)</t>
        </is>
      </c>
      <c r="G119" s="5" t="inlineStr">
        <is>
          <t>Note</t>
        </is>
      </c>
    </row>
    <row r="120">
      <c r="A120" s="22" t="inlineStr">
        <is>
          <t>0019</t>
        </is>
      </c>
      <c r="B120" s="11" t="inlineStr">
        <is>
          <t>Hand Grinder For mirror polish</t>
        </is>
      </c>
      <c r="C120" s="22" t="inlineStr">
        <is>
          <t>day</t>
        </is>
      </c>
      <c r="D120" s="23" t="n">
        <v>1.5</v>
      </c>
      <c r="E120" s="24" t="n">
        <v>250</v>
      </c>
      <c r="F120" s="24">
        <f>D120*E120</f>
        <v/>
      </c>
      <c r="G120" s="22" t="n"/>
    </row>
    <row r="121">
      <c r="A121" s="22" t="inlineStr">
        <is>
          <t>0114</t>
        </is>
      </c>
      <c r="B121" s="11" t="inlineStr">
        <is>
          <t>Beldar</t>
        </is>
      </c>
      <c r="C121" s="22" t="inlineStr">
        <is>
          <t>day</t>
        </is>
      </c>
      <c r="D121" s="23" t="n">
        <v>2</v>
      </c>
      <c r="E121" s="24" t="n">
        <v>558</v>
      </c>
      <c r="F121" s="24">
        <f>D121*E121</f>
        <v/>
      </c>
      <c r="G121" s="22" t="n"/>
    </row>
    <row r="122">
      <c r="A122" s="22" t="inlineStr">
        <is>
          <t>9999</t>
        </is>
      </c>
      <c r="B122" s="11" t="inlineStr">
        <is>
          <t>Sundries Blades &amp; Polished etc.</t>
        </is>
      </c>
      <c r="C122" s="22" t="inlineStr">
        <is>
          <t>L.S.</t>
        </is>
      </c>
      <c r="D122" s="23" t="n">
        <v>78</v>
      </c>
      <c r="E122" s="24" t="n">
        <v>2</v>
      </c>
      <c r="F122" s="24">
        <f>D122*E122</f>
        <v/>
      </c>
      <c r="G122" s="22" t="n"/>
    </row>
    <row r="123">
      <c r="A123" s="8" t="inlineStr">
        <is>
          <t>Calculated W - SUM of the Amount column above</t>
        </is>
      </c>
      <c r="B123" s="9" t="n"/>
      <c r="C123" s="9" t="n"/>
      <c r="D123" s="9" t="n"/>
      <c r="E123" s="9" t="n"/>
      <c r="F123" s="25">
        <f>SUM(F120:F122)</f>
        <v/>
      </c>
      <c r="G123" s="9" t="n"/>
    </row>
    <row r="124">
      <c r="A124" s="26" t="inlineStr">
        <is>
          <t>W as printed in the DAR</t>
        </is>
      </c>
      <c r="B124" s="22" t="n"/>
      <c r="C124" s="22" t="n"/>
      <c r="D124" s="22" t="n"/>
      <c r="E124" s="22" t="n"/>
      <c r="F124" s="27" t="n">
        <v>1647</v>
      </c>
      <c r="G124" s="22" t="n"/>
    </row>
    <row r="125">
      <c r="A125" s="26" t="inlineStr">
        <is>
          <t>Difference (calculated - printed)</t>
        </is>
      </c>
      <c r="B125" s="22" t="n"/>
      <c r="C125" s="22" t="n"/>
      <c r="D125" s="22" t="n"/>
      <c r="E125" s="22" t="n"/>
      <c r="F125" s="27">
        <f>F123-F124</f>
        <v/>
      </c>
      <c r="G125" s="22" t="n"/>
    </row>
    <row r="126">
      <c r="A126" s="29" t="inlineStr">
        <is>
          <t>SAY (Rs.) - final DAR rate as printed (fixed value, not computed)</t>
        </is>
      </c>
      <c r="B126" s="30" t="n"/>
      <c r="C126" s="30" t="n"/>
      <c r="D126" s="30" t="n"/>
      <c r="E126" s="30" t="n"/>
      <c r="F126" s="31" t="n">
        <v>220.35</v>
      </c>
      <c r="G126" s="30" t="n"/>
    </row>
    <row r="128" ht="33" customHeight="1">
      <c r="A128" s="8" t="inlineStr">
        <is>
          <t>8.3</t>
        </is>
      </c>
      <c r="B128" s="17" t="inlineStr">
        <is>
          <t>Providing edge moulding to 18 mm thick marble stone counters, Vanities etc., including machine polishing to edge to give high gloss finish etc. complete as per design approved by Engineer-in-Charge.</t>
        </is>
      </c>
      <c r="C128" s="9" t="n"/>
      <c r="D128" s="9" t="n"/>
      <c r="E128" s="9" t="n"/>
      <c r="F128" s="9" t="n"/>
      <c r="G128" s="9" t="n"/>
    </row>
    <row r="129" ht="18.5" customHeight="1">
      <c r="A129" s="18" t="inlineStr">
        <is>
          <t>8.3.2</t>
        </is>
      </c>
      <c r="B129" s="19" t="inlineStr">
        <is>
          <t>Granite work</t>
        </is>
      </c>
      <c r="C129" s="20" t="n"/>
      <c r="D129" s="20" t="n"/>
      <c r="E129" s="20" t="n"/>
      <c r="F129" s="20" t="n"/>
      <c r="G129" s="20" t="n"/>
    </row>
    <row r="130">
      <c r="A130" s="21" t="inlineStr">
        <is>
          <t>Details of cost for 10 metre   |   Source: CivilDAR_2019_Vol_1.pdf, page 373</t>
        </is>
      </c>
    </row>
    <row r="131">
      <c r="A131" s="5" t="inlineStr">
        <is>
          <t>Code</t>
        </is>
      </c>
      <c r="B131" s="5" t="inlineStr">
        <is>
          <t>Description</t>
        </is>
      </c>
      <c r="C131" s="5" t="inlineStr">
        <is>
          <t>Unit</t>
        </is>
      </c>
      <c r="D131" s="5" t="inlineStr">
        <is>
          <t>Quantity</t>
        </is>
      </c>
      <c r="E131" s="5" t="inlineStr">
        <is>
          <t>Rate (Rs.)</t>
        </is>
      </c>
      <c r="F131" s="5" t="inlineStr">
        <is>
          <t>Amount (Rs.)</t>
        </is>
      </c>
      <c r="G131" s="5" t="inlineStr">
        <is>
          <t>Note</t>
        </is>
      </c>
    </row>
    <row r="132">
      <c r="A132" s="22" t="inlineStr">
        <is>
          <t>0019</t>
        </is>
      </c>
      <c r="B132" s="11" t="inlineStr">
        <is>
          <t>Hand Grinder For mirror polish</t>
        </is>
      </c>
      <c r="C132" s="22" t="inlineStr">
        <is>
          <t>day</t>
        </is>
      </c>
      <c r="D132" s="23" t="n">
        <v>2.5</v>
      </c>
      <c r="E132" s="24" t="n">
        <v>250</v>
      </c>
      <c r="F132" s="24">
        <f>D132*E132</f>
        <v/>
      </c>
      <c r="G132" s="22" t="n"/>
    </row>
    <row r="133">
      <c r="A133" s="22" t="inlineStr">
        <is>
          <t>0114</t>
        </is>
      </c>
      <c r="B133" s="11" t="inlineStr">
        <is>
          <t>Beldar</t>
        </is>
      </c>
      <c r="C133" s="22" t="inlineStr">
        <is>
          <t>day</t>
        </is>
      </c>
      <c r="D133" s="23" t="n">
        <v>3.5</v>
      </c>
      <c r="E133" s="24" t="n">
        <v>558</v>
      </c>
      <c r="F133" s="24">
        <f>D133*E133</f>
        <v/>
      </c>
      <c r="G133" s="22" t="n"/>
    </row>
    <row r="134">
      <c r="A134" s="22" t="inlineStr">
        <is>
          <t>9999</t>
        </is>
      </c>
      <c r="B134" s="11" t="inlineStr">
        <is>
          <t>Sundries Blades &amp; Polished etc.</t>
        </is>
      </c>
      <c r="C134" s="22" t="inlineStr">
        <is>
          <t>L.S.</t>
        </is>
      </c>
      <c r="D134" s="23" t="n">
        <v>117</v>
      </c>
      <c r="E134" s="24" t="n">
        <v>2</v>
      </c>
      <c r="F134" s="24">
        <f>D134*E134</f>
        <v/>
      </c>
      <c r="G134" s="22" t="n"/>
    </row>
    <row r="135">
      <c r="A135" s="8" t="inlineStr">
        <is>
          <t>Calculated W - SUM of the Amount column above</t>
        </is>
      </c>
      <c r="B135" s="9" t="n"/>
      <c r="C135" s="9" t="n"/>
      <c r="D135" s="9" t="n"/>
      <c r="E135" s="9" t="n"/>
      <c r="F135" s="25">
        <f>SUM(F132:F134)</f>
        <v/>
      </c>
      <c r="G135" s="9" t="n"/>
    </row>
    <row r="136">
      <c r="A136" s="26" t="inlineStr">
        <is>
          <t>W as printed in the DAR</t>
        </is>
      </c>
      <c r="B136" s="22" t="n"/>
      <c r="C136" s="22" t="n"/>
      <c r="D136" s="22" t="n"/>
      <c r="E136" s="22" t="n"/>
      <c r="F136" s="27" t="n">
        <v>2812</v>
      </c>
      <c r="G136" s="22" t="n"/>
    </row>
    <row r="137">
      <c r="A137" s="26" t="inlineStr">
        <is>
          <t>Difference (calculated - printed)</t>
        </is>
      </c>
      <c r="B137" s="22" t="n"/>
      <c r="C137" s="22" t="n"/>
      <c r="D137" s="22" t="n"/>
      <c r="E137" s="22" t="n"/>
      <c r="F137" s="27">
        <f>F135-F136</f>
        <v/>
      </c>
      <c r="G137" s="22" t="n"/>
    </row>
    <row r="138">
      <c r="A138" s="29" t="inlineStr">
        <is>
          <t>SAY (Rs.) - final DAR rate as printed (fixed value, not computed)</t>
        </is>
      </c>
      <c r="B138" s="30" t="n"/>
      <c r="C138" s="30" t="n"/>
      <c r="D138" s="30" t="n"/>
      <c r="E138" s="30" t="n"/>
      <c r="F138" s="31" t="n">
        <v>376.25</v>
      </c>
      <c r="G138" s="30" t="n"/>
    </row>
    <row r="140" ht="33" customHeight="1">
      <c r="A140" s="18" t="inlineStr">
        <is>
          <t>8.4</t>
        </is>
      </c>
      <c r="B140" s="19" t="inlineStr">
        <is>
          <t>Extra for fixing marble /granite stone, over and above corresponding basic item, in facia and drops of width upto 150 mm with epoxy resin based adhesive, including cleaning etc. complete.</t>
        </is>
      </c>
      <c r="C140" s="20" t="n"/>
      <c r="D140" s="20" t="n"/>
      <c r="E140" s="20" t="n"/>
      <c r="F140" s="20" t="n"/>
      <c r="G140" s="20" t="n"/>
    </row>
    <row r="141">
      <c r="A141" s="21" t="inlineStr">
        <is>
          <t>Details of cost for 1.5 metre   |   Source: CivilDAR_2019_Vol_1.pdf, page 373</t>
        </is>
      </c>
    </row>
    <row r="142">
      <c r="A142" s="5" t="inlineStr">
        <is>
          <t>Code</t>
        </is>
      </c>
      <c r="B142" s="5" t="inlineStr">
        <is>
          <t>Description</t>
        </is>
      </c>
      <c r="C142" s="5" t="inlineStr">
        <is>
          <t>Unit</t>
        </is>
      </c>
      <c r="D142" s="5" t="inlineStr">
        <is>
          <t>Quantity</t>
        </is>
      </c>
      <c r="E142" s="5" t="inlineStr">
        <is>
          <t>Rate (Rs.)</t>
        </is>
      </c>
      <c r="F142" s="5" t="inlineStr">
        <is>
          <t>Amount (Rs.)</t>
        </is>
      </c>
      <c r="G142" s="5" t="inlineStr">
        <is>
          <t>Note</t>
        </is>
      </c>
    </row>
    <row r="143">
      <c r="A143" s="22" t="inlineStr">
        <is>
          <t>0123</t>
        </is>
      </c>
      <c r="B143" s="11" t="inlineStr">
        <is>
          <t>Mason (brick layer) 1st class</t>
        </is>
      </c>
      <c r="C143" s="22" t="inlineStr">
        <is>
          <t>day</t>
        </is>
      </c>
      <c r="D143" s="23" t="n">
        <v>0.3</v>
      </c>
      <c r="E143" s="24" t="n">
        <v>738</v>
      </c>
      <c r="F143" s="24">
        <f>D143*E143</f>
        <v/>
      </c>
      <c r="G143" s="22" t="n"/>
    </row>
    <row r="144">
      <c r="A144" s="22" t="inlineStr">
        <is>
          <t>0115</t>
        </is>
      </c>
      <c r="B144" s="11" t="inlineStr">
        <is>
          <t>Coolie</t>
        </is>
      </c>
      <c r="C144" s="22" t="inlineStr">
        <is>
          <t>day</t>
        </is>
      </c>
      <c r="D144" s="23" t="n">
        <v>0.3</v>
      </c>
      <c r="E144" s="24" t="n">
        <v>558</v>
      </c>
      <c r="F144" s="24">
        <f>D144*E144</f>
        <v/>
      </c>
      <c r="G144" s="22" t="n"/>
    </row>
    <row r="145">
      <c r="A145" s="22" t="inlineStr">
        <is>
          <t>9999</t>
        </is>
      </c>
      <c r="B145" s="11" t="inlineStr">
        <is>
          <t>Scaffolding, expoxy</t>
        </is>
      </c>
      <c r="C145" s="22" t="inlineStr">
        <is>
          <t>L.S.</t>
        </is>
      </c>
      <c r="D145" s="23" t="n">
        <v>39</v>
      </c>
      <c r="E145" s="24" t="n">
        <v>2</v>
      </c>
      <c r="F145" s="24">
        <f>D145*E145</f>
        <v/>
      </c>
      <c r="G145" s="22" t="n"/>
    </row>
    <row r="146">
      <c r="A146" s="7" t="inlineStr">
        <is>
          <t>3.9</t>
        </is>
      </c>
      <c r="B146" s="11" t="inlineStr">
        <is>
          <t>Rate as per item 3.9 - Cement mortar 1:4 (1 cement : 4 coarse sand)</t>
        </is>
      </c>
      <c r="C146" s="22" t="inlineStr">
        <is>
          <t>cum</t>
        </is>
      </c>
      <c r="D146" s="23" t="n">
        <v>0.005</v>
      </c>
      <c r="E146" s="24" t="n">
        <v>4010.35</v>
      </c>
      <c r="F146" s="24">
        <f>D146*E146</f>
        <v/>
      </c>
      <c r="G146" s="22" t="n"/>
    </row>
    <row r="147">
      <c r="A147" s="8" t="inlineStr">
        <is>
          <t>Calculated W - SUM of the Amount column above</t>
        </is>
      </c>
      <c r="B147" s="9" t="n"/>
      <c r="C147" s="9" t="n"/>
      <c r="D147" s="9" t="n"/>
      <c r="E147" s="9" t="n"/>
      <c r="F147" s="25">
        <f>SUM(F143:F146)</f>
        <v/>
      </c>
      <c r="G147" s="9" t="n"/>
    </row>
    <row r="148">
      <c r="A148" s="26" t="inlineStr">
        <is>
          <t>W as printed in the DAR</t>
        </is>
      </c>
      <c r="B148" s="22" t="n"/>
      <c r="C148" s="22" t="n"/>
      <c r="D148" s="22" t="n"/>
      <c r="E148" s="22" t="n"/>
      <c r="F148" s="27" t="n">
        <v>486.85</v>
      </c>
      <c r="G148" s="22" t="n"/>
    </row>
    <row r="149">
      <c r="A149" s="26" t="inlineStr">
        <is>
          <t>Difference (calculated - printed)</t>
        </is>
      </c>
      <c r="B149" s="22" t="n"/>
      <c r="C149" s="22" t="n"/>
      <c r="D149" s="22" t="n"/>
      <c r="E149" s="22" t="n"/>
      <c r="F149" s="27">
        <f>F147-F148</f>
        <v/>
      </c>
      <c r="G149" s="22" t="n"/>
    </row>
    <row r="150">
      <c r="A150" s="29" t="inlineStr">
        <is>
          <t>SAY (Rs.) - final DAR rate as printed (fixed value, not computed)</t>
        </is>
      </c>
      <c r="B150" s="30" t="n"/>
      <c r="C150" s="30" t="n"/>
      <c r="D150" s="30" t="n"/>
      <c r="E150" s="30" t="n"/>
      <c r="F150" s="31" t="n">
        <v>434.25</v>
      </c>
      <c r="G150" s="30" t="n"/>
    </row>
    <row r="152" ht="47.5" customHeight="1">
      <c r="A152" s="18" t="inlineStr">
        <is>
          <t>8.5</t>
        </is>
      </c>
      <c r="B152" s="19" t="inlineStr">
        <is>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is>
      </c>
      <c r="C152" s="20" t="n"/>
      <c r="D152" s="20" t="n"/>
      <c r="E152" s="20" t="n"/>
      <c r="F152" s="20" t="n"/>
      <c r="G152" s="20" t="n"/>
    </row>
    <row r="153">
      <c r="A153" s="21" t="inlineStr">
        <is>
          <t>Details of cost for 1 nos   |   Source: CivilDAR_2019_Vol_1.pdf, page 374</t>
        </is>
      </c>
    </row>
    <row r="154">
      <c r="A154" s="5" t="inlineStr">
        <is>
          <t>Code</t>
        </is>
      </c>
      <c r="B154" s="5" t="inlineStr">
        <is>
          <t>Description</t>
        </is>
      </c>
      <c r="C154" s="5" t="inlineStr">
        <is>
          <t>Unit</t>
        </is>
      </c>
      <c r="D154" s="5" t="inlineStr">
        <is>
          <t>Quantity</t>
        </is>
      </c>
      <c r="E154" s="5" t="inlineStr">
        <is>
          <t>Rate (Rs.)</t>
        </is>
      </c>
      <c r="F154" s="5" t="inlineStr">
        <is>
          <t>Amount (Rs.)</t>
        </is>
      </c>
      <c r="G154" s="5" t="inlineStr">
        <is>
          <t>Note</t>
        </is>
      </c>
    </row>
    <row r="155">
      <c r="A155" s="22" t="inlineStr">
        <is>
          <t>0126</t>
        </is>
      </c>
      <c r="B155" s="11" t="inlineStr">
        <is>
          <t>Mason (for ornamental stone work) 1st class</t>
        </is>
      </c>
      <c r="C155" s="22" t="inlineStr">
        <is>
          <t>day</t>
        </is>
      </c>
      <c r="D155" s="23" t="n">
        <v>0.4</v>
      </c>
      <c r="E155" s="24" t="n">
        <v>738</v>
      </c>
      <c r="F155" s="24">
        <f>D155*E155</f>
        <v/>
      </c>
      <c r="G155" s="22" t="n"/>
    </row>
    <row r="156">
      <c r="A156" s="22" t="inlineStr">
        <is>
          <t>0114</t>
        </is>
      </c>
      <c r="B156" s="11" t="inlineStr">
        <is>
          <t>Beldar</t>
        </is>
      </c>
      <c r="C156" s="22" t="inlineStr">
        <is>
          <t>day</t>
        </is>
      </c>
      <c r="D156" s="23" t="n">
        <v>0.4</v>
      </c>
      <c r="E156" s="24" t="n">
        <v>558</v>
      </c>
      <c r="F156" s="24">
        <f>D156*E156</f>
        <v/>
      </c>
      <c r="G156" s="22" t="n"/>
    </row>
    <row r="157">
      <c r="A157" s="22" t="inlineStr">
        <is>
          <t>9999</t>
        </is>
      </c>
      <c r="B157" s="11" t="inlineStr">
        <is>
          <t>Sundries</t>
        </is>
      </c>
      <c r="C157" s="22" t="inlineStr">
        <is>
          <t>L.S.</t>
        </is>
      </c>
      <c r="D157" s="23" t="n">
        <v>15.3</v>
      </c>
      <c r="E157" s="24" t="n">
        <v>2</v>
      </c>
      <c r="F157" s="24">
        <f>D157*E157</f>
        <v/>
      </c>
      <c r="G157" s="22" t="n"/>
    </row>
    <row r="158">
      <c r="A158" s="8" t="inlineStr">
        <is>
          <t>Calculated W - SUM of the Amount column above</t>
        </is>
      </c>
      <c r="B158" s="9" t="n"/>
      <c r="C158" s="9" t="n"/>
      <c r="D158" s="9" t="n"/>
      <c r="E158" s="9" t="n"/>
      <c r="F158" s="25">
        <f>SUM(F155:F157)</f>
        <v/>
      </c>
      <c r="G158" s="9" t="n"/>
    </row>
    <row r="159">
      <c r="A159" s="26" t="inlineStr">
        <is>
          <t>W as printed in the DAR</t>
        </is>
      </c>
      <c r="B159" s="22" t="n"/>
      <c r="C159" s="22" t="n"/>
      <c r="D159" s="22" t="n"/>
      <c r="E159" s="22" t="n"/>
      <c r="F159" s="27" t="n">
        <v>549</v>
      </c>
      <c r="G159" s="22" t="n"/>
    </row>
    <row r="160">
      <c r="A160" s="26" t="inlineStr">
        <is>
          <t>Difference (calculated - printed)</t>
        </is>
      </c>
      <c r="B160" s="22" t="n"/>
      <c r="C160" s="22" t="n"/>
      <c r="D160" s="22" t="n"/>
      <c r="E160" s="22" t="n"/>
      <c r="F160" s="27">
        <f>F158-F159</f>
        <v/>
      </c>
      <c r="G160" s="22" t="n"/>
    </row>
    <row r="161">
      <c r="A161" s="29" t="inlineStr">
        <is>
          <t>SAY (Rs.) - final DAR rate as printed (fixed value, not computed)</t>
        </is>
      </c>
      <c r="B161" s="30" t="n"/>
      <c r="C161" s="30" t="n"/>
      <c r="D161" s="30" t="n"/>
      <c r="E161" s="30" t="n"/>
      <c r="F161" s="31" t="n">
        <v>734.55</v>
      </c>
      <c r="G161" s="30" t="n"/>
    </row>
    <row r="163" ht="18.5" customHeight="1">
      <c r="A163" s="18" t="inlineStr">
        <is>
          <t>8.6</t>
        </is>
      </c>
      <c r="B163" s="19" t="inlineStr">
        <is>
          <t>Mirror polishing on marble work/Granite work/stone work where ever required to give high gloss finish complete.</t>
        </is>
      </c>
      <c r="C163" s="20" t="n"/>
      <c r="D163" s="20" t="n"/>
      <c r="E163" s="20" t="n"/>
      <c r="F163" s="20" t="n"/>
      <c r="G163" s="20" t="n"/>
    </row>
    <row r="164">
      <c r="A164" s="21" t="inlineStr">
        <is>
          <t>Details of cost for 10 sqm   |   Source: CivilDAR_2019_Vol_1.pdf, page 374</t>
        </is>
      </c>
    </row>
    <row r="165">
      <c r="A165" s="5" t="inlineStr">
        <is>
          <t>Code</t>
        </is>
      </c>
      <c r="B165" s="5" t="inlineStr">
        <is>
          <t>Description</t>
        </is>
      </c>
      <c r="C165" s="5" t="inlineStr">
        <is>
          <t>Unit</t>
        </is>
      </c>
      <c r="D165" s="5" t="inlineStr">
        <is>
          <t>Quantity</t>
        </is>
      </c>
      <c r="E165" s="5" t="inlineStr">
        <is>
          <t>Rate (Rs.)</t>
        </is>
      </c>
      <c r="F165" s="5" t="inlineStr">
        <is>
          <t>Amount (Rs.)</t>
        </is>
      </c>
      <c r="G165" s="5" t="inlineStr">
        <is>
          <t>Note</t>
        </is>
      </c>
    </row>
    <row r="166">
      <c r="A166" s="22" t="inlineStr">
        <is>
          <t>0013</t>
        </is>
      </c>
      <c r="B166" s="11" t="inlineStr">
        <is>
          <t>Machine for rubbing of floors</t>
        </is>
      </c>
      <c r="C166" s="22" t="inlineStr">
        <is>
          <t>day</t>
        </is>
      </c>
      <c r="D166" s="23" t="n">
        <v>1</v>
      </c>
      <c r="E166" s="24" t="n">
        <v>300</v>
      </c>
      <c r="F166" s="24">
        <f>D166*E166</f>
        <v/>
      </c>
      <c r="G166" s="22" t="n"/>
    </row>
    <row r="167">
      <c r="A167" s="22" t="inlineStr">
        <is>
          <t>0114</t>
        </is>
      </c>
      <c r="B167" s="11" t="inlineStr">
        <is>
          <t>Beldar</t>
        </is>
      </c>
      <c r="C167" s="22" t="inlineStr">
        <is>
          <t>day</t>
        </is>
      </c>
      <c r="D167" s="23" t="n">
        <v>2.5</v>
      </c>
      <c r="E167" s="24" t="n">
        <v>558</v>
      </c>
      <c r="F167" s="24">
        <f>D167*E167</f>
        <v/>
      </c>
      <c r="G167" s="22" t="n"/>
    </row>
    <row r="168">
      <c r="A168" s="22" t="inlineStr">
        <is>
          <t>0101</t>
        </is>
      </c>
      <c r="B168" s="11" t="inlineStr">
        <is>
          <t>Bhisti</t>
        </is>
      </c>
      <c r="C168" s="22" t="inlineStr">
        <is>
          <t>day</t>
        </is>
      </c>
      <c r="D168" s="23" t="n">
        <v>1.5</v>
      </c>
      <c r="E168" s="24" t="n">
        <v>617</v>
      </c>
      <c r="F168" s="24">
        <f>D168*E168</f>
        <v/>
      </c>
      <c r="G168" s="22" t="n"/>
    </row>
    <row r="169">
      <c r="A169" s="22" t="inlineStr">
        <is>
          <t>9999</t>
        </is>
      </c>
      <c r="B169" s="11" t="inlineStr">
        <is>
          <t>Sundries grease, mop grinding stones etc.</t>
        </is>
      </c>
      <c r="C169" s="22" t="inlineStr">
        <is>
          <t>L.S.</t>
        </is>
      </c>
      <c r="D169" s="23" t="n">
        <v>65</v>
      </c>
      <c r="E169" s="24" t="n">
        <v>2</v>
      </c>
      <c r="F169" s="24">
        <f>D169*E169</f>
        <v/>
      </c>
      <c r="G169" s="22" t="n"/>
    </row>
    <row r="170">
      <c r="A170" s="8" t="inlineStr">
        <is>
          <t>Calculated W - SUM of the Amount column above</t>
        </is>
      </c>
      <c r="B170" s="9" t="n"/>
      <c r="C170" s="9" t="n"/>
      <c r="D170" s="9" t="n"/>
      <c r="E170" s="9" t="n"/>
      <c r="F170" s="25">
        <f>SUM(F166:F169)</f>
        <v/>
      </c>
      <c r="G170" s="9" t="n"/>
    </row>
    <row r="171">
      <c r="A171" s="26" t="inlineStr">
        <is>
          <t>W as printed in the DAR</t>
        </is>
      </c>
      <c r="B171" s="22" t="n"/>
      <c r="C171" s="22" t="n"/>
      <c r="D171" s="22" t="n"/>
      <c r="E171" s="22" t="n"/>
      <c r="F171" s="27" t="n">
        <v>2750.5</v>
      </c>
      <c r="G171" s="22" t="n"/>
    </row>
    <row r="172">
      <c r="A172" s="26" t="inlineStr">
        <is>
          <t>Difference (calculated - printed)</t>
        </is>
      </c>
      <c r="B172" s="22" t="n"/>
      <c r="C172" s="22" t="n"/>
      <c r="D172" s="22" t="n"/>
      <c r="E172" s="22" t="n"/>
      <c r="F172" s="27">
        <f>F170-F171</f>
        <v/>
      </c>
      <c r="G172" s="22" t="n"/>
    </row>
    <row r="173">
      <c r="A173" s="29" t="inlineStr">
        <is>
          <t>SAY (Rs.) - final DAR rate as printed (fixed value, not computed)</t>
        </is>
      </c>
      <c r="B173" s="30" t="n"/>
      <c r="C173" s="30" t="n"/>
      <c r="D173" s="30" t="n"/>
      <c r="E173" s="30" t="n"/>
      <c r="F173" s="31" t="n">
        <v>368</v>
      </c>
      <c r="G173" s="30" t="n"/>
    </row>
    <row r="175" ht="47.5" customHeight="1">
      <c r="A175" s="8" t="inlineStr">
        <is>
          <t>8.7</t>
        </is>
      </c>
      <c r="B175" s="17" t="inlineStr">
        <is>
          <t>Providing and fixing cramps of required size &amp; shape in RCC/ CC / Brick masonry backing with cement mortar 1:2 ( 1 cement :2 coarse sand), including drilling necessary hole in stones and embedding the cramp in the hole (fastener to be paid separately).</t>
        </is>
      </c>
      <c r="C175" s="9" t="n"/>
      <c r="D175" s="9" t="n"/>
      <c r="E175" s="9" t="n"/>
      <c r="F175" s="9" t="n"/>
      <c r="G175" s="9" t="n"/>
    </row>
    <row r="176" ht="18.5" customHeight="1">
      <c r="A176" s="18" t="inlineStr">
        <is>
          <t>8.7.1</t>
        </is>
      </c>
      <c r="B176" s="19" t="inlineStr">
        <is>
          <t>Gunmetal cramps</t>
        </is>
      </c>
      <c r="C176" s="20" t="n"/>
      <c r="D176" s="20" t="n"/>
      <c r="E176" s="20" t="n"/>
      <c r="F176" s="20" t="n"/>
      <c r="G176" s="20" t="n"/>
    </row>
    <row r="177">
      <c r="A177" s="21" t="inlineStr">
        <is>
          <t>Details of cost for 1.03 kg   |   Source: CivilDAR_2019_Vol_1.pdf, page 375</t>
        </is>
      </c>
    </row>
    <row r="178">
      <c r="A178" s="5" t="inlineStr">
        <is>
          <t>Code</t>
        </is>
      </c>
      <c r="B178" s="5" t="inlineStr">
        <is>
          <t>Description</t>
        </is>
      </c>
      <c r="C178" s="5" t="inlineStr">
        <is>
          <t>Unit</t>
        </is>
      </c>
      <c r="D178" s="5" t="inlineStr">
        <is>
          <t>Quantity</t>
        </is>
      </c>
      <c r="E178" s="5" t="inlineStr">
        <is>
          <t>Rate (Rs.)</t>
        </is>
      </c>
      <c r="F178" s="5" t="inlineStr">
        <is>
          <t>Amount (Rs.)</t>
        </is>
      </c>
      <c r="G178" s="5" t="inlineStr">
        <is>
          <t>Note</t>
        </is>
      </c>
    </row>
    <row r="179">
      <c r="A179" s="22" t="inlineStr">
        <is>
          <t>7338</t>
        </is>
      </c>
      <c r="B179" s="11" t="inlineStr">
        <is>
          <t>Gun metal cramp</t>
        </is>
      </c>
      <c r="C179" s="22" t="inlineStr">
        <is>
          <t>kilogram</t>
        </is>
      </c>
      <c r="D179" s="23" t="n">
        <v>1.08</v>
      </c>
      <c r="E179" s="24" t="n">
        <v>315</v>
      </c>
      <c r="F179" s="24">
        <f>D179*E179</f>
        <v/>
      </c>
      <c r="G179" s="22" t="n"/>
    </row>
    <row r="180">
      <c r="A180" s="22" t="inlineStr">
        <is>
          <t>9977</t>
        </is>
      </c>
      <c r="B180" s="11" t="inlineStr">
        <is>
          <t>Carriage</t>
        </is>
      </c>
      <c r="C180" s="22" t="inlineStr">
        <is>
          <t>L.S.</t>
        </is>
      </c>
      <c r="D180" s="23" t="n">
        <v>3.9</v>
      </c>
      <c r="E180" s="24" t="n">
        <v>2</v>
      </c>
      <c r="F180" s="24">
        <f>D180*E180</f>
        <v/>
      </c>
      <c r="G180" s="22" t="n"/>
    </row>
    <row r="181">
      <c r="A181" s="7" t="inlineStr">
        <is>
          <t>3.7</t>
        </is>
      </c>
      <c r="B181" s="11" t="inlineStr">
        <is>
          <t>Rate as per item 3.7 - Cement mortar 1:2 (1 cement : 2 coarse sand)</t>
        </is>
      </c>
      <c r="C181" s="22" t="inlineStr">
        <is>
          <t>cum</t>
        </is>
      </c>
      <c r="D181" s="23" t="n">
        <v>0.001</v>
      </c>
      <c r="E181" s="24" t="n">
        <v>5345.55</v>
      </c>
      <c r="F181" s="24">
        <f>D181*E181</f>
        <v/>
      </c>
      <c r="G181" s="22" t="n"/>
    </row>
    <row r="182">
      <c r="A182" s="22" t="inlineStr">
        <is>
          <t>9999</t>
        </is>
      </c>
      <c r="B182" s="11" t="inlineStr">
        <is>
          <t>Labour for fixing in position</t>
        </is>
      </c>
      <c r="C182" s="22" t="inlineStr">
        <is>
          <t>L.S.</t>
        </is>
      </c>
      <c r="D182" s="23" t="n">
        <v>65</v>
      </c>
      <c r="E182" s="24" t="n">
        <v>2</v>
      </c>
      <c r="F182" s="24">
        <f>D182*E182</f>
        <v/>
      </c>
      <c r="G182" s="22" t="n"/>
    </row>
    <row r="183">
      <c r="A183" s="8" t="inlineStr">
        <is>
          <t>Calculated W - SUM of the Amount column above</t>
        </is>
      </c>
      <c r="B183" s="9" t="n"/>
      <c r="C183" s="9" t="n"/>
      <c r="D183" s="9" t="n"/>
      <c r="E183" s="9" t="n"/>
      <c r="F183" s="25">
        <f>SUM(F179:F182)</f>
        <v/>
      </c>
      <c r="G183" s="9" t="n"/>
    </row>
    <row r="184">
      <c r="A184" s="26" t="inlineStr">
        <is>
          <t>W as printed in the DAR</t>
        </is>
      </c>
      <c r="B184" s="22" t="n"/>
      <c r="C184" s="22" t="n"/>
      <c r="D184" s="22" t="n"/>
      <c r="E184" s="22" t="n"/>
      <c r="F184" s="27" t="n">
        <v>483.35</v>
      </c>
      <c r="G184" s="22" t="n"/>
    </row>
    <row r="185">
      <c r="A185" s="26" t="inlineStr">
        <is>
          <t>Difference (calculated - printed)</t>
        </is>
      </c>
      <c r="B185" s="22" t="n"/>
      <c r="C185" s="22" t="n"/>
      <c r="D185" s="22" t="n"/>
      <c r="E185" s="22" t="n"/>
      <c r="F185" s="27">
        <f>F183-F184</f>
        <v/>
      </c>
      <c r="G185" s="22" t="n"/>
    </row>
    <row r="186">
      <c r="A186" s="29" t="inlineStr">
        <is>
          <t>SAY (Rs.) - final DAR rate as printed (fixed value, not computed)</t>
        </is>
      </c>
      <c r="B186" s="30" t="n"/>
      <c r="C186" s="30" t="n"/>
      <c r="D186" s="30" t="n"/>
      <c r="E186" s="30" t="n"/>
      <c r="F186" s="31" t="n">
        <v>627.85</v>
      </c>
      <c r="G186" s="30" t="n"/>
    </row>
    <row r="188" ht="47.5" customHeight="1">
      <c r="A188" s="8" t="inlineStr">
        <is>
          <t>8.7</t>
        </is>
      </c>
      <c r="B188" s="17" t="inlineStr">
        <is>
          <t>Providing and fixing cramps of required size &amp; shape in RCC/ CC / Brick masonry backing with cement mortar 1:2 ( 1 cement :2 coarse sand), including drilling necessary hole in stones and embedding the cramp in the hole (fastener to be paid separately).</t>
        </is>
      </c>
      <c r="C188" s="9" t="n"/>
      <c r="D188" s="9" t="n"/>
      <c r="E188" s="9" t="n"/>
      <c r="F188" s="9" t="n"/>
      <c r="G188" s="9" t="n"/>
    </row>
    <row r="189" ht="18.5" customHeight="1">
      <c r="A189" s="18" t="inlineStr">
        <is>
          <t>8.7.2</t>
        </is>
      </c>
      <c r="B189" s="19" t="inlineStr">
        <is>
          <t>Stainless steel cramps</t>
        </is>
      </c>
      <c r="C189" s="20" t="n"/>
      <c r="D189" s="20" t="n"/>
      <c r="E189" s="20" t="n"/>
      <c r="F189" s="20" t="n"/>
      <c r="G189" s="20" t="n"/>
    </row>
    <row r="190">
      <c r="A190" s="21" t="inlineStr">
        <is>
          <t>Details of cost for 0.934 kg   |   Source: CivilDAR_2019_Vol_1.pdf, page 375</t>
        </is>
      </c>
    </row>
    <row r="191">
      <c r="A191" s="5" t="inlineStr">
        <is>
          <t>Code</t>
        </is>
      </c>
      <c r="B191" s="5" t="inlineStr">
        <is>
          <t>Description</t>
        </is>
      </c>
      <c r="C191" s="5" t="inlineStr">
        <is>
          <t>Unit</t>
        </is>
      </c>
      <c r="D191" s="5" t="inlineStr">
        <is>
          <t>Quantity</t>
        </is>
      </c>
      <c r="E191" s="5" t="inlineStr">
        <is>
          <t>Rate (Rs.)</t>
        </is>
      </c>
      <c r="F191" s="5" t="inlineStr">
        <is>
          <t>Amount (Rs.)</t>
        </is>
      </c>
      <c r="G191" s="5" t="inlineStr">
        <is>
          <t>Note</t>
        </is>
      </c>
    </row>
    <row r="192">
      <c r="A192" s="22" t="inlineStr">
        <is>
          <t>7339</t>
        </is>
      </c>
      <c r="B192" s="11" t="inlineStr">
        <is>
          <t>Stainless steel cramp</t>
        </is>
      </c>
      <c r="C192" s="22" t="inlineStr">
        <is>
          <t>kilogram</t>
        </is>
      </c>
      <c r="D192" s="23" t="n">
        <v>0.981</v>
      </c>
      <c r="E192" s="24" t="n">
        <v>290</v>
      </c>
      <c r="F192" s="24">
        <f>D192*E192</f>
        <v/>
      </c>
      <c r="G192" s="22" t="n"/>
    </row>
    <row r="193">
      <c r="A193" s="22" t="inlineStr">
        <is>
          <t>9977</t>
        </is>
      </c>
      <c r="B193" s="11" t="inlineStr">
        <is>
          <t>Carriage</t>
        </is>
      </c>
      <c r="C193" s="22" t="inlineStr">
        <is>
          <t>L.S.</t>
        </is>
      </c>
      <c r="D193" s="23" t="n">
        <v>3.9</v>
      </c>
      <c r="E193" s="24" t="n">
        <v>2</v>
      </c>
      <c r="F193" s="24">
        <f>D193*E193</f>
        <v/>
      </c>
      <c r="G193" s="22" t="n"/>
    </row>
    <row r="194">
      <c r="A194" s="7" t="inlineStr">
        <is>
          <t>3.7</t>
        </is>
      </c>
      <c r="B194" s="11" t="inlineStr">
        <is>
          <t>Rate as per item 3.7 - Cement mortar 1:2 (1 cement : 2 coarse sand)</t>
        </is>
      </c>
      <c r="C194" s="22" t="inlineStr">
        <is>
          <t>cum</t>
        </is>
      </c>
      <c r="D194" s="23" t="n">
        <v>0.001</v>
      </c>
      <c r="E194" s="24" t="n">
        <v>5345.55</v>
      </c>
      <c r="F194" s="24">
        <f>D194*E194</f>
        <v/>
      </c>
      <c r="G194" s="22" t="n"/>
    </row>
    <row r="195">
      <c r="A195" s="22" t="inlineStr">
        <is>
          <t>9999</t>
        </is>
      </c>
      <c r="B195" s="11" t="inlineStr">
        <is>
          <t>Labour for fixing in position</t>
        </is>
      </c>
      <c r="C195" s="22" t="inlineStr">
        <is>
          <t>L.S.</t>
        </is>
      </c>
      <c r="D195" s="23" t="n">
        <v>65</v>
      </c>
      <c r="E195" s="24" t="n">
        <v>2</v>
      </c>
      <c r="F195" s="24">
        <f>D195*E195</f>
        <v/>
      </c>
      <c r="G195" s="22" t="n"/>
    </row>
    <row r="196">
      <c r="A196" s="8" t="inlineStr">
        <is>
          <t>Calculated W - SUM of the Amount column above</t>
        </is>
      </c>
      <c r="B196" s="9" t="n"/>
      <c r="C196" s="9" t="n"/>
      <c r="D196" s="9" t="n"/>
      <c r="E196" s="9" t="n"/>
      <c r="F196" s="25">
        <f>SUM(F192:F195)</f>
        <v/>
      </c>
      <c r="G196" s="9" t="n"/>
    </row>
    <row r="197">
      <c r="A197" s="26" t="inlineStr">
        <is>
          <t>W as printed in the DAR</t>
        </is>
      </c>
      <c r="B197" s="22" t="n"/>
      <c r="C197" s="22" t="n"/>
      <c r="D197" s="22" t="n"/>
      <c r="E197" s="22" t="n"/>
      <c r="F197" s="27" t="n">
        <v>427.64</v>
      </c>
      <c r="G197" s="22" t="n"/>
    </row>
    <row r="198">
      <c r="A198" s="26" t="inlineStr">
        <is>
          <t>Difference (calculated - printed)</t>
        </is>
      </c>
      <c r="B198" s="22" t="n"/>
      <c r="C198" s="22" t="n"/>
      <c r="D198" s="22" t="n"/>
      <c r="E198" s="22" t="n"/>
      <c r="F198" s="27">
        <f>F196-F197</f>
        <v/>
      </c>
      <c r="G198" s="22" t="n"/>
    </row>
    <row r="199">
      <c r="A199" s="29" t="inlineStr">
        <is>
          <t>SAY (Rs.) - final DAR rate as printed (fixed value, not computed)</t>
        </is>
      </c>
      <c r="B199" s="30" t="n"/>
      <c r="C199" s="30" t="n"/>
      <c r="D199" s="30" t="n"/>
      <c r="E199" s="30" t="n"/>
      <c r="F199" s="31" t="n">
        <v>612.6</v>
      </c>
      <c r="G199" s="30" t="n"/>
    </row>
    <row r="201" ht="33" customHeight="1">
      <c r="A201" s="8" t="inlineStr">
        <is>
          <t>8.8</t>
        </is>
      </c>
      <c r="B201" s="17" t="inlineStr">
        <is>
          <t>Providing and fixing expansion hold fasteners on C.C. /R.C.C./Brick masonry surface backing including drilling necessary holes and the cost of bolt etc complete.</t>
        </is>
      </c>
      <c r="C201" s="9" t="n"/>
      <c r="D201" s="9" t="n"/>
      <c r="E201" s="9" t="n"/>
      <c r="F201" s="9" t="n"/>
      <c r="G201" s="9" t="n"/>
    </row>
    <row r="202" ht="18.5" customHeight="1">
      <c r="A202" s="8" t="inlineStr">
        <is>
          <t>8.8.1</t>
        </is>
      </c>
      <c r="B202" s="17" t="inlineStr">
        <is>
          <t>Wedge expansion type</t>
        </is>
      </c>
      <c r="C202" s="9" t="n"/>
      <c r="D202" s="9" t="n"/>
      <c r="E202" s="9" t="n"/>
      <c r="F202" s="9" t="n"/>
      <c r="G202" s="9" t="n"/>
    </row>
    <row r="203" ht="18.5" customHeight="1">
      <c r="A203" s="18" t="inlineStr">
        <is>
          <t>8.8.1.1</t>
        </is>
      </c>
      <c r="B203" s="19" t="inlineStr">
        <is>
          <t>Fastener with threaded dia 6 mm</t>
        </is>
      </c>
      <c r="C203" s="20" t="n"/>
      <c r="D203" s="20" t="n"/>
      <c r="E203" s="20" t="n"/>
      <c r="F203" s="20" t="n"/>
      <c r="G203" s="20" t="n"/>
    </row>
    <row r="204">
      <c r="A204" s="21" t="inlineStr">
        <is>
          <t>Details of cost for 30 nos   |   Source: CivilDAR_2019_Vol_1.pdf, page 376</t>
        </is>
      </c>
    </row>
    <row r="205">
      <c r="A205" s="5" t="inlineStr">
        <is>
          <t>Code</t>
        </is>
      </c>
      <c r="B205" s="5" t="inlineStr">
        <is>
          <t>Description</t>
        </is>
      </c>
      <c r="C205" s="5" t="inlineStr">
        <is>
          <t>Unit</t>
        </is>
      </c>
      <c r="D205" s="5" t="inlineStr">
        <is>
          <t>Quantity</t>
        </is>
      </c>
      <c r="E205" s="5" t="inlineStr">
        <is>
          <t>Rate (Rs.)</t>
        </is>
      </c>
      <c r="F205" s="5" t="inlineStr">
        <is>
          <t>Amount (Rs.)</t>
        </is>
      </c>
      <c r="G205" s="5" t="inlineStr">
        <is>
          <t>Note</t>
        </is>
      </c>
    </row>
    <row r="206">
      <c r="A206" s="22" t="inlineStr">
        <is>
          <t>7430</t>
        </is>
      </c>
      <c r="B206" s="11" t="inlineStr">
        <is>
          <t>Wedge expansion hold fastner 1/4" or 6 mm,</t>
        </is>
      </c>
      <c r="C206" s="22" t="inlineStr">
        <is>
          <t>each</t>
        </is>
      </c>
      <c r="D206" s="23" t="n">
        <v>30</v>
      </c>
      <c r="E206" s="24" t="n">
        <v>11</v>
      </c>
      <c r="F206" s="24">
        <f>D206*E206</f>
        <v/>
      </c>
      <c r="G206" s="22" t="n"/>
    </row>
    <row r="207">
      <c r="A207" s="22" t="inlineStr">
        <is>
          <t>1034</t>
        </is>
      </c>
      <c r="B207" s="11" t="inlineStr">
        <is>
          <t>Bolts and nuts upto 300 mm in length (36.5+10mm)</t>
        </is>
      </c>
      <c r="C207" s="22" t="inlineStr">
        <is>
          <t>quintal</t>
        </is>
      </c>
      <c r="D207" s="23" t="n">
        <v>0.0045</v>
      </c>
      <c r="E207" s="24" t="n">
        <v>4800</v>
      </c>
      <c r="F207" s="24">
        <f>D207*E207</f>
        <v/>
      </c>
      <c r="G207" s="22" t="n"/>
    </row>
    <row r="208">
      <c r="A208" s="22" t="inlineStr">
        <is>
          <t>0116</t>
        </is>
      </c>
      <c r="B208" s="11" t="inlineStr">
        <is>
          <t>Fitter (grade 1)</t>
        </is>
      </c>
      <c r="C208" s="22" t="inlineStr">
        <is>
          <t>day</t>
        </is>
      </c>
      <c r="D208" s="23" t="n">
        <v>0.25</v>
      </c>
      <c r="E208" s="24" t="n">
        <v>738</v>
      </c>
      <c r="F208" s="24">
        <f>D208*E208</f>
        <v/>
      </c>
      <c r="G208" s="22" t="n"/>
    </row>
    <row r="209">
      <c r="A209" s="22" t="inlineStr">
        <is>
          <t>0114</t>
        </is>
      </c>
      <c r="B209" s="11" t="inlineStr">
        <is>
          <t>Beldar</t>
        </is>
      </c>
      <c r="C209" s="22" t="inlineStr">
        <is>
          <t>day</t>
        </is>
      </c>
      <c r="D209" s="23" t="n">
        <v>0.25</v>
      </c>
      <c r="E209" s="24" t="n">
        <v>558</v>
      </c>
      <c r="F209" s="24">
        <f>D209*E209</f>
        <v/>
      </c>
      <c r="G209" s="22" t="n"/>
    </row>
    <row r="210">
      <c r="A210" s="22" t="inlineStr">
        <is>
          <t>9999</t>
        </is>
      </c>
      <c r="B210" s="11" t="inlineStr">
        <is>
          <t>Hire and running charges for hand drill machine Sundries, drilling bit scaffolding etc.</t>
        </is>
      </c>
      <c r="C210" s="22" t="inlineStr">
        <is>
          <t>L.S.</t>
        </is>
      </c>
      <c r="D210" s="23" t="n">
        <v>32.5</v>
      </c>
      <c r="E210" s="24" t="n">
        <v>2</v>
      </c>
      <c r="F210" s="24">
        <f>D210*E210</f>
        <v/>
      </c>
      <c r="G210" s="22" t="n"/>
    </row>
    <row r="211">
      <c r="A211" s="8" t="inlineStr">
        <is>
          <t>Calculated W - SUM of the Amount column above</t>
        </is>
      </c>
      <c r="B211" s="9" t="n"/>
      <c r="C211" s="9" t="n"/>
      <c r="D211" s="9" t="n"/>
      <c r="E211" s="9" t="n"/>
      <c r="F211" s="25">
        <f>SUM(F206:F210)</f>
        <v/>
      </c>
      <c r="G211" s="9" t="n"/>
    </row>
    <row r="212">
      <c r="A212" s="26" t="inlineStr">
        <is>
          <t>W as printed in the DAR</t>
        </is>
      </c>
      <c r="B212" s="22" t="n"/>
      <c r="C212" s="22" t="n"/>
      <c r="D212" s="22" t="n"/>
      <c r="E212" s="22" t="n"/>
      <c r="F212" s="27" t="n">
        <v>740.6</v>
      </c>
      <c r="G212" s="22" t="n"/>
    </row>
    <row r="213">
      <c r="A213" s="26" t="inlineStr">
        <is>
          <t>Difference (calculated - printed)</t>
        </is>
      </c>
      <c r="B213" s="22" t="n"/>
      <c r="C213" s="22" t="n"/>
      <c r="D213" s="22" t="n"/>
      <c r="E213" s="22" t="n"/>
      <c r="F213" s="27">
        <f>F211-F212</f>
        <v/>
      </c>
      <c r="G213" s="22" t="n"/>
    </row>
    <row r="214">
      <c r="A214" s="29" t="inlineStr">
        <is>
          <t>SAY (Rs.) - final DAR rate as printed (fixed value, not computed)</t>
        </is>
      </c>
      <c r="B214" s="30" t="n"/>
      <c r="C214" s="30" t="n"/>
      <c r="D214" s="30" t="n"/>
      <c r="E214" s="30" t="n"/>
      <c r="F214" s="31" t="n">
        <v>33.05</v>
      </c>
      <c r="G214" s="30" t="n"/>
    </row>
    <row r="216" ht="33" customHeight="1">
      <c r="A216" s="8" t="inlineStr">
        <is>
          <t>8.8</t>
        </is>
      </c>
      <c r="B216" s="17" t="inlineStr">
        <is>
          <t>Providing and fixing expansion hold fasteners on C.C. /R.C.C./Brick masonry surface backing including drilling necessary holes and the cost of bolt etc complete.</t>
        </is>
      </c>
      <c r="C216" s="9" t="n"/>
      <c r="D216" s="9" t="n"/>
      <c r="E216" s="9" t="n"/>
      <c r="F216" s="9" t="n"/>
      <c r="G216" s="9" t="n"/>
    </row>
    <row r="217" ht="18.5" customHeight="1">
      <c r="A217" s="8" t="inlineStr">
        <is>
          <t>8.8.1</t>
        </is>
      </c>
      <c r="B217" s="17" t="inlineStr">
        <is>
          <t>Wedge expansion type</t>
        </is>
      </c>
      <c r="C217" s="9" t="n"/>
      <c r="D217" s="9" t="n"/>
      <c r="E217" s="9" t="n"/>
      <c r="F217" s="9" t="n"/>
      <c r="G217" s="9" t="n"/>
    </row>
    <row r="218" ht="18.5" customHeight="1">
      <c r="A218" s="18" t="inlineStr">
        <is>
          <t>8.8.1.2</t>
        </is>
      </c>
      <c r="B218" s="19" t="inlineStr">
        <is>
          <t>Fastener with threaded dia 10 mm</t>
        </is>
      </c>
      <c r="C218" s="20" t="n"/>
      <c r="D218" s="20" t="n"/>
      <c r="E218" s="20" t="n"/>
      <c r="F218" s="20" t="n"/>
      <c r="G218" s="20" t="n"/>
    </row>
    <row r="219">
      <c r="A219" s="21" t="inlineStr">
        <is>
          <t>Details of cost for 30 nos   |   Source: CivilDAR_2019_Vol_1.pdf, page 377</t>
        </is>
      </c>
    </row>
    <row r="220">
      <c r="A220" s="5" t="inlineStr">
        <is>
          <t>Code</t>
        </is>
      </c>
      <c r="B220" s="5" t="inlineStr">
        <is>
          <t>Description</t>
        </is>
      </c>
      <c r="C220" s="5" t="inlineStr">
        <is>
          <t>Unit</t>
        </is>
      </c>
      <c r="D220" s="5" t="inlineStr">
        <is>
          <t>Quantity</t>
        </is>
      </c>
      <c r="E220" s="5" t="inlineStr">
        <is>
          <t>Rate (Rs.)</t>
        </is>
      </c>
      <c r="F220" s="5" t="inlineStr">
        <is>
          <t>Amount (Rs.)</t>
        </is>
      </c>
      <c r="G220" s="5" t="inlineStr">
        <is>
          <t>Note</t>
        </is>
      </c>
    </row>
    <row r="221">
      <c r="A221" s="22" t="inlineStr">
        <is>
          <t>7431</t>
        </is>
      </c>
      <c r="B221" s="11" t="inlineStr">
        <is>
          <t>Wedge expansion hold fastner 3/8" or 10 mm,</t>
        </is>
      </c>
      <c r="C221" s="22" t="inlineStr">
        <is>
          <t>each</t>
        </is>
      </c>
      <c r="D221" s="23" t="n">
        <v>30</v>
      </c>
      <c r="E221" s="24" t="n">
        <v>11</v>
      </c>
      <c r="F221" s="24">
        <f>D221*E221</f>
        <v/>
      </c>
      <c r="G221" s="22" t="n"/>
    </row>
    <row r="222">
      <c r="A222" s="22" t="inlineStr">
        <is>
          <t>1034</t>
        </is>
      </c>
      <c r="B222" s="11" t="inlineStr">
        <is>
          <t>Bolts and nuts upto 300 mm in length (44.5+10mm)</t>
        </is>
      </c>
      <c r="C222" s="22" t="inlineStr">
        <is>
          <t>quintal</t>
        </is>
      </c>
      <c r="D222" s="23" t="n">
        <v>0.006</v>
      </c>
      <c r="E222" s="24" t="n">
        <v>4800</v>
      </c>
      <c r="F222" s="24">
        <f>D222*E222</f>
        <v/>
      </c>
      <c r="G222" s="22" t="n"/>
    </row>
    <row r="223">
      <c r="A223" s="22" t="inlineStr">
        <is>
          <t>0116</t>
        </is>
      </c>
      <c r="B223" s="11" t="inlineStr">
        <is>
          <t>Fitter (grade 1)</t>
        </is>
      </c>
      <c r="C223" s="22" t="inlineStr">
        <is>
          <t>day</t>
        </is>
      </c>
      <c r="D223" s="23" t="n">
        <v>0.25</v>
      </c>
      <c r="E223" s="24" t="n">
        <v>738</v>
      </c>
      <c r="F223" s="24">
        <f>D223*E223</f>
        <v/>
      </c>
      <c r="G223" s="22" t="n"/>
    </row>
    <row r="224">
      <c r="A224" s="22" t="inlineStr">
        <is>
          <t>0114</t>
        </is>
      </c>
      <c r="B224" s="11" t="inlineStr">
        <is>
          <t>Beldar</t>
        </is>
      </c>
      <c r="C224" s="22" t="inlineStr">
        <is>
          <t>day</t>
        </is>
      </c>
      <c r="D224" s="23" t="n">
        <v>0.25</v>
      </c>
      <c r="E224" s="24" t="n">
        <v>558</v>
      </c>
      <c r="F224" s="24">
        <f>D224*E224</f>
        <v/>
      </c>
      <c r="G224" s="22" t="n"/>
    </row>
    <row r="225">
      <c r="A225" s="22" t="inlineStr">
        <is>
          <t>9999</t>
        </is>
      </c>
      <c r="B225" s="11" t="inlineStr">
        <is>
          <t>Hire and running charges for hand drill machine Sundries, drilling bit scaffolding etc.</t>
        </is>
      </c>
      <c r="C225" s="22" t="inlineStr">
        <is>
          <t>L.S.</t>
        </is>
      </c>
      <c r="D225" s="23" t="n">
        <v>32.5</v>
      </c>
      <c r="E225" s="24" t="n">
        <v>2</v>
      </c>
      <c r="F225" s="24">
        <f>D225*E225</f>
        <v/>
      </c>
      <c r="G225" s="22" t="n"/>
    </row>
    <row r="226">
      <c r="A226" s="8" t="inlineStr">
        <is>
          <t>Calculated W - SUM of the Amount column above</t>
        </is>
      </c>
      <c r="B226" s="9" t="n"/>
      <c r="C226" s="9" t="n"/>
      <c r="D226" s="9" t="n"/>
      <c r="E226" s="9" t="n"/>
      <c r="F226" s="25">
        <f>SUM(F221:F225)</f>
        <v/>
      </c>
      <c r="G226" s="9" t="n"/>
    </row>
    <row r="227">
      <c r="A227" s="26" t="inlineStr">
        <is>
          <t>W as printed in the DAR</t>
        </is>
      </c>
      <c r="B227" s="22" t="n"/>
      <c r="C227" s="22" t="n"/>
      <c r="D227" s="22" t="n"/>
      <c r="E227" s="22" t="n"/>
      <c r="F227" s="27" t="n">
        <v>747.8</v>
      </c>
      <c r="G227" s="22" t="n"/>
    </row>
    <row r="228">
      <c r="A228" s="26" t="inlineStr">
        <is>
          <t>Difference (calculated - printed)</t>
        </is>
      </c>
      <c r="B228" s="22" t="n"/>
      <c r="C228" s="22" t="n"/>
      <c r="D228" s="22" t="n"/>
      <c r="E228" s="22" t="n"/>
      <c r="F228" s="27">
        <f>F226-F227</f>
        <v/>
      </c>
      <c r="G228" s="22" t="n"/>
    </row>
    <row r="229">
      <c r="A229" s="29" t="inlineStr">
        <is>
          <t>SAY (Rs.) - final DAR rate as printed (fixed value, not computed)</t>
        </is>
      </c>
      <c r="B229" s="30" t="n"/>
      <c r="C229" s="30" t="n"/>
      <c r="D229" s="30" t="n"/>
      <c r="E229" s="30" t="n"/>
      <c r="F229" s="31" t="n">
        <v>33.35</v>
      </c>
      <c r="G229" s="30" t="n"/>
    </row>
    <row r="231" ht="33" customHeight="1">
      <c r="A231" s="8" t="inlineStr">
        <is>
          <t>8.8</t>
        </is>
      </c>
      <c r="B231" s="17" t="inlineStr">
        <is>
          <t>Providing and fixing expansion hold fasteners on C.C. /R.C.C./Brick masonry surface backing including drilling necessary holes and the cost of bolt etc complete.</t>
        </is>
      </c>
      <c r="C231" s="9" t="n"/>
      <c r="D231" s="9" t="n"/>
      <c r="E231" s="9" t="n"/>
      <c r="F231" s="9" t="n"/>
      <c r="G231" s="9" t="n"/>
    </row>
    <row r="232" ht="18.5" customHeight="1">
      <c r="A232" s="8" t="inlineStr">
        <is>
          <t>8.8.1</t>
        </is>
      </c>
      <c r="B232" s="17" t="inlineStr">
        <is>
          <t>Wedge expansion type</t>
        </is>
      </c>
      <c r="C232" s="9" t="n"/>
      <c r="D232" s="9" t="n"/>
      <c r="E232" s="9" t="n"/>
      <c r="F232" s="9" t="n"/>
      <c r="G232" s="9" t="n"/>
    </row>
    <row r="233" ht="18.5" customHeight="1">
      <c r="A233" s="18" t="inlineStr">
        <is>
          <t>8.8.1.3</t>
        </is>
      </c>
      <c r="B233" s="19" t="inlineStr">
        <is>
          <t>Fastener with threaded dia 12 mm</t>
        </is>
      </c>
      <c r="C233" s="20" t="n"/>
      <c r="D233" s="20" t="n"/>
      <c r="E233" s="20" t="n"/>
      <c r="F233" s="20" t="n"/>
      <c r="G233" s="20" t="n"/>
    </row>
    <row r="234">
      <c r="A234" s="21" t="inlineStr">
        <is>
          <t>Details of cost for 30 nos   |   Source: CivilDAR_2019_Vol_1.pdf, page 377</t>
        </is>
      </c>
    </row>
    <row r="235">
      <c r="A235" s="5" t="inlineStr">
        <is>
          <t>Code</t>
        </is>
      </c>
      <c r="B235" s="5" t="inlineStr">
        <is>
          <t>Description</t>
        </is>
      </c>
      <c r="C235" s="5" t="inlineStr">
        <is>
          <t>Unit</t>
        </is>
      </c>
      <c r="D235" s="5" t="inlineStr">
        <is>
          <t>Quantity</t>
        </is>
      </c>
      <c r="E235" s="5" t="inlineStr">
        <is>
          <t>Rate (Rs.)</t>
        </is>
      </c>
      <c r="F235" s="5" t="inlineStr">
        <is>
          <t>Amount (Rs.)</t>
        </is>
      </c>
      <c r="G235" s="5" t="inlineStr">
        <is>
          <t>Note</t>
        </is>
      </c>
    </row>
    <row r="236">
      <c r="A236" s="22" t="inlineStr">
        <is>
          <t>7432</t>
        </is>
      </c>
      <c r="B236" s="11" t="inlineStr">
        <is>
          <t>Wedge expansion hold fastner 1/2" or 12 mm</t>
        </is>
      </c>
      <c r="C236" s="22" t="inlineStr">
        <is>
          <t>each</t>
        </is>
      </c>
      <c r="D236" s="23" t="n">
        <v>30</v>
      </c>
      <c r="E236" s="24" t="n">
        <v>27</v>
      </c>
      <c r="F236" s="24">
        <f>D236*E236</f>
        <v/>
      </c>
      <c r="G236" s="22" t="n"/>
    </row>
    <row r="237">
      <c r="A237" s="22" t="inlineStr">
        <is>
          <t>1034</t>
        </is>
      </c>
      <c r="B237" s="11" t="inlineStr">
        <is>
          <t>Bolts and nuts upto 300 mm in length</t>
        </is>
      </c>
      <c r="C237" s="22" t="inlineStr">
        <is>
          <t>quintal</t>
        </is>
      </c>
      <c r="D237" s="23" t="n">
        <v>0.0075</v>
      </c>
      <c r="E237" s="24" t="n">
        <v>4800</v>
      </c>
      <c r="F237" s="24">
        <f>D237*E237</f>
        <v/>
      </c>
      <c r="G237" s="22" t="n"/>
    </row>
    <row r="238">
      <c r="A238" s="22" t="inlineStr">
        <is>
          <t>0116</t>
        </is>
      </c>
      <c r="B238" s="11" t="inlineStr">
        <is>
          <t>Fitter (grade 1)</t>
        </is>
      </c>
      <c r="C238" s="22" t="inlineStr">
        <is>
          <t>day</t>
        </is>
      </c>
      <c r="D238" s="23" t="n">
        <v>0.25</v>
      </c>
      <c r="E238" s="24" t="n">
        <v>738</v>
      </c>
      <c r="F238" s="24">
        <f>D238*E238</f>
        <v/>
      </c>
      <c r="G238" s="22" t="n"/>
    </row>
    <row r="239">
      <c r="A239" s="22" t="inlineStr">
        <is>
          <t>0114</t>
        </is>
      </c>
      <c r="B239" s="11" t="inlineStr">
        <is>
          <t>Beldar</t>
        </is>
      </c>
      <c r="C239" s="22" t="inlineStr">
        <is>
          <t>day</t>
        </is>
      </c>
      <c r="D239" s="23" t="n">
        <v>0.25</v>
      </c>
      <c r="E239" s="24" t="n">
        <v>558</v>
      </c>
      <c r="F239" s="24">
        <f>D239*E239</f>
        <v/>
      </c>
      <c r="G239" s="22" t="n"/>
    </row>
    <row r="240">
      <c r="A240" s="22" t="inlineStr">
        <is>
          <t>9999</t>
        </is>
      </c>
      <c r="B240" s="11" t="inlineStr">
        <is>
          <t>Hire and running charges for hand drill machine Sundries, drilling bit scaffolding etc.</t>
        </is>
      </c>
      <c r="C240" s="22" t="inlineStr">
        <is>
          <t>L.S.</t>
        </is>
      </c>
      <c r="D240" s="23" t="n">
        <v>32.5</v>
      </c>
      <c r="E240" s="24" t="n">
        <v>2</v>
      </c>
      <c r="F240" s="24">
        <f>D240*E240</f>
        <v/>
      </c>
      <c r="G240" s="22" t="n"/>
    </row>
    <row r="241">
      <c r="A241" s="8" t="inlineStr">
        <is>
          <t>Calculated W - SUM of the Amount column above</t>
        </is>
      </c>
      <c r="B241" s="9" t="n"/>
      <c r="C241" s="9" t="n"/>
      <c r="D241" s="9" t="n"/>
      <c r="E241" s="9" t="n"/>
      <c r="F241" s="25">
        <f>SUM(F236:F240)</f>
        <v/>
      </c>
      <c r="G241" s="9" t="n"/>
    </row>
    <row r="242">
      <c r="A242" s="26" t="inlineStr">
        <is>
          <t>W as printed in the DAR</t>
        </is>
      </c>
      <c r="B242" s="22" t="n"/>
      <c r="C242" s="22" t="n"/>
      <c r="D242" s="22" t="n"/>
      <c r="E242" s="22" t="n"/>
      <c r="F242" s="27" t="n">
        <v>1235</v>
      </c>
      <c r="G242" s="22" t="n"/>
    </row>
    <row r="243">
      <c r="A243" s="26" t="inlineStr">
        <is>
          <t>Difference (calculated - printed)</t>
        </is>
      </c>
      <c r="B243" s="22" t="n"/>
      <c r="C243" s="22" t="n"/>
      <c r="D243" s="22" t="n"/>
      <c r="E243" s="22" t="n"/>
      <c r="F243" s="27">
        <f>F241-F242</f>
        <v/>
      </c>
      <c r="G243" s="22" t="n"/>
    </row>
    <row r="244">
      <c r="A244" s="29" t="inlineStr">
        <is>
          <t>SAY (Rs.) - final DAR rate as printed (fixed value, not computed)</t>
        </is>
      </c>
      <c r="B244" s="30" t="n"/>
      <c r="C244" s="30" t="n"/>
      <c r="D244" s="30" t="n"/>
      <c r="E244" s="30" t="n"/>
      <c r="F244" s="31" t="n">
        <v>55.1</v>
      </c>
      <c r="G244" s="30" t="n"/>
    </row>
    <row r="246" ht="33" customHeight="1">
      <c r="A246" s="8" t="inlineStr">
        <is>
          <t>8.9</t>
        </is>
      </c>
      <c r="B246" s="17" t="inlineStr">
        <is>
          <t>Stone tile (polished) work for wall lining over 12 mm thick bed of cement mortar 1:3 (1 cement : 3 coarse sand) and cement slurry @ 3.3 kg/sqm including pointing in white cement complete.</t>
        </is>
      </c>
      <c r="C246" s="9" t="n"/>
      <c r="D246" s="9" t="n"/>
      <c r="E246" s="9" t="n"/>
      <c r="F246" s="9" t="n"/>
      <c r="G246" s="9" t="n"/>
    </row>
    <row r="247" ht="18.5" customHeight="1">
      <c r="A247" s="8" t="inlineStr">
        <is>
          <t>8.9.1</t>
        </is>
      </c>
      <c r="B247" s="17" t="inlineStr">
        <is>
          <t>8mm thick</t>
        </is>
      </c>
      <c r="C247" s="9" t="n"/>
      <c r="D247" s="9" t="n"/>
      <c r="E247" s="9" t="n"/>
      <c r="F247" s="9" t="n"/>
      <c r="G247" s="9" t="n"/>
    </row>
    <row r="248" ht="18.5" customHeight="1">
      <c r="A248" s="18" t="inlineStr">
        <is>
          <t>8.9.1.1</t>
        </is>
      </c>
      <c r="B248" s="19" t="inlineStr">
        <is>
          <t>Raj nagar plain white marble/ Udaipur green marble/ Zebra black marble</t>
        </is>
      </c>
      <c r="C248" s="20" t="n"/>
      <c r="D248" s="20" t="n"/>
      <c r="E248" s="20" t="n"/>
      <c r="F248" s="20" t="n"/>
      <c r="G248" s="20" t="n"/>
    </row>
    <row r="249">
      <c r="A249" s="21" t="inlineStr">
        <is>
          <t>Details of cost for 1 sqm   |   Source: CivilDAR_2019_Vol_1.pdf, page 378</t>
        </is>
      </c>
    </row>
    <row r="250">
      <c r="A250" s="5" t="inlineStr">
        <is>
          <t>Code</t>
        </is>
      </c>
      <c r="B250" s="5" t="inlineStr">
        <is>
          <t>Description</t>
        </is>
      </c>
      <c r="C250" s="5" t="inlineStr">
        <is>
          <t>Unit</t>
        </is>
      </c>
      <c r="D250" s="5" t="inlineStr">
        <is>
          <t>Quantity</t>
        </is>
      </c>
      <c r="E250" s="5" t="inlineStr">
        <is>
          <t>Rate (Rs.)</t>
        </is>
      </c>
      <c r="F250" s="5" t="inlineStr">
        <is>
          <t>Amount (Rs.)</t>
        </is>
      </c>
      <c r="G250" s="5" t="inlineStr">
        <is>
          <t>Note</t>
        </is>
      </c>
    </row>
    <row r="251">
      <c r="A251" s="22" t="inlineStr">
        <is>
          <t>2751</t>
        </is>
      </c>
      <c r="B251" s="11" t="inlineStr">
        <is>
          <t>8 mm thick marble tiles (polished) Raj Nagar</t>
        </is>
      </c>
      <c r="C251" s="22" t="inlineStr">
        <is>
          <t>sqm</t>
        </is>
      </c>
      <c r="D251" s="23" t="n">
        <v>1.025</v>
      </c>
      <c r="E251" s="24" t="n">
        <v>400</v>
      </c>
      <c r="F251" s="24">
        <f>D251*E251</f>
        <v/>
      </c>
      <c r="G251" s="22" t="n"/>
    </row>
    <row r="252">
      <c r="A252" s="22" t="inlineStr">
        <is>
          <t>9977</t>
        </is>
      </c>
      <c r="B252" s="11" t="inlineStr">
        <is>
          <t>Carriage of tiles</t>
        </is>
      </c>
      <c r="C252" s="22" t="inlineStr">
        <is>
          <t>L.S.</t>
        </is>
      </c>
      <c r="D252" s="23" t="n">
        <v>3.95</v>
      </c>
      <c r="E252" s="24" t="n">
        <v>2</v>
      </c>
      <c r="F252" s="24">
        <f>D252*E252</f>
        <v/>
      </c>
      <c r="G252" s="22" t="n"/>
    </row>
    <row r="253">
      <c r="A253" s="7" t="inlineStr">
        <is>
          <t>3.8</t>
        </is>
      </c>
      <c r="B253" s="11" t="inlineStr">
        <is>
          <t>Rate as per item 3.8 - Cement mortar 1:3 (1 cement : 3 coarse sand)</t>
        </is>
      </c>
      <c r="C253" s="22" t="inlineStr">
        <is>
          <t>cum</t>
        </is>
      </c>
      <c r="D253" s="23" t="n">
        <v>0.014</v>
      </c>
      <c r="E253" s="24" t="n">
        <v>4664.55</v>
      </c>
      <c r="F253" s="24">
        <f>D253*E253</f>
        <v/>
      </c>
      <c r="G253" s="22" t="n"/>
    </row>
    <row r="254">
      <c r="A254" s="22" t="inlineStr">
        <is>
          <t>9999</t>
        </is>
      </c>
      <c r="B254" s="11" t="inlineStr">
        <is>
          <t>Mortar for pointing</t>
        </is>
      </c>
      <c r="C254" s="22" t="inlineStr">
        <is>
          <t>L.S.</t>
        </is>
      </c>
      <c r="D254" s="23" t="n">
        <v>25.38</v>
      </c>
      <c r="E254" s="24" t="n">
        <v>2</v>
      </c>
      <c r="F254" s="24">
        <f>D254*E254</f>
        <v/>
      </c>
      <c r="G254" s="22" t="n"/>
    </row>
    <row r="255">
      <c r="A255" s="22" t="inlineStr">
        <is>
          <t>0367</t>
        </is>
      </c>
      <c r="B255" s="11" t="inlineStr">
        <is>
          <t>Portland Cement</t>
        </is>
      </c>
      <c r="C255" s="22" t="inlineStr">
        <is>
          <t>tonne</t>
        </is>
      </c>
      <c r="D255" s="23" t="n">
        <v>0.0033</v>
      </c>
      <c r="E255" s="24" t="n">
        <v>4940</v>
      </c>
      <c r="F255" s="24">
        <f>D255*E255</f>
        <v/>
      </c>
      <c r="G255" s="22" t="n"/>
    </row>
    <row r="256">
      <c r="A256" s="22" t="inlineStr">
        <is>
          <t>0123</t>
        </is>
      </c>
      <c r="B256" s="11" t="inlineStr">
        <is>
          <t>Mason (brick layer) 1st class</t>
        </is>
      </c>
      <c r="C256" s="22" t="inlineStr">
        <is>
          <t>day</t>
        </is>
      </c>
      <c r="D256" s="23" t="n">
        <v>1</v>
      </c>
      <c r="E256" s="24" t="n">
        <v>738</v>
      </c>
      <c r="F256" s="24">
        <f>D256*E256</f>
        <v/>
      </c>
      <c r="G256" s="22" t="n"/>
    </row>
    <row r="257">
      <c r="A257" s="22" t="inlineStr">
        <is>
          <t>0114</t>
        </is>
      </c>
      <c r="B257" s="11" t="inlineStr">
        <is>
          <t>Beldar</t>
        </is>
      </c>
      <c r="C257" s="22" t="inlineStr">
        <is>
          <t>day</t>
        </is>
      </c>
      <c r="D257" s="23" t="n">
        <v>1</v>
      </c>
      <c r="E257" s="24" t="n">
        <v>558</v>
      </c>
      <c r="F257" s="24">
        <f>D257*E257</f>
        <v/>
      </c>
      <c r="G257" s="22" t="n"/>
    </row>
    <row r="258">
      <c r="A258" s="22" t="inlineStr">
        <is>
          <t>9999</t>
        </is>
      </c>
      <c r="B258" s="11" t="inlineStr">
        <is>
          <t>Sundries etc.</t>
        </is>
      </c>
      <c r="C258" s="22" t="inlineStr">
        <is>
          <t>L.S.</t>
        </is>
      </c>
      <c r="D258" s="23" t="n">
        <v>16.9</v>
      </c>
      <c r="E258" s="24" t="n">
        <v>2</v>
      </c>
      <c r="F258" s="24">
        <f>D258*E258</f>
        <v/>
      </c>
      <c r="G258" s="22" t="n"/>
    </row>
    <row r="259">
      <c r="A259" s="8" t="inlineStr">
        <is>
          <t>Calculated W - SUM of the Amount column above</t>
        </is>
      </c>
      <c r="B259" s="9" t="n"/>
      <c r="C259" s="9" t="n"/>
      <c r="D259" s="9" t="n"/>
      <c r="E259" s="9" t="n"/>
      <c r="F259" s="25">
        <f>SUM(F251:F258)</f>
        <v/>
      </c>
      <c r="G259" s="9" t="n"/>
    </row>
    <row r="260">
      <c r="A260" s="26" t="inlineStr">
        <is>
          <t>W as printed in the DAR</t>
        </is>
      </c>
      <c r="B260" s="22" t="n"/>
      <c r="C260" s="22" t="n"/>
      <c r="D260" s="22" t="n"/>
      <c r="E260" s="22" t="n"/>
      <c r="F260" s="27" t="n">
        <v>1880.07</v>
      </c>
      <c r="G260" s="22" t="n"/>
    </row>
    <row r="261">
      <c r="A261" s="26" t="inlineStr">
        <is>
          <t>Difference (calculated - printed)</t>
        </is>
      </c>
      <c r="B261" s="22" t="n"/>
      <c r="C261" s="22" t="n"/>
      <c r="D261" s="22" t="n"/>
      <c r="E261" s="22" t="n"/>
      <c r="F261" s="27">
        <f>F259-F260</f>
        <v/>
      </c>
      <c r="G261" s="22" t="n"/>
    </row>
    <row r="262">
      <c r="A262" s="29" t="inlineStr">
        <is>
          <t>SAY (Rs.) - final DAR rate as printed (fixed value, not computed)</t>
        </is>
      </c>
      <c r="B262" s="30" t="n"/>
      <c r="C262" s="30" t="n"/>
      <c r="D262" s="30" t="n"/>
      <c r="E262" s="30" t="n"/>
      <c r="F262" s="31" t="n">
        <v>2515.4</v>
      </c>
      <c r="G262" s="30" t="n"/>
    </row>
    <row r="264" ht="33" customHeight="1">
      <c r="A264" s="8" t="inlineStr">
        <is>
          <t>8.9</t>
        </is>
      </c>
      <c r="B264" s="17" t="inlineStr">
        <is>
          <t>Stone tile (polished) work for wall lining over 12 mm thick bed of cement mortar 1:3 (1 cement : 3 coarse sand) and cement slurry @ 3.3 kg/sqm including pointing in white cement complete.</t>
        </is>
      </c>
      <c r="C264" s="9" t="n"/>
      <c r="D264" s="9" t="n"/>
      <c r="E264" s="9" t="n"/>
      <c r="F264" s="9" t="n"/>
      <c r="G264" s="9" t="n"/>
    </row>
    <row r="265" ht="18.5" customHeight="1">
      <c r="A265" s="8" t="inlineStr">
        <is>
          <t>8.9.1</t>
        </is>
      </c>
      <c r="B265" s="17" t="inlineStr">
        <is>
          <t>8mm thick</t>
        </is>
      </c>
      <c r="C265" s="9" t="n"/>
      <c r="D265" s="9" t="n"/>
      <c r="E265" s="9" t="n"/>
      <c r="F265" s="9" t="n"/>
      <c r="G265" s="9" t="n"/>
    </row>
    <row r="266" ht="18.5" customHeight="1">
      <c r="A266" s="18" t="inlineStr">
        <is>
          <t>8.9.1.2</t>
        </is>
      </c>
      <c r="B266" s="19" t="inlineStr">
        <is>
          <t>Granite of any colour and shade</t>
        </is>
      </c>
      <c r="C266" s="20" t="n"/>
      <c r="D266" s="20" t="n"/>
      <c r="E266" s="20" t="n"/>
      <c r="F266" s="20" t="n"/>
      <c r="G266" s="20" t="n"/>
    </row>
    <row r="267">
      <c r="A267" s="21" t="inlineStr">
        <is>
          <t>Details of cost for 1 sqm   |   Source: CivilDAR_2019_Vol_1.pdf, page 379</t>
        </is>
      </c>
    </row>
    <row r="268">
      <c r="A268" s="5" t="inlineStr">
        <is>
          <t>Code</t>
        </is>
      </c>
      <c r="B268" s="5" t="inlineStr">
        <is>
          <t>Description</t>
        </is>
      </c>
      <c r="C268" s="5" t="inlineStr">
        <is>
          <t>Unit</t>
        </is>
      </c>
      <c r="D268" s="5" t="inlineStr">
        <is>
          <t>Quantity</t>
        </is>
      </c>
      <c r="E268" s="5" t="inlineStr">
        <is>
          <t>Rate (Rs.)</t>
        </is>
      </c>
      <c r="F268" s="5" t="inlineStr">
        <is>
          <t>Amount (Rs.)</t>
        </is>
      </c>
      <c r="G268" s="5" t="inlineStr">
        <is>
          <t>Note</t>
        </is>
      </c>
    </row>
    <row r="269">
      <c r="A269" s="22" t="inlineStr">
        <is>
          <t>2750</t>
        </is>
      </c>
      <c r="B269" s="11" t="inlineStr">
        <is>
          <t>8 mm thick granite stone tiles (mirror polished of all shades)</t>
        </is>
      </c>
      <c r="C269" s="22" t="inlineStr">
        <is>
          <t>sqm</t>
        </is>
      </c>
      <c r="D269" s="23" t="n">
        <v>1.025</v>
      </c>
      <c r="E269" s="24" t="n">
        <v>700</v>
      </c>
      <c r="F269" s="24">
        <f>D269*E269</f>
        <v/>
      </c>
      <c r="G269" s="22" t="n"/>
    </row>
    <row r="270">
      <c r="A270" s="22" t="inlineStr">
        <is>
          <t>9977</t>
        </is>
      </c>
      <c r="B270" s="11" t="inlineStr">
        <is>
          <t>Carriage of tiles</t>
        </is>
      </c>
      <c r="C270" s="22" t="inlineStr">
        <is>
          <t>L.S.</t>
        </is>
      </c>
      <c r="D270" s="23" t="n">
        <v>3.95</v>
      </c>
      <c r="E270" s="24" t="n">
        <v>2</v>
      </c>
      <c r="F270" s="24">
        <f>D270*E270</f>
        <v/>
      </c>
      <c r="G270" s="22" t="n"/>
    </row>
    <row r="271">
      <c r="A271" s="7" t="inlineStr">
        <is>
          <t>3.8</t>
        </is>
      </c>
      <c r="B271" s="11" t="inlineStr">
        <is>
          <t>Rate as per item 3.8 - Cement mortar 1:3 (1 cement : 3 coarse sand)</t>
        </is>
      </c>
      <c r="C271" s="22" t="inlineStr">
        <is>
          <t>cum</t>
        </is>
      </c>
      <c r="D271" s="23" t="n">
        <v>0.014</v>
      </c>
      <c r="E271" s="24" t="n">
        <v>4664.55</v>
      </c>
      <c r="F271" s="24">
        <f>D271*E271</f>
        <v/>
      </c>
      <c r="G271" s="22" t="n"/>
    </row>
    <row r="272">
      <c r="A272" s="22" t="inlineStr">
        <is>
          <t>9999</t>
        </is>
      </c>
      <c r="B272" s="11" t="inlineStr">
        <is>
          <t>Mortar for pointing</t>
        </is>
      </c>
      <c r="C272" s="22" t="inlineStr">
        <is>
          <t>L.S.</t>
        </is>
      </c>
      <c r="D272" s="23" t="n">
        <v>25.38</v>
      </c>
      <c r="E272" s="24" t="n">
        <v>2</v>
      </c>
      <c r="F272" s="24">
        <f>D272*E272</f>
        <v/>
      </c>
      <c r="G272" s="22" t="n"/>
    </row>
    <row r="273">
      <c r="A273" s="22" t="inlineStr">
        <is>
          <t>0367</t>
        </is>
      </c>
      <c r="B273" s="11" t="inlineStr">
        <is>
          <t>Portland Cement</t>
        </is>
      </c>
      <c r="C273" s="22" t="inlineStr">
        <is>
          <t>tonne</t>
        </is>
      </c>
      <c r="D273" s="23" t="n">
        <v>0.0033</v>
      </c>
      <c r="E273" s="24" t="n">
        <v>4940</v>
      </c>
      <c r="F273" s="24">
        <f>D273*E273</f>
        <v/>
      </c>
      <c r="G273" s="22" t="n"/>
    </row>
    <row r="274">
      <c r="A274" s="22" t="inlineStr">
        <is>
          <t>0123</t>
        </is>
      </c>
      <c r="B274" s="11" t="inlineStr">
        <is>
          <t>Mason (brick layer) 1st class</t>
        </is>
      </c>
      <c r="C274" s="22" t="inlineStr">
        <is>
          <t>day</t>
        </is>
      </c>
      <c r="D274" s="23" t="n">
        <v>1</v>
      </c>
      <c r="E274" s="24" t="n">
        <v>738</v>
      </c>
      <c r="F274" s="24">
        <f>D274*E274</f>
        <v/>
      </c>
      <c r="G274" s="22" t="n"/>
    </row>
    <row r="275">
      <c r="A275" s="22" t="inlineStr">
        <is>
          <t>0114</t>
        </is>
      </c>
      <c r="B275" s="11" t="inlineStr">
        <is>
          <t>Beldar</t>
        </is>
      </c>
      <c r="C275" s="22" t="inlineStr">
        <is>
          <t>day</t>
        </is>
      </c>
      <c r="D275" s="23" t="n">
        <v>1</v>
      </c>
      <c r="E275" s="24" t="n">
        <v>558</v>
      </c>
      <c r="F275" s="24">
        <f>D275*E275</f>
        <v/>
      </c>
      <c r="G275" s="22" t="n"/>
    </row>
    <row r="276">
      <c r="A276" s="22" t="inlineStr">
        <is>
          <t>9999</t>
        </is>
      </c>
      <c r="B276" s="11" t="inlineStr">
        <is>
          <t>Sundries etc.</t>
        </is>
      </c>
      <c r="C276" s="22" t="inlineStr">
        <is>
          <t>L.S.</t>
        </is>
      </c>
      <c r="D276" s="23" t="n">
        <v>16.9</v>
      </c>
      <c r="E276" s="24" t="n">
        <v>2</v>
      </c>
      <c r="F276" s="24">
        <f>D276*E276</f>
        <v/>
      </c>
      <c r="G276" s="22" t="n"/>
    </row>
    <row r="277">
      <c r="A277" s="8" t="inlineStr">
        <is>
          <t>Calculated W - SUM of the Amount column above</t>
        </is>
      </c>
      <c r="B277" s="9" t="n"/>
      <c r="C277" s="9" t="n"/>
      <c r="D277" s="9" t="n"/>
      <c r="E277" s="9" t="n"/>
      <c r="F277" s="25">
        <f>SUM(F269:F276)</f>
        <v/>
      </c>
      <c r="G277" s="9" t="n"/>
    </row>
    <row r="278">
      <c r="A278" s="26" t="inlineStr">
        <is>
          <t>W as printed in the DAR</t>
        </is>
      </c>
      <c r="B278" s="22" t="n"/>
      <c r="C278" s="22" t="n"/>
      <c r="D278" s="22" t="n"/>
      <c r="E278" s="22" t="n"/>
      <c r="F278" s="27" t="n">
        <v>2187.57</v>
      </c>
      <c r="G278" s="22" t="n"/>
    </row>
    <row r="279">
      <c r="A279" s="26" t="inlineStr">
        <is>
          <t>Difference (calculated - printed)</t>
        </is>
      </c>
      <c r="B279" s="22" t="n"/>
      <c r="C279" s="22" t="n"/>
      <c r="D279" s="22" t="n"/>
      <c r="E279" s="22" t="n"/>
      <c r="F279" s="27">
        <f>F277-F278</f>
        <v/>
      </c>
      <c r="G279" s="22" t="n"/>
    </row>
    <row r="280">
      <c r="A280" s="29" t="inlineStr">
        <is>
          <t>SAY (Rs.) - final DAR rate as printed (fixed value, not computed)</t>
        </is>
      </c>
      <c r="B280" s="30" t="n"/>
      <c r="C280" s="30" t="n"/>
      <c r="D280" s="30" t="n"/>
      <c r="E280" s="30" t="n"/>
      <c r="F280" s="31" t="n">
        <v>2926.85</v>
      </c>
      <c r="G280" s="30" t="n"/>
    </row>
    <row r="282" ht="62" customHeight="1">
      <c r="A282" s="8" t="inlineStr">
        <is>
          <t>8.10</t>
        </is>
      </c>
      <c r="B282" s="17"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t>
        </is>
      </c>
      <c r="C282" s="9" t="n"/>
      <c r="D282" s="9" t="n"/>
      <c r="E282" s="9" t="n"/>
      <c r="F282" s="9" t="n"/>
      <c r="G282" s="9" t="n"/>
    </row>
    <row r="283" ht="18.5" customHeight="1">
      <c r="A283" s="18" t="inlineStr">
        <is>
          <t>8.10.1</t>
        </is>
      </c>
      <c r="B283" s="19" t="inlineStr">
        <is>
          <t>White Agaria Marble Stone</t>
        </is>
      </c>
      <c r="C283" s="20" t="n"/>
      <c r="D283" s="20" t="n"/>
      <c r="E283" s="20" t="n"/>
      <c r="F283" s="20" t="n"/>
      <c r="G283" s="20" t="n"/>
    </row>
    <row r="284">
      <c r="A284" s="21" t="inlineStr">
        <is>
          <t>Details of cost for 0.375 sqm   |   Source: CivilDAR_2019_Vol_1.pdf, page 379</t>
        </is>
      </c>
    </row>
    <row r="285">
      <c r="A285" s="5" t="inlineStr">
        <is>
          <t>Code</t>
        </is>
      </c>
      <c r="B285" s="5" t="inlineStr">
        <is>
          <t>Description</t>
        </is>
      </c>
      <c r="C285" s="5" t="inlineStr">
        <is>
          <t>Unit</t>
        </is>
      </c>
      <c r="D285" s="5" t="inlineStr">
        <is>
          <t>Quantity</t>
        </is>
      </c>
      <c r="E285" s="5" t="inlineStr">
        <is>
          <t>Rate (Rs.)</t>
        </is>
      </c>
      <c r="F285" s="5" t="inlineStr">
        <is>
          <t>Amount (Rs.)</t>
        </is>
      </c>
      <c r="G285" s="5" t="inlineStr">
        <is>
          <t>Note</t>
        </is>
      </c>
    </row>
    <row r="286">
      <c r="A286" s="22" t="inlineStr">
        <is>
          <t>7244</t>
        </is>
      </c>
      <c r="B286" s="11" t="inlineStr">
        <is>
          <t>Table rubbed polished stone 18 mm thick (75x50cm) Agaria Marble stone - 18 mm thick</t>
        </is>
      </c>
      <c r="C286" s="22" t="inlineStr">
        <is>
          <t>sqm</t>
        </is>
      </c>
      <c r="D286" s="23" t="n">
        <v>0.45</v>
      </c>
      <c r="E286" s="24" t="n">
        <v>1620</v>
      </c>
      <c r="F286" s="24">
        <f>D286*E286</f>
        <v/>
      </c>
      <c r="G286" s="22" t="n"/>
    </row>
    <row r="287">
      <c r="A287" s="22" t="inlineStr">
        <is>
          <t>9999</t>
        </is>
      </c>
      <c r="B287" s="11" t="inlineStr">
        <is>
          <t>Cement concrete 1:2:4 for filling</t>
        </is>
      </c>
      <c r="C287" s="22" t="inlineStr">
        <is>
          <t>L.S.</t>
        </is>
      </c>
      <c r="D287" s="23" t="n">
        <v>21.58</v>
      </c>
      <c r="E287" s="24" t="n">
        <v>2</v>
      </c>
      <c r="F287" s="24">
        <f>D287*E287</f>
        <v/>
      </c>
      <c r="G287" s="22" t="n"/>
    </row>
    <row r="288">
      <c r="A288" s="22" t="inlineStr">
        <is>
          <t>9999</t>
        </is>
      </c>
      <c r="B288" s="11" t="inlineStr">
        <is>
          <t>Labour for fixing, edge rounding and final polishing .</t>
        </is>
      </c>
      <c r="C288" s="22" t="inlineStr">
        <is>
          <t>L.S.</t>
        </is>
      </c>
      <c r="D288" s="23" t="n">
        <v>43.16</v>
      </c>
      <c r="E288" s="24" t="n">
        <v>2</v>
      </c>
      <c r="F288" s="24">
        <f>D288*E288</f>
        <v/>
      </c>
      <c r="G288" s="22" t="n"/>
    </row>
    <row r="289">
      <c r="A289" s="22" t="inlineStr">
        <is>
          <t>9999</t>
        </is>
      </c>
      <c r="B289" s="11" t="inlineStr">
        <is>
          <t>Sundries</t>
        </is>
      </c>
      <c r="C289" s="22" t="inlineStr">
        <is>
          <t>L.S.</t>
        </is>
      </c>
      <c r="D289" s="23" t="n">
        <v>21.58</v>
      </c>
      <c r="E289" s="24" t="n">
        <v>2</v>
      </c>
      <c r="F289" s="24">
        <f>D289*E289</f>
        <v/>
      </c>
      <c r="G289" s="22" t="n"/>
    </row>
    <row r="290">
      <c r="A290" s="8" t="inlineStr">
        <is>
          <t>Calculated W - SUM of the Amount column above</t>
        </is>
      </c>
      <c r="B290" s="9" t="n"/>
      <c r="C290" s="9" t="n"/>
      <c r="D290" s="9" t="n"/>
      <c r="E290" s="9" t="n"/>
      <c r="F290" s="25">
        <f>SUM(F286:F289)</f>
        <v/>
      </c>
      <c r="G290" s="9" t="n"/>
    </row>
    <row r="291">
      <c r="A291" s="26" t="inlineStr">
        <is>
          <t>W as printed in the DAR</t>
        </is>
      </c>
      <c r="B291" s="22" t="n"/>
      <c r="C291" s="22" t="n"/>
      <c r="D291" s="22" t="n"/>
      <c r="E291" s="22" t="n"/>
      <c r="F291" s="27" t="n">
        <v>901.64</v>
      </c>
      <c r="G291" s="22" t="n"/>
    </row>
    <row r="292">
      <c r="A292" s="26" t="inlineStr">
        <is>
          <t>Difference (calculated - printed)</t>
        </is>
      </c>
      <c r="B292" s="22" t="n"/>
      <c r="C292" s="22" t="n"/>
      <c r="D292" s="22" t="n"/>
      <c r="E292" s="22" t="n"/>
      <c r="F292" s="27">
        <f>F290-F291</f>
        <v/>
      </c>
      <c r="G292" s="22" t="n"/>
    </row>
    <row r="293">
      <c r="A293" s="29" t="inlineStr">
        <is>
          <t>SAY (Rs.) - final DAR rate as printed (fixed value, not computed)</t>
        </is>
      </c>
      <c r="B293" s="30" t="n"/>
      <c r="C293" s="30" t="n"/>
      <c r="D293" s="30" t="n"/>
      <c r="E293" s="30" t="n"/>
      <c r="F293" s="31" t="n">
        <v>3216.9</v>
      </c>
      <c r="G293" s="30" t="n"/>
    </row>
    <row r="295" ht="62" customHeight="1">
      <c r="A295" s="8" t="inlineStr">
        <is>
          <t>8.10</t>
        </is>
      </c>
      <c r="B295" s="17"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t>
        </is>
      </c>
      <c r="C295" s="9" t="n"/>
      <c r="D295" s="9" t="n"/>
      <c r="E295" s="9" t="n"/>
      <c r="F295" s="9" t="n"/>
      <c r="G295" s="9" t="n"/>
    </row>
    <row r="296" ht="18.5" customHeight="1">
      <c r="A296" s="18" t="inlineStr">
        <is>
          <t>8.10.2</t>
        </is>
      </c>
      <c r="B296" s="19" t="inlineStr">
        <is>
          <t>Granite Stone of approved shade</t>
        </is>
      </c>
      <c r="C296" s="20" t="n"/>
      <c r="D296" s="20" t="n"/>
      <c r="E296" s="20" t="n"/>
      <c r="F296" s="20" t="n"/>
      <c r="G296" s="20" t="n"/>
    </row>
    <row r="297">
      <c r="A297" s="21" t="inlineStr">
        <is>
          <t>Details of cost for 0.375 sqm   |   Source: CivilDAR_2019_Vol_1.pdf, page 380</t>
        </is>
      </c>
    </row>
    <row r="298">
      <c r="A298" s="5" t="inlineStr">
        <is>
          <t>Code</t>
        </is>
      </c>
      <c r="B298" s="5" t="inlineStr">
        <is>
          <t>Description</t>
        </is>
      </c>
      <c r="C298" s="5" t="inlineStr">
        <is>
          <t>Unit</t>
        </is>
      </c>
      <c r="D298" s="5" t="inlineStr">
        <is>
          <t>Quantity</t>
        </is>
      </c>
      <c r="E298" s="5" t="inlineStr">
        <is>
          <t>Rate (Rs.)</t>
        </is>
      </c>
      <c r="F298" s="5" t="inlineStr">
        <is>
          <t>Amount (Rs.)</t>
        </is>
      </c>
      <c r="G298" s="5" t="inlineStr">
        <is>
          <t>Note</t>
        </is>
      </c>
    </row>
    <row r="299">
      <c r="A299" s="22" t="inlineStr">
        <is>
          <t>7245</t>
        </is>
      </c>
      <c r="B299" s="11" t="inlineStr">
        <is>
          <t>Table rubbed polished stone 18mm thick (75x50cm) Granite stone - 18mm thick</t>
        </is>
      </c>
      <c r="C299" s="22" t="inlineStr">
        <is>
          <t>sqm</t>
        </is>
      </c>
      <c r="D299" s="23" t="n">
        <v>0.45</v>
      </c>
      <c r="E299" s="24" t="n">
        <v>1620</v>
      </c>
      <c r="F299" s="24">
        <f>D299*E299</f>
        <v/>
      </c>
      <c r="G299" s="22" t="n"/>
    </row>
    <row r="300">
      <c r="A300" s="22" t="inlineStr">
        <is>
          <t>9999</t>
        </is>
      </c>
      <c r="B300" s="11" t="inlineStr">
        <is>
          <t>Cement concrete 1:2:4 for fixing</t>
        </is>
      </c>
      <c r="C300" s="22" t="inlineStr">
        <is>
          <t>L.S.</t>
        </is>
      </c>
      <c r="D300" s="23" t="n">
        <v>21.58</v>
      </c>
      <c r="E300" s="24" t="n">
        <v>2</v>
      </c>
      <c r="F300" s="24">
        <f>D300*E300</f>
        <v/>
      </c>
      <c r="G300" s="22" t="n"/>
    </row>
    <row r="301">
      <c r="A301" s="22" t="inlineStr">
        <is>
          <t>9999</t>
        </is>
      </c>
      <c r="B301" s="11" t="inlineStr">
        <is>
          <t>Labour for fixing, edge rounding and final polishing .</t>
        </is>
      </c>
      <c r="C301" s="22" t="inlineStr">
        <is>
          <t>L.S.</t>
        </is>
      </c>
      <c r="D301" s="23" t="n">
        <v>43.16</v>
      </c>
      <c r="E301" s="24" t="n">
        <v>2</v>
      </c>
      <c r="F301" s="24">
        <f>D301*E301</f>
        <v/>
      </c>
      <c r="G301" s="22" t="n"/>
    </row>
    <row r="302">
      <c r="A302" s="22" t="inlineStr">
        <is>
          <t>9999</t>
        </is>
      </c>
      <c r="B302" s="11" t="inlineStr">
        <is>
          <t>Sundries</t>
        </is>
      </c>
      <c r="C302" s="22" t="inlineStr">
        <is>
          <t>L.S.</t>
        </is>
      </c>
      <c r="D302" s="23" t="n">
        <v>21.58</v>
      </c>
      <c r="E302" s="24" t="n">
        <v>2</v>
      </c>
      <c r="F302" s="24">
        <f>D302*E302</f>
        <v/>
      </c>
      <c r="G302" s="22" t="n"/>
    </row>
    <row r="303">
      <c r="A303" s="8" t="inlineStr">
        <is>
          <t>Calculated W - SUM of the Amount column above</t>
        </is>
      </c>
      <c r="B303" s="9" t="n"/>
      <c r="C303" s="9" t="n"/>
      <c r="D303" s="9" t="n"/>
      <c r="E303" s="9" t="n"/>
      <c r="F303" s="25">
        <f>SUM(F299:F302)</f>
        <v/>
      </c>
      <c r="G303" s="9" t="n"/>
    </row>
    <row r="304">
      <c r="A304" s="26" t="inlineStr">
        <is>
          <t>W as printed in the DAR</t>
        </is>
      </c>
      <c r="B304" s="22" t="n"/>
      <c r="C304" s="22" t="n"/>
      <c r="D304" s="22" t="n"/>
      <c r="E304" s="22" t="n"/>
      <c r="F304" s="27" t="n">
        <v>901.64</v>
      </c>
      <c r="G304" s="22" t="n"/>
    </row>
    <row r="305">
      <c r="A305" s="26" t="inlineStr">
        <is>
          <t>Difference (calculated - printed)</t>
        </is>
      </c>
      <c r="B305" s="22" t="n"/>
      <c r="C305" s="22" t="n"/>
      <c r="D305" s="22" t="n"/>
      <c r="E305" s="22" t="n"/>
      <c r="F305" s="27">
        <f>F303-F304</f>
        <v/>
      </c>
      <c r="G305" s="22" t="n"/>
    </row>
    <row r="306">
      <c r="A306" s="29" t="inlineStr">
        <is>
          <t>SAY (Rs.) - final DAR rate as printed (fixed value, not computed)</t>
        </is>
      </c>
      <c r="B306" s="30" t="n"/>
      <c r="C306" s="30" t="n"/>
      <c r="D306" s="30" t="n"/>
      <c r="E306" s="30" t="n"/>
      <c r="F306" s="31" t="n">
        <v>3216.9</v>
      </c>
      <c r="G306" s="30" t="n"/>
    </row>
    <row r="308" ht="76.5" customHeight="1">
      <c r="A308" s="8" t="inlineStr">
        <is>
          <t>8.11</t>
        </is>
      </c>
      <c r="B308" s="17" t="inlineStr">
        <is>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t>
        </is>
      </c>
      <c r="C308" s="9" t="n"/>
      <c r="D308" s="9" t="n"/>
      <c r="E308" s="9" t="n"/>
      <c r="F308" s="9" t="n"/>
      <c r="G308" s="9" t="n"/>
    </row>
    <row r="309" ht="18.5" customHeight="1">
      <c r="A309" s="18" t="inlineStr">
        <is>
          <t>8.11.1</t>
        </is>
      </c>
      <c r="B309" s="19" t="inlineStr">
        <is>
          <t>18 mm thick Italian Marble stone slab,Perlato, Rosso verona, Fire Red or Dark Emperadore etc.</t>
        </is>
      </c>
      <c r="C309" s="20" t="n"/>
      <c r="D309" s="20" t="n"/>
      <c r="E309" s="20" t="n"/>
      <c r="F309" s="20" t="n"/>
      <c r="G309" s="20" t="n"/>
    </row>
    <row r="310">
      <c r="A310" s="21" t="inlineStr">
        <is>
          <t>Details of cost for 0.5 sqm   |   Source: CivilDAR_2019_Vol_1.pdf, page 381</t>
        </is>
      </c>
    </row>
    <row r="311">
      <c r="A311" s="5" t="inlineStr">
        <is>
          <t>Code</t>
        </is>
      </c>
      <c r="B311" s="5" t="inlineStr">
        <is>
          <t>Description</t>
        </is>
      </c>
      <c r="C311" s="5" t="inlineStr">
        <is>
          <t>Unit</t>
        </is>
      </c>
      <c r="D311" s="5" t="inlineStr">
        <is>
          <t>Quantity</t>
        </is>
      </c>
      <c r="E311" s="5" t="inlineStr">
        <is>
          <t>Rate (Rs.)</t>
        </is>
      </c>
      <c r="F311" s="5" t="inlineStr">
        <is>
          <t>Amount (Rs.)</t>
        </is>
      </c>
      <c r="G311" s="5" t="inlineStr">
        <is>
          <t>Note</t>
        </is>
      </c>
    </row>
    <row r="312">
      <c r="A312" s="22" t="inlineStr">
        <is>
          <t>1240</t>
        </is>
      </c>
      <c r="B312" s="11" t="inlineStr">
        <is>
          <t>18 mm thick Italian Marble stone slab, Perlato (slab area up to 0.5 sqm).</t>
        </is>
      </c>
      <c r="C312" s="22" t="inlineStr">
        <is>
          <t>sqm</t>
        </is>
      </c>
      <c r="D312" s="23" t="n">
        <v>0.6</v>
      </c>
      <c r="E312" s="24" t="n">
        <v>3209</v>
      </c>
      <c r="F312" s="24">
        <f>D312*E312</f>
        <v/>
      </c>
      <c r="G312" s="22" t="n"/>
    </row>
    <row r="313">
      <c r="A313" s="22" t="inlineStr">
        <is>
          <t>2216</t>
        </is>
      </c>
      <c r="B313" s="11" t="inlineStr">
        <is>
          <t>Carriage of stone slab</t>
        </is>
      </c>
      <c r="C313" s="22" t="inlineStr">
        <is>
          <t>tonne</t>
        </is>
      </c>
      <c r="D313" s="23" t="n">
        <v>0.03</v>
      </c>
      <c r="E313" s="24" t="n">
        <v>92.23999999999999</v>
      </c>
      <c r="F313" s="24">
        <f>D313*E313</f>
        <v/>
      </c>
      <c r="G313" s="22" t="n"/>
    </row>
    <row r="314">
      <c r="A314" s="7" t="inlineStr">
        <is>
          <t>3.8</t>
        </is>
      </c>
      <c r="B314" s="11" t="inlineStr">
        <is>
          <t>Rate as per item 3.8 - Cement mortar 1:3 (1 cement : 3 coarse sand)</t>
        </is>
      </c>
      <c r="C314" s="22" t="inlineStr">
        <is>
          <t>cum</t>
        </is>
      </c>
      <c r="D314" s="23" t="n">
        <v>0.008</v>
      </c>
      <c r="E314" s="24" t="n">
        <v>4664.55</v>
      </c>
      <c r="F314" s="24">
        <f>D314*E314</f>
        <v/>
      </c>
      <c r="G314" s="22" t="n"/>
    </row>
    <row r="315">
      <c r="A315" s="22" t="inlineStr">
        <is>
          <t>0368</t>
        </is>
      </c>
      <c r="B315" s="11" t="inlineStr">
        <is>
          <t>White Cement Slurry @ 3.3kg/sqm</t>
        </is>
      </c>
      <c r="C315" s="22" t="inlineStr">
        <is>
          <t>tonne</t>
        </is>
      </c>
      <c r="D315" s="23" t="n">
        <v>0.00165</v>
      </c>
      <c r="E315" s="24" t="n">
        <v>11200</v>
      </c>
      <c r="F315" s="24">
        <f>D315*E315</f>
        <v/>
      </c>
      <c r="G315" s="22" t="n"/>
    </row>
    <row r="316">
      <c r="A316" s="22" t="inlineStr">
        <is>
          <t>2209</t>
        </is>
      </c>
      <c r="B316" s="11" t="inlineStr">
        <is>
          <t>Carriage of white Cement</t>
        </is>
      </c>
      <c r="C316" s="22" t="inlineStr">
        <is>
          <t>tonne</t>
        </is>
      </c>
      <c r="D316" s="23" t="n">
        <v>0.00165</v>
      </c>
      <c r="E316" s="24" t="n">
        <v>92.23999999999999</v>
      </c>
      <c r="F316" s="24">
        <f>D316*E316</f>
        <v/>
      </c>
      <c r="G316" s="22" t="n"/>
    </row>
    <row r="317">
      <c r="A317" s="22" t="inlineStr">
        <is>
          <t>9999</t>
        </is>
      </c>
      <c r="B317" s="11" t="inlineStr">
        <is>
          <t>Mortar for pointing in white cement</t>
        </is>
      </c>
      <c r="C317" s="22" t="inlineStr">
        <is>
          <t>L.S.</t>
        </is>
      </c>
      <c r="D317" s="23" t="n">
        <v>25.35</v>
      </c>
      <c r="E317" s="24" t="n">
        <v>2</v>
      </c>
      <c r="F317" s="24">
        <f>D317*E317</f>
        <v/>
      </c>
      <c r="G317" s="22" t="n"/>
    </row>
    <row r="318">
      <c r="A318" s="22" t="inlineStr">
        <is>
          <t>0126</t>
        </is>
      </c>
      <c r="B318" s="11" t="inlineStr">
        <is>
          <t>Mason (for ornamental stone work) 1st class</t>
        </is>
      </c>
      <c r="C318" s="22" t="inlineStr">
        <is>
          <t>day</t>
        </is>
      </c>
      <c r="D318" s="23" t="n">
        <v>0.335</v>
      </c>
      <c r="E318" s="24" t="n">
        <v>738</v>
      </c>
      <c r="F318" s="24">
        <f>D318*E318</f>
        <v/>
      </c>
      <c r="G318" s="22" t="n"/>
    </row>
    <row r="319">
      <c r="A319" s="22" t="inlineStr">
        <is>
          <t>0100</t>
        </is>
      </c>
      <c r="B319" s="11" t="inlineStr">
        <is>
          <t>Bandhani</t>
        </is>
      </c>
      <c r="C319" s="22" t="inlineStr">
        <is>
          <t>day</t>
        </is>
      </c>
      <c r="D319" s="23" t="n">
        <v>0.335</v>
      </c>
      <c r="E319" s="24" t="n">
        <v>617</v>
      </c>
      <c r="F319" s="24">
        <f>D319*E319</f>
        <v/>
      </c>
      <c r="G319" s="22" t="n"/>
    </row>
    <row r="320">
      <c r="A320" s="22" t="inlineStr">
        <is>
          <t>0114</t>
        </is>
      </c>
      <c r="B320" s="11" t="inlineStr">
        <is>
          <t>Beldar</t>
        </is>
      </c>
      <c r="C320" s="22" t="inlineStr">
        <is>
          <t>day</t>
        </is>
      </c>
      <c r="D320" s="23" t="n">
        <v>0.335</v>
      </c>
      <c r="E320" s="24" t="n">
        <v>558</v>
      </c>
      <c r="F320" s="24">
        <f>D320*E320</f>
        <v/>
      </c>
      <c r="G320" s="22" t="n"/>
    </row>
    <row r="321">
      <c r="A321" s="22" t="inlineStr">
        <is>
          <t>0115</t>
        </is>
      </c>
      <c r="B321" s="11" t="inlineStr">
        <is>
          <t>Coolie</t>
        </is>
      </c>
      <c r="C321" s="22" t="inlineStr">
        <is>
          <t>day</t>
        </is>
      </c>
      <c r="D321" s="23" t="n">
        <v>0.335</v>
      </c>
      <c r="E321" s="24" t="n">
        <v>558</v>
      </c>
      <c r="F321" s="24">
        <f>D321*E321</f>
        <v/>
      </c>
      <c r="G321" s="22" t="n"/>
    </row>
    <row r="322">
      <c r="A322" s="22" t="inlineStr">
        <is>
          <t>0101</t>
        </is>
      </c>
      <c r="B322" s="11" t="inlineStr">
        <is>
          <t>Bhisti</t>
        </is>
      </c>
      <c r="C322" s="22" t="inlineStr">
        <is>
          <t>day</t>
        </is>
      </c>
      <c r="D322" s="23" t="n">
        <v>0.335</v>
      </c>
      <c r="E322" s="24" t="n">
        <v>617</v>
      </c>
      <c r="F322" s="24">
        <f>D322*E322</f>
        <v/>
      </c>
      <c r="G322" s="22" t="n"/>
    </row>
    <row r="323">
      <c r="A323" s="22" t="inlineStr">
        <is>
          <t>0128</t>
        </is>
      </c>
      <c r="B323" s="11" t="inlineStr">
        <is>
          <t>Mate</t>
        </is>
      </c>
      <c r="C323" s="22" t="inlineStr">
        <is>
          <t>day</t>
        </is>
      </c>
      <c r="D323" s="23" t="n">
        <v>0.165</v>
      </c>
      <c r="E323" s="24" t="n">
        <v>617</v>
      </c>
      <c r="F323" s="24">
        <f>D323*E323</f>
        <v/>
      </c>
      <c r="G323" s="22" t="n"/>
    </row>
    <row r="324">
      <c r="A324" s="22" t="inlineStr">
        <is>
          <t>0102</t>
        </is>
      </c>
      <c r="B324" s="11" t="inlineStr">
        <is>
          <t>Blacksmith 1st class</t>
        </is>
      </c>
      <c r="C324" s="22" t="inlineStr">
        <is>
          <t>day</t>
        </is>
      </c>
      <c r="D324" s="23" t="n">
        <v>0.135</v>
      </c>
      <c r="E324" s="24" t="n">
        <v>738</v>
      </c>
      <c r="F324" s="24">
        <f>D324*E324</f>
        <v/>
      </c>
      <c r="G324" s="22" t="n"/>
    </row>
    <row r="325">
      <c r="A325" s="22" t="inlineStr">
        <is>
          <t>9999</t>
        </is>
      </c>
      <c r="B325" s="11" t="inlineStr">
        <is>
          <t>Scaffolding</t>
        </is>
      </c>
      <c r="C325" s="22" t="inlineStr">
        <is>
          <t>L.S.</t>
        </is>
      </c>
      <c r="D325" s="23" t="n">
        <v>13.39</v>
      </c>
      <c r="E325" s="24" t="n">
        <v>2</v>
      </c>
      <c r="F325" s="24">
        <f>D325*E325</f>
        <v/>
      </c>
      <c r="G325" s="22" t="n"/>
    </row>
    <row r="326">
      <c r="A326" s="8" t="inlineStr">
        <is>
          <t>Calculated W - SUM of the Amount column above</t>
        </is>
      </c>
      <c r="B326" s="9" t="n"/>
      <c r="C326" s="9" t="n"/>
      <c r="D326" s="9" t="n"/>
      <c r="E326" s="9" t="n"/>
      <c r="F326" s="25">
        <f>SUM(F312:F325)</f>
        <v/>
      </c>
      <c r="G326" s="9" t="n"/>
    </row>
    <row r="327">
      <c r="A327" s="26" t="inlineStr">
        <is>
          <t>W as printed in the DAR</t>
        </is>
      </c>
      <c r="B327" s="22" t="n"/>
      <c r="C327" s="22" t="n"/>
      <c r="D327" s="22" t="n"/>
      <c r="E327" s="22" t="n"/>
      <c r="F327" s="27" t="n">
        <v>3297.51</v>
      </c>
      <c r="G327" s="22" t="n"/>
    </row>
    <row r="328">
      <c r="A328" s="26" t="inlineStr">
        <is>
          <t>Difference (calculated - printed)</t>
        </is>
      </c>
      <c r="B328" s="22" t="n"/>
      <c r="C328" s="22" t="n"/>
      <c r="D328" s="22" t="n"/>
      <c r="E328" s="22" t="n"/>
      <c r="F328" s="27">
        <f>F326-F327</f>
        <v/>
      </c>
      <c r="G328" s="22" t="n"/>
    </row>
    <row r="329">
      <c r="A329" s="29" t="inlineStr">
        <is>
          <t>SAY (Rs.) - final DAR rate as printed (fixed value, not computed)</t>
        </is>
      </c>
      <c r="B329" s="30" t="n"/>
      <c r="C329" s="30" t="n"/>
      <c r="D329" s="30" t="n"/>
      <c r="E329" s="30" t="n"/>
      <c r="F329" s="31" t="n">
        <v>8823.75</v>
      </c>
      <c r="G329" s="30" t="n"/>
    </row>
    <row r="331" ht="62" customHeight="1">
      <c r="A331" s="8" t="inlineStr">
        <is>
          <t>8.14</t>
        </is>
      </c>
      <c r="B331"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331" s="9" t="n"/>
      <c r="D331" s="9" t="n"/>
      <c r="E331" s="9" t="n"/>
      <c r="F331" s="9" t="n"/>
      <c r="G331" s="9" t="n"/>
    </row>
    <row r="332" ht="18.5" customHeight="1">
      <c r="A332" s="8" t="inlineStr">
        <is>
          <t>8.14.1</t>
        </is>
      </c>
      <c r="B332" s="17" t="inlineStr">
        <is>
          <t>Red sand stone - exposed face fine dressed with rough backing.</t>
        </is>
      </c>
      <c r="C332" s="9" t="n"/>
      <c r="D332" s="9" t="n"/>
      <c r="E332" s="9" t="n"/>
      <c r="F332" s="9" t="n"/>
      <c r="G332" s="9" t="n"/>
    </row>
    <row r="333" ht="18.5" customHeight="1">
      <c r="A333" s="18" t="inlineStr">
        <is>
          <t>8.14.1.1</t>
        </is>
      </c>
      <c r="B333" s="19" t="inlineStr">
        <is>
          <t>70 mm thick</t>
        </is>
      </c>
      <c r="C333" s="20" t="n"/>
      <c r="D333" s="20" t="n"/>
      <c r="E333" s="20" t="n"/>
      <c r="F333" s="20" t="n"/>
      <c r="G333" s="20" t="n"/>
    </row>
    <row r="334">
      <c r="A334" s="21" t="inlineStr">
        <is>
          <t>Details of cost for 1 sqm   |   Source: CivilDAR_2019_Vol_1.pdf, page 382</t>
        </is>
      </c>
    </row>
    <row r="335">
      <c r="A335" s="5" t="inlineStr">
        <is>
          <t>Code</t>
        </is>
      </c>
      <c r="B335" s="5" t="inlineStr">
        <is>
          <t>Description</t>
        </is>
      </c>
      <c r="C335" s="5" t="inlineStr">
        <is>
          <t>Unit</t>
        </is>
      </c>
      <c r="D335" s="5" t="inlineStr">
        <is>
          <t>Quantity</t>
        </is>
      </c>
      <c r="E335" s="5" t="inlineStr">
        <is>
          <t>Rate (Rs.)</t>
        </is>
      </c>
      <c r="F335" s="5" t="inlineStr">
        <is>
          <t>Amount (Rs.)</t>
        </is>
      </c>
      <c r="G335" s="5" t="inlineStr">
        <is>
          <t>Note</t>
        </is>
      </c>
    </row>
    <row r="336">
      <c r="A336" s="22" t="inlineStr">
        <is>
          <t>1160</t>
        </is>
      </c>
      <c r="B336" s="11" t="inlineStr">
        <is>
          <t>Red sand stone block</t>
        </is>
      </c>
      <c r="C336" s="22" t="inlineStr">
        <is>
          <t>10 cudm</t>
        </is>
      </c>
      <c r="D336" s="23" t="n">
        <v>9.333</v>
      </c>
      <c r="E336" s="24" t="n">
        <v>79</v>
      </c>
      <c r="F336" s="24">
        <f>D336*E336</f>
        <v/>
      </c>
      <c r="G336" s="22" t="n"/>
    </row>
    <row r="337">
      <c r="A337" s="22" t="inlineStr">
        <is>
          <t>2216</t>
        </is>
      </c>
      <c r="B337" s="11" t="inlineStr">
        <is>
          <t>Carriage of Stone blocks white &amp; red sand stone &amp; kota stone slab</t>
        </is>
      </c>
      <c r="C337" s="22" t="inlineStr">
        <is>
          <t>tonne</t>
        </is>
      </c>
      <c r="D337" s="23" t="n">
        <v>0.215</v>
      </c>
      <c r="E337" s="24" t="n">
        <v>92.23999999999999</v>
      </c>
      <c r="F337" s="24">
        <f>D337*E337</f>
        <v/>
      </c>
      <c r="G337" s="22" t="n"/>
    </row>
    <row r="338">
      <c r="A338" s="22" t="inlineStr">
        <is>
          <t>9999</t>
        </is>
      </c>
      <c r="B338" s="11" t="inlineStr">
        <is>
          <t>Extra for using white cement</t>
        </is>
      </c>
      <c r="C338" s="22" t="inlineStr">
        <is>
          <t>L.S.</t>
        </is>
      </c>
      <c r="D338" s="23" t="n">
        <v>26.91</v>
      </c>
      <c r="E338" s="24" t="n">
        <v>2</v>
      </c>
      <c r="F338" s="24">
        <f>D338*E338</f>
        <v/>
      </c>
      <c r="G338" s="22" t="n"/>
    </row>
    <row r="339">
      <c r="A339" s="22" t="inlineStr">
        <is>
          <t>0125</t>
        </is>
      </c>
      <c r="B339" s="11" t="inlineStr">
        <is>
          <t>Mason (for plain stone work) 2nd class)</t>
        </is>
      </c>
      <c r="C339" s="22" t="inlineStr">
        <is>
          <t>day</t>
        </is>
      </c>
      <c r="D339" s="23" t="n">
        <v>1.35</v>
      </c>
      <c r="E339" s="24" t="n">
        <v>679</v>
      </c>
      <c r="F339" s="24">
        <f>D339*E339</f>
        <v/>
      </c>
      <c r="G339" s="22" t="n"/>
    </row>
    <row r="340">
      <c r="A340" s="22" t="inlineStr">
        <is>
          <t>0102</t>
        </is>
      </c>
      <c r="B340" s="11" t="inlineStr">
        <is>
          <t>Blacksmith 1st class</t>
        </is>
      </c>
      <c r="C340" s="22" t="inlineStr">
        <is>
          <t>day</t>
        </is>
      </c>
      <c r="D340" s="23" t="n">
        <v>0.032</v>
      </c>
      <c r="E340" s="24" t="n">
        <v>738</v>
      </c>
      <c r="F340" s="24">
        <f>D340*E340</f>
        <v/>
      </c>
      <c r="G340" s="22" t="n"/>
    </row>
    <row r="341">
      <c r="A341" s="22" t="inlineStr">
        <is>
          <t>0114</t>
        </is>
      </c>
      <c r="B341" s="11" t="inlineStr">
        <is>
          <t>Beldar</t>
        </is>
      </c>
      <c r="C341" s="22" t="inlineStr">
        <is>
          <t>day</t>
        </is>
      </c>
      <c r="D341" s="23" t="n">
        <v>0.224</v>
      </c>
      <c r="E341" s="24" t="n">
        <v>558</v>
      </c>
      <c r="F341" s="24">
        <f>D341*E341</f>
        <v/>
      </c>
      <c r="G341" s="22" t="n"/>
    </row>
    <row r="342">
      <c r="A342" s="22" t="inlineStr">
        <is>
          <t>0115</t>
        </is>
      </c>
      <c r="B342" s="11" t="inlineStr">
        <is>
          <t>Coolie</t>
        </is>
      </c>
      <c r="C342" s="22" t="inlineStr">
        <is>
          <t>day</t>
        </is>
      </c>
      <c r="D342" s="23" t="n">
        <v>0.112</v>
      </c>
      <c r="E342" s="24" t="n">
        <v>558</v>
      </c>
      <c r="F342" s="24">
        <f>D342*E342</f>
        <v/>
      </c>
      <c r="G342" s="22" t="n"/>
    </row>
    <row r="343">
      <c r="A343" s="22" t="inlineStr">
        <is>
          <t>0100</t>
        </is>
      </c>
      <c r="B343" s="11" t="inlineStr">
        <is>
          <t>Bandhani</t>
        </is>
      </c>
      <c r="C343" s="22" t="inlineStr">
        <is>
          <t>day</t>
        </is>
      </c>
      <c r="D343" s="23" t="n">
        <v>0.224</v>
      </c>
      <c r="E343" s="24" t="n">
        <v>617</v>
      </c>
      <c r="F343" s="24">
        <f>D343*E343</f>
        <v/>
      </c>
      <c r="G343" s="22" t="n"/>
    </row>
    <row r="344">
      <c r="A344" s="22" t="inlineStr">
        <is>
          <t>0125</t>
        </is>
      </c>
      <c r="B344" s="11" t="inlineStr">
        <is>
          <t>Mason (for plain stone work) 2nd class</t>
        </is>
      </c>
      <c r="C344" s="22" t="inlineStr">
        <is>
          <t>day</t>
        </is>
      </c>
      <c r="D344" s="23" t="n">
        <v>0.448</v>
      </c>
      <c r="E344" s="24" t="n">
        <v>679</v>
      </c>
      <c r="F344" s="24">
        <f>D344*E344</f>
        <v/>
      </c>
      <c r="G344" s="22" t="n"/>
    </row>
    <row r="345">
      <c r="A345" s="22" t="inlineStr">
        <is>
          <t>0100</t>
        </is>
      </c>
      <c r="B345" s="11" t="inlineStr">
        <is>
          <t>Bandhani</t>
        </is>
      </c>
      <c r="C345" s="22" t="inlineStr">
        <is>
          <t>day</t>
        </is>
      </c>
      <c r="D345" s="23" t="n">
        <v>0.336</v>
      </c>
      <c r="E345" s="24" t="n">
        <v>617</v>
      </c>
      <c r="F345" s="24">
        <f>D345*E345</f>
        <v/>
      </c>
      <c r="G345" s="22" t="n"/>
    </row>
    <row r="346">
      <c r="A346" s="22" t="inlineStr">
        <is>
          <t>0114</t>
        </is>
      </c>
      <c r="B346" s="11" t="inlineStr">
        <is>
          <t>Beldar</t>
        </is>
      </c>
      <c r="C346" s="22" t="inlineStr">
        <is>
          <t>day</t>
        </is>
      </c>
      <c r="D346" s="23" t="n">
        <v>0.336</v>
      </c>
      <c r="E346" s="24" t="n">
        <v>558</v>
      </c>
      <c r="F346" s="24">
        <f>D346*E346</f>
        <v/>
      </c>
      <c r="G346" s="22" t="n"/>
    </row>
    <row r="347">
      <c r="A347" s="22" t="inlineStr">
        <is>
          <t>0115</t>
        </is>
      </c>
      <c r="B347" s="11" t="inlineStr">
        <is>
          <t>Coolie</t>
        </is>
      </c>
      <c r="C347" s="22" t="inlineStr">
        <is>
          <t>day</t>
        </is>
      </c>
      <c r="D347" s="23" t="n">
        <v>0.336</v>
      </c>
      <c r="E347" s="24" t="n">
        <v>558</v>
      </c>
      <c r="F347" s="24">
        <f>D347*E347</f>
        <v/>
      </c>
      <c r="G347" s="22" t="n"/>
    </row>
    <row r="348">
      <c r="A348" s="22" t="inlineStr">
        <is>
          <t>0101</t>
        </is>
      </c>
      <c r="B348" s="11" t="inlineStr">
        <is>
          <t>Bhisti</t>
        </is>
      </c>
      <c r="C348" s="22" t="inlineStr">
        <is>
          <t>day</t>
        </is>
      </c>
      <c r="D348" s="23" t="n">
        <v>0.336</v>
      </c>
      <c r="E348" s="24" t="n">
        <v>617</v>
      </c>
      <c r="F348" s="24">
        <f>D348*E348</f>
        <v/>
      </c>
      <c r="G348" s="22" t="n"/>
    </row>
    <row r="349">
      <c r="A349" s="22" t="inlineStr">
        <is>
          <t>1237</t>
        </is>
      </c>
      <c r="B349" s="11" t="inlineStr">
        <is>
          <t>Cutting marble or sand stone slab upto 50 mm thick by mechanical device</t>
        </is>
      </c>
      <c r="C349" s="22" t="inlineStr">
        <is>
          <t>metre</t>
        </is>
      </c>
      <c r="D349" s="23" t="n">
        <v>4</v>
      </c>
      <c r="E349" s="24" t="n">
        <v>10</v>
      </c>
      <c r="F349" s="24">
        <f>D349*E349</f>
        <v/>
      </c>
      <c r="G349" s="22" t="n"/>
    </row>
    <row r="350">
      <c r="A350" s="22" t="inlineStr">
        <is>
          <t>9999</t>
        </is>
      </c>
      <c r="B350" s="11" t="inlineStr">
        <is>
          <t>Scaffolding</t>
        </is>
      </c>
      <c r="C350" s="22" t="inlineStr">
        <is>
          <t>L.S.</t>
        </is>
      </c>
      <c r="D350" s="23" t="n">
        <v>19.76</v>
      </c>
      <c r="E350" s="24" t="n">
        <v>2</v>
      </c>
      <c r="F350" s="24">
        <f>D350*E350</f>
        <v/>
      </c>
      <c r="G350" s="22" t="n"/>
    </row>
    <row r="351">
      <c r="A351" s="7" t="inlineStr">
        <is>
          <t>3.8</t>
        </is>
      </c>
      <c r="B351" s="11" t="inlineStr">
        <is>
          <t>Rate as per item 3.8 - Cement mortar 1:3 (1 cement : 3 coarse sand)</t>
        </is>
      </c>
      <c r="C351" s="22" t="inlineStr">
        <is>
          <t>cum</t>
        </is>
      </c>
      <c r="D351" s="23" t="n">
        <v>0.018</v>
      </c>
      <c r="E351" s="24" t="n">
        <v>4664.55</v>
      </c>
      <c r="F351" s="24">
        <f>D351*E351</f>
        <v/>
      </c>
      <c r="G351" s="22" t="n"/>
    </row>
    <row r="352">
      <c r="A352" s="8" t="inlineStr">
        <is>
          <t>Calculated W - SUM of the Amount column above</t>
        </is>
      </c>
      <c r="B352" s="9" t="n"/>
      <c r="C352" s="9" t="n"/>
      <c r="D352" s="9" t="n"/>
      <c r="E352" s="9" t="n"/>
      <c r="F352" s="25">
        <f>SUM(F336:F351)</f>
        <v/>
      </c>
      <c r="G352" s="9" t="n"/>
    </row>
    <row r="353">
      <c r="A353" s="26" t="inlineStr">
        <is>
          <t>W as printed in the DAR</t>
        </is>
      </c>
      <c r="B353" s="22" t="n"/>
      <c r="C353" s="22" t="n"/>
      <c r="D353" s="22" t="n"/>
      <c r="E353" s="22" t="n"/>
      <c r="F353" s="27" t="n">
        <v>3334.19</v>
      </c>
      <c r="G353" s="22" t="n"/>
    </row>
    <row r="354">
      <c r="A354" s="26" t="inlineStr">
        <is>
          <t>Difference (calculated - printed)</t>
        </is>
      </c>
      <c r="B354" s="22" t="n"/>
      <c r="C354" s="22" t="n"/>
      <c r="D354" s="22" t="n"/>
      <c r="E354" s="22" t="n"/>
      <c r="F354" s="27">
        <f>F352-F353</f>
        <v/>
      </c>
      <c r="G354" s="22" t="n"/>
    </row>
    <row r="355">
      <c r="A355" s="29" t="inlineStr">
        <is>
          <t>SAY (Rs.) - final DAR rate as printed (fixed value, not computed)</t>
        </is>
      </c>
      <c r="B355" s="30" t="n"/>
      <c r="C355" s="30" t="n"/>
      <c r="D355" s="30" t="n"/>
      <c r="E355" s="30" t="n"/>
      <c r="F355" s="31" t="n">
        <v>4460.95</v>
      </c>
      <c r="G355" s="30" t="n"/>
    </row>
    <row r="357" ht="62" customHeight="1">
      <c r="A357" s="8" t="inlineStr">
        <is>
          <t>8.14</t>
        </is>
      </c>
      <c r="B357"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357" s="9" t="n"/>
      <c r="D357" s="9" t="n"/>
      <c r="E357" s="9" t="n"/>
      <c r="F357" s="9" t="n"/>
      <c r="G357" s="9" t="n"/>
    </row>
    <row r="358" ht="18.5" customHeight="1">
      <c r="A358" s="8" t="inlineStr">
        <is>
          <t>8.14.1</t>
        </is>
      </c>
      <c r="B358" s="17" t="inlineStr">
        <is>
          <t>Red sand stone - exposed face fine dressed with rough backing.</t>
        </is>
      </c>
      <c r="C358" s="9" t="n"/>
      <c r="D358" s="9" t="n"/>
      <c r="E358" s="9" t="n"/>
      <c r="F358" s="9" t="n"/>
      <c r="G358" s="9" t="n"/>
    </row>
    <row r="359" ht="18.5" customHeight="1">
      <c r="A359" s="18" t="inlineStr">
        <is>
          <t>8.14.1.2</t>
        </is>
      </c>
      <c r="B359" s="19" t="inlineStr">
        <is>
          <t>60 mm thick</t>
        </is>
      </c>
      <c r="C359" s="20" t="n"/>
      <c r="D359" s="20" t="n"/>
      <c r="E359" s="20" t="n"/>
      <c r="F359" s="20" t="n"/>
      <c r="G359" s="20" t="n"/>
    </row>
    <row r="360">
      <c r="A360" s="21" t="inlineStr">
        <is>
          <t>Details of cost for 1 sqm   |   Source: CivilDAR_2019_Vol_1.pdf, page 382</t>
        </is>
      </c>
    </row>
    <row r="361">
      <c r="A361" s="5" t="inlineStr">
        <is>
          <t>Code</t>
        </is>
      </c>
      <c r="B361" s="5" t="inlineStr">
        <is>
          <t>Description</t>
        </is>
      </c>
      <c r="C361" s="5" t="inlineStr">
        <is>
          <t>Unit</t>
        </is>
      </c>
      <c r="D361" s="5" t="inlineStr">
        <is>
          <t>Quantity</t>
        </is>
      </c>
      <c r="E361" s="5" t="inlineStr">
        <is>
          <t>Rate (Rs.)</t>
        </is>
      </c>
      <c r="F361" s="5" t="inlineStr">
        <is>
          <t>Amount (Rs.)</t>
        </is>
      </c>
      <c r="G361" s="5" t="inlineStr">
        <is>
          <t>Note</t>
        </is>
      </c>
    </row>
    <row r="362">
      <c r="A362" s="22" t="inlineStr">
        <is>
          <t>1160</t>
        </is>
      </c>
      <c r="B362" s="11" t="inlineStr">
        <is>
          <t>Red sand stone block</t>
        </is>
      </c>
      <c r="C362" s="22" t="inlineStr">
        <is>
          <t>10 cudm</t>
        </is>
      </c>
      <c r="D362" s="23" t="n">
        <v>8</v>
      </c>
      <c r="E362" s="24" t="n">
        <v>79</v>
      </c>
      <c r="F362" s="24">
        <f>D362*E362</f>
        <v/>
      </c>
      <c r="G362" s="22" t="n"/>
    </row>
    <row r="363">
      <c r="A363" s="22" t="inlineStr">
        <is>
          <t>2216</t>
        </is>
      </c>
      <c r="B363" s="11" t="inlineStr">
        <is>
          <t>Carriage of Stone blocks white &amp; red sand stone &amp; kota stone slab</t>
        </is>
      </c>
      <c r="C363" s="22" t="inlineStr">
        <is>
          <t>tonne</t>
        </is>
      </c>
      <c r="D363" s="23" t="n">
        <v>0.184</v>
      </c>
      <c r="E363" s="24" t="n">
        <v>92.23999999999999</v>
      </c>
      <c r="F363" s="24">
        <f>D363*E363</f>
        <v/>
      </c>
      <c r="G363" s="22" t="n"/>
    </row>
    <row r="364">
      <c r="A364" s="22" t="inlineStr">
        <is>
          <t>9999</t>
        </is>
      </c>
      <c r="B364" s="11" t="inlineStr">
        <is>
          <t>Extra for using white cement</t>
        </is>
      </c>
      <c r="C364" s="22" t="inlineStr">
        <is>
          <t>L.S.</t>
        </is>
      </c>
      <c r="D364" s="23" t="n">
        <v>26.91</v>
      </c>
      <c r="E364" s="24" t="n">
        <v>2</v>
      </c>
      <c r="F364" s="24">
        <f>D364*E364</f>
        <v/>
      </c>
      <c r="G364" s="22" t="n"/>
    </row>
    <row r="365">
      <c r="A365" s="22" t="inlineStr">
        <is>
          <t>0125</t>
        </is>
      </c>
      <c r="B365" s="11" t="inlineStr">
        <is>
          <t>Mason (for plain stone work) 2nd class</t>
        </is>
      </c>
      <c r="C365" s="22" t="inlineStr">
        <is>
          <t>day</t>
        </is>
      </c>
      <c r="D365" s="23" t="n">
        <v>1.35</v>
      </c>
      <c r="E365" s="24" t="n">
        <v>679</v>
      </c>
      <c r="F365" s="24">
        <f>D365*E365</f>
        <v/>
      </c>
      <c r="G365" s="22" t="n"/>
    </row>
    <row r="366">
      <c r="A366" s="22" t="inlineStr">
        <is>
          <t>0102</t>
        </is>
      </c>
      <c r="B366" s="11" t="inlineStr">
        <is>
          <t>Blacksmith 1st class</t>
        </is>
      </c>
      <c r="C366" s="22" t="inlineStr">
        <is>
          <t>day</t>
        </is>
      </c>
      <c r="D366" s="23" t="n">
        <v>0.032</v>
      </c>
      <c r="E366" s="24" t="n">
        <v>738</v>
      </c>
      <c r="F366" s="24">
        <f>D366*E366</f>
        <v/>
      </c>
      <c r="G366" s="22" t="n"/>
    </row>
    <row r="367">
      <c r="A367" s="22" t="inlineStr">
        <is>
          <t>0114</t>
        </is>
      </c>
      <c r="B367" s="11" t="inlineStr">
        <is>
          <t>Beldar</t>
        </is>
      </c>
      <c r="C367" s="22" t="inlineStr">
        <is>
          <t>day</t>
        </is>
      </c>
      <c r="D367" s="23" t="n">
        <v>0.224</v>
      </c>
      <c r="E367" s="24" t="n">
        <v>558</v>
      </c>
      <c r="F367" s="24">
        <f>D367*E367</f>
        <v/>
      </c>
      <c r="G367" s="22" t="n"/>
    </row>
    <row r="368">
      <c r="A368" s="22" t="inlineStr">
        <is>
          <t>0115</t>
        </is>
      </c>
      <c r="B368" s="11" t="inlineStr">
        <is>
          <t>Coolie</t>
        </is>
      </c>
      <c r="C368" s="22" t="inlineStr">
        <is>
          <t>day</t>
        </is>
      </c>
      <c r="D368" s="23" t="n">
        <v>0.112</v>
      </c>
      <c r="E368" s="24" t="n">
        <v>558</v>
      </c>
      <c r="F368" s="24">
        <f>D368*E368</f>
        <v/>
      </c>
      <c r="G368" s="22" t="n"/>
    </row>
    <row r="369">
      <c r="A369" s="22" t="inlineStr">
        <is>
          <t>0100</t>
        </is>
      </c>
      <c r="B369" s="11" t="inlineStr">
        <is>
          <t>Bandhani</t>
        </is>
      </c>
      <c r="C369" s="22" t="inlineStr">
        <is>
          <t>day</t>
        </is>
      </c>
      <c r="D369" s="23" t="n">
        <v>0.224</v>
      </c>
      <c r="E369" s="24" t="n">
        <v>617</v>
      </c>
      <c r="F369" s="24">
        <f>D369*E369</f>
        <v/>
      </c>
      <c r="G369" s="22" t="n"/>
    </row>
    <row r="370">
      <c r="A370" s="22" t="inlineStr">
        <is>
          <t>0125</t>
        </is>
      </c>
      <c r="B370" s="11" t="inlineStr">
        <is>
          <t>Mason (for plain stone work) 2nd class</t>
        </is>
      </c>
      <c r="C370" s="22" t="inlineStr">
        <is>
          <t>day</t>
        </is>
      </c>
      <c r="D370" s="23" t="n">
        <v>0.448</v>
      </c>
      <c r="E370" s="24" t="n">
        <v>679</v>
      </c>
      <c r="F370" s="24">
        <f>D370*E370</f>
        <v/>
      </c>
      <c r="G370" s="22" t="n"/>
    </row>
    <row r="371">
      <c r="A371" s="22" t="inlineStr">
        <is>
          <t>0100</t>
        </is>
      </c>
      <c r="B371" s="11" t="inlineStr">
        <is>
          <t>Bandhani</t>
        </is>
      </c>
      <c r="C371" s="22" t="inlineStr">
        <is>
          <t>day</t>
        </is>
      </c>
      <c r="D371" s="23" t="n">
        <v>0.336</v>
      </c>
      <c r="E371" s="24" t="n">
        <v>617</v>
      </c>
      <c r="F371" s="24">
        <f>D371*E371</f>
        <v/>
      </c>
      <c r="G371" s="22" t="n"/>
    </row>
    <row r="372">
      <c r="A372" s="22" t="inlineStr">
        <is>
          <t>0114</t>
        </is>
      </c>
      <c r="B372" s="11" t="inlineStr">
        <is>
          <t>Beldar</t>
        </is>
      </c>
      <c r="C372" s="22" t="inlineStr">
        <is>
          <t>day</t>
        </is>
      </c>
      <c r="D372" s="23" t="n">
        <v>0.336</v>
      </c>
      <c r="E372" s="24" t="n">
        <v>558</v>
      </c>
      <c r="F372" s="24">
        <f>D372*E372</f>
        <v/>
      </c>
      <c r="G372" s="22" t="n"/>
    </row>
    <row r="373">
      <c r="A373" s="22" t="inlineStr">
        <is>
          <t>0115</t>
        </is>
      </c>
      <c r="B373" s="11" t="inlineStr">
        <is>
          <t>Coolie</t>
        </is>
      </c>
      <c r="C373" s="22" t="inlineStr">
        <is>
          <t>day</t>
        </is>
      </c>
      <c r="D373" s="23" t="n">
        <v>0.336</v>
      </c>
      <c r="E373" s="24" t="n">
        <v>558</v>
      </c>
      <c r="F373" s="24">
        <f>D373*E373</f>
        <v/>
      </c>
      <c r="G373" s="22" t="n"/>
    </row>
    <row r="374">
      <c r="A374" s="22" t="inlineStr">
        <is>
          <t>0101</t>
        </is>
      </c>
      <c r="B374" s="11" t="inlineStr">
        <is>
          <t>Bhisti</t>
        </is>
      </c>
      <c r="C374" s="22" t="inlineStr">
        <is>
          <t>day</t>
        </is>
      </c>
      <c r="D374" s="23" t="n">
        <v>0.336</v>
      </c>
      <c r="E374" s="24" t="n">
        <v>617</v>
      </c>
      <c r="F374" s="24">
        <f>D374*E374</f>
        <v/>
      </c>
      <c r="G374" s="22" t="n"/>
    </row>
    <row r="375">
      <c r="A375" s="22" t="inlineStr">
        <is>
          <t>1237</t>
        </is>
      </c>
      <c r="B375" s="11" t="inlineStr">
        <is>
          <t>Cutting marble or sand stone slab upto 50 mm thick by mechanical device</t>
        </is>
      </c>
      <c r="C375" s="22" t="inlineStr">
        <is>
          <t>metre</t>
        </is>
      </c>
      <c r="D375" s="23" t="n">
        <v>4</v>
      </c>
      <c r="E375" s="24" t="n">
        <v>10</v>
      </c>
      <c r="F375" s="24">
        <f>D375*E375</f>
        <v/>
      </c>
      <c r="G375" s="22" t="n"/>
    </row>
    <row r="376">
      <c r="A376" s="22" t="inlineStr">
        <is>
          <t>9999</t>
        </is>
      </c>
      <c r="B376" s="11" t="inlineStr">
        <is>
          <t>Scaffolding</t>
        </is>
      </c>
      <c r="C376" s="22" t="inlineStr">
        <is>
          <t>L.S.</t>
        </is>
      </c>
      <c r="D376" s="23" t="n">
        <v>19.76</v>
      </c>
      <c r="E376" s="24" t="n">
        <v>2</v>
      </c>
      <c r="F376" s="24">
        <f>D376*E376</f>
        <v/>
      </c>
      <c r="G376" s="22" t="n"/>
    </row>
    <row r="377">
      <c r="A377" s="7" t="inlineStr">
        <is>
          <t>3.8</t>
        </is>
      </c>
      <c r="B377" s="11" t="inlineStr">
        <is>
          <t>Rate as per item 3.8 - Cement mortar 1:3 (1 cement : 3 coarse sand)</t>
        </is>
      </c>
      <c r="C377" s="22" t="inlineStr">
        <is>
          <t>cum</t>
        </is>
      </c>
      <c r="D377" s="23" t="n">
        <v>0.018</v>
      </c>
      <c r="E377" s="24" t="n">
        <v>4664.55</v>
      </c>
      <c r="F377" s="24">
        <f>D377*E377</f>
        <v/>
      </c>
      <c r="G377" s="22" t="n"/>
    </row>
    <row r="378">
      <c r="A378" s="8" t="inlineStr">
        <is>
          <t>Calculated W - SUM of the Amount column above</t>
        </is>
      </c>
      <c r="B378" s="9" t="n"/>
      <c r="C378" s="9" t="n"/>
      <c r="D378" s="9" t="n"/>
      <c r="E378" s="9" t="n"/>
      <c r="F378" s="25">
        <f>SUM(F362:F377)</f>
        <v/>
      </c>
      <c r="G378" s="9" t="n"/>
    </row>
    <row r="379">
      <c r="A379" s="26" t="inlineStr">
        <is>
          <t>W as printed in the DAR</t>
        </is>
      </c>
      <c r="B379" s="22" t="n"/>
      <c r="C379" s="22" t="n"/>
      <c r="D379" s="22" t="n"/>
      <c r="E379" s="22" t="n"/>
      <c r="F379" s="27" t="n">
        <v>3226.03</v>
      </c>
      <c r="G379" s="22" t="n"/>
    </row>
    <row r="380">
      <c r="A380" s="26" t="inlineStr">
        <is>
          <t>Difference (calculated - printed)</t>
        </is>
      </c>
      <c r="B380" s="22" t="n"/>
      <c r="C380" s="22" t="n"/>
      <c r="D380" s="22" t="n"/>
      <c r="E380" s="22" t="n"/>
      <c r="F380" s="27">
        <f>F378-F379</f>
        <v/>
      </c>
      <c r="G380" s="22" t="n"/>
    </row>
    <row r="381">
      <c r="A381" s="29" t="inlineStr">
        <is>
          <t>SAY (Rs.) - final DAR rate as printed (fixed value, not computed)</t>
        </is>
      </c>
      <c r="B381" s="30" t="n"/>
      <c r="C381" s="30" t="n"/>
      <c r="D381" s="30" t="n"/>
      <c r="E381" s="30" t="n"/>
      <c r="F381" s="31" t="n">
        <v>4316.2</v>
      </c>
      <c r="G381" s="30" t="n"/>
    </row>
    <row r="383" ht="62" customHeight="1">
      <c r="A383" s="8" t="inlineStr">
        <is>
          <t>8.14</t>
        </is>
      </c>
      <c r="B383"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383" s="9" t="n"/>
      <c r="D383" s="9" t="n"/>
      <c r="E383" s="9" t="n"/>
      <c r="F383" s="9" t="n"/>
      <c r="G383" s="9" t="n"/>
    </row>
    <row r="384" ht="18.5" customHeight="1">
      <c r="A384" s="8" t="inlineStr">
        <is>
          <t>8.14.1</t>
        </is>
      </c>
      <c r="B384" s="17" t="inlineStr">
        <is>
          <t>Red sand stone - exposed face fine dressed with rough backing.</t>
        </is>
      </c>
      <c r="C384" s="9" t="n"/>
      <c r="D384" s="9" t="n"/>
      <c r="E384" s="9" t="n"/>
      <c r="F384" s="9" t="n"/>
      <c r="G384" s="9" t="n"/>
    </row>
    <row r="385" ht="18.5" customHeight="1">
      <c r="A385" s="18" t="inlineStr">
        <is>
          <t>8.14.1.3</t>
        </is>
      </c>
      <c r="B385" s="19" t="inlineStr">
        <is>
          <t>50 mm thick</t>
        </is>
      </c>
      <c r="C385" s="20" t="n"/>
      <c r="D385" s="20" t="n"/>
      <c r="E385" s="20" t="n"/>
      <c r="F385" s="20" t="n"/>
      <c r="G385" s="20" t="n"/>
    </row>
    <row r="386">
      <c r="A386" s="21" t="inlineStr">
        <is>
          <t>Details of cost for 1 sqm   |   Source: CivilDAR_2019_Vol_1.pdf, page 383</t>
        </is>
      </c>
    </row>
    <row r="387">
      <c r="A387" s="5" t="inlineStr">
        <is>
          <t>Code</t>
        </is>
      </c>
      <c r="B387" s="5" t="inlineStr">
        <is>
          <t>Description</t>
        </is>
      </c>
      <c r="C387" s="5" t="inlineStr">
        <is>
          <t>Unit</t>
        </is>
      </c>
      <c r="D387" s="5" t="inlineStr">
        <is>
          <t>Quantity</t>
        </is>
      </c>
      <c r="E387" s="5" t="inlineStr">
        <is>
          <t>Rate (Rs.)</t>
        </is>
      </c>
      <c r="F387" s="5" t="inlineStr">
        <is>
          <t>Amount (Rs.)</t>
        </is>
      </c>
      <c r="G387" s="5" t="inlineStr">
        <is>
          <t>Note</t>
        </is>
      </c>
    </row>
    <row r="388">
      <c r="A388" s="22" t="inlineStr">
        <is>
          <t>1160</t>
        </is>
      </c>
      <c r="B388" s="11" t="inlineStr">
        <is>
          <t>Red sand stone block</t>
        </is>
      </c>
      <c r="C388" s="22" t="inlineStr">
        <is>
          <t>10 cudm</t>
        </is>
      </c>
      <c r="D388" s="23" t="n">
        <v>6.67</v>
      </c>
      <c r="E388" s="24" t="n">
        <v>79</v>
      </c>
      <c r="F388" s="24">
        <f>D388*E388</f>
        <v/>
      </c>
      <c r="G388" s="22" t="n"/>
    </row>
    <row r="389">
      <c r="A389" s="22" t="inlineStr">
        <is>
          <t>2216</t>
        </is>
      </c>
      <c r="B389" s="11" t="inlineStr">
        <is>
          <t>Carriage of Stone blocks white &amp; red sand stone &amp; kota stone slab</t>
        </is>
      </c>
      <c r="C389" s="22" t="inlineStr">
        <is>
          <t>tonne</t>
        </is>
      </c>
      <c r="D389" s="23" t="n">
        <v>0.153</v>
      </c>
      <c r="E389" s="24" t="n">
        <v>92.23999999999999</v>
      </c>
      <c r="F389" s="24">
        <f>D389*E389</f>
        <v/>
      </c>
      <c r="G389" s="22" t="n"/>
    </row>
    <row r="390">
      <c r="A390" s="22" t="inlineStr">
        <is>
          <t>9999</t>
        </is>
      </c>
      <c r="B390" s="11" t="inlineStr">
        <is>
          <t>Extra for using white cement</t>
        </is>
      </c>
      <c r="C390" s="22" t="inlineStr">
        <is>
          <t>L.S.</t>
        </is>
      </c>
      <c r="D390" s="23" t="n">
        <v>26.91</v>
      </c>
      <c r="E390" s="24" t="n">
        <v>2</v>
      </c>
      <c r="F390" s="24">
        <f>D390*E390</f>
        <v/>
      </c>
      <c r="G390" s="22" t="n"/>
    </row>
    <row r="391">
      <c r="A391" s="22" t="inlineStr">
        <is>
          <t>0125</t>
        </is>
      </c>
      <c r="B391" s="11" t="inlineStr">
        <is>
          <t>Mason (for plain stone work) 2nd class</t>
        </is>
      </c>
      <c r="C391" s="22" t="inlineStr">
        <is>
          <t>day</t>
        </is>
      </c>
      <c r="D391" s="23" t="n">
        <v>1.35</v>
      </c>
      <c r="E391" s="24" t="n">
        <v>679</v>
      </c>
      <c r="F391" s="24">
        <f>D391*E391</f>
        <v/>
      </c>
      <c r="G391" s="22" t="n"/>
    </row>
    <row r="392">
      <c r="A392" s="22" t="inlineStr">
        <is>
          <t>0102</t>
        </is>
      </c>
      <c r="B392" s="11" t="inlineStr">
        <is>
          <t>Blacksmith 1st class</t>
        </is>
      </c>
      <c r="C392" s="22" t="inlineStr">
        <is>
          <t>day</t>
        </is>
      </c>
      <c r="D392" s="23" t="n">
        <v>0.032</v>
      </c>
      <c r="E392" s="24" t="n">
        <v>738</v>
      </c>
      <c r="F392" s="24">
        <f>D392*E392</f>
        <v/>
      </c>
      <c r="G392" s="22" t="n"/>
    </row>
    <row r="393">
      <c r="A393" s="22" t="inlineStr">
        <is>
          <t>0114</t>
        </is>
      </c>
      <c r="B393" s="11" t="inlineStr">
        <is>
          <t>Beldar</t>
        </is>
      </c>
      <c r="C393" s="22" t="inlineStr">
        <is>
          <t>day</t>
        </is>
      </c>
      <c r="D393" s="23" t="n">
        <v>0.224</v>
      </c>
      <c r="E393" s="24" t="n">
        <v>558</v>
      </c>
      <c r="F393" s="24">
        <f>D393*E393</f>
        <v/>
      </c>
      <c r="G393" s="22" t="n"/>
    </row>
    <row r="394">
      <c r="A394" s="22" t="inlineStr">
        <is>
          <t>0115</t>
        </is>
      </c>
      <c r="B394" s="11" t="inlineStr">
        <is>
          <t>Coolie</t>
        </is>
      </c>
      <c r="C394" s="22" t="inlineStr">
        <is>
          <t>day</t>
        </is>
      </c>
      <c r="D394" s="23" t="n">
        <v>0.112</v>
      </c>
      <c r="E394" s="24" t="n">
        <v>558</v>
      </c>
      <c r="F394" s="24">
        <f>D394*E394</f>
        <v/>
      </c>
      <c r="G394" s="22" t="n"/>
    </row>
    <row r="395">
      <c r="A395" s="22" t="inlineStr">
        <is>
          <t>0100</t>
        </is>
      </c>
      <c r="B395" s="11" t="inlineStr">
        <is>
          <t>Bandhani</t>
        </is>
      </c>
      <c r="C395" s="22" t="inlineStr">
        <is>
          <t>day</t>
        </is>
      </c>
      <c r="D395" s="23" t="n">
        <v>0.224</v>
      </c>
      <c r="E395" s="24" t="n">
        <v>617</v>
      </c>
      <c r="F395" s="24">
        <f>D395*E395</f>
        <v/>
      </c>
      <c r="G395" s="22" t="n"/>
    </row>
    <row r="396">
      <c r="A396" s="22" t="inlineStr">
        <is>
          <t>0125</t>
        </is>
      </c>
      <c r="B396" s="11" t="inlineStr">
        <is>
          <t>Mason (for plain stone work) 2nd class)</t>
        </is>
      </c>
      <c r="C396" s="22" t="inlineStr">
        <is>
          <t>day</t>
        </is>
      </c>
      <c r="D396" s="23" t="n">
        <v>0.448</v>
      </c>
      <c r="E396" s="24" t="n">
        <v>679</v>
      </c>
      <c r="F396" s="24">
        <f>D396*E396</f>
        <v/>
      </c>
      <c r="G396" s="22" t="n"/>
    </row>
    <row r="397">
      <c r="A397" s="22" t="inlineStr">
        <is>
          <t>0100</t>
        </is>
      </c>
      <c r="B397" s="11" t="inlineStr">
        <is>
          <t>Bandhani</t>
        </is>
      </c>
      <c r="C397" s="22" t="inlineStr">
        <is>
          <t>day</t>
        </is>
      </c>
      <c r="D397" s="23" t="n">
        <v>0.336</v>
      </c>
      <c r="E397" s="24" t="n">
        <v>617</v>
      </c>
      <c r="F397" s="24">
        <f>D397*E397</f>
        <v/>
      </c>
      <c r="G397" s="22" t="n"/>
    </row>
    <row r="398">
      <c r="A398" s="22" t="inlineStr">
        <is>
          <t>0114</t>
        </is>
      </c>
      <c r="B398" s="11" t="inlineStr">
        <is>
          <t>Beldar</t>
        </is>
      </c>
      <c r="C398" s="22" t="inlineStr">
        <is>
          <t>day</t>
        </is>
      </c>
      <c r="D398" s="23" t="n">
        <v>0.336</v>
      </c>
      <c r="E398" s="24" t="n">
        <v>558</v>
      </c>
      <c r="F398" s="24">
        <f>D398*E398</f>
        <v/>
      </c>
      <c r="G398" s="22" t="n"/>
    </row>
    <row r="399">
      <c r="A399" s="22" t="inlineStr">
        <is>
          <t>0115</t>
        </is>
      </c>
      <c r="B399" s="11" t="inlineStr">
        <is>
          <t>Coolie</t>
        </is>
      </c>
      <c r="C399" s="22" t="inlineStr">
        <is>
          <t>day</t>
        </is>
      </c>
      <c r="D399" s="23" t="n">
        <v>0.336</v>
      </c>
      <c r="E399" s="24" t="n">
        <v>558</v>
      </c>
      <c r="F399" s="24">
        <f>D399*E399</f>
        <v/>
      </c>
      <c r="G399" s="22" t="n"/>
    </row>
    <row r="400">
      <c r="A400" s="22" t="inlineStr">
        <is>
          <t>0101</t>
        </is>
      </c>
      <c r="B400" s="11" t="inlineStr">
        <is>
          <t>Bhisti</t>
        </is>
      </c>
      <c r="C400" s="22" t="inlineStr">
        <is>
          <t>day</t>
        </is>
      </c>
      <c r="D400" s="23" t="n">
        <v>0.336</v>
      </c>
      <c r="E400" s="24" t="n">
        <v>617</v>
      </c>
      <c r="F400" s="24">
        <f>D400*E400</f>
        <v/>
      </c>
      <c r="G400" s="22" t="n"/>
    </row>
    <row r="401">
      <c r="A401" s="22" t="inlineStr">
        <is>
          <t>1237</t>
        </is>
      </c>
      <c r="B401" s="11" t="inlineStr">
        <is>
          <t>Cutting marble or sand stone slab upto 50 mm thick by mechanical device</t>
        </is>
      </c>
      <c r="C401" s="22" t="inlineStr">
        <is>
          <t>metre</t>
        </is>
      </c>
      <c r="D401" s="23" t="n">
        <v>4</v>
      </c>
      <c r="E401" s="24" t="n">
        <v>10</v>
      </c>
      <c r="F401" s="24">
        <f>D401*E401</f>
        <v/>
      </c>
      <c r="G401" s="22" t="n"/>
    </row>
    <row r="402">
      <c r="A402" s="22" t="inlineStr">
        <is>
          <t>9999</t>
        </is>
      </c>
      <c r="B402" s="11" t="inlineStr">
        <is>
          <t>Scaffolding</t>
        </is>
      </c>
      <c r="C402" s="22" t="inlineStr">
        <is>
          <t>L.S.</t>
        </is>
      </c>
      <c r="D402" s="23" t="n">
        <v>19.76</v>
      </c>
      <c r="E402" s="24" t="n">
        <v>2</v>
      </c>
      <c r="F402" s="24">
        <f>D402*E402</f>
        <v/>
      </c>
      <c r="G402" s="22" t="n"/>
    </row>
    <row r="403">
      <c r="A403" s="7" t="inlineStr">
        <is>
          <t>3.8</t>
        </is>
      </c>
      <c r="B403" s="11" t="inlineStr">
        <is>
          <t>Rate as per item 3.8 - Cement mortar 1:3 (1 cement : 3 coarse sand)</t>
        </is>
      </c>
      <c r="C403" s="22" t="inlineStr">
        <is>
          <t>cum</t>
        </is>
      </c>
      <c r="D403" s="23" t="n">
        <v>0.018</v>
      </c>
      <c r="E403" s="24" t="n">
        <v>4664.55</v>
      </c>
      <c r="F403" s="24">
        <f>D403*E403</f>
        <v/>
      </c>
      <c r="G403" s="22" t="n"/>
    </row>
    <row r="404">
      <c r="A404" s="8" t="inlineStr">
        <is>
          <t>Calculated W - SUM of the Amount column above</t>
        </is>
      </c>
      <c r="B404" s="9" t="n"/>
      <c r="C404" s="9" t="n"/>
      <c r="D404" s="9" t="n"/>
      <c r="E404" s="9" t="n"/>
      <c r="F404" s="25">
        <f>SUM(F388:F403)</f>
        <v/>
      </c>
      <c r="G404" s="9" t="n"/>
    </row>
    <row r="405">
      <c r="A405" s="26" t="inlineStr">
        <is>
          <t>W as printed in the DAR</t>
        </is>
      </c>
      <c r="B405" s="22" t="n"/>
      <c r="C405" s="22" t="n"/>
      <c r="D405" s="22" t="n"/>
      <c r="E405" s="22" t="n"/>
      <c r="F405" s="27" t="n">
        <v>3118.1</v>
      </c>
      <c r="G405" s="22" t="n"/>
    </row>
    <row r="406">
      <c r="A406" s="26" t="inlineStr">
        <is>
          <t>Difference (calculated - printed)</t>
        </is>
      </c>
      <c r="B406" s="22" t="n"/>
      <c r="C406" s="22" t="n"/>
      <c r="D406" s="22" t="n"/>
      <c r="E406" s="22" t="n"/>
      <c r="F406" s="27">
        <f>F404-F405</f>
        <v/>
      </c>
      <c r="G406" s="22" t="n"/>
    </row>
    <row r="407">
      <c r="A407" s="29" t="inlineStr">
        <is>
          <t>SAY (Rs.) - final DAR rate as printed (fixed value, not computed)</t>
        </is>
      </c>
      <c r="B407" s="30" t="n"/>
      <c r="C407" s="30" t="n"/>
      <c r="D407" s="30" t="n"/>
      <c r="E407" s="30" t="n"/>
      <c r="F407" s="31" t="n">
        <v>4171.8</v>
      </c>
      <c r="G407" s="30" t="n"/>
    </row>
    <row r="409" ht="62" customHeight="1">
      <c r="A409" s="8" t="inlineStr">
        <is>
          <t>8.14</t>
        </is>
      </c>
      <c r="B409"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409" s="9" t="n"/>
      <c r="D409" s="9" t="n"/>
      <c r="E409" s="9" t="n"/>
      <c r="F409" s="9" t="n"/>
      <c r="G409" s="9" t="n"/>
    </row>
    <row r="410" ht="18.5" customHeight="1">
      <c r="A410" s="8" t="inlineStr">
        <is>
          <t>8.14.1</t>
        </is>
      </c>
      <c r="B410" s="17" t="inlineStr">
        <is>
          <t>Red sand stone - exposed face fine dressed with rough backing.</t>
        </is>
      </c>
      <c r="C410" s="9" t="n"/>
      <c r="D410" s="9" t="n"/>
      <c r="E410" s="9" t="n"/>
      <c r="F410" s="9" t="n"/>
      <c r="G410" s="9" t="n"/>
    </row>
    <row r="411" ht="18.5" customHeight="1">
      <c r="A411" s="18" t="inlineStr">
        <is>
          <t>8.14.1.4</t>
        </is>
      </c>
      <c r="B411" s="19" t="inlineStr">
        <is>
          <t>40 mm thick</t>
        </is>
      </c>
      <c r="C411" s="20" t="n"/>
      <c r="D411" s="20" t="n"/>
      <c r="E411" s="20" t="n"/>
      <c r="F411" s="20" t="n"/>
      <c r="G411" s="20" t="n"/>
    </row>
    <row r="412">
      <c r="A412" s="21" t="inlineStr">
        <is>
          <t>Details of cost for 1 sqm   |   Source: CivilDAR_2019_Vol_1.pdf, page 384</t>
        </is>
      </c>
    </row>
    <row r="413">
      <c r="A413" s="5" t="inlineStr">
        <is>
          <t>Code</t>
        </is>
      </c>
      <c r="B413" s="5" t="inlineStr">
        <is>
          <t>Description</t>
        </is>
      </c>
      <c r="C413" s="5" t="inlineStr">
        <is>
          <t>Unit</t>
        </is>
      </c>
      <c r="D413" s="5" t="inlineStr">
        <is>
          <t>Quantity</t>
        </is>
      </c>
      <c r="E413" s="5" t="inlineStr">
        <is>
          <t>Rate (Rs.)</t>
        </is>
      </c>
      <c r="F413" s="5" t="inlineStr">
        <is>
          <t>Amount (Rs.)</t>
        </is>
      </c>
      <c r="G413" s="5" t="inlineStr">
        <is>
          <t>Note</t>
        </is>
      </c>
    </row>
    <row r="414">
      <c r="A414" s="22" t="inlineStr">
        <is>
          <t>1160</t>
        </is>
      </c>
      <c r="B414" s="11" t="inlineStr">
        <is>
          <t>Red sand stone block</t>
        </is>
      </c>
      <c r="C414" s="22" t="inlineStr">
        <is>
          <t>10 cudm</t>
        </is>
      </c>
      <c r="D414" s="23" t="n">
        <v>5.333</v>
      </c>
      <c r="E414" s="24" t="n">
        <v>79</v>
      </c>
      <c r="F414" s="24">
        <f>D414*E414</f>
        <v/>
      </c>
      <c r="G414" s="22" t="n"/>
    </row>
    <row r="415">
      <c r="A415" s="22" t="inlineStr">
        <is>
          <t>2216</t>
        </is>
      </c>
      <c r="B415" s="11" t="inlineStr">
        <is>
          <t>Carriage of Stone blocks white &amp; red sand stone &amp; kota stone slab</t>
        </is>
      </c>
      <c r="C415" s="22" t="inlineStr">
        <is>
          <t>tonne</t>
        </is>
      </c>
      <c r="D415" s="23" t="n">
        <v>0.123</v>
      </c>
      <c r="E415" s="24" t="n">
        <v>92.23999999999999</v>
      </c>
      <c r="F415" s="24">
        <f>D415*E415</f>
        <v/>
      </c>
      <c r="G415" s="22" t="n"/>
    </row>
    <row r="416">
      <c r="A416" s="22" t="inlineStr">
        <is>
          <t>9999</t>
        </is>
      </c>
      <c r="B416" s="11" t="inlineStr">
        <is>
          <t>Extra for using white cement</t>
        </is>
      </c>
      <c r="C416" s="22" t="inlineStr">
        <is>
          <t>L.S.</t>
        </is>
      </c>
      <c r="D416" s="23" t="n">
        <v>26.91</v>
      </c>
      <c r="E416" s="24" t="n">
        <v>2</v>
      </c>
      <c r="F416" s="24">
        <f>D416*E416</f>
        <v/>
      </c>
      <c r="G416" s="22" t="n"/>
    </row>
    <row r="417">
      <c r="A417" s="22" t="inlineStr">
        <is>
          <t>0125</t>
        </is>
      </c>
      <c r="B417" s="11" t="inlineStr">
        <is>
          <t>Mason (for plain stone work) 2nd class)</t>
        </is>
      </c>
      <c r="C417" s="22" t="inlineStr">
        <is>
          <t>day</t>
        </is>
      </c>
      <c r="D417" s="23" t="n">
        <v>1.35</v>
      </c>
      <c r="E417" s="24" t="n">
        <v>679</v>
      </c>
      <c r="F417" s="24">
        <f>D417*E417</f>
        <v/>
      </c>
      <c r="G417" s="22" t="n"/>
    </row>
    <row r="418">
      <c r="A418" s="22" t="inlineStr">
        <is>
          <t>0102</t>
        </is>
      </c>
      <c r="B418" s="11" t="inlineStr">
        <is>
          <t>Blacksmith 1st class</t>
        </is>
      </c>
      <c r="C418" s="22" t="inlineStr">
        <is>
          <t>day</t>
        </is>
      </c>
      <c r="D418" s="23" t="n">
        <v>0.032</v>
      </c>
      <c r="E418" s="24" t="n">
        <v>738</v>
      </c>
      <c r="F418" s="24">
        <f>D418*E418</f>
        <v/>
      </c>
      <c r="G418" s="22" t="n"/>
    </row>
    <row r="419">
      <c r="A419" s="22" t="inlineStr">
        <is>
          <t>0114</t>
        </is>
      </c>
      <c r="B419" s="11" t="inlineStr">
        <is>
          <t>Beldar</t>
        </is>
      </c>
      <c r="C419" s="22" t="inlineStr">
        <is>
          <t>day</t>
        </is>
      </c>
      <c r="D419" s="23" t="n">
        <v>0.224</v>
      </c>
      <c r="E419" s="24" t="n">
        <v>558</v>
      </c>
      <c r="F419" s="24">
        <f>D419*E419</f>
        <v/>
      </c>
      <c r="G419" s="22" t="n"/>
    </row>
    <row r="420">
      <c r="A420" s="22" t="inlineStr">
        <is>
          <t>0115</t>
        </is>
      </c>
      <c r="B420" s="11" t="inlineStr">
        <is>
          <t>Coolie</t>
        </is>
      </c>
      <c r="C420" s="22" t="inlineStr">
        <is>
          <t>day</t>
        </is>
      </c>
      <c r="D420" s="23" t="n">
        <v>0.112</v>
      </c>
      <c r="E420" s="24" t="n">
        <v>558</v>
      </c>
      <c r="F420" s="24">
        <f>D420*E420</f>
        <v/>
      </c>
      <c r="G420" s="22" t="n"/>
    </row>
    <row r="421">
      <c r="A421" s="22" t="inlineStr">
        <is>
          <t>0100</t>
        </is>
      </c>
      <c r="B421" s="11" t="inlineStr">
        <is>
          <t>Bandhani</t>
        </is>
      </c>
      <c r="C421" s="22" t="inlineStr">
        <is>
          <t>day</t>
        </is>
      </c>
      <c r="D421" s="23" t="n">
        <v>0.224</v>
      </c>
      <c r="E421" s="24" t="n">
        <v>617</v>
      </c>
      <c r="F421" s="24">
        <f>D421*E421</f>
        <v/>
      </c>
      <c r="G421" s="22" t="n"/>
    </row>
    <row r="422">
      <c r="A422" s="22" t="inlineStr">
        <is>
          <t>0125</t>
        </is>
      </c>
      <c r="B422" s="11" t="inlineStr">
        <is>
          <t>Mason (for plain stone work) 2nd class)</t>
        </is>
      </c>
      <c r="C422" s="22" t="inlineStr">
        <is>
          <t>day</t>
        </is>
      </c>
      <c r="D422" s="23" t="n">
        <v>0.448</v>
      </c>
      <c r="E422" s="24" t="n">
        <v>679</v>
      </c>
      <c r="F422" s="24">
        <f>D422*E422</f>
        <v/>
      </c>
      <c r="G422" s="22" t="n"/>
    </row>
    <row r="423">
      <c r="A423" s="22" t="inlineStr">
        <is>
          <t>0100</t>
        </is>
      </c>
      <c r="B423" s="11" t="inlineStr">
        <is>
          <t>Bandhani</t>
        </is>
      </c>
      <c r="C423" s="22" t="inlineStr">
        <is>
          <t>day</t>
        </is>
      </c>
      <c r="D423" s="23" t="n">
        <v>0.336</v>
      </c>
      <c r="E423" s="24" t="n">
        <v>617</v>
      </c>
      <c r="F423" s="24">
        <f>D423*E423</f>
        <v/>
      </c>
      <c r="G423" s="22" t="n"/>
    </row>
    <row r="424">
      <c r="A424" s="22" t="inlineStr">
        <is>
          <t>0114</t>
        </is>
      </c>
      <c r="B424" s="11" t="inlineStr">
        <is>
          <t>Beldar</t>
        </is>
      </c>
      <c r="C424" s="22" t="inlineStr">
        <is>
          <t>day</t>
        </is>
      </c>
      <c r="D424" s="23" t="n">
        <v>0.336</v>
      </c>
      <c r="E424" s="24" t="n">
        <v>558</v>
      </c>
      <c r="F424" s="24">
        <f>D424*E424</f>
        <v/>
      </c>
      <c r="G424" s="22" t="n"/>
    </row>
    <row r="425">
      <c r="A425" s="22" t="inlineStr">
        <is>
          <t>0115</t>
        </is>
      </c>
      <c r="B425" s="11" t="inlineStr">
        <is>
          <t>Coolie</t>
        </is>
      </c>
      <c r="C425" s="22" t="inlineStr">
        <is>
          <t>day</t>
        </is>
      </c>
      <c r="D425" s="23" t="n">
        <v>0.336</v>
      </c>
      <c r="E425" s="24" t="n">
        <v>558</v>
      </c>
      <c r="F425" s="24">
        <f>D425*E425</f>
        <v/>
      </c>
      <c r="G425" s="22" t="n"/>
    </row>
    <row r="426">
      <c r="A426" s="22" t="inlineStr">
        <is>
          <t>0101</t>
        </is>
      </c>
      <c r="B426" s="11" t="inlineStr">
        <is>
          <t>Bhisti</t>
        </is>
      </c>
      <c r="C426" s="22" t="inlineStr">
        <is>
          <t>day</t>
        </is>
      </c>
      <c r="D426" s="23" t="n">
        <v>0.336</v>
      </c>
      <c r="E426" s="24" t="n">
        <v>617</v>
      </c>
      <c r="F426" s="24">
        <f>D426*E426</f>
        <v/>
      </c>
      <c r="G426" s="22" t="n"/>
    </row>
    <row r="427">
      <c r="A427" s="22" t="inlineStr">
        <is>
          <t>1237</t>
        </is>
      </c>
      <c r="B427" s="11" t="inlineStr">
        <is>
          <t>Cutting marble or sand stone slab upto 50 mm thick by mechanical device</t>
        </is>
      </c>
      <c r="C427" s="22" t="inlineStr">
        <is>
          <t>metre</t>
        </is>
      </c>
      <c r="D427" s="23" t="n">
        <v>4</v>
      </c>
      <c r="E427" s="24" t="n">
        <v>10</v>
      </c>
      <c r="F427" s="24">
        <f>D427*E427</f>
        <v/>
      </c>
      <c r="G427" s="22" t="n"/>
    </row>
    <row r="428">
      <c r="A428" s="22" t="inlineStr">
        <is>
          <t>9999</t>
        </is>
      </c>
      <c r="B428" s="11" t="inlineStr">
        <is>
          <t>Scaffolding</t>
        </is>
      </c>
      <c r="C428" s="22" t="inlineStr">
        <is>
          <t>L.S.</t>
        </is>
      </c>
      <c r="D428" s="23" t="n">
        <v>19.76</v>
      </c>
      <c r="E428" s="24" t="n">
        <v>2</v>
      </c>
      <c r="F428" s="24">
        <f>D428*E428</f>
        <v/>
      </c>
      <c r="G428" s="22" t="n"/>
    </row>
    <row r="429">
      <c r="A429" s="7" t="inlineStr">
        <is>
          <t>3.8</t>
        </is>
      </c>
      <c r="B429" s="11" t="inlineStr">
        <is>
          <t>Rate as per item 3.8 - Cement mortar 1:3 (1 cement : 3 coarse sand)</t>
        </is>
      </c>
      <c r="C429" s="22" t="inlineStr">
        <is>
          <t>cum</t>
        </is>
      </c>
      <c r="D429" s="23" t="n">
        <v>0.018</v>
      </c>
      <c r="E429" s="24" t="n">
        <v>4664.55</v>
      </c>
      <c r="F429" s="24">
        <f>D429*E429</f>
        <v/>
      </c>
      <c r="G429" s="22" t="n"/>
    </row>
    <row r="430">
      <c r="A430" s="8" t="inlineStr">
        <is>
          <t>Calculated W - SUM of the Amount column above</t>
        </is>
      </c>
      <c r="B430" s="9" t="n"/>
      <c r="C430" s="9" t="n"/>
      <c r="D430" s="9" t="n"/>
      <c r="E430" s="9" t="n"/>
      <c r="F430" s="25">
        <f>SUM(F414:F429)</f>
        <v/>
      </c>
      <c r="G430" s="9" t="n"/>
    </row>
    <row r="431">
      <c r="A431" s="26" t="inlineStr">
        <is>
          <t>W as printed in the DAR</t>
        </is>
      </c>
      <c r="B431" s="22" t="n"/>
      <c r="C431" s="22" t="n"/>
      <c r="D431" s="22" t="n"/>
      <c r="E431" s="22" t="n"/>
      <c r="F431" s="27" t="n">
        <v>3009.71</v>
      </c>
      <c r="G431" s="22" t="n"/>
    </row>
    <row r="432">
      <c r="A432" s="26" t="inlineStr">
        <is>
          <t>Difference (calculated - printed)</t>
        </is>
      </c>
      <c r="B432" s="22" t="n"/>
      <c r="C432" s="22" t="n"/>
      <c r="D432" s="22" t="n"/>
      <c r="E432" s="22" t="n"/>
      <c r="F432" s="27">
        <f>F430-F431</f>
        <v/>
      </c>
      <c r="G432" s="22" t="n"/>
    </row>
    <row r="433">
      <c r="A433" s="29" t="inlineStr">
        <is>
          <t>SAY (Rs.) - final DAR rate as printed (fixed value, not computed)</t>
        </is>
      </c>
      <c r="B433" s="30" t="n"/>
      <c r="C433" s="30" t="n"/>
      <c r="D433" s="30" t="n"/>
      <c r="E433" s="30" t="n"/>
      <c r="F433" s="31" t="n">
        <v>4026.8</v>
      </c>
      <c r="G433" s="30" t="n"/>
    </row>
    <row r="435" ht="62" customHeight="1">
      <c r="A435" s="8" t="inlineStr">
        <is>
          <t>8.14</t>
        </is>
      </c>
      <c r="B435"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435" s="9" t="n"/>
      <c r="D435" s="9" t="n"/>
      <c r="E435" s="9" t="n"/>
      <c r="F435" s="9" t="n"/>
      <c r="G435" s="9" t="n"/>
    </row>
    <row r="436" ht="18.5" customHeight="1">
      <c r="A436" s="8" t="inlineStr">
        <is>
          <t>8.14.1</t>
        </is>
      </c>
      <c r="B436" s="17" t="inlineStr">
        <is>
          <t>Red sand stone - exposed face fine dressed with rough backing.</t>
        </is>
      </c>
      <c r="C436" s="9" t="n"/>
      <c r="D436" s="9" t="n"/>
      <c r="E436" s="9" t="n"/>
      <c r="F436" s="9" t="n"/>
      <c r="G436" s="9" t="n"/>
    </row>
    <row r="437" ht="18.5" customHeight="1">
      <c r="A437" s="18" t="inlineStr">
        <is>
          <t>8.14.1.5</t>
        </is>
      </c>
      <c r="B437" s="19" t="inlineStr">
        <is>
          <t>30 mm thick</t>
        </is>
      </c>
      <c r="C437" s="20" t="n"/>
      <c r="D437" s="20" t="n"/>
      <c r="E437" s="20" t="n"/>
      <c r="F437" s="20" t="n"/>
      <c r="G437" s="20" t="n"/>
    </row>
    <row r="438">
      <c r="A438" s="21" t="inlineStr">
        <is>
          <t>Details of cost for 1 sqm   |   Source: CivilDAR_2019_Vol_1.pdf, page 385</t>
        </is>
      </c>
    </row>
    <row r="439">
      <c r="A439" s="5" t="inlineStr">
        <is>
          <t>Code</t>
        </is>
      </c>
      <c r="B439" s="5" t="inlineStr">
        <is>
          <t>Description</t>
        </is>
      </c>
      <c r="C439" s="5" t="inlineStr">
        <is>
          <t>Unit</t>
        </is>
      </c>
      <c r="D439" s="5" t="inlineStr">
        <is>
          <t>Quantity</t>
        </is>
      </c>
      <c r="E439" s="5" t="inlineStr">
        <is>
          <t>Rate (Rs.)</t>
        </is>
      </c>
      <c r="F439" s="5" t="inlineStr">
        <is>
          <t>Amount (Rs.)</t>
        </is>
      </c>
      <c r="G439" s="5" t="inlineStr">
        <is>
          <t>Note</t>
        </is>
      </c>
    </row>
    <row r="440">
      <c r="A440" s="22" t="inlineStr">
        <is>
          <t>1160</t>
        </is>
      </c>
      <c r="B440" s="11" t="inlineStr">
        <is>
          <t>Red sand stone block</t>
        </is>
      </c>
      <c r="C440" s="22" t="inlineStr">
        <is>
          <t>10 cudm</t>
        </is>
      </c>
      <c r="D440" s="23" t="n">
        <v>3.999</v>
      </c>
      <c r="E440" s="24" t="n">
        <v>79</v>
      </c>
      <c r="F440" s="24">
        <f>D440*E440</f>
        <v/>
      </c>
      <c r="G440" s="22" t="n"/>
    </row>
    <row r="441">
      <c r="A441" s="22" t="inlineStr">
        <is>
          <t>2216</t>
        </is>
      </c>
      <c r="B441" s="11" t="inlineStr">
        <is>
          <t>Carriage of Stone blocks white &amp; red sand stone &amp; kota stone slab</t>
        </is>
      </c>
      <c r="C441" s="22" t="inlineStr">
        <is>
          <t>tonne</t>
        </is>
      </c>
      <c r="D441" s="23" t="n">
        <v>0.092</v>
      </c>
      <c r="E441" s="24" t="n">
        <v>92.23999999999999</v>
      </c>
      <c r="F441" s="24">
        <f>D441*E441</f>
        <v/>
      </c>
      <c r="G441" s="22" t="n"/>
    </row>
    <row r="442">
      <c r="A442" s="22" t="inlineStr">
        <is>
          <t>9999</t>
        </is>
      </c>
      <c r="B442" s="11" t="inlineStr">
        <is>
          <t>Extra for using white cement</t>
        </is>
      </c>
      <c r="C442" s="22" t="inlineStr">
        <is>
          <t>L.S.</t>
        </is>
      </c>
      <c r="D442" s="23" t="n">
        <v>26.91</v>
      </c>
      <c r="E442" s="24" t="n">
        <v>2</v>
      </c>
      <c r="F442" s="24">
        <f>D442*E442</f>
        <v/>
      </c>
      <c r="G442" s="22" t="n"/>
    </row>
    <row r="443">
      <c r="A443" s="22" t="inlineStr">
        <is>
          <t>0125</t>
        </is>
      </c>
      <c r="B443" s="11" t="inlineStr">
        <is>
          <t>Mason (for plain stone work) 2nd class)</t>
        </is>
      </c>
      <c r="C443" s="22" t="inlineStr">
        <is>
          <t>day</t>
        </is>
      </c>
      <c r="D443" s="23" t="n">
        <v>1.35</v>
      </c>
      <c r="E443" s="24" t="n">
        <v>679</v>
      </c>
      <c r="F443" s="24">
        <f>D443*E443</f>
        <v/>
      </c>
      <c r="G443" s="22" t="n"/>
    </row>
    <row r="444">
      <c r="A444" s="22" t="inlineStr">
        <is>
          <t>0102</t>
        </is>
      </c>
      <c r="B444" s="11" t="inlineStr">
        <is>
          <t>Blacksmith 1st class</t>
        </is>
      </c>
      <c r="C444" s="22" t="inlineStr">
        <is>
          <t>day</t>
        </is>
      </c>
      <c r="D444" s="23" t="n">
        <v>0.032</v>
      </c>
      <c r="E444" s="24" t="n">
        <v>738</v>
      </c>
      <c r="F444" s="24">
        <f>D444*E444</f>
        <v/>
      </c>
      <c r="G444" s="22" t="n"/>
    </row>
    <row r="445">
      <c r="A445" s="22" t="inlineStr">
        <is>
          <t>0114</t>
        </is>
      </c>
      <c r="B445" s="11" t="inlineStr">
        <is>
          <t>Beldar</t>
        </is>
      </c>
      <c r="C445" s="22" t="inlineStr">
        <is>
          <t>day</t>
        </is>
      </c>
      <c r="D445" s="23" t="n">
        <v>0.224</v>
      </c>
      <c r="E445" s="24" t="n">
        <v>558</v>
      </c>
      <c r="F445" s="24">
        <f>D445*E445</f>
        <v/>
      </c>
      <c r="G445" s="22" t="n"/>
    </row>
    <row r="446">
      <c r="A446" s="22" t="inlineStr">
        <is>
          <t>0115</t>
        </is>
      </c>
      <c r="B446" s="11" t="inlineStr">
        <is>
          <t>Coolie</t>
        </is>
      </c>
      <c r="C446" s="22" t="inlineStr">
        <is>
          <t>day</t>
        </is>
      </c>
      <c r="D446" s="23" t="n">
        <v>0.112</v>
      </c>
      <c r="E446" s="24" t="n">
        <v>558</v>
      </c>
      <c r="F446" s="24">
        <f>D446*E446</f>
        <v/>
      </c>
      <c r="G446" s="22" t="n"/>
    </row>
    <row r="447">
      <c r="A447" s="22" t="inlineStr">
        <is>
          <t>0100</t>
        </is>
      </c>
      <c r="B447" s="11" t="inlineStr">
        <is>
          <t>Bandhani</t>
        </is>
      </c>
      <c r="C447" s="22" t="inlineStr">
        <is>
          <t>day</t>
        </is>
      </c>
      <c r="D447" s="23" t="n">
        <v>0.224</v>
      </c>
      <c r="E447" s="24" t="n">
        <v>617</v>
      </c>
      <c r="F447" s="24">
        <f>D447*E447</f>
        <v/>
      </c>
      <c r="G447" s="22" t="n"/>
    </row>
    <row r="448">
      <c r="A448" s="22" t="inlineStr">
        <is>
          <t>0125</t>
        </is>
      </c>
      <c r="B448" s="11" t="inlineStr">
        <is>
          <t>Mason (for plain stone work) 2nd class)</t>
        </is>
      </c>
      <c r="C448" s="22" t="inlineStr">
        <is>
          <t>day</t>
        </is>
      </c>
      <c r="D448" s="23" t="n">
        <v>0.448</v>
      </c>
      <c r="E448" s="24" t="n">
        <v>679</v>
      </c>
      <c r="F448" s="24">
        <f>D448*E448</f>
        <v/>
      </c>
      <c r="G448" s="22" t="n"/>
    </row>
    <row r="449">
      <c r="A449" s="22" t="inlineStr">
        <is>
          <t>0100</t>
        </is>
      </c>
      <c r="B449" s="11" t="inlineStr">
        <is>
          <t>Bandhani</t>
        </is>
      </c>
      <c r="C449" s="22" t="inlineStr">
        <is>
          <t>day</t>
        </is>
      </c>
      <c r="D449" s="23" t="n">
        <v>0.336</v>
      </c>
      <c r="E449" s="24" t="n">
        <v>617</v>
      </c>
      <c r="F449" s="24">
        <f>D449*E449</f>
        <v/>
      </c>
      <c r="G449" s="22" t="n"/>
    </row>
    <row r="450">
      <c r="A450" s="22" t="inlineStr">
        <is>
          <t>0114</t>
        </is>
      </c>
      <c r="B450" s="11" t="inlineStr">
        <is>
          <t>Beldar</t>
        </is>
      </c>
      <c r="C450" s="22" t="inlineStr">
        <is>
          <t>day</t>
        </is>
      </c>
      <c r="D450" s="23" t="n">
        <v>0.336</v>
      </c>
      <c r="E450" s="24" t="n">
        <v>558</v>
      </c>
      <c r="F450" s="24">
        <f>D450*E450</f>
        <v/>
      </c>
      <c r="G450" s="22" t="n"/>
    </row>
    <row r="451">
      <c r="A451" s="22" t="inlineStr">
        <is>
          <t>0115</t>
        </is>
      </c>
      <c r="B451" s="11" t="inlineStr">
        <is>
          <t>Coolie</t>
        </is>
      </c>
      <c r="C451" s="22" t="inlineStr">
        <is>
          <t>day</t>
        </is>
      </c>
      <c r="D451" s="23" t="n">
        <v>0.336</v>
      </c>
      <c r="E451" s="24" t="n">
        <v>558</v>
      </c>
      <c r="F451" s="24">
        <f>D451*E451</f>
        <v/>
      </c>
      <c r="G451" s="22" t="n"/>
    </row>
    <row r="452">
      <c r="A452" s="22" t="inlineStr">
        <is>
          <t>0101</t>
        </is>
      </c>
      <c r="B452" s="11" t="inlineStr">
        <is>
          <t>Bhisti</t>
        </is>
      </c>
      <c r="C452" s="22" t="inlineStr">
        <is>
          <t>day</t>
        </is>
      </c>
      <c r="D452" s="23" t="n">
        <v>0.336</v>
      </c>
      <c r="E452" s="24" t="n">
        <v>617</v>
      </c>
      <c r="F452" s="24">
        <f>D452*E452</f>
        <v/>
      </c>
      <c r="G452" s="22" t="n"/>
    </row>
    <row r="453">
      <c r="A453" s="22" t="inlineStr">
        <is>
          <t>1237</t>
        </is>
      </c>
      <c r="B453" s="11" t="inlineStr">
        <is>
          <t>Cutting marble or sand stone slab upto 50 mm thick by mechanical device</t>
        </is>
      </c>
      <c r="C453" s="22" t="inlineStr">
        <is>
          <t>metre</t>
        </is>
      </c>
      <c r="D453" s="23" t="n">
        <v>4</v>
      </c>
      <c r="E453" s="24" t="n">
        <v>10</v>
      </c>
      <c r="F453" s="24">
        <f>D453*E453</f>
        <v/>
      </c>
      <c r="G453" s="22" t="n"/>
    </row>
    <row r="454">
      <c r="A454" s="22" t="inlineStr">
        <is>
          <t>9999</t>
        </is>
      </c>
      <c r="B454" s="11" t="inlineStr">
        <is>
          <t>Scaffolding</t>
        </is>
      </c>
      <c r="C454" s="22" t="inlineStr">
        <is>
          <t>L.S.</t>
        </is>
      </c>
      <c r="D454" s="23" t="n">
        <v>19.76</v>
      </c>
      <c r="E454" s="24" t="n">
        <v>2</v>
      </c>
      <c r="F454" s="24">
        <f>D454*E454</f>
        <v/>
      </c>
      <c r="G454" s="22" t="n"/>
    </row>
    <row r="455">
      <c r="A455" s="7" t="inlineStr">
        <is>
          <t>3.8</t>
        </is>
      </c>
      <c r="B455" s="11" t="inlineStr">
        <is>
          <t>Rate as per item 3.8 - Cement mortar 1:3 (1 cement : 3 coarse sand)</t>
        </is>
      </c>
      <c r="C455" s="22" t="inlineStr">
        <is>
          <t>cum</t>
        </is>
      </c>
      <c r="D455" s="23" t="n">
        <v>0.018</v>
      </c>
      <c r="E455" s="24" t="n">
        <v>4664.55</v>
      </c>
      <c r="F455" s="24">
        <f>D455*E455</f>
        <v/>
      </c>
      <c r="G455" s="22" t="n"/>
    </row>
    <row r="456">
      <c r="A456" s="8" t="inlineStr">
        <is>
          <t>Calculated W - SUM of the Amount column above</t>
        </is>
      </c>
      <c r="B456" s="9" t="n"/>
      <c r="C456" s="9" t="n"/>
      <c r="D456" s="9" t="n"/>
      <c r="E456" s="9" t="n"/>
      <c r="F456" s="25">
        <f>SUM(F440:F455)</f>
        <v/>
      </c>
      <c r="G456" s="9" t="n"/>
    </row>
    <row r="457">
      <c r="A457" s="26" t="inlineStr">
        <is>
          <t>W as printed in the DAR</t>
        </is>
      </c>
      <c r="B457" s="22" t="n"/>
      <c r="C457" s="22" t="n"/>
      <c r="D457" s="22" t="n"/>
      <c r="E457" s="22" t="n"/>
      <c r="F457" s="27" t="n">
        <v>2901.46</v>
      </c>
      <c r="G457" s="22" t="n"/>
    </row>
    <row r="458">
      <c r="A458" s="26" t="inlineStr">
        <is>
          <t>Difference (calculated - printed)</t>
        </is>
      </c>
      <c r="B458" s="22" t="n"/>
      <c r="C458" s="22" t="n"/>
      <c r="D458" s="22" t="n"/>
      <c r="E458" s="22" t="n"/>
      <c r="F458" s="27">
        <f>F456-F457</f>
        <v/>
      </c>
      <c r="G458" s="22" t="n"/>
    </row>
    <row r="459">
      <c r="A459" s="29" t="inlineStr">
        <is>
          <t>SAY (Rs.) - final DAR rate as printed (fixed value, not computed)</t>
        </is>
      </c>
      <c r="B459" s="30" t="n"/>
      <c r="C459" s="30" t="n"/>
      <c r="D459" s="30" t="n"/>
      <c r="E459" s="30" t="n"/>
      <c r="F459" s="31" t="n">
        <v>3882</v>
      </c>
      <c r="G459" s="30" t="n"/>
    </row>
    <row r="461" ht="62" customHeight="1">
      <c r="A461" s="8" t="inlineStr">
        <is>
          <t>8.14</t>
        </is>
      </c>
      <c r="B461"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461" s="9" t="n"/>
      <c r="D461" s="9" t="n"/>
      <c r="E461" s="9" t="n"/>
      <c r="F461" s="9" t="n"/>
      <c r="G461" s="9" t="n"/>
    </row>
    <row r="462" ht="18.5" customHeight="1">
      <c r="A462" s="8" t="inlineStr">
        <is>
          <t>8.14.2</t>
        </is>
      </c>
      <c r="B462" s="17" t="inlineStr">
        <is>
          <t>Red sand stone - Exposed face machine cut and table rubbed with rough backing.</t>
        </is>
      </c>
      <c r="C462" s="9" t="n"/>
      <c r="D462" s="9" t="n"/>
      <c r="E462" s="9" t="n"/>
      <c r="F462" s="9" t="n"/>
      <c r="G462" s="9" t="n"/>
    </row>
    <row r="463" ht="18.5" customHeight="1">
      <c r="A463" s="18" t="inlineStr">
        <is>
          <t>8.14.2.1</t>
        </is>
      </c>
      <c r="B463" s="19" t="inlineStr">
        <is>
          <t>70 mm thick</t>
        </is>
      </c>
      <c r="C463" s="20" t="n"/>
      <c r="D463" s="20" t="n"/>
      <c r="E463" s="20" t="n"/>
      <c r="F463" s="20" t="n"/>
      <c r="G463" s="20" t="n"/>
    </row>
    <row r="464">
      <c r="A464" s="21" t="inlineStr">
        <is>
          <t>Details of cost for 1 sqm   |   Source: CivilDAR_2019_Vol_1.pdf, page 386</t>
        </is>
      </c>
    </row>
    <row r="465">
      <c r="A465" s="5" t="inlineStr">
        <is>
          <t>Code</t>
        </is>
      </c>
      <c r="B465" s="5" t="inlineStr">
        <is>
          <t>Description</t>
        </is>
      </c>
      <c r="C465" s="5" t="inlineStr">
        <is>
          <t>Unit</t>
        </is>
      </c>
      <c r="D465" s="5" t="inlineStr">
        <is>
          <t>Quantity</t>
        </is>
      </c>
      <c r="E465" s="5" t="inlineStr">
        <is>
          <t>Rate (Rs.)</t>
        </is>
      </c>
      <c r="F465" s="5" t="inlineStr">
        <is>
          <t>Amount (Rs.)</t>
        </is>
      </c>
      <c r="G465" s="5" t="inlineStr">
        <is>
          <t>Note</t>
        </is>
      </c>
    </row>
    <row r="466">
      <c r="A466" s="22" t="inlineStr">
        <is>
          <t>1160</t>
        </is>
      </c>
      <c r="B466" s="11" t="inlineStr">
        <is>
          <t>Red sand stone block</t>
        </is>
      </c>
      <c r="C466" s="22" t="inlineStr">
        <is>
          <t>10 cudm</t>
        </is>
      </c>
      <c r="D466" s="23" t="n">
        <v>9.333</v>
      </c>
      <c r="E466" s="24" t="n">
        <v>79</v>
      </c>
      <c r="F466" s="24">
        <f>D466*E466</f>
        <v/>
      </c>
      <c r="G466" s="22" t="n"/>
    </row>
    <row r="467">
      <c r="A467" s="22" t="inlineStr">
        <is>
          <t>2216</t>
        </is>
      </c>
      <c r="B467" s="11" t="inlineStr">
        <is>
          <t>Carriage of Stone blocks white &amp; red sand stone &amp; kota stone slab</t>
        </is>
      </c>
      <c r="C467" s="22" t="inlineStr">
        <is>
          <t>tonne</t>
        </is>
      </c>
      <c r="D467" s="23" t="n">
        <v>0.215</v>
      </c>
      <c r="E467" s="24" t="n">
        <v>92.23999999999999</v>
      </c>
      <c r="F467" s="24">
        <f>D467*E467</f>
        <v/>
      </c>
      <c r="G467" s="22" t="n"/>
    </row>
    <row r="468">
      <c r="A468" s="22" t="inlineStr">
        <is>
          <t>9999</t>
        </is>
      </c>
      <c r="B468" s="11" t="inlineStr">
        <is>
          <t>Extra for using white cement</t>
        </is>
      </c>
      <c r="C468" s="22" t="inlineStr">
        <is>
          <t>L.S.</t>
        </is>
      </c>
      <c r="D468" s="23" t="n">
        <v>26.91</v>
      </c>
      <c r="E468" s="24" t="n">
        <v>2</v>
      </c>
      <c r="F468" s="24">
        <f>D468*E468</f>
        <v/>
      </c>
      <c r="G468" s="22" t="n"/>
    </row>
    <row r="469">
      <c r="A469" s="22" t="inlineStr">
        <is>
          <t>0125</t>
        </is>
      </c>
      <c r="B469" s="11" t="inlineStr">
        <is>
          <t>Mason (for plain stone work) 2nd class)</t>
        </is>
      </c>
      <c r="C469" s="22" t="inlineStr">
        <is>
          <t>day</t>
        </is>
      </c>
      <c r="D469" s="23" t="n">
        <v>2.7</v>
      </c>
      <c r="E469" s="24" t="n">
        <v>679</v>
      </c>
      <c r="F469" s="24">
        <f>D469*E469</f>
        <v/>
      </c>
      <c r="G469" s="22" t="n"/>
    </row>
    <row r="470">
      <c r="A470" s="22" t="inlineStr">
        <is>
          <t>0102</t>
        </is>
      </c>
      <c r="B470" s="11" t="inlineStr">
        <is>
          <t>Blacksmith 1st class</t>
        </is>
      </c>
      <c r="C470" s="22" t="inlineStr">
        <is>
          <t>day</t>
        </is>
      </c>
      <c r="D470" s="23" t="n">
        <v>0.064</v>
      </c>
      <c r="E470" s="24" t="n">
        <v>738</v>
      </c>
      <c r="F470" s="24">
        <f>D470*E470</f>
        <v/>
      </c>
      <c r="G470" s="22" t="n"/>
    </row>
    <row r="471">
      <c r="A471" s="22" t="inlineStr">
        <is>
          <t>0114</t>
        </is>
      </c>
      <c r="B471" s="11" t="inlineStr">
        <is>
          <t>Beldar</t>
        </is>
      </c>
      <c r="C471" s="22" t="inlineStr">
        <is>
          <t>day</t>
        </is>
      </c>
      <c r="D471" s="23" t="n">
        <v>0.448</v>
      </c>
      <c r="E471" s="24" t="n">
        <v>558</v>
      </c>
      <c r="F471" s="24">
        <f>D471*E471</f>
        <v/>
      </c>
      <c r="G471" s="22" t="n"/>
    </row>
    <row r="472">
      <c r="A472" s="22" t="inlineStr">
        <is>
          <t>0115</t>
        </is>
      </c>
      <c r="B472" s="11" t="inlineStr">
        <is>
          <t>Coolie</t>
        </is>
      </c>
      <c r="C472" s="22" t="inlineStr">
        <is>
          <t>day</t>
        </is>
      </c>
      <c r="D472" s="23" t="n">
        <v>0.224</v>
      </c>
      <c r="E472" s="24" t="n">
        <v>558</v>
      </c>
      <c r="F472" s="24">
        <f>D472*E472</f>
        <v/>
      </c>
      <c r="G472" s="22" t="n"/>
    </row>
    <row r="473">
      <c r="A473" s="22" t="inlineStr">
        <is>
          <t>0100</t>
        </is>
      </c>
      <c r="B473" s="11" t="inlineStr">
        <is>
          <t>Bandhani</t>
        </is>
      </c>
      <c r="C473" s="22" t="inlineStr">
        <is>
          <t>day</t>
        </is>
      </c>
      <c r="D473" s="23" t="n">
        <v>0.448</v>
      </c>
      <c r="E473" s="24" t="n">
        <v>617</v>
      </c>
      <c r="F473" s="24">
        <f>D473*E473</f>
        <v/>
      </c>
      <c r="G473" s="22" t="n"/>
    </row>
    <row r="474">
      <c r="A474" s="22" t="inlineStr">
        <is>
          <t>0125</t>
        </is>
      </c>
      <c r="B474" s="11" t="inlineStr">
        <is>
          <t>Mason (for plain stone work) 2nd class)</t>
        </is>
      </c>
      <c r="C474" s="22" t="inlineStr">
        <is>
          <t>day</t>
        </is>
      </c>
      <c r="D474" s="23" t="n">
        <v>0.448</v>
      </c>
      <c r="E474" s="24" t="n">
        <v>679</v>
      </c>
      <c r="F474" s="24">
        <f>D474*E474</f>
        <v/>
      </c>
      <c r="G474" s="22" t="n"/>
    </row>
    <row r="475">
      <c r="A475" s="22" t="inlineStr">
        <is>
          <t>0100</t>
        </is>
      </c>
      <c r="B475" s="11" t="inlineStr">
        <is>
          <t>Bandhani</t>
        </is>
      </c>
      <c r="C475" s="22" t="inlineStr">
        <is>
          <t>day</t>
        </is>
      </c>
      <c r="D475" s="23" t="n">
        <v>0.336</v>
      </c>
      <c r="E475" s="24" t="n">
        <v>617</v>
      </c>
      <c r="F475" s="24">
        <f>D475*E475</f>
        <v/>
      </c>
      <c r="G475" s="22" t="n"/>
    </row>
    <row r="476">
      <c r="A476" s="22" t="inlineStr">
        <is>
          <t>0114</t>
        </is>
      </c>
      <c r="B476" s="11" t="inlineStr">
        <is>
          <t>Beldar</t>
        </is>
      </c>
      <c r="C476" s="22" t="inlineStr">
        <is>
          <t>day</t>
        </is>
      </c>
      <c r="D476" s="23" t="n">
        <v>0.336</v>
      </c>
      <c r="E476" s="24" t="n">
        <v>558</v>
      </c>
      <c r="F476" s="24">
        <f>D476*E476</f>
        <v/>
      </c>
      <c r="G476" s="22" t="n"/>
    </row>
    <row r="477">
      <c r="A477" s="22" t="inlineStr">
        <is>
          <t>0115</t>
        </is>
      </c>
      <c r="B477" s="11" t="inlineStr">
        <is>
          <t>Coolie</t>
        </is>
      </c>
      <c r="C477" s="22" t="inlineStr">
        <is>
          <t>day</t>
        </is>
      </c>
      <c r="D477" s="23" t="n">
        <v>0.336</v>
      </c>
      <c r="E477" s="24" t="n">
        <v>558</v>
      </c>
      <c r="F477" s="24">
        <f>D477*E477</f>
        <v/>
      </c>
      <c r="G477" s="22" t="n"/>
    </row>
    <row r="478">
      <c r="A478" s="22" t="inlineStr">
        <is>
          <t>0101</t>
        </is>
      </c>
      <c r="B478" s="11" t="inlineStr">
        <is>
          <t>Bhisti</t>
        </is>
      </c>
      <c r="C478" s="22" t="inlineStr">
        <is>
          <t>day</t>
        </is>
      </c>
      <c r="D478" s="23" t="n">
        <v>0.336</v>
      </c>
      <c r="E478" s="24" t="n">
        <v>617</v>
      </c>
      <c r="F478" s="24">
        <f>D478*E478</f>
        <v/>
      </c>
      <c r="G478" s="22" t="n"/>
    </row>
    <row r="479">
      <c r="A479" s="22" t="inlineStr">
        <is>
          <t>1237</t>
        </is>
      </c>
      <c r="B479" s="11" t="inlineStr">
        <is>
          <t>Cutting marble or sand stone slab upto 50 mm thick by mechanical device</t>
        </is>
      </c>
      <c r="C479" s="22" t="inlineStr">
        <is>
          <t>metre</t>
        </is>
      </c>
      <c r="D479" s="23" t="n">
        <v>4</v>
      </c>
      <c r="E479" s="24" t="n">
        <v>10</v>
      </c>
      <c r="F479" s="24">
        <f>D479*E479</f>
        <v/>
      </c>
      <c r="G479" s="22" t="n"/>
    </row>
    <row r="480">
      <c r="A480" s="22" t="inlineStr">
        <is>
          <t>9999</t>
        </is>
      </c>
      <c r="B480" s="11" t="inlineStr">
        <is>
          <t>Scaffolding</t>
        </is>
      </c>
      <c r="C480" s="22" t="inlineStr">
        <is>
          <t>L.S.</t>
        </is>
      </c>
      <c r="D480" s="23" t="n">
        <v>19.76</v>
      </c>
      <c r="E480" s="24" t="n">
        <v>2</v>
      </c>
      <c r="F480" s="24">
        <f>D480*E480</f>
        <v/>
      </c>
      <c r="G480" s="22" t="n"/>
    </row>
    <row r="481">
      <c r="A481" s="7" t="inlineStr">
        <is>
          <t>3.8</t>
        </is>
      </c>
      <c r="B481" s="11" t="inlineStr">
        <is>
          <t>Rate as per item 3.8 - Cement mortar 1:3 (1 cement : 3 coarse sand)</t>
        </is>
      </c>
      <c r="C481" s="22" t="inlineStr">
        <is>
          <t>cum</t>
        </is>
      </c>
      <c r="D481" s="23" t="n">
        <v>0.018</v>
      </c>
      <c r="E481" s="24" t="n">
        <v>4664.55</v>
      </c>
      <c r="F481" s="24">
        <f>D481*E481</f>
        <v/>
      </c>
      <c r="G481" s="22" t="n"/>
    </row>
    <row r="482">
      <c r="A482" s="8" t="inlineStr">
        <is>
          <t>Calculated W - SUM of the Amount column above</t>
        </is>
      </c>
      <c r="B482" s="9" t="n"/>
      <c r="C482" s="9" t="n"/>
      <c r="D482" s="9" t="n"/>
      <c r="E482" s="9" t="n"/>
      <c r="F482" s="25">
        <f>SUM(F466:F481)</f>
        <v/>
      </c>
      <c r="G482" s="9" t="n"/>
    </row>
    <row r="483">
      <c r="A483" s="26" t="inlineStr">
        <is>
          <t>W as printed in the DAR</t>
        </is>
      </c>
      <c r="B483" s="22" t="n"/>
      <c r="C483" s="22" t="n"/>
      <c r="D483" s="22" t="n"/>
      <c r="E483" s="22" t="n"/>
      <c r="F483" s="27" t="n">
        <v>4600.16</v>
      </c>
      <c r="G483" s="22" t="n"/>
    </row>
    <row r="484">
      <c r="A484" s="26" t="inlineStr">
        <is>
          <t>Difference (calculated - printed)</t>
        </is>
      </c>
      <c r="B484" s="22" t="n"/>
      <c r="C484" s="22" t="n"/>
      <c r="D484" s="22" t="n"/>
      <c r="E484" s="22" t="n"/>
      <c r="F484" s="27">
        <f>F482-F483</f>
        <v/>
      </c>
      <c r="G484" s="22" t="n"/>
    </row>
    <row r="485">
      <c r="A485" s="29" t="inlineStr">
        <is>
          <t>SAY (Rs.) - final DAR rate as printed (fixed value, not computed)</t>
        </is>
      </c>
      <c r="B485" s="30" t="n"/>
      <c r="C485" s="30" t="n"/>
      <c r="D485" s="30" t="n"/>
      <c r="E485" s="30" t="n"/>
      <c r="F485" s="31" t="n">
        <v>6154.7</v>
      </c>
      <c r="G485" s="30" t="n"/>
    </row>
    <row r="487" ht="62" customHeight="1">
      <c r="A487" s="8" t="inlineStr">
        <is>
          <t>8.14</t>
        </is>
      </c>
      <c r="B487"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487" s="9" t="n"/>
      <c r="D487" s="9" t="n"/>
      <c r="E487" s="9" t="n"/>
      <c r="F487" s="9" t="n"/>
      <c r="G487" s="9" t="n"/>
    </row>
    <row r="488" ht="18.5" customHeight="1">
      <c r="A488" s="8" t="inlineStr">
        <is>
          <t>8.14.2</t>
        </is>
      </c>
      <c r="B488" s="17" t="inlineStr">
        <is>
          <t>Red sand stone - Exposed face machine cut and table rubbed with rough backing.</t>
        </is>
      </c>
      <c r="C488" s="9" t="n"/>
      <c r="D488" s="9" t="n"/>
      <c r="E488" s="9" t="n"/>
      <c r="F488" s="9" t="n"/>
      <c r="G488" s="9" t="n"/>
    </row>
    <row r="489" ht="18.5" customHeight="1">
      <c r="A489" s="18" t="inlineStr">
        <is>
          <t>8.14.2.2</t>
        </is>
      </c>
      <c r="B489" s="19" t="inlineStr">
        <is>
          <t>60 mm thick</t>
        </is>
      </c>
      <c r="C489" s="20" t="n"/>
      <c r="D489" s="20" t="n"/>
      <c r="E489" s="20" t="n"/>
      <c r="F489" s="20" t="n"/>
      <c r="G489" s="20" t="n"/>
    </row>
    <row r="490">
      <c r="A490" s="21" t="inlineStr">
        <is>
          <t>Details of cost for 1 sqm   |   Source: CivilDAR_2019_Vol_1.pdf, page 387</t>
        </is>
      </c>
    </row>
    <row r="491">
      <c r="A491" s="5" t="inlineStr">
        <is>
          <t>Code</t>
        </is>
      </c>
      <c r="B491" s="5" t="inlineStr">
        <is>
          <t>Description</t>
        </is>
      </c>
      <c r="C491" s="5" t="inlineStr">
        <is>
          <t>Unit</t>
        </is>
      </c>
      <c r="D491" s="5" t="inlineStr">
        <is>
          <t>Quantity</t>
        </is>
      </c>
      <c r="E491" s="5" t="inlineStr">
        <is>
          <t>Rate (Rs.)</t>
        </is>
      </c>
      <c r="F491" s="5" t="inlineStr">
        <is>
          <t>Amount (Rs.)</t>
        </is>
      </c>
      <c r="G491" s="5" t="inlineStr">
        <is>
          <t>Note</t>
        </is>
      </c>
    </row>
    <row r="492">
      <c r="A492" s="22" t="inlineStr">
        <is>
          <t>1160</t>
        </is>
      </c>
      <c r="B492" s="11" t="inlineStr">
        <is>
          <t>Red sand stone block</t>
        </is>
      </c>
      <c r="C492" s="22" t="inlineStr">
        <is>
          <t>10 cudm</t>
        </is>
      </c>
      <c r="D492" s="23" t="n">
        <v>8</v>
      </c>
      <c r="E492" s="24" t="n">
        <v>79</v>
      </c>
      <c r="F492" s="24">
        <f>D492*E492</f>
        <v/>
      </c>
      <c r="G492" s="22" t="n"/>
    </row>
    <row r="493">
      <c r="A493" s="22" t="inlineStr">
        <is>
          <t>2216</t>
        </is>
      </c>
      <c r="B493" s="11" t="inlineStr">
        <is>
          <t>Carriage of Stone blocks white &amp; red sand stone &amp; kota stone slab</t>
        </is>
      </c>
      <c r="C493" s="22" t="inlineStr">
        <is>
          <t>tonne</t>
        </is>
      </c>
      <c r="D493" s="23" t="n">
        <v>0.184</v>
      </c>
      <c r="E493" s="24" t="n">
        <v>92.23999999999999</v>
      </c>
      <c r="F493" s="24">
        <f>D493*E493</f>
        <v/>
      </c>
      <c r="G493" s="22" t="n"/>
    </row>
    <row r="494">
      <c r="A494" s="22" t="inlineStr">
        <is>
          <t>9999</t>
        </is>
      </c>
      <c r="B494" s="11" t="inlineStr">
        <is>
          <t>Extra for using white cement</t>
        </is>
      </c>
      <c r="C494" s="22" t="inlineStr">
        <is>
          <t>L.S.</t>
        </is>
      </c>
      <c r="D494" s="23" t="n">
        <v>26.91</v>
      </c>
      <c r="E494" s="24" t="n">
        <v>2</v>
      </c>
      <c r="F494" s="24">
        <f>D494*E494</f>
        <v/>
      </c>
      <c r="G494" s="22" t="n"/>
    </row>
    <row r="495">
      <c r="A495" s="22" t="inlineStr">
        <is>
          <t>0125</t>
        </is>
      </c>
      <c r="B495" s="11" t="inlineStr">
        <is>
          <t>Mason (for plain stone work) 2nd class)</t>
        </is>
      </c>
      <c r="C495" s="22" t="inlineStr">
        <is>
          <t>day</t>
        </is>
      </c>
      <c r="D495" s="23" t="n">
        <v>2.7</v>
      </c>
      <c r="E495" s="24" t="n">
        <v>679</v>
      </c>
      <c r="F495" s="24">
        <f>D495*E495</f>
        <v/>
      </c>
      <c r="G495" s="22" t="n"/>
    </row>
    <row r="496">
      <c r="A496" s="22" t="inlineStr">
        <is>
          <t>0102</t>
        </is>
      </c>
      <c r="B496" s="11" t="inlineStr">
        <is>
          <t>Blacksmith 1st class</t>
        </is>
      </c>
      <c r="C496" s="22" t="inlineStr">
        <is>
          <t>day</t>
        </is>
      </c>
      <c r="D496" s="23" t="n">
        <v>0.064</v>
      </c>
      <c r="E496" s="24" t="n">
        <v>738</v>
      </c>
      <c r="F496" s="24">
        <f>D496*E496</f>
        <v/>
      </c>
      <c r="G496" s="22" t="n"/>
    </row>
    <row r="497">
      <c r="A497" s="22" t="inlineStr">
        <is>
          <t>0114</t>
        </is>
      </c>
      <c r="B497" s="11" t="inlineStr">
        <is>
          <t>Beldar</t>
        </is>
      </c>
      <c r="C497" s="22" t="inlineStr">
        <is>
          <t>day</t>
        </is>
      </c>
      <c r="D497" s="23" t="n">
        <v>0.448</v>
      </c>
      <c r="E497" s="24" t="n">
        <v>558</v>
      </c>
      <c r="F497" s="24">
        <f>D497*E497</f>
        <v/>
      </c>
      <c r="G497" s="22" t="n"/>
    </row>
    <row r="498">
      <c r="A498" s="22" t="inlineStr">
        <is>
          <t>0115</t>
        </is>
      </c>
      <c r="B498" s="11" t="inlineStr">
        <is>
          <t>Coolie</t>
        </is>
      </c>
      <c r="C498" s="22" t="inlineStr">
        <is>
          <t>day</t>
        </is>
      </c>
      <c r="D498" s="23" t="n">
        <v>0.224</v>
      </c>
      <c r="E498" s="24" t="n">
        <v>558</v>
      </c>
      <c r="F498" s="24">
        <f>D498*E498</f>
        <v/>
      </c>
      <c r="G498" s="22" t="n"/>
    </row>
    <row r="499">
      <c r="A499" s="22" t="inlineStr">
        <is>
          <t>0100</t>
        </is>
      </c>
      <c r="B499" s="11" t="inlineStr">
        <is>
          <t>Bandhani</t>
        </is>
      </c>
      <c r="C499" s="22" t="inlineStr">
        <is>
          <t>day</t>
        </is>
      </c>
      <c r="D499" s="23" t="n">
        <v>0.448</v>
      </c>
      <c r="E499" s="24" t="n">
        <v>617</v>
      </c>
      <c r="F499" s="24">
        <f>D499*E499</f>
        <v/>
      </c>
      <c r="G499" s="22" t="n"/>
    </row>
    <row r="500">
      <c r="A500" s="22" t="inlineStr">
        <is>
          <t>0125</t>
        </is>
      </c>
      <c r="B500" s="11" t="inlineStr">
        <is>
          <t>Mason (for plain stone work) 2nd class)</t>
        </is>
      </c>
      <c r="C500" s="22" t="inlineStr">
        <is>
          <t>day</t>
        </is>
      </c>
      <c r="D500" s="23" t="n">
        <v>0.448</v>
      </c>
      <c r="E500" s="24" t="n">
        <v>679</v>
      </c>
      <c r="F500" s="24">
        <f>D500*E500</f>
        <v/>
      </c>
      <c r="G500" s="22" t="n"/>
    </row>
    <row r="501">
      <c r="A501" s="22" t="inlineStr">
        <is>
          <t>0100</t>
        </is>
      </c>
      <c r="B501" s="11" t="inlineStr">
        <is>
          <t>Bandhani</t>
        </is>
      </c>
      <c r="C501" s="22" t="inlineStr">
        <is>
          <t>day</t>
        </is>
      </c>
      <c r="D501" s="23" t="n">
        <v>0.336</v>
      </c>
      <c r="E501" s="24" t="n">
        <v>617</v>
      </c>
      <c r="F501" s="24">
        <f>D501*E501</f>
        <v/>
      </c>
      <c r="G501" s="22" t="n"/>
    </row>
    <row r="502">
      <c r="A502" s="22" t="inlineStr">
        <is>
          <t>0114</t>
        </is>
      </c>
      <c r="B502" s="11" t="inlineStr">
        <is>
          <t>Beldar</t>
        </is>
      </c>
      <c r="C502" s="22" t="inlineStr">
        <is>
          <t>day</t>
        </is>
      </c>
      <c r="D502" s="23" t="n">
        <v>0.336</v>
      </c>
      <c r="E502" s="24" t="n">
        <v>558</v>
      </c>
      <c r="F502" s="24">
        <f>D502*E502</f>
        <v/>
      </c>
      <c r="G502" s="22" t="n"/>
    </row>
    <row r="503">
      <c r="A503" s="22" t="inlineStr">
        <is>
          <t>0115</t>
        </is>
      </c>
      <c r="B503" s="11" t="inlineStr">
        <is>
          <t>Coolie</t>
        </is>
      </c>
      <c r="C503" s="22" t="inlineStr">
        <is>
          <t>day</t>
        </is>
      </c>
      <c r="D503" s="23" t="n">
        <v>0.336</v>
      </c>
      <c r="E503" s="24" t="n">
        <v>558</v>
      </c>
      <c r="F503" s="24">
        <f>D503*E503</f>
        <v/>
      </c>
      <c r="G503" s="22" t="n"/>
    </row>
    <row r="504">
      <c r="A504" s="22" t="inlineStr">
        <is>
          <t>0101</t>
        </is>
      </c>
      <c r="B504" s="11" t="inlineStr">
        <is>
          <t>Bhisti</t>
        </is>
      </c>
      <c r="C504" s="22" t="inlineStr">
        <is>
          <t>day</t>
        </is>
      </c>
      <c r="D504" s="23" t="n">
        <v>0.336</v>
      </c>
      <c r="E504" s="24" t="n">
        <v>617</v>
      </c>
      <c r="F504" s="24">
        <f>D504*E504</f>
        <v/>
      </c>
      <c r="G504" s="22" t="n"/>
    </row>
    <row r="505">
      <c r="A505" s="22" t="inlineStr">
        <is>
          <t>1237</t>
        </is>
      </c>
      <c r="B505" s="11" t="inlineStr">
        <is>
          <t>Cutting marble or sand stone slab upto 50 mm thick by mechanical device</t>
        </is>
      </c>
      <c r="C505" s="22" t="inlineStr">
        <is>
          <t>metre</t>
        </is>
      </c>
      <c r="D505" s="23" t="n">
        <v>4</v>
      </c>
      <c r="E505" s="24" t="n">
        <v>10</v>
      </c>
      <c r="F505" s="24">
        <f>D505*E505</f>
        <v/>
      </c>
      <c r="G505" s="22" t="n"/>
    </row>
    <row r="506">
      <c r="A506" s="22" t="inlineStr">
        <is>
          <t>9999</t>
        </is>
      </c>
      <c r="B506" s="11" t="inlineStr">
        <is>
          <t>Scaffolding</t>
        </is>
      </c>
      <c r="C506" s="22" t="inlineStr">
        <is>
          <t>L.S.</t>
        </is>
      </c>
      <c r="D506" s="23" t="n">
        <v>19.76</v>
      </c>
      <c r="E506" s="24" t="n">
        <v>2</v>
      </c>
      <c r="F506" s="24">
        <f>D506*E506</f>
        <v/>
      </c>
      <c r="G506" s="22" t="n"/>
    </row>
    <row r="507">
      <c r="A507" s="7" t="inlineStr">
        <is>
          <t>3.8</t>
        </is>
      </c>
      <c r="B507" s="11" t="inlineStr">
        <is>
          <t>Rate as per item 3.8 - Cement mortar 1:3 (1 cement : 3 coarse sand)</t>
        </is>
      </c>
      <c r="C507" s="22" t="inlineStr">
        <is>
          <t>cum</t>
        </is>
      </c>
      <c r="D507" s="23" t="n">
        <v>0.018</v>
      </c>
      <c r="E507" s="24" t="n">
        <v>4664.55</v>
      </c>
      <c r="F507" s="24">
        <f>D507*E507</f>
        <v/>
      </c>
      <c r="G507" s="22" t="n"/>
    </row>
    <row r="508">
      <c r="A508" s="8" t="inlineStr">
        <is>
          <t>Calculated W - SUM of the Amount column above</t>
        </is>
      </c>
      <c r="B508" s="9" t="n"/>
      <c r="C508" s="9" t="n"/>
      <c r="D508" s="9" t="n"/>
      <c r="E508" s="9" t="n"/>
      <c r="F508" s="25">
        <f>SUM(F492:F507)</f>
        <v/>
      </c>
      <c r="G508" s="9" t="n"/>
    </row>
    <row r="509">
      <c r="A509" s="26" t="inlineStr">
        <is>
          <t>W as printed in the DAR</t>
        </is>
      </c>
      <c r="B509" s="22" t="n"/>
      <c r="C509" s="22" t="n"/>
      <c r="D509" s="22" t="n"/>
      <c r="E509" s="22" t="n"/>
      <c r="F509" s="27" t="n">
        <v>4491.99</v>
      </c>
      <c r="G509" s="22" t="n"/>
    </row>
    <row r="510">
      <c r="A510" s="26" t="inlineStr">
        <is>
          <t>Difference (calculated - printed)</t>
        </is>
      </c>
      <c r="B510" s="22" t="n"/>
      <c r="C510" s="22" t="n"/>
      <c r="D510" s="22" t="n"/>
      <c r="E510" s="22" t="n"/>
      <c r="F510" s="27">
        <f>F508-F509</f>
        <v/>
      </c>
      <c r="G510" s="22" t="n"/>
    </row>
    <row r="511">
      <c r="A511" s="29" t="inlineStr">
        <is>
          <t>SAY (Rs.) - final DAR rate as printed (fixed value, not computed)</t>
        </is>
      </c>
      <c r="B511" s="30" t="n"/>
      <c r="C511" s="30" t="n"/>
      <c r="D511" s="30" t="n"/>
      <c r="E511" s="30" t="n"/>
      <c r="F511" s="31" t="n">
        <v>6010</v>
      </c>
      <c r="G511" s="30" t="n"/>
    </row>
    <row r="513" ht="62" customHeight="1">
      <c r="A513" s="8" t="inlineStr">
        <is>
          <t>8.14</t>
        </is>
      </c>
      <c r="B513"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513" s="9" t="n"/>
      <c r="D513" s="9" t="n"/>
      <c r="E513" s="9" t="n"/>
      <c r="F513" s="9" t="n"/>
      <c r="G513" s="9" t="n"/>
    </row>
    <row r="514" ht="18.5" customHeight="1">
      <c r="A514" s="8" t="inlineStr">
        <is>
          <t>8.14.2</t>
        </is>
      </c>
      <c r="B514" s="17" t="inlineStr">
        <is>
          <t>Red sand stone - Exposed face machine cut and table rubbed with rough backing.</t>
        </is>
      </c>
      <c r="C514" s="9" t="n"/>
      <c r="D514" s="9" t="n"/>
      <c r="E514" s="9" t="n"/>
      <c r="F514" s="9" t="n"/>
      <c r="G514" s="9" t="n"/>
    </row>
    <row r="515" ht="18.5" customHeight="1">
      <c r="A515" s="18" t="inlineStr">
        <is>
          <t>8.14.2.3</t>
        </is>
      </c>
      <c r="B515" s="19" t="inlineStr">
        <is>
          <t>50 mm thick</t>
        </is>
      </c>
      <c r="C515" s="20" t="n"/>
      <c r="D515" s="20" t="n"/>
      <c r="E515" s="20" t="n"/>
      <c r="F515" s="20" t="n"/>
      <c r="G515" s="20" t="n"/>
    </row>
    <row r="516">
      <c r="A516" s="21" t="inlineStr">
        <is>
          <t>Details of cost for 1 sqm   |   Source: CivilDAR_2019_Vol_1.pdf, page 388</t>
        </is>
      </c>
    </row>
    <row r="517">
      <c r="A517" s="5" t="inlineStr">
        <is>
          <t>Code</t>
        </is>
      </c>
      <c r="B517" s="5" t="inlineStr">
        <is>
          <t>Description</t>
        </is>
      </c>
      <c r="C517" s="5" t="inlineStr">
        <is>
          <t>Unit</t>
        </is>
      </c>
      <c r="D517" s="5" t="inlineStr">
        <is>
          <t>Quantity</t>
        </is>
      </c>
      <c r="E517" s="5" t="inlineStr">
        <is>
          <t>Rate (Rs.)</t>
        </is>
      </c>
      <c r="F517" s="5" t="inlineStr">
        <is>
          <t>Amount (Rs.)</t>
        </is>
      </c>
      <c r="G517" s="5" t="inlineStr">
        <is>
          <t>Note</t>
        </is>
      </c>
    </row>
    <row r="518">
      <c r="A518" s="22" t="inlineStr">
        <is>
          <t>1160</t>
        </is>
      </c>
      <c r="B518" s="11" t="inlineStr">
        <is>
          <t>Red sand stone block</t>
        </is>
      </c>
      <c r="C518" s="22" t="inlineStr">
        <is>
          <t>10 cudm</t>
        </is>
      </c>
      <c r="D518" s="23" t="n">
        <v>6.67</v>
      </c>
      <c r="E518" s="24" t="n">
        <v>79</v>
      </c>
      <c r="F518" s="24">
        <f>D518*E518</f>
        <v/>
      </c>
      <c r="G518" s="22" t="n"/>
    </row>
    <row r="519">
      <c r="A519" s="22" t="inlineStr">
        <is>
          <t>2216</t>
        </is>
      </c>
      <c r="B519" s="11" t="inlineStr">
        <is>
          <t>Carriage of Stone blocks white &amp; red sand stone &amp; kota stone slab</t>
        </is>
      </c>
      <c r="C519" s="22" t="inlineStr">
        <is>
          <t>tonne</t>
        </is>
      </c>
      <c r="D519" s="23" t="n">
        <v>0.153</v>
      </c>
      <c r="E519" s="24" t="n">
        <v>92.23999999999999</v>
      </c>
      <c r="F519" s="24">
        <f>D519*E519</f>
        <v/>
      </c>
      <c r="G519" s="22" t="n"/>
    </row>
    <row r="520">
      <c r="A520" s="22" t="inlineStr">
        <is>
          <t>9999</t>
        </is>
      </c>
      <c r="B520" s="11" t="inlineStr">
        <is>
          <t>Extra for using white cement</t>
        </is>
      </c>
      <c r="C520" s="22" t="inlineStr">
        <is>
          <t>L.S.</t>
        </is>
      </c>
      <c r="D520" s="23" t="n">
        <v>26.91</v>
      </c>
      <c r="E520" s="24" t="n">
        <v>2</v>
      </c>
      <c r="F520" s="24">
        <f>D520*E520</f>
        <v/>
      </c>
      <c r="G520" s="22" t="n"/>
    </row>
    <row r="521">
      <c r="A521" s="22" t="inlineStr">
        <is>
          <t>0125</t>
        </is>
      </c>
      <c r="B521" s="11" t="inlineStr">
        <is>
          <t>Mason (for plain stone work) 2nd class)</t>
        </is>
      </c>
      <c r="C521" s="22" t="inlineStr">
        <is>
          <t>day</t>
        </is>
      </c>
      <c r="D521" s="23" t="n">
        <v>2.7</v>
      </c>
      <c r="E521" s="24" t="n">
        <v>679</v>
      </c>
      <c r="F521" s="24">
        <f>D521*E521</f>
        <v/>
      </c>
      <c r="G521" s="22" t="n"/>
    </row>
    <row r="522">
      <c r="A522" s="22" t="inlineStr">
        <is>
          <t>0102</t>
        </is>
      </c>
      <c r="B522" s="11" t="inlineStr">
        <is>
          <t>Blacksmith 1st class</t>
        </is>
      </c>
      <c r="C522" s="22" t="inlineStr">
        <is>
          <t>day</t>
        </is>
      </c>
      <c r="D522" s="23" t="n">
        <v>0.064</v>
      </c>
      <c r="E522" s="24" t="n">
        <v>738</v>
      </c>
      <c r="F522" s="24">
        <f>D522*E522</f>
        <v/>
      </c>
      <c r="G522" s="22" t="n"/>
    </row>
    <row r="523">
      <c r="A523" s="22" t="inlineStr">
        <is>
          <t>0114</t>
        </is>
      </c>
      <c r="B523" s="11" t="inlineStr">
        <is>
          <t>Beldar</t>
        </is>
      </c>
      <c r="C523" s="22" t="inlineStr">
        <is>
          <t>day</t>
        </is>
      </c>
      <c r="D523" s="23" t="n">
        <v>0.448</v>
      </c>
      <c r="E523" s="24" t="n">
        <v>558</v>
      </c>
      <c r="F523" s="24">
        <f>D523*E523</f>
        <v/>
      </c>
      <c r="G523" s="22" t="n"/>
    </row>
    <row r="524">
      <c r="A524" s="22" t="inlineStr">
        <is>
          <t>0115</t>
        </is>
      </c>
      <c r="B524" s="11" t="inlineStr">
        <is>
          <t>Coolie</t>
        </is>
      </c>
      <c r="C524" s="22" t="inlineStr">
        <is>
          <t>day</t>
        </is>
      </c>
      <c r="D524" s="23" t="n">
        <v>0.224</v>
      </c>
      <c r="E524" s="24" t="n">
        <v>558</v>
      </c>
      <c r="F524" s="24">
        <f>D524*E524</f>
        <v/>
      </c>
      <c r="G524" s="22" t="n"/>
    </row>
    <row r="525">
      <c r="A525" s="22" t="inlineStr">
        <is>
          <t>0100</t>
        </is>
      </c>
      <c r="B525" s="11" t="inlineStr">
        <is>
          <t>Bandhani</t>
        </is>
      </c>
      <c r="C525" s="22" t="inlineStr">
        <is>
          <t>day</t>
        </is>
      </c>
      <c r="D525" s="23" t="n">
        <v>0.448</v>
      </c>
      <c r="E525" s="24" t="n">
        <v>617</v>
      </c>
      <c r="F525" s="24">
        <f>D525*E525</f>
        <v/>
      </c>
      <c r="G525" s="22" t="n"/>
    </row>
    <row r="526">
      <c r="A526" s="22" t="inlineStr">
        <is>
          <t>0125</t>
        </is>
      </c>
      <c r="B526" s="11" t="inlineStr">
        <is>
          <t>Mason (for plain stone work) 2nd class)</t>
        </is>
      </c>
      <c r="C526" s="22" t="inlineStr">
        <is>
          <t>day</t>
        </is>
      </c>
      <c r="D526" s="23" t="n">
        <v>0.448</v>
      </c>
      <c r="E526" s="24" t="n">
        <v>679</v>
      </c>
      <c r="F526" s="24">
        <f>D526*E526</f>
        <v/>
      </c>
      <c r="G526" s="22" t="n"/>
    </row>
    <row r="527">
      <c r="A527" s="22" t="inlineStr">
        <is>
          <t>0100</t>
        </is>
      </c>
      <c r="B527" s="11" t="inlineStr">
        <is>
          <t>Bandhani</t>
        </is>
      </c>
      <c r="C527" s="22" t="inlineStr">
        <is>
          <t>day</t>
        </is>
      </c>
      <c r="D527" s="23" t="n">
        <v>0.336</v>
      </c>
      <c r="E527" s="24" t="n">
        <v>617</v>
      </c>
      <c r="F527" s="24">
        <f>D527*E527</f>
        <v/>
      </c>
      <c r="G527" s="22" t="n"/>
    </row>
    <row r="528">
      <c r="A528" s="22" t="inlineStr">
        <is>
          <t>0114</t>
        </is>
      </c>
      <c r="B528" s="11" t="inlineStr">
        <is>
          <t>Beldar</t>
        </is>
      </c>
      <c r="C528" s="22" t="inlineStr">
        <is>
          <t>day</t>
        </is>
      </c>
      <c r="D528" s="23" t="n">
        <v>0.336</v>
      </c>
      <c r="E528" s="24" t="n">
        <v>558</v>
      </c>
      <c r="F528" s="24">
        <f>D528*E528</f>
        <v/>
      </c>
      <c r="G528" s="22" t="n"/>
    </row>
    <row r="529">
      <c r="A529" s="22" t="inlineStr">
        <is>
          <t>0115</t>
        </is>
      </c>
      <c r="B529" s="11" t="inlineStr">
        <is>
          <t>Coolie</t>
        </is>
      </c>
      <c r="C529" s="22" t="inlineStr">
        <is>
          <t>day</t>
        </is>
      </c>
      <c r="D529" s="23" t="n">
        <v>0.336</v>
      </c>
      <c r="E529" s="24" t="n">
        <v>558</v>
      </c>
      <c r="F529" s="24">
        <f>D529*E529</f>
        <v/>
      </c>
      <c r="G529" s="22" t="n"/>
    </row>
    <row r="530">
      <c r="A530" s="22" t="inlineStr">
        <is>
          <t>0101</t>
        </is>
      </c>
      <c r="B530" s="11" t="inlineStr">
        <is>
          <t>Bhisti</t>
        </is>
      </c>
      <c r="C530" s="22" t="inlineStr">
        <is>
          <t>day</t>
        </is>
      </c>
      <c r="D530" s="23" t="n">
        <v>0.336</v>
      </c>
      <c r="E530" s="24" t="n">
        <v>617</v>
      </c>
      <c r="F530" s="24">
        <f>D530*E530</f>
        <v/>
      </c>
      <c r="G530" s="22" t="n"/>
    </row>
    <row r="531">
      <c r="A531" s="22" t="inlineStr">
        <is>
          <t>1237</t>
        </is>
      </c>
      <c r="B531" s="11" t="inlineStr">
        <is>
          <t>Cutting marble or sand stone slab upto 50 mm thick by mechanical device</t>
        </is>
      </c>
      <c r="C531" s="22" t="inlineStr">
        <is>
          <t>metre</t>
        </is>
      </c>
      <c r="D531" s="23" t="n">
        <v>4</v>
      </c>
      <c r="E531" s="24" t="n">
        <v>10</v>
      </c>
      <c r="F531" s="24">
        <f>D531*E531</f>
        <v/>
      </c>
      <c r="G531" s="22" t="n"/>
    </row>
    <row r="532">
      <c r="A532" s="22" t="inlineStr">
        <is>
          <t>9999</t>
        </is>
      </c>
      <c r="B532" s="11" t="inlineStr">
        <is>
          <t>Scaffolding</t>
        </is>
      </c>
      <c r="C532" s="22" t="inlineStr">
        <is>
          <t>L.S.</t>
        </is>
      </c>
      <c r="D532" s="23" t="n">
        <v>19.76</v>
      </c>
      <c r="E532" s="24" t="n">
        <v>2</v>
      </c>
      <c r="F532" s="24">
        <f>D532*E532</f>
        <v/>
      </c>
      <c r="G532" s="22" t="n"/>
    </row>
    <row r="533">
      <c r="A533" s="7" t="inlineStr">
        <is>
          <t>3.8</t>
        </is>
      </c>
      <c r="B533" s="11" t="inlineStr">
        <is>
          <t>Rate as per item 3.8 - Cement mortar 1:3 (1 cement : 3 coarse sand)</t>
        </is>
      </c>
      <c r="C533" s="22" t="inlineStr">
        <is>
          <t>cum</t>
        </is>
      </c>
      <c r="D533" s="23" t="n">
        <v>0.018</v>
      </c>
      <c r="E533" s="24" t="n">
        <v>4664.55</v>
      </c>
      <c r="F533" s="24">
        <f>D533*E533</f>
        <v/>
      </c>
      <c r="G533" s="22" t="n"/>
    </row>
    <row r="534">
      <c r="A534" s="8" t="inlineStr">
        <is>
          <t>Calculated W - SUM of the Amount column above</t>
        </is>
      </c>
      <c r="B534" s="9" t="n"/>
      <c r="C534" s="9" t="n"/>
      <c r="D534" s="9" t="n"/>
      <c r="E534" s="9" t="n"/>
      <c r="F534" s="25">
        <f>SUM(F518:F533)</f>
        <v/>
      </c>
      <c r="G534" s="9" t="n"/>
    </row>
    <row r="535">
      <c r="A535" s="26" t="inlineStr">
        <is>
          <t>W as printed in the DAR</t>
        </is>
      </c>
      <c r="B535" s="22" t="n"/>
      <c r="C535" s="22" t="n"/>
      <c r="D535" s="22" t="n"/>
      <c r="E535" s="22" t="n"/>
      <c r="F535" s="27" t="n">
        <v>4384.06</v>
      </c>
      <c r="G535" s="22" t="n"/>
    </row>
    <row r="536">
      <c r="A536" s="26" t="inlineStr">
        <is>
          <t>Difference (calculated - printed)</t>
        </is>
      </c>
      <c r="B536" s="22" t="n"/>
      <c r="C536" s="22" t="n"/>
      <c r="D536" s="22" t="n"/>
      <c r="E536" s="22" t="n"/>
      <c r="F536" s="27">
        <f>F534-F535</f>
        <v/>
      </c>
      <c r="G536" s="22" t="n"/>
    </row>
    <row r="537">
      <c r="A537" s="29" t="inlineStr">
        <is>
          <t>SAY (Rs.) - final DAR rate as printed (fixed value, not computed)</t>
        </is>
      </c>
      <c r="B537" s="30" t="n"/>
      <c r="C537" s="30" t="n"/>
      <c r="D537" s="30" t="n"/>
      <c r="E537" s="30" t="n"/>
      <c r="F537" s="31" t="n">
        <v>5865.6</v>
      </c>
      <c r="G537" s="30" t="n"/>
    </row>
    <row r="539" ht="62" customHeight="1">
      <c r="A539" s="8" t="inlineStr">
        <is>
          <t>8.14</t>
        </is>
      </c>
      <c r="B539"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539" s="9" t="n"/>
      <c r="D539" s="9" t="n"/>
      <c r="E539" s="9" t="n"/>
      <c r="F539" s="9" t="n"/>
      <c r="G539" s="9" t="n"/>
    </row>
    <row r="540" ht="18.5" customHeight="1">
      <c r="A540" s="8" t="inlineStr">
        <is>
          <t>8.14.2</t>
        </is>
      </c>
      <c r="B540" s="17" t="inlineStr">
        <is>
          <t>Red sand stone - Exposed face machine cut and table rubbed with rough backing.</t>
        </is>
      </c>
      <c r="C540" s="9" t="n"/>
      <c r="D540" s="9" t="n"/>
      <c r="E540" s="9" t="n"/>
      <c r="F540" s="9" t="n"/>
      <c r="G540" s="9" t="n"/>
    </row>
    <row r="541" ht="18.5" customHeight="1">
      <c r="A541" s="18" t="inlineStr">
        <is>
          <t>8.14.2.4</t>
        </is>
      </c>
      <c r="B541" s="19" t="inlineStr">
        <is>
          <t>40 mm thick</t>
        </is>
      </c>
      <c r="C541" s="20" t="n"/>
      <c r="D541" s="20" t="n"/>
      <c r="E541" s="20" t="n"/>
      <c r="F541" s="20" t="n"/>
      <c r="G541" s="20" t="n"/>
    </row>
    <row r="542">
      <c r="A542" s="21" t="inlineStr">
        <is>
          <t>Details of cost for 1 sqm   |   Source: CivilDAR_2019_Vol_1.pdf, page 389</t>
        </is>
      </c>
    </row>
    <row r="543">
      <c r="A543" s="5" t="inlineStr">
        <is>
          <t>Code</t>
        </is>
      </c>
      <c r="B543" s="5" t="inlineStr">
        <is>
          <t>Description</t>
        </is>
      </c>
      <c r="C543" s="5" t="inlineStr">
        <is>
          <t>Unit</t>
        </is>
      </c>
      <c r="D543" s="5" t="inlineStr">
        <is>
          <t>Quantity</t>
        </is>
      </c>
      <c r="E543" s="5" t="inlineStr">
        <is>
          <t>Rate (Rs.)</t>
        </is>
      </c>
      <c r="F543" s="5" t="inlineStr">
        <is>
          <t>Amount (Rs.)</t>
        </is>
      </c>
      <c r="G543" s="5" t="inlineStr">
        <is>
          <t>Note</t>
        </is>
      </c>
    </row>
    <row r="544">
      <c r="A544" s="22" t="inlineStr">
        <is>
          <t>1160</t>
        </is>
      </c>
      <c r="B544" s="11" t="inlineStr">
        <is>
          <t>Red sand stone block</t>
        </is>
      </c>
      <c r="C544" s="22" t="inlineStr">
        <is>
          <t>10 cudm</t>
        </is>
      </c>
      <c r="D544" s="23" t="n">
        <v>5.333</v>
      </c>
      <c r="E544" s="24" t="n">
        <v>79</v>
      </c>
      <c r="F544" s="24">
        <f>D544*E544</f>
        <v/>
      </c>
      <c r="G544" s="22" t="n"/>
    </row>
    <row r="545">
      <c r="A545" s="22" t="inlineStr">
        <is>
          <t>2216</t>
        </is>
      </c>
      <c r="B545" s="11" t="inlineStr">
        <is>
          <t>Carriage of Stone blocks white &amp; red sand stone &amp; kota stone slab</t>
        </is>
      </c>
      <c r="C545" s="22" t="inlineStr">
        <is>
          <t>tonne</t>
        </is>
      </c>
      <c r="D545" s="23" t="n">
        <v>0.123</v>
      </c>
      <c r="E545" s="24" t="n">
        <v>92.23999999999999</v>
      </c>
      <c r="F545" s="24">
        <f>D545*E545</f>
        <v/>
      </c>
      <c r="G545" s="22" t="n"/>
    </row>
    <row r="546">
      <c r="A546" s="22" t="inlineStr">
        <is>
          <t>9999</t>
        </is>
      </c>
      <c r="B546" s="11" t="inlineStr">
        <is>
          <t>Extra for using white cement</t>
        </is>
      </c>
      <c r="C546" s="22" t="inlineStr">
        <is>
          <t>L.S.</t>
        </is>
      </c>
      <c r="D546" s="23" t="n">
        <v>26.91</v>
      </c>
      <c r="E546" s="24" t="n">
        <v>2</v>
      </c>
      <c r="F546" s="24">
        <f>D546*E546</f>
        <v/>
      </c>
      <c r="G546" s="22" t="n"/>
    </row>
    <row r="547">
      <c r="A547" s="22" t="inlineStr">
        <is>
          <t>0125</t>
        </is>
      </c>
      <c r="B547" s="11" t="inlineStr">
        <is>
          <t>Mason (for plain stone work) 2nd class)</t>
        </is>
      </c>
      <c r="C547" s="22" t="inlineStr">
        <is>
          <t>day</t>
        </is>
      </c>
      <c r="D547" s="23" t="n">
        <v>2.7</v>
      </c>
      <c r="E547" s="24" t="n">
        <v>679</v>
      </c>
      <c r="F547" s="24">
        <f>D547*E547</f>
        <v/>
      </c>
      <c r="G547" s="22" t="n"/>
    </row>
    <row r="548">
      <c r="A548" s="22" t="inlineStr">
        <is>
          <t>0102</t>
        </is>
      </c>
      <c r="B548" s="11" t="inlineStr">
        <is>
          <t>Blacksmith 1st class</t>
        </is>
      </c>
      <c r="C548" s="22" t="inlineStr">
        <is>
          <t>day</t>
        </is>
      </c>
      <c r="D548" s="23" t="n">
        <v>0.064</v>
      </c>
      <c r="E548" s="24" t="n">
        <v>738</v>
      </c>
      <c r="F548" s="24">
        <f>D548*E548</f>
        <v/>
      </c>
      <c r="G548" s="22" t="n"/>
    </row>
    <row r="549">
      <c r="A549" s="22" t="inlineStr">
        <is>
          <t>0114</t>
        </is>
      </c>
      <c r="B549" s="11" t="inlineStr">
        <is>
          <t>Beldar</t>
        </is>
      </c>
      <c r="C549" s="22" t="inlineStr">
        <is>
          <t>day</t>
        </is>
      </c>
      <c r="D549" s="23" t="n">
        <v>0.448</v>
      </c>
      <c r="E549" s="24" t="n">
        <v>558</v>
      </c>
      <c r="F549" s="24">
        <f>D549*E549</f>
        <v/>
      </c>
      <c r="G549" s="22" t="n"/>
    </row>
    <row r="550">
      <c r="A550" s="22" t="inlineStr">
        <is>
          <t>0115</t>
        </is>
      </c>
      <c r="B550" s="11" t="inlineStr">
        <is>
          <t>Coolie</t>
        </is>
      </c>
      <c r="C550" s="22" t="inlineStr">
        <is>
          <t>day</t>
        </is>
      </c>
      <c r="D550" s="23" t="n">
        <v>0.224</v>
      </c>
      <c r="E550" s="24" t="n">
        <v>558</v>
      </c>
      <c r="F550" s="24">
        <f>D550*E550</f>
        <v/>
      </c>
      <c r="G550" s="22" t="n"/>
    </row>
    <row r="551">
      <c r="A551" s="22" t="inlineStr">
        <is>
          <t>0100</t>
        </is>
      </c>
      <c r="B551" s="11" t="inlineStr">
        <is>
          <t>Bandhani</t>
        </is>
      </c>
      <c r="C551" s="22" t="inlineStr">
        <is>
          <t>day</t>
        </is>
      </c>
      <c r="D551" s="23" t="n">
        <v>0.448</v>
      </c>
      <c r="E551" s="24" t="n">
        <v>617</v>
      </c>
      <c r="F551" s="24">
        <f>D551*E551</f>
        <v/>
      </c>
      <c r="G551" s="22" t="n"/>
    </row>
    <row r="552">
      <c r="A552" s="22" t="inlineStr">
        <is>
          <t>0125</t>
        </is>
      </c>
      <c r="B552" s="11" t="inlineStr">
        <is>
          <t>Mason (for plain stone work) 2nd class)</t>
        </is>
      </c>
      <c r="C552" s="22" t="inlineStr">
        <is>
          <t>day</t>
        </is>
      </c>
      <c r="D552" s="23" t="n">
        <v>0.448</v>
      </c>
      <c r="E552" s="24" t="n">
        <v>679</v>
      </c>
      <c r="F552" s="24">
        <f>D552*E552</f>
        <v/>
      </c>
      <c r="G552" s="22" t="n"/>
    </row>
    <row r="553">
      <c r="A553" s="22" t="inlineStr">
        <is>
          <t>0100</t>
        </is>
      </c>
      <c r="B553" s="11" t="inlineStr">
        <is>
          <t>Bandhani</t>
        </is>
      </c>
      <c r="C553" s="22" t="inlineStr">
        <is>
          <t>day</t>
        </is>
      </c>
      <c r="D553" s="23" t="n">
        <v>0.336</v>
      </c>
      <c r="E553" s="24" t="n">
        <v>617</v>
      </c>
      <c r="F553" s="24">
        <f>D553*E553</f>
        <v/>
      </c>
      <c r="G553" s="22" t="n"/>
    </row>
    <row r="554">
      <c r="A554" s="22" t="inlineStr">
        <is>
          <t>0114</t>
        </is>
      </c>
      <c r="B554" s="11" t="inlineStr">
        <is>
          <t>Beldar</t>
        </is>
      </c>
      <c r="C554" s="22" t="inlineStr">
        <is>
          <t>day</t>
        </is>
      </c>
      <c r="D554" s="23" t="n">
        <v>0.336</v>
      </c>
      <c r="E554" s="24" t="n">
        <v>558</v>
      </c>
      <c r="F554" s="24">
        <f>D554*E554</f>
        <v/>
      </c>
      <c r="G554" s="22" t="n"/>
    </row>
    <row r="555">
      <c r="A555" s="22" t="inlineStr">
        <is>
          <t>0115</t>
        </is>
      </c>
      <c r="B555" s="11" t="inlineStr">
        <is>
          <t>Coolie</t>
        </is>
      </c>
      <c r="C555" s="22" t="inlineStr">
        <is>
          <t>day</t>
        </is>
      </c>
      <c r="D555" s="23" t="n">
        <v>0.336</v>
      </c>
      <c r="E555" s="24" t="n">
        <v>558</v>
      </c>
      <c r="F555" s="24">
        <f>D555*E555</f>
        <v/>
      </c>
      <c r="G555" s="22" t="n"/>
    </row>
    <row r="556">
      <c r="A556" s="22" t="inlineStr">
        <is>
          <t>0101</t>
        </is>
      </c>
      <c r="B556" s="11" t="inlineStr">
        <is>
          <t>Bhisti</t>
        </is>
      </c>
      <c r="C556" s="22" t="inlineStr">
        <is>
          <t>day</t>
        </is>
      </c>
      <c r="D556" s="23" t="n">
        <v>0.336</v>
      </c>
      <c r="E556" s="24" t="n">
        <v>617</v>
      </c>
      <c r="F556" s="24">
        <f>D556*E556</f>
        <v/>
      </c>
      <c r="G556" s="22" t="n"/>
    </row>
    <row r="557">
      <c r="A557" s="22" t="inlineStr">
        <is>
          <t>1237</t>
        </is>
      </c>
      <c r="B557" s="11" t="inlineStr">
        <is>
          <t>Cutting marble or sand stone slab upto 50 mm thick by mechanical device</t>
        </is>
      </c>
      <c r="C557" s="22" t="inlineStr">
        <is>
          <t>metre</t>
        </is>
      </c>
      <c r="D557" s="23" t="n">
        <v>4</v>
      </c>
      <c r="E557" s="24" t="n">
        <v>10</v>
      </c>
      <c r="F557" s="24">
        <f>D557*E557</f>
        <v/>
      </c>
      <c r="G557" s="22" t="n"/>
    </row>
    <row r="558">
      <c r="A558" s="22" t="inlineStr">
        <is>
          <t>9999</t>
        </is>
      </c>
      <c r="B558" s="11" t="inlineStr">
        <is>
          <t>Scaffolding</t>
        </is>
      </c>
      <c r="C558" s="22" t="inlineStr">
        <is>
          <t>L.S.</t>
        </is>
      </c>
      <c r="D558" s="23" t="n">
        <v>19.76</v>
      </c>
      <c r="E558" s="24" t="n">
        <v>2</v>
      </c>
      <c r="F558" s="24">
        <f>D558*E558</f>
        <v/>
      </c>
      <c r="G558" s="22" t="n"/>
    </row>
    <row r="559">
      <c r="A559" s="7" t="inlineStr">
        <is>
          <t>3.8</t>
        </is>
      </c>
      <c r="B559" s="11" t="inlineStr">
        <is>
          <t>Rate as per item 3.8 - Cement mortar 1:3 (1 cement : 3 coarse sand)</t>
        </is>
      </c>
      <c r="C559" s="22" t="inlineStr">
        <is>
          <t>cum</t>
        </is>
      </c>
      <c r="D559" s="23" t="n">
        <v>0.018</v>
      </c>
      <c r="E559" s="24" t="n">
        <v>4664.55</v>
      </c>
      <c r="F559" s="24">
        <f>D559*E559</f>
        <v/>
      </c>
      <c r="G559" s="22" t="n"/>
    </row>
    <row r="560">
      <c r="A560" s="8" t="inlineStr">
        <is>
          <t>Calculated W - SUM of the Amount column above</t>
        </is>
      </c>
      <c r="B560" s="9" t="n"/>
      <c r="C560" s="9" t="n"/>
      <c r="D560" s="9" t="n"/>
      <c r="E560" s="9" t="n"/>
      <c r="F560" s="25">
        <f>SUM(F544:F559)</f>
        <v/>
      </c>
      <c r="G560" s="9" t="n"/>
    </row>
    <row r="561">
      <c r="A561" s="26" t="inlineStr">
        <is>
          <t>W as printed in the DAR</t>
        </is>
      </c>
      <c r="B561" s="22" t="n"/>
      <c r="C561" s="22" t="n"/>
      <c r="D561" s="22" t="n"/>
      <c r="E561" s="22" t="n"/>
      <c r="F561" s="27" t="n">
        <v>4275.67</v>
      </c>
      <c r="G561" s="22" t="n"/>
    </row>
    <row r="562">
      <c r="A562" s="26" t="inlineStr">
        <is>
          <t>Difference (calculated - printed)</t>
        </is>
      </c>
      <c r="B562" s="22" t="n"/>
      <c r="C562" s="22" t="n"/>
      <c r="D562" s="22" t="n"/>
      <c r="E562" s="22" t="n"/>
      <c r="F562" s="27">
        <f>F560-F561</f>
        <v/>
      </c>
      <c r="G562" s="22" t="n"/>
    </row>
    <row r="563">
      <c r="A563" s="29" t="inlineStr">
        <is>
          <t>SAY (Rs.) - final DAR rate as printed (fixed value, not computed)</t>
        </is>
      </c>
      <c r="B563" s="30" t="n"/>
      <c r="C563" s="30" t="n"/>
      <c r="D563" s="30" t="n"/>
      <c r="E563" s="30" t="n"/>
      <c r="F563" s="31" t="n">
        <v>5720.6</v>
      </c>
      <c r="G563" s="30" t="n"/>
    </row>
    <row r="565" ht="62" customHeight="1">
      <c r="A565" s="8" t="inlineStr">
        <is>
          <t>8.14</t>
        </is>
      </c>
      <c r="B565"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565" s="9" t="n"/>
      <c r="D565" s="9" t="n"/>
      <c r="E565" s="9" t="n"/>
      <c r="F565" s="9" t="n"/>
      <c r="G565" s="9" t="n"/>
    </row>
    <row r="566" ht="18.5" customHeight="1">
      <c r="A566" s="8" t="inlineStr">
        <is>
          <t>8.14.2</t>
        </is>
      </c>
      <c r="B566" s="17" t="inlineStr">
        <is>
          <t>Red sand stone - Exposed face machine cut and table rubbed with rough backing.</t>
        </is>
      </c>
      <c r="C566" s="9" t="n"/>
      <c r="D566" s="9" t="n"/>
      <c r="E566" s="9" t="n"/>
      <c r="F566" s="9" t="n"/>
      <c r="G566" s="9" t="n"/>
    </row>
    <row r="567" ht="18.5" customHeight="1">
      <c r="A567" s="18" t="inlineStr">
        <is>
          <t>8.14.2.5</t>
        </is>
      </c>
      <c r="B567" s="19" t="inlineStr">
        <is>
          <t>30 mm thick</t>
        </is>
      </c>
      <c r="C567" s="20" t="n"/>
      <c r="D567" s="20" t="n"/>
      <c r="E567" s="20" t="n"/>
      <c r="F567" s="20" t="n"/>
      <c r="G567" s="20" t="n"/>
    </row>
    <row r="568">
      <c r="A568" s="21" t="inlineStr">
        <is>
          <t>Details of cost for 1 sqm   |   Source: CivilDAR_2019_Vol_1.pdf, page 390</t>
        </is>
      </c>
    </row>
    <row r="569">
      <c r="A569" s="5" t="inlineStr">
        <is>
          <t>Code</t>
        </is>
      </c>
      <c r="B569" s="5" t="inlineStr">
        <is>
          <t>Description</t>
        </is>
      </c>
      <c r="C569" s="5" t="inlineStr">
        <is>
          <t>Unit</t>
        </is>
      </c>
      <c r="D569" s="5" t="inlineStr">
        <is>
          <t>Quantity</t>
        </is>
      </c>
      <c r="E569" s="5" t="inlineStr">
        <is>
          <t>Rate (Rs.)</t>
        </is>
      </c>
      <c r="F569" s="5" t="inlineStr">
        <is>
          <t>Amount (Rs.)</t>
        </is>
      </c>
      <c r="G569" s="5" t="inlineStr">
        <is>
          <t>Note</t>
        </is>
      </c>
    </row>
    <row r="570">
      <c r="A570" s="22" t="inlineStr">
        <is>
          <t>1160</t>
        </is>
      </c>
      <c r="B570" s="11" t="inlineStr">
        <is>
          <t>Red sand stone block</t>
        </is>
      </c>
      <c r="C570" s="22" t="inlineStr">
        <is>
          <t>10 cudm</t>
        </is>
      </c>
      <c r="D570" s="23" t="n">
        <v>3.999</v>
      </c>
      <c r="E570" s="24" t="n">
        <v>79</v>
      </c>
      <c r="F570" s="24">
        <f>D570*E570</f>
        <v/>
      </c>
      <c r="G570" s="22" t="n"/>
    </row>
    <row r="571">
      <c r="A571" s="22" t="inlineStr">
        <is>
          <t>2216</t>
        </is>
      </c>
      <c r="B571" s="11" t="inlineStr">
        <is>
          <t>Carriage of Stone blocks white &amp; red sand stone &amp; kota stone slab</t>
        </is>
      </c>
      <c r="C571" s="22" t="inlineStr">
        <is>
          <t>tonne</t>
        </is>
      </c>
      <c r="D571" s="23" t="n">
        <v>0.092</v>
      </c>
      <c r="E571" s="24" t="n">
        <v>92.23999999999999</v>
      </c>
      <c r="F571" s="24">
        <f>D571*E571</f>
        <v/>
      </c>
      <c r="G571" s="22" t="n"/>
    </row>
    <row r="572">
      <c r="A572" s="22" t="inlineStr">
        <is>
          <t>9999</t>
        </is>
      </c>
      <c r="B572" s="11" t="inlineStr">
        <is>
          <t>Extra for using white cement</t>
        </is>
      </c>
      <c r="C572" s="22" t="inlineStr">
        <is>
          <t>L.S.</t>
        </is>
      </c>
      <c r="D572" s="23" t="n">
        <v>26.91</v>
      </c>
      <c r="E572" s="24" t="n">
        <v>2</v>
      </c>
      <c r="F572" s="24">
        <f>D572*E572</f>
        <v/>
      </c>
      <c r="G572" s="22" t="n"/>
    </row>
    <row r="573">
      <c r="A573" s="22" t="inlineStr">
        <is>
          <t>0125</t>
        </is>
      </c>
      <c r="B573" s="11" t="inlineStr">
        <is>
          <t>Mason (for plain stone work) 2nd class)</t>
        </is>
      </c>
      <c r="C573" s="22" t="inlineStr">
        <is>
          <t>day</t>
        </is>
      </c>
      <c r="D573" s="23" t="n">
        <v>2.7</v>
      </c>
      <c r="E573" s="24" t="n">
        <v>679</v>
      </c>
      <c r="F573" s="24">
        <f>D573*E573</f>
        <v/>
      </c>
      <c r="G573" s="22" t="n"/>
    </row>
    <row r="574">
      <c r="A574" s="22" t="inlineStr">
        <is>
          <t>0102</t>
        </is>
      </c>
      <c r="B574" s="11" t="inlineStr">
        <is>
          <t>Blacksmith 1st class</t>
        </is>
      </c>
      <c r="C574" s="22" t="inlineStr">
        <is>
          <t>day</t>
        </is>
      </c>
      <c r="D574" s="23" t="n">
        <v>0.064</v>
      </c>
      <c r="E574" s="24" t="n">
        <v>738</v>
      </c>
      <c r="F574" s="24">
        <f>D574*E574</f>
        <v/>
      </c>
      <c r="G574" s="22" t="n"/>
    </row>
    <row r="575">
      <c r="A575" s="22" t="inlineStr">
        <is>
          <t>0114</t>
        </is>
      </c>
      <c r="B575" s="11" t="inlineStr">
        <is>
          <t>Beldar</t>
        </is>
      </c>
      <c r="C575" s="22" t="inlineStr">
        <is>
          <t>day</t>
        </is>
      </c>
      <c r="D575" s="23" t="n">
        <v>0.448</v>
      </c>
      <c r="E575" s="24" t="n">
        <v>558</v>
      </c>
      <c r="F575" s="24">
        <f>D575*E575</f>
        <v/>
      </c>
      <c r="G575" s="22" t="n"/>
    </row>
    <row r="576">
      <c r="A576" s="22" t="inlineStr">
        <is>
          <t>0115</t>
        </is>
      </c>
      <c r="B576" s="11" t="inlineStr">
        <is>
          <t>Coolie</t>
        </is>
      </c>
      <c r="C576" s="22" t="inlineStr">
        <is>
          <t>day</t>
        </is>
      </c>
      <c r="D576" s="23" t="n">
        <v>0.224</v>
      </c>
      <c r="E576" s="24" t="n">
        <v>558</v>
      </c>
      <c r="F576" s="24">
        <f>D576*E576</f>
        <v/>
      </c>
      <c r="G576" s="22" t="n"/>
    </row>
    <row r="577">
      <c r="A577" s="22" t="inlineStr">
        <is>
          <t>0100</t>
        </is>
      </c>
      <c r="B577" s="11" t="inlineStr">
        <is>
          <t>Bandhani</t>
        </is>
      </c>
      <c r="C577" s="22" t="inlineStr">
        <is>
          <t>day</t>
        </is>
      </c>
      <c r="D577" s="23" t="n">
        <v>0.448</v>
      </c>
      <c r="E577" s="24" t="n">
        <v>617</v>
      </c>
      <c r="F577" s="24">
        <f>D577*E577</f>
        <v/>
      </c>
      <c r="G577" s="22" t="n"/>
    </row>
    <row r="578">
      <c r="A578" s="22" t="inlineStr">
        <is>
          <t>0125</t>
        </is>
      </c>
      <c r="B578" s="11" t="inlineStr">
        <is>
          <t>Mason (for plain stone work) 2nd class)</t>
        </is>
      </c>
      <c r="C578" s="22" t="inlineStr">
        <is>
          <t>day</t>
        </is>
      </c>
      <c r="D578" s="23" t="n">
        <v>0.448</v>
      </c>
      <c r="E578" s="24" t="n">
        <v>679</v>
      </c>
      <c r="F578" s="24">
        <f>D578*E578</f>
        <v/>
      </c>
      <c r="G578" s="22" t="n"/>
    </row>
    <row r="579">
      <c r="A579" s="22" t="inlineStr">
        <is>
          <t>0100</t>
        </is>
      </c>
      <c r="B579" s="11" t="inlineStr">
        <is>
          <t>Bandhani</t>
        </is>
      </c>
      <c r="C579" s="22" t="inlineStr">
        <is>
          <t>day</t>
        </is>
      </c>
      <c r="D579" s="23" t="n">
        <v>0.336</v>
      </c>
      <c r="E579" s="24" t="n">
        <v>617</v>
      </c>
      <c r="F579" s="24">
        <f>D579*E579</f>
        <v/>
      </c>
      <c r="G579" s="22" t="n"/>
    </row>
    <row r="580">
      <c r="A580" s="22" t="inlineStr">
        <is>
          <t>0114</t>
        </is>
      </c>
      <c r="B580" s="11" t="inlineStr">
        <is>
          <t>Beldar</t>
        </is>
      </c>
      <c r="C580" s="22" t="inlineStr">
        <is>
          <t>day</t>
        </is>
      </c>
      <c r="D580" s="23" t="n">
        <v>0.336</v>
      </c>
      <c r="E580" s="24" t="n">
        <v>558</v>
      </c>
      <c r="F580" s="24">
        <f>D580*E580</f>
        <v/>
      </c>
      <c r="G580" s="22" t="n"/>
    </row>
    <row r="581">
      <c r="A581" s="22" t="inlineStr">
        <is>
          <t>0115</t>
        </is>
      </c>
      <c r="B581" s="11" t="inlineStr">
        <is>
          <t>Coolie</t>
        </is>
      </c>
      <c r="C581" s="22" t="inlineStr">
        <is>
          <t>day</t>
        </is>
      </c>
      <c r="D581" s="23" t="n">
        <v>0.336</v>
      </c>
      <c r="E581" s="24" t="n">
        <v>558</v>
      </c>
      <c r="F581" s="24">
        <f>D581*E581</f>
        <v/>
      </c>
      <c r="G581" s="22" t="n"/>
    </row>
    <row r="582">
      <c r="A582" s="22" t="inlineStr">
        <is>
          <t>0101</t>
        </is>
      </c>
      <c r="B582" s="11" t="inlineStr">
        <is>
          <t>Bhisti</t>
        </is>
      </c>
      <c r="C582" s="22" t="inlineStr">
        <is>
          <t>day</t>
        </is>
      </c>
      <c r="D582" s="23" t="n">
        <v>0.336</v>
      </c>
      <c r="E582" s="24" t="n">
        <v>617</v>
      </c>
      <c r="F582" s="24">
        <f>D582*E582</f>
        <v/>
      </c>
      <c r="G582" s="22" t="n"/>
    </row>
    <row r="583">
      <c r="A583" s="22" t="inlineStr">
        <is>
          <t>1237</t>
        </is>
      </c>
      <c r="B583" s="11" t="inlineStr">
        <is>
          <t>Cutting marble or sand stone slab upto 50 mm thick by mechanical device</t>
        </is>
      </c>
      <c r="C583" s="22" t="inlineStr">
        <is>
          <t>metre</t>
        </is>
      </c>
      <c r="D583" s="23" t="n">
        <v>4</v>
      </c>
      <c r="E583" s="24" t="n">
        <v>10</v>
      </c>
      <c r="F583" s="24">
        <f>D583*E583</f>
        <v/>
      </c>
      <c r="G583" s="22" t="n"/>
    </row>
    <row r="584">
      <c r="A584" s="22" t="inlineStr">
        <is>
          <t>9999</t>
        </is>
      </c>
      <c r="B584" s="11" t="inlineStr">
        <is>
          <t>Scaffolding</t>
        </is>
      </c>
      <c r="C584" s="22" t="inlineStr">
        <is>
          <t>L.S.</t>
        </is>
      </c>
      <c r="D584" s="23" t="n">
        <v>19.76</v>
      </c>
      <c r="E584" s="24" t="n">
        <v>2</v>
      </c>
      <c r="F584" s="24">
        <f>D584*E584</f>
        <v/>
      </c>
      <c r="G584" s="22" t="n"/>
    </row>
    <row r="585">
      <c r="A585" s="7" t="inlineStr">
        <is>
          <t>3.8</t>
        </is>
      </c>
      <c r="B585" s="11" t="inlineStr">
        <is>
          <t>Rate as per item 3.8 - Cement mortar 1:3 (1 cement : 3 coarse sand)</t>
        </is>
      </c>
      <c r="C585" s="22" t="inlineStr">
        <is>
          <t>cum</t>
        </is>
      </c>
      <c r="D585" s="23" t="n">
        <v>0.018</v>
      </c>
      <c r="E585" s="24" t="n">
        <v>4664.55</v>
      </c>
      <c r="F585" s="24">
        <f>D585*E585</f>
        <v/>
      </c>
      <c r="G585" s="22" t="n"/>
    </row>
    <row r="586">
      <c r="A586" s="8" t="inlineStr">
        <is>
          <t>Calculated W - SUM of the Amount column above</t>
        </is>
      </c>
      <c r="B586" s="9" t="n"/>
      <c r="C586" s="9" t="n"/>
      <c r="D586" s="9" t="n"/>
      <c r="E586" s="9" t="n"/>
      <c r="F586" s="25">
        <f>SUM(F570:F585)</f>
        <v/>
      </c>
      <c r="G586" s="9" t="n"/>
    </row>
    <row r="587">
      <c r="A587" s="26" t="inlineStr">
        <is>
          <t>W as printed in the DAR</t>
        </is>
      </c>
      <c r="B587" s="22" t="n"/>
      <c r="C587" s="22" t="n"/>
      <c r="D587" s="22" t="n"/>
      <c r="E587" s="22" t="n"/>
      <c r="F587" s="27" t="n">
        <v>4167.42</v>
      </c>
      <c r="G587" s="22" t="n"/>
    </row>
    <row r="588">
      <c r="A588" s="26" t="inlineStr">
        <is>
          <t>Difference (calculated - printed)</t>
        </is>
      </c>
      <c r="B588" s="22" t="n"/>
      <c r="C588" s="22" t="n"/>
      <c r="D588" s="22" t="n"/>
      <c r="E588" s="22" t="n"/>
      <c r="F588" s="27">
        <f>F586-F587</f>
        <v/>
      </c>
      <c r="G588" s="22" t="n"/>
    </row>
    <row r="589">
      <c r="A589" s="29" t="inlineStr">
        <is>
          <t>SAY (Rs.) - final DAR rate as printed (fixed value, not computed)</t>
        </is>
      </c>
      <c r="B589" s="30" t="n"/>
      <c r="C589" s="30" t="n"/>
      <c r="D589" s="30" t="n"/>
      <c r="E589" s="30" t="n"/>
      <c r="F589" s="31" t="n">
        <v>5575.75</v>
      </c>
      <c r="G589" s="30" t="n"/>
    </row>
    <row r="591" ht="62" customHeight="1">
      <c r="A591" s="8" t="inlineStr">
        <is>
          <t>8.14</t>
        </is>
      </c>
      <c r="B591"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591" s="9" t="n"/>
      <c r="D591" s="9" t="n"/>
      <c r="E591" s="9" t="n"/>
      <c r="F591" s="9" t="n"/>
      <c r="G591" s="9" t="n"/>
    </row>
    <row r="592" ht="18.5" customHeight="1">
      <c r="A592" s="8" t="inlineStr">
        <is>
          <t>8.14.3</t>
        </is>
      </c>
      <c r="B592" s="17" t="inlineStr">
        <is>
          <t>White sand stone - exposed face fine dressed with rough backing .</t>
        </is>
      </c>
      <c r="C592" s="9" t="n"/>
      <c r="D592" s="9" t="n"/>
      <c r="E592" s="9" t="n"/>
      <c r="F592" s="9" t="n"/>
      <c r="G592" s="9" t="n"/>
    </row>
    <row r="593" ht="18.5" customHeight="1">
      <c r="A593" s="18" t="inlineStr">
        <is>
          <t>8.14.3.1</t>
        </is>
      </c>
      <c r="B593" s="19" t="inlineStr">
        <is>
          <t>70 mm thick</t>
        </is>
      </c>
      <c r="C593" s="20" t="n"/>
      <c r="D593" s="20" t="n"/>
      <c r="E593" s="20" t="n"/>
      <c r="F593" s="20" t="n"/>
      <c r="G593" s="20" t="n"/>
    </row>
    <row r="594">
      <c r="A594" s="21" t="inlineStr">
        <is>
          <t>Details of cost for 1 sqm   |   Source: CivilDAR_2019_Vol_1.pdf, page 391</t>
        </is>
      </c>
    </row>
    <row r="595">
      <c r="A595" s="5" t="inlineStr">
        <is>
          <t>Code</t>
        </is>
      </c>
      <c r="B595" s="5" t="inlineStr">
        <is>
          <t>Description</t>
        </is>
      </c>
      <c r="C595" s="5" t="inlineStr">
        <is>
          <t>Unit</t>
        </is>
      </c>
      <c r="D595" s="5" t="inlineStr">
        <is>
          <t>Quantity</t>
        </is>
      </c>
      <c r="E595" s="5" t="inlineStr">
        <is>
          <t>Rate (Rs.)</t>
        </is>
      </c>
      <c r="F595" s="5" t="inlineStr">
        <is>
          <t>Amount (Rs.)</t>
        </is>
      </c>
      <c r="G595" s="5" t="inlineStr">
        <is>
          <t>Note</t>
        </is>
      </c>
    </row>
    <row r="596">
      <c r="A596" s="22" t="inlineStr">
        <is>
          <t>1161</t>
        </is>
      </c>
      <c r="B596" s="11" t="inlineStr">
        <is>
          <t>White sand stone block</t>
        </is>
      </c>
      <c r="C596" s="22" t="inlineStr">
        <is>
          <t>10 cudm</t>
        </is>
      </c>
      <c r="D596" s="23" t="n">
        <v>9.333</v>
      </c>
      <c r="E596" s="24" t="n">
        <v>205</v>
      </c>
      <c r="F596" s="24">
        <f>D596*E596</f>
        <v/>
      </c>
      <c r="G596" s="22" t="n"/>
    </row>
    <row r="597">
      <c r="A597" s="22" t="inlineStr">
        <is>
          <t>2216</t>
        </is>
      </c>
      <c r="B597" s="11" t="inlineStr">
        <is>
          <t>Carriage of Stone blocks white &amp; red sand stone &amp; kota stone slab</t>
        </is>
      </c>
      <c r="C597" s="22" t="inlineStr">
        <is>
          <t>tonne</t>
        </is>
      </c>
      <c r="D597" s="23" t="n">
        <v>0.215</v>
      </c>
      <c r="E597" s="24" t="n">
        <v>92.23999999999999</v>
      </c>
      <c r="F597" s="24">
        <f>D597*E597</f>
        <v/>
      </c>
      <c r="G597" s="22" t="n"/>
    </row>
    <row r="598">
      <c r="A598" s="22" t="inlineStr">
        <is>
          <t>9999</t>
        </is>
      </c>
      <c r="B598" s="11" t="inlineStr">
        <is>
          <t>Extra for using white cement</t>
        </is>
      </c>
      <c r="C598" s="22" t="inlineStr">
        <is>
          <t>L.S.</t>
        </is>
      </c>
      <c r="D598" s="23" t="n">
        <v>26.91</v>
      </c>
      <c r="E598" s="24" t="n">
        <v>2</v>
      </c>
      <c r="F598" s="24">
        <f>D598*E598</f>
        <v/>
      </c>
      <c r="G598" s="22" t="n"/>
    </row>
    <row r="599">
      <c r="A599" s="22" t="inlineStr">
        <is>
          <t>0125</t>
        </is>
      </c>
      <c r="B599" s="11" t="inlineStr">
        <is>
          <t>Mason (for plain stone work) 2nd class)</t>
        </is>
      </c>
      <c r="C599" s="22" t="inlineStr">
        <is>
          <t>day</t>
        </is>
      </c>
      <c r="D599" s="23" t="n">
        <v>1.35</v>
      </c>
      <c r="E599" s="24" t="n">
        <v>679</v>
      </c>
      <c r="F599" s="24">
        <f>D599*E599</f>
        <v/>
      </c>
      <c r="G599" s="22" t="n"/>
    </row>
    <row r="600">
      <c r="A600" s="22" t="inlineStr">
        <is>
          <t>0102</t>
        </is>
      </c>
      <c r="B600" s="11" t="inlineStr">
        <is>
          <t>Blacksmith 1st class</t>
        </is>
      </c>
      <c r="C600" s="22" t="inlineStr">
        <is>
          <t>day</t>
        </is>
      </c>
      <c r="D600" s="23" t="n">
        <v>0.032</v>
      </c>
      <c r="E600" s="24" t="n">
        <v>738</v>
      </c>
      <c r="F600" s="24">
        <f>D600*E600</f>
        <v/>
      </c>
      <c r="G600" s="22" t="n"/>
    </row>
    <row r="601">
      <c r="A601" s="22" t="inlineStr">
        <is>
          <t>0114</t>
        </is>
      </c>
      <c r="B601" s="11" t="inlineStr">
        <is>
          <t>Beldar</t>
        </is>
      </c>
      <c r="C601" s="22" t="inlineStr">
        <is>
          <t>day</t>
        </is>
      </c>
      <c r="D601" s="23" t="n">
        <v>0.224</v>
      </c>
      <c r="E601" s="24" t="n">
        <v>558</v>
      </c>
      <c r="F601" s="24">
        <f>D601*E601</f>
        <v/>
      </c>
      <c r="G601" s="22" t="n"/>
    </row>
    <row r="602">
      <c r="A602" s="22" t="inlineStr">
        <is>
          <t>0115</t>
        </is>
      </c>
      <c r="B602" s="11" t="inlineStr">
        <is>
          <t>Coolie</t>
        </is>
      </c>
      <c r="C602" s="22" t="inlineStr">
        <is>
          <t>Day</t>
        </is>
      </c>
      <c r="D602" s="23" t="n">
        <v>0.112</v>
      </c>
      <c r="E602" s="24" t="n">
        <v>558</v>
      </c>
      <c r="F602" s="24">
        <f>D602*E602</f>
        <v/>
      </c>
      <c r="G602" s="22" t="n"/>
    </row>
    <row r="603">
      <c r="A603" s="22" t="inlineStr">
        <is>
          <t>0100</t>
        </is>
      </c>
      <c r="B603" s="11" t="inlineStr">
        <is>
          <t>Bandhani</t>
        </is>
      </c>
      <c r="C603" s="22" t="inlineStr">
        <is>
          <t>day</t>
        </is>
      </c>
      <c r="D603" s="23" t="n">
        <v>0.224</v>
      </c>
      <c r="E603" s="24" t="n">
        <v>617</v>
      </c>
      <c r="F603" s="24">
        <f>D603*E603</f>
        <v/>
      </c>
      <c r="G603" s="22" t="n"/>
    </row>
    <row r="604">
      <c r="A604" s="22" t="inlineStr">
        <is>
          <t>0125</t>
        </is>
      </c>
      <c r="B604" s="11" t="inlineStr">
        <is>
          <t>Mason (for plain stone work) 2nd class)</t>
        </is>
      </c>
      <c r="C604" s="22" t="inlineStr">
        <is>
          <t>day</t>
        </is>
      </c>
      <c r="D604" s="23" t="n">
        <v>0.448</v>
      </c>
      <c r="E604" s="24" t="n">
        <v>679</v>
      </c>
      <c r="F604" s="24">
        <f>D604*E604</f>
        <v/>
      </c>
      <c r="G604" s="22" t="n"/>
    </row>
    <row r="605">
      <c r="A605" s="22" t="inlineStr">
        <is>
          <t>0100</t>
        </is>
      </c>
      <c r="B605" s="11" t="inlineStr">
        <is>
          <t>Bandhani</t>
        </is>
      </c>
      <c r="C605" s="22" t="inlineStr">
        <is>
          <t>day</t>
        </is>
      </c>
      <c r="D605" s="23" t="n">
        <v>0.336</v>
      </c>
      <c r="E605" s="24" t="n">
        <v>617</v>
      </c>
      <c r="F605" s="24">
        <f>D605*E605</f>
        <v/>
      </c>
      <c r="G605" s="22" t="n"/>
    </row>
    <row r="606">
      <c r="A606" s="22" t="inlineStr">
        <is>
          <t>0114</t>
        </is>
      </c>
      <c r="B606" s="11" t="inlineStr">
        <is>
          <t>Beldar</t>
        </is>
      </c>
      <c r="C606" s="22" t="inlineStr">
        <is>
          <t>day</t>
        </is>
      </c>
      <c r="D606" s="23" t="n">
        <v>0.336</v>
      </c>
      <c r="E606" s="24" t="n">
        <v>558</v>
      </c>
      <c r="F606" s="24">
        <f>D606*E606</f>
        <v/>
      </c>
      <c r="G606" s="22" t="n"/>
    </row>
    <row r="607">
      <c r="A607" s="22" t="inlineStr">
        <is>
          <t>0115</t>
        </is>
      </c>
      <c r="B607" s="11" t="inlineStr">
        <is>
          <t>Coolie</t>
        </is>
      </c>
      <c r="C607" s="22" t="inlineStr">
        <is>
          <t>day</t>
        </is>
      </c>
      <c r="D607" s="23" t="n">
        <v>0.336</v>
      </c>
      <c r="E607" s="24" t="n">
        <v>558</v>
      </c>
      <c r="F607" s="24">
        <f>D607*E607</f>
        <v/>
      </c>
      <c r="G607" s="22" t="n"/>
    </row>
    <row r="608">
      <c r="A608" s="22" t="inlineStr">
        <is>
          <t>0101</t>
        </is>
      </c>
      <c r="B608" s="11" t="inlineStr">
        <is>
          <t>Bhisti</t>
        </is>
      </c>
      <c r="C608" s="22" t="inlineStr">
        <is>
          <t>day</t>
        </is>
      </c>
      <c r="D608" s="23" t="n">
        <v>0.336</v>
      </c>
      <c r="E608" s="24" t="n">
        <v>617</v>
      </c>
      <c r="F608" s="24">
        <f>D608*E608</f>
        <v/>
      </c>
      <c r="G608" s="22" t="n"/>
    </row>
    <row r="609">
      <c r="A609" s="22" t="inlineStr">
        <is>
          <t>1237</t>
        </is>
      </c>
      <c r="B609" s="11" t="inlineStr">
        <is>
          <t>Cutting marble or sand stone slab upto 50 mm thick by mechanical device</t>
        </is>
      </c>
      <c r="C609" s="22" t="inlineStr">
        <is>
          <t>metre</t>
        </is>
      </c>
      <c r="D609" s="23" t="n">
        <v>4</v>
      </c>
      <c r="E609" s="24" t="n">
        <v>10</v>
      </c>
      <c r="F609" s="24">
        <f>D609*E609</f>
        <v/>
      </c>
      <c r="G609" s="22" t="n"/>
    </row>
    <row r="610">
      <c r="A610" s="22" t="inlineStr">
        <is>
          <t>9999</t>
        </is>
      </c>
      <c r="B610" s="11" t="inlineStr">
        <is>
          <t>Scaffolding</t>
        </is>
      </c>
      <c r="C610" s="22" t="inlineStr">
        <is>
          <t>L.S.</t>
        </is>
      </c>
      <c r="D610" s="23" t="n">
        <v>19.76</v>
      </c>
      <c r="E610" s="24" t="n">
        <v>2</v>
      </c>
      <c r="F610" s="24">
        <f>D610*E610</f>
        <v/>
      </c>
      <c r="G610" s="22" t="n"/>
    </row>
    <row r="611">
      <c r="A611" s="7" t="inlineStr">
        <is>
          <t>3.8</t>
        </is>
      </c>
      <c r="B611" s="11" t="inlineStr">
        <is>
          <t>Rate as per item 3.8 - Cement mortar 1:3 (1 cement : 3 coarse sand)</t>
        </is>
      </c>
      <c r="C611" s="22" t="inlineStr">
        <is>
          <t>cum</t>
        </is>
      </c>
      <c r="D611" s="23" t="n">
        <v>0.018</v>
      </c>
      <c r="E611" s="24" t="n">
        <v>4664.55</v>
      </c>
      <c r="F611" s="24">
        <f>D611*E611</f>
        <v/>
      </c>
      <c r="G611" s="22" t="n"/>
    </row>
    <row r="612">
      <c r="A612" s="8" t="inlineStr">
        <is>
          <t>Calculated W - SUM of the Amount column above</t>
        </is>
      </c>
      <c r="B612" s="9" t="n"/>
      <c r="C612" s="9" t="n"/>
      <c r="D612" s="9" t="n"/>
      <c r="E612" s="9" t="n"/>
      <c r="F612" s="25">
        <f>SUM(F596:F611)</f>
        <v/>
      </c>
      <c r="G612" s="9" t="n"/>
    </row>
    <row r="613">
      <c r="A613" s="26" t="inlineStr">
        <is>
          <t>W as printed in the DAR</t>
        </is>
      </c>
      <c r="B613" s="22" t="n"/>
      <c r="C613" s="22" t="n"/>
      <c r="D613" s="22" t="n"/>
      <c r="E613" s="22" t="n"/>
      <c r="F613" s="27" t="n">
        <v>4510.15</v>
      </c>
      <c r="G613" s="22" t="n"/>
    </row>
    <row r="614">
      <c r="A614" s="26" t="inlineStr">
        <is>
          <t>Difference (calculated - printed)</t>
        </is>
      </c>
      <c r="B614" s="22" t="n"/>
      <c r="C614" s="22" t="n"/>
      <c r="D614" s="22" t="n"/>
      <c r="E614" s="22" t="n"/>
      <c r="F614" s="27">
        <f>F612-F613</f>
        <v/>
      </c>
      <c r="G614" s="22" t="n"/>
    </row>
    <row r="615">
      <c r="A615" s="29" t="inlineStr">
        <is>
          <t>SAY (Rs.) - final DAR rate as printed (fixed value, not computed)</t>
        </is>
      </c>
      <c r="B615" s="30" t="n"/>
      <c r="C615" s="30" t="n"/>
      <c r="D615" s="30" t="n"/>
      <c r="E615" s="30" t="n"/>
      <c r="F615" s="31" t="n">
        <v>6034.3</v>
      </c>
      <c r="G615" s="30" t="n"/>
    </row>
    <row r="617" ht="62" customHeight="1">
      <c r="A617" s="8" t="inlineStr">
        <is>
          <t>8.14</t>
        </is>
      </c>
      <c r="B617"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617" s="9" t="n"/>
      <c r="D617" s="9" t="n"/>
      <c r="E617" s="9" t="n"/>
      <c r="F617" s="9" t="n"/>
      <c r="G617" s="9" t="n"/>
    </row>
    <row r="618" ht="18.5" customHeight="1">
      <c r="A618" s="8" t="inlineStr">
        <is>
          <t>8.14.3</t>
        </is>
      </c>
      <c r="B618" s="17" t="inlineStr">
        <is>
          <t>White sand stone - exposed face fine dressed with rough backing .</t>
        </is>
      </c>
      <c r="C618" s="9" t="n"/>
      <c r="D618" s="9" t="n"/>
      <c r="E618" s="9" t="n"/>
      <c r="F618" s="9" t="n"/>
      <c r="G618" s="9" t="n"/>
    </row>
    <row r="619" ht="18.5" customHeight="1">
      <c r="A619" s="18" t="inlineStr">
        <is>
          <t>8.14.3.2</t>
        </is>
      </c>
      <c r="B619" s="19" t="inlineStr">
        <is>
          <t>60 mm thick</t>
        </is>
      </c>
      <c r="C619" s="20" t="n"/>
      <c r="D619" s="20" t="n"/>
      <c r="E619" s="20" t="n"/>
      <c r="F619" s="20" t="n"/>
      <c r="G619" s="20" t="n"/>
    </row>
    <row r="620">
      <c r="A620" s="21" t="inlineStr">
        <is>
          <t>Details of cost for 1 sqm   |   Source: CivilDAR_2019_Vol_1.pdf, page 392</t>
        </is>
      </c>
    </row>
    <row r="621">
      <c r="A621" s="5" t="inlineStr">
        <is>
          <t>Code</t>
        </is>
      </c>
      <c r="B621" s="5" t="inlineStr">
        <is>
          <t>Description</t>
        </is>
      </c>
      <c r="C621" s="5" t="inlineStr">
        <is>
          <t>Unit</t>
        </is>
      </c>
      <c r="D621" s="5" t="inlineStr">
        <is>
          <t>Quantity</t>
        </is>
      </c>
      <c r="E621" s="5" t="inlineStr">
        <is>
          <t>Rate (Rs.)</t>
        </is>
      </c>
      <c r="F621" s="5" t="inlineStr">
        <is>
          <t>Amount (Rs.)</t>
        </is>
      </c>
      <c r="G621" s="5" t="inlineStr">
        <is>
          <t>Note</t>
        </is>
      </c>
    </row>
    <row r="622">
      <c r="A622" s="22" t="inlineStr">
        <is>
          <t>1161</t>
        </is>
      </c>
      <c r="B622" s="11" t="inlineStr">
        <is>
          <t>White sand stone block</t>
        </is>
      </c>
      <c r="C622" s="22" t="inlineStr">
        <is>
          <t>10 cudm</t>
        </is>
      </c>
      <c r="D622" s="23" t="n">
        <v>8</v>
      </c>
      <c r="E622" s="24" t="n">
        <v>205</v>
      </c>
      <c r="F622" s="24">
        <f>D622*E622</f>
        <v/>
      </c>
      <c r="G622" s="22" t="n"/>
    </row>
    <row r="623">
      <c r="A623" s="22" t="inlineStr">
        <is>
          <t>2216</t>
        </is>
      </c>
      <c r="B623" s="11" t="inlineStr">
        <is>
          <t>Carriage of Stone blocks white &amp; red sand stone &amp; kota stone slab @ 2.30kg/cudm</t>
        </is>
      </c>
      <c r="C623" s="22" t="inlineStr">
        <is>
          <t>tonne</t>
        </is>
      </c>
      <c r="D623" s="23" t="n">
        <v>0.184</v>
      </c>
      <c r="E623" s="24" t="n">
        <v>92.23999999999999</v>
      </c>
      <c r="F623" s="24">
        <f>D623*E623</f>
        <v/>
      </c>
      <c r="G623" s="22" t="n"/>
    </row>
    <row r="624">
      <c r="A624" s="22" t="inlineStr">
        <is>
          <t>9999</t>
        </is>
      </c>
      <c r="B624" s="11" t="inlineStr">
        <is>
          <t>Extra for using white cement</t>
        </is>
      </c>
      <c r="C624" s="22" t="inlineStr">
        <is>
          <t>L.S.</t>
        </is>
      </c>
      <c r="D624" s="23" t="n">
        <v>26.91</v>
      </c>
      <c r="E624" s="24" t="n">
        <v>2</v>
      </c>
      <c r="F624" s="24">
        <f>D624*E624</f>
        <v/>
      </c>
      <c r="G624" s="22" t="n"/>
    </row>
    <row r="625">
      <c r="A625" s="22" t="inlineStr">
        <is>
          <t>0125</t>
        </is>
      </c>
      <c r="B625" s="11" t="inlineStr">
        <is>
          <t>Mason (for plain stone work) 2nd class)</t>
        </is>
      </c>
      <c r="C625" s="22" t="inlineStr">
        <is>
          <t>day</t>
        </is>
      </c>
      <c r="D625" s="23" t="n">
        <v>1.35</v>
      </c>
      <c r="E625" s="24" t="n">
        <v>679</v>
      </c>
      <c r="F625" s="24">
        <f>D625*E625</f>
        <v/>
      </c>
      <c r="G625" s="22" t="n"/>
    </row>
    <row r="626">
      <c r="A626" s="22" t="inlineStr">
        <is>
          <t>0102</t>
        </is>
      </c>
      <c r="B626" s="11" t="inlineStr">
        <is>
          <t>Blacksmith 1st class</t>
        </is>
      </c>
      <c r="C626" s="22" t="inlineStr">
        <is>
          <t>day</t>
        </is>
      </c>
      <c r="D626" s="23" t="n">
        <v>0.032</v>
      </c>
      <c r="E626" s="24" t="n">
        <v>738</v>
      </c>
      <c r="F626" s="24">
        <f>D626*E626</f>
        <v/>
      </c>
      <c r="G626" s="22" t="n"/>
    </row>
    <row r="627">
      <c r="A627" s="22" t="inlineStr">
        <is>
          <t>0114</t>
        </is>
      </c>
      <c r="B627" s="11" t="inlineStr">
        <is>
          <t>Beldar</t>
        </is>
      </c>
      <c r="C627" s="22" t="inlineStr">
        <is>
          <t>day</t>
        </is>
      </c>
      <c r="D627" s="23" t="n">
        <v>0.224</v>
      </c>
      <c r="E627" s="24" t="n">
        <v>558</v>
      </c>
      <c r="F627" s="24">
        <f>D627*E627</f>
        <v/>
      </c>
      <c r="G627" s="22" t="n"/>
    </row>
    <row r="628">
      <c r="A628" s="22" t="inlineStr">
        <is>
          <t>0115</t>
        </is>
      </c>
      <c r="B628" s="11" t="inlineStr">
        <is>
          <t>Coolie</t>
        </is>
      </c>
      <c r="C628" s="22" t="inlineStr">
        <is>
          <t>day</t>
        </is>
      </c>
      <c r="D628" s="23" t="n">
        <v>0.112</v>
      </c>
      <c r="E628" s="24" t="n">
        <v>558</v>
      </c>
      <c r="F628" s="24">
        <f>D628*E628</f>
        <v/>
      </c>
      <c r="G628" s="22" t="n"/>
    </row>
    <row r="629">
      <c r="A629" s="22" t="inlineStr">
        <is>
          <t>0100</t>
        </is>
      </c>
      <c r="B629" s="11" t="inlineStr">
        <is>
          <t>Bandhani</t>
        </is>
      </c>
      <c r="C629" s="22" t="inlineStr">
        <is>
          <t>day</t>
        </is>
      </c>
      <c r="D629" s="23" t="n">
        <v>0.224</v>
      </c>
      <c r="E629" s="24" t="n">
        <v>617</v>
      </c>
      <c r="F629" s="24">
        <f>D629*E629</f>
        <v/>
      </c>
      <c r="G629" s="22" t="n"/>
    </row>
    <row r="630">
      <c r="A630" s="22" t="inlineStr">
        <is>
          <t>0125</t>
        </is>
      </c>
      <c r="B630" s="11" t="inlineStr">
        <is>
          <t>Mason (for plain stone work) 2nd class)</t>
        </is>
      </c>
      <c r="C630" s="22" t="inlineStr">
        <is>
          <t>day</t>
        </is>
      </c>
      <c r="D630" s="23" t="n">
        <v>0.448</v>
      </c>
      <c r="E630" s="24" t="n">
        <v>679</v>
      </c>
      <c r="F630" s="24">
        <f>D630*E630</f>
        <v/>
      </c>
      <c r="G630" s="22" t="n"/>
    </row>
    <row r="631">
      <c r="A631" s="22" t="inlineStr">
        <is>
          <t>0100</t>
        </is>
      </c>
      <c r="B631" s="11" t="inlineStr">
        <is>
          <t>Bandhani</t>
        </is>
      </c>
      <c r="C631" s="22" t="inlineStr">
        <is>
          <t>day</t>
        </is>
      </c>
      <c r="D631" s="23" t="n">
        <v>0.336</v>
      </c>
      <c r="E631" s="24" t="n">
        <v>617</v>
      </c>
      <c r="F631" s="24">
        <f>D631*E631</f>
        <v/>
      </c>
      <c r="G631" s="22" t="n"/>
    </row>
    <row r="632">
      <c r="A632" s="22" t="inlineStr">
        <is>
          <t>0114</t>
        </is>
      </c>
      <c r="B632" s="11" t="inlineStr">
        <is>
          <t>Beldar</t>
        </is>
      </c>
      <c r="C632" s="22" t="inlineStr">
        <is>
          <t>day</t>
        </is>
      </c>
      <c r="D632" s="23" t="n">
        <v>0.336</v>
      </c>
      <c r="E632" s="24" t="n">
        <v>558</v>
      </c>
      <c r="F632" s="24">
        <f>D632*E632</f>
        <v/>
      </c>
      <c r="G632" s="22" t="n"/>
    </row>
    <row r="633">
      <c r="A633" s="22" t="inlineStr">
        <is>
          <t>0115</t>
        </is>
      </c>
      <c r="B633" s="11" t="inlineStr">
        <is>
          <t>Coolie</t>
        </is>
      </c>
      <c r="C633" s="22" t="inlineStr">
        <is>
          <t>day</t>
        </is>
      </c>
      <c r="D633" s="23" t="n">
        <v>0.336</v>
      </c>
      <c r="E633" s="24" t="n">
        <v>558</v>
      </c>
      <c r="F633" s="24">
        <f>D633*E633</f>
        <v/>
      </c>
      <c r="G633" s="22" t="n"/>
    </row>
    <row r="634">
      <c r="A634" s="22" t="inlineStr">
        <is>
          <t>0101</t>
        </is>
      </c>
      <c r="B634" s="11" t="inlineStr">
        <is>
          <t>Bhisti</t>
        </is>
      </c>
      <c r="C634" s="22" t="inlineStr">
        <is>
          <t>day</t>
        </is>
      </c>
      <c r="D634" s="23" t="n">
        <v>0.336</v>
      </c>
      <c r="E634" s="24" t="n">
        <v>617</v>
      </c>
      <c r="F634" s="24">
        <f>D634*E634</f>
        <v/>
      </c>
      <c r="G634" s="22" t="n"/>
    </row>
    <row r="635">
      <c r="A635" s="22" t="inlineStr">
        <is>
          <t>1237</t>
        </is>
      </c>
      <c r="B635" s="11" t="inlineStr">
        <is>
          <t>Cutting marble or sand stone slab upto 50 mm thick by mechanical device</t>
        </is>
      </c>
      <c r="C635" s="22" t="inlineStr">
        <is>
          <t>metre</t>
        </is>
      </c>
      <c r="D635" s="23" t="n">
        <v>4</v>
      </c>
      <c r="E635" s="24" t="n">
        <v>10</v>
      </c>
      <c r="F635" s="24">
        <f>D635*E635</f>
        <v/>
      </c>
      <c r="G635" s="22" t="n"/>
    </row>
    <row r="636">
      <c r="A636" s="22" t="inlineStr">
        <is>
          <t>9999</t>
        </is>
      </c>
      <c r="B636" s="11" t="inlineStr">
        <is>
          <t>Scaffolding</t>
        </is>
      </c>
      <c r="C636" s="22" t="inlineStr">
        <is>
          <t>L.S.</t>
        </is>
      </c>
      <c r="D636" s="23" t="n">
        <v>19.76</v>
      </c>
      <c r="E636" s="24" t="n">
        <v>2</v>
      </c>
      <c r="F636" s="24">
        <f>D636*E636</f>
        <v/>
      </c>
      <c r="G636" s="22" t="n"/>
    </row>
    <row r="637">
      <c r="A637" s="7" t="inlineStr">
        <is>
          <t>3.8</t>
        </is>
      </c>
      <c r="B637" s="11" t="inlineStr">
        <is>
          <t>Rate as per item 3.8 - Cement mortar 1:3 (1 cement : 3 coarse sand)</t>
        </is>
      </c>
      <c r="C637" s="22" t="inlineStr">
        <is>
          <t>cum</t>
        </is>
      </c>
      <c r="D637" s="23" t="n">
        <v>0.018</v>
      </c>
      <c r="E637" s="24" t="n">
        <v>4664.55</v>
      </c>
      <c r="F637" s="24">
        <f>D637*E637</f>
        <v/>
      </c>
      <c r="G637" s="22" t="n"/>
    </row>
    <row r="638">
      <c r="A638" s="8" t="inlineStr">
        <is>
          <t>Calculated W - SUM of the Amount column above</t>
        </is>
      </c>
      <c r="B638" s="9" t="n"/>
      <c r="C638" s="9" t="n"/>
      <c r="D638" s="9" t="n"/>
      <c r="E638" s="9" t="n"/>
      <c r="F638" s="25">
        <f>SUM(F622:F637)</f>
        <v/>
      </c>
      <c r="G638" s="9" t="n"/>
    </row>
    <row r="639">
      <c r="A639" s="26" t="inlineStr">
        <is>
          <t>W as printed in the DAR</t>
        </is>
      </c>
      <c r="B639" s="22" t="n"/>
      <c r="C639" s="22" t="n"/>
      <c r="D639" s="22" t="n"/>
      <c r="E639" s="22" t="n"/>
      <c r="F639" s="27" t="n">
        <v>4234.03</v>
      </c>
      <c r="G639" s="22" t="n"/>
    </row>
    <row r="640">
      <c r="A640" s="26" t="inlineStr">
        <is>
          <t>Difference (calculated - printed)</t>
        </is>
      </c>
      <c r="B640" s="22" t="n"/>
      <c r="C640" s="22" t="n"/>
      <c r="D640" s="22" t="n"/>
      <c r="E640" s="22" t="n"/>
      <c r="F640" s="27">
        <f>F638-F639</f>
        <v/>
      </c>
      <c r="G640" s="22" t="n"/>
    </row>
    <row r="641">
      <c r="A641" s="29" t="inlineStr">
        <is>
          <t>SAY (Rs.) - final DAR rate as printed (fixed value, not computed)</t>
        </is>
      </c>
      <c r="B641" s="30" t="n"/>
      <c r="C641" s="30" t="n"/>
      <c r="D641" s="30" t="n"/>
      <c r="E641" s="30" t="n"/>
      <c r="F641" s="31" t="n">
        <v>5664.85</v>
      </c>
      <c r="G641" s="30" t="n"/>
    </row>
    <row r="643" ht="62" customHeight="1">
      <c r="A643" s="8" t="inlineStr">
        <is>
          <t>8.14</t>
        </is>
      </c>
      <c r="B643"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643" s="9" t="n"/>
      <c r="D643" s="9" t="n"/>
      <c r="E643" s="9" t="n"/>
      <c r="F643" s="9" t="n"/>
      <c r="G643" s="9" t="n"/>
    </row>
    <row r="644" ht="18.5" customHeight="1">
      <c r="A644" s="8" t="inlineStr">
        <is>
          <t>8.14.3</t>
        </is>
      </c>
      <c r="B644" s="17" t="inlineStr">
        <is>
          <t>White sand stone - exposed face fine dressed with rough backing .</t>
        </is>
      </c>
      <c r="C644" s="9" t="n"/>
      <c r="D644" s="9" t="n"/>
      <c r="E644" s="9" t="n"/>
      <c r="F644" s="9" t="n"/>
      <c r="G644" s="9" t="n"/>
    </row>
    <row r="645" ht="18.5" customHeight="1">
      <c r="A645" s="18" t="inlineStr">
        <is>
          <t>8.14.3.3</t>
        </is>
      </c>
      <c r="B645" s="19" t="inlineStr">
        <is>
          <t>50 mm thick</t>
        </is>
      </c>
      <c r="C645" s="20" t="n"/>
      <c r="D645" s="20" t="n"/>
      <c r="E645" s="20" t="n"/>
      <c r="F645" s="20" t="n"/>
      <c r="G645" s="20" t="n"/>
    </row>
    <row r="646">
      <c r="A646" s="21" t="inlineStr">
        <is>
          <t>Details of cost for 1 sqm   |   Source: CivilDAR_2019_Vol_1.pdf, page 393</t>
        </is>
      </c>
    </row>
    <row r="647">
      <c r="A647" s="5" t="inlineStr">
        <is>
          <t>Code</t>
        </is>
      </c>
      <c r="B647" s="5" t="inlineStr">
        <is>
          <t>Description</t>
        </is>
      </c>
      <c r="C647" s="5" t="inlineStr">
        <is>
          <t>Unit</t>
        </is>
      </c>
      <c r="D647" s="5" t="inlineStr">
        <is>
          <t>Quantity</t>
        </is>
      </c>
      <c r="E647" s="5" t="inlineStr">
        <is>
          <t>Rate (Rs.)</t>
        </is>
      </c>
      <c r="F647" s="5" t="inlineStr">
        <is>
          <t>Amount (Rs.)</t>
        </is>
      </c>
      <c r="G647" s="5" t="inlineStr">
        <is>
          <t>Note</t>
        </is>
      </c>
    </row>
    <row r="648">
      <c r="A648" s="22" t="inlineStr">
        <is>
          <t>1161</t>
        </is>
      </c>
      <c r="B648" s="11" t="inlineStr">
        <is>
          <t>White sand stone block</t>
        </is>
      </c>
      <c r="C648" s="22" t="inlineStr">
        <is>
          <t>10 cudm</t>
        </is>
      </c>
      <c r="D648" s="23" t="n">
        <v>6.67</v>
      </c>
      <c r="E648" s="24" t="n">
        <v>205</v>
      </c>
      <c r="F648" s="24">
        <f>D648*E648</f>
        <v/>
      </c>
      <c r="G648" s="22" t="n"/>
    </row>
    <row r="649">
      <c r="A649" s="22" t="inlineStr">
        <is>
          <t>2216</t>
        </is>
      </c>
      <c r="B649" s="11" t="inlineStr">
        <is>
          <t>Carriage of Stone blocks white &amp; red sand stone &amp; kota stone slab</t>
        </is>
      </c>
      <c r="C649" s="22" t="inlineStr">
        <is>
          <t>tonne</t>
        </is>
      </c>
      <c r="D649" s="23" t="n">
        <v>0.153</v>
      </c>
      <c r="E649" s="24" t="n">
        <v>92.23999999999999</v>
      </c>
      <c r="F649" s="24">
        <f>D649*E649</f>
        <v/>
      </c>
      <c r="G649" s="22" t="n"/>
    </row>
    <row r="650">
      <c r="A650" s="22" t="inlineStr">
        <is>
          <t>9999</t>
        </is>
      </c>
      <c r="B650" s="11" t="inlineStr">
        <is>
          <t>Extra for using white cement</t>
        </is>
      </c>
      <c r="C650" s="22" t="inlineStr">
        <is>
          <t>L.S.</t>
        </is>
      </c>
      <c r="D650" s="23" t="n">
        <v>26.91</v>
      </c>
      <c r="E650" s="24" t="n">
        <v>2</v>
      </c>
      <c r="F650" s="24">
        <f>D650*E650</f>
        <v/>
      </c>
      <c r="G650" s="22" t="n"/>
    </row>
    <row r="651">
      <c r="A651" s="22" t="inlineStr">
        <is>
          <t>0125</t>
        </is>
      </c>
      <c r="B651" s="11" t="inlineStr">
        <is>
          <t>Mason (for plain stone work) 2nd class)</t>
        </is>
      </c>
      <c r="C651" s="22" t="inlineStr">
        <is>
          <t>day</t>
        </is>
      </c>
      <c r="D651" s="23" t="n">
        <v>1.35</v>
      </c>
      <c r="E651" s="24" t="n">
        <v>679</v>
      </c>
      <c r="F651" s="24">
        <f>D651*E651</f>
        <v/>
      </c>
      <c r="G651" s="22" t="n"/>
    </row>
    <row r="652">
      <c r="A652" s="22" t="inlineStr">
        <is>
          <t>0102</t>
        </is>
      </c>
      <c r="B652" s="11" t="inlineStr">
        <is>
          <t>Blacksmith 1st class</t>
        </is>
      </c>
      <c r="C652" s="22" t="inlineStr">
        <is>
          <t>day</t>
        </is>
      </c>
      <c r="D652" s="23" t="n">
        <v>0.032</v>
      </c>
      <c r="E652" s="24" t="n">
        <v>738</v>
      </c>
      <c r="F652" s="24">
        <f>D652*E652</f>
        <v/>
      </c>
      <c r="G652" s="22" t="n"/>
    </row>
    <row r="653">
      <c r="A653" s="22" t="inlineStr">
        <is>
          <t>0114</t>
        </is>
      </c>
      <c r="B653" s="11" t="inlineStr">
        <is>
          <t>Beldar</t>
        </is>
      </c>
      <c r="C653" s="22" t="inlineStr">
        <is>
          <t>day</t>
        </is>
      </c>
      <c r="D653" s="23" t="n">
        <v>0.224</v>
      </c>
      <c r="E653" s="24" t="n">
        <v>558</v>
      </c>
      <c r="F653" s="24">
        <f>D653*E653</f>
        <v/>
      </c>
      <c r="G653" s="22" t="n"/>
    </row>
    <row r="654">
      <c r="A654" s="22" t="inlineStr">
        <is>
          <t>0115</t>
        </is>
      </c>
      <c r="B654" s="11" t="inlineStr">
        <is>
          <t>Coolie</t>
        </is>
      </c>
      <c r="C654" s="22" t="inlineStr">
        <is>
          <t>day</t>
        </is>
      </c>
      <c r="D654" s="23" t="n">
        <v>0.112</v>
      </c>
      <c r="E654" s="24" t="n">
        <v>558</v>
      </c>
      <c r="F654" s="24">
        <f>D654*E654</f>
        <v/>
      </c>
      <c r="G654" s="22" t="n"/>
    </row>
    <row r="655">
      <c r="A655" s="22" t="inlineStr">
        <is>
          <t>0100</t>
        </is>
      </c>
      <c r="B655" s="11" t="inlineStr">
        <is>
          <t>Bandhani</t>
        </is>
      </c>
      <c r="C655" s="22" t="inlineStr">
        <is>
          <t>day</t>
        </is>
      </c>
      <c r="D655" s="23" t="n">
        <v>0.224</v>
      </c>
      <c r="E655" s="24" t="n">
        <v>617</v>
      </c>
      <c r="F655" s="24">
        <f>D655*E655</f>
        <v/>
      </c>
      <c r="G655" s="22" t="n"/>
    </row>
    <row r="656">
      <c r="A656" s="22" t="inlineStr">
        <is>
          <t>0125</t>
        </is>
      </c>
      <c r="B656" s="11" t="inlineStr">
        <is>
          <t>Mason (for plain stone work) 2nd class)</t>
        </is>
      </c>
      <c r="C656" s="22" t="inlineStr">
        <is>
          <t>day</t>
        </is>
      </c>
      <c r="D656" s="23" t="n">
        <v>0.448</v>
      </c>
      <c r="E656" s="24" t="n">
        <v>679</v>
      </c>
      <c r="F656" s="24">
        <f>D656*E656</f>
        <v/>
      </c>
      <c r="G656" s="22" t="n"/>
    </row>
    <row r="657">
      <c r="A657" s="22" t="inlineStr">
        <is>
          <t>0100</t>
        </is>
      </c>
      <c r="B657" s="11" t="inlineStr">
        <is>
          <t>Bandhani</t>
        </is>
      </c>
      <c r="C657" s="22" t="inlineStr">
        <is>
          <t>day</t>
        </is>
      </c>
      <c r="D657" s="23" t="n">
        <v>0.336</v>
      </c>
      <c r="E657" s="24" t="n">
        <v>617</v>
      </c>
      <c r="F657" s="24">
        <f>D657*E657</f>
        <v/>
      </c>
      <c r="G657" s="22" t="n"/>
    </row>
    <row r="658">
      <c r="A658" s="22" t="inlineStr">
        <is>
          <t>0114</t>
        </is>
      </c>
      <c r="B658" s="11" t="inlineStr">
        <is>
          <t>Beldar</t>
        </is>
      </c>
      <c r="C658" s="22" t="inlineStr">
        <is>
          <t>day</t>
        </is>
      </c>
      <c r="D658" s="23" t="n">
        <v>0.336</v>
      </c>
      <c r="E658" s="24" t="n">
        <v>558</v>
      </c>
      <c r="F658" s="24">
        <f>D658*E658</f>
        <v/>
      </c>
      <c r="G658" s="22" t="n"/>
    </row>
    <row r="659">
      <c r="A659" s="22" t="inlineStr">
        <is>
          <t>0115</t>
        </is>
      </c>
      <c r="B659" s="11" t="inlineStr">
        <is>
          <t>Coolie</t>
        </is>
      </c>
      <c r="C659" s="22" t="inlineStr">
        <is>
          <t>day</t>
        </is>
      </c>
      <c r="D659" s="23" t="n">
        <v>0.336</v>
      </c>
      <c r="E659" s="24" t="n">
        <v>558</v>
      </c>
      <c r="F659" s="24">
        <f>D659*E659</f>
        <v/>
      </c>
      <c r="G659" s="22" t="n"/>
    </row>
    <row r="660">
      <c r="A660" s="22" t="inlineStr">
        <is>
          <t>0101</t>
        </is>
      </c>
      <c r="B660" s="11" t="inlineStr">
        <is>
          <t>Bhisti</t>
        </is>
      </c>
      <c r="C660" s="22" t="inlineStr">
        <is>
          <t>day</t>
        </is>
      </c>
      <c r="D660" s="23" t="n">
        <v>0.336</v>
      </c>
      <c r="E660" s="24" t="n">
        <v>617</v>
      </c>
      <c r="F660" s="24">
        <f>D660*E660</f>
        <v/>
      </c>
      <c r="G660" s="22" t="n"/>
    </row>
    <row r="661">
      <c r="A661" s="22" t="inlineStr">
        <is>
          <t>1237</t>
        </is>
      </c>
      <c r="B661" s="11" t="inlineStr">
        <is>
          <t>Cutting marble or sand stone slab upto 50 mm thick by mechanical device</t>
        </is>
      </c>
      <c r="C661" s="22" t="inlineStr">
        <is>
          <t>metre</t>
        </is>
      </c>
      <c r="D661" s="23" t="n">
        <v>4</v>
      </c>
      <c r="E661" s="24" t="n">
        <v>10</v>
      </c>
      <c r="F661" s="24">
        <f>D661*E661</f>
        <v/>
      </c>
      <c r="G661" s="22" t="n"/>
    </row>
    <row r="662">
      <c r="A662" s="22" t="inlineStr">
        <is>
          <t>9999</t>
        </is>
      </c>
      <c r="B662" s="11" t="inlineStr">
        <is>
          <t>Scaffolding</t>
        </is>
      </c>
      <c r="C662" s="22" t="inlineStr">
        <is>
          <t>L.S.</t>
        </is>
      </c>
      <c r="D662" s="23" t="n">
        <v>19.76</v>
      </c>
      <c r="E662" s="24" t="n">
        <v>2</v>
      </c>
      <c r="F662" s="24">
        <f>D662*E662</f>
        <v/>
      </c>
      <c r="G662" s="22" t="n"/>
    </row>
    <row r="663">
      <c r="A663" s="7" t="inlineStr">
        <is>
          <t>3.8</t>
        </is>
      </c>
      <c r="B663" s="11" t="inlineStr">
        <is>
          <t>Rate as per item 3.8 - Cement mortar 1:3 (1 cement : 3 coarse sand)</t>
        </is>
      </c>
      <c r="C663" s="22" t="inlineStr">
        <is>
          <t>cum</t>
        </is>
      </c>
      <c r="D663" s="23" t="n">
        <v>0.018</v>
      </c>
      <c r="E663" s="24" t="n">
        <v>4664.55</v>
      </c>
      <c r="F663" s="24">
        <f>D663*E663</f>
        <v/>
      </c>
      <c r="G663" s="22" t="n"/>
    </row>
    <row r="664">
      <c r="A664" s="8" t="inlineStr">
        <is>
          <t>Calculated W - SUM of the Amount column above</t>
        </is>
      </c>
      <c r="B664" s="9" t="n"/>
      <c r="C664" s="9" t="n"/>
      <c r="D664" s="9" t="n"/>
      <c r="E664" s="9" t="n"/>
      <c r="F664" s="25">
        <f>SUM(F648:F663)</f>
        <v/>
      </c>
      <c r="G664" s="9" t="n"/>
    </row>
    <row r="665">
      <c r="A665" s="26" t="inlineStr">
        <is>
          <t>W as printed in the DAR</t>
        </is>
      </c>
      <c r="B665" s="22" t="n"/>
      <c r="C665" s="22" t="n"/>
      <c r="D665" s="22" t="n"/>
      <c r="E665" s="22" t="n"/>
      <c r="F665" s="27" t="n">
        <v>3958.52</v>
      </c>
      <c r="G665" s="22" t="n"/>
    </row>
    <row r="666">
      <c r="A666" s="26" t="inlineStr">
        <is>
          <t>Difference (calculated - printed)</t>
        </is>
      </c>
      <c r="B666" s="22" t="n"/>
      <c r="C666" s="22" t="n"/>
      <c r="D666" s="22" t="n"/>
      <c r="E666" s="22" t="n"/>
      <c r="F666" s="27">
        <f>F664-F665</f>
        <v/>
      </c>
      <c r="G666" s="22" t="n"/>
    </row>
    <row r="667">
      <c r="A667" s="29" t="inlineStr">
        <is>
          <t>SAY (Rs.) - final DAR rate as printed (fixed value, not computed)</t>
        </is>
      </c>
      <c r="B667" s="30" t="n"/>
      <c r="C667" s="30" t="n"/>
      <c r="D667" s="30" t="n"/>
      <c r="E667" s="30" t="n"/>
      <c r="F667" s="31" t="n">
        <v>5296.25</v>
      </c>
      <c r="G667" s="30" t="n"/>
    </row>
    <row r="669" ht="62" customHeight="1">
      <c r="A669" s="8" t="inlineStr">
        <is>
          <t>8.14</t>
        </is>
      </c>
      <c r="B669"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669" s="9" t="n"/>
      <c r="D669" s="9" t="n"/>
      <c r="E669" s="9" t="n"/>
      <c r="F669" s="9" t="n"/>
      <c r="G669" s="9" t="n"/>
    </row>
    <row r="670" ht="18.5" customHeight="1">
      <c r="A670" s="8" t="inlineStr">
        <is>
          <t>8.14.3</t>
        </is>
      </c>
      <c r="B670" s="17" t="inlineStr">
        <is>
          <t>White sand stone - exposed face fine dressed with rough backing .</t>
        </is>
      </c>
      <c r="C670" s="9" t="n"/>
      <c r="D670" s="9" t="n"/>
      <c r="E670" s="9" t="n"/>
      <c r="F670" s="9" t="n"/>
      <c r="G670" s="9" t="n"/>
    </row>
    <row r="671" ht="18.5" customHeight="1">
      <c r="A671" s="18" t="inlineStr">
        <is>
          <t>8.14.3.4</t>
        </is>
      </c>
      <c r="B671" s="19" t="inlineStr">
        <is>
          <t>40 mm thick</t>
        </is>
      </c>
      <c r="C671" s="20" t="n"/>
      <c r="D671" s="20" t="n"/>
      <c r="E671" s="20" t="n"/>
      <c r="F671" s="20" t="n"/>
      <c r="G671" s="20" t="n"/>
    </row>
    <row r="672">
      <c r="A672" s="21" t="inlineStr">
        <is>
          <t>Details of cost for 1 sqm   |   Source: CivilDAR_2019_Vol_1.pdf, page 394</t>
        </is>
      </c>
    </row>
    <row r="673">
      <c r="A673" s="5" t="inlineStr">
        <is>
          <t>Code</t>
        </is>
      </c>
      <c r="B673" s="5" t="inlineStr">
        <is>
          <t>Description</t>
        </is>
      </c>
      <c r="C673" s="5" t="inlineStr">
        <is>
          <t>Unit</t>
        </is>
      </c>
      <c r="D673" s="5" t="inlineStr">
        <is>
          <t>Quantity</t>
        </is>
      </c>
      <c r="E673" s="5" t="inlineStr">
        <is>
          <t>Rate (Rs.)</t>
        </is>
      </c>
      <c r="F673" s="5" t="inlineStr">
        <is>
          <t>Amount (Rs.)</t>
        </is>
      </c>
      <c r="G673" s="5" t="inlineStr">
        <is>
          <t>Note</t>
        </is>
      </c>
    </row>
    <row r="674">
      <c r="A674" s="22" t="inlineStr">
        <is>
          <t>1161</t>
        </is>
      </c>
      <c r="B674" s="11" t="inlineStr">
        <is>
          <t>White sand stone block</t>
        </is>
      </c>
      <c r="C674" s="22" t="inlineStr">
        <is>
          <t>10 cudm</t>
        </is>
      </c>
      <c r="D674" s="23" t="n">
        <v>5.33</v>
      </c>
      <c r="E674" s="24" t="n">
        <v>205</v>
      </c>
      <c r="F674" s="24">
        <f>D674*E674</f>
        <v/>
      </c>
      <c r="G674" s="22" t="n"/>
    </row>
    <row r="675">
      <c r="A675" s="22" t="inlineStr">
        <is>
          <t>2216</t>
        </is>
      </c>
      <c r="B675" s="11" t="inlineStr">
        <is>
          <t>Carriage of Stone blocks white &amp; red sand stone &amp; kota stone slab</t>
        </is>
      </c>
      <c r="C675" s="22" t="inlineStr">
        <is>
          <t>tonne</t>
        </is>
      </c>
      <c r="D675" s="23" t="n">
        <v>0.123</v>
      </c>
      <c r="E675" s="24" t="n">
        <v>92.23999999999999</v>
      </c>
      <c r="F675" s="24">
        <f>D675*E675</f>
        <v/>
      </c>
      <c r="G675" s="22" t="n"/>
    </row>
    <row r="676">
      <c r="A676" s="22" t="inlineStr">
        <is>
          <t>9999</t>
        </is>
      </c>
      <c r="B676" s="11" t="inlineStr">
        <is>
          <t>Extra for using white cement</t>
        </is>
      </c>
      <c r="C676" s="22" t="inlineStr">
        <is>
          <t>L.S.</t>
        </is>
      </c>
      <c r="D676" s="23" t="n">
        <v>26.91</v>
      </c>
      <c r="E676" s="24" t="n">
        <v>2</v>
      </c>
      <c r="F676" s="24">
        <f>D676*E676</f>
        <v/>
      </c>
      <c r="G676" s="22" t="n"/>
    </row>
    <row r="677">
      <c r="A677" s="22" t="inlineStr">
        <is>
          <t>0125</t>
        </is>
      </c>
      <c r="B677" s="11" t="inlineStr">
        <is>
          <t>Mason (for plain stone work) 2nd class)</t>
        </is>
      </c>
      <c r="C677" s="22" t="inlineStr">
        <is>
          <t>day</t>
        </is>
      </c>
      <c r="D677" s="23" t="n">
        <v>1.35</v>
      </c>
      <c r="E677" s="24" t="n">
        <v>679</v>
      </c>
      <c r="F677" s="24">
        <f>D677*E677</f>
        <v/>
      </c>
      <c r="G677" s="22" t="n"/>
    </row>
    <row r="678">
      <c r="A678" s="22" t="inlineStr">
        <is>
          <t>0102</t>
        </is>
      </c>
      <c r="B678" s="11" t="inlineStr">
        <is>
          <t>Blacksmith 1st class</t>
        </is>
      </c>
      <c r="C678" s="22" t="inlineStr">
        <is>
          <t>day</t>
        </is>
      </c>
      <c r="D678" s="23" t="n">
        <v>0.032</v>
      </c>
      <c r="E678" s="24" t="n">
        <v>738</v>
      </c>
      <c r="F678" s="24">
        <f>D678*E678</f>
        <v/>
      </c>
      <c r="G678" s="22" t="n"/>
    </row>
    <row r="679">
      <c r="A679" s="22" t="inlineStr">
        <is>
          <t>0114</t>
        </is>
      </c>
      <c r="B679" s="11" t="inlineStr">
        <is>
          <t>Beldar</t>
        </is>
      </c>
      <c r="C679" s="22" t="inlineStr">
        <is>
          <t>day</t>
        </is>
      </c>
      <c r="D679" s="23" t="n">
        <v>0.224</v>
      </c>
      <c r="E679" s="24" t="n">
        <v>558</v>
      </c>
      <c r="F679" s="24">
        <f>D679*E679</f>
        <v/>
      </c>
      <c r="G679" s="22" t="n"/>
    </row>
    <row r="680">
      <c r="A680" s="22" t="inlineStr">
        <is>
          <t>0115</t>
        </is>
      </c>
      <c r="B680" s="11" t="inlineStr">
        <is>
          <t>Coolie</t>
        </is>
      </c>
      <c r="C680" s="22" t="inlineStr">
        <is>
          <t>day</t>
        </is>
      </c>
      <c r="D680" s="23" t="n">
        <v>0.112</v>
      </c>
      <c r="E680" s="24" t="n">
        <v>558</v>
      </c>
      <c r="F680" s="24">
        <f>D680*E680</f>
        <v/>
      </c>
      <c r="G680" s="22" t="n"/>
    </row>
    <row r="681">
      <c r="A681" s="22" t="inlineStr">
        <is>
          <t>0100</t>
        </is>
      </c>
      <c r="B681" s="11" t="inlineStr">
        <is>
          <t>Bandhani</t>
        </is>
      </c>
      <c r="C681" s="22" t="inlineStr">
        <is>
          <t>day</t>
        </is>
      </c>
      <c r="D681" s="23" t="n">
        <v>0.224</v>
      </c>
      <c r="E681" s="24" t="n">
        <v>617</v>
      </c>
      <c r="F681" s="24">
        <f>D681*E681</f>
        <v/>
      </c>
      <c r="G681" s="22" t="n"/>
    </row>
    <row r="682">
      <c r="A682" s="22" t="inlineStr">
        <is>
          <t>0125</t>
        </is>
      </c>
      <c r="B682" s="11" t="inlineStr">
        <is>
          <t>Mason (for plain stone work) 2nd class)</t>
        </is>
      </c>
      <c r="C682" s="22" t="inlineStr">
        <is>
          <t>day</t>
        </is>
      </c>
      <c r="D682" s="23" t="n">
        <v>0.448</v>
      </c>
      <c r="E682" s="24" t="n">
        <v>679</v>
      </c>
      <c r="F682" s="24">
        <f>D682*E682</f>
        <v/>
      </c>
      <c r="G682" s="22" t="n"/>
    </row>
    <row r="683">
      <c r="A683" s="22" t="inlineStr">
        <is>
          <t>0100</t>
        </is>
      </c>
      <c r="B683" s="11" t="inlineStr">
        <is>
          <t>Bandhani</t>
        </is>
      </c>
      <c r="C683" s="22" t="inlineStr">
        <is>
          <t>day</t>
        </is>
      </c>
      <c r="D683" s="23" t="n">
        <v>0.336</v>
      </c>
      <c r="E683" s="24" t="n">
        <v>617</v>
      </c>
      <c r="F683" s="24">
        <f>D683*E683</f>
        <v/>
      </c>
      <c r="G683" s="22" t="n"/>
    </row>
    <row r="684">
      <c r="A684" s="22" t="inlineStr">
        <is>
          <t>0114</t>
        </is>
      </c>
      <c r="B684" s="11" t="inlineStr">
        <is>
          <t>Beldar</t>
        </is>
      </c>
      <c r="C684" s="22" t="inlineStr">
        <is>
          <t>day</t>
        </is>
      </c>
      <c r="D684" s="23" t="n">
        <v>0.336</v>
      </c>
      <c r="E684" s="24" t="n">
        <v>558</v>
      </c>
      <c r="F684" s="24">
        <f>D684*E684</f>
        <v/>
      </c>
      <c r="G684" s="22" t="n"/>
    </row>
    <row r="685">
      <c r="A685" s="22" t="inlineStr">
        <is>
          <t>0115</t>
        </is>
      </c>
      <c r="B685" s="11" t="inlineStr">
        <is>
          <t>Coolie</t>
        </is>
      </c>
      <c r="C685" s="22" t="inlineStr">
        <is>
          <t>day</t>
        </is>
      </c>
      <c r="D685" s="23" t="n">
        <v>0.336</v>
      </c>
      <c r="E685" s="24" t="n">
        <v>558</v>
      </c>
      <c r="F685" s="24">
        <f>D685*E685</f>
        <v/>
      </c>
      <c r="G685" s="22" t="n"/>
    </row>
    <row r="686">
      <c r="A686" s="22" t="inlineStr">
        <is>
          <t>0101</t>
        </is>
      </c>
      <c r="B686" s="11" t="inlineStr">
        <is>
          <t>Bhisti</t>
        </is>
      </c>
      <c r="C686" s="22" t="inlineStr">
        <is>
          <t>day</t>
        </is>
      </c>
      <c r="D686" s="23" t="n">
        <v>0.336</v>
      </c>
      <c r="E686" s="24" t="n">
        <v>617</v>
      </c>
      <c r="F686" s="24">
        <f>D686*E686</f>
        <v/>
      </c>
      <c r="G686" s="22" t="n"/>
    </row>
    <row r="687">
      <c r="A687" s="22" t="inlineStr">
        <is>
          <t>1237</t>
        </is>
      </c>
      <c r="B687" s="11" t="inlineStr">
        <is>
          <t>Cutting marble or sand stone slab upto 50 mm thick by mechanical device</t>
        </is>
      </c>
      <c r="C687" s="22" t="inlineStr">
        <is>
          <t>metre</t>
        </is>
      </c>
      <c r="D687" s="23" t="n">
        <v>4</v>
      </c>
      <c r="E687" s="24" t="n">
        <v>10</v>
      </c>
      <c r="F687" s="24">
        <f>D687*E687</f>
        <v/>
      </c>
      <c r="G687" s="22" t="n"/>
    </row>
    <row r="688">
      <c r="A688" s="22" t="inlineStr">
        <is>
          <t>9999</t>
        </is>
      </c>
      <c r="B688" s="11" t="inlineStr">
        <is>
          <t>Scaffolding</t>
        </is>
      </c>
      <c r="C688" s="22" t="inlineStr">
        <is>
          <t>L.S.</t>
        </is>
      </c>
      <c r="D688" s="23" t="n">
        <v>19.76</v>
      </c>
      <c r="E688" s="24" t="n">
        <v>2</v>
      </c>
      <c r="F688" s="24">
        <f>D688*E688</f>
        <v/>
      </c>
      <c r="G688" s="22" t="n"/>
    </row>
    <row r="689">
      <c r="A689" s="7" t="inlineStr">
        <is>
          <t>3.8</t>
        </is>
      </c>
      <c r="B689" s="11" t="inlineStr">
        <is>
          <t>Rate as per item 3.8 - Cement mortar 1:3 (1 cement : 3 coarse sand)</t>
        </is>
      </c>
      <c r="C689" s="22" t="inlineStr">
        <is>
          <t>cum</t>
        </is>
      </c>
      <c r="D689" s="23" t="n">
        <v>0.018</v>
      </c>
      <c r="E689" s="24" t="n">
        <v>4664.55</v>
      </c>
      <c r="F689" s="24">
        <f>D689*E689</f>
        <v/>
      </c>
      <c r="G689" s="22" t="n"/>
    </row>
    <row r="690">
      <c r="A690" s="8" t="inlineStr">
        <is>
          <t>Calculated W - SUM of the Amount column above</t>
        </is>
      </c>
      <c r="B690" s="9" t="n"/>
      <c r="C690" s="9" t="n"/>
      <c r="D690" s="9" t="n"/>
      <c r="E690" s="9" t="n"/>
      <c r="F690" s="25">
        <f>SUM(F674:F689)</f>
        <v/>
      </c>
      <c r="G690" s="9" t="n"/>
    </row>
    <row r="691">
      <c r="A691" s="26" t="inlineStr">
        <is>
          <t>W as printed in the DAR</t>
        </is>
      </c>
      <c r="B691" s="22" t="n"/>
      <c r="C691" s="22" t="n"/>
      <c r="D691" s="22" t="n"/>
      <c r="E691" s="22" t="n"/>
      <c r="F691" s="27" t="n">
        <v>3681.05</v>
      </c>
      <c r="G691" s="22" t="n"/>
    </row>
    <row r="692">
      <c r="A692" s="26" t="inlineStr">
        <is>
          <t>Difference (calculated - printed)</t>
        </is>
      </c>
      <c r="B692" s="22" t="n"/>
      <c r="C692" s="22" t="n"/>
      <c r="D692" s="22" t="n"/>
      <c r="E692" s="22" t="n"/>
      <c r="F692" s="27">
        <f>F690-F691</f>
        <v/>
      </c>
      <c r="G692" s="22" t="n"/>
    </row>
    <row r="693">
      <c r="A693" s="29" t="inlineStr">
        <is>
          <t>SAY (Rs.) - final DAR rate as printed (fixed value, not computed)</t>
        </is>
      </c>
      <c r="B693" s="30" t="n"/>
      <c r="C693" s="30" t="n"/>
      <c r="D693" s="30" t="n"/>
      <c r="E693" s="30" t="n"/>
      <c r="F693" s="31" t="n">
        <v>4925</v>
      </c>
      <c r="G693" s="30" t="n"/>
    </row>
    <row r="695" ht="62" customHeight="1">
      <c r="A695" s="8" t="inlineStr">
        <is>
          <t>8.14</t>
        </is>
      </c>
      <c r="B695"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695" s="9" t="n"/>
      <c r="D695" s="9" t="n"/>
      <c r="E695" s="9" t="n"/>
      <c r="F695" s="9" t="n"/>
      <c r="G695" s="9" t="n"/>
    </row>
    <row r="696" ht="18.5" customHeight="1">
      <c r="A696" s="8" t="inlineStr">
        <is>
          <t>8.14.3</t>
        </is>
      </c>
      <c r="B696" s="17" t="inlineStr">
        <is>
          <t>White sand stone - exposed face fine dressed with rough backing .</t>
        </is>
      </c>
      <c r="C696" s="9" t="n"/>
      <c r="D696" s="9" t="n"/>
      <c r="E696" s="9" t="n"/>
      <c r="F696" s="9" t="n"/>
      <c r="G696" s="9" t="n"/>
    </row>
    <row r="697" ht="18.5" customHeight="1">
      <c r="A697" s="18" t="inlineStr">
        <is>
          <t>8.14.3.5</t>
        </is>
      </c>
      <c r="B697" s="19" t="inlineStr">
        <is>
          <t>30 mm thick</t>
        </is>
      </c>
      <c r="C697" s="20" t="n"/>
      <c r="D697" s="20" t="n"/>
      <c r="E697" s="20" t="n"/>
      <c r="F697" s="20" t="n"/>
      <c r="G697" s="20" t="n"/>
    </row>
    <row r="698">
      <c r="A698" s="21" t="inlineStr">
        <is>
          <t>Details of cost for 1 sqm   |   Source: CivilDAR_2019_Vol_1.pdf, page 395</t>
        </is>
      </c>
    </row>
    <row r="699">
      <c r="A699" s="5" t="inlineStr">
        <is>
          <t>Code</t>
        </is>
      </c>
      <c r="B699" s="5" t="inlineStr">
        <is>
          <t>Description</t>
        </is>
      </c>
      <c r="C699" s="5" t="inlineStr">
        <is>
          <t>Unit</t>
        </is>
      </c>
      <c r="D699" s="5" t="inlineStr">
        <is>
          <t>Quantity</t>
        </is>
      </c>
      <c r="E699" s="5" t="inlineStr">
        <is>
          <t>Rate (Rs.)</t>
        </is>
      </c>
      <c r="F699" s="5" t="inlineStr">
        <is>
          <t>Amount (Rs.)</t>
        </is>
      </c>
      <c r="G699" s="5" t="inlineStr">
        <is>
          <t>Note</t>
        </is>
      </c>
    </row>
    <row r="700">
      <c r="A700" s="22" t="inlineStr">
        <is>
          <t>1161</t>
        </is>
      </c>
      <c r="B700" s="11" t="inlineStr">
        <is>
          <t>White sand stone block</t>
        </is>
      </c>
      <c r="C700" s="22" t="inlineStr">
        <is>
          <t>10 cudm</t>
        </is>
      </c>
      <c r="D700" s="23" t="n">
        <v>3.999</v>
      </c>
      <c r="E700" s="24" t="n">
        <v>205</v>
      </c>
      <c r="F700" s="24">
        <f>D700*E700</f>
        <v/>
      </c>
      <c r="G700" s="22" t="n"/>
    </row>
    <row r="701">
      <c r="A701" s="22" t="inlineStr">
        <is>
          <t>2216</t>
        </is>
      </c>
      <c r="B701" s="11" t="inlineStr">
        <is>
          <t>Carriage of Stone blocks white &amp; red sand stone &amp; kota stone slab</t>
        </is>
      </c>
      <c r="C701" s="22" t="inlineStr">
        <is>
          <t>tonne</t>
        </is>
      </c>
      <c r="D701" s="23" t="n">
        <v>0.092</v>
      </c>
      <c r="E701" s="24" t="n">
        <v>92.23999999999999</v>
      </c>
      <c r="F701" s="24">
        <f>D701*E701</f>
        <v/>
      </c>
      <c r="G701" s="22" t="n"/>
    </row>
    <row r="702">
      <c r="A702" s="22" t="inlineStr">
        <is>
          <t>9999</t>
        </is>
      </c>
      <c r="B702" s="11" t="inlineStr">
        <is>
          <t>Extra for using white cement</t>
        </is>
      </c>
      <c r="C702" s="22" t="inlineStr">
        <is>
          <t>L.S.</t>
        </is>
      </c>
      <c r="D702" s="23" t="n">
        <v>26.91</v>
      </c>
      <c r="E702" s="24" t="n">
        <v>2</v>
      </c>
      <c r="F702" s="24">
        <f>D702*E702</f>
        <v/>
      </c>
      <c r="G702" s="22" t="n"/>
    </row>
    <row r="703">
      <c r="A703" s="22" t="inlineStr">
        <is>
          <t>0125</t>
        </is>
      </c>
      <c r="B703" s="11" t="inlineStr">
        <is>
          <t>Mason (for plain stone work) 2nd class)</t>
        </is>
      </c>
      <c r="C703" s="22" t="inlineStr">
        <is>
          <t>day</t>
        </is>
      </c>
      <c r="D703" s="23" t="n">
        <v>1.35</v>
      </c>
      <c r="E703" s="24" t="n">
        <v>679</v>
      </c>
      <c r="F703" s="24">
        <f>D703*E703</f>
        <v/>
      </c>
      <c r="G703" s="22" t="n"/>
    </row>
    <row r="704">
      <c r="A704" s="22" t="inlineStr">
        <is>
          <t>0102</t>
        </is>
      </c>
      <c r="B704" s="11" t="inlineStr">
        <is>
          <t>Blacksmith 1st class</t>
        </is>
      </c>
      <c r="C704" s="22" t="inlineStr">
        <is>
          <t>day</t>
        </is>
      </c>
      <c r="D704" s="23" t="n">
        <v>0.032</v>
      </c>
      <c r="E704" s="24" t="n">
        <v>738</v>
      </c>
      <c r="F704" s="24">
        <f>D704*E704</f>
        <v/>
      </c>
      <c r="G704" s="22" t="n"/>
    </row>
    <row r="705">
      <c r="A705" s="22" t="inlineStr">
        <is>
          <t>0114</t>
        </is>
      </c>
      <c r="B705" s="11" t="inlineStr">
        <is>
          <t>Beldar</t>
        </is>
      </c>
      <c r="C705" s="22" t="inlineStr">
        <is>
          <t>day</t>
        </is>
      </c>
      <c r="D705" s="23" t="n">
        <v>0.224</v>
      </c>
      <c r="E705" s="24" t="n">
        <v>558</v>
      </c>
      <c r="F705" s="24">
        <f>D705*E705</f>
        <v/>
      </c>
      <c r="G705" s="22" t="n"/>
    </row>
    <row r="706">
      <c r="A706" s="22" t="inlineStr">
        <is>
          <t>0115</t>
        </is>
      </c>
      <c r="B706" s="11" t="inlineStr">
        <is>
          <t>Coolie</t>
        </is>
      </c>
      <c r="C706" s="22" t="inlineStr">
        <is>
          <t>day</t>
        </is>
      </c>
      <c r="D706" s="23" t="n">
        <v>0.112</v>
      </c>
      <c r="E706" s="24" t="n">
        <v>558</v>
      </c>
      <c r="F706" s="24">
        <f>D706*E706</f>
        <v/>
      </c>
      <c r="G706" s="22" t="n"/>
    </row>
    <row r="707">
      <c r="A707" s="22" t="inlineStr">
        <is>
          <t>0100</t>
        </is>
      </c>
      <c r="B707" s="11" t="inlineStr">
        <is>
          <t>Bandhani</t>
        </is>
      </c>
      <c r="C707" s="22" t="inlineStr">
        <is>
          <t>day</t>
        </is>
      </c>
      <c r="D707" s="23" t="n">
        <v>0.224</v>
      </c>
      <c r="E707" s="24" t="n">
        <v>617</v>
      </c>
      <c r="F707" s="24">
        <f>D707*E707</f>
        <v/>
      </c>
      <c r="G707" s="22" t="n"/>
    </row>
    <row r="708">
      <c r="A708" s="22" t="inlineStr">
        <is>
          <t>0125</t>
        </is>
      </c>
      <c r="B708" s="11" t="inlineStr">
        <is>
          <t>Mason (for plain stone work) 2nd class)</t>
        </is>
      </c>
      <c r="C708" s="22" t="inlineStr">
        <is>
          <t>day</t>
        </is>
      </c>
      <c r="D708" s="23" t="n">
        <v>0.448</v>
      </c>
      <c r="E708" s="24" t="n">
        <v>679</v>
      </c>
      <c r="F708" s="24">
        <f>D708*E708</f>
        <v/>
      </c>
      <c r="G708" s="22" t="n"/>
    </row>
    <row r="709">
      <c r="A709" s="22" t="inlineStr">
        <is>
          <t>0100</t>
        </is>
      </c>
      <c r="B709" s="11" t="inlineStr">
        <is>
          <t>Bandhani</t>
        </is>
      </c>
      <c r="C709" s="22" t="inlineStr">
        <is>
          <t>day</t>
        </is>
      </c>
      <c r="D709" s="23" t="n">
        <v>0.336</v>
      </c>
      <c r="E709" s="24" t="n">
        <v>617</v>
      </c>
      <c r="F709" s="24">
        <f>D709*E709</f>
        <v/>
      </c>
      <c r="G709" s="22" t="n"/>
    </row>
    <row r="710">
      <c r="A710" s="22" t="inlineStr">
        <is>
          <t>0114</t>
        </is>
      </c>
      <c r="B710" s="11" t="inlineStr">
        <is>
          <t>Beldar</t>
        </is>
      </c>
      <c r="C710" s="22" t="inlineStr">
        <is>
          <t>day</t>
        </is>
      </c>
      <c r="D710" s="23" t="n">
        <v>0.336</v>
      </c>
      <c r="E710" s="24" t="n">
        <v>558</v>
      </c>
      <c r="F710" s="24">
        <f>D710*E710</f>
        <v/>
      </c>
      <c r="G710" s="22" t="n"/>
    </row>
    <row r="711">
      <c r="A711" s="22" t="inlineStr">
        <is>
          <t>0115</t>
        </is>
      </c>
      <c r="B711" s="11" t="inlineStr">
        <is>
          <t>Coolie</t>
        </is>
      </c>
      <c r="C711" s="22" t="inlineStr">
        <is>
          <t>day</t>
        </is>
      </c>
      <c r="D711" s="23" t="n">
        <v>0.336</v>
      </c>
      <c r="E711" s="24" t="n">
        <v>558</v>
      </c>
      <c r="F711" s="24">
        <f>D711*E711</f>
        <v/>
      </c>
      <c r="G711" s="22" t="n"/>
    </row>
    <row r="712">
      <c r="A712" s="22" t="inlineStr">
        <is>
          <t>0101</t>
        </is>
      </c>
      <c r="B712" s="11" t="inlineStr">
        <is>
          <t>Bhisti</t>
        </is>
      </c>
      <c r="C712" s="22" t="inlineStr">
        <is>
          <t>day</t>
        </is>
      </c>
      <c r="D712" s="23" t="n">
        <v>0.336</v>
      </c>
      <c r="E712" s="24" t="n">
        <v>617</v>
      </c>
      <c r="F712" s="24">
        <f>D712*E712</f>
        <v/>
      </c>
      <c r="G712" s="22" t="n"/>
    </row>
    <row r="713">
      <c r="A713" s="22" t="inlineStr">
        <is>
          <t>1237</t>
        </is>
      </c>
      <c r="B713" s="11" t="inlineStr">
        <is>
          <t>Cutting marble or sand stone slab upto 50 mm thick by mechanical device</t>
        </is>
      </c>
      <c r="C713" s="22" t="inlineStr">
        <is>
          <t>metre</t>
        </is>
      </c>
      <c r="D713" s="23" t="n">
        <v>4</v>
      </c>
      <c r="E713" s="24" t="n">
        <v>10</v>
      </c>
      <c r="F713" s="24">
        <f>D713*E713</f>
        <v/>
      </c>
      <c r="G713" s="22" t="n"/>
    </row>
    <row r="714">
      <c r="A714" s="22" t="inlineStr">
        <is>
          <t>9999</t>
        </is>
      </c>
      <c r="B714" s="11" t="inlineStr">
        <is>
          <t>Scaffolding</t>
        </is>
      </c>
      <c r="C714" s="22" t="inlineStr">
        <is>
          <t>L.S.</t>
        </is>
      </c>
      <c r="D714" s="23" t="n">
        <v>19.76</v>
      </c>
      <c r="E714" s="24" t="n">
        <v>2</v>
      </c>
      <c r="F714" s="24">
        <f>D714*E714</f>
        <v/>
      </c>
      <c r="G714" s="22" t="n"/>
    </row>
    <row r="715">
      <c r="A715" s="7" t="inlineStr">
        <is>
          <t>3.8</t>
        </is>
      </c>
      <c r="B715" s="11" t="inlineStr">
        <is>
          <t>Rate as per item 3.8 - Cement mortar 1:3 (1 cement : 3 coarse sand)</t>
        </is>
      </c>
      <c r="C715" s="22" t="inlineStr">
        <is>
          <t>cum</t>
        </is>
      </c>
      <c r="D715" s="23" t="n">
        <v>0.018</v>
      </c>
      <c r="E715" s="24" t="n">
        <v>4664.55</v>
      </c>
      <c r="F715" s="24">
        <f>D715*E715</f>
        <v/>
      </c>
      <c r="G715" s="22" t="n"/>
    </row>
    <row r="716">
      <c r="A716" s="8" t="inlineStr">
        <is>
          <t>Calculated W - SUM of the Amount column above</t>
        </is>
      </c>
      <c r="B716" s="9" t="n"/>
      <c r="C716" s="9" t="n"/>
      <c r="D716" s="9" t="n"/>
      <c r="E716" s="9" t="n"/>
      <c r="F716" s="25">
        <f>SUM(F700:F715)</f>
        <v/>
      </c>
      <c r="G716" s="9" t="n"/>
    </row>
    <row r="717">
      <c r="A717" s="26" t="inlineStr">
        <is>
          <t>W as printed in the DAR</t>
        </is>
      </c>
      <c r="B717" s="22" t="n"/>
      <c r="C717" s="22" t="n"/>
      <c r="D717" s="22" t="n"/>
      <c r="E717" s="22" t="n"/>
      <c r="F717" s="27" t="n">
        <v>3405.34</v>
      </c>
      <c r="G717" s="22" t="n"/>
    </row>
    <row r="718">
      <c r="A718" s="26" t="inlineStr">
        <is>
          <t>Difference (calculated - printed)</t>
        </is>
      </c>
      <c r="B718" s="22" t="n"/>
      <c r="C718" s="22" t="n"/>
      <c r="D718" s="22" t="n"/>
      <c r="E718" s="22" t="n"/>
      <c r="F718" s="27">
        <f>F716-F717</f>
        <v/>
      </c>
      <c r="G718" s="22" t="n"/>
    </row>
    <row r="719">
      <c r="A719" s="29" t="inlineStr">
        <is>
          <t>SAY (Rs.) - final DAR rate as printed (fixed value, not computed)</t>
        </is>
      </c>
      <c r="B719" s="30" t="n"/>
      <c r="C719" s="30" t="n"/>
      <c r="D719" s="30" t="n"/>
      <c r="E719" s="30" t="n"/>
      <c r="F719" s="31" t="n">
        <v>4556.15</v>
      </c>
      <c r="G719" s="30" t="n"/>
    </row>
    <row r="721" ht="62" customHeight="1">
      <c r="A721" s="8" t="inlineStr">
        <is>
          <t>8.14</t>
        </is>
      </c>
      <c r="B721"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721" s="9" t="n"/>
      <c r="D721" s="9" t="n"/>
      <c r="E721" s="9" t="n"/>
      <c r="F721" s="9" t="n"/>
      <c r="G721" s="9" t="n"/>
    </row>
    <row r="722" ht="18.5" customHeight="1">
      <c r="A722" s="8" t="inlineStr">
        <is>
          <t>8.14.4</t>
        </is>
      </c>
      <c r="B722" s="17" t="inlineStr">
        <is>
          <t>White sand stone - Exposed face machine cut and table rubbed with rough backing.</t>
        </is>
      </c>
      <c r="C722" s="9" t="n"/>
      <c r="D722" s="9" t="n"/>
      <c r="E722" s="9" t="n"/>
      <c r="F722" s="9" t="n"/>
      <c r="G722" s="9" t="n"/>
    </row>
    <row r="723" ht="18.5" customHeight="1">
      <c r="A723" s="18" t="inlineStr">
        <is>
          <t>8.14.4.1</t>
        </is>
      </c>
      <c r="B723" s="19" t="inlineStr">
        <is>
          <t>70 mm thick</t>
        </is>
      </c>
      <c r="C723" s="20" t="n"/>
      <c r="D723" s="20" t="n"/>
      <c r="E723" s="20" t="n"/>
      <c r="F723" s="20" t="n"/>
      <c r="G723" s="20" t="n"/>
    </row>
    <row r="724">
      <c r="A724" s="21" t="inlineStr">
        <is>
          <t>Details of cost for 1 sqm   |   Source: CivilDAR_2019_Vol_1.pdf, page 396</t>
        </is>
      </c>
    </row>
    <row r="725">
      <c r="A725" s="5" t="inlineStr">
        <is>
          <t>Code</t>
        </is>
      </c>
      <c r="B725" s="5" t="inlineStr">
        <is>
          <t>Description</t>
        </is>
      </c>
      <c r="C725" s="5" t="inlineStr">
        <is>
          <t>Unit</t>
        </is>
      </c>
      <c r="D725" s="5" t="inlineStr">
        <is>
          <t>Quantity</t>
        </is>
      </c>
      <c r="E725" s="5" t="inlineStr">
        <is>
          <t>Rate (Rs.)</t>
        </is>
      </c>
      <c r="F725" s="5" t="inlineStr">
        <is>
          <t>Amount (Rs.)</t>
        </is>
      </c>
      <c r="G725" s="5" t="inlineStr">
        <is>
          <t>Note</t>
        </is>
      </c>
    </row>
    <row r="726">
      <c r="A726" s="22" t="inlineStr">
        <is>
          <t>1161</t>
        </is>
      </c>
      <c r="B726" s="11" t="inlineStr">
        <is>
          <t>White sand stone block</t>
        </is>
      </c>
      <c r="C726" s="22" t="inlineStr">
        <is>
          <t>10 cudm</t>
        </is>
      </c>
      <c r="D726" s="23" t="n">
        <v>9.333</v>
      </c>
      <c r="E726" s="24" t="n">
        <v>205</v>
      </c>
      <c r="F726" s="24">
        <f>D726*E726</f>
        <v/>
      </c>
      <c r="G726" s="22" t="n"/>
    </row>
    <row r="727">
      <c r="A727" s="22" t="inlineStr">
        <is>
          <t>2216</t>
        </is>
      </c>
      <c r="B727" s="11" t="inlineStr">
        <is>
          <t>Carriage of Stone blocks white &amp; red sand stone &amp; kota stone slab</t>
        </is>
      </c>
      <c r="C727" s="22" t="inlineStr">
        <is>
          <t>tonne</t>
        </is>
      </c>
      <c r="D727" s="23" t="n">
        <v>0.215</v>
      </c>
      <c r="E727" s="24" t="n">
        <v>92.23999999999999</v>
      </c>
      <c r="F727" s="24">
        <f>D727*E727</f>
        <v/>
      </c>
      <c r="G727" s="22" t="n"/>
    </row>
    <row r="728">
      <c r="A728" s="22" t="inlineStr">
        <is>
          <t>9999</t>
        </is>
      </c>
      <c r="B728" s="11" t="inlineStr">
        <is>
          <t>Extra for using white cement</t>
        </is>
      </c>
      <c r="C728" s="22" t="inlineStr">
        <is>
          <t>L.S.</t>
        </is>
      </c>
      <c r="D728" s="23" t="n">
        <v>26.91</v>
      </c>
      <c r="E728" s="24" t="n">
        <v>2</v>
      </c>
      <c r="F728" s="24">
        <f>D728*E728</f>
        <v/>
      </c>
      <c r="G728" s="22" t="n"/>
    </row>
    <row r="729">
      <c r="A729" s="22" t="inlineStr">
        <is>
          <t>0125</t>
        </is>
      </c>
      <c r="B729" s="11" t="inlineStr">
        <is>
          <t>Mason (for plain stone work) 2nd class)</t>
        </is>
      </c>
      <c r="C729" s="22" t="inlineStr">
        <is>
          <t>day</t>
        </is>
      </c>
      <c r="D729" s="23" t="n">
        <v>2.7</v>
      </c>
      <c r="E729" s="24" t="n">
        <v>679</v>
      </c>
      <c r="F729" s="24">
        <f>D729*E729</f>
        <v/>
      </c>
      <c r="G729" s="22" t="n"/>
    </row>
    <row r="730">
      <c r="A730" s="22" t="inlineStr">
        <is>
          <t>0102</t>
        </is>
      </c>
      <c r="B730" s="11" t="inlineStr">
        <is>
          <t>Blacksmith 1st class</t>
        </is>
      </c>
      <c r="C730" s="22" t="inlineStr">
        <is>
          <t>day</t>
        </is>
      </c>
      <c r="D730" s="23" t="n">
        <v>0.064</v>
      </c>
      <c r="E730" s="24" t="n">
        <v>738</v>
      </c>
      <c r="F730" s="24">
        <f>D730*E730</f>
        <v/>
      </c>
      <c r="G730" s="22" t="n"/>
    </row>
    <row r="731">
      <c r="A731" s="22" t="inlineStr">
        <is>
          <t>0114</t>
        </is>
      </c>
      <c r="B731" s="11" t="inlineStr">
        <is>
          <t>Beldar</t>
        </is>
      </c>
      <c r="C731" s="22" t="inlineStr">
        <is>
          <t>day</t>
        </is>
      </c>
      <c r="D731" s="23" t="n">
        <v>0.448</v>
      </c>
      <c r="E731" s="24" t="n">
        <v>558</v>
      </c>
      <c r="F731" s="24">
        <f>D731*E731</f>
        <v/>
      </c>
      <c r="G731" s="22" t="n"/>
    </row>
    <row r="732">
      <c r="A732" s="22" t="inlineStr">
        <is>
          <t>0115</t>
        </is>
      </c>
      <c r="B732" s="11" t="inlineStr">
        <is>
          <t>Coolie</t>
        </is>
      </c>
      <c r="C732" s="22" t="inlineStr">
        <is>
          <t>day</t>
        </is>
      </c>
      <c r="D732" s="23" t="n">
        <v>0.224</v>
      </c>
      <c r="E732" s="24" t="n">
        <v>558</v>
      </c>
      <c r="F732" s="24">
        <f>D732*E732</f>
        <v/>
      </c>
      <c r="G732" s="22" t="n"/>
    </row>
    <row r="733">
      <c r="A733" s="22" t="inlineStr">
        <is>
          <t>0100</t>
        </is>
      </c>
      <c r="B733" s="11" t="inlineStr">
        <is>
          <t>Bandhani</t>
        </is>
      </c>
      <c r="C733" s="22" t="inlineStr">
        <is>
          <t>day</t>
        </is>
      </c>
      <c r="D733" s="23" t="n">
        <v>0.448</v>
      </c>
      <c r="E733" s="24" t="n">
        <v>617</v>
      </c>
      <c r="F733" s="24">
        <f>D733*E733</f>
        <v/>
      </c>
      <c r="G733" s="22" t="n"/>
    </row>
    <row r="734">
      <c r="A734" s="22" t="inlineStr">
        <is>
          <t>0125</t>
        </is>
      </c>
      <c r="B734" s="11" t="inlineStr">
        <is>
          <t>Mason (for plain stone work) 2nd class)</t>
        </is>
      </c>
      <c r="C734" s="22" t="inlineStr">
        <is>
          <t>day</t>
        </is>
      </c>
      <c r="D734" s="23" t="n">
        <v>0.448</v>
      </c>
      <c r="E734" s="24" t="n">
        <v>679</v>
      </c>
      <c r="F734" s="24">
        <f>D734*E734</f>
        <v/>
      </c>
      <c r="G734" s="22" t="n"/>
    </row>
    <row r="735">
      <c r="A735" s="22" t="inlineStr">
        <is>
          <t>0100</t>
        </is>
      </c>
      <c r="B735" s="11" t="inlineStr">
        <is>
          <t>Bandhani</t>
        </is>
      </c>
      <c r="C735" s="22" t="inlineStr">
        <is>
          <t>day</t>
        </is>
      </c>
      <c r="D735" s="23" t="n">
        <v>0.336</v>
      </c>
      <c r="E735" s="24" t="n">
        <v>617</v>
      </c>
      <c r="F735" s="24">
        <f>D735*E735</f>
        <v/>
      </c>
      <c r="G735" s="22" t="n"/>
    </row>
    <row r="736">
      <c r="A736" s="22" t="inlineStr">
        <is>
          <t>0114</t>
        </is>
      </c>
      <c r="B736" s="11" t="inlineStr">
        <is>
          <t>Beldar</t>
        </is>
      </c>
      <c r="C736" s="22" t="inlineStr">
        <is>
          <t>day</t>
        </is>
      </c>
      <c r="D736" s="23" t="n">
        <v>0.336</v>
      </c>
      <c r="E736" s="24" t="n">
        <v>558</v>
      </c>
      <c r="F736" s="24">
        <f>D736*E736</f>
        <v/>
      </c>
      <c r="G736" s="22" t="n"/>
    </row>
    <row r="737">
      <c r="A737" s="22" t="inlineStr">
        <is>
          <t>0115</t>
        </is>
      </c>
      <c r="B737" s="11" t="inlineStr">
        <is>
          <t>Coolie</t>
        </is>
      </c>
      <c r="C737" s="22" t="inlineStr">
        <is>
          <t>day</t>
        </is>
      </c>
      <c r="D737" s="23" t="n">
        <v>0.336</v>
      </c>
      <c r="E737" s="24" t="n">
        <v>558</v>
      </c>
      <c r="F737" s="24">
        <f>D737*E737</f>
        <v/>
      </c>
      <c r="G737" s="22" t="n"/>
    </row>
    <row r="738">
      <c r="A738" s="22" t="inlineStr">
        <is>
          <t>0101</t>
        </is>
      </c>
      <c r="B738" s="11" t="inlineStr">
        <is>
          <t>Bhisti</t>
        </is>
      </c>
      <c r="C738" s="22" t="inlineStr">
        <is>
          <t>day</t>
        </is>
      </c>
      <c r="D738" s="23" t="n">
        <v>0.336</v>
      </c>
      <c r="E738" s="24" t="n">
        <v>617</v>
      </c>
      <c r="F738" s="24">
        <f>D738*E738</f>
        <v/>
      </c>
      <c r="G738" s="22" t="n"/>
    </row>
    <row r="739">
      <c r="A739" s="22" t="inlineStr">
        <is>
          <t>1237</t>
        </is>
      </c>
      <c r="B739" s="11" t="inlineStr">
        <is>
          <t>Cutting marble or sand stone slab upto 50 mm thick by mechanical device</t>
        </is>
      </c>
      <c r="C739" s="22" t="inlineStr">
        <is>
          <t>metre</t>
        </is>
      </c>
      <c r="D739" s="23" t="n">
        <v>4</v>
      </c>
      <c r="E739" s="24" t="n">
        <v>10</v>
      </c>
      <c r="F739" s="24">
        <f>D739*E739</f>
        <v/>
      </c>
      <c r="G739" s="22" t="n"/>
    </row>
    <row r="740">
      <c r="A740" s="22" t="inlineStr">
        <is>
          <t>9999</t>
        </is>
      </c>
      <c r="B740" s="11" t="inlineStr">
        <is>
          <t>Scaffolding</t>
        </is>
      </c>
      <c r="C740" s="22" t="inlineStr">
        <is>
          <t>L.S.</t>
        </is>
      </c>
      <c r="D740" s="23" t="n">
        <v>19.76</v>
      </c>
      <c r="E740" s="24" t="n">
        <v>2</v>
      </c>
      <c r="F740" s="24">
        <f>D740*E740</f>
        <v/>
      </c>
      <c r="G740" s="22" t="n"/>
    </row>
    <row r="741">
      <c r="A741" s="7" t="inlineStr">
        <is>
          <t>3.8</t>
        </is>
      </c>
      <c r="B741" s="11" t="inlineStr">
        <is>
          <t>Rate as per item 3.8 - Cement mortar 1:3 (1 cement : 3 coarse sand)</t>
        </is>
      </c>
      <c r="C741" s="22" t="inlineStr">
        <is>
          <t>cum</t>
        </is>
      </c>
      <c r="D741" s="23" t="n">
        <v>0.018</v>
      </c>
      <c r="E741" s="24" t="n">
        <v>4664.55</v>
      </c>
      <c r="F741" s="24">
        <f>D741*E741</f>
        <v/>
      </c>
      <c r="G741" s="22" t="n"/>
    </row>
    <row r="742">
      <c r="A742" s="8" t="inlineStr">
        <is>
          <t>Calculated W - SUM of the Amount column above</t>
        </is>
      </c>
      <c r="B742" s="9" t="n"/>
      <c r="C742" s="9" t="n"/>
      <c r="D742" s="9" t="n"/>
      <c r="E742" s="9" t="n"/>
      <c r="F742" s="25">
        <f>SUM(F726:F741)</f>
        <v/>
      </c>
      <c r="G742" s="9" t="n"/>
    </row>
    <row r="743">
      <c r="A743" s="26" t="inlineStr">
        <is>
          <t>W as printed in the DAR</t>
        </is>
      </c>
      <c r="B743" s="22" t="n"/>
      <c r="C743" s="22" t="n"/>
      <c r="D743" s="22" t="n"/>
      <c r="E743" s="22" t="n"/>
      <c r="F743" s="27" t="n">
        <v>5776.11</v>
      </c>
      <c r="G743" s="22" t="n"/>
    </row>
    <row r="744">
      <c r="A744" s="26" t="inlineStr">
        <is>
          <t>Difference (calculated - printed)</t>
        </is>
      </c>
      <c r="B744" s="22" t="n"/>
      <c r="C744" s="22" t="n"/>
      <c r="D744" s="22" t="n"/>
      <c r="E744" s="22" t="n"/>
      <c r="F744" s="27">
        <f>F742-F743</f>
        <v/>
      </c>
      <c r="G744" s="22" t="n"/>
    </row>
    <row r="745">
      <c r="A745" s="29" t="inlineStr">
        <is>
          <t>SAY (Rs.) - final DAR rate as printed (fixed value, not computed)</t>
        </is>
      </c>
      <c r="B745" s="30" t="n"/>
      <c r="C745" s="30" t="n"/>
      <c r="D745" s="30" t="n"/>
      <c r="E745" s="30" t="n"/>
      <c r="F745" s="31" t="n">
        <v>7728.1</v>
      </c>
      <c r="G745" s="30" t="n"/>
    </row>
    <row r="747" ht="62" customHeight="1">
      <c r="A747" s="8" t="inlineStr">
        <is>
          <t>8.14</t>
        </is>
      </c>
      <c r="B747"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747" s="9" t="n"/>
      <c r="D747" s="9" t="n"/>
      <c r="E747" s="9" t="n"/>
      <c r="F747" s="9" t="n"/>
      <c r="G747" s="9" t="n"/>
    </row>
    <row r="748" ht="18.5" customHeight="1">
      <c r="A748" s="8" t="inlineStr">
        <is>
          <t>8.14.4</t>
        </is>
      </c>
      <c r="B748" s="17" t="inlineStr">
        <is>
          <t>White sand stone - Exposed face machine cut and table rubbed with rough backing.</t>
        </is>
      </c>
      <c r="C748" s="9" t="n"/>
      <c r="D748" s="9" t="n"/>
      <c r="E748" s="9" t="n"/>
      <c r="F748" s="9" t="n"/>
      <c r="G748" s="9" t="n"/>
    </row>
    <row r="749" ht="18.5" customHeight="1">
      <c r="A749" s="18" t="inlineStr">
        <is>
          <t>8.14.4.2</t>
        </is>
      </c>
      <c r="B749" s="19" t="inlineStr">
        <is>
          <t>60 mm thick</t>
        </is>
      </c>
      <c r="C749" s="20" t="n"/>
      <c r="D749" s="20" t="n"/>
      <c r="E749" s="20" t="n"/>
      <c r="F749" s="20" t="n"/>
      <c r="G749" s="20" t="n"/>
    </row>
    <row r="750">
      <c r="A750" s="21" t="inlineStr">
        <is>
          <t>Details of cost for 1 sqm   |   Source: CivilDAR_2019_Vol_1.pdf, page 397</t>
        </is>
      </c>
    </row>
    <row r="751">
      <c r="A751" s="5" t="inlineStr">
        <is>
          <t>Code</t>
        </is>
      </c>
      <c r="B751" s="5" t="inlineStr">
        <is>
          <t>Description</t>
        </is>
      </c>
      <c r="C751" s="5" t="inlineStr">
        <is>
          <t>Unit</t>
        </is>
      </c>
      <c r="D751" s="5" t="inlineStr">
        <is>
          <t>Quantity</t>
        </is>
      </c>
      <c r="E751" s="5" t="inlineStr">
        <is>
          <t>Rate (Rs.)</t>
        </is>
      </c>
      <c r="F751" s="5" t="inlineStr">
        <is>
          <t>Amount (Rs.)</t>
        </is>
      </c>
      <c r="G751" s="5" t="inlineStr">
        <is>
          <t>Note</t>
        </is>
      </c>
    </row>
    <row r="752">
      <c r="A752" s="22" t="inlineStr">
        <is>
          <t>1161</t>
        </is>
      </c>
      <c r="B752" s="11" t="inlineStr">
        <is>
          <t>White sand stone block</t>
        </is>
      </c>
      <c r="C752" s="22" t="inlineStr">
        <is>
          <t>10 cudm</t>
        </is>
      </c>
      <c r="D752" s="23" t="n">
        <v>8</v>
      </c>
      <c r="E752" s="24" t="n">
        <v>205</v>
      </c>
      <c r="F752" s="24">
        <f>D752*E752</f>
        <v/>
      </c>
      <c r="G752" s="22" t="n"/>
    </row>
    <row r="753">
      <c r="A753" s="22" t="inlineStr">
        <is>
          <t>2216</t>
        </is>
      </c>
      <c r="B753" s="11" t="inlineStr">
        <is>
          <t>Carriage of Stone blocks white &amp; red sand stone &amp; kota stone slab</t>
        </is>
      </c>
      <c r="C753" s="22" t="inlineStr">
        <is>
          <t>tonne</t>
        </is>
      </c>
      <c r="D753" s="23" t="n">
        <v>0.184</v>
      </c>
      <c r="E753" s="24" t="n">
        <v>92.23999999999999</v>
      </c>
      <c r="F753" s="24">
        <f>D753*E753</f>
        <v/>
      </c>
      <c r="G753" s="22" t="n"/>
    </row>
    <row r="754">
      <c r="A754" s="22" t="inlineStr">
        <is>
          <t>9999</t>
        </is>
      </c>
      <c r="B754" s="11" t="inlineStr">
        <is>
          <t>Extra for using white cement</t>
        </is>
      </c>
      <c r="C754" s="22" t="inlineStr">
        <is>
          <t>L.S.</t>
        </is>
      </c>
      <c r="D754" s="23" t="n">
        <v>26.91</v>
      </c>
      <c r="E754" s="24" t="n">
        <v>2</v>
      </c>
      <c r="F754" s="24">
        <f>D754*E754</f>
        <v/>
      </c>
      <c r="G754" s="22" t="n"/>
    </row>
    <row r="755">
      <c r="A755" s="22" t="inlineStr">
        <is>
          <t>0125</t>
        </is>
      </c>
      <c r="B755" s="11" t="inlineStr">
        <is>
          <t>Mason (for plain stone work) 2nd class)</t>
        </is>
      </c>
      <c r="C755" s="22" t="inlineStr">
        <is>
          <t>day</t>
        </is>
      </c>
      <c r="D755" s="23" t="n">
        <v>2.7</v>
      </c>
      <c r="E755" s="24" t="n">
        <v>679</v>
      </c>
      <c r="F755" s="24">
        <f>D755*E755</f>
        <v/>
      </c>
      <c r="G755" s="22" t="n"/>
    </row>
    <row r="756">
      <c r="A756" s="22" t="inlineStr">
        <is>
          <t>0102</t>
        </is>
      </c>
      <c r="B756" s="11" t="inlineStr">
        <is>
          <t>Blacksmith 1st class</t>
        </is>
      </c>
      <c r="C756" s="22" t="inlineStr">
        <is>
          <t>day</t>
        </is>
      </c>
      <c r="D756" s="23" t="n">
        <v>0.064</v>
      </c>
      <c r="E756" s="24" t="n">
        <v>738</v>
      </c>
      <c r="F756" s="24">
        <f>D756*E756</f>
        <v/>
      </c>
      <c r="G756" s="22" t="n"/>
    </row>
    <row r="757">
      <c r="A757" s="22" t="inlineStr">
        <is>
          <t>0114</t>
        </is>
      </c>
      <c r="B757" s="11" t="inlineStr">
        <is>
          <t>Beldar</t>
        </is>
      </c>
      <c r="C757" s="22" t="inlineStr">
        <is>
          <t>day</t>
        </is>
      </c>
      <c r="D757" s="23" t="n">
        <v>0.448</v>
      </c>
      <c r="E757" s="24" t="n">
        <v>558</v>
      </c>
      <c r="F757" s="24">
        <f>D757*E757</f>
        <v/>
      </c>
      <c r="G757" s="22" t="n"/>
    </row>
    <row r="758">
      <c r="A758" s="22" t="inlineStr">
        <is>
          <t>0115</t>
        </is>
      </c>
      <c r="B758" s="11" t="inlineStr">
        <is>
          <t>Coolie</t>
        </is>
      </c>
      <c r="C758" s="22" t="inlineStr">
        <is>
          <t>day</t>
        </is>
      </c>
      <c r="D758" s="23" t="n">
        <v>0.224</v>
      </c>
      <c r="E758" s="24" t="n">
        <v>558</v>
      </c>
      <c r="F758" s="24">
        <f>D758*E758</f>
        <v/>
      </c>
      <c r="G758" s="22" t="n"/>
    </row>
    <row r="759">
      <c r="A759" s="22" t="inlineStr">
        <is>
          <t>0100</t>
        </is>
      </c>
      <c r="B759" s="11" t="inlineStr">
        <is>
          <t>Bandhani</t>
        </is>
      </c>
      <c r="C759" s="22" t="inlineStr">
        <is>
          <t>day</t>
        </is>
      </c>
      <c r="D759" s="23" t="n">
        <v>0.448</v>
      </c>
      <c r="E759" s="24" t="n">
        <v>617</v>
      </c>
      <c r="F759" s="24">
        <f>D759*E759</f>
        <v/>
      </c>
      <c r="G759" s="22" t="n"/>
    </row>
    <row r="760">
      <c r="A760" s="22" t="inlineStr">
        <is>
          <t>0125</t>
        </is>
      </c>
      <c r="B760" s="11" t="inlineStr">
        <is>
          <t>Mason (for plain stone work) 2nd class)</t>
        </is>
      </c>
      <c r="C760" s="22" t="inlineStr">
        <is>
          <t>day</t>
        </is>
      </c>
      <c r="D760" s="23" t="n">
        <v>0.448</v>
      </c>
      <c r="E760" s="24" t="n">
        <v>679</v>
      </c>
      <c r="F760" s="24">
        <f>D760*E760</f>
        <v/>
      </c>
      <c r="G760" s="22" t="n"/>
    </row>
    <row r="761">
      <c r="A761" s="22" t="inlineStr">
        <is>
          <t>0100</t>
        </is>
      </c>
      <c r="B761" s="11" t="inlineStr">
        <is>
          <t>Bandhani</t>
        </is>
      </c>
      <c r="C761" s="22" t="inlineStr">
        <is>
          <t>day</t>
        </is>
      </c>
      <c r="D761" s="23" t="n">
        <v>0.336</v>
      </c>
      <c r="E761" s="24" t="n">
        <v>617</v>
      </c>
      <c r="F761" s="24">
        <f>D761*E761</f>
        <v/>
      </c>
      <c r="G761" s="22" t="n"/>
    </row>
    <row r="762">
      <c r="A762" s="22" t="inlineStr">
        <is>
          <t>0114</t>
        </is>
      </c>
      <c r="B762" s="11" t="inlineStr">
        <is>
          <t>Beldar</t>
        </is>
      </c>
      <c r="C762" s="22" t="inlineStr">
        <is>
          <t>day</t>
        </is>
      </c>
      <c r="D762" s="23" t="n">
        <v>0.336</v>
      </c>
      <c r="E762" s="24" t="n">
        <v>558</v>
      </c>
      <c r="F762" s="24">
        <f>D762*E762</f>
        <v/>
      </c>
      <c r="G762" s="22" t="n"/>
    </row>
    <row r="763">
      <c r="A763" s="22" t="inlineStr">
        <is>
          <t>0115</t>
        </is>
      </c>
      <c r="B763" s="11" t="inlineStr">
        <is>
          <t>Coolie</t>
        </is>
      </c>
      <c r="C763" s="22" t="inlineStr">
        <is>
          <t>day</t>
        </is>
      </c>
      <c r="D763" s="23" t="n">
        <v>0.336</v>
      </c>
      <c r="E763" s="24" t="n">
        <v>558</v>
      </c>
      <c r="F763" s="24">
        <f>D763*E763</f>
        <v/>
      </c>
      <c r="G763" s="22" t="n"/>
    </row>
    <row r="764">
      <c r="A764" s="22" t="inlineStr">
        <is>
          <t>0101</t>
        </is>
      </c>
      <c r="B764" s="11" t="inlineStr">
        <is>
          <t>Bhisti</t>
        </is>
      </c>
      <c r="C764" s="22" t="inlineStr">
        <is>
          <t>day</t>
        </is>
      </c>
      <c r="D764" s="23" t="n">
        <v>0.336</v>
      </c>
      <c r="E764" s="24" t="n">
        <v>617</v>
      </c>
      <c r="F764" s="24">
        <f>D764*E764</f>
        <v/>
      </c>
      <c r="G764" s="22" t="n"/>
    </row>
    <row r="765">
      <c r="A765" s="22" t="inlineStr">
        <is>
          <t>1237</t>
        </is>
      </c>
      <c r="B765" s="11" t="inlineStr">
        <is>
          <t>Cutting marble or sand stone slab upto 50 mm thick by mechanical device</t>
        </is>
      </c>
      <c r="C765" s="22" t="inlineStr">
        <is>
          <t>metre</t>
        </is>
      </c>
      <c r="D765" s="23" t="n">
        <v>4</v>
      </c>
      <c r="E765" s="24" t="n">
        <v>10</v>
      </c>
      <c r="F765" s="24">
        <f>D765*E765</f>
        <v/>
      </c>
      <c r="G765" s="22" t="n"/>
    </row>
    <row r="766">
      <c r="A766" s="22" t="inlineStr">
        <is>
          <t>9999</t>
        </is>
      </c>
      <c r="B766" s="11" t="inlineStr">
        <is>
          <t>Scaffolding</t>
        </is>
      </c>
      <c r="C766" s="22" t="inlineStr">
        <is>
          <t>L.S.</t>
        </is>
      </c>
      <c r="D766" s="23" t="n">
        <v>19.76</v>
      </c>
      <c r="E766" s="24" t="n">
        <v>2</v>
      </c>
      <c r="F766" s="24">
        <f>D766*E766</f>
        <v/>
      </c>
      <c r="G766" s="22" t="n"/>
    </row>
    <row r="767">
      <c r="A767" s="7" t="inlineStr">
        <is>
          <t>3.8</t>
        </is>
      </c>
      <c r="B767" s="11" t="inlineStr">
        <is>
          <t>Rate as per item 3.8 - Cement mortar 1:3 (1 cement : 3 coarse sand)</t>
        </is>
      </c>
      <c r="C767" s="22" t="inlineStr">
        <is>
          <t>cum</t>
        </is>
      </c>
      <c r="D767" s="23" t="n">
        <v>0.018</v>
      </c>
      <c r="E767" s="24" t="n">
        <v>4664.55</v>
      </c>
      <c r="F767" s="24">
        <f>D767*E767</f>
        <v/>
      </c>
      <c r="G767" s="22" t="n"/>
    </row>
    <row r="768">
      <c r="A768" s="8" t="inlineStr">
        <is>
          <t>Calculated W - SUM of the Amount column above</t>
        </is>
      </c>
      <c r="B768" s="9" t="n"/>
      <c r="C768" s="9" t="n"/>
      <c r="D768" s="9" t="n"/>
      <c r="E768" s="9" t="n"/>
      <c r="F768" s="25">
        <f>SUM(F752:F767)</f>
        <v/>
      </c>
      <c r="G768" s="9" t="n"/>
    </row>
    <row r="769">
      <c r="A769" s="26" t="inlineStr">
        <is>
          <t>W as printed in the DAR</t>
        </is>
      </c>
      <c r="B769" s="22" t="n"/>
      <c r="C769" s="22" t="n"/>
      <c r="D769" s="22" t="n"/>
      <c r="E769" s="22" t="n"/>
      <c r="F769" s="27" t="n">
        <v>5499.99</v>
      </c>
      <c r="G769" s="22" t="n"/>
    </row>
    <row r="770">
      <c r="A770" s="26" t="inlineStr">
        <is>
          <t>Difference (calculated - printed)</t>
        </is>
      </c>
      <c r="B770" s="22" t="n"/>
      <c r="C770" s="22" t="n"/>
      <c r="D770" s="22" t="n"/>
      <c r="E770" s="22" t="n"/>
      <c r="F770" s="27">
        <f>F768-F769</f>
        <v/>
      </c>
      <c r="G770" s="22" t="n"/>
    </row>
    <row r="771">
      <c r="A771" s="29" t="inlineStr">
        <is>
          <t>SAY (Rs.) - final DAR rate as printed (fixed value, not computed)</t>
        </is>
      </c>
      <c r="B771" s="30" t="n"/>
      <c r="C771" s="30" t="n"/>
      <c r="D771" s="30" t="n"/>
      <c r="E771" s="30" t="n"/>
      <c r="F771" s="31" t="n">
        <v>7358.65</v>
      </c>
      <c r="G771" s="30" t="n"/>
    </row>
    <row r="773" ht="62" customHeight="1">
      <c r="A773" s="8" t="inlineStr">
        <is>
          <t>8.14</t>
        </is>
      </c>
      <c r="B773"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773" s="9" t="n"/>
      <c r="D773" s="9" t="n"/>
      <c r="E773" s="9" t="n"/>
      <c r="F773" s="9" t="n"/>
      <c r="G773" s="9" t="n"/>
    </row>
    <row r="774" ht="18.5" customHeight="1">
      <c r="A774" s="8" t="inlineStr">
        <is>
          <t>8.14.4</t>
        </is>
      </c>
      <c r="B774" s="17" t="inlineStr">
        <is>
          <t>White sand stone - Exposed face machine cut and table rubbed with rough backing.</t>
        </is>
      </c>
      <c r="C774" s="9" t="n"/>
      <c r="D774" s="9" t="n"/>
      <c r="E774" s="9" t="n"/>
      <c r="F774" s="9" t="n"/>
      <c r="G774" s="9" t="n"/>
    </row>
    <row r="775" ht="18.5" customHeight="1">
      <c r="A775" s="18" t="inlineStr">
        <is>
          <t>8.14.4.3</t>
        </is>
      </c>
      <c r="B775" s="19" t="inlineStr">
        <is>
          <t>50 mm thick</t>
        </is>
      </c>
      <c r="C775" s="20" t="n"/>
      <c r="D775" s="20" t="n"/>
      <c r="E775" s="20" t="n"/>
      <c r="F775" s="20" t="n"/>
      <c r="G775" s="20" t="n"/>
    </row>
    <row r="776">
      <c r="A776" s="21" t="inlineStr">
        <is>
          <t>Details of cost for 1 sqm   |   Source: CivilDAR_2019_Vol_1.pdf, page 398</t>
        </is>
      </c>
    </row>
    <row r="777">
      <c r="A777" s="5" t="inlineStr">
        <is>
          <t>Code</t>
        </is>
      </c>
      <c r="B777" s="5" t="inlineStr">
        <is>
          <t>Description</t>
        </is>
      </c>
      <c r="C777" s="5" t="inlineStr">
        <is>
          <t>Unit</t>
        </is>
      </c>
      <c r="D777" s="5" t="inlineStr">
        <is>
          <t>Quantity</t>
        </is>
      </c>
      <c r="E777" s="5" t="inlineStr">
        <is>
          <t>Rate (Rs.)</t>
        </is>
      </c>
      <c r="F777" s="5" t="inlineStr">
        <is>
          <t>Amount (Rs.)</t>
        </is>
      </c>
      <c r="G777" s="5" t="inlineStr">
        <is>
          <t>Note</t>
        </is>
      </c>
    </row>
    <row r="778">
      <c r="A778" s="22" t="inlineStr">
        <is>
          <t>1161</t>
        </is>
      </c>
      <c r="B778" s="11" t="inlineStr">
        <is>
          <t>White sand stone block</t>
        </is>
      </c>
      <c r="C778" s="22" t="inlineStr">
        <is>
          <t>10 cudm</t>
        </is>
      </c>
      <c r="D778" s="23" t="n">
        <v>6.67</v>
      </c>
      <c r="E778" s="24" t="n">
        <v>205</v>
      </c>
      <c r="F778" s="24">
        <f>D778*E778</f>
        <v/>
      </c>
      <c r="G778" s="22" t="n"/>
    </row>
    <row r="779">
      <c r="A779" s="22" t="inlineStr">
        <is>
          <t>2216</t>
        </is>
      </c>
      <c r="B779" s="11" t="inlineStr">
        <is>
          <t>Carriage of Stone blocks white &amp; red sand stone &amp; kota stone slab</t>
        </is>
      </c>
      <c r="C779" s="22" t="inlineStr">
        <is>
          <t>tonne</t>
        </is>
      </c>
      <c r="D779" s="23" t="n">
        <v>0.153</v>
      </c>
      <c r="E779" s="24" t="n">
        <v>92.23999999999999</v>
      </c>
      <c r="F779" s="24">
        <f>D779*E779</f>
        <v/>
      </c>
      <c r="G779" s="22" t="n"/>
    </row>
    <row r="780">
      <c r="A780" s="22" t="inlineStr">
        <is>
          <t>9999</t>
        </is>
      </c>
      <c r="B780" s="11" t="inlineStr">
        <is>
          <t>Extra for using white cement</t>
        </is>
      </c>
      <c r="C780" s="22" t="inlineStr">
        <is>
          <t>L.S.</t>
        </is>
      </c>
      <c r="D780" s="23" t="n">
        <v>26.91</v>
      </c>
      <c r="E780" s="24" t="n">
        <v>2</v>
      </c>
      <c r="F780" s="24">
        <f>D780*E780</f>
        <v/>
      </c>
      <c r="G780" s="22" t="n"/>
    </row>
    <row r="781">
      <c r="A781" s="22" t="inlineStr">
        <is>
          <t>0125</t>
        </is>
      </c>
      <c r="B781" s="11" t="inlineStr">
        <is>
          <t>Mason (for plain stone work) 2nd class)</t>
        </is>
      </c>
      <c r="C781" s="22" t="inlineStr">
        <is>
          <t>day</t>
        </is>
      </c>
      <c r="D781" s="23" t="n">
        <v>2.7</v>
      </c>
      <c r="E781" s="24" t="n">
        <v>679</v>
      </c>
      <c r="F781" s="24">
        <f>D781*E781</f>
        <v/>
      </c>
      <c r="G781" s="22" t="n"/>
    </row>
    <row r="782">
      <c r="A782" s="22" t="inlineStr">
        <is>
          <t>0102</t>
        </is>
      </c>
      <c r="B782" s="11" t="inlineStr">
        <is>
          <t>Blacksmith 1st class</t>
        </is>
      </c>
      <c r="C782" s="22" t="inlineStr">
        <is>
          <t>day</t>
        </is>
      </c>
      <c r="D782" s="23" t="n">
        <v>0.064</v>
      </c>
      <c r="E782" s="24" t="n">
        <v>738</v>
      </c>
      <c r="F782" s="24">
        <f>D782*E782</f>
        <v/>
      </c>
      <c r="G782" s="22" t="n"/>
    </row>
    <row r="783">
      <c r="A783" s="22" t="inlineStr">
        <is>
          <t>0114</t>
        </is>
      </c>
      <c r="B783" s="11" t="inlineStr">
        <is>
          <t>Beldar</t>
        </is>
      </c>
      <c r="C783" s="22" t="inlineStr">
        <is>
          <t>day</t>
        </is>
      </c>
      <c r="D783" s="23" t="n">
        <v>0.448</v>
      </c>
      <c r="E783" s="24" t="n">
        <v>558</v>
      </c>
      <c r="F783" s="24">
        <f>D783*E783</f>
        <v/>
      </c>
      <c r="G783" s="22" t="n"/>
    </row>
    <row r="784">
      <c r="A784" s="22" t="inlineStr">
        <is>
          <t>0115</t>
        </is>
      </c>
      <c r="B784" s="11" t="inlineStr">
        <is>
          <t>Coolie</t>
        </is>
      </c>
      <c r="C784" s="22" t="inlineStr">
        <is>
          <t>day</t>
        </is>
      </c>
      <c r="D784" s="23" t="n">
        <v>0.224</v>
      </c>
      <c r="E784" s="24" t="n">
        <v>558</v>
      </c>
      <c r="F784" s="24">
        <f>D784*E784</f>
        <v/>
      </c>
      <c r="G784" s="22" t="n"/>
    </row>
    <row r="785">
      <c r="A785" s="22" t="inlineStr">
        <is>
          <t>0100</t>
        </is>
      </c>
      <c r="B785" s="11" t="inlineStr">
        <is>
          <t>Bandhani</t>
        </is>
      </c>
      <c r="C785" s="22" t="inlineStr">
        <is>
          <t>day</t>
        </is>
      </c>
      <c r="D785" s="23" t="n">
        <v>0.448</v>
      </c>
      <c r="E785" s="24" t="n">
        <v>617</v>
      </c>
      <c r="F785" s="24">
        <f>D785*E785</f>
        <v/>
      </c>
      <c r="G785" s="22" t="n"/>
    </row>
    <row r="786">
      <c r="A786" s="22" t="inlineStr">
        <is>
          <t>0125</t>
        </is>
      </c>
      <c r="B786" s="11" t="inlineStr">
        <is>
          <t>Mason (for plain stone work) 2nd class)</t>
        </is>
      </c>
      <c r="C786" s="22" t="inlineStr">
        <is>
          <t>day</t>
        </is>
      </c>
      <c r="D786" s="23" t="n">
        <v>0.448</v>
      </c>
      <c r="E786" s="24" t="n">
        <v>679</v>
      </c>
      <c r="F786" s="24">
        <f>D786*E786</f>
        <v/>
      </c>
      <c r="G786" s="22" t="n"/>
    </row>
    <row r="787">
      <c r="A787" s="22" t="inlineStr">
        <is>
          <t>0100</t>
        </is>
      </c>
      <c r="B787" s="11" t="inlineStr">
        <is>
          <t>Bandhani</t>
        </is>
      </c>
      <c r="C787" s="22" t="inlineStr">
        <is>
          <t>day</t>
        </is>
      </c>
      <c r="D787" s="23" t="n">
        <v>0.336</v>
      </c>
      <c r="E787" s="24" t="n">
        <v>617</v>
      </c>
      <c r="F787" s="24">
        <f>D787*E787</f>
        <v/>
      </c>
      <c r="G787" s="22" t="n"/>
    </row>
    <row r="788">
      <c r="A788" s="22" t="inlineStr">
        <is>
          <t>0114</t>
        </is>
      </c>
      <c r="B788" s="11" t="inlineStr">
        <is>
          <t>Beldar</t>
        </is>
      </c>
      <c r="C788" s="22" t="inlineStr">
        <is>
          <t>day</t>
        </is>
      </c>
      <c r="D788" s="23" t="n">
        <v>0.336</v>
      </c>
      <c r="E788" s="24" t="n">
        <v>558</v>
      </c>
      <c r="F788" s="24">
        <f>D788*E788</f>
        <v/>
      </c>
      <c r="G788" s="22" t="n"/>
    </row>
    <row r="789">
      <c r="A789" s="22" t="inlineStr">
        <is>
          <t>0115</t>
        </is>
      </c>
      <c r="B789" s="11" t="inlineStr">
        <is>
          <t>Coolie</t>
        </is>
      </c>
      <c r="C789" s="22" t="inlineStr">
        <is>
          <t>day</t>
        </is>
      </c>
      <c r="D789" s="23" t="n">
        <v>0.336</v>
      </c>
      <c r="E789" s="24" t="n">
        <v>558</v>
      </c>
      <c r="F789" s="24">
        <f>D789*E789</f>
        <v/>
      </c>
      <c r="G789" s="22" t="n"/>
    </row>
    <row r="790">
      <c r="A790" s="22" t="inlineStr">
        <is>
          <t>0101</t>
        </is>
      </c>
      <c r="B790" s="11" t="inlineStr">
        <is>
          <t>Bhisti</t>
        </is>
      </c>
      <c r="C790" s="22" t="inlineStr">
        <is>
          <t>day</t>
        </is>
      </c>
      <c r="D790" s="23" t="n">
        <v>0.336</v>
      </c>
      <c r="E790" s="24" t="n">
        <v>617</v>
      </c>
      <c r="F790" s="24">
        <f>D790*E790</f>
        <v/>
      </c>
      <c r="G790" s="22" t="n"/>
    </row>
    <row r="791">
      <c r="A791" s="22" t="inlineStr">
        <is>
          <t>1237</t>
        </is>
      </c>
      <c r="B791" s="11" t="inlineStr">
        <is>
          <t>Cutting marble or sand stone slab upto 50 mm thick by mechanical device</t>
        </is>
      </c>
      <c r="C791" s="22" t="inlineStr">
        <is>
          <t>metre</t>
        </is>
      </c>
      <c r="D791" s="23" t="n">
        <v>4</v>
      </c>
      <c r="E791" s="24" t="n">
        <v>10</v>
      </c>
      <c r="F791" s="24">
        <f>D791*E791</f>
        <v/>
      </c>
      <c r="G791" s="22" t="n"/>
    </row>
    <row r="792">
      <c r="A792" s="22" t="inlineStr">
        <is>
          <t>9999</t>
        </is>
      </c>
      <c r="B792" s="11" t="inlineStr">
        <is>
          <t>Scaffolding</t>
        </is>
      </c>
      <c r="C792" s="22" t="inlineStr">
        <is>
          <t>L.S.</t>
        </is>
      </c>
      <c r="D792" s="23" t="n">
        <v>19.76</v>
      </c>
      <c r="E792" s="24" t="n">
        <v>2</v>
      </c>
      <c r="F792" s="24">
        <f>D792*E792</f>
        <v/>
      </c>
      <c r="G792" s="22" t="n"/>
    </row>
    <row r="793">
      <c r="A793" s="7" t="inlineStr">
        <is>
          <t>3.8</t>
        </is>
      </c>
      <c r="B793" s="11" t="inlineStr">
        <is>
          <t>Rate as per item 3.8 - Cement mortar 1:3 (1 cement : 3 coarse sand)</t>
        </is>
      </c>
      <c r="C793" s="22" t="inlineStr">
        <is>
          <t>cum</t>
        </is>
      </c>
      <c r="D793" s="23" t="n">
        <v>0.018</v>
      </c>
      <c r="E793" s="24" t="n">
        <v>4664.55</v>
      </c>
      <c r="F793" s="24">
        <f>D793*E793</f>
        <v/>
      </c>
      <c r="G793" s="22" t="n"/>
    </row>
    <row r="794">
      <c r="A794" s="8" t="inlineStr">
        <is>
          <t>Calculated W - SUM of the Amount column above</t>
        </is>
      </c>
      <c r="B794" s="9" t="n"/>
      <c r="C794" s="9" t="n"/>
      <c r="D794" s="9" t="n"/>
      <c r="E794" s="9" t="n"/>
      <c r="F794" s="25">
        <f>SUM(F778:F793)</f>
        <v/>
      </c>
      <c r="G794" s="9" t="n"/>
    </row>
    <row r="795">
      <c r="A795" s="26" t="inlineStr">
        <is>
          <t>W as printed in the DAR</t>
        </is>
      </c>
      <c r="B795" s="22" t="n"/>
      <c r="C795" s="22" t="n"/>
      <c r="D795" s="22" t="n"/>
      <c r="E795" s="22" t="n"/>
      <c r="F795" s="27" t="n">
        <v>5224.48</v>
      </c>
      <c r="G795" s="22" t="n"/>
    </row>
    <row r="796">
      <c r="A796" s="26" t="inlineStr">
        <is>
          <t>Difference (calculated - printed)</t>
        </is>
      </c>
      <c r="B796" s="22" t="n"/>
      <c r="C796" s="22" t="n"/>
      <c r="D796" s="22" t="n"/>
      <c r="E796" s="22" t="n"/>
      <c r="F796" s="27">
        <f>F794-F795</f>
        <v/>
      </c>
      <c r="G796" s="22" t="n"/>
    </row>
    <row r="797">
      <c r="A797" s="29" t="inlineStr">
        <is>
          <t>SAY (Rs.) - final DAR rate as printed (fixed value, not computed)</t>
        </is>
      </c>
      <c r="B797" s="30" t="n"/>
      <c r="C797" s="30" t="n"/>
      <c r="D797" s="30" t="n"/>
      <c r="E797" s="30" t="n"/>
      <c r="F797" s="31" t="n">
        <v>6990.05</v>
      </c>
      <c r="G797" s="30" t="n"/>
    </row>
    <row r="799" ht="62" customHeight="1">
      <c r="A799" s="8" t="inlineStr">
        <is>
          <t>8.14</t>
        </is>
      </c>
      <c r="B799"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799" s="9" t="n"/>
      <c r="D799" s="9" t="n"/>
      <c r="E799" s="9" t="n"/>
      <c r="F799" s="9" t="n"/>
      <c r="G799" s="9" t="n"/>
    </row>
    <row r="800" ht="18.5" customHeight="1">
      <c r="A800" s="8" t="inlineStr">
        <is>
          <t>8.14.4</t>
        </is>
      </c>
      <c r="B800" s="17" t="inlineStr">
        <is>
          <t>White sand stone - Exposed face machine cut and table rubbed with rough backing.</t>
        </is>
      </c>
      <c r="C800" s="9" t="n"/>
      <c r="D800" s="9" t="n"/>
      <c r="E800" s="9" t="n"/>
      <c r="F800" s="9" t="n"/>
      <c r="G800" s="9" t="n"/>
    </row>
    <row r="801" ht="18.5" customHeight="1">
      <c r="A801" s="18" t="inlineStr">
        <is>
          <t>8.14.4.4</t>
        </is>
      </c>
      <c r="B801" s="19" t="inlineStr">
        <is>
          <t>40 mm thick</t>
        </is>
      </c>
      <c r="C801" s="20" t="n"/>
      <c r="D801" s="20" t="n"/>
      <c r="E801" s="20" t="n"/>
      <c r="F801" s="20" t="n"/>
      <c r="G801" s="20" t="n"/>
    </row>
    <row r="802">
      <c r="A802" s="21" t="inlineStr">
        <is>
          <t>Details of cost for 1 sqm   |   Source: CivilDAR_2019_Vol_1.pdf, page 399</t>
        </is>
      </c>
    </row>
    <row r="803">
      <c r="A803" s="5" t="inlineStr">
        <is>
          <t>Code</t>
        </is>
      </c>
      <c r="B803" s="5" t="inlineStr">
        <is>
          <t>Description</t>
        </is>
      </c>
      <c r="C803" s="5" t="inlineStr">
        <is>
          <t>Unit</t>
        </is>
      </c>
      <c r="D803" s="5" t="inlineStr">
        <is>
          <t>Quantity</t>
        </is>
      </c>
      <c r="E803" s="5" t="inlineStr">
        <is>
          <t>Rate (Rs.)</t>
        </is>
      </c>
      <c r="F803" s="5" t="inlineStr">
        <is>
          <t>Amount (Rs.)</t>
        </is>
      </c>
      <c r="G803" s="5" t="inlineStr">
        <is>
          <t>Note</t>
        </is>
      </c>
    </row>
    <row r="804">
      <c r="A804" s="22" t="inlineStr">
        <is>
          <t>1161</t>
        </is>
      </c>
      <c r="B804" s="11" t="inlineStr">
        <is>
          <t>White sand stone block</t>
        </is>
      </c>
      <c r="C804" s="22" t="inlineStr">
        <is>
          <t>10 cudm</t>
        </is>
      </c>
      <c r="D804" s="23" t="n">
        <v>5.33</v>
      </c>
      <c r="E804" s="24" t="n">
        <v>205</v>
      </c>
      <c r="F804" s="24">
        <f>D804*E804</f>
        <v/>
      </c>
      <c r="G804" s="22" t="n"/>
    </row>
    <row r="805">
      <c r="A805" s="22" t="inlineStr">
        <is>
          <t>2216</t>
        </is>
      </c>
      <c r="B805" s="11" t="inlineStr">
        <is>
          <t>Carriage of Stone blocks white &amp; red sand stone &amp; kota stone slab</t>
        </is>
      </c>
      <c r="C805" s="22" t="inlineStr">
        <is>
          <t>tonne</t>
        </is>
      </c>
      <c r="D805" s="23" t="n">
        <v>0.123</v>
      </c>
      <c r="E805" s="24" t="n">
        <v>92.23999999999999</v>
      </c>
      <c r="F805" s="24">
        <f>D805*E805</f>
        <v/>
      </c>
      <c r="G805" s="22" t="n"/>
    </row>
    <row r="806">
      <c r="A806" s="22" t="inlineStr">
        <is>
          <t>9999</t>
        </is>
      </c>
      <c r="B806" s="11" t="inlineStr">
        <is>
          <t>Extra for using white cement</t>
        </is>
      </c>
      <c r="C806" s="22" t="inlineStr">
        <is>
          <t>L.S.</t>
        </is>
      </c>
      <c r="D806" s="23" t="n">
        <v>26.91</v>
      </c>
      <c r="E806" s="24" t="n">
        <v>2</v>
      </c>
      <c r="F806" s="24">
        <f>D806*E806</f>
        <v/>
      </c>
      <c r="G806" s="22" t="n"/>
    </row>
    <row r="807">
      <c r="A807" s="22" t="inlineStr">
        <is>
          <t>0125</t>
        </is>
      </c>
      <c r="B807" s="11" t="inlineStr">
        <is>
          <t>Mason (for plain stone work) 2nd class)</t>
        </is>
      </c>
      <c r="C807" s="22" t="inlineStr">
        <is>
          <t>day</t>
        </is>
      </c>
      <c r="D807" s="23" t="n">
        <v>2.7</v>
      </c>
      <c r="E807" s="24" t="n">
        <v>679</v>
      </c>
      <c r="F807" s="24">
        <f>D807*E807</f>
        <v/>
      </c>
      <c r="G807" s="22" t="n"/>
    </row>
    <row r="808">
      <c r="A808" s="22" t="inlineStr">
        <is>
          <t>0102</t>
        </is>
      </c>
      <c r="B808" s="11" t="inlineStr">
        <is>
          <t>Blacksmith 1st class</t>
        </is>
      </c>
      <c r="C808" s="22" t="inlineStr">
        <is>
          <t>day</t>
        </is>
      </c>
      <c r="D808" s="23" t="n">
        <v>0.064</v>
      </c>
      <c r="E808" s="24" t="n">
        <v>738</v>
      </c>
      <c r="F808" s="24">
        <f>D808*E808</f>
        <v/>
      </c>
      <c r="G808" s="22" t="n"/>
    </row>
    <row r="809">
      <c r="A809" s="22" t="inlineStr">
        <is>
          <t>0114</t>
        </is>
      </c>
      <c r="B809" s="11" t="inlineStr">
        <is>
          <t>Beldar</t>
        </is>
      </c>
      <c r="C809" s="22" t="inlineStr">
        <is>
          <t>day</t>
        </is>
      </c>
      <c r="D809" s="23" t="n">
        <v>0.448</v>
      </c>
      <c r="E809" s="24" t="n">
        <v>558</v>
      </c>
      <c r="F809" s="24">
        <f>D809*E809</f>
        <v/>
      </c>
      <c r="G809" s="22" t="n"/>
    </row>
    <row r="810">
      <c r="A810" s="22" t="inlineStr">
        <is>
          <t>0115</t>
        </is>
      </c>
      <c r="B810" s="11" t="inlineStr">
        <is>
          <t>Coolie</t>
        </is>
      </c>
      <c r="C810" s="22" t="inlineStr">
        <is>
          <t>day</t>
        </is>
      </c>
      <c r="D810" s="23" t="n">
        <v>0.224</v>
      </c>
      <c r="E810" s="24" t="n">
        <v>558</v>
      </c>
      <c r="F810" s="24">
        <f>D810*E810</f>
        <v/>
      </c>
      <c r="G810" s="22" t="n"/>
    </row>
    <row r="811">
      <c r="A811" s="22" t="inlineStr">
        <is>
          <t>0100</t>
        </is>
      </c>
      <c r="B811" s="11" t="inlineStr">
        <is>
          <t>Bandhani</t>
        </is>
      </c>
      <c r="C811" s="22" t="inlineStr">
        <is>
          <t>day</t>
        </is>
      </c>
      <c r="D811" s="23" t="n">
        <v>0.448</v>
      </c>
      <c r="E811" s="24" t="n">
        <v>617</v>
      </c>
      <c r="F811" s="24">
        <f>D811*E811</f>
        <v/>
      </c>
      <c r="G811" s="22" t="n"/>
    </row>
    <row r="812">
      <c r="A812" s="22" t="inlineStr">
        <is>
          <t>0125</t>
        </is>
      </c>
      <c r="B812" s="11" t="inlineStr">
        <is>
          <t>Mason (for plain stone work) 2nd class)</t>
        </is>
      </c>
      <c r="C812" s="22" t="inlineStr">
        <is>
          <t>day</t>
        </is>
      </c>
      <c r="D812" s="23" t="n">
        <v>0.448</v>
      </c>
      <c r="E812" s="24" t="n">
        <v>679</v>
      </c>
      <c r="F812" s="24">
        <f>D812*E812</f>
        <v/>
      </c>
      <c r="G812" s="22" t="n"/>
    </row>
    <row r="813">
      <c r="A813" s="22" t="inlineStr">
        <is>
          <t>0100</t>
        </is>
      </c>
      <c r="B813" s="11" t="inlineStr">
        <is>
          <t>Bandhani</t>
        </is>
      </c>
      <c r="C813" s="22" t="inlineStr">
        <is>
          <t>day</t>
        </is>
      </c>
      <c r="D813" s="23" t="n">
        <v>0.336</v>
      </c>
      <c r="E813" s="24" t="n">
        <v>617</v>
      </c>
      <c r="F813" s="24">
        <f>D813*E813</f>
        <v/>
      </c>
      <c r="G813" s="22" t="n"/>
    </row>
    <row r="814">
      <c r="A814" s="22" t="inlineStr">
        <is>
          <t>0114</t>
        </is>
      </c>
      <c r="B814" s="11" t="inlineStr">
        <is>
          <t>Beldar</t>
        </is>
      </c>
      <c r="C814" s="22" t="inlineStr">
        <is>
          <t>day</t>
        </is>
      </c>
      <c r="D814" s="23" t="n">
        <v>0.336</v>
      </c>
      <c r="E814" s="24" t="n">
        <v>558</v>
      </c>
      <c r="F814" s="24">
        <f>D814*E814</f>
        <v/>
      </c>
      <c r="G814" s="22" t="n"/>
    </row>
    <row r="815">
      <c r="A815" s="22" t="inlineStr">
        <is>
          <t>0115</t>
        </is>
      </c>
      <c r="B815" s="11" t="inlineStr">
        <is>
          <t>Coolie</t>
        </is>
      </c>
      <c r="C815" s="22" t="inlineStr">
        <is>
          <t>day</t>
        </is>
      </c>
      <c r="D815" s="23" t="n">
        <v>0.336</v>
      </c>
      <c r="E815" s="24" t="n">
        <v>558</v>
      </c>
      <c r="F815" s="24">
        <f>D815*E815</f>
        <v/>
      </c>
      <c r="G815" s="22" t="n"/>
    </row>
    <row r="816">
      <c r="A816" s="22" t="inlineStr">
        <is>
          <t>0101</t>
        </is>
      </c>
      <c r="B816" s="11" t="inlineStr">
        <is>
          <t>Bhisti</t>
        </is>
      </c>
      <c r="C816" s="22" t="inlineStr">
        <is>
          <t>day</t>
        </is>
      </c>
      <c r="D816" s="23" t="n">
        <v>0.336</v>
      </c>
      <c r="E816" s="24" t="n">
        <v>617</v>
      </c>
      <c r="F816" s="24">
        <f>D816*E816</f>
        <v/>
      </c>
      <c r="G816" s="22" t="n"/>
    </row>
    <row r="817">
      <c r="A817" s="22" t="inlineStr">
        <is>
          <t>1237</t>
        </is>
      </c>
      <c r="B817" s="11" t="inlineStr">
        <is>
          <t>Cutting marble or sand stone slab upto 50 mm thick by mechanical device</t>
        </is>
      </c>
      <c r="C817" s="22" t="inlineStr">
        <is>
          <t>metre</t>
        </is>
      </c>
      <c r="D817" s="23" t="n">
        <v>4</v>
      </c>
      <c r="E817" s="24" t="n">
        <v>10</v>
      </c>
      <c r="F817" s="24">
        <f>D817*E817</f>
        <v/>
      </c>
      <c r="G817" s="22" t="n"/>
    </row>
    <row r="818">
      <c r="A818" s="22" t="inlineStr">
        <is>
          <t>9999</t>
        </is>
      </c>
      <c r="B818" s="11" t="inlineStr">
        <is>
          <t>Scaffolding</t>
        </is>
      </c>
      <c r="C818" s="22" t="inlineStr">
        <is>
          <t>L.S.</t>
        </is>
      </c>
      <c r="D818" s="23" t="n">
        <v>19.76</v>
      </c>
      <c r="E818" s="24" t="n">
        <v>2</v>
      </c>
      <c r="F818" s="24">
        <f>D818*E818</f>
        <v/>
      </c>
      <c r="G818" s="22" t="n"/>
    </row>
    <row r="819">
      <c r="A819" s="7" t="inlineStr">
        <is>
          <t>3.8</t>
        </is>
      </c>
      <c r="B819" s="11" t="inlineStr">
        <is>
          <t>Rate as per item 3.8 - Cement mortar 1:3 (1 cement : 3 coarse sand)</t>
        </is>
      </c>
      <c r="C819" s="22" t="inlineStr">
        <is>
          <t>cum</t>
        </is>
      </c>
      <c r="D819" s="23" t="n">
        <v>0.018</v>
      </c>
      <c r="E819" s="24" t="n">
        <v>4664.55</v>
      </c>
      <c r="F819" s="24">
        <f>D819*E819</f>
        <v/>
      </c>
      <c r="G819" s="22" t="n"/>
    </row>
    <row r="820">
      <c r="A820" s="8" t="inlineStr">
        <is>
          <t>Calculated W - SUM of the Amount column above</t>
        </is>
      </c>
      <c r="B820" s="9" t="n"/>
      <c r="C820" s="9" t="n"/>
      <c r="D820" s="9" t="n"/>
      <c r="E820" s="9" t="n"/>
      <c r="F820" s="25">
        <f>SUM(F804:F819)</f>
        <v/>
      </c>
      <c r="G820" s="9" t="n"/>
    </row>
    <row r="821">
      <c r="A821" s="26" t="inlineStr">
        <is>
          <t>W as printed in the DAR</t>
        </is>
      </c>
      <c r="B821" s="22" t="n"/>
      <c r="C821" s="22" t="n"/>
      <c r="D821" s="22" t="n"/>
      <c r="E821" s="22" t="n"/>
      <c r="F821" s="27" t="n">
        <v>4947.01</v>
      </c>
      <c r="G821" s="22" t="n"/>
    </row>
    <row r="822">
      <c r="A822" s="26" t="inlineStr">
        <is>
          <t>Difference (calculated - printed)</t>
        </is>
      </c>
      <c r="B822" s="22" t="n"/>
      <c r="C822" s="22" t="n"/>
      <c r="D822" s="22" t="n"/>
      <c r="E822" s="22" t="n"/>
      <c r="F822" s="27">
        <f>F820-F821</f>
        <v/>
      </c>
      <c r="G822" s="22" t="n"/>
    </row>
    <row r="823">
      <c r="A823" s="29" t="inlineStr">
        <is>
          <t>SAY (Rs.) - final DAR rate as printed (fixed value, not computed)</t>
        </is>
      </c>
      <c r="B823" s="30" t="n"/>
      <c r="C823" s="30" t="n"/>
      <c r="D823" s="30" t="n"/>
      <c r="E823" s="30" t="n"/>
      <c r="F823" s="31" t="n">
        <v>6618.8</v>
      </c>
      <c r="G823" s="30" t="n"/>
    </row>
    <row r="825" ht="62" customHeight="1">
      <c r="A825" s="8" t="inlineStr">
        <is>
          <t>8.14</t>
        </is>
      </c>
      <c r="B825"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825" s="9" t="n"/>
      <c r="D825" s="9" t="n"/>
      <c r="E825" s="9" t="n"/>
      <c r="F825" s="9" t="n"/>
      <c r="G825" s="9" t="n"/>
    </row>
    <row r="826" ht="18.5" customHeight="1">
      <c r="A826" s="8" t="inlineStr">
        <is>
          <t>8.14.4</t>
        </is>
      </c>
      <c r="B826" s="17" t="inlineStr">
        <is>
          <t>White sand stone - Exposed face machine cut and table rubbed with rough backing.</t>
        </is>
      </c>
      <c r="C826" s="9" t="n"/>
      <c r="D826" s="9" t="n"/>
      <c r="E826" s="9" t="n"/>
      <c r="F826" s="9" t="n"/>
      <c r="G826" s="9" t="n"/>
    </row>
    <row r="827" ht="18.5" customHeight="1">
      <c r="A827" s="18" t="inlineStr">
        <is>
          <t>8.14.4.5</t>
        </is>
      </c>
      <c r="B827" s="19" t="inlineStr">
        <is>
          <t>30 mm thick</t>
        </is>
      </c>
      <c r="C827" s="20" t="n"/>
      <c r="D827" s="20" t="n"/>
      <c r="E827" s="20" t="n"/>
      <c r="F827" s="20" t="n"/>
      <c r="G827" s="20" t="n"/>
    </row>
    <row r="828">
      <c r="A828" s="21" t="inlineStr">
        <is>
          <t>Details of cost for 1 sqm   |   Source: CivilDAR_2019_Vol_1.pdf, page 400</t>
        </is>
      </c>
    </row>
    <row r="829">
      <c r="A829" s="5" t="inlineStr">
        <is>
          <t>Code</t>
        </is>
      </c>
      <c r="B829" s="5" t="inlineStr">
        <is>
          <t>Description</t>
        </is>
      </c>
      <c r="C829" s="5" t="inlineStr">
        <is>
          <t>Unit</t>
        </is>
      </c>
      <c r="D829" s="5" t="inlineStr">
        <is>
          <t>Quantity</t>
        </is>
      </c>
      <c r="E829" s="5" t="inlineStr">
        <is>
          <t>Rate (Rs.)</t>
        </is>
      </c>
      <c r="F829" s="5" t="inlineStr">
        <is>
          <t>Amount (Rs.)</t>
        </is>
      </c>
      <c r="G829" s="5" t="inlineStr">
        <is>
          <t>Note</t>
        </is>
      </c>
    </row>
    <row r="830">
      <c r="A830" s="22" t="inlineStr">
        <is>
          <t>1161</t>
        </is>
      </c>
      <c r="B830" s="11" t="inlineStr">
        <is>
          <t>White sand stone block</t>
        </is>
      </c>
      <c r="C830" s="22" t="inlineStr">
        <is>
          <t>10 cudm</t>
        </is>
      </c>
      <c r="D830" s="23" t="n">
        <v>3.999</v>
      </c>
      <c r="E830" s="24" t="n">
        <v>205</v>
      </c>
      <c r="F830" s="24">
        <f>D830*E830</f>
        <v/>
      </c>
      <c r="G830" s="22" t="n"/>
    </row>
    <row r="831">
      <c r="A831" s="22" t="inlineStr">
        <is>
          <t>2216</t>
        </is>
      </c>
      <c r="B831" s="11" t="inlineStr">
        <is>
          <t>Carriage of Stone blocks white &amp; red sand stone &amp; kota stone slab</t>
        </is>
      </c>
      <c r="C831" s="22" t="inlineStr">
        <is>
          <t>tonne</t>
        </is>
      </c>
      <c r="D831" s="23" t="n">
        <v>0.092</v>
      </c>
      <c r="E831" s="24" t="n">
        <v>92.23999999999999</v>
      </c>
      <c r="F831" s="24">
        <f>D831*E831</f>
        <v/>
      </c>
      <c r="G831" s="22" t="n"/>
    </row>
    <row r="832">
      <c r="A832" s="22" t="inlineStr">
        <is>
          <t>9999</t>
        </is>
      </c>
      <c r="B832" s="11" t="inlineStr">
        <is>
          <t>Extra for using white cement</t>
        </is>
      </c>
      <c r="C832" s="22" t="inlineStr">
        <is>
          <t>L.S.</t>
        </is>
      </c>
      <c r="D832" s="23" t="n">
        <v>26.91</v>
      </c>
      <c r="E832" s="24" t="n">
        <v>2</v>
      </c>
      <c r="F832" s="24">
        <f>D832*E832</f>
        <v/>
      </c>
      <c r="G832" s="22" t="n"/>
    </row>
    <row r="833">
      <c r="A833" s="22" t="inlineStr">
        <is>
          <t>0125</t>
        </is>
      </c>
      <c r="B833" s="11" t="inlineStr">
        <is>
          <t>Mason (for plain stone work) 2nd class)</t>
        </is>
      </c>
      <c r="C833" s="22" t="inlineStr">
        <is>
          <t>day</t>
        </is>
      </c>
      <c r="D833" s="23" t="n">
        <v>2.7</v>
      </c>
      <c r="E833" s="24" t="n">
        <v>679</v>
      </c>
      <c r="F833" s="24">
        <f>D833*E833</f>
        <v/>
      </c>
      <c r="G833" s="22" t="n"/>
    </row>
    <row r="834">
      <c r="A834" s="22" t="inlineStr">
        <is>
          <t>0102</t>
        </is>
      </c>
      <c r="B834" s="11" t="inlineStr">
        <is>
          <t>Blacksmith 1st class</t>
        </is>
      </c>
      <c r="C834" s="22" t="inlineStr">
        <is>
          <t>day</t>
        </is>
      </c>
      <c r="D834" s="23" t="n">
        <v>0.064</v>
      </c>
      <c r="E834" s="24" t="n">
        <v>738</v>
      </c>
      <c r="F834" s="24">
        <f>D834*E834</f>
        <v/>
      </c>
      <c r="G834" s="22" t="n"/>
    </row>
    <row r="835">
      <c r="A835" s="22" t="inlineStr">
        <is>
          <t>0114</t>
        </is>
      </c>
      <c r="B835" s="11" t="inlineStr">
        <is>
          <t>Beldar</t>
        </is>
      </c>
      <c r="C835" s="22" t="inlineStr">
        <is>
          <t>day</t>
        </is>
      </c>
      <c r="D835" s="23" t="n">
        <v>0.448</v>
      </c>
      <c r="E835" s="24" t="n">
        <v>558</v>
      </c>
      <c r="F835" s="24">
        <f>D835*E835</f>
        <v/>
      </c>
      <c r="G835" s="22" t="n"/>
    </row>
    <row r="836">
      <c r="A836" s="22" t="inlineStr">
        <is>
          <t>0115</t>
        </is>
      </c>
      <c r="B836" s="11" t="inlineStr">
        <is>
          <t>Coolie</t>
        </is>
      </c>
      <c r="C836" s="22" t="inlineStr">
        <is>
          <t>day</t>
        </is>
      </c>
      <c r="D836" s="23" t="n">
        <v>0.224</v>
      </c>
      <c r="E836" s="24" t="n">
        <v>558</v>
      </c>
      <c r="F836" s="24">
        <f>D836*E836</f>
        <v/>
      </c>
      <c r="G836" s="22" t="n"/>
    </row>
    <row r="837">
      <c r="A837" s="22" t="inlineStr">
        <is>
          <t>0100</t>
        </is>
      </c>
      <c r="B837" s="11" t="inlineStr">
        <is>
          <t>Bandhani</t>
        </is>
      </c>
      <c r="C837" s="22" t="inlineStr">
        <is>
          <t>day</t>
        </is>
      </c>
      <c r="D837" s="23" t="n">
        <v>0.448</v>
      </c>
      <c r="E837" s="24" t="n">
        <v>617</v>
      </c>
      <c r="F837" s="24">
        <f>D837*E837</f>
        <v/>
      </c>
      <c r="G837" s="22" t="n"/>
    </row>
    <row r="838">
      <c r="A838" s="22" t="inlineStr">
        <is>
          <t>0125</t>
        </is>
      </c>
      <c r="B838" s="11" t="inlineStr">
        <is>
          <t>Mason (for plain stone work) 2nd class)</t>
        </is>
      </c>
      <c r="C838" s="22" t="inlineStr">
        <is>
          <t>day</t>
        </is>
      </c>
      <c r="D838" s="23" t="n">
        <v>0.448</v>
      </c>
      <c r="E838" s="24" t="n">
        <v>679</v>
      </c>
      <c r="F838" s="24">
        <f>D838*E838</f>
        <v/>
      </c>
      <c r="G838" s="22" t="n"/>
    </row>
    <row r="839">
      <c r="A839" s="22" t="inlineStr">
        <is>
          <t>0100</t>
        </is>
      </c>
      <c r="B839" s="11" t="inlineStr">
        <is>
          <t>Bandhani</t>
        </is>
      </c>
      <c r="C839" s="22" t="inlineStr">
        <is>
          <t>day</t>
        </is>
      </c>
      <c r="D839" s="23" t="n">
        <v>0.336</v>
      </c>
      <c r="E839" s="24" t="n">
        <v>617</v>
      </c>
      <c r="F839" s="24">
        <f>D839*E839</f>
        <v/>
      </c>
      <c r="G839" s="22" t="n"/>
    </row>
    <row r="840">
      <c r="A840" s="22" t="inlineStr">
        <is>
          <t>0114</t>
        </is>
      </c>
      <c r="B840" s="11" t="inlineStr">
        <is>
          <t>Beldar</t>
        </is>
      </c>
      <c r="C840" s="22" t="inlineStr">
        <is>
          <t>day</t>
        </is>
      </c>
      <c r="D840" s="23" t="n">
        <v>0.336</v>
      </c>
      <c r="E840" s="24" t="n">
        <v>558</v>
      </c>
      <c r="F840" s="24">
        <f>D840*E840</f>
        <v/>
      </c>
      <c r="G840" s="22" t="n"/>
    </row>
    <row r="841">
      <c r="A841" s="22" t="inlineStr">
        <is>
          <t>0115</t>
        </is>
      </c>
      <c r="B841" s="11" t="inlineStr">
        <is>
          <t>Coolie</t>
        </is>
      </c>
      <c r="C841" s="22" t="inlineStr">
        <is>
          <t>day</t>
        </is>
      </c>
      <c r="D841" s="23" t="n">
        <v>0.336</v>
      </c>
      <c r="E841" s="24" t="n">
        <v>558</v>
      </c>
      <c r="F841" s="24">
        <f>D841*E841</f>
        <v/>
      </c>
      <c r="G841" s="22" t="n"/>
    </row>
    <row r="842">
      <c r="A842" s="22" t="inlineStr">
        <is>
          <t>0101</t>
        </is>
      </c>
      <c r="B842" s="11" t="inlineStr">
        <is>
          <t>Bhisti</t>
        </is>
      </c>
      <c r="C842" s="22" t="inlineStr">
        <is>
          <t>day</t>
        </is>
      </c>
      <c r="D842" s="23" t="n">
        <v>0.336</v>
      </c>
      <c r="E842" s="24" t="n">
        <v>617</v>
      </c>
      <c r="F842" s="24">
        <f>D842*E842</f>
        <v/>
      </c>
      <c r="G842" s="22" t="n"/>
    </row>
    <row r="843">
      <c r="A843" s="22" t="inlineStr">
        <is>
          <t>1237</t>
        </is>
      </c>
      <c r="B843" s="11" t="inlineStr">
        <is>
          <t>Cutting marble or sand stone slab upto 50 mm thick by mechanical device</t>
        </is>
      </c>
      <c r="C843" s="22" t="inlineStr">
        <is>
          <t>metre</t>
        </is>
      </c>
      <c r="D843" s="23" t="n">
        <v>4</v>
      </c>
      <c r="E843" s="24" t="n">
        <v>10</v>
      </c>
      <c r="F843" s="24">
        <f>D843*E843</f>
        <v/>
      </c>
      <c r="G843" s="22" t="n"/>
    </row>
    <row r="844">
      <c r="A844" s="22" t="inlineStr">
        <is>
          <t>9999</t>
        </is>
      </c>
      <c r="B844" s="11" t="inlineStr">
        <is>
          <t>Scaffolding</t>
        </is>
      </c>
      <c r="C844" s="22" t="inlineStr">
        <is>
          <t>L.S.</t>
        </is>
      </c>
      <c r="D844" s="23" t="n">
        <v>19.76</v>
      </c>
      <c r="E844" s="24" t="n">
        <v>2</v>
      </c>
      <c r="F844" s="24">
        <f>D844*E844</f>
        <v/>
      </c>
      <c r="G844" s="22" t="n"/>
    </row>
    <row r="845">
      <c r="A845" s="7" t="inlineStr">
        <is>
          <t>3.8</t>
        </is>
      </c>
      <c r="B845" s="11" t="inlineStr">
        <is>
          <t>Rate as per item 3.8 - Cement mortar 1:3 (1 cement : 3 coarse sand)</t>
        </is>
      </c>
      <c r="C845" s="22" t="inlineStr">
        <is>
          <t>cum</t>
        </is>
      </c>
      <c r="D845" s="23" t="n">
        <v>0.018</v>
      </c>
      <c r="E845" s="24" t="n">
        <v>4664.55</v>
      </c>
      <c r="F845" s="24">
        <f>D845*E845</f>
        <v/>
      </c>
      <c r="G845" s="22" t="n"/>
    </row>
    <row r="846">
      <c r="A846" s="8" t="inlineStr">
        <is>
          <t>Calculated W - SUM of the Amount column above</t>
        </is>
      </c>
      <c r="B846" s="9" t="n"/>
      <c r="C846" s="9" t="n"/>
      <c r="D846" s="9" t="n"/>
      <c r="E846" s="9" t="n"/>
      <c r="F846" s="25">
        <f>SUM(F830:F845)</f>
        <v/>
      </c>
      <c r="G846" s="9" t="n"/>
    </row>
    <row r="847">
      <c r="A847" s="26" t="inlineStr">
        <is>
          <t>W as printed in the DAR</t>
        </is>
      </c>
      <c r="B847" s="22" t="n"/>
      <c r="C847" s="22" t="n"/>
      <c r="D847" s="22" t="n"/>
      <c r="E847" s="22" t="n"/>
      <c r="F847" s="27" t="n">
        <v>4671.3</v>
      </c>
      <c r="G847" s="22" t="n"/>
    </row>
    <row r="848">
      <c r="A848" s="26" t="inlineStr">
        <is>
          <t>Difference (calculated - printed)</t>
        </is>
      </c>
      <c r="B848" s="22" t="n"/>
      <c r="C848" s="22" t="n"/>
      <c r="D848" s="22" t="n"/>
      <c r="E848" s="22" t="n"/>
      <c r="F848" s="27">
        <f>F846-F847</f>
        <v/>
      </c>
      <c r="G848" s="22" t="n"/>
    </row>
    <row r="849">
      <c r="A849" s="29" t="inlineStr">
        <is>
          <t>SAY (Rs.) - final DAR rate as printed (fixed value, not computed)</t>
        </is>
      </c>
      <c r="B849" s="30" t="n"/>
      <c r="C849" s="30" t="n"/>
      <c r="D849" s="30" t="n"/>
      <c r="E849" s="30" t="n"/>
      <c r="F849" s="31" t="n">
        <v>6249.9</v>
      </c>
      <c r="G849" s="30" t="n"/>
    </row>
    <row r="851" ht="62" customHeight="1">
      <c r="A851" s="8" t="inlineStr">
        <is>
          <t>8.14</t>
        </is>
      </c>
      <c r="B851"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851" s="9" t="n"/>
      <c r="D851" s="9" t="n"/>
      <c r="E851" s="9" t="n"/>
      <c r="F851" s="9" t="n"/>
      <c r="G851" s="9" t="n"/>
    </row>
    <row r="852" ht="18.5" customHeight="1">
      <c r="A852" s="8" t="inlineStr">
        <is>
          <t>8.14.5</t>
        </is>
      </c>
      <c r="B852" s="17" t="inlineStr">
        <is>
          <t>Gang saw cut stone</t>
        </is>
      </c>
      <c r="C852" s="9" t="n"/>
      <c r="D852" s="9" t="n"/>
      <c r="E852" s="9" t="n"/>
      <c r="F852" s="9" t="n"/>
      <c r="G852" s="9" t="n"/>
    </row>
    <row r="853" ht="18.5" customHeight="1">
      <c r="A853" s="18" t="inlineStr">
        <is>
          <t>8.14.5.1</t>
        </is>
      </c>
      <c r="B853" s="19" t="inlineStr">
        <is>
          <t>30mm thick White sand stone</t>
        </is>
      </c>
      <c r="C853" s="20" t="n"/>
      <c r="D853" s="20" t="n"/>
      <c r="E853" s="20" t="n"/>
      <c r="F853" s="20" t="n"/>
      <c r="G853" s="20" t="n"/>
    </row>
    <row r="854">
      <c r="A854" s="21" t="inlineStr">
        <is>
          <t>Details of cost for 1 sqm   |   Source: CivilDAR_2019_Vol_1.pdf, page 401</t>
        </is>
      </c>
    </row>
    <row r="855">
      <c r="A855" s="5" t="inlineStr">
        <is>
          <t>Code</t>
        </is>
      </c>
      <c r="B855" s="5" t="inlineStr">
        <is>
          <t>Description</t>
        </is>
      </c>
      <c r="C855" s="5" t="inlineStr">
        <is>
          <t>Unit</t>
        </is>
      </c>
      <c r="D855" s="5" t="inlineStr">
        <is>
          <t>Quantity</t>
        </is>
      </c>
      <c r="E855" s="5" t="inlineStr">
        <is>
          <t>Rate (Rs.)</t>
        </is>
      </c>
      <c r="F855" s="5" t="inlineStr">
        <is>
          <t>Amount (Rs.)</t>
        </is>
      </c>
      <c r="G855" s="5" t="inlineStr">
        <is>
          <t>Note</t>
        </is>
      </c>
    </row>
    <row r="856">
      <c r="A856" s="22" t="inlineStr">
        <is>
          <t>8684</t>
        </is>
      </c>
      <c r="B856" s="11" t="inlineStr">
        <is>
          <t>White sand stone gang saw cut 30 mm thick</t>
        </is>
      </c>
      <c r="C856" s="22" t="inlineStr">
        <is>
          <t>sqm</t>
        </is>
      </c>
      <c r="D856" s="23" t="n">
        <v>1.05</v>
      </c>
      <c r="E856" s="24" t="n">
        <v>560</v>
      </c>
      <c r="F856" s="24">
        <f>D856*E856</f>
        <v/>
      </c>
      <c r="G856" s="22" t="n"/>
    </row>
    <row r="857">
      <c r="A857" s="22" t="inlineStr">
        <is>
          <t>2216</t>
        </is>
      </c>
      <c r="B857" s="11" t="inlineStr">
        <is>
          <t>Carriage of Stone blocks white &amp; red sand stone &amp; kota stone slab @ 2.30 kg/cudm.</t>
        </is>
      </c>
      <c r="C857" s="22" t="inlineStr">
        <is>
          <t>tonne</t>
        </is>
      </c>
      <c r="D857" s="23" t="n">
        <v>0.07199999999999999</v>
      </c>
      <c r="E857" s="24" t="n">
        <v>92.23999999999999</v>
      </c>
      <c r="F857" s="24">
        <f>D857*E857</f>
        <v/>
      </c>
      <c r="G857" s="22" t="n"/>
    </row>
    <row r="858">
      <c r="A858" s="22" t="inlineStr">
        <is>
          <t>9999</t>
        </is>
      </c>
      <c r="B858" s="11" t="inlineStr">
        <is>
          <t>Extra for using white cement</t>
        </is>
      </c>
      <c r="C858" s="22" t="inlineStr">
        <is>
          <t>L.S.</t>
        </is>
      </c>
      <c r="D858" s="23" t="n">
        <v>26.91</v>
      </c>
      <c r="E858" s="24" t="n">
        <v>2</v>
      </c>
      <c r="F858" s="24">
        <f>D858*E858</f>
        <v/>
      </c>
      <c r="G858" s="22" t="n"/>
    </row>
    <row r="859">
      <c r="A859" s="22" t="inlineStr">
        <is>
          <t>0125</t>
        </is>
      </c>
      <c r="B859" s="11" t="inlineStr">
        <is>
          <t>Mason (for plain stone work) 2nd class</t>
        </is>
      </c>
      <c r="C859" s="22" t="inlineStr">
        <is>
          <t>day</t>
        </is>
      </c>
      <c r="D859" s="23" t="n">
        <v>0.448</v>
      </c>
      <c r="E859" s="24" t="n">
        <v>679</v>
      </c>
      <c r="F859" s="24">
        <f>D859*E859</f>
        <v/>
      </c>
      <c r="G859" s="22" t="n"/>
    </row>
    <row r="860">
      <c r="A860" s="22" t="inlineStr">
        <is>
          <t>0100</t>
        </is>
      </c>
      <c r="B860" s="11" t="inlineStr">
        <is>
          <t>Bandhani</t>
        </is>
      </c>
      <c r="C860" s="22" t="inlineStr">
        <is>
          <t>day</t>
        </is>
      </c>
      <c r="D860" s="23" t="n">
        <v>0.336</v>
      </c>
      <c r="E860" s="24" t="n">
        <v>617</v>
      </c>
      <c r="F860" s="24">
        <f>D860*E860</f>
        <v/>
      </c>
      <c r="G860" s="22" t="n"/>
    </row>
    <row r="861">
      <c r="A861" s="22" t="inlineStr">
        <is>
          <t>0114</t>
        </is>
      </c>
      <c r="B861" s="11" t="inlineStr">
        <is>
          <t>Beldar</t>
        </is>
      </c>
      <c r="C861" s="22" t="inlineStr">
        <is>
          <t>day</t>
        </is>
      </c>
      <c r="D861" s="23" t="n">
        <v>0.336</v>
      </c>
      <c r="E861" s="24" t="n">
        <v>558</v>
      </c>
      <c r="F861" s="24">
        <f>D861*E861</f>
        <v/>
      </c>
      <c r="G861" s="22" t="n"/>
    </row>
    <row r="862">
      <c r="A862" s="22" t="inlineStr">
        <is>
          <t>0115</t>
        </is>
      </c>
      <c r="B862" s="11" t="inlineStr">
        <is>
          <t>Coolie</t>
        </is>
      </c>
      <c r="C862" s="22" t="inlineStr">
        <is>
          <t>day</t>
        </is>
      </c>
      <c r="D862" s="23" t="n">
        <v>0.336</v>
      </c>
      <c r="E862" s="24" t="n">
        <v>558</v>
      </c>
      <c r="F862" s="24">
        <f>D862*E862</f>
        <v/>
      </c>
      <c r="G862" s="22" t="n"/>
    </row>
    <row r="863">
      <c r="A863" s="22" t="inlineStr">
        <is>
          <t>0101</t>
        </is>
      </c>
      <c r="B863" s="11" t="inlineStr">
        <is>
          <t>Bhisti</t>
        </is>
      </c>
      <c r="C863" s="22" t="inlineStr">
        <is>
          <t>day</t>
        </is>
      </c>
      <c r="D863" s="23" t="n">
        <v>0.336</v>
      </c>
      <c r="E863" s="24" t="n">
        <v>617</v>
      </c>
      <c r="F863" s="24">
        <f>D863*E863</f>
        <v/>
      </c>
      <c r="G863" s="22" t="n"/>
    </row>
    <row r="864">
      <c r="A864" s="22" t="inlineStr">
        <is>
          <t>1237</t>
        </is>
      </c>
      <c r="B864" s="11" t="inlineStr">
        <is>
          <t>Cutting marble or sand stone slab upto 50 mm thick by mechanical device</t>
        </is>
      </c>
      <c r="C864" s="22" t="inlineStr">
        <is>
          <t>metre</t>
        </is>
      </c>
      <c r="D864" s="23" t="n">
        <v>4</v>
      </c>
      <c r="E864" s="24" t="n">
        <v>10</v>
      </c>
      <c r="F864" s="24">
        <f>D864*E864</f>
        <v/>
      </c>
      <c r="G864" s="22" t="n"/>
    </row>
    <row r="865">
      <c r="A865" s="22" t="inlineStr">
        <is>
          <t>9999</t>
        </is>
      </c>
      <c r="B865" s="11" t="inlineStr">
        <is>
          <t>Scaffolding</t>
        </is>
      </c>
      <c r="C865" s="22" t="inlineStr">
        <is>
          <t>L.S.</t>
        </is>
      </c>
      <c r="D865" s="23" t="n">
        <v>19.76</v>
      </c>
      <c r="E865" s="24" t="n">
        <v>2</v>
      </c>
      <c r="F865" s="24">
        <f>D865*E865</f>
        <v/>
      </c>
      <c r="G865" s="22" t="n"/>
    </row>
    <row r="866">
      <c r="A866" s="7" t="inlineStr">
        <is>
          <t>3.8</t>
        </is>
      </c>
      <c r="B866" s="11" t="inlineStr">
        <is>
          <t>Rate as per item 3.8 - Cement mortar 1:3 (1 cement : 3 coarse sand)</t>
        </is>
      </c>
      <c r="C866" s="22" t="inlineStr">
        <is>
          <t>cum</t>
        </is>
      </c>
      <c r="D866" s="23" t="n">
        <v>0.018</v>
      </c>
      <c r="E866" s="24" t="n">
        <v>4664.55</v>
      </c>
      <c r="F866" s="24">
        <f>D866*E866</f>
        <v/>
      </c>
      <c r="G866" s="22" t="n"/>
    </row>
    <row r="867">
      <c r="A867" s="8" t="inlineStr">
        <is>
          <t>Calculated W - SUM of the Amount column above</t>
        </is>
      </c>
      <c r="B867" s="9" t="n"/>
      <c r="C867" s="9" t="n"/>
      <c r="D867" s="9" t="n"/>
      <c r="E867" s="9" t="n"/>
      <c r="F867" s="25">
        <f>SUM(F856:F866)</f>
        <v/>
      </c>
      <c r="G867" s="9" t="n"/>
    </row>
    <row r="868">
      <c r="A868" s="26" t="inlineStr">
        <is>
          <t>W as printed in the DAR</t>
        </is>
      </c>
      <c r="B868" s="22" t="n"/>
      <c r="C868" s="22" t="n"/>
      <c r="D868" s="22" t="n"/>
      <c r="E868" s="22" t="n"/>
      <c r="F868" s="27" t="n">
        <v>1905.74</v>
      </c>
      <c r="G868" s="22" t="n"/>
    </row>
    <row r="869">
      <c r="A869" s="26" t="inlineStr">
        <is>
          <t>Difference (calculated - printed)</t>
        </is>
      </c>
      <c r="B869" s="22" t="n"/>
      <c r="C869" s="22" t="n"/>
      <c r="D869" s="22" t="n"/>
      <c r="E869" s="22" t="n"/>
      <c r="F869" s="27">
        <f>F867-F868</f>
        <v/>
      </c>
      <c r="G869" s="22" t="n"/>
    </row>
    <row r="870">
      <c r="A870" s="29" t="inlineStr">
        <is>
          <t>SAY (Rs.) - final DAR rate as printed (fixed value, not computed)</t>
        </is>
      </c>
      <c r="B870" s="30" t="n"/>
      <c r="C870" s="30" t="n"/>
      <c r="D870" s="30" t="n"/>
      <c r="E870" s="30" t="n"/>
      <c r="F870" s="31" t="n">
        <v>2549.75</v>
      </c>
      <c r="G870" s="30" t="n"/>
    </row>
    <row r="872" ht="62" customHeight="1">
      <c r="A872" s="8" t="inlineStr">
        <is>
          <t>8.14</t>
        </is>
      </c>
      <c r="B872" s="17"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is>
      </c>
      <c r="C872" s="9" t="n"/>
      <c r="D872" s="9" t="n"/>
      <c r="E872" s="9" t="n"/>
      <c r="F872" s="9" t="n"/>
      <c r="G872" s="9" t="n"/>
    </row>
    <row r="873" ht="18.5" customHeight="1">
      <c r="A873" s="8" t="inlineStr">
        <is>
          <t>8.14.5</t>
        </is>
      </c>
      <c r="B873" s="17" t="inlineStr">
        <is>
          <t>Gang saw cut stone</t>
        </is>
      </c>
      <c r="C873" s="9" t="n"/>
      <c r="D873" s="9" t="n"/>
      <c r="E873" s="9" t="n"/>
      <c r="F873" s="9" t="n"/>
      <c r="G873" s="9" t="n"/>
    </row>
    <row r="874" ht="18.5" customHeight="1">
      <c r="A874" s="18" t="inlineStr">
        <is>
          <t>8.14.5.2</t>
        </is>
      </c>
      <c r="B874" s="19" t="inlineStr">
        <is>
          <t>30mm thick Red sand stone</t>
        </is>
      </c>
      <c r="C874" s="20" t="n"/>
      <c r="D874" s="20" t="n"/>
      <c r="E874" s="20" t="n"/>
      <c r="F874" s="20" t="n"/>
      <c r="G874" s="20" t="n"/>
    </row>
    <row r="875">
      <c r="A875" s="21" t="inlineStr">
        <is>
          <t>Details of cost for 1 sqm   |   Source: CivilDAR_2019_Vol_1.pdf, page 402</t>
        </is>
      </c>
    </row>
    <row r="876">
      <c r="A876" s="5" t="inlineStr">
        <is>
          <t>Code</t>
        </is>
      </c>
      <c r="B876" s="5" t="inlineStr">
        <is>
          <t>Description</t>
        </is>
      </c>
      <c r="C876" s="5" t="inlineStr">
        <is>
          <t>Unit</t>
        </is>
      </c>
      <c r="D876" s="5" t="inlineStr">
        <is>
          <t>Quantity</t>
        </is>
      </c>
      <c r="E876" s="5" t="inlineStr">
        <is>
          <t>Rate (Rs.)</t>
        </is>
      </c>
      <c r="F876" s="5" t="inlineStr">
        <is>
          <t>Amount (Rs.)</t>
        </is>
      </c>
      <c r="G876" s="5" t="inlineStr">
        <is>
          <t>Note</t>
        </is>
      </c>
    </row>
    <row r="877">
      <c r="A877" s="22" t="inlineStr">
        <is>
          <t>8683</t>
        </is>
      </c>
      <c r="B877" s="11" t="inlineStr">
        <is>
          <t>Red sand stone gang saw cut 30 mm thick</t>
        </is>
      </c>
      <c r="C877" s="22" t="inlineStr">
        <is>
          <t>sqm</t>
        </is>
      </c>
      <c r="D877" s="23" t="n">
        <v>1.05</v>
      </c>
      <c r="E877" s="24" t="n">
        <v>425</v>
      </c>
      <c r="F877" s="24">
        <f>D877*E877</f>
        <v/>
      </c>
      <c r="G877" s="22" t="n"/>
    </row>
    <row r="878">
      <c r="A878" s="22" t="inlineStr">
        <is>
          <t>2216</t>
        </is>
      </c>
      <c r="B878" s="11" t="inlineStr">
        <is>
          <t>Carriage of Stone blocks white &amp; red sand stone &amp; kota stone slab @ 2.30 kg/cudm.</t>
        </is>
      </c>
      <c r="C878" s="22" t="inlineStr">
        <is>
          <t>tonne</t>
        </is>
      </c>
      <c r="D878" s="23" t="n">
        <v>0.07199999999999999</v>
      </c>
      <c r="E878" s="24" t="n">
        <v>92.23999999999999</v>
      </c>
      <c r="F878" s="24">
        <f>D878*E878</f>
        <v/>
      </c>
      <c r="G878" s="22" t="n"/>
    </row>
    <row r="879">
      <c r="A879" s="22" t="inlineStr">
        <is>
          <t>9999</t>
        </is>
      </c>
      <c r="B879" s="11" t="inlineStr">
        <is>
          <t>Extra for using white cement</t>
        </is>
      </c>
      <c r="C879" s="22" t="inlineStr">
        <is>
          <t>L.S.</t>
        </is>
      </c>
      <c r="D879" s="23" t="n">
        <v>26.91</v>
      </c>
      <c r="E879" s="24" t="n">
        <v>2</v>
      </c>
      <c r="F879" s="24">
        <f>D879*E879</f>
        <v/>
      </c>
      <c r="G879" s="22" t="n"/>
    </row>
    <row r="880">
      <c r="A880" s="22" t="inlineStr">
        <is>
          <t>0125</t>
        </is>
      </c>
      <c r="B880" s="11" t="inlineStr">
        <is>
          <t>Mason (for plain stone work) 2nd class</t>
        </is>
      </c>
      <c r="C880" s="22" t="inlineStr">
        <is>
          <t>day</t>
        </is>
      </c>
      <c r="D880" s="23" t="n">
        <v>0.448</v>
      </c>
      <c r="E880" s="24" t="n">
        <v>679</v>
      </c>
      <c r="F880" s="24">
        <f>D880*E880</f>
        <v/>
      </c>
      <c r="G880" s="22" t="n"/>
    </row>
    <row r="881">
      <c r="A881" s="22" t="inlineStr">
        <is>
          <t>0100</t>
        </is>
      </c>
      <c r="B881" s="11" t="inlineStr">
        <is>
          <t>Bandhani</t>
        </is>
      </c>
      <c r="C881" s="22" t="inlineStr">
        <is>
          <t>day</t>
        </is>
      </c>
      <c r="D881" s="23" t="n">
        <v>0.336</v>
      </c>
      <c r="E881" s="24" t="n">
        <v>617</v>
      </c>
      <c r="F881" s="24">
        <f>D881*E881</f>
        <v/>
      </c>
      <c r="G881" s="22" t="n"/>
    </row>
    <row r="882">
      <c r="A882" s="22" t="inlineStr">
        <is>
          <t>0114</t>
        </is>
      </c>
      <c r="B882" s="11" t="inlineStr">
        <is>
          <t>Beldar</t>
        </is>
      </c>
      <c r="C882" s="22" t="inlineStr">
        <is>
          <t>day</t>
        </is>
      </c>
      <c r="D882" s="23" t="n">
        <v>0.336</v>
      </c>
      <c r="E882" s="24" t="n">
        <v>558</v>
      </c>
      <c r="F882" s="24">
        <f>D882*E882</f>
        <v/>
      </c>
      <c r="G882" s="22" t="n"/>
    </row>
    <row r="883">
      <c r="A883" s="22" t="inlineStr">
        <is>
          <t>0115</t>
        </is>
      </c>
      <c r="B883" s="11" t="inlineStr">
        <is>
          <t>Coolie</t>
        </is>
      </c>
      <c r="C883" s="22" t="inlineStr">
        <is>
          <t>day</t>
        </is>
      </c>
      <c r="D883" s="23" t="n">
        <v>0.336</v>
      </c>
      <c r="E883" s="24" t="n">
        <v>558</v>
      </c>
      <c r="F883" s="24">
        <f>D883*E883</f>
        <v/>
      </c>
      <c r="G883" s="22" t="n"/>
    </row>
    <row r="884">
      <c r="A884" s="22" t="inlineStr">
        <is>
          <t>0101</t>
        </is>
      </c>
      <c r="B884" s="11" t="inlineStr">
        <is>
          <t>Bhisti</t>
        </is>
      </c>
      <c r="C884" s="22" t="inlineStr">
        <is>
          <t>day</t>
        </is>
      </c>
      <c r="D884" s="23" t="n">
        <v>0.336</v>
      </c>
      <c r="E884" s="24" t="n">
        <v>617</v>
      </c>
      <c r="F884" s="24">
        <f>D884*E884</f>
        <v/>
      </c>
      <c r="G884" s="22" t="n"/>
    </row>
    <row r="885">
      <c r="A885" s="22" t="inlineStr">
        <is>
          <t>1237</t>
        </is>
      </c>
      <c r="B885" s="11" t="inlineStr">
        <is>
          <t>Cutting marble or sand stone slab upto 50 mm thick by mechanical device</t>
        </is>
      </c>
      <c r="C885" s="22" t="inlineStr">
        <is>
          <t>metre</t>
        </is>
      </c>
      <c r="D885" s="23" t="n">
        <v>4</v>
      </c>
      <c r="E885" s="24" t="n">
        <v>10</v>
      </c>
      <c r="F885" s="24">
        <f>D885*E885</f>
        <v/>
      </c>
      <c r="G885" s="22" t="n"/>
    </row>
    <row r="886">
      <c r="A886" s="22" t="inlineStr">
        <is>
          <t>9999</t>
        </is>
      </c>
      <c r="B886" s="11" t="inlineStr">
        <is>
          <t>Scaffolding</t>
        </is>
      </c>
      <c r="C886" s="22" t="inlineStr">
        <is>
          <t>L.S.</t>
        </is>
      </c>
      <c r="D886" s="23" t="n">
        <v>19.76</v>
      </c>
      <c r="E886" s="24" t="n">
        <v>2</v>
      </c>
      <c r="F886" s="24">
        <f>D886*E886</f>
        <v/>
      </c>
      <c r="G886" s="22" t="n"/>
    </row>
    <row r="887">
      <c r="A887" s="7" t="inlineStr">
        <is>
          <t>3.8</t>
        </is>
      </c>
      <c r="B887" s="11" t="inlineStr">
        <is>
          <t>Rate as per item 3.8 - Cement mortar 1:3 (1 cement : 3 coarse sand)</t>
        </is>
      </c>
      <c r="C887" s="22" t="inlineStr">
        <is>
          <t>cum</t>
        </is>
      </c>
      <c r="D887" s="23" t="n">
        <v>0.018</v>
      </c>
      <c r="E887" s="24" t="n">
        <v>4664.55</v>
      </c>
      <c r="F887" s="24">
        <f>D887*E887</f>
        <v/>
      </c>
      <c r="G887" s="22" t="n"/>
    </row>
    <row r="888">
      <c r="A888" s="8" t="inlineStr">
        <is>
          <t>Calculated W - SUM of the Amount column above</t>
        </is>
      </c>
      <c r="B888" s="9" t="n"/>
      <c r="C888" s="9" t="n"/>
      <c r="D888" s="9" t="n"/>
      <c r="E888" s="9" t="n"/>
      <c r="F888" s="25">
        <f>SUM(F877:F887)</f>
        <v/>
      </c>
      <c r="G888" s="9" t="n"/>
    </row>
    <row r="889">
      <c r="A889" s="26" t="inlineStr">
        <is>
          <t>W as printed in the DAR</t>
        </is>
      </c>
      <c r="B889" s="22" t="n"/>
      <c r="C889" s="22" t="n"/>
      <c r="D889" s="22" t="n"/>
      <c r="E889" s="22" t="n"/>
      <c r="F889" s="27" t="n">
        <v>1763.99</v>
      </c>
      <c r="G889" s="22" t="n"/>
    </row>
    <row r="890">
      <c r="A890" s="26" t="inlineStr">
        <is>
          <t>Difference (calculated - printed)</t>
        </is>
      </c>
      <c r="B890" s="22" t="n"/>
      <c r="C890" s="22" t="n"/>
      <c r="D890" s="22" t="n"/>
      <c r="E890" s="22" t="n"/>
      <c r="F890" s="27">
        <f>F888-F889</f>
        <v/>
      </c>
      <c r="G890" s="22" t="n"/>
    </row>
    <row r="891">
      <c r="A891" s="29" t="inlineStr">
        <is>
          <t>SAY (Rs.) - final DAR rate as printed (fixed value, not computed)</t>
        </is>
      </c>
      <c r="B891" s="30" t="n"/>
      <c r="C891" s="30" t="n"/>
      <c r="D891" s="30" t="n"/>
      <c r="E891" s="30" t="n"/>
      <c r="F891" s="31" t="n">
        <v>2360.1</v>
      </c>
      <c r="G891" s="30" t="n"/>
    </row>
    <row r="893" ht="47.5" customHeight="1">
      <c r="A893" s="18" t="inlineStr">
        <is>
          <t>8.15</t>
        </is>
      </c>
      <c r="B893" s="19" t="inlineStr">
        <is>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is>
      </c>
      <c r="C893" s="20" t="n"/>
      <c r="D893" s="20" t="n"/>
      <c r="E893" s="20" t="n"/>
      <c r="F893" s="20" t="n"/>
      <c r="G893" s="20" t="n"/>
    </row>
    <row r="894">
      <c r="A894" s="21" t="inlineStr">
        <is>
          <t>Details of cost for 0.934 kg   |   Source: CivilDAR_2019_Vol_1.pdf, page 402</t>
        </is>
      </c>
    </row>
    <row r="895">
      <c r="A895" s="5" t="inlineStr">
        <is>
          <t>Code</t>
        </is>
      </c>
      <c r="B895" s="5" t="inlineStr">
        <is>
          <t>Description</t>
        </is>
      </c>
      <c r="C895" s="5" t="inlineStr">
        <is>
          <t>Unit</t>
        </is>
      </c>
      <c r="D895" s="5" t="inlineStr">
        <is>
          <t>Quantity</t>
        </is>
      </c>
      <c r="E895" s="5" t="inlineStr">
        <is>
          <t>Rate (Rs.)</t>
        </is>
      </c>
      <c r="F895" s="5" t="inlineStr">
        <is>
          <t>Amount (Rs.)</t>
        </is>
      </c>
      <c r="G895" s="5" t="inlineStr">
        <is>
          <t>Note</t>
        </is>
      </c>
    </row>
    <row r="896">
      <c r="A896" s="22" t="inlineStr">
        <is>
          <t>7339</t>
        </is>
      </c>
      <c r="B896" s="11" t="inlineStr">
        <is>
          <t>Stainless steel cramp</t>
        </is>
      </c>
      <c r="C896" s="22" t="inlineStr">
        <is>
          <t>kilogram</t>
        </is>
      </c>
      <c r="D896" s="23" t="n">
        <v>0.981</v>
      </c>
      <c r="E896" s="24" t="n">
        <v>290</v>
      </c>
      <c r="F896" s="24">
        <f>D896*E896</f>
        <v/>
      </c>
      <c r="G896" s="22" t="n"/>
    </row>
    <row r="897">
      <c r="A897" s="22" t="inlineStr">
        <is>
          <t>9977</t>
        </is>
      </c>
      <c r="B897" s="11" t="inlineStr">
        <is>
          <t>CARRIAGE</t>
        </is>
      </c>
      <c r="C897" s="22" t="inlineStr">
        <is>
          <t>L.S.</t>
        </is>
      </c>
      <c r="D897" s="23" t="n">
        <v>3.9</v>
      </c>
      <c r="E897" s="24" t="n">
        <v>2</v>
      </c>
      <c r="F897" s="24">
        <f>D897*E897</f>
        <v/>
      </c>
      <c r="G897" s="22" t="n"/>
    </row>
    <row r="898">
      <c r="A898" s="7" t="inlineStr">
        <is>
          <t>3.7</t>
        </is>
      </c>
      <c r="B898" s="11" t="inlineStr">
        <is>
          <t>Rate as per item 3.7 - Cement mortar 1:2 (1 cement : 2 coarse sand)</t>
        </is>
      </c>
      <c r="C898" s="22" t="inlineStr">
        <is>
          <t>cum</t>
        </is>
      </c>
      <c r="D898" s="23" t="n">
        <v>0.001</v>
      </c>
      <c r="E898" s="24" t="n">
        <v>5345.55</v>
      </c>
      <c r="F898" s="24">
        <f>D898*E898</f>
        <v/>
      </c>
      <c r="G898" s="22" t="n"/>
    </row>
    <row r="899">
      <c r="A899" s="22" t="inlineStr">
        <is>
          <t>9999</t>
        </is>
      </c>
      <c r="B899" s="11" t="inlineStr">
        <is>
          <t>Labour for fixing in position</t>
        </is>
      </c>
      <c r="C899" s="22" t="inlineStr">
        <is>
          <t>L.S.</t>
        </is>
      </c>
      <c r="D899" s="23" t="n">
        <v>65</v>
      </c>
      <c r="E899" s="24" t="n">
        <v>2</v>
      </c>
      <c r="F899" s="24">
        <f>D899*E899</f>
        <v/>
      </c>
      <c r="G899" s="22" t="n"/>
    </row>
    <row r="900">
      <c r="A900" s="8" t="inlineStr">
        <is>
          <t>Calculated W - SUM of the Amount column above</t>
        </is>
      </c>
      <c r="B900" s="9" t="n"/>
      <c r="C900" s="9" t="n"/>
      <c r="D900" s="9" t="n"/>
      <c r="E900" s="9" t="n"/>
      <c r="F900" s="25">
        <f>SUM(F896:F899)</f>
        <v/>
      </c>
      <c r="G900" s="9" t="n"/>
    </row>
    <row r="901">
      <c r="A901" s="26" t="inlineStr">
        <is>
          <t>W as printed in the DAR</t>
        </is>
      </c>
      <c r="B901" s="22" t="n"/>
      <c r="C901" s="22" t="n"/>
      <c r="D901" s="22" t="n"/>
      <c r="E901" s="22" t="n"/>
      <c r="F901" s="27" t="n">
        <v>427.64</v>
      </c>
      <c r="G901" s="22" t="n"/>
    </row>
    <row r="902">
      <c r="A902" s="26" t="inlineStr">
        <is>
          <t>Difference (calculated - printed)</t>
        </is>
      </c>
      <c r="B902" s="22" t="n"/>
      <c r="C902" s="22" t="n"/>
      <c r="D902" s="22" t="n"/>
      <c r="E902" s="22" t="n"/>
      <c r="F902" s="27">
        <f>F900-F901</f>
        <v/>
      </c>
      <c r="G902" s="22" t="n"/>
    </row>
    <row r="903">
      <c r="A903" s="29" t="inlineStr">
        <is>
          <t>SAY (Rs.) - final DAR rate as printed (fixed value, not computed)</t>
        </is>
      </c>
      <c r="B903" s="30" t="n"/>
      <c r="C903" s="30" t="n"/>
      <c r="D903" s="30" t="n"/>
      <c r="E903" s="30" t="n"/>
      <c r="F903" s="31" t="n">
        <v>612.6</v>
      </c>
      <c r="G903" s="30" t="n"/>
    </row>
    <row r="905" ht="33" customHeight="1">
      <c r="A905" s="18" t="inlineStr">
        <is>
          <t>8.16</t>
        </is>
      </c>
      <c r="B905" s="19" t="inlineStr">
        <is>
          <t>Providing and fixing copper pins 7.5 cm long 6 mm diameter for securing adjacent stones in stone wall lining in cement mortar 1:2 (1 cement : 2 coarse sand), including making the necessary chases.</t>
        </is>
      </c>
      <c r="C905" s="20" t="n"/>
      <c r="D905" s="20" t="n"/>
      <c r="E905" s="20" t="n"/>
      <c r="F905" s="20" t="n"/>
      <c r="G905" s="20" t="n"/>
    </row>
    <row r="906">
      <c r="A906" s="21" t="inlineStr">
        <is>
          <t>Details of cost for 1 nos   |   Source: CivilDAR_2019_Vol_1.pdf, page 403</t>
        </is>
      </c>
    </row>
    <row r="907">
      <c r="A907" s="5" t="inlineStr">
        <is>
          <t>Code</t>
        </is>
      </c>
      <c r="B907" s="5" t="inlineStr">
        <is>
          <t>Description</t>
        </is>
      </c>
      <c r="C907" s="5" t="inlineStr">
        <is>
          <t>Unit</t>
        </is>
      </c>
      <c r="D907" s="5" t="inlineStr">
        <is>
          <t>Quantity</t>
        </is>
      </c>
      <c r="E907" s="5" t="inlineStr">
        <is>
          <t>Rate (Rs.)</t>
        </is>
      </c>
      <c r="F907" s="5" t="inlineStr">
        <is>
          <t>Amount (Rs.)</t>
        </is>
      </c>
      <c r="G907" s="5" t="inlineStr">
        <is>
          <t>Note</t>
        </is>
      </c>
    </row>
    <row r="908">
      <c r="A908" s="22" t="inlineStr">
        <is>
          <t>0873</t>
        </is>
      </c>
      <c r="B908" s="11" t="inlineStr">
        <is>
          <t>Copper pins 6 mm dia 7.5 cm long</t>
        </is>
      </c>
      <c r="C908" s="22" t="inlineStr">
        <is>
          <t>each</t>
        </is>
      </c>
      <c r="D908" s="23" t="n">
        <v>1</v>
      </c>
      <c r="E908" s="24" t="n">
        <v>10</v>
      </c>
      <c r="F908" s="24">
        <f>D908*E908</f>
        <v/>
      </c>
      <c r="G908" s="22" t="n"/>
    </row>
    <row r="909">
      <c r="A909" s="22" t="inlineStr">
        <is>
          <t>9999</t>
        </is>
      </c>
      <c r="B909" s="11" t="inlineStr">
        <is>
          <t>Labour for making pin in to required shape and size, cutting chases in stone and fixing in position</t>
        </is>
      </c>
      <c r="C909" s="22" t="inlineStr">
        <is>
          <t>L.S.</t>
        </is>
      </c>
      <c r="D909" s="23" t="n">
        <v>3.9</v>
      </c>
      <c r="E909" s="24" t="n">
        <v>2</v>
      </c>
      <c r="F909" s="24">
        <f>D909*E909</f>
        <v/>
      </c>
      <c r="G909" s="22" t="n"/>
    </row>
    <row r="910">
      <c r="A910" s="7" t="inlineStr">
        <is>
          <t>3.7</t>
        </is>
      </c>
      <c r="B910" s="11" t="inlineStr">
        <is>
          <t>Rate as per item 3.7 - Cement mortar 1:2 (1 cement : 2 coarse sand)</t>
        </is>
      </c>
      <c r="C910" s="22" t="inlineStr">
        <is>
          <t>cum</t>
        </is>
      </c>
      <c r="D910" s="23" t="n">
        <v>0.001</v>
      </c>
      <c r="E910" s="24" t="n">
        <v>5345.55</v>
      </c>
      <c r="F910" s="24">
        <f>D910*E910</f>
        <v/>
      </c>
      <c r="G910" s="22" t="n"/>
    </row>
    <row r="911">
      <c r="A911" s="22" t="inlineStr">
        <is>
          <t>9999</t>
        </is>
      </c>
      <c r="B911" s="11" t="inlineStr">
        <is>
          <t>Sundries including hire charges of hand cut machine etc.</t>
        </is>
      </c>
      <c r="C911" s="22" t="inlineStr">
        <is>
          <t>L.S.</t>
        </is>
      </c>
      <c r="D911" s="23" t="n">
        <v>1.95</v>
      </c>
      <c r="E911" s="24" t="n">
        <v>2</v>
      </c>
      <c r="F911" s="24">
        <f>D911*E911</f>
        <v/>
      </c>
      <c r="G911" s="22" t="n"/>
    </row>
    <row r="912">
      <c r="A912" s="8" t="inlineStr">
        <is>
          <t>Calculated W - SUM of the Amount column above</t>
        </is>
      </c>
      <c r="B912" s="9" t="n"/>
      <c r="C912" s="9" t="n"/>
      <c r="D912" s="9" t="n"/>
      <c r="E912" s="9" t="n"/>
      <c r="F912" s="25">
        <f>SUM(F908:F911)</f>
        <v/>
      </c>
      <c r="G912" s="9" t="n"/>
    </row>
    <row r="913">
      <c r="A913" s="26" t="inlineStr">
        <is>
          <t>W as printed in the DAR</t>
        </is>
      </c>
      <c r="B913" s="22" t="n"/>
      <c r="C913" s="22" t="n"/>
      <c r="D913" s="22" t="n"/>
      <c r="E913" s="22" t="n"/>
      <c r="F913" s="27" t="n">
        <v>27.05</v>
      </c>
      <c r="G913" s="22" t="n"/>
    </row>
    <row r="914">
      <c r="A914" s="26" t="inlineStr">
        <is>
          <t>Difference (calculated - printed)</t>
        </is>
      </c>
      <c r="B914" s="22" t="n"/>
      <c r="C914" s="22" t="n"/>
      <c r="D914" s="22" t="n"/>
      <c r="E914" s="22" t="n"/>
      <c r="F914" s="27">
        <f>F912-F913</f>
        <v/>
      </c>
      <c r="G914" s="22" t="n"/>
    </row>
    <row r="915">
      <c r="A915" s="29" t="inlineStr">
        <is>
          <t>SAY (Rs.) - final DAR rate as printed (fixed value, not computed)</t>
        </is>
      </c>
      <c r="B915" s="30" t="n"/>
      <c r="C915" s="30" t="n"/>
      <c r="D915" s="30" t="n"/>
      <c r="E915" s="30" t="n"/>
      <c r="F915" s="31" t="n">
        <v>36.2</v>
      </c>
      <c r="G915" s="30" t="n"/>
    </row>
    <row r="917" ht="76.5" customHeight="1">
      <c r="A917" s="18" t="inlineStr">
        <is>
          <t>8.17</t>
        </is>
      </c>
      <c r="B917" s="19" t="inlineStr">
        <is>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t>
        </is>
      </c>
      <c r="C917" s="20" t="n"/>
      <c r="D917" s="20" t="n"/>
      <c r="E917" s="20" t="n"/>
      <c r="F917" s="20" t="n"/>
      <c r="G917" s="20" t="n"/>
    </row>
    <row r="918">
      <c r="A918" s="21" t="inlineStr">
        <is>
          <t>Details of cost for 1 sqm   |   Source: CivilDAR_2019_Vol_1.pdf, page 404</t>
        </is>
      </c>
    </row>
    <row r="919">
      <c r="A919" s="5" t="inlineStr">
        <is>
          <t>Code</t>
        </is>
      </c>
      <c r="B919" s="5" t="inlineStr">
        <is>
          <t>Description</t>
        </is>
      </c>
      <c r="C919" s="5" t="inlineStr">
        <is>
          <t>Unit</t>
        </is>
      </c>
      <c r="D919" s="5" t="inlineStr">
        <is>
          <t>Quantity</t>
        </is>
      </c>
      <c r="E919" s="5" t="inlineStr">
        <is>
          <t>Rate (Rs.)</t>
        </is>
      </c>
      <c r="F919" s="5" t="inlineStr">
        <is>
          <t>Amount (Rs.)</t>
        </is>
      </c>
      <c r="G919" s="5" t="inlineStr">
        <is>
          <t>Note</t>
        </is>
      </c>
    </row>
    <row r="920">
      <c r="A920" s="22" t="inlineStr">
        <is>
          <t>1165</t>
        </is>
      </c>
      <c r="B920" s="11" t="inlineStr">
        <is>
          <t>White sand stone slab 40 mm thick (un-dressed)</t>
        </is>
      </c>
      <c r="C920" s="22" t="inlineStr">
        <is>
          <t>sqm</t>
        </is>
      </c>
      <c r="D920" s="23" t="n">
        <v>0.92</v>
      </c>
      <c r="E920" s="24" t="n">
        <v>200</v>
      </c>
      <c r="F920" s="24">
        <f>D920*E920</f>
        <v/>
      </c>
      <c r="G920" s="22" t="n"/>
    </row>
    <row r="921">
      <c r="A921" s="22" t="inlineStr">
        <is>
          <t>1163</t>
        </is>
      </c>
      <c r="B921" s="11" t="inlineStr">
        <is>
          <t>White sand stone slab 75 mm thick (un-dressed)</t>
        </is>
      </c>
      <c r="C921" s="22" t="inlineStr">
        <is>
          <t>sqm</t>
        </is>
      </c>
      <c r="D921" s="23" t="n">
        <v>0.13</v>
      </c>
      <c r="E921" s="24" t="n">
        <v>900</v>
      </c>
      <c r="F921" s="24">
        <f>D921*E921</f>
        <v/>
      </c>
      <c r="G921" s="22" t="n"/>
    </row>
    <row r="922">
      <c r="A922" s="22" t="inlineStr">
        <is>
          <t>2216</t>
        </is>
      </c>
      <c r="B922" s="11" t="inlineStr">
        <is>
          <t>Carriage of Stone blocks white &amp; red sand stone &amp; kota stone slab</t>
        </is>
      </c>
      <c r="C922" s="22" t="inlineStr">
        <is>
          <t>tonne</t>
        </is>
      </c>
      <c r="D922" s="23" t="n">
        <v>0.108</v>
      </c>
      <c r="E922" s="24" t="n">
        <v>92.23999999999999</v>
      </c>
      <c r="F922" s="24">
        <f>D922*E922</f>
        <v/>
      </c>
      <c r="G922" s="22" t="n"/>
    </row>
    <row r="923">
      <c r="A923" s="22" t="inlineStr">
        <is>
          <t>1237</t>
        </is>
      </c>
      <c r="B923" s="11" t="inlineStr">
        <is>
          <t>Cutting marble or sand stone slab upto 50 mm thick by mechanical device</t>
        </is>
      </c>
      <c r="C923" s="22" t="inlineStr">
        <is>
          <t>metre</t>
        </is>
      </c>
      <c r="D923" s="23" t="n">
        <v>20</v>
      </c>
      <c r="E923" s="24" t="n">
        <v>10</v>
      </c>
      <c r="F923" s="24">
        <f>D923*E923</f>
        <v/>
      </c>
      <c r="G923" s="22" t="n"/>
    </row>
    <row r="924">
      <c r="A924" s="7" t="inlineStr">
        <is>
          <t>3.8</t>
        </is>
      </c>
      <c r="B924" s="11" t="inlineStr">
        <is>
          <t>Rate as per item 3.8 - Cement mortar 1:3 (1 cement : 3 coarse sand)</t>
        </is>
      </c>
      <c r="C924" s="22" t="inlineStr">
        <is>
          <t>cum</t>
        </is>
      </c>
      <c r="D924" s="23" t="n">
        <v>0.0304</v>
      </c>
      <c r="E924" s="24" t="n">
        <v>4664.55</v>
      </c>
      <c r="F924" s="24">
        <f>D924*E924</f>
        <v/>
      </c>
      <c r="G924" s="22" t="n"/>
    </row>
    <row r="925">
      <c r="A925" s="22" t="inlineStr">
        <is>
          <t>18.78</t>
        </is>
      </c>
      <c r="B925" s="11" t="inlineStr">
        <is>
          <t>Rate as per item 18.78 - Making chases up to 7.5x7.5 cm in walls including making good and finishing with matching surface after hou...</t>
        </is>
      </c>
      <c r="C925" s="22" t="inlineStr">
        <is>
          <t>metre</t>
        </is>
      </c>
      <c r="D925" s="23" t="n">
        <v>3</v>
      </c>
      <c r="E925" s="24" t="n">
        <v>154.15</v>
      </c>
      <c r="F925" s="24">
        <f>D925*E925</f>
        <v/>
      </c>
      <c r="G925" s="22" t="n"/>
    </row>
    <row r="926">
      <c r="A926" s="22" t="inlineStr">
        <is>
          <t>9999</t>
        </is>
      </c>
      <c r="B926" s="11" t="inlineStr">
        <is>
          <t>White cement and pigment for pointing</t>
        </is>
      </c>
      <c r="C926" s="22" t="inlineStr">
        <is>
          <t>L.S.</t>
        </is>
      </c>
      <c r="D926" s="23" t="n">
        <v>40.43</v>
      </c>
      <c r="E926" s="24" t="n">
        <v>2</v>
      </c>
      <c r="F926" s="24">
        <f>D926*E926</f>
        <v/>
      </c>
      <c r="G926" s="22" t="n"/>
    </row>
    <row r="927">
      <c r="A927" s="22" t="inlineStr">
        <is>
          <t>0126</t>
        </is>
      </c>
      <c r="B927" s="11" t="inlineStr">
        <is>
          <t>Mason (for ornamental stone work) 1st class</t>
        </is>
      </c>
      <c r="C927" s="22" t="inlineStr">
        <is>
          <t>day</t>
        </is>
      </c>
      <c r="D927" s="23" t="n">
        <v>0.25</v>
      </c>
      <c r="E927" s="24" t="n">
        <v>738</v>
      </c>
      <c r="F927" s="24">
        <f>D927*E927</f>
        <v/>
      </c>
      <c r="G927" s="22" t="n"/>
    </row>
    <row r="928">
      <c r="A928" s="22" t="inlineStr">
        <is>
          <t>0125</t>
        </is>
      </c>
      <c r="B928" s="11" t="inlineStr">
        <is>
          <t>Mason (for plain stone work) 2nd class)</t>
        </is>
      </c>
      <c r="C928" s="22" t="inlineStr">
        <is>
          <t>day</t>
        </is>
      </c>
      <c r="D928" s="23" t="n">
        <v>0.25</v>
      </c>
      <c r="E928" s="24" t="n">
        <v>679</v>
      </c>
      <c r="F928" s="24">
        <f>D928*E928</f>
        <v/>
      </c>
      <c r="G928" s="22" t="n"/>
    </row>
    <row r="929">
      <c r="A929" s="22" t="inlineStr">
        <is>
          <t>0114</t>
        </is>
      </c>
      <c r="B929" s="11" t="inlineStr">
        <is>
          <t>Beldar</t>
        </is>
      </c>
      <c r="C929" s="22" t="inlineStr">
        <is>
          <t>day</t>
        </is>
      </c>
      <c r="D929" s="23" t="n">
        <v>0.5</v>
      </c>
      <c r="E929" s="24" t="n">
        <v>558</v>
      </c>
      <c r="F929" s="24">
        <f>D929*E929</f>
        <v/>
      </c>
      <c r="G929" s="22" t="n"/>
    </row>
    <row r="930">
      <c r="A930" s="22" t="inlineStr">
        <is>
          <t>0101</t>
        </is>
      </c>
      <c r="B930" s="11" t="inlineStr">
        <is>
          <t>Bhisti</t>
        </is>
      </c>
      <c r="C930" s="22" t="inlineStr">
        <is>
          <t>day</t>
        </is>
      </c>
      <c r="D930" s="23" t="n">
        <v>0.03</v>
      </c>
      <c r="E930" s="24" t="n">
        <v>617</v>
      </c>
      <c r="F930" s="24">
        <f>D930*E930</f>
        <v/>
      </c>
      <c r="G930" s="22" t="n"/>
    </row>
    <row r="931">
      <c r="A931" s="22" t="inlineStr">
        <is>
          <t>9999</t>
        </is>
      </c>
      <c r="B931" s="11" t="inlineStr">
        <is>
          <t>Sundries and scaffolding brushes etc.</t>
        </is>
      </c>
      <c r="C931" s="22" t="inlineStr">
        <is>
          <t>L.S.</t>
        </is>
      </c>
      <c r="D931" s="23" t="n">
        <v>26.91</v>
      </c>
      <c r="E931" s="24" t="n">
        <v>2</v>
      </c>
      <c r="F931" s="24">
        <f>D931*E931</f>
        <v/>
      </c>
      <c r="G931" s="22" t="n"/>
    </row>
    <row r="932">
      <c r="A932" s="8" t="inlineStr">
        <is>
          <t>Calculated W - SUM of the Amount column above</t>
        </is>
      </c>
      <c r="B932" s="9" t="n"/>
      <c r="C932" s="9" t="n"/>
      <c r="D932" s="9" t="n"/>
      <c r="E932" s="9" t="n"/>
      <c r="F932" s="25">
        <f>SUM(F920:F931)</f>
        <v/>
      </c>
      <c r="G932" s="9" t="n"/>
    </row>
    <row r="933">
      <c r="A933" s="26" t="inlineStr">
        <is>
          <t>W as printed in the DAR</t>
        </is>
      </c>
      <c r="B933" s="22" t="n"/>
      <c r="C933" s="22" t="n"/>
      <c r="D933" s="22" t="n"/>
      <c r="E933" s="22" t="n"/>
      <c r="F933" s="27" t="n">
        <v>1901.65</v>
      </c>
      <c r="G933" s="22" t="n"/>
    </row>
    <row r="934">
      <c r="A934" s="26" t="inlineStr">
        <is>
          <t>Difference (calculated - printed)</t>
        </is>
      </c>
      <c r="B934" s="22" t="n"/>
      <c r="C934" s="22" t="n"/>
      <c r="D934" s="22" t="n"/>
      <c r="E934" s="22" t="n"/>
      <c r="F934" s="27">
        <f>F932-F933</f>
        <v/>
      </c>
      <c r="G934" s="22" t="n"/>
    </row>
    <row r="935">
      <c r="A935" s="29" t="inlineStr">
        <is>
          <t>SAY (Rs.) - final DAR rate as printed (fixed value, not computed)</t>
        </is>
      </c>
      <c r="B935" s="30" t="n"/>
      <c r="C935" s="30" t="n"/>
      <c r="D935" s="30" t="n"/>
      <c r="E935" s="30" t="n"/>
      <c r="F935" s="31" t="n">
        <v>2388</v>
      </c>
      <c r="G935" s="30" t="n"/>
    </row>
    <row r="937" ht="62" customHeight="1">
      <c r="A937" s="8" t="inlineStr">
        <is>
          <t>8.18</t>
        </is>
      </c>
      <c r="B937" s="17" t="inlineStr">
        <is>
          <t>Stone work (machine cut edges Veneer work) for wall lining upto 10 m height, backing filled with a grout of 12 mm thick cement mortar 1:3 (1 Cement : 3 coarse sand) and jointed with Cement mortar 1:2 (1 cement : 2 stone dust), including rubbing and polishing complete. (To be secured to the backing and the sides by means of cramps and pins which shall be paid for separately).</t>
        </is>
      </c>
      <c r="C937" s="9" t="n"/>
      <c r="D937" s="9" t="n"/>
      <c r="E937" s="9" t="n"/>
      <c r="F937" s="9" t="n"/>
      <c r="G937" s="9" t="n"/>
    </row>
    <row r="938" ht="18.5" customHeight="1">
      <c r="A938" s="8" t="inlineStr">
        <is>
          <t>8.18.1</t>
        </is>
      </c>
      <c r="B938" s="17" t="inlineStr">
        <is>
          <t>Kota stone slabs exposed face dressed and rubbed.</t>
        </is>
      </c>
      <c r="C938" s="9" t="n"/>
      <c r="D938" s="9" t="n"/>
      <c r="E938" s="9" t="n"/>
      <c r="F938" s="9" t="n"/>
      <c r="G938" s="9" t="n"/>
    </row>
    <row r="939" ht="18.5" customHeight="1">
      <c r="A939" s="18" t="inlineStr">
        <is>
          <t>8.18.1.1</t>
        </is>
      </c>
      <c r="B939" s="19" t="inlineStr">
        <is>
          <t>25 mm thick</t>
        </is>
      </c>
      <c r="C939" s="20" t="n"/>
      <c r="D939" s="20" t="n"/>
      <c r="E939" s="20" t="n"/>
      <c r="F939" s="20" t="n"/>
      <c r="G939" s="20" t="n"/>
    </row>
    <row r="940">
      <c r="A940" s="21" t="inlineStr">
        <is>
          <t>Details of cost for 10 sqm   |   Source: CivilDAR_2019_Vol_1.pdf, page 405</t>
        </is>
      </c>
    </row>
    <row r="941">
      <c r="A941" s="5" t="inlineStr">
        <is>
          <t>Code</t>
        </is>
      </c>
      <c r="B941" s="5" t="inlineStr">
        <is>
          <t>Description</t>
        </is>
      </c>
      <c r="C941" s="5" t="inlineStr">
        <is>
          <t>Unit</t>
        </is>
      </c>
      <c r="D941" s="5" t="inlineStr">
        <is>
          <t>Quantity</t>
        </is>
      </c>
      <c r="E941" s="5" t="inlineStr">
        <is>
          <t>Rate (Rs.)</t>
        </is>
      </c>
      <c r="F941" s="5" t="inlineStr">
        <is>
          <t>Amount (Rs.)</t>
        </is>
      </c>
      <c r="G941" s="5" t="inlineStr">
        <is>
          <t>Note</t>
        </is>
      </c>
    </row>
    <row r="942">
      <c r="A942" s="22" t="inlineStr">
        <is>
          <t>1169</t>
        </is>
      </c>
      <c r="B942" s="11" t="inlineStr">
        <is>
          <t>Kotastone slab 25mm thick (rough cheseled)</t>
        </is>
      </c>
      <c r="C942" s="22" t="inlineStr">
        <is>
          <t>sq.m.</t>
        </is>
      </c>
      <c r="D942" s="23" t="n">
        <v>11.5</v>
      </c>
      <c r="E942" s="24" t="n">
        <v>301</v>
      </c>
      <c r="F942" s="24">
        <f>D942*E942</f>
        <v/>
      </c>
      <c r="G942" s="22" t="n"/>
    </row>
    <row r="943">
      <c r="A943" s="22" t="inlineStr">
        <is>
          <t>2216</t>
        </is>
      </c>
      <c r="B943" s="11" t="inlineStr">
        <is>
          <t>Carriage of Stone blocks white &amp; red sand stone &amp; kota stone slab</t>
        </is>
      </c>
      <c r="C943" s="22" t="inlineStr">
        <is>
          <t>tonne</t>
        </is>
      </c>
      <c r="D943" s="23" t="n">
        <v>0.67</v>
      </c>
      <c r="E943" s="24" t="n">
        <v>92.23999999999999</v>
      </c>
      <c r="F943" s="24">
        <f>D943*E943</f>
        <v/>
      </c>
      <c r="G943" s="22" t="n"/>
    </row>
    <row r="944">
      <c r="A944" s="7" t="inlineStr">
        <is>
          <t>3.8</t>
        </is>
      </c>
      <c r="B944" s="11" t="inlineStr">
        <is>
          <t>Rate as per item 3.8 - Cement mortar 1:3 (1 cement : 3 coarse sand)</t>
        </is>
      </c>
      <c r="C944" s="22" t="inlineStr">
        <is>
          <t>cum</t>
        </is>
      </c>
      <c r="D944" s="23" t="n">
        <v>0.144</v>
      </c>
      <c r="E944" s="24" t="n">
        <v>4664.55</v>
      </c>
      <c r="F944" s="24">
        <f>D944*E944</f>
        <v/>
      </c>
      <c r="G944" s="22" t="n"/>
    </row>
    <row r="945">
      <c r="A945" s="22" t="inlineStr">
        <is>
          <t>9999</t>
        </is>
      </c>
      <c r="B945" s="11" t="inlineStr">
        <is>
          <t>Cement mortar for pointing.</t>
        </is>
      </c>
      <c r="C945" s="22" t="inlineStr">
        <is>
          <t>L.S.</t>
        </is>
      </c>
      <c r="D945" s="23" t="n">
        <v>40.43</v>
      </c>
      <c r="E945" s="24" t="n">
        <v>2</v>
      </c>
      <c r="F945" s="24">
        <f>D945*E945</f>
        <v/>
      </c>
      <c r="G945" s="22" t="n"/>
    </row>
    <row r="946">
      <c r="A946" s="22" t="inlineStr">
        <is>
          <t>0125</t>
        </is>
      </c>
      <c r="B946" s="11" t="inlineStr">
        <is>
          <t>Mason (for plain stone work) 2nd class)</t>
        </is>
      </c>
      <c r="C946" s="22" t="inlineStr">
        <is>
          <t>day</t>
        </is>
      </c>
      <c r="D946" s="23" t="n">
        <v>6.5</v>
      </c>
      <c r="E946" s="24" t="n">
        <v>679</v>
      </c>
      <c r="F946" s="24">
        <f>D946*E946</f>
        <v/>
      </c>
      <c r="G946" s="22" t="n"/>
    </row>
    <row r="947">
      <c r="A947" s="22" t="inlineStr">
        <is>
          <t>0114</t>
        </is>
      </c>
      <c r="B947" s="11" t="inlineStr">
        <is>
          <t>Beldar</t>
        </is>
      </c>
      <c r="C947" s="22" t="inlineStr">
        <is>
          <t>day</t>
        </is>
      </c>
      <c r="D947" s="23" t="n">
        <v>6.5</v>
      </c>
      <c r="E947" s="24" t="n">
        <v>558</v>
      </c>
      <c r="F947" s="24">
        <f>D947*E947</f>
        <v/>
      </c>
      <c r="G947" s="22" t="n"/>
    </row>
    <row r="948">
      <c r="A948" s="22" t="inlineStr">
        <is>
          <t>0115</t>
        </is>
      </c>
      <c r="B948" s="11" t="inlineStr">
        <is>
          <t>Coolie</t>
        </is>
      </c>
      <c r="C948" s="22" t="inlineStr">
        <is>
          <t>day</t>
        </is>
      </c>
      <c r="D948" s="23" t="n">
        <v>4.3</v>
      </c>
      <c r="E948" s="24" t="n">
        <v>558</v>
      </c>
      <c r="F948" s="24">
        <f>D948*E948</f>
        <v/>
      </c>
      <c r="G948" s="22" t="n"/>
    </row>
    <row r="949">
      <c r="A949" s="22" t="inlineStr">
        <is>
          <t>0139</t>
        </is>
      </c>
      <c r="B949" s="11" t="inlineStr">
        <is>
          <t>Skilled Beldar (for floor rubbing etc.)</t>
        </is>
      </c>
      <c r="C949" s="22" t="inlineStr">
        <is>
          <t>day</t>
        </is>
      </c>
      <c r="D949" s="23" t="n">
        <v>10.8</v>
      </c>
      <c r="E949" s="24" t="n">
        <v>617</v>
      </c>
      <c r="F949" s="24">
        <f>D949*E949</f>
        <v/>
      </c>
      <c r="G949" s="22" t="n"/>
    </row>
    <row r="950">
      <c r="A950" s="22" t="inlineStr">
        <is>
          <t>9999</t>
        </is>
      </c>
      <c r="B950" s="11" t="inlineStr">
        <is>
          <t>Sundries</t>
        </is>
      </c>
      <c r="C950" s="22" t="inlineStr">
        <is>
          <t>L.S.</t>
        </is>
      </c>
      <c r="D950" s="23" t="n">
        <v>111.54</v>
      </c>
      <c r="E950" s="24" t="n">
        <v>2</v>
      </c>
      <c r="F950" s="24">
        <f>D950*E950</f>
        <v/>
      </c>
      <c r="G950" s="22" t="n"/>
    </row>
    <row r="951">
      <c r="A951" s="8" t="inlineStr">
        <is>
          <t>Calculated W - SUM of the Amount column above</t>
        </is>
      </c>
      <c r="B951" s="9" t="n"/>
      <c r="C951" s="9" t="n"/>
      <c r="D951" s="9" t="n"/>
      <c r="E951" s="9" t="n"/>
      <c r="F951" s="25">
        <f>SUM(F942:F950)</f>
        <v/>
      </c>
      <c r="G951" s="9" t="n"/>
    </row>
    <row r="952">
      <c r="A952" s="26" t="inlineStr">
        <is>
          <t>W as printed in the DAR</t>
        </is>
      </c>
      <c r="B952" s="22" t="n"/>
      <c r="C952" s="22" t="n"/>
      <c r="D952" s="22" t="n"/>
      <c r="E952" s="22" t="n"/>
      <c r="F952" s="27" t="n">
        <v>21602.44</v>
      </c>
      <c r="G952" s="22" t="n"/>
    </row>
    <row r="953">
      <c r="A953" s="26" t="inlineStr">
        <is>
          <t>Difference (calculated - printed)</t>
        </is>
      </c>
      <c r="B953" s="22" t="n"/>
      <c r="C953" s="22" t="n"/>
      <c r="D953" s="22" t="n"/>
      <c r="E953" s="22" t="n"/>
      <c r="F953" s="27">
        <f>F951-F952</f>
        <v/>
      </c>
      <c r="G953" s="22" t="n"/>
    </row>
    <row r="954">
      <c r="A954" s="29" t="inlineStr">
        <is>
          <t>SAY (Rs.) - final DAR rate as printed (fixed value, not computed)</t>
        </is>
      </c>
      <c r="B954" s="30" t="n"/>
      <c r="C954" s="30" t="n"/>
      <c r="D954" s="30" t="n"/>
      <c r="E954" s="30" t="n"/>
      <c r="F954" s="31" t="n">
        <v>2890.25</v>
      </c>
      <c r="G954" s="30" t="n"/>
    </row>
    <row r="956" ht="33" customHeight="1">
      <c r="A956" s="18" t="inlineStr">
        <is>
          <t>8.19</t>
        </is>
      </c>
      <c r="B956" s="19" t="inlineStr">
        <is>
          <t>Extra for stone work for wall lining on exterior walls of height more than 10 m from ground level for every additional height of 3 m or part there of.</t>
        </is>
      </c>
      <c r="C956" s="20" t="n"/>
      <c r="D956" s="20" t="n"/>
      <c r="E956" s="20" t="n"/>
      <c r="F956" s="20" t="n"/>
      <c r="G956" s="20" t="n"/>
    </row>
    <row r="957">
      <c r="A957" s="21" t="inlineStr">
        <is>
          <t>Details of cost for 10 sqm   |   Source: CivilDAR_2019_Vol_1.pdf, page 406</t>
        </is>
      </c>
    </row>
    <row r="958">
      <c r="A958" s="5" t="inlineStr">
        <is>
          <t>Code</t>
        </is>
      </c>
      <c r="B958" s="5" t="inlineStr">
        <is>
          <t>Description</t>
        </is>
      </c>
      <c r="C958" s="5" t="inlineStr">
        <is>
          <t>Unit</t>
        </is>
      </c>
      <c r="D958" s="5" t="inlineStr">
        <is>
          <t>Quantity</t>
        </is>
      </c>
      <c r="E958" s="5" t="inlineStr">
        <is>
          <t>Rate (Rs.)</t>
        </is>
      </c>
      <c r="F958" s="5" t="inlineStr">
        <is>
          <t>Amount (Rs.)</t>
        </is>
      </c>
      <c r="G958" s="5" t="inlineStr">
        <is>
          <t>Note</t>
        </is>
      </c>
    </row>
    <row r="959">
      <c r="A959" s="22" t="inlineStr">
        <is>
          <t>9999</t>
        </is>
      </c>
      <c r="B959" s="11" t="inlineStr">
        <is>
          <t>Scaffolding</t>
        </is>
      </c>
      <c r="C959" s="22" t="inlineStr">
        <is>
          <t>L.S.</t>
        </is>
      </c>
      <c r="D959" s="23" t="n">
        <v>215.28</v>
      </c>
      <c r="E959" s="24" t="n">
        <v>2</v>
      </c>
      <c r="F959" s="24">
        <f>D959*E959</f>
        <v/>
      </c>
      <c r="G959" s="22" t="n"/>
    </row>
    <row r="960">
      <c r="A960" s="22" t="inlineStr">
        <is>
          <t>0123</t>
        </is>
      </c>
      <c r="B960" s="11" t="inlineStr">
        <is>
          <t>Mason (brick layer) 1st class</t>
        </is>
      </c>
      <c r="C960" s="22" t="inlineStr">
        <is>
          <t>day</t>
        </is>
      </c>
      <c r="D960" s="23" t="n">
        <v>0.3</v>
      </c>
      <c r="E960" s="24" t="n">
        <v>738</v>
      </c>
      <c r="F960" s="24">
        <f>D960*E960</f>
        <v/>
      </c>
      <c r="G960" s="22" t="n"/>
    </row>
    <row r="961">
      <c r="A961" s="22" t="inlineStr">
        <is>
          <t>0114</t>
        </is>
      </c>
      <c r="B961" s="11" t="inlineStr">
        <is>
          <t>Beldar</t>
        </is>
      </c>
      <c r="C961" s="22" t="inlineStr">
        <is>
          <t>day</t>
        </is>
      </c>
      <c r="D961" s="23" t="n">
        <v>0.3</v>
      </c>
      <c r="E961" s="24" t="n">
        <v>558</v>
      </c>
      <c r="F961" s="24">
        <f>D961*E961</f>
        <v/>
      </c>
      <c r="G961" s="22" t="n"/>
    </row>
    <row r="962">
      <c r="A962" s="22" t="inlineStr">
        <is>
          <t>0101</t>
        </is>
      </c>
      <c r="B962" s="11" t="inlineStr">
        <is>
          <t>Bhisti</t>
        </is>
      </c>
      <c r="C962" s="22" t="inlineStr">
        <is>
          <t>day</t>
        </is>
      </c>
      <c r="D962" s="23" t="n">
        <v>0.15</v>
      </c>
      <c r="E962" s="24" t="n">
        <v>617</v>
      </c>
      <c r="F962" s="24">
        <f>D962*E962</f>
        <v/>
      </c>
      <c r="G962" s="22" t="n"/>
    </row>
    <row r="963">
      <c r="A963" s="22" t="inlineStr">
        <is>
          <t>9999</t>
        </is>
      </c>
      <c r="B963" s="11" t="inlineStr">
        <is>
          <t>Sundries</t>
        </is>
      </c>
      <c r="C963" s="22" t="inlineStr">
        <is>
          <t>L.S.</t>
        </is>
      </c>
      <c r="D963" s="23" t="n">
        <v>28.6</v>
      </c>
      <c r="E963" s="24" t="n">
        <v>2</v>
      </c>
      <c r="F963" s="24">
        <f>D963*E963</f>
        <v/>
      </c>
      <c r="G963" s="22" t="n"/>
    </row>
    <row r="964">
      <c r="A964" s="8" t="inlineStr">
        <is>
          <t>Calculated W - SUM of the Amount column above</t>
        </is>
      </c>
      <c r="B964" s="9" t="n"/>
      <c r="C964" s="9" t="n"/>
      <c r="D964" s="9" t="n"/>
      <c r="E964" s="9" t="n"/>
      <c r="F964" s="25">
        <f>SUM(F959:F963)</f>
        <v/>
      </c>
      <c r="G964" s="9" t="n"/>
    </row>
    <row r="965">
      <c r="A965" s="26" t="inlineStr">
        <is>
          <t>W as printed in the DAR</t>
        </is>
      </c>
      <c r="B965" s="22" t="n"/>
      <c r="C965" s="22" t="n"/>
      <c r="D965" s="22" t="n"/>
      <c r="E965" s="22" t="n"/>
      <c r="F965" s="27" t="n">
        <v>969.11</v>
      </c>
      <c r="G965" s="22" t="n"/>
    </row>
    <row r="966">
      <c r="A966" s="26" t="inlineStr">
        <is>
          <t>Difference (calculated - printed)</t>
        </is>
      </c>
      <c r="B966" s="22" t="n"/>
      <c r="C966" s="22" t="n"/>
      <c r="D966" s="22" t="n"/>
      <c r="E966" s="22" t="n"/>
      <c r="F966" s="27">
        <f>F964-F965</f>
        <v/>
      </c>
      <c r="G966" s="22" t="n"/>
    </row>
    <row r="967">
      <c r="A967" s="29" t="inlineStr">
        <is>
          <t>SAY (Rs.) - final DAR rate as printed (fixed value, not computed)</t>
        </is>
      </c>
      <c r="B967" s="30" t="n"/>
      <c r="C967" s="30" t="n"/>
      <c r="D967" s="30" t="n"/>
      <c r="E967" s="30" t="n"/>
      <c r="F967" s="31" t="n">
        <v>129.65</v>
      </c>
      <c r="G967" s="30" t="n"/>
    </row>
    <row r="969" ht="62" customHeight="1">
      <c r="A969" s="8" t="inlineStr">
        <is>
          <t>8.20</t>
        </is>
      </c>
      <c r="B969" s="17" t="inlineStr">
        <is>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is>
      </c>
      <c r="C969" s="9" t="n"/>
      <c r="D969" s="9" t="n"/>
      <c r="E969" s="9" t="n"/>
      <c r="F969" s="9" t="n"/>
      <c r="G969" s="9" t="n"/>
    </row>
    <row r="970" ht="18.5" customHeight="1">
      <c r="A970" s="18" t="inlineStr">
        <is>
          <t>8.20.1</t>
        </is>
      </c>
      <c r="B970" s="19" t="inlineStr">
        <is>
          <t>Red sand stone - 30mm thick gang saw cut stone</t>
        </is>
      </c>
      <c r="C970" s="20" t="n"/>
      <c r="D970" s="20" t="n"/>
      <c r="E970" s="20" t="n"/>
      <c r="F970" s="20" t="n"/>
      <c r="G970" s="20" t="n"/>
    </row>
    <row r="971">
      <c r="A971" s="21" t="inlineStr">
        <is>
          <t>Details of cost for 1 sqm   |   Source: CivilDAR_2019_Vol_1.pdf, page 407</t>
        </is>
      </c>
    </row>
    <row r="972">
      <c r="A972" s="5" t="inlineStr">
        <is>
          <t>Code</t>
        </is>
      </c>
      <c r="B972" s="5" t="inlineStr">
        <is>
          <t>Description</t>
        </is>
      </c>
      <c r="C972" s="5" t="inlineStr">
        <is>
          <t>Unit</t>
        </is>
      </c>
      <c r="D972" s="5" t="inlineStr">
        <is>
          <t>Quantity</t>
        </is>
      </c>
      <c r="E972" s="5" t="inlineStr">
        <is>
          <t>Rate (Rs.)</t>
        </is>
      </c>
      <c r="F972" s="5" t="inlineStr">
        <is>
          <t>Amount (Rs.)</t>
        </is>
      </c>
      <c r="G972" s="5" t="inlineStr">
        <is>
          <t>Note</t>
        </is>
      </c>
    </row>
    <row r="973">
      <c r="A973" s="22" t="inlineStr">
        <is>
          <t>8683</t>
        </is>
      </c>
      <c r="B973" s="11" t="inlineStr">
        <is>
          <t>Red sand stone gang saw cut 30 mm thick</t>
        </is>
      </c>
      <c r="C973" s="22" t="inlineStr">
        <is>
          <t>sqm</t>
        </is>
      </c>
      <c r="D973" s="23" t="n">
        <v>1.05</v>
      </c>
      <c r="E973" s="24" t="n">
        <v>425</v>
      </c>
      <c r="F973" s="24">
        <f>D973*E973</f>
        <v/>
      </c>
      <c r="G973" s="22" t="n"/>
    </row>
    <row r="974">
      <c r="A974" s="22" t="inlineStr">
        <is>
          <t>2216</t>
        </is>
      </c>
      <c r="B974" s="11" t="inlineStr">
        <is>
          <t>Carriage of Stone blocks white &amp; red sand stone &amp; kota stone slab @ 2.30kg/cudm</t>
        </is>
      </c>
      <c r="C974" s="22" t="inlineStr">
        <is>
          <t>tonne</t>
        </is>
      </c>
      <c r="D974" s="23" t="n">
        <v>0.07199999999999999</v>
      </c>
      <c r="E974" s="24" t="n">
        <v>92.23999999999999</v>
      </c>
      <c r="F974" s="24">
        <f>D974*E974</f>
        <v/>
      </c>
      <c r="G974" s="22" t="n"/>
    </row>
    <row r="975">
      <c r="A975" s="22" t="inlineStr">
        <is>
          <t>0125</t>
        </is>
      </c>
      <c r="B975" s="11" t="inlineStr">
        <is>
          <t>Mason (for plain stone work) 2nd class</t>
        </is>
      </c>
      <c r="C975" s="22" t="inlineStr">
        <is>
          <t>day</t>
        </is>
      </c>
      <c r="D975" s="23" t="n">
        <v>0.448</v>
      </c>
      <c r="E975" s="24" t="n">
        <v>679</v>
      </c>
      <c r="F975" s="24">
        <f>D975*E975</f>
        <v/>
      </c>
      <c r="G975" s="22" t="n"/>
    </row>
    <row r="976">
      <c r="A976" s="22" t="inlineStr">
        <is>
          <t>0100</t>
        </is>
      </c>
      <c r="B976" s="11" t="inlineStr">
        <is>
          <t>Bandhani</t>
        </is>
      </c>
      <c r="C976" s="22" t="inlineStr">
        <is>
          <t>day</t>
        </is>
      </c>
      <c r="D976" s="23" t="n">
        <v>0.336</v>
      </c>
      <c r="E976" s="24" t="n">
        <v>617</v>
      </c>
      <c r="F976" s="24">
        <f>D976*E976</f>
        <v/>
      </c>
      <c r="G976" s="22" t="n"/>
    </row>
    <row r="977">
      <c r="A977" s="22" t="inlineStr">
        <is>
          <t>0114</t>
        </is>
      </c>
      <c r="B977" s="11" t="inlineStr">
        <is>
          <t>Beldar</t>
        </is>
      </c>
      <c r="C977" s="22" t="inlineStr">
        <is>
          <t>day</t>
        </is>
      </c>
      <c r="D977" s="23" t="n">
        <v>0.336</v>
      </c>
      <c r="E977" s="24" t="n">
        <v>558</v>
      </c>
      <c r="F977" s="24">
        <f>D977*E977</f>
        <v/>
      </c>
      <c r="G977" s="22" t="n"/>
    </row>
    <row r="978">
      <c r="A978" s="22" t="inlineStr">
        <is>
          <t>0115</t>
        </is>
      </c>
      <c r="B978" s="11" t="inlineStr">
        <is>
          <t>Coolie</t>
        </is>
      </c>
      <c r="C978" s="22" t="inlineStr">
        <is>
          <t>day</t>
        </is>
      </c>
      <c r="D978" s="23" t="n">
        <v>0.336</v>
      </c>
      <c r="E978" s="24" t="n">
        <v>558</v>
      </c>
      <c r="F978" s="24">
        <f>D978*E978</f>
        <v/>
      </c>
      <c r="G978" s="22" t="n"/>
    </row>
    <row r="979">
      <c r="A979" s="22" t="inlineStr">
        <is>
          <t>1237</t>
        </is>
      </c>
      <c r="B979" s="11" t="inlineStr">
        <is>
          <t>Cutting marble or sand stone slab up to 50 mm thick by mechanical device</t>
        </is>
      </c>
      <c r="C979" s="22" t="inlineStr">
        <is>
          <t>metre</t>
        </is>
      </c>
      <c r="D979" s="23" t="n">
        <v>4</v>
      </c>
      <c r="E979" s="24" t="n">
        <v>10</v>
      </c>
      <c r="F979" s="24">
        <f>D979*E979</f>
        <v/>
      </c>
      <c r="G979" s="22" t="n"/>
    </row>
    <row r="980">
      <c r="A980" s="22" t="inlineStr">
        <is>
          <t>9999</t>
        </is>
      </c>
      <c r="B980" s="11" t="inlineStr">
        <is>
          <t>Scaffolding</t>
        </is>
      </c>
      <c r="C980" s="22" t="inlineStr">
        <is>
          <t>L.S.</t>
        </is>
      </c>
      <c r="D980" s="23" t="n">
        <v>19.76</v>
      </c>
      <c r="E980" s="24" t="n">
        <v>2</v>
      </c>
      <c r="F980" s="24">
        <f>D980*E980</f>
        <v/>
      </c>
      <c r="G980" s="22" t="n"/>
    </row>
    <row r="981">
      <c r="A981" s="22" t="inlineStr">
        <is>
          <t>9999</t>
        </is>
      </c>
      <c r="B981" s="11" t="inlineStr">
        <is>
          <t>Fixing including weather sealant and removing</t>
        </is>
      </c>
      <c r="C981" s="22" t="inlineStr">
        <is>
          <t>L.S.</t>
        </is>
      </c>
      <c r="D981" s="23" t="n">
        <v>51.1</v>
      </c>
      <c r="E981" s="24" t="n">
        <v>2</v>
      </c>
      <c r="F981" s="24">
        <f>D981*E981</f>
        <v/>
      </c>
      <c r="G981" s="22" t="n"/>
    </row>
    <row r="982">
      <c r="A982" s="22" t="inlineStr">
        <is>
          <t>9999</t>
        </is>
      </c>
      <c r="B982" s="11" t="inlineStr">
        <is>
          <t>Silicon gun/ pump etc.</t>
        </is>
      </c>
      <c r="C982" s="22" t="inlineStr">
        <is>
          <t>L.S.</t>
        </is>
      </c>
      <c r="D982" s="23" t="n">
        <v>68.25</v>
      </c>
      <c r="E982" s="24" t="n">
        <v>2</v>
      </c>
      <c r="F982" s="24">
        <f>D982*E982</f>
        <v/>
      </c>
      <c r="G982" s="22" t="n"/>
    </row>
    <row r="983">
      <c r="A983" s="8" t="inlineStr">
        <is>
          <t>Calculated W - SUM of the Amount column above</t>
        </is>
      </c>
      <c r="B983" s="9" t="n"/>
      <c r="C983" s="9" t="n"/>
      <c r="D983" s="9" t="n"/>
      <c r="E983" s="9" t="n"/>
      <c r="F983" s="25">
        <f>SUM(F973:F982)</f>
        <v/>
      </c>
      <c r="G983" s="9" t="n"/>
    </row>
    <row r="984">
      <c r="A984" s="26" t="inlineStr">
        <is>
          <t>W as printed in the DAR</t>
        </is>
      </c>
      <c r="B984" s="22" t="n"/>
      <c r="C984" s="22" t="n"/>
      <c r="D984" s="22" t="n"/>
      <c r="E984" s="22" t="n"/>
      <c r="F984" s="27" t="n">
        <v>1657.59</v>
      </c>
      <c r="G984" s="22" t="n"/>
    </row>
    <row r="985">
      <c r="A985" s="26" t="inlineStr">
        <is>
          <t>Difference (calculated - printed)</t>
        </is>
      </c>
      <c r="B985" s="22" t="n"/>
      <c r="C985" s="22" t="n"/>
      <c r="D985" s="22" t="n"/>
      <c r="E985" s="22" t="n"/>
      <c r="F985" s="27">
        <f>F983-F984</f>
        <v/>
      </c>
      <c r="G985" s="22" t="n"/>
    </row>
    <row r="986">
      <c r="A986" s="29" t="inlineStr">
        <is>
          <t>SAY (Rs.) - final DAR rate as printed (fixed value, not computed)</t>
        </is>
      </c>
      <c r="B986" s="30" t="n"/>
      <c r="C986" s="30" t="n"/>
      <c r="D986" s="30" t="n"/>
      <c r="E986" s="30" t="n"/>
      <c r="F986" s="31" t="n">
        <v>2217.75</v>
      </c>
      <c r="G986" s="30" t="n"/>
    </row>
    <row r="988" ht="62" customHeight="1">
      <c r="A988" s="8" t="inlineStr">
        <is>
          <t>8.20</t>
        </is>
      </c>
      <c r="B988" s="17" t="inlineStr">
        <is>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is>
      </c>
      <c r="C988" s="9" t="n"/>
      <c r="D988" s="9" t="n"/>
      <c r="E988" s="9" t="n"/>
      <c r="F988" s="9" t="n"/>
      <c r="G988" s="9" t="n"/>
    </row>
    <row r="989" ht="18.5" customHeight="1">
      <c r="A989" s="18" t="inlineStr">
        <is>
          <t>8.20.2</t>
        </is>
      </c>
      <c r="B989" s="19" t="inlineStr">
        <is>
          <t>White sand stone - 30mm thick gang saw cut stone</t>
        </is>
      </c>
      <c r="C989" s="20" t="n"/>
      <c r="D989" s="20" t="n"/>
      <c r="E989" s="20" t="n"/>
      <c r="F989" s="20" t="n"/>
      <c r="G989" s="20" t="n"/>
    </row>
    <row r="990">
      <c r="A990" s="21" t="inlineStr">
        <is>
          <t>Details of cost for 1 sqm   |   Source: CivilDAR_2019_Vol_1.pdf, page 407</t>
        </is>
      </c>
    </row>
    <row r="991">
      <c r="A991" s="5" t="inlineStr">
        <is>
          <t>Code</t>
        </is>
      </c>
      <c r="B991" s="5" t="inlineStr">
        <is>
          <t>Description</t>
        </is>
      </c>
      <c r="C991" s="5" t="inlineStr">
        <is>
          <t>Unit</t>
        </is>
      </c>
      <c r="D991" s="5" t="inlineStr">
        <is>
          <t>Quantity</t>
        </is>
      </c>
      <c r="E991" s="5" t="inlineStr">
        <is>
          <t>Rate (Rs.)</t>
        </is>
      </c>
      <c r="F991" s="5" t="inlineStr">
        <is>
          <t>Amount (Rs.)</t>
        </is>
      </c>
      <c r="G991" s="5" t="inlineStr">
        <is>
          <t>Note</t>
        </is>
      </c>
    </row>
    <row r="992">
      <c r="A992" s="22" t="inlineStr">
        <is>
          <t>8684</t>
        </is>
      </c>
      <c r="B992" s="11" t="inlineStr">
        <is>
          <t>White sand stone gang saw cut 30 mm thick</t>
        </is>
      </c>
      <c r="C992" s="22" t="inlineStr">
        <is>
          <t>sqm</t>
        </is>
      </c>
      <c r="D992" s="23" t="n">
        <v>1.05</v>
      </c>
      <c r="E992" s="24" t="n">
        <v>560</v>
      </c>
      <c r="F992" s="24">
        <f>D992*E992</f>
        <v/>
      </c>
      <c r="G992" s="22" t="n"/>
    </row>
    <row r="993">
      <c r="A993" s="22" t="inlineStr">
        <is>
          <t>2216</t>
        </is>
      </c>
      <c r="B993" s="11" t="inlineStr">
        <is>
          <t>Carriage of Stone blocks white &amp; red sand stone &amp; kota stone slab @ 2.30kg/cudm</t>
        </is>
      </c>
      <c r="C993" s="22" t="inlineStr">
        <is>
          <t>tonne</t>
        </is>
      </c>
      <c r="D993" s="23" t="n">
        <v>0.07199999999999999</v>
      </c>
      <c r="E993" s="24" t="n">
        <v>92.23999999999999</v>
      </c>
      <c r="F993" s="24">
        <f>D993*E993</f>
        <v/>
      </c>
      <c r="G993" s="22" t="n"/>
    </row>
    <row r="994">
      <c r="A994" s="22" t="inlineStr">
        <is>
          <t>0125</t>
        </is>
      </c>
      <c r="B994" s="11" t="inlineStr">
        <is>
          <t>Mason (for plain stone work) 2nd class</t>
        </is>
      </c>
      <c r="C994" s="22" t="inlineStr">
        <is>
          <t>day</t>
        </is>
      </c>
      <c r="D994" s="23" t="n">
        <v>0.448</v>
      </c>
      <c r="E994" s="24" t="n">
        <v>679</v>
      </c>
      <c r="F994" s="24">
        <f>D994*E994</f>
        <v/>
      </c>
      <c r="G994" s="22" t="n"/>
    </row>
    <row r="995">
      <c r="A995" s="22" t="inlineStr">
        <is>
          <t>0100</t>
        </is>
      </c>
      <c r="B995" s="11" t="inlineStr">
        <is>
          <t>Bandhani</t>
        </is>
      </c>
      <c r="C995" s="22" t="inlineStr">
        <is>
          <t>day</t>
        </is>
      </c>
      <c r="D995" s="23" t="n">
        <v>0.336</v>
      </c>
      <c r="E995" s="24" t="n">
        <v>617</v>
      </c>
      <c r="F995" s="24">
        <f>D995*E995</f>
        <v/>
      </c>
      <c r="G995" s="22" t="n"/>
    </row>
    <row r="996">
      <c r="A996" s="22" t="inlineStr">
        <is>
          <t>0114</t>
        </is>
      </c>
      <c r="B996" s="11" t="inlineStr">
        <is>
          <t>Beldar</t>
        </is>
      </c>
      <c r="C996" s="22" t="inlineStr">
        <is>
          <t>day</t>
        </is>
      </c>
      <c r="D996" s="23" t="n">
        <v>0.336</v>
      </c>
      <c r="E996" s="24" t="n">
        <v>558</v>
      </c>
      <c r="F996" s="24">
        <f>D996*E996</f>
        <v/>
      </c>
      <c r="G996" s="22" t="n"/>
    </row>
    <row r="997">
      <c r="A997" s="22" t="inlineStr">
        <is>
          <t>0115</t>
        </is>
      </c>
      <c r="B997" s="11" t="inlineStr">
        <is>
          <t>Coolie</t>
        </is>
      </c>
      <c r="C997" s="22" t="inlineStr">
        <is>
          <t>day</t>
        </is>
      </c>
      <c r="D997" s="23" t="n">
        <v>0.336</v>
      </c>
      <c r="E997" s="24" t="n">
        <v>558</v>
      </c>
      <c r="F997" s="24">
        <f>D997*E997</f>
        <v/>
      </c>
      <c r="G997" s="22" t="n"/>
    </row>
    <row r="998">
      <c r="A998" s="22" t="inlineStr">
        <is>
          <t>1237</t>
        </is>
      </c>
      <c r="B998" s="11" t="inlineStr">
        <is>
          <t>Cutting marble or sand stone slab up to 50 mm thick by mechanical device</t>
        </is>
      </c>
      <c r="C998" s="22" t="inlineStr">
        <is>
          <t>metre</t>
        </is>
      </c>
      <c r="D998" s="23" t="n">
        <v>4</v>
      </c>
      <c r="E998" s="24" t="n">
        <v>10</v>
      </c>
      <c r="F998" s="24">
        <f>D998*E998</f>
        <v/>
      </c>
      <c r="G998" s="22" t="n"/>
    </row>
    <row r="999">
      <c r="A999" s="22" t="inlineStr">
        <is>
          <t>9999</t>
        </is>
      </c>
      <c r="B999" s="11" t="inlineStr">
        <is>
          <t>Scaffolding</t>
        </is>
      </c>
      <c r="C999" s="22" t="inlineStr">
        <is>
          <t>L.S.</t>
        </is>
      </c>
      <c r="D999" s="23" t="n">
        <v>19.76</v>
      </c>
      <c r="E999" s="24" t="n">
        <v>2</v>
      </c>
      <c r="F999" s="24">
        <f>D999*E999</f>
        <v/>
      </c>
      <c r="G999" s="22" t="n"/>
    </row>
    <row r="1000">
      <c r="A1000" s="22" t="inlineStr">
        <is>
          <t>9999</t>
        </is>
      </c>
      <c r="B1000" s="11" t="inlineStr">
        <is>
          <t>Fixing including weather sealant and removing</t>
        </is>
      </c>
      <c r="C1000" s="22" t="inlineStr">
        <is>
          <t>L.S.</t>
        </is>
      </c>
      <c r="D1000" s="23" t="n">
        <v>51.1</v>
      </c>
      <c r="E1000" s="24" t="n">
        <v>2</v>
      </c>
      <c r="F1000" s="24">
        <f>D1000*E1000</f>
        <v/>
      </c>
      <c r="G1000" s="22" t="n"/>
    </row>
    <row r="1001">
      <c r="A1001" s="22" t="inlineStr">
        <is>
          <t>9999</t>
        </is>
      </c>
      <c r="B1001" s="11" t="inlineStr">
        <is>
          <t>Silicon gun/ pump etc.</t>
        </is>
      </c>
      <c r="C1001" s="22" t="inlineStr">
        <is>
          <t>L.S.</t>
        </is>
      </c>
      <c r="D1001" s="23" t="n">
        <v>68.25</v>
      </c>
      <c r="E1001" s="24" t="n">
        <v>2</v>
      </c>
      <c r="F1001" s="24">
        <f>D1001*E1001</f>
        <v/>
      </c>
      <c r="G1001" s="22" t="n"/>
    </row>
    <row r="1002">
      <c r="A1002" s="8" t="inlineStr">
        <is>
          <t>Calculated W - SUM of the Amount column above</t>
        </is>
      </c>
      <c r="B1002" s="9" t="n"/>
      <c r="C1002" s="9" t="n"/>
      <c r="D1002" s="9" t="n"/>
      <c r="E1002" s="9" t="n"/>
      <c r="F1002" s="25">
        <f>SUM(F992:F1001)</f>
        <v/>
      </c>
      <c r="G1002" s="9" t="n"/>
    </row>
    <row r="1003">
      <c r="A1003" s="26" t="inlineStr">
        <is>
          <t>W as printed in the DAR</t>
        </is>
      </c>
      <c r="B1003" s="22" t="n"/>
      <c r="C1003" s="22" t="n"/>
      <c r="D1003" s="22" t="n"/>
      <c r="E1003" s="22" t="n"/>
      <c r="F1003" s="27" t="n">
        <v>1799.34</v>
      </c>
      <c r="G1003" s="22" t="n"/>
    </row>
    <row r="1004">
      <c r="A1004" s="26" t="inlineStr">
        <is>
          <t>Difference (calculated - printed)</t>
        </is>
      </c>
      <c r="B1004" s="22" t="n"/>
      <c r="C1004" s="22" t="n"/>
      <c r="D1004" s="22" t="n"/>
      <c r="E1004" s="22" t="n"/>
      <c r="F1004" s="27">
        <f>F1002-F1003</f>
        <v/>
      </c>
      <c r="G1004" s="22" t="n"/>
    </row>
    <row r="1005">
      <c r="A1005" s="29" t="inlineStr">
        <is>
          <t>SAY (Rs.) - final DAR rate as printed (fixed value, not computed)</t>
        </is>
      </c>
      <c r="B1005" s="30" t="n"/>
      <c r="C1005" s="30" t="n"/>
      <c r="D1005" s="30" t="n"/>
      <c r="E1005" s="30" t="n"/>
      <c r="F1005" s="31" t="n">
        <v>2407.4</v>
      </c>
      <c r="G1005" s="30" t="n"/>
    </row>
    <row r="1007" ht="120" customHeight="1">
      <c r="A1007" s="18" t="inlineStr">
        <is>
          <t>8.21</t>
        </is>
      </c>
      <c r="B1007" s="19" t="inlineStr">
        <is>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t>
        </is>
      </c>
      <c r="C1007" s="20" t="n"/>
      <c r="D1007" s="20" t="n"/>
      <c r="E1007" s="20" t="n"/>
      <c r="F1007" s="20" t="n"/>
      <c r="G1007" s="20" t="n"/>
    </row>
    <row r="1008" ht="18.5" customHeight="1">
      <c r="A1008" s="20" t="n"/>
      <c r="B1008" s="19" t="inlineStr">
        <is>
          <t>Engineer-in-charge and painted with two or more coats of</t>
        </is>
      </c>
      <c r="C1008" s="20" t="n"/>
      <c r="D1008" s="20" t="n"/>
      <c r="E1008" s="20" t="n"/>
      <c r="F1008" s="20" t="n"/>
      <c r="G1008" s="20" t="n"/>
    </row>
    <row r="1009">
      <c r="A1009" s="21" t="inlineStr">
        <is>
          <t>Details of cost for 100.78 kg   |   Source: CivilDAR_2019_Vol_1.pdf, page 408</t>
        </is>
      </c>
    </row>
    <row r="1010">
      <c r="A1010" s="5" t="inlineStr">
        <is>
          <t>Code</t>
        </is>
      </c>
      <c r="B1010" s="5" t="inlineStr">
        <is>
          <t>Description</t>
        </is>
      </c>
      <c r="C1010" s="5" t="inlineStr">
        <is>
          <t>Unit</t>
        </is>
      </c>
      <c r="D1010" s="5" t="inlineStr">
        <is>
          <t>Quantity</t>
        </is>
      </c>
      <c r="E1010" s="5" t="inlineStr">
        <is>
          <t>Rate (Rs.)</t>
        </is>
      </c>
      <c r="F1010" s="5" t="inlineStr">
        <is>
          <t>Amount (Rs.)</t>
        </is>
      </c>
      <c r="G1010" s="5" t="inlineStr">
        <is>
          <t>Note</t>
        </is>
      </c>
    </row>
    <row r="1011">
      <c r="A1011" s="22" t="inlineStr">
        <is>
          <t>4009</t>
        </is>
      </c>
      <c r="B1011" s="11" t="inlineStr">
        <is>
          <t>Mild steel tubes hot finished welded type</t>
        </is>
      </c>
      <c r="C1011" s="22" t="inlineStr">
        <is>
          <t>kilogram</t>
        </is>
      </c>
      <c r="D1011" s="23" t="n">
        <v>51.47</v>
      </c>
      <c r="E1011" s="24" t="n">
        <v>57</v>
      </c>
      <c r="F1011" s="24">
        <f>D1011*E1011</f>
        <v/>
      </c>
      <c r="G1011" s="22" t="n"/>
    </row>
    <row r="1012">
      <c r="A1012" s="22" t="inlineStr">
        <is>
          <t>1007</t>
        </is>
      </c>
      <c r="B1012" s="11" t="inlineStr">
        <is>
          <t>Structurals such as tees, angles channels and R.S. joists</t>
        </is>
      </c>
      <c r="C1012" s="22" t="inlineStr">
        <is>
          <t>quintal</t>
        </is>
      </c>
      <c r="D1012" s="23" t="n">
        <v>0.594</v>
      </c>
      <c r="E1012" s="24" t="n">
        <v>4600</v>
      </c>
      <c r="F1012" s="24">
        <f>D1012*E1012</f>
        <v/>
      </c>
      <c r="G1012" s="22" t="n"/>
    </row>
    <row r="1013">
      <c r="A1013" s="7" t="inlineStr">
        <is>
          <t>4.1.3</t>
        </is>
      </c>
      <c r="B1013" s="11" t="inlineStr">
        <is>
          <t>Rate as per item 4.1.3 - Providing and laying in position cement concrete of specified grade excluding the cost of centering and shu...</t>
        </is>
      </c>
      <c r="C1013" s="22" t="inlineStr">
        <is>
          <t>cum</t>
        </is>
      </c>
      <c r="D1013" s="23" t="n">
        <v>0.331</v>
      </c>
      <c r="E1013" s="24" t="n">
        <v>6788.6</v>
      </c>
      <c r="F1013" s="24">
        <f>D1013*E1013</f>
        <v/>
      </c>
      <c r="G1013" s="22" t="n"/>
    </row>
    <row r="1014">
      <c r="A1014" s="22" t="inlineStr">
        <is>
          <t>0123</t>
        </is>
      </c>
      <c r="B1014" s="11" t="inlineStr">
        <is>
          <t>Mason (brick layer) 1st class</t>
        </is>
      </c>
      <c r="C1014" s="22" t="inlineStr">
        <is>
          <t>day</t>
        </is>
      </c>
      <c r="D1014" s="23" t="n">
        <v>0.26</v>
      </c>
      <c r="E1014" s="24" t="n">
        <v>738</v>
      </c>
      <c r="F1014" s="24">
        <f>D1014*E1014</f>
        <v/>
      </c>
      <c r="G1014" s="22" t="n"/>
    </row>
    <row r="1015">
      <c r="A1015" s="22" t="inlineStr">
        <is>
          <t>0124</t>
        </is>
      </c>
      <c r="B1015" s="11" t="inlineStr">
        <is>
          <t>Mason (brick layer) 2nd class</t>
        </is>
      </c>
      <c r="C1015" s="22" t="inlineStr">
        <is>
          <t>day</t>
        </is>
      </c>
      <c r="D1015" s="23" t="n">
        <v>0.26</v>
      </c>
      <c r="E1015" s="24" t="n">
        <v>679</v>
      </c>
      <c r="F1015" s="24">
        <f>D1015*E1015</f>
        <v/>
      </c>
      <c r="G1015" s="22" t="n"/>
    </row>
    <row r="1016">
      <c r="A1016" s="22" t="inlineStr">
        <is>
          <t>0114</t>
        </is>
      </c>
      <c r="B1016" s="11" t="inlineStr">
        <is>
          <t>Beldar</t>
        </is>
      </c>
      <c r="C1016" s="22" t="inlineStr">
        <is>
          <t>day</t>
        </is>
      </c>
      <c r="D1016" s="23" t="n">
        <v>2</v>
      </c>
      <c r="E1016" s="24" t="n">
        <v>558</v>
      </c>
      <c r="F1016" s="24">
        <f>D1016*E1016</f>
        <v/>
      </c>
      <c r="G1016" s="22" t="n"/>
    </row>
    <row r="1017">
      <c r="A1017" s="22" t="inlineStr">
        <is>
          <t>1215</t>
        </is>
      </c>
      <c r="B1017" s="11" t="inlineStr">
        <is>
          <t>Welding by electric plant</t>
        </is>
      </c>
      <c r="C1017" s="22" t="inlineStr">
        <is>
          <t>cm</t>
        </is>
      </c>
      <c r="D1017" s="23" t="n">
        <v>560</v>
      </c>
      <c r="E1017" s="24" t="n">
        <v>2</v>
      </c>
      <c r="F1017" s="24">
        <f>D1017*E1017</f>
        <v/>
      </c>
      <c r="G1017" s="22" t="n"/>
    </row>
    <row r="1018">
      <c r="A1018" s="22" t="inlineStr">
        <is>
          <t>0102</t>
        </is>
      </c>
      <c r="B1018" s="11" t="inlineStr">
        <is>
          <t>Blacksmith 1st class</t>
        </is>
      </c>
      <c r="C1018" s="22" t="inlineStr">
        <is>
          <t>day</t>
        </is>
      </c>
      <c r="D1018" s="23" t="n">
        <v>1.34</v>
      </c>
      <c r="E1018" s="24" t="n">
        <v>738</v>
      </c>
      <c r="F1018" s="24">
        <f>D1018*E1018</f>
        <v/>
      </c>
      <c r="G1018" s="34" t="inlineStr">
        <is>
          <t>DAR prints 652.58; Quantity x Rate = 988.92</t>
        </is>
      </c>
    </row>
    <row r="1019">
      <c r="A1019" s="22" t="inlineStr">
        <is>
          <t>0100</t>
        </is>
      </c>
      <c r="B1019" s="11" t="inlineStr">
        <is>
          <t>Bandhani</t>
        </is>
      </c>
      <c r="C1019" s="22" t="inlineStr">
        <is>
          <t>day</t>
        </is>
      </c>
      <c r="D1019" s="23" t="n">
        <v>0.67</v>
      </c>
      <c r="E1019" s="24" t="n">
        <v>617</v>
      </c>
      <c r="F1019" s="24">
        <f>D1019*E1019</f>
        <v/>
      </c>
      <c r="G1019" s="34" t="inlineStr">
        <is>
          <t>DAR prints 272.69; Quantity x Rate = 413.39</t>
        </is>
      </c>
    </row>
    <row r="1020">
      <c r="A1020" s="22" t="inlineStr">
        <is>
          <t>0114</t>
        </is>
      </c>
      <c r="B1020" s="11" t="inlineStr">
        <is>
          <t>Beldar</t>
        </is>
      </c>
      <c r="C1020" s="22" t="inlineStr">
        <is>
          <t>day</t>
        </is>
      </c>
      <c r="D1020" s="23" t="n">
        <v>4.92</v>
      </c>
      <c r="E1020" s="24" t="n">
        <v>558</v>
      </c>
      <c r="F1020" s="24">
        <f>D1020*E1020</f>
        <v/>
      </c>
      <c r="G1020" s="34" t="inlineStr">
        <is>
          <t>DAR prints 1,810.56; Quantity x Rate = 2,745.36</t>
        </is>
      </c>
    </row>
    <row r="1021">
      <c r="A1021" s="22" t="inlineStr">
        <is>
          <t>9999</t>
        </is>
      </c>
      <c r="B1021" s="11" t="inlineStr">
        <is>
          <t>Sundries</t>
        </is>
      </c>
      <c r="C1021" s="22" t="inlineStr">
        <is>
          <t>L.S.</t>
        </is>
      </c>
      <c r="D1021" s="23" t="n">
        <v>80.73</v>
      </c>
      <c r="E1021" s="24" t="n">
        <v>2</v>
      </c>
      <c r="F1021" s="24">
        <f>D1021*E1021</f>
        <v/>
      </c>
      <c r="G1021" s="34" t="inlineStr">
        <is>
          <t>DAR prints 139.66; Quantity x Rate = 161.46</t>
        </is>
      </c>
    </row>
    <row r="1022">
      <c r="A1022" s="22" t="inlineStr">
        <is>
          <t>13.52.1</t>
        </is>
      </c>
      <c r="B1022" s="11" t="inlineStr">
        <is>
          <t>Rate as per item 13.52.1 - Finishing with Epoxy paint (two or more coats) at all locations prepared and applied as per manufacturer's...</t>
        </is>
      </c>
      <c r="C1022" s="22" t="inlineStr">
        <is>
          <t>sqm</t>
        </is>
      </c>
      <c r="D1022" s="23" t="n">
        <v>5.82</v>
      </c>
      <c r="E1022" s="24" t="n">
        <v>189.75</v>
      </c>
      <c r="F1022" s="24">
        <f>D1022*E1022</f>
        <v/>
      </c>
      <c r="G1022" s="22" t="n"/>
    </row>
    <row r="1023">
      <c r="A1023" s="22" t="inlineStr">
        <is>
          <t>9999</t>
        </is>
      </c>
      <c r="B1023" s="11" t="inlineStr">
        <is>
          <t>For labour scaffocaling etc</t>
        </is>
      </c>
      <c r="C1023" s="22" t="inlineStr">
        <is>
          <t>L.S.</t>
        </is>
      </c>
      <c r="D1023" s="23" t="n">
        <v>80.73</v>
      </c>
      <c r="E1023" s="24" t="n">
        <v>2</v>
      </c>
      <c r="F1023" s="24">
        <f>D1023*E1023</f>
        <v/>
      </c>
      <c r="G1023" s="22" t="n"/>
    </row>
    <row r="1024">
      <c r="A1024" s="8" t="inlineStr">
        <is>
          <t>Calculated W - SUM of the Amount column above</t>
        </is>
      </c>
      <c r="B1024" s="9" t="n"/>
      <c r="C1024" s="9" t="n"/>
      <c r="D1024" s="9" t="n"/>
      <c r="E1024" s="9" t="n"/>
      <c r="F1024" s="25">
        <f>SUM(F1011:F1023)</f>
        <v/>
      </c>
      <c r="G1024" s="9" t="n"/>
    </row>
    <row r="1025">
      <c r="A1025" s="26" t="inlineStr">
        <is>
          <t>W as printed in the DAR</t>
        </is>
      </c>
      <c r="B1025" s="22" t="n"/>
      <c r="C1025" s="22" t="n"/>
      <c r="D1025" s="22" t="n"/>
      <c r="E1025" s="22" t="n"/>
      <c r="F1025" s="27" t="n">
        <v>14658.93</v>
      </c>
      <c r="G1025" s="22" t="n"/>
    </row>
    <row r="1026">
      <c r="A1026" s="26" t="inlineStr">
        <is>
          <t>Difference (calculated - printed)</t>
        </is>
      </c>
      <c r="B1026" s="22" t="n"/>
      <c r="C1026" s="22" t="n"/>
      <c r="D1026" s="22" t="n"/>
      <c r="E1026" s="22" t="n"/>
      <c r="F1026" s="27">
        <f>F1024-F1025</f>
        <v/>
      </c>
      <c r="G1026" s="28" t="inlineStr">
        <is>
          <t>DAR's own arithmetic slip(s) - see Cover errata</t>
        </is>
      </c>
    </row>
    <row r="1027">
      <c r="A1027" s="29" t="inlineStr">
        <is>
          <t>SAY (Rs.) - final DAR rate as printed (fixed value, not computed)</t>
        </is>
      </c>
      <c r="B1027" s="30" t="n"/>
      <c r="C1027" s="30" t="n"/>
      <c r="D1027" s="30" t="n"/>
      <c r="E1027" s="30" t="n"/>
      <c r="F1027" s="31" t="n">
        <v>183.35</v>
      </c>
      <c r="G1027" s="30" t="n"/>
    </row>
    <row r="1029" ht="62" customHeight="1">
      <c r="A1029" s="18" t="inlineStr">
        <is>
          <t>8.22</t>
        </is>
      </c>
      <c r="B1029" s="19" t="inlineStr">
        <is>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t>
        </is>
      </c>
      <c r="C1029" s="20" t="n"/>
      <c r="D1029" s="20" t="n"/>
      <c r="E1029" s="20" t="n"/>
      <c r="F1029" s="20" t="n"/>
      <c r="G1029" s="20" t="n"/>
    </row>
    <row r="1030">
      <c r="A1030" s="21" t="inlineStr">
        <is>
          <t>Details of cost for 10 nos   |   Source: CivilDAR_2019_Vol_1.pdf, page 410</t>
        </is>
      </c>
    </row>
    <row r="1031">
      <c r="A1031" s="5" t="inlineStr">
        <is>
          <t>Code</t>
        </is>
      </c>
      <c r="B1031" s="5" t="inlineStr">
        <is>
          <t>Description</t>
        </is>
      </c>
      <c r="C1031" s="5" t="inlineStr">
        <is>
          <t>Unit</t>
        </is>
      </c>
      <c r="D1031" s="5" t="inlineStr">
        <is>
          <t>Quantity</t>
        </is>
      </c>
      <c r="E1031" s="5" t="inlineStr">
        <is>
          <t>Rate (Rs.)</t>
        </is>
      </c>
      <c r="F1031" s="5" t="inlineStr">
        <is>
          <t>Amount (Rs.)</t>
        </is>
      </c>
      <c r="G1031" s="5" t="inlineStr">
        <is>
          <t>Note</t>
        </is>
      </c>
    </row>
    <row r="1032">
      <c r="A1032" s="22" t="inlineStr">
        <is>
          <t>8698</t>
        </is>
      </c>
      <c r="B1032" s="11" t="inlineStr">
        <is>
          <t>Stainless steel cramps (weight 260 grams) with nuts, bolts and washer for dry stone cladding</t>
        </is>
      </c>
      <c r="C1032" s="22" t="inlineStr">
        <is>
          <t>each</t>
        </is>
      </c>
      <c r="D1032" s="23" t="n">
        <v>10</v>
      </c>
      <c r="E1032" s="24" t="n">
        <v>100</v>
      </c>
      <c r="F1032" s="24">
        <f>D1032*E1032</f>
        <v/>
      </c>
      <c r="G1032" s="22" t="n"/>
    </row>
    <row r="1033">
      <c r="A1033" s="22" t="inlineStr">
        <is>
          <t>0103</t>
        </is>
      </c>
      <c r="B1033" s="11" t="inlineStr">
        <is>
          <t>Blacksmith 2nd class</t>
        </is>
      </c>
      <c r="C1033" s="22" t="inlineStr">
        <is>
          <t>day</t>
        </is>
      </c>
      <c r="D1033" s="23" t="n">
        <v>0.1</v>
      </c>
      <c r="E1033" s="24" t="n">
        <v>679</v>
      </c>
      <c r="F1033" s="24">
        <f>D1033*E1033</f>
        <v/>
      </c>
      <c r="G1033" s="22" t="n"/>
    </row>
    <row r="1034">
      <c r="A1034" s="22" t="inlineStr">
        <is>
          <t>0124</t>
        </is>
      </c>
      <c r="B1034" s="11" t="inlineStr">
        <is>
          <t>Mason (brick layer) 2nd class</t>
        </is>
      </c>
      <c r="C1034" s="22" t="inlineStr">
        <is>
          <t>day</t>
        </is>
      </c>
      <c r="D1034" s="23" t="n">
        <v>1</v>
      </c>
      <c r="E1034" s="24" t="n">
        <v>679</v>
      </c>
      <c r="F1034" s="24">
        <f>D1034*E1034</f>
        <v/>
      </c>
      <c r="G1034" s="22" t="n"/>
    </row>
    <row r="1035">
      <c r="A1035" s="22" t="inlineStr">
        <is>
          <t>0114</t>
        </is>
      </c>
      <c r="B1035" s="11" t="inlineStr">
        <is>
          <t>Beldar</t>
        </is>
      </c>
      <c r="C1035" s="22" t="inlineStr">
        <is>
          <t>day</t>
        </is>
      </c>
      <c r="D1035" s="23" t="n">
        <v>1.1</v>
      </c>
      <c r="E1035" s="24" t="n">
        <v>558</v>
      </c>
      <c r="F1035" s="24">
        <f>D1035*E1035</f>
        <v/>
      </c>
      <c r="G1035" s="22" t="n"/>
    </row>
    <row r="1036">
      <c r="A1036" s="22" t="inlineStr">
        <is>
          <t>9999</t>
        </is>
      </c>
      <c r="B1036" s="11" t="inlineStr">
        <is>
          <t>Scaffolding, hire charges of drill machine etc.</t>
        </is>
      </c>
      <c r="C1036" s="22" t="inlineStr">
        <is>
          <t>L.S.</t>
        </is>
      </c>
      <c r="D1036" s="23" t="n">
        <v>20.8</v>
      </c>
      <c r="E1036" s="24" t="n">
        <v>2</v>
      </c>
      <c r="F1036" s="24">
        <f>D1036*E1036</f>
        <v/>
      </c>
      <c r="G1036" s="22" t="n"/>
    </row>
    <row r="1037">
      <c r="A1037" s="22" t="inlineStr">
        <is>
          <t>9999</t>
        </is>
      </c>
      <c r="B1037" s="11" t="inlineStr">
        <is>
          <t>Sundries</t>
        </is>
      </c>
      <c r="C1037" s="22" t="inlineStr">
        <is>
          <t>L.S.</t>
        </is>
      </c>
      <c r="D1037" s="23" t="n">
        <v>20.8</v>
      </c>
      <c r="E1037" s="24" t="n">
        <v>2</v>
      </c>
      <c r="F1037" s="24">
        <f>D1037*E1037</f>
        <v/>
      </c>
      <c r="G1037" s="22" t="n"/>
    </row>
    <row r="1038">
      <c r="A1038" s="8" t="inlineStr">
        <is>
          <t>Calculated W - SUM of the Amount column above</t>
        </is>
      </c>
      <c r="B1038" s="9" t="n"/>
      <c r="C1038" s="9" t="n"/>
      <c r="D1038" s="9" t="n"/>
      <c r="E1038" s="9" t="n"/>
      <c r="F1038" s="25">
        <f>SUM(F1032:F1037)</f>
        <v/>
      </c>
      <c r="G1038" s="9" t="n"/>
    </row>
    <row r="1039">
      <c r="A1039" s="26" t="inlineStr">
        <is>
          <t>W as printed in the DAR</t>
        </is>
      </c>
      <c r="B1039" s="22" t="n"/>
      <c r="C1039" s="22" t="n"/>
      <c r="D1039" s="22" t="n"/>
      <c r="E1039" s="22" t="n"/>
      <c r="F1039" s="27" t="n">
        <v>2443.9</v>
      </c>
      <c r="G1039" s="22" t="n"/>
    </row>
    <row r="1040">
      <c r="A1040" s="26" t="inlineStr">
        <is>
          <t>Difference (calculated - printed)</t>
        </is>
      </c>
      <c r="B1040" s="22" t="n"/>
      <c r="C1040" s="22" t="n"/>
      <c r="D1040" s="22" t="n"/>
      <c r="E1040" s="22" t="n"/>
      <c r="F1040" s="27">
        <f>F1038-F1039</f>
        <v/>
      </c>
      <c r="G1040" s="22" t="n"/>
    </row>
    <row r="1041">
      <c r="A1041" s="29" t="inlineStr">
        <is>
          <t>SAY (Rs.) - final DAR rate as printed (fixed value, not computed)</t>
        </is>
      </c>
      <c r="B1041" s="30" t="n"/>
      <c r="C1041" s="30" t="n"/>
      <c r="D1041" s="30" t="n"/>
      <c r="E1041" s="30" t="n"/>
      <c r="F1041" s="31" t="n">
        <v>327</v>
      </c>
      <c r="G1041" s="30" t="n"/>
    </row>
    <row r="1043" ht="33" customHeight="1">
      <c r="A1043" s="18" t="inlineStr">
        <is>
          <t>8.23</t>
        </is>
      </c>
      <c r="B1043" s="19" t="inlineStr">
        <is>
          <t>Providing 50x50x50 mm 2nd class teak wood plugs including cutting brick work and fixing in cement mortar 1:3 (1 cement : 3 fine sand) and making good the walls etc.</t>
        </is>
      </c>
      <c r="C1043" s="20" t="n"/>
      <c r="D1043" s="20" t="n"/>
      <c r="E1043" s="20" t="n"/>
      <c r="F1043" s="20" t="n"/>
      <c r="G1043" s="20" t="n"/>
    </row>
    <row r="1044">
      <c r="A1044" s="21" t="inlineStr">
        <is>
          <t>Details of cost for 100 nos   |   Source: CivilDAR_2019_Vol_1.pdf, page 410</t>
        </is>
      </c>
    </row>
    <row r="1045">
      <c r="A1045" s="5" t="inlineStr">
        <is>
          <t>Code</t>
        </is>
      </c>
      <c r="B1045" s="5" t="inlineStr">
        <is>
          <t>Description</t>
        </is>
      </c>
      <c r="C1045" s="5" t="inlineStr">
        <is>
          <t>Unit</t>
        </is>
      </c>
      <c r="D1045" s="5" t="inlineStr">
        <is>
          <t>Quantity</t>
        </is>
      </c>
      <c r="E1045" s="5" t="inlineStr">
        <is>
          <t>Rate (Rs.)</t>
        </is>
      </c>
      <c r="F1045" s="5" t="inlineStr">
        <is>
          <t>Amount (Rs.)</t>
        </is>
      </c>
      <c r="G1045" s="5" t="inlineStr">
        <is>
          <t>Note</t>
        </is>
      </c>
    </row>
    <row r="1046">
      <c r="A1046" s="22" t="inlineStr">
        <is>
          <t>1189</t>
        </is>
      </c>
      <c r="B1046" s="11" t="inlineStr">
        <is>
          <t>Second class teak wood in scantling</t>
        </is>
      </c>
      <c r="C1046" s="22" t="inlineStr">
        <is>
          <t>10 cudm</t>
        </is>
      </c>
      <c r="D1046" s="23" t="n">
        <v>1.4</v>
      </c>
      <c r="E1046" s="24" t="n">
        <v>776</v>
      </c>
      <c r="F1046" s="24">
        <f>D1046*E1046</f>
        <v/>
      </c>
      <c r="G1046" s="22" t="n"/>
    </row>
    <row r="1047">
      <c r="A1047" s="22" t="inlineStr">
        <is>
          <t>2204</t>
        </is>
      </c>
      <c r="B1047" s="11" t="inlineStr">
        <is>
          <t>Carriage of Timber</t>
        </is>
      </c>
      <c r="C1047" s="22" t="inlineStr">
        <is>
          <t>cum</t>
        </is>
      </c>
      <c r="D1047" s="23" t="n">
        <v>0.014</v>
      </c>
      <c r="E1047" s="24" t="n">
        <v>118.59</v>
      </c>
      <c r="F1047" s="24">
        <f>D1047*E1047</f>
        <v/>
      </c>
      <c r="G1047" s="22" t="n"/>
    </row>
    <row r="1048">
      <c r="A1048" s="7" t="inlineStr">
        <is>
          <t>3.3</t>
        </is>
      </c>
      <c r="B1048" s="11" t="inlineStr">
        <is>
          <t>Rate as per item 3.3 - Cement mortar 1:3 (1 cement : 3 fine sand)</t>
        </is>
      </c>
      <c r="C1048" s="22" t="inlineStr">
        <is>
          <t>cum</t>
        </is>
      </c>
      <c r="D1048" s="23" t="n">
        <v>0.002</v>
      </c>
      <c r="E1048" s="24" t="n">
        <v>4183.05</v>
      </c>
      <c r="F1048" s="24">
        <f>D1048*E1048</f>
        <v/>
      </c>
      <c r="G1048" s="22" t="n"/>
    </row>
    <row r="1049">
      <c r="A1049" s="22" t="inlineStr">
        <is>
          <t>0112</t>
        </is>
      </c>
      <c r="B1049" s="11" t="inlineStr">
        <is>
          <t>Carpenter 2nd class</t>
        </is>
      </c>
      <c r="C1049" s="22" t="inlineStr">
        <is>
          <t>day</t>
        </is>
      </c>
      <c r="D1049" s="23" t="n">
        <v>0.75</v>
      </c>
      <c r="E1049" s="24" t="n">
        <v>679</v>
      </c>
      <c r="F1049" s="24">
        <f>D1049*E1049</f>
        <v/>
      </c>
      <c r="G1049" s="22" t="n"/>
    </row>
    <row r="1050">
      <c r="A1050" s="22" t="inlineStr">
        <is>
          <t>0124</t>
        </is>
      </c>
      <c r="B1050" s="11" t="inlineStr">
        <is>
          <t>Mason (brick layer) 2nd class</t>
        </is>
      </c>
      <c r="C1050" s="22" t="inlineStr">
        <is>
          <t>day</t>
        </is>
      </c>
      <c r="D1050" s="23" t="n">
        <v>0.75</v>
      </c>
      <c r="E1050" s="24" t="n">
        <v>679</v>
      </c>
      <c r="F1050" s="24">
        <f>D1050*E1050</f>
        <v/>
      </c>
      <c r="G1050" s="22" t="n"/>
    </row>
    <row r="1051">
      <c r="A1051" s="22" t="inlineStr">
        <is>
          <t>0114</t>
        </is>
      </c>
      <c r="B1051" s="11" t="inlineStr">
        <is>
          <t>Beldar</t>
        </is>
      </c>
      <c r="C1051" s="22" t="inlineStr">
        <is>
          <t>day</t>
        </is>
      </c>
      <c r="D1051" s="23" t="n">
        <v>0.75</v>
      </c>
      <c r="E1051" s="24" t="n">
        <v>558</v>
      </c>
      <c r="F1051" s="24">
        <f>D1051*E1051</f>
        <v/>
      </c>
      <c r="G1051" s="22" t="n"/>
    </row>
    <row r="1052">
      <c r="A1052" s="8" t="inlineStr">
        <is>
          <t>Calculated W - SUM of the Amount column above</t>
        </is>
      </c>
      <c r="B1052" s="9" t="n"/>
      <c r="C1052" s="9" t="n"/>
      <c r="D1052" s="9" t="n"/>
      <c r="E1052" s="9" t="n"/>
      <c r="F1052" s="25">
        <f>SUM(F1046:F1051)</f>
        <v/>
      </c>
      <c r="G1052" s="9" t="n"/>
    </row>
    <row r="1053">
      <c r="A1053" s="26" t="inlineStr">
        <is>
          <t>W as printed in the DAR</t>
        </is>
      </c>
      <c r="B1053" s="22" t="n"/>
      <c r="C1053" s="22" t="n"/>
      <c r="D1053" s="22" t="n"/>
      <c r="E1053" s="22" t="n"/>
      <c r="F1053" s="27" t="n">
        <v>2533.43</v>
      </c>
      <c r="G1053" s="22" t="n"/>
    </row>
    <row r="1054">
      <c r="A1054" s="26" t="inlineStr">
        <is>
          <t>Difference (calculated - printed)</t>
        </is>
      </c>
      <c r="B1054" s="22" t="n"/>
      <c r="C1054" s="22" t="n"/>
      <c r="D1054" s="22" t="n"/>
      <c r="E1054" s="22" t="n"/>
      <c r="F1054" s="27">
        <f>F1052-F1053</f>
        <v/>
      </c>
      <c r="G1054" s="22" t="n"/>
    </row>
    <row r="1055">
      <c r="A1055" s="29" t="inlineStr">
        <is>
          <t>SAY (Rs.) - final DAR rate as printed (fixed value, not computed)</t>
        </is>
      </c>
      <c r="B1055" s="30" t="n"/>
      <c r="C1055" s="30" t="n"/>
      <c r="D1055" s="30" t="n"/>
      <c r="E1055" s="30" t="n"/>
      <c r="F1055" s="31" t="n">
        <v>33.9</v>
      </c>
      <c r="G1055" s="30" t="n"/>
    </row>
    <row r="1057" ht="33" customHeight="1">
      <c r="A1057" s="8" t="inlineStr">
        <is>
          <t>8.24</t>
        </is>
      </c>
      <c r="B1057" s="17" t="inlineStr">
        <is>
          <t>Providing and fixing expandable fasteners of specified size with necessary plastic sleeves and galvanised M.S. screws including drilling holes in masonry work / CC/ R.C.C. and making good etc. complete.</t>
        </is>
      </c>
      <c r="C1057" s="9" t="n"/>
      <c r="D1057" s="9" t="n"/>
      <c r="E1057" s="9" t="n"/>
      <c r="F1057" s="9" t="n"/>
      <c r="G1057" s="9" t="n"/>
    </row>
    <row r="1058" ht="18.5" customHeight="1">
      <c r="A1058" s="18" t="inlineStr">
        <is>
          <t>8.24.1</t>
        </is>
      </c>
      <c r="B1058" s="19" t="inlineStr">
        <is>
          <t>25 mm long</t>
        </is>
      </c>
      <c r="C1058" s="20" t="n"/>
      <c r="D1058" s="20" t="n"/>
      <c r="E1058" s="20" t="n"/>
      <c r="F1058" s="20" t="n"/>
      <c r="G1058" s="20" t="n"/>
    </row>
    <row r="1059">
      <c r="A1059" s="21" t="inlineStr">
        <is>
          <t>Details of cost for 10 nos   |   Source: CivilDAR_2019_Vol_1.pdf, page 411</t>
        </is>
      </c>
    </row>
    <row r="1060">
      <c r="A1060" s="5" t="inlineStr">
        <is>
          <t>Code</t>
        </is>
      </c>
      <c r="B1060" s="5" t="inlineStr">
        <is>
          <t>Description</t>
        </is>
      </c>
      <c r="C1060" s="5" t="inlineStr">
        <is>
          <t>Unit</t>
        </is>
      </c>
      <c r="D1060" s="5" t="inlineStr">
        <is>
          <t>Quantity</t>
        </is>
      </c>
      <c r="E1060" s="5" t="inlineStr">
        <is>
          <t>Rate (Rs.)</t>
        </is>
      </c>
      <c r="F1060" s="5" t="inlineStr">
        <is>
          <t>Amount (Rs.)</t>
        </is>
      </c>
      <c r="G1060" s="5" t="inlineStr">
        <is>
          <t>Note</t>
        </is>
      </c>
    </row>
    <row r="1061">
      <c r="A1061" s="22" t="inlineStr">
        <is>
          <t>7312</t>
        </is>
      </c>
      <c r="B1061" s="11" t="inlineStr">
        <is>
          <t>Expandable fastner with plastic sleeve and M.S. screws. 25 mm long</t>
        </is>
      </c>
      <c r="C1061" s="22" t="inlineStr">
        <is>
          <t>each</t>
        </is>
      </c>
      <c r="D1061" s="23" t="n">
        <v>10</v>
      </c>
      <c r="E1061" s="24" t="n">
        <v>10</v>
      </c>
      <c r="F1061" s="24">
        <f>D1061*E1061</f>
        <v/>
      </c>
      <c r="G1061" s="22" t="n"/>
    </row>
    <row r="1062">
      <c r="A1062" s="22" t="inlineStr">
        <is>
          <t>9999</t>
        </is>
      </c>
      <c r="B1062" s="11" t="inlineStr">
        <is>
          <t>Labour for drilling holes and making good etc.</t>
        </is>
      </c>
      <c r="C1062" s="22" t="inlineStr">
        <is>
          <t>L.S.</t>
        </is>
      </c>
      <c r="D1062" s="23" t="n">
        <v>20.8</v>
      </c>
      <c r="E1062" s="24" t="n">
        <v>2</v>
      </c>
      <c r="F1062" s="24">
        <f>D1062*E1062</f>
        <v/>
      </c>
      <c r="G1062" s="22" t="n"/>
    </row>
    <row r="1063">
      <c r="A1063" s="8" t="inlineStr">
        <is>
          <t>Calculated W - SUM of the Amount column above</t>
        </is>
      </c>
      <c r="B1063" s="9" t="n"/>
      <c r="C1063" s="9" t="n"/>
      <c r="D1063" s="9" t="n"/>
      <c r="E1063" s="9" t="n"/>
      <c r="F1063" s="25">
        <f>SUM(F1061:F1062)</f>
        <v/>
      </c>
      <c r="G1063" s="9" t="n"/>
    </row>
    <row r="1064">
      <c r="A1064" s="26" t="inlineStr">
        <is>
          <t>W as printed in the DAR</t>
        </is>
      </c>
      <c r="B1064" s="22" t="n"/>
      <c r="C1064" s="22" t="n"/>
      <c r="D1064" s="22" t="n"/>
      <c r="E1064" s="22" t="n"/>
      <c r="F1064" s="27" t="n">
        <v>141.6</v>
      </c>
      <c r="G1064" s="22" t="n"/>
    </row>
    <row r="1065">
      <c r="A1065" s="26" t="inlineStr">
        <is>
          <t>Difference (calculated - printed)</t>
        </is>
      </c>
      <c r="B1065" s="22" t="n"/>
      <c r="C1065" s="22" t="n"/>
      <c r="D1065" s="22" t="n"/>
      <c r="E1065" s="22" t="n"/>
      <c r="F1065" s="27">
        <f>F1063-F1064</f>
        <v/>
      </c>
      <c r="G1065" s="22" t="n"/>
    </row>
    <row r="1066">
      <c r="A1066" s="29" t="inlineStr">
        <is>
          <t>SAY (Rs.) - final DAR rate as printed (fixed value, not computed)</t>
        </is>
      </c>
      <c r="B1066" s="30" t="n"/>
      <c r="C1066" s="30" t="n"/>
      <c r="D1066" s="30" t="n"/>
      <c r="E1066" s="30" t="n"/>
      <c r="F1066" s="31" t="n">
        <v>18.95</v>
      </c>
      <c r="G1066" s="30" t="n"/>
    </row>
    <row r="1068" ht="33" customHeight="1">
      <c r="A1068" s="8" t="inlineStr">
        <is>
          <t>8.24</t>
        </is>
      </c>
      <c r="B1068" s="17" t="inlineStr">
        <is>
          <t>Providing and fixing expandable fasteners of specified size with necessary plastic sleeves and galvanised M.S. screws including drilling holes in masonry work / CC/ R.C.C. and making good etc. complete.</t>
        </is>
      </c>
      <c r="C1068" s="9" t="n"/>
      <c r="D1068" s="9" t="n"/>
      <c r="E1068" s="9" t="n"/>
      <c r="F1068" s="9" t="n"/>
      <c r="G1068" s="9" t="n"/>
    </row>
    <row r="1069" ht="18.5" customHeight="1">
      <c r="A1069" s="18" t="inlineStr">
        <is>
          <t>8.24.2</t>
        </is>
      </c>
      <c r="B1069" s="19" t="inlineStr">
        <is>
          <t>32 mm long</t>
        </is>
      </c>
      <c r="C1069" s="20" t="n"/>
      <c r="D1069" s="20" t="n"/>
      <c r="E1069" s="20" t="n"/>
      <c r="F1069" s="20" t="n"/>
      <c r="G1069" s="20" t="n"/>
    </row>
    <row r="1070">
      <c r="A1070" s="21" t="inlineStr">
        <is>
          <t>Details of cost for 10 nos   |   Source: CivilDAR_2019_Vol_1.pdf, page 411</t>
        </is>
      </c>
    </row>
    <row r="1071">
      <c r="A1071" s="5" t="inlineStr">
        <is>
          <t>Code</t>
        </is>
      </c>
      <c r="B1071" s="5" t="inlineStr">
        <is>
          <t>Description</t>
        </is>
      </c>
      <c r="C1071" s="5" t="inlineStr">
        <is>
          <t>Unit</t>
        </is>
      </c>
      <c r="D1071" s="5" t="inlineStr">
        <is>
          <t>Quantity</t>
        </is>
      </c>
      <c r="E1071" s="5" t="inlineStr">
        <is>
          <t>Rate (Rs.)</t>
        </is>
      </c>
      <c r="F1071" s="5" t="inlineStr">
        <is>
          <t>Amount (Rs.)</t>
        </is>
      </c>
      <c r="G1071" s="5" t="inlineStr">
        <is>
          <t>Note</t>
        </is>
      </c>
    </row>
    <row r="1072">
      <c r="A1072" s="22" t="inlineStr">
        <is>
          <t>7313</t>
        </is>
      </c>
      <c r="B1072" s="11" t="inlineStr">
        <is>
          <t>Expandable fastner with plastic sleeve and M.S. screws. 32 mm long</t>
        </is>
      </c>
      <c r="C1072" s="22" t="inlineStr">
        <is>
          <t>each</t>
        </is>
      </c>
      <c r="D1072" s="23" t="n">
        <v>10</v>
      </c>
      <c r="E1072" s="24" t="n">
        <v>10</v>
      </c>
      <c r="F1072" s="24">
        <f>D1072*E1072</f>
        <v/>
      </c>
      <c r="G1072" s="22" t="n"/>
    </row>
    <row r="1073">
      <c r="A1073" s="22" t="inlineStr">
        <is>
          <t>9999</t>
        </is>
      </c>
      <c r="B1073" s="11" t="inlineStr">
        <is>
          <t>Labour for drilling holes and making good etc.</t>
        </is>
      </c>
      <c r="C1073" s="22" t="inlineStr">
        <is>
          <t>L.S.</t>
        </is>
      </c>
      <c r="D1073" s="23" t="n">
        <v>26</v>
      </c>
      <c r="E1073" s="24" t="n">
        <v>2</v>
      </c>
      <c r="F1073" s="24">
        <f>D1073*E1073</f>
        <v/>
      </c>
      <c r="G1073" s="22" t="n"/>
    </row>
    <row r="1074">
      <c r="A1074" s="8" t="inlineStr">
        <is>
          <t>Calculated W - SUM of the Amount column above</t>
        </is>
      </c>
      <c r="B1074" s="9" t="n"/>
      <c r="C1074" s="9" t="n"/>
      <c r="D1074" s="9" t="n"/>
      <c r="E1074" s="9" t="n"/>
      <c r="F1074" s="25">
        <f>SUM(F1072:F1073)</f>
        <v/>
      </c>
      <c r="G1074" s="9" t="n"/>
    </row>
    <row r="1075">
      <c r="A1075" s="26" t="inlineStr">
        <is>
          <t>W as printed in the DAR</t>
        </is>
      </c>
      <c r="B1075" s="22" t="n"/>
      <c r="C1075" s="22" t="n"/>
      <c r="D1075" s="22" t="n"/>
      <c r="E1075" s="22" t="n"/>
      <c r="F1075" s="27" t="n">
        <v>152</v>
      </c>
      <c r="G1075" s="22" t="n"/>
    </row>
    <row r="1076">
      <c r="A1076" s="26" t="inlineStr">
        <is>
          <t>Difference (calculated - printed)</t>
        </is>
      </c>
      <c r="B1076" s="22" t="n"/>
      <c r="C1076" s="22" t="n"/>
      <c r="D1076" s="22" t="n"/>
      <c r="E1076" s="22" t="n"/>
      <c r="F1076" s="27">
        <f>F1074-F1075</f>
        <v/>
      </c>
      <c r="G1076" s="22" t="n"/>
    </row>
    <row r="1077">
      <c r="A1077" s="29" t="inlineStr">
        <is>
          <t>SAY (Rs.) - final DAR rate as printed (fixed value, not computed)</t>
        </is>
      </c>
      <c r="B1077" s="30" t="n"/>
      <c r="C1077" s="30" t="n"/>
      <c r="D1077" s="30" t="n"/>
      <c r="E1077" s="30" t="n"/>
      <c r="F1077" s="31" t="n">
        <v>20.35</v>
      </c>
      <c r="G1077" s="30" t="n"/>
    </row>
    <row r="1079" ht="33" customHeight="1">
      <c r="A1079" s="8" t="inlineStr">
        <is>
          <t>8.24</t>
        </is>
      </c>
      <c r="B1079" s="17" t="inlineStr">
        <is>
          <t>Providing and fixing expandable fasteners of specified size with necessary plastic sleeves and galvanised M.S. screws including drilling holes in masonry work / CC/ R.C.C. and making good etc. complete.</t>
        </is>
      </c>
      <c r="C1079" s="9" t="n"/>
      <c r="D1079" s="9" t="n"/>
      <c r="E1079" s="9" t="n"/>
      <c r="F1079" s="9" t="n"/>
      <c r="G1079" s="9" t="n"/>
    </row>
    <row r="1080" ht="18.5" customHeight="1">
      <c r="A1080" s="18" t="inlineStr">
        <is>
          <t>8.24.3</t>
        </is>
      </c>
      <c r="B1080" s="19" t="inlineStr">
        <is>
          <t>40 mm long</t>
        </is>
      </c>
      <c r="C1080" s="20" t="n"/>
      <c r="D1080" s="20" t="n"/>
      <c r="E1080" s="20" t="n"/>
      <c r="F1080" s="20" t="n"/>
      <c r="G1080" s="20" t="n"/>
    </row>
    <row r="1081">
      <c r="A1081" s="21" t="inlineStr">
        <is>
          <t>Details of cost for 10 nos   |   Source: CivilDAR_2019_Vol_1.pdf, page 412</t>
        </is>
      </c>
    </row>
    <row r="1082">
      <c r="A1082" s="5" t="inlineStr">
        <is>
          <t>Code</t>
        </is>
      </c>
      <c r="B1082" s="5" t="inlineStr">
        <is>
          <t>Description</t>
        </is>
      </c>
      <c r="C1082" s="5" t="inlineStr">
        <is>
          <t>Unit</t>
        </is>
      </c>
      <c r="D1082" s="5" t="inlineStr">
        <is>
          <t>Quantity</t>
        </is>
      </c>
      <c r="E1082" s="5" t="inlineStr">
        <is>
          <t>Rate (Rs.)</t>
        </is>
      </c>
      <c r="F1082" s="5" t="inlineStr">
        <is>
          <t>Amount (Rs.)</t>
        </is>
      </c>
      <c r="G1082" s="5" t="inlineStr">
        <is>
          <t>Note</t>
        </is>
      </c>
    </row>
    <row r="1083">
      <c r="A1083" s="22" t="inlineStr">
        <is>
          <t>7314</t>
        </is>
      </c>
      <c r="B1083" s="11" t="inlineStr">
        <is>
          <t>Expandable fastner with plastic sleeve and M.S. screws. 40 mm long</t>
        </is>
      </c>
      <c r="C1083" s="22" t="inlineStr">
        <is>
          <t>each</t>
        </is>
      </c>
      <c r="D1083" s="23" t="n">
        <v>10</v>
      </c>
      <c r="E1083" s="24" t="n">
        <v>13</v>
      </c>
      <c r="F1083" s="24">
        <f>D1083*E1083</f>
        <v/>
      </c>
      <c r="G1083" s="22" t="n"/>
    </row>
    <row r="1084">
      <c r="A1084" s="22" t="inlineStr">
        <is>
          <t>9999</t>
        </is>
      </c>
      <c r="B1084" s="11" t="inlineStr">
        <is>
          <t>Labour for drilling holes and making good etc.</t>
        </is>
      </c>
      <c r="C1084" s="22" t="inlineStr">
        <is>
          <t>L.S.</t>
        </is>
      </c>
      <c r="D1084" s="23" t="n">
        <v>26</v>
      </c>
      <c r="E1084" s="24" t="n">
        <v>2</v>
      </c>
      <c r="F1084" s="24">
        <f>D1084*E1084</f>
        <v/>
      </c>
      <c r="G1084" s="22" t="n"/>
    </row>
    <row r="1085">
      <c r="A1085" s="8" t="inlineStr">
        <is>
          <t>Calculated W - SUM of the Amount column above</t>
        </is>
      </c>
      <c r="B1085" s="9" t="n"/>
      <c r="C1085" s="9" t="n"/>
      <c r="D1085" s="9" t="n"/>
      <c r="E1085" s="9" t="n"/>
      <c r="F1085" s="25">
        <f>SUM(F1083:F1084)</f>
        <v/>
      </c>
      <c r="G1085" s="9" t="n"/>
    </row>
    <row r="1086">
      <c r="A1086" s="26" t="inlineStr">
        <is>
          <t>W as printed in the DAR</t>
        </is>
      </c>
      <c r="B1086" s="22" t="n"/>
      <c r="C1086" s="22" t="n"/>
      <c r="D1086" s="22" t="n"/>
      <c r="E1086" s="22" t="n"/>
      <c r="F1086" s="27" t="n">
        <v>182</v>
      </c>
      <c r="G1086" s="22" t="n"/>
    </row>
    <row r="1087">
      <c r="A1087" s="26" t="inlineStr">
        <is>
          <t>Difference (calculated - printed)</t>
        </is>
      </c>
      <c r="B1087" s="22" t="n"/>
      <c r="C1087" s="22" t="n"/>
      <c r="D1087" s="22" t="n"/>
      <c r="E1087" s="22" t="n"/>
      <c r="F1087" s="27">
        <f>F1085-F1086</f>
        <v/>
      </c>
      <c r="G1087" s="22" t="n"/>
    </row>
    <row r="1088">
      <c r="A1088" s="29" t="inlineStr">
        <is>
          <t>SAY (Rs.) - final DAR rate as printed (fixed value, not computed)</t>
        </is>
      </c>
      <c r="B1088" s="30" t="n"/>
      <c r="C1088" s="30" t="n"/>
      <c r="D1088" s="30" t="n"/>
      <c r="E1088" s="30" t="n"/>
      <c r="F1088" s="31" t="n">
        <v>24.35</v>
      </c>
      <c r="G1088" s="30" t="n"/>
    </row>
    <row r="1090" ht="33" customHeight="1">
      <c r="A1090" s="8" t="inlineStr">
        <is>
          <t>8.24</t>
        </is>
      </c>
      <c r="B1090" s="17" t="inlineStr">
        <is>
          <t>Providing and fixing expandable fasteners of specified size with necessary plastic sleeves and galvanised M.S. screws including drilling holes in masonry work / CC/ R.C.C. and making good etc. complete.</t>
        </is>
      </c>
      <c r="C1090" s="9" t="n"/>
      <c r="D1090" s="9" t="n"/>
      <c r="E1090" s="9" t="n"/>
      <c r="F1090" s="9" t="n"/>
      <c r="G1090" s="9" t="n"/>
    </row>
    <row r="1091" ht="18.5" customHeight="1">
      <c r="A1091" s="18" t="inlineStr">
        <is>
          <t>8.24.4</t>
        </is>
      </c>
      <c r="B1091" s="19" t="inlineStr">
        <is>
          <t>50 mm long</t>
        </is>
      </c>
      <c r="C1091" s="20" t="n"/>
      <c r="D1091" s="20" t="n"/>
      <c r="E1091" s="20" t="n"/>
      <c r="F1091" s="20" t="n"/>
      <c r="G1091" s="20" t="n"/>
    </row>
    <row r="1092">
      <c r="A1092" s="21" t="inlineStr">
        <is>
          <t>Details of cost for 10 nos   |   Source: CivilDAR_2019_Vol_1.pdf, page 412</t>
        </is>
      </c>
    </row>
    <row r="1093">
      <c r="A1093" s="5" t="inlineStr">
        <is>
          <t>Code</t>
        </is>
      </c>
      <c r="B1093" s="5" t="inlineStr">
        <is>
          <t>Description</t>
        </is>
      </c>
      <c r="C1093" s="5" t="inlineStr">
        <is>
          <t>Unit</t>
        </is>
      </c>
      <c r="D1093" s="5" t="inlineStr">
        <is>
          <t>Quantity</t>
        </is>
      </c>
      <c r="E1093" s="5" t="inlineStr">
        <is>
          <t>Rate (Rs.)</t>
        </is>
      </c>
      <c r="F1093" s="5" t="inlineStr">
        <is>
          <t>Amount (Rs.)</t>
        </is>
      </c>
      <c r="G1093" s="5" t="inlineStr">
        <is>
          <t>Note</t>
        </is>
      </c>
    </row>
    <row r="1094">
      <c r="A1094" s="22" t="inlineStr">
        <is>
          <t>7315</t>
        </is>
      </c>
      <c r="B1094" s="11" t="inlineStr">
        <is>
          <t>Expandable fastner with plastic sleeve and M.S. screws. 50 mm long</t>
        </is>
      </c>
      <c r="C1094" s="22" t="inlineStr">
        <is>
          <t>each</t>
        </is>
      </c>
      <c r="D1094" s="23" t="n">
        <v>10</v>
      </c>
      <c r="E1094" s="24" t="n">
        <v>14</v>
      </c>
      <c r="F1094" s="24">
        <f>D1094*E1094</f>
        <v/>
      </c>
      <c r="G1094" s="22" t="n"/>
    </row>
    <row r="1095">
      <c r="A1095" s="22" t="inlineStr">
        <is>
          <t>9999</t>
        </is>
      </c>
      <c r="B1095" s="11" t="inlineStr">
        <is>
          <t>Labour for drilling holes and making good etc.</t>
        </is>
      </c>
      <c r="C1095" s="22" t="inlineStr">
        <is>
          <t>L.S.</t>
        </is>
      </c>
      <c r="D1095" s="23" t="n">
        <v>26</v>
      </c>
      <c r="E1095" s="24" t="n">
        <v>2</v>
      </c>
      <c r="F1095" s="24">
        <f>D1095*E1095</f>
        <v/>
      </c>
      <c r="G1095" s="22" t="n"/>
    </row>
    <row r="1096">
      <c r="A1096" s="8" t="inlineStr">
        <is>
          <t>Calculated W - SUM of the Amount column above</t>
        </is>
      </c>
      <c r="B1096" s="9" t="n"/>
      <c r="C1096" s="9" t="n"/>
      <c r="D1096" s="9" t="n"/>
      <c r="E1096" s="9" t="n"/>
      <c r="F1096" s="25">
        <f>SUM(F1094:F1095)</f>
        <v/>
      </c>
      <c r="G1096" s="9" t="n"/>
    </row>
    <row r="1097">
      <c r="A1097" s="26" t="inlineStr">
        <is>
          <t>W as printed in the DAR</t>
        </is>
      </c>
      <c r="B1097" s="22" t="n"/>
      <c r="C1097" s="22" t="n"/>
      <c r="D1097" s="22" t="n"/>
      <c r="E1097" s="22" t="n"/>
      <c r="F1097" s="27" t="n">
        <v>192</v>
      </c>
      <c r="G1097" s="22" t="n"/>
    </row>
    <row r="1098">
      <c r="A1098" s="26" t="inlineStr">
        <is>
          <t>Difference (calculated - printed)</t>
        </is>
      </c>
      <c r="B1098" s="22" t="n"/>
      <c r="C1098" s="22" t="n"/>
      <c r="D1098" s="22" t="n"/>
      <c r="E1098" s="22" t="n"/>
      <c r="F1098" s="27">
        <f>F1096-F1097</f>
        <v/>
      </c>
      <c r="G1098" s="22" t="n"/>
    </row>
    <row r="1099">
      <c r="A1099" s="29" t="inlineStr">
        <is>
          <t>SAY (Rs.) - final DAR rate as printed (fixed value, not computed)</t>
        </is>
      </c>
      <c r="B1099" s="30" t="n"/>
      <c r="C1099" s="30" t="n"/>
      <c r="D1099" s="30" t="n"/>
      <c r="E1099" s="30" t="n"/>
      <c r="F1099" s="31" t="n">
        <v>25.7</v>
      </c>
      <c r="G1099" s="30" t="n"/>
    </row>
    <row r="1101" ht="33" customHeight="1">
      <c r="A1101" s="8" t="inlineStr">
        <is>
          <t>8.25</t>
        </is>
      </c>
      <c r="B1101" s="17" t="inlineStr">
        <is>
          <t>Providing and fixing 2nd class teak wood plain lining tongued and grooved, including wooden plugs complete with necessary screws and priming coat on unexposed surface.</t>
        </is>
      </c>
      <c r="C1101" s="9" t="n"/>
      <c r="D1101" s="9" t="n"/>
      <c r="E1101" s="9" t="n"/>
      <c r="F1101" s="9" t="n"/>
      <c r="G1101" s="9" t="n"/>
    </row>
    <row r="1102" ht="18.5" customHeight="1">
      <c r="A1102" s="18" t="inlineStr">
        <is>
          <t>8.25.1</t>
        </is>
      </c>
      <c r="B1102" s="19" t="inlineStr">
        <is>
          <t>40 mm thick</t>
        </is>
      </c>
      <c r="C1102" s="20" t="n"/>
      <c r="D1102" s="20" t="n"/>
      <c r="E1102" s="20" t="n"/>
      <c r="F1102" s="20" t="n"/>
      <c r="G1102" s="20" t="n"/>
    </row>
    <row r="1103">
      <c r="A1103" s="21" t="inlineStr">
        <is>
          <t>Details of cost for 10 sqm   |   Source: CivilDAR_2019_Vol_1.pdf, page 413</t>
        </is>
      </c>
    </row>
    <row r="1104">
      <c r="A1104" s="5" t="inlineStr">
        <is>
          <t>Code</t>
        </is>
      </c>
      <c r="B1104" s="5" t="inlineStr">
        <is>
          <t>Description</t>
        </is>
      </c>
      <c r="C1104" s="5" t="inlineStr">
        <is>
          <t>Unit</t>
        </is>
      </c>
      <c r="D1104" s="5" t="inlineStr">
        <is>
          <t>Quantity</t>
        </is>
      </c>
      <c r="E1104" s="5" t="inlineStr">
        <is>
          <t>Rate (Rs.)</t>
        </is>
      </c>
      <c r="F1104" s="5" t="inlineStr">
        <is>
          <t>Amount (Rs.)</t>
        </is>
      </c>
      <c r="G1104" s="5" t="inlineStr">
        <is>
          <t>Note</t>
        </is>
      </c>
    </row>
    <row r="1105">
      <c r="A1105" s="22" t="inlineStr">
        <is>
          <t>1190</t>
        </is>
      </c>
      <c r="B1105" s="11" t="inlineStr">
        <is>
          <t>Second class teak wood in planks</t>
        </is>
      </c>
      <c r="C1105" s="22" t="inlineStr">
        <is>
          <t>10 cudm</t>
        </is>
      </c>
      <c r="D1105" s="23" t="n">
        <v>44</v>
      </c>
      <c r="E1105" s="24" t="n">
        <v>791</v>
      </c>
      <c r="F1105" s="24">
        <f>D1105*E1105</f>
        <v/>
      </c>
      <c r="G1105" s="22" t="n"/>
    </row>
    <row r="1106">
      <c r="A1106" s="22" t="inlineStr">
        <is>
          <t>1231</t>
        </is>
      </c>
      <c r="B1106" s="11" t="inlineStr">
        <is>
          <t>Extra for selected planks of second class teakwood</t>
        </is>
      </c>
      <c r="C1106" s="22" t="inlineStr">
        <is>
          <t>10 cudm</t>
        </is>
      </c>
      <c r="D1106" s="23" t="n">
        <v>44</v>
      </c>
      <c r="E1106" s="24" t="n">
        <v>150</v>
      </c>
      <c r="F1106" s="24">
        <f>D1106*E1106</f>
        <v/>
      </c>
      <c r="G1106" s="22" t="n"/>
    </row>
    <row r="1107">
      <c r="A1107" s="22" t="inlineStr">
        <is>
          <t>9.32</t>
        </is>
      </c>
      <c r="B1107" s="11" t="inlineStr">
        <is>
          <t>Rate as per item 9.32</t>
        </is>
      </c>
      <c r="C1107" s="22" t="inlineStr">
        <is>
          <t>each</t>
        </is>
      </c>
      <c r="D1107" s="23" t="n">
        <v>55</v>
      </c>
      <c r="E1107" s="24" t="n">
        <v>33.9</v>
      </c>
      <c r="F1107" s="24">
        <f>D1107*E1107</f>
        <v/>
      </c>
      <c r="G1107" s="22" t="n"/>
    </row>
    <row r="1108">
      <c r="A1108" s="22" t="inlineStr">
        <is>
          <t>13.50.1</t>
        </is>
      </c>
      <c r="B1108" s="11" t="inlineStr">
        <is>
          <t>Rate as per item 13.50.1 - Applying priming coat - With ready mixed pink or Grey primer of approved brand and manufacture on wood work...</t>
        </is>
      </c>
      <c r="C1108" s="22" t="inlineStr">
        <is>
          <t>sqm</t>
        </is>
      </c>
      <c r="D1108" s="23" t="n">
        <v>10</v>
      </c>
      <c r="E1108" s="24" t="n">
        <v>57.05</v>
      </c>
      <c r="F1108" s="24">
        <f>D1108*E1108</f>
        <v/>
      </c>
      <c r="G1108" s="22" t="n"/>
    </row>
    <row r="1109">
      <c r="A1109" s="22" t="inlineStr">
        <is>
          <t>2204</t>
        </is>
      </c>
      <c r="B1109" s="11" t="inlineStr">
        <is>
          <t>Carriage of Timber</t>
        </is>
      </c>
      <c r="C1109" s="22" t="inlineStr">
        <is>
          <t>cum</t>
        </is>
      </c>
      <c r="D1109" s="23" t="n">
        <v>0.44</v>
      </c>
      <c r="E1109" s="24" t="n">
        <v>118.59</v>
      </c>
      <c r="F1109" s="24">
        <f>D1109*E1109</f>
        <v/>
      </c>
      <c r="G1109" s="22" t="n"/>
    </row>
    <row r="1110">
      <c r="A1110" s="22" t="inlineStr">
        <is>
          <t>0111</t>
        </is>
      </c>
      <c r="B1110" s="11" t="inlineStr">
        <is>
          <t>Carpenter 1st class</t>
        </is>
      </c>
      <c r="C1110" s="22" t="inlineStr">
        <is>
          <t>day</t>
        </is>
      </c>
      <c r="D1110" s="23" t="n">
        <v>2.15</v>
      </c>
      <c r="E1110" s="24" t="n">
        <v>738</v>
      </c>
      <c r="F1110" s="24">
        <f>D1110*E1110</f>
        <v/>
      </c>
      <c r="G1110" s="22" t="n"/>
    </row>
    <row r="1111">
      <c r="A1111" s="22" t="inlineStr">
        <is>
          <t>0114</t>
        </is>
      </c>
      <c r="B1111" s="11" t="inlineStr">
        <is>
          <t>Beldar</t>
        </is>
      </c>
      <c r="C1111" s="22" t="inlineStr">
        <is>
          <t>day</t>
        </is>
      </c>
      <c r="D1111" s="23" t="n">
        <v>1.62</v>
      </c>
      <c r="E1111" s="24" t="n">
        <v>558</v>
      </c>
      <c r="F1111" s="24">
        <f>D1111*E1111</f>
        <v/>
      </c>
      <c r="G1111" s="22" t="n"/>
    </row>
    <row r="1112">
      <c r="A1112" s="22" t="inlineStr">
        <is>
          <t>9999</t>
        </is>
      </c>
      <c r="B1112" s="11" t="inlineStr">
        <is>
          <t>Sundries &amp; screws etc.</t>
        </is>
      </c>
      <c r="C1112" s="22" t="inlineStr">
        <is>
          <t>L.S.</t>
        </is>
      </c>
      <c r="D1112" s="23" t="n">
        <v>53.82</v>
      </c>
      <c r="E1112" s="24" t="n">
        <v>2</v>
      </c>
      <c r="F1112" s="24">
        <f>D1112*E1112</f>
        <v/>
      </c>
      <c r="G1112" s="22" t="n"/>
    </row>
    <row r="1113">
      <c r="A1113" s="8" t="inlineStr">
        <is>
          <t>Calculated W - SUM of the Amount column above</t>
        </is>
      </c>
      <c r="B1113" s="9" t="n"/>
      <c r="C1113" s="9" t="n"/>
      <c r="D1113" s="9" t="n"/>
      <c r="E1113" s="9" t="n"/>
      <c r="F1113" s="25">
        <f>SUM(F1105:F1112)</f>
        <v/>
      </c>
      <c r="G1113" s="9" t="n"/>
    </row>
    <row r="1114">
      <c r="A1114" s="26" t="inlineStr">
        <is>
          <t>W as printed in the DAR</t>
        </is>
      </c>
      <c r="B1114" s="22" t="n"/>
      <c r="C1114" s="22" t="n"/>
      <c r="D1114" s="22" t="n"/>
      <c r="E1114" s="22" t="n"/>
      <c r="F1114" s="27" t="n">
        <v>46489.48</v>
      </c>
      <c r="G1114" s="22" t="n"/>
    </row>
    <row r="1115">
      <c r="A1115" s="26" t="inlineStr">
        <is>
          <t>Difference (calculated - printed)</t>
        </is>
      </c>
      <c r="B1115" s="22" t="n"/>
      <c r="C1115" s="22" t="n"/>
      <c r="D1115" s="22" t="n"/>
      <c r="E1115" s="22" t="n"/>
      <c r="F1115" s="27">
        <f>F1113-F1114</f>
        <v/>
      </c>
      <c r="G1115" s="22" t="n"/>
    </row>
    <row r="1116">
      <c r="A1116" s="29" t="inlineStr">
        <is>
          <t>SAY (Rs.) - final DAR rate as printed (fixed value, not computed)</t>
        </is>
      </c>
      <c r="B1116" s="30" t="n"/>
      <c r="C1116" s="30" t="n"/>
      <c r="D1116" s="30" t="n"/>
      <c r="E1116" s="30" t="n"/>
      <c r="F1116" s="31" t="n">
        <v>6137.7</v>
      </c>
      <c r="G1116" s="30" t="n"/>
    </row>
    <row r="1118" ht="33" customHeight="1">
      <c r="A1118" s="8" t="inlineStr">
        <is>
          <t>8.25</t>
        </is>
      </c>
      <c r="B1118" s="17" t="inlineStr">
        <is>
          <t>Providing and fixing 2nd class teak wood plain lining tongued and grooved, including wooden plugs complete with necessary screws and priming coat on unexposed surface.</t>
        </is>
      </c>
      <c r="C1118" s="9" t="n"/>
      <c r="D1118" s="9" t="n"/>
      <c r="E1118" s="9" t="n"/>
      <c r="F1118" s="9" t="n"/>
      <c r="G1118" s="9" t="n"/>
    </row>
    <row r="1119" ht="18.5" customHeight="1">
      <c r="A1119" s="18" t="inlineStr">
        <is>
          <t>8.25.2</t>
        </is>
      </c>
      <c r="B1119" s="19" t="inlineStr">
        <is>
          <t>25 mm thick</t>
        </is>
      </c>
      <c r="C1119" s="20" t="n"/>
      <c r="D1119" s="20" t="n"/>
      <c r="E1119" s="20" t="n"/>
      <c r="F1119" s="20" t="n"/>
      <c r="G1119" s="20" t="n"/>
    </row>
    <row r="1120">
      <c r="A1120" s="21" t="inlineStr">
        <is>
          <t>Details of cost for 10 sqm   |   Source: CivilDAR_2019_Vol_1.pdf, page 414</t>
        </is>
      </c>
    </row>
    <row r="1121">
      <c r="A1121" s="5" t="inlineStr">
        <is>
          <t>Code</t>
        </is>
      </c>
      <c r="B1121" s="5" t="inlineStr">
        <is>
          <t>Description</t>
        </is>
      </c>
      <c r="C1121" s="5" t="inlineStr">
        <is>
          <t>Unit</t>
        </is>
      </c>
      <c r="D1121" s="5" t="inlineStr">
        <is>
          <t>Quantity</t>
        </is>
      </c>
      <c r="E1121" s="5" t="inlineStr">
        <is>
          <t>Rate (Rs.)</t>
        </is>
      </c>
      <c r="F1121" s="5" t="inlineStr">
        <is>
          <t>Amount (Rs.)</t>
        </is>
      </c>
      <c r="G1121" s="5" t="inlineStr">
        <is>
          <t>Note</t>
        </is>
      </c>
    </row>
    <row r="1122">
      <c r="A1122" s="22" t="inlineStr">
        <is>
          <t>1190</t>
        </is>
      </c>
      <c r="B1122" s="11" t="inlineStr">
        <is>
          <t>Second class teak wood in planks</t>
        </is>
      </c>
      <c r="C1122" s="22" t="inlineStr">
        <is>
          <t>10 cudm</t>
        </is>
      </c>
      <c r="D1122" s="23" t="n">
        <v>27.5</v>
      </c>
      <c r="E1122" s="24" t="n">
        <v>791</v>
      </c>
      <c r="F1122" s="24">
        <f>D1122*E1122</f>
        <v/>
      </c>
      <c r="G1122" s="22" t="n"/>
    </row>
    <row r="1123">
      <c r="A1123" s="22" t="inlineStr">
        <is>
          <t>1231</t>
        </is>
      </c>
      <c r="B1123" s="11" t="inlineStr">
        <is>
          <t>Extra for selected planks of second class teakwood</t>
        </is>
      </c>
      <c r="C1123" s="22" t="inlineStr">
        <is>
          <t>10 cudm</t>
        </is>
      </c>
      <c r="D1123" s="23" t="n">
        <v>27.5</v>
      </c>
      <c r="E1123" s="24" t="n">
        <v>150</v>
      </c>
      <c r="F1123" s="24">
        <f>D1123*E1123</f>
        <v/>
      </c>
      <c r="G1123" s="22" t="n"/>
    </row>
    <row r="1124">
      <c r="A1124" s="22" t="inlineStr">
        <is>
          <t>2204</t>
        </is>
      </c>
      <c r="B1124" s="11" t="inlineStr">
        <is>
          <t>Carriage of Timber</t>
        </is>
      </c>
      <c r="C1124" s="22" t="inlineStr">
        <is>
          <t>cum</t>
        </is>
      </c>
      <c r="D1124" s="23" t="n">
        <v>0.275</v>
      </c>
      <c r="E1124" s="24" t="n">
        <v>118.59</v>
      </c>
      <c r="F1124" s="24">
        <f>D1124*E1124</f>
        <v/>
      </c>
      <c r="G1124" s="22" t="n"/>
    </row>
    <row r="1125">
      <c r="A1125" s="22" t="inlineStr">
        <is>
          <t>9.32</t>
        </is>
      </c>
      <c r="B1125" s="11" t="inlineStr">
        <is>
          <t>Rate as per item 9.32</t>
        </is>
      </c>
      <c r="C1125" s="22" t="inlineStr">
        <is>
          <t>each</t>
        </is>
      </c>
      <c r="D1125" s="23" t="n">
        <v>55</v>
      </c>
      <c r="E1125" s="24" t="n">
        <v>33.9</v>
      </c>
      <c r="F1125" s="24">
        <f>D1125*E1125</f>
        <v/>
      </c>
      <c r="G1125" s="22" t="n"/>
    </row>
    <row r="1126">
      <c r="A1126" s="22" t="inlineStr">
        <is>
          <t>13.50.1</t>
        </is>
      </c>
      <c r="B1126" s="11" t="inlineStr">
        <is>
          <t>Rate as per item 13.50.1 - Applying priming coat - With ready mixed pink or Grey primer of approved brand and manufacture on wood work...</t>
        </is>
      </c>
      <c r="C1126" s="22" t="inlineStr">
        <is>
          <t>sqm</t>
        </is>
      </c>
      <c r="D1126" s="23" t="n">
        <v>10</v>
      </c>
      <c r="E1126" s="24" t="n">
        <v>57.05</v>
      </c>
      <c r="F1126" s="24">
        <f>D1126*E1126</f>
        <v/>
      </c>
      <c r="G1126" s="22" t="n"/>
    </row>
    <row r="1127">
      <c r="A1127" s="22" t="inlineStr">
        <is>
          <t>0111</t>
        </is>
      </c>
      <c r="B1127" s="11" t="inlineStr">
        <is>
          <t>Carpenter 1st class</t>
        </is>
      </c>
      <c r="C1127" s="22" t="inlineStr">
        <is>
          <t>day</t>
        </is>
      </c>
      <c r="D1127" s="23" t="n">
        <v>2.15</v>
      </c>
      <c r="E1127" s="24" t="n">
        <v>738</v>
      </c>
      <c r="F1127" s="24">
        <f>D1127*E1127</f>
        <v/>
      </c>
      <c r="G1127" s="22" t="n"/>
    </row>
    <row r="1128">
      <c r="A1128" s="22" t="inlineStr">
        <is>
          <t>0114</t>
        </is>
      </c>
      <c r="B1128" s="11" t="inlineStr">
        <is>
          <t>Beldar</t>
        </is>
      </c>
      <c r="C1128" s="22" t="inlineStr">
        <is>
          <t>day</t>
        </is>
      </c>
      <c r="D1128" s="23" t="n">
        <v>1.62</v>
      </c>
      <c r="E1128" s="24" t="n">
        <v>558</v>
      </c>
      <c r="F1128" s="24">
        <f>D1128*E1128</f>
        <v/>
      </c>
      <c r="G1128" s="22" t="n"/>
    </row>
    <row r="1129">
      <c r="A1129" s="22" t="inlineStr">
        <is>
          <t>9999</t>
        </is>
      </c>
      <c r="B1129" s="11" t="inlineStr">
        <is>
          <t>Sundries &amp; screws etc.</t>
        </is>
      </c>
      <c r="C1129" s="22" t="inlineStr">
        <is>
          <t>L.S.</t>
        </is>
      </c>
      <c r="D1129" s="23" t="n">
        <v>53.82</v>
      </c>
      <c r="E1129" s="24" t="n">
        <v>2</v>
      </c>
      <c r="F1129" s="24">
        <f>D1129*E1129</f>
        <v/>
      </c>
      <c r="G1129" s="22" t="n"/>
    </row>
    <row r="1130">
      <c r="A1130" s="8" t="inlineStr">
        <is>
          <t>Calculated W - SUM of the Amount column above</t>
        </is>
      </c>
      <c r="B1130" s="9" t="n"/>
      <c r="C1130" s="9" t="n"/>
      <c r="D1130" s="9" t="n"/>
      <c r="E1130" s="9" t="n"/>
      <c r="F1130" s="25">
        <f>SUM(F1122:F1129)</f>
        <v/>
      </c>
      <c r="G1130" s="9" t="n"/>
    </row>
    <row r="1131">
      <c r="A1131" s="26" t="inlineStr">
        <is>
          <t>W as printed in the DAR</t>
        </is>
      </c>
      <c r="B1131" s="22" t="n"/>
      <c r="C1131" s="22" t="n"/>
      <c r="D1131" s="22" t="n"/>
      <c r="E1131" s="22" t="n"/>
      <c r="F1131" s="27" t="n">
        <v>30943.41</v>
      </c>
      <c r="G1131" s="22" t="n"/>
    </row>
    <row r="1132">
      <c r="A1132" s="26" t="inlineStr">
        <is>
          <t>Difference (calculated - printed)</t>
        </is>
      </c>
      <c r="B1132" s="22" t="n"/>
      <c r="C1132" s="22" t="n"/>
      <c r="D1132" s="22" t="n"/>
      <c r="E1132" s="22" t="n"/>
      <c r="F1132" s="27">
        <f>F1130-F1131</f>
        <v/>
      </c>
      <c r="G1132" s="22" t="n"/>
    </row>
    <row r="1133">
      <c r="A1133" s="29" t="inlineStr">
        <is>
          <t>SAY (Rs.) - final DAR rate as printed (fixed value, not computed)</t>
        </is>
      </c>
      <c r="B1133" s="30" t="n"/>
      <c r="C1133" s="30" t="n"/>
      <c r="D1133" s="30" t="n"/>
      <c r="E1133" s="30" t="n"/>
      <c r="F1133" s="31" t="n">
        <v>4057.75</v>
      </c>
      <c r="G1133" s="30" t="n"/>
    </row>
    <row r="1135" ht="33" customHeight="1">
      <c r="A1135" s="8" t="inlineStr">
        <is>
          <t>8.25</t>
        </is>
      </c>
      <c r="B1135" s="17" t="inlineStr">
        <is>
          <t>Providing and fixing 2nd class teak wood plain lining tongued and grooved, including wooden plugs complete with necessary screws and priming coat on unexposed surface.</t>
        </is>
      </c>
      <c r="C1135" s="9" t="n"/>
      <c r="D1135" s="9" t="n"/>
      <c r="E1135" s="9" t="n"/>
      <c r="F1135" s="9" t="n"/>
      <c r="G1135" s="9" t="n"/>
    </row>
    <row r="1136" ht="18.5" customHeight="1">
      <c r="A1136" s="18" t="inlineStr">
        <is>
          <t>8.25.3</t>
        </is>
      </c>
      <c r="B1136" s="19" t="inlineStr">
        <is>
          <t>20 mm thick</t>
        </is>
      </c>
      <c r="C1136" s="20" t="n"/>
      <c r="D1136" s="20" t="n"/>
      <c r="E1136" s="20" t="n"/>
      <c r="F1136" s="20" t="n"/>
      <c r="G1136" s="20" t="n"/>
    </row>
    <row r="1137">
      <c r="A1137" s="21" t="inlineStr">
        <is>
          <t>Details of cost for 10 sqm   |   Source: CivilDAR_2019_Vol_1.pdf, page 415</t>
        </is>
      </c>
    </row>
    <row r="1138">
      <c r="A1138" s="5" t="inlineStr">
        <is>
          <t>Code</t>
        </is>
      </c>
      <c r="B1138" s="5" t="inlineStr">
        <is>
          <t>Description</t>
        </is>
      </c>
      <c r="C1138" s="5" t="inlineStr">
        <is>
          <t>Unit</t>
        </is>
      </c>
      <c r="D1138" s="5" t="inlineStr">
        <is>
          <t>Quantity</t>
        </is>
      </c>
      <c r="E1138" s="5" t="inlineStr">
        <is>
          <t>Rate (Rs.)</t>
        </is>
      </c>
      <c r="F1138" s="5" t="inlineStr">
        <is>
          <t>Amount (Rs.)</t>
        </is>
      </c>
      <c r="G1138" s="5" t="inlineStr">
        <is>
          <t>Note</t>
        </is>
      </c>
    </row>
    <row r="1139">
      <c r="A1139" s="22" t="inlineStr">
        <is>
          <t>1190</t>
        </is>
      </c>
      <c r="B1139" s="11" t="inlineStr">
        <is>
          <t>Second class teak wood in planks</t>
        </is>
      </c>
      <c r="C1139" s="22" t="inlineStr">
        <is>
          <t>10 cudm</t>
        </is>
      </c>
      <c r="D1139" s="23" t="n">
        <v>22</v>
      </c>
      <c r="E1139" s="24" t="n">
        <v>791</v>
      </c>
      <c r="F1139" s="24">
        <f>D1139*E1139</f>
        <v/>
      </c>
      <c r="G1139" s="22" t="n"/>
    </row>
    <row r="1140">
      <c r="A1140" s="22" t="inlineStr">
        <is>
          <t>1231</t>
        </is>
      </c>
      <c r="B1140" s="11" t="inlineStr">
        <is>
          <t>Extra for selected planks of second class teakwood</t>
        </is>
      </c>
      <c r="C1140" s="22" t="inlineStr">
        <is>
          <t>10 cudm</t>
        </is>
      </c>
      <c r="D1140" s="23" t="n">
        <v>22</v>
      </c>
      <c r="E1140" s="24" t="n">
        <v>150</v>
      </c>
      <c r="F1140" s="24">
        <f>D1140*E1140</f>
        <v/>
      </c>
      <c r="G1140" s="22" t="n"/>
    </row>
    <row r="1141">
      <c r="A1141" s="22" t="inlineStr">
        <is>
          <t>2204</t>
        </is>
      </c>
      <c r="B1141" s="11" t="inlineStr">
        <is>
          <t>Carriage of Timber</t>
        </is>
      </c>
      <c r="C1141" s="22" t="inlineStr">
        <is>
          <t>cum</t>
        </is>
      </c>
      <c r="D1141" s="23" t="n">
        <v>0.22</v>
      </c>
      <c r="E1141" s="24" t="n">
        <v>118.59</v>
      </c>
      <c r="F1141" s="24">
        <f>D1141*E1141</f>
        <v/>
      </c>
      <c r="G1141" s="22" t="n"/>
    </row>
    <row r="1142">
      <c r="A1142" s="22" t="inlineStr">
        <is>
          <t>9.32</t>
        </is>
      </c>
      <c r="B1142" s="11" t="inlineStr">
        <is>
          <t>Rate as per item 9.32</t>
        </is>
      </c>
      <c r="C1142" s="22" t="inlineStr">
        <is>
          <t>each</t>
        </is>
      </c>
      <c r="D1142" s="23" t="n">
        <v>55</v>
      </c>
      <c r="E1142" s="24" t="n">
        <v>33.9</v>
      </c>
      <c r="F1142" s="24">
        <f>D1142*E1142</f>
        <v/>
      </c>
      <c r="G1142" s="22" t="n"/>
    </row>
    <row r="1143">
      <c r="A1143" s="22" t="inlineStr">
        <is>
          <t>13.50.1</t>
        </is>
      </c>
      <c r="B1143" s="11" t="inlineStr">
        <is>
          <t>Rate as per item 13.50.1 - Applying priming coat - With ready mixed pink or Grey primer of approved brand and manufacture on wood work...</t>
        </is>
      </c>
      <c r="C1143" s="22" t="inlineStr">
        <is>
          <t>sqm</t>
        </is>
      </c>
      <c r="D1143" s="23" t="n">
        <v>10</v>
      </c>
      <c r="E1143" s="24" t="n">
        <v>57.05</v>
      </c>
      <c r="F1143" s="24">
        <f>D1143*E1143</f>
        <v/>
      </c>
      <c r="G1143" s="22" t="n"/>
    </row>
    <row r="1144">
      <c r="A1144" s="22" t="inlineStr">
        <is>
          <t>0111</t>
        </is>
      </c>
      <c r="B1144" s="11" t="inlineStr">
        <is>
          <t>Carpenter 1st class</t>
        </is>
      </c>
      <c r="C1144" s="22" t="inlineStr">
        <is>
          <t>day</t>
        </is>
      </c>
      <c r="D1144" s="23" t="n">
        <v>1.08</v>
      </c>
      <c r="E1144" s="24" t="n">
        <v>738</v>
      </c>
      <c r="F1144" s="24">
        <f>D1144*E1144</f>
        <v/>
      </c>
      <c r="G1144" s="22" t="n"/>
    </row>
    <row r="1145">
      <c r="A1145" s="22" t="inlineStr">
        <is>
          <t>0112</t>
        </is>
      </c>
      <c r="B1145" s="11" t="inlineStr">
        <is>
          <t>Carpenter 2nd class</t>
        </is>
      </c>
      <c r="C1145" s="22" t="inlineStr">
        <is>
          <t>day</t>
        </is>
      </c>
      <c r="D1145" s="23" t="n">
        <v>0.8</v>
      </c>
      <c r="E1145" s="24" t="n">
        <v>679</v>
      </c>
      <c r="F1145" s="24">
        <f>D1145*E1145</f>
        <v/>
      </c>
      <c r="G1145" s="22" t="n"/>
    </row>
    <row r="1146">
      <c r="A1146" s="22" t="inlineStr">
        <is>
          <t>0114</t>
        </is>
      </c>
      <c r="B1146" s="11" t="inlineStr">
        <is>
          <t>Beldar</t>
        </is>
      </c>
      <c r="C1146" s="22" t="inlineStr">
        <is>
          <t>day</t>
        </is>
      </c>
      <c r="D1146" s="23" t="n">
        <v>1.08</v>
      </c>
      <c r="E1146" s="24" t="n">
        <v>558</v>
      </c>
      <c r="F1146" s="24">
        <f>D1146*E1146</f>
        <v/>
      </c>
      <c r="G1146" s="22" t="n"/>
    </row>
    <row r="1147">
      <c r="A1147" s="22" t="inlineStr">
        <is>
          <t>9999</t>
        </is>
      </c>
      <c r="B1147" s="11" t="inlineStr">
        <is>
          <t>Sundries &amp; screws etc.</t>
        </is>
      </c>
      <c r="C1147" s="22" t="inlineStr">
        <is>
          <t>L.S.</t>
        </is>
      </c>
      <c r="D1147" s="23" t="n">
        <v>53.82</v>
      </c>
      <c r="E1147" s="24" t="n">
        <v>2</v>
      </c>
      <c r="F1147" s="24">
        <f>D1147*E1147</f>
        <v/>
      </c>
      <c r="G1147" s="22" t="n"/>
    </row>
    <row r="1148">
      <c r="A1148" s="8" t="inlineStr">
        <is>
          <t>Calculated W - SUM of the Amount column above</t>
        </is>
      </c>
      <c r="B1148" s="9" t="n"/>
      <c r="C1148" s="9" t="n"/>
      <c r="D1148" s="9" t="n"/>
      <c r="E1148" s="9" t="n"/>
      <c r="F1148" s="25">
        <f>SUM(F1139:F1147)</f>
        <v/>
      </c>
      <c r="G1148" s="9" t="n"/>
    </row>
    <row r="1149">
      <c r="A1149" s="26" t="inlineStr">
        <is>
          <t>W as printed in the DAR</t>
        </is>
      </c>
      <c r="B1149" s="22" t="n"/>
      <c r="C1149" s="22" t="n"/>
      <c r="D1149" s="22" t="n"/>
      <c r="E1149" s="22" t="n"/>
      <c r="F1149" s="27" t="n">
        <v>25213.61</v>
      </c>
      <c r="G1149" s="22" t="n"/>
    </row>
    <row r="1150">
      <c r="A1150" s="26" t="inlineStr">
        <is>
          <t>Difference (calculated - printed)</t>
        </is>
      </c>
      <c r="B1150" s="22" t="n"/>
      <c r="C1150" s="22" t="n"/>
      <c r="D1150" s="22" t="n"/>
      <c r="E1150" s="22" t="n"/>
      <c r="F1150" s="27">
        <f>F1148-F1149</f>
        <v/>
      </c>
      <c r="G1150" s="22" t="n"/>
    </row>
    <row r="1151">
      <c r="A1151" s="29" t="inlineStr">
        <is>
          <t>SAY (Rs.) - final DAR rate as printed (fixed value, not computed)</t>
        </is>
      </c>
      <c r="B1151" s="30" t="n"/>
      <c r="C1151" s="30" t="n"/>
      <c r="D1151" s="30" t="n"/>
      <c r="E1151" s="30" t="n"/>
      <c r="F1151" s="31" t="n">
        <v>3291.15</v>
      </c>
      <c r="G1151" s="30" t="n"/>
    </row>
    <row r="1153" ht="33" customHeight="1">
      <c r="A1153" s="8" t="inlineStr">
        <is>
          <t>8.25</t>
        </is>
      </c>
      <c r="B1153" s="17" t="inlineStr">
        <is>
          <t>Providing and fixing 2nd class teak wood plain lining tongued and grooved, including wooden plugs complete with necessary screws and priming coat on unexposed surface.</t>
        </is>
      </c>
      <c r="C1153" s="9" t="n"/>
      <c r="D1153" s="9" t="n"/>
      <c r="E1153" s="9" t="n"/>
      <c r="F1153" s="9" t="n"/>
      <c r="G1153" s="9" t="n"/>
    </row>
    <row r="1154" ht="18.5" customHeight="1">
      <c r="A1154" s="18" t="inlineStr">
        <is>
          <t>8.25.4</t>
        </is>
      </c>
      <c r="B1154" s="19" t="inlineStr">
        <is>
          <t>12 mm thick</t>
        </is>
      </c>
      <c r="C1154" s="20" t="n"/>
      <c r="D1154" s="20" t="n"/>
      <c r="E1154" s="20" t="n"/>
      <c r="F1154" s="20" t="n"/>
      <c r="G1154" s="20" t="n"/>
    </row>
    <row r="1155">
      <c r="A1155" s="21" t="inlineStr">
        <is>
          <t>Details of cost for 10 sqm   |   Source: CivilDAR_2019_Vol_1.pdf, page 415</t>
        </is>
      </c>
    </row>
    <row r="1156">
      <c r="A1156" s="5" t="inlineStr">
        <is>
          <t>Code</t>
        </is>
      </c>
      <c r="B1156" s="5" t="inlineStr">
        <is>
          <t>Description</t>
        </is>
      </c>
      <c r="C1156" s="5" t="inlineStr">
        <is>
          <t>Unit</t>
        </is>
      </c>
      <c r="D1156" s="5" t="inlineStr">
        <is>
          <t>Quantity</t>
        </is>
      </c>
      <c r="E1156" s="5" t="inlineStr">
        <is>
          <t>Rate (Rs.)</t>
        </is>
      </c>
      <c r="F1156" s="5" t="inlineStr">
        <is>
          <t>Amount (Rs.)</t>
        </is>
      </c>
      <c r="G1156" s="5" t="inlineStr">
        <is>
          <t>Note</t>
        </is>
      </c>
    </row>
    <row r="1157">
      <c r="A1157" s="22" t="inlineStr">
        <is>
          <t>1190</t>
        </is>
      </c>
      <c r="B1157" s="11" t="inlineStr">
        <is>
          <t>Second class teak wood in planks</t>
        </is>
      </c>
      <c r="C1157" s="22" t="inlineStr">
        <is>
          <t>10 cudm</t>
        </is>
      </c>
      <c r="D1157" s="23" t="n">
        <v>13.2</v>
      </c>
      <c r="E1157" s="24" t="n">
        <v>791</v>
      </c>
      <c r="F1157" s="24">
        <f>D1157*E1157</f>
        <v/>
      </c>
      <c r="G1157" s="22" t="n"/>
    </row>
    <row r="1158">
      <c r="A1158" s="22" t="inlineStr">
        <is>
          <t>1231</t>
        </is>
      </c>
      <c r="B1158" s="11" t="inlineStr">
        <is>
          <t>Extra for selected planks of second class teakwood</t>
        </is>
      </c>
      <c r="C1158" s="22" t="inlineStr">
        <is>
          <t>10 cudm</t>
        </is>
      </c>
      <c r="D1158" s="23" t="n">
        <v>13.2</v>
      </c>
      <c r="E1158" s="24" t="n">
        <v>150</v>
      </c>
      <c r="F1158" s="24">
        <f>D1158*E1158</f>
        <v/>
      </c>
      <c r="G1158" s="22" t="n"/>
    </row>
    <row r="1159">
      <c r="A1159" s="22" t="inlineStr">
        <is>
          <t>2204</t>
        </is>
      </c>
      <c r="B1159" s="11" t="inlineStr">
        <is>
          <t>Carriage of Timber</t>
        </is>
      </c>
      <c r="C1159" s="22" t="inlineStr">
        <is>
          <t>cum</t>
        </is>
      </c>
      <c r="D1159" s="23" t="n">
        <v>0.132</v>
      </c>
      <c r="E1159" s="24" t="n">
        <v>118.59</v>
      </c>
      <c r="F1159" s="24">
        <f>D1159*E1159</f>
        <v/>
      </c>
      <c r="G1159" s="22" t="n"/>
    </row>
    <row r="1160">
      <c r="A1160" s="22" t="inlineStr">
        <is>
          <t>9.32</t>
        </is>
      </c>
      <c r="B1160" s="11" t="inlineStr">
        <is>
          <t>Rate as per item 9.32</t>
        </is>
      </c>
      <c r="C1160" s="22" t="inlineStr">
        <is>
          <t>each</t>
        </is>
      </c>
      <c r="D1160" s="23" t="n">
        <v>55</v>
      </c>
      <c r="E1160" s="24" t="n">
        <v>33.9</v>
      </c>
      <c r="F1160" s="24">
        <f>D1160*E1160</f>
        <v/>
      </c>
      <c r="G1160" s="22" t="n"/>
    </row>
    <row r="1161">
      <c r="A1161" s="22" t="inlineStr">
        <is>
          <t>0111</t>
        </is>
      </c>
      <c r="B1161" s="11" t="inlineStr">
        <is>
          <t>Carpenter 1st class</t>
        </is>
      </c>
      <c r="C1161" s="22" t="inlineStr">
        <is>
          <t>day</t>
        </is>
      </c>
      <c r="D1161" s="23" t="n">
        <v>1.08</v>
      </c>
      <c r="E1161" s="24" t="n">
        <v>738</v>
      </c>
      <c r="F1161" s="24">
        <f>D1161*E1161</f>
        <v/>
      </c>
      <c r="G1161" s="22" t="n"/>
    </row>
    <row r="1162">
      <c r="A1162" s="22" t="inlineStr">
        <is>
          <t>0112</t>
        </is>
      </c>
      <c r="B1162" s="11" t="inlineStr">
        <is>
          <t>Carpenter 2nd class</t>
        </is>
      </c>
      <c r="C1162" s="22" t="inlineStr">
        <is>
          <t>day</t>
        </is>
      </c>
      <c r="D1162" s="23" t="n">
        <v>0.8</v>
      </c>
      <c r="E1162" s="24" t="n">
        <v>679</v>
      </c>
      <c r="F1162" s="24">
        <f>D1162*E1162</f>
        <v/>
      </c>
      <c r="G1162" s="22" t="n"/>
    </row>
    <row r="1163">
      <c r="A1163" s="22" t="inlineStr">
        <is>
          <t>0114</t>
        </is>
      </c>
      <c r="B1163" s="11" t="inlineStr">
        <is>
          <t>Beldar</t>
        </is>
      </c>
      <c r="C1163" s="22" t="inlineStr">
        <is>
          <t>day</t>
        </is>
      </c>
      <c r="D1163" s="23" t="n">
        <v>1.08</v>
      </c>
      <c r="E1163" s="24" t="n">
        <v>558</v>
      </c>
      <c r="F1163" s="24">
        <f>D1163*E1163</f>
        <v/>
      </c>
      <c r="G1163" s="22" t="n"/>
    </row>
    <row r="1164">
      <c r="A1164" s="22" t="inlineStr">
        <is>
          <t>13.50.1</t>
        </is>
      </c>
      <c r="B1164" s="11" t="inlineStr">
        <is>
          <t>Rate as per item 13.50.1 - Applying priming coat - With ready mixed pink or Grey primer of approved brand and manufacture on wood work...</t>
        </is>
      </c>
      <c r="C1164" s="22" t="inlineStr">
        <is>
          <t>sqm</t>
        </is>
      </c>
      <c r="D1164" s="23" t="n">
        <v>10</v>
      </c>
      <c r="E1164" s="24" t="n">
        <v>57.05</v>
      </c>
      <c r="F1164" s="24">
        <f>D1164*E1164</f>
        <v/>
      </c>
      <c r="G1164" s="22" t="n"/>
    </row>
    <row r="1165">
      <c r="A1165" s="22" t="inlineStr">
        <is>
          <t>9999</t>
        </is>
      </c>
      <c r="B1165" s="11" t="inlineStr">
        <is>
          <t>Sundries &amp; screws etc.</t>
        </is>
      </c>
      <c r="C1165" s="22" t="inlineStr">
        <is>
          <t>L.S.</t>
        </is>
      </c>
      <c r="D1165" s="23" t="n">
        <v>53.82</v>
      </c>
      <c r="E1165" s="24" t="n">
        <v>2</v>
      </c>
      <c r="F1165" s="24">
        <f>D1165*E1165</f>
        <v/>
      </c>
      <c r="G1165" s="22" t="n"/>
    </row>
    <row r="1166">
      <c r="A1166" s="8" t="inlineStr">
        <is>
          <t>Calculated W - SUM of the Amount column above</t>
        </is>
      </c>
      <c r="B1166" s="9" t="n"/>
      <c r="C1166" s="9" t="n"/>
      <c r="D1166" s="9" t="n"/>
      <c r="E1166" s="9" t="n"/>
      <c r="F1166" s="25">
        <f>SUM(F1157:F1165)</f>
        <v/>
      </c>
      <c r="G1166" s="9" t="n"/>
    </row>
    <row r="1167">
      <c r="A1167" s="26" t="inlineStr">
        <is>
          <t>W as printed in the DAR</t>
        </is>
      </c>
      <c r="B1167" s="22" t="n"/>
      <c r="C1167" s="22" t="n"/>
      <c r="D1167" s="22" t="n"/>
      <c r="E1167" s="22" t="n"/>
      <c r="F1167" s="27" t="n">
        <v>16922.37</v>
      </c>
      <c r="G1167" s="22" t="n"/>
    </row>
    <row r="1168">
      <c r="A1168" s="26" t="inlineStr">
        <is>
          <t>Difference (calculated - printed)</t>
        </is>
      </c>
      <c r="B1168" s="22" t="n"/>
      <c r="C1168" s="22" t="n"/>
      <c r="D1168" s="22" t="n"/>
      <c r="E1168" s="22" t="n"/>
      <c r="F1168" s="27">
        <f>F1166-F1167</f>
        <v/>
      </c>
      <c r="G1168" s="22" t="n"/>
    </row>
    <row r="1169">
      <c r="A1169" s="29" t="inlineStr">
        <is>
          <t>SAY (Rs.) - final DAR rate as printed (fixed value, not computed)</t>
        </is>
      </c>
      <c r="B1169" s="30" t="n"/>
      <c r="C1169" s="30" t="n"/>
      <c r="D1169" s="30" t="n"/>
      <c r="E1169" s="30" t="n"/>
      <c r="F1169" s="31" t="n">
        <v>2181.8</v>
      </c>
      <c r="G1169" s="30" t="n"/>
    </row>
    <row r="1171" ht="47.5" customHeight="1">
      <c r="A1171" s="8" t="inlineStr">
        <is>
          <t>8.26</t>
        </is>
      </c>
      <c r="B1171" s="17"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is>
      </c>
      <c r="C1171" s="9" t="n"/>
      <c r="D1171" s="9" t="n"/>
      <c r="E1171" s="9" t="n"/>
      <c r="F1171" s="9" t="n"/>
      <c r="G1171" s="9" t="n"/>
    </row>
    <row r="1172" ht="18.5" customHeight="1">
      <c r="A1172" s="18" t="inlineStr">
        <is>
          <t>8.26.1</t>
        </is>
      </c>
      <c r="B1172" s="19" t="inlineStr">
        <is>
          <t>12 mm thick</t>
        </is>
      </c>
      <c r="C1172" s="20" t="n"/>
      <c r="D1172" s="20" t="n"/>
      <c r="E1172" s="20" t="n"/>
      <c r="F1172" s="20" t="n"/>
      <c r="G1172" s="20" t="n"/>
    </row>
    <row r="1173">
      <c r="A1173" s="21" t="inlineStr">
        <is>
          <t>Details of cost for 10 sqm   |   Source: CivilDAR_2019_Vol_1.pdf, page 416</t>
        </is>
      </c>
    </row>
    <row r="1174">
      <c r="A1174" s="5" t="inlineStr">
        <is>
          <t>Code</t>
        </is>
      </c>
      <c r="B1174" s="5" t="inlineStr">
        <is>
          <t>Description</t>
        </is>
      </c>
      <c r="C1174" s="5" t="inlineStr">
        <is>
          <t>Unit</t>
        </is>
      </c>
      <c r="D1174" s="5" t="inlineStr">
        <is>
          <t>Quantity</t>
        </is>
      </c>
      <c r="E1174" s="5" t="inlineStr">
        <is>
          <t>Rate (Rs.)</t>
        </is>
      </c>
      <c r="F1174" s="5" t="inlineStr">
        <is>
          <t>Amount (Rs.)</t>
        </is>
      </c>
      <c r="G1174" s="5" t="inlineStr">
        <is>
          <t>Note</t>
        </is>
      </c>
    </row>
    <row r="1175">
      <c r="A1175" s="22" t="inlineStr">
        <is>
          <t>7477</t>
        </is>
      </c>
      <c r="B1175" s="11" t="inlineStr">
        <is>
          <t>Prelaminated particle board with one side decorative and other side balancing lamination, flat pressed 3 layer &amp; graded (medium density) Grade I, Type II conforming to IS : 12823 (exterior grade) 12 mm thick</t>
        </is>
      </c>
      <c r="C1175" s="22" t="inlineStr">
        <is>
          <t>sqm</t>
        </is>
      </c>
      <c r="D1175" s="23" t="n">
        <v>11</v>
      </c>
      <c r="E1175" s="24" t="n">
        <v>540</v>
      </c>
      <c r="F1175" s="24">
        <f>D1175*E1175</f>
        <v/>
      </c>
      <c r="G1175" s="22" t="n"/>
    </row>
    <row r="1176">
      <c r="A1176" s="22" t="inlineStr">
        <is>
          <t>9977</t>
        </is>
      </c>
      <c r="B1176" s="11" t="inlineStr">
        <is>
          <t>Carriage of particle board</t>
        </is>
      </c>
      <c r="C1176" s="22" t="inlineStr">
        <is>
          <t>L.S.</t>
        </is>
      </c>
      <c r="D1176" s="23" t="n">
        <v>13.52</v>
      </c>
      <c r="E1176" s="24" t="n">
        <v>2</v>
      </c>
      <c r="F1176" s="24">
        <f>D1176*E1176</f>
        <v/>
      </c>
      <c r="G1176" s="22" t="n"/>
    </row>
    <row r="1177">
      <c r="A1177" s="22" t="inlineStr">
        <is>
          <t>9999</t>
        </is>
      </c>
      <c r="B1177" s="11" t="inlineStr">
        <is>
          <t>Sundries and screws</t>
        </is>
      </c>
      <c r="C1177" s="22" t="inlineStr">
        <is>
          <t>L.S.</t>
        </is>
      </c>
      <c r="D1177" s="23" t="n">
        <v>26.91</v>
      </c>
      <c r="E1177" s="24" t="n">
        <v>2</v>
      </c>
      <c r="F1177" s="24">
        <f>D1177*E1177</f>
        <v/>
      </c>
      <c r="G1177" s="22" t="n"/>
    </row>
    <row r="1178">
      <c r="A1178" s="22" t="inlineStr">
        <is>
          <t>13.50.1</t>
        </is>
      </c>
      <c r="B1178" s="11" t="inlineStr">
        <is>
          <t>Rate as per item 13.50.1 - Applying priming coat - With ready mixed pink or Grey primer of approved brand and manufacture on wood work...</t>
        </is>
      </c>
      <c r="C1178" s="22" t="inlineStr">
        <is>
          <t>sqm</t>
        </is>
      </c>
      <c r="D1178" s="23" t="n">
        <v>10</v>
      </c>
      <c r="E1178" s="24" t="n">
        <v>57.05</v>
      </c>
      <c r="F1178" s="24">
        <f>D1178*E1178</f>
        <v/>
      </c>
      <c r="G1178" s="22" t="n"/>
    </row>
    <row r="1179">
      <c r="A1179" s="22" t="inlineStr">
        <is>
          <t>0112</t>
        </is>
      </c>
      <c r="B1179" s="11" t="inlineStr">
        <is>
          <t>Carpenter 2nd class</t>
        </is>
      </c>
      <c r="C1179" s="22" t="inlineStr">
        <is>
          <t>day</t>
        </is>
      </c>
      <c r="D1179" s="23" t="n">
        <v>1.28</v>
      </c>
      <c r="E1179" s="24" t="n">
        <v>679</v>
      </c>
      <c r="F1179" s="24">
        <f>D1179*E1179</f>
        <v/>
      </c>
      <c r="G1179" s="22" t="n"/>
    </row>
    <row r="1180">
      <c r="A1180" s="22" t="inlineStr">
        <is>
          <t>0114</t>
        </is>
      </c>
      <c r="B1180" s="11" t="inlineStr">
        <is>
          <t>Beldar</t>
        </is>
      </c>
      <c r="C1180" s="22" t="inlineStr">
        <is>
          <t>day</t>
        </is>
      </c>
      <c r="D1180" s="23" t="n">
        <v>1.43</v>
      </c>
      <c r="E1180" s="24" t="n">
        <v>558</v>
      </c>
      <c r="F1180" s="24">
        <f>D1180*E1180</f>
        <v/>
      </c>
      <c r="G1180" s="22" t="n"/>
    </row>
    <row r="1181">
      <c r="A1181" s="22" t="inlineStr">
        <is>
          <t>7048</t>
        </is>
      </c>
      <c r="B1181" s="11" t="inlineStr">
        <is>
          <t>Rawl plug 50 mm (designation 10 no.)</t>
        </is>
      </c>
      <c r="C1181" s="22" t="inlineStr">
        <is>
          <t>each</t>
        </is>
      </c>
      <c r="D1181" s="23" t="n">
        <v>55</v>
      </c>
      <c r="E1181" s="24" t="n">
        <v>25</v>
      </c>
      <c r="F1181" s="24">
        <f>D1181*E1181</f>
        <v/>
      </c>
      <c r="G1181" s="22" t="n"/>
    </row>
    <row r="1182">
      <c r="A1182" s="8" t="inlineStr">
        <is>
          <t>Calculated W - SUM of the Amount column above</t>
        </is>
      </c>
      <c r="B1182" s="9" t="n"/>
      <c r="C1182" s="9" t="n"/>
      <c r="D1182" s="9" t="n"/>
      <c r="E1182" s="9" t="n"/>
      <c r="F1182" s="25">
        <f>SUM(F1175:F1181)</f>
        <v/>
      </c>
      <c r="G1182" s="9" t="n"/>
    </row>
    <row r="1183">
      <c r="A1183" s="26" t="inlineStr">
        <is>
          <t>W as printed in the DAR</t>
        </is>
      </c>
      <c r="B1183" s="22" t="n"/>
      <c r="C1183" s="22" t="n"/>
      <c r="D1183" s="22" t="n"/>
      <c r="E1183" s="22" t="n"/>
      <c r="F1183" s="27" t="n">
        <v>9633.42</v>
      </c>
      <c r="G1183" s="22" t="n"/>
    </row>
    <row r="1184">
      <c r="A1184" s="26" t="inlineStr">
        <is>
          <t>Difference (calculated - printed)</t>
        </is>
      </c>
      <c r="B1184" s="22" t="n"/>
      <c r="C1184" s="22" t="n"/>
      <c r="D1184" s="22" t="n"/>
      <c r="E1184" s="22" t="n"/>
      <c r="F1184" s="27">
        <f>F1182-F1183</f>
        <v/>
      </c>
      <c r="G1184" s="22" t="n"/>
    </row>
    <row r="1185">
      <c r="A1185" s="29" t="inlineStr">
        <is>
          <t>SAY (Rs.) - final DAR rate as printed (fixed value, not computed)</t>
        </is>
      </c>
      <c r="B1185" s="30" t="n"/>
      <c r="C1185" s="30" t="n"/>
      <c r="D1185" s="30" t="n"/>
      <c r="E1185" s="30" t="n"/>
      <c r="F1185" s="31" t="n">
        <v>1269.6</v>
      </c>
      <c r="G1185" s="30" t="n"/>
    </row>
    <row r="1187" ht="47.5" customHeight="1">
      <c r="A1187" s="8" t="inlineStr">
        <is>
          <t>8.26</t>
        </is>
      </c>
      <c r="B1187" s="17"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is>
      </c>
      <c r="C1187" s="9" t="n"/>
      <c r="D1187" s="9" t="n"/>
      <c r="E1187" s="9" t="n"/>
      <c r="F1187" s="9" t="n"/>
      <c r="G1187" s="9" t="n"/>
    </row>
    <row r="1188" ht="18.5" customHeight="1">
      <c r="A1188" s="18" t="inlineStr">
        <is>
          <t>8.26.2</t>
        </is>
      </c>
      <c r="B1188" s="19" t="inlineStr">
        <is>
          <t>18 mm thick</t>
        </is>
      </c>
      <c r="C1188" s="20" t="n"/>
      <c r="D1188" s="20" t="n"/>
      <c r="E1188" s="20" t="n"/>
      <c r="F1188" s="20" t="n"/>
      <c r="G1188" s="20" t="n"/>
    </row>
    <row r="1189">
      <c r="A1189" s="21" t="inlineStr">
        <is>
          <t>Details of cost for 10 sqm   |   Source: CivilDAR_2019_Vol_1.pdf, page 417</t>
        </is>
      </c>
    </row>
    <row r="1190">
      <c r="A1190" s="5" t="inlineStr">
        <is>
          <t>Code</t>
        </is>
      </c>
      <c r="B1190" s="5" t="inlineStr">
        <is>
          <t>Description</t>
        </is>
      </c>
      <c r="C1190" s="5" t="inlineStr">
        <is>
          <t>Unit</t>
        </is>
      </c>
      <c r="D1190" s="5" t="inlineStr">
        <is>
          <t>Quantity</t>
        </is>
      </c>
      <c r="E1190" s="5" t="inlineStr">
        <is>
          <t>Rate (Rs.)</t>
        </is>
      </c>
      <c r="F1190" s="5" t="inlineStr">
        <is>
          <t>Amount (Rs.)</t>
        </is>
      </c>
      <c r="G1190" s="5" t="inlineStr">
        <is>
          <t>Note</t>
        </is>
      </c>
    </row>
    <row r="1191">
      <c r="A1191" s="22" t="inlineStr">
        <is>
          <t>7478</t>
        </is>
      </c>
      <c r="B1191" s="11" t="inlineStr">
        <is>
          <t>Prelaminated particle board with one side decorative and other side balancing lamination, flat pressed 3 layer &amp; graded (medium density) Grade I, Type II conforming to IS : 12823 (exterior grade) 18 mm thick</t>
        </is>
      </c>
      <c r="C1191" s="22" t="inlineStr">
        <is>
          <t>sqm</t>
        </is>
      </c>
      <c r="D1191" s="23" t="n">
        <v>11</v>
      </c>
      <c r="E1191" s="24" t="n">
        <v>650</v>
      </c>
      <c r="F1191" s="24">
        <f>D1191*E1191</f>
        <v/>
      </c>
      <c r="G1191" s="22" t="n"/>
    </row>
    <row r="1192">
      <c r="A1192" s="22" t="inlineStr">
        <is>
          <t>9977</t>
        </is>
      </c>
      <c r="B1192" s="11" t="inlineStr">
        <is>
          <t>Carriage of particle board</t>
        </is>
      </c>
      <c r="C1192" s="22" t="inlineStr">
        <is>
          <t>L.S.</t>
        </is>
      </c>
      <c r="D1192" s="23" t="n">
        <v>13.52</v>
      </c>
      <c r="E1192" s="24" t="n">
        <v>2</v>
      </c>
      <c r="F1192" s="24">
        <f>D1192*E1192</f>
        <v/>
      </c>
      <c r="G1192" s="22" t="n"/>
    </row>
    <row r="1193">
      <c r="A1193" s="22" t="inlineStr">
        <is>
          <t>9999</t>
        </is>
      </c>
      <c r="B1193" s="11" t="inlineStr">
        <is>
          <t>Sundries and screws</t>
        </is>
      </c>
      <c r="C1193" s="22" t="inlineStr">
        <is>
          <t>L.S.</t>
        </is>
      </c>
      <c r="D1193" s="23" t="n">
        <v>26.91</v>
      </c>
      <c r="E1193" s="24" t="n">
        <v>2</v>
      </c>
      <c r="F1193" s="24">
        <f>D1193*E1193</f>
        <v/>
      </c>
      <c r="G1193" s="22" t="n"/>
    </row>
    <row r="1194">
      <c r="A1194" s="22" t="inlineStr">
        <is>
          <t>13.50.1</t>
        </is>
      </c>
      <c r="B1194" s="11" t="inlineStr">
        <is>
          <t>Rate as per item 13.50.1 - Applying priming coat - With ready mixed pink or Grey primer of approved brand and manufacture on wood work...</t>
        </is>
      </c>
      <c r="C1194" s="22" t="inlineStr">
        <is>
          <t>sqm</t>
        </is>
      </c>
      <c r="D1194" s="23" t="n">
        <v>10</v>
      </c>
      <c r="E1194" s="24" t="n">
        <v>57.05</v>
      </c>
      <c r="F1194" s="24">
        <f>D1194*E1194</f>
        <v/>
      </c>
      <c r="G1194" s="22" t="n"/>
    </row>
    <row r="1195">
      <c r="A1195" s="22" t="inlineStr">
        <is>
          <t>0112</t>
        </is>
      </c>
      <c r="B1195" s="11" t="inlineStr">
        <is>
          <t>Carpenter 2nd class</t>
        </is>
      </c>
      <c r="C1195" s="22" t="inlineStr">
        <is>
          <t>day</t>
        </is>
      </c>
      <c r="D1195" s="23" t="n">
        <v>1.28</v>
      </c>
      <c r="E1195" s="24" t="n">
        <v>679</v>
      </c>
      <c r="F1195" s="24">
        <f>D1195*E1195</f>
        <v/>
      </c>
      <c r="G1195" s="22" t="n"/>
    </row>
    <row r="1196">
      <c r="A1196" s="22" t="inlineStr">
        <is>
          <t>0114</t>
        </is>
      </c>
      <c r="B1196" s="11" t="inlineStr">
        <is>
          <t>Beldar</t>
        </is>
      </c>
      <c r="C1196" s="22" t="inlineStr">
        <is>
          <t>day</t>
        </is>
      </c>
      <c r="D1196" s="23" t="n">
        <v>1.43</v>
      </c>
      <c r="E1196" s="24" t="n">
        <v>558</v>
      </c>
      <c r="F1196" s="24">
        <f>D1196*E1196</f>
        <v/>
      </c>
      <c r="G1196" s="22" t="n"/>
    </row>
    <row r="1197">
      <c r="A1197" s="22" t="inlineStr">
        <is>
          <t>7048</t>
        </is>
      </c>
      <c r="B1197" s="11" t="inlineStr">
        <is>
          <t>Rawl plug 50 mm (designation 10 no.)</t>
        </is>
      </c>
      <c r="C1197" s="22" t="inlineStr">
        <is>
          <t>each</t>
        </is>
      </c>
      <c r="D1197" s="23" t="n">
        <v>55</v>
      </c>
      <c r="E1197" s="24" t="n">
        <v>25</v>
      </c>
      <c r="F1197" s="24">
        <f>D1197*E1197</f>
        <v/>
      </c>
      <c r="G1197" s="22" t="n"/>
    </row>
    <row r="1198">
      <c r="A1198" s="8" t="inlineStr">
        <is>
          <t>Calculated W - SUM of the Amount column above</t>
        </is>
      </c>
      <c r="B1198" s="9" t="n"/>
      <c r="C1198" s="9" t="n"/>
      <c r="D1198" s="9" t="n"/>
      <c r="E1198" s="9" t="n"/>
      <c r="F1198" s="25">
        <f>SUM(F1191:F1197)</f>
        <v/>
      </c>
      <c r="G1198" s="9" t="n"/>
    </row>
    <row r="1199">
      <c r="A1199" s="26" t="inlineStr">
        <is>
          <t>W as printed in the DAR</t>
        </is>
      </c>
      <c r="B1199" s="22" t="n"/>
      <c r="C1199" s="22" t="n"/>
      <c r="D1199" s="22" t="n"/>
      <c r="E1199" s="22" t="n"/>
      <c r="F1199" s="27" t="n">
        <v>10843.42</v>
      </c>
      <c r="G1199" s="22" t="n"/>
    </row>
    <row r="1200">
      <c r="A1200" s="26" t="inlineStr">
        <is>
          <t>Difference (calculated - printed)</t>
        </is>
      </c>
      <c r="B1200" s="22" t="n"/>
      <c r="C1200" s="22" t="n"/>
      <c r="D1200" s="22" t="n"/>
      <c r="E1200" s="22" t="n"/>
      <c r="F1200" s="27">
        <f>F1198-F1199</f>
        <v/>
      </c>
      <c r="G1200" s="22" t="n"/>
    </row>
    <row r="1201">
      <c r="A1201" s="29" t="inlineStr">
        <is>
          <t>SAY (Rs.) - final DAR rate as printed (fixed value, not computed)</t>
        </is>
      </c>
      <c r="B1201" s="30" t="n"/>
      <c r="C1201" s="30" t="n"/>
      <c r="D1201" s="30" t="n"/>
      <c r="E1201" s="30" t="n"/>
      <c r="F1201" s="31" t="n">
        <v>1431.5</v>
      </c>
      <c r="G1201" s="30" t="n"/>
    </row>
    <row r="1203" ht="47.5" customHeight="1">
      <c r="A1203" s="8" t="inlineStr">
        <is>
          <t>8.26</t>
        </is>
      </c>
      <c r="B1203" s="17"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is>
      </c>
      <c r="C1203" s="9" t="n"/>
      <c r="D1203" s="9" t="n"/>
      <c r="E1203" s="9" t="n"/>
      <c r="F1203" s="9" t="n"/>
      <c r="G1203" s="9" t="n"/>
    </row>
    <row r="1204" ht="18.5" customHeight="1">
      <c r="A1204" s="18" t="inlineStr">
        <is>
          <t>8.26.3</t>
        </is>
      </c>
      <c r="B1204" s="19" t="inlineStr">
        <is>
          <t>25 mm thick</t>
        </is>
      </c>
      <c r="C1204" s="20" t="n"/>
      <c r="D1204" s="20" t="n"/>
      <c r="E1204" s="20" t="n"/>
      <c r="F1204" s="20" t="n"/>
      <c r="G1204" s="20" t="n"/>
    </row>
    <row r="1205">
      <c r="A1205" s="21" t="inlineStr">
        <is>
          <t>Details of cost for 10 sqm   |   Source: CivilDAR_2019_Vol_1.pdf, page 418</t>
        </is>
      </c>
    </row>
    <row r="1206">
      <c r="A1206" s="5" t="inlineStr">
        <is>
          <t>Code</t>
        </is>
      </c>
      <c r="B1206" s="5" t="inlineStr">
        <is>
          <t>Description</t>
        </is>
      </c>
      <c r="C1206" s="5" t="inlineStr">
        <is>
          <t>Unit</t>
        </is>
      </c>
      <c r="D1206" s="5" t="inlineStr">
        <is>
          <t>Quantity</t>
        </is>
      </c>
      <c r="E1206" s="5" t="inlineStr">
        <is>
          <t>Rate (Rs.)</t>
        </is>
      </c>
      <c r="F1206" s="5" t="inlineStr">
        <is>
          <t>Amount (Rs.)</t>
        </is>
      </c>
      <c r="G1206" s="5" t="inlineStr">
        <is>
          <t>Note</t>
        </is>
      </c>
    </row>
    <row r="1207">
      <c r="A1207" s="22" t="inlineStr">
        <is>
          <t>7479</t>
        </is>
      </c>
      <c r="B1207" s="11" t="inlineStr">
        <is>
          <t>Prelaminated particle board with one side decorative and other side balancing lamination, flat pressed 3 layer &amp; graded (medium density) Grade I, Type II conforming to IS : 12823 (exterior grade) 25 mm thick</t>
        </is>
      </c>
      <c r="C1207" s="22" t="inlineStr">
        <is>
          <t>sqm</t>
        </is>
      </c>
      <c r="D1207" s="23" t="n">
        <v>11</v>
      </c>
      <c r="E1207" s="24" t="n">
        <v>900</v>
      </c>
      <c r="F1207" s="24">
        <f>D1207*E1207</f>
        <v/>
      </c>
      <c r="G1207" s="22" t="n"/>
    </row>
    <row r="1208">
      <c r="A1208" s="22" t="inlineStr">
        <is>
          <t>9977</t>
        </is>
      </c>
      <c r="B1208" s="11" t="inlineStr">
        <is>
          <t>Carriage of particle board</t>
        </is>
      </c>
      <c r="C1208" s="22" t="inlineStr">
        <is>
          <t>L.S.</t>
        </is>
      </c>
      <c r="D1208" s="23" t="n">
        <v>13.52</v>
      </c>
      <c r="E1208" s="24" t="n">
        <v>2</v>
      </c>
      <c r="F1208" s="24">
        <f>D1208*E1208</f>
        <v/>
      </c>
      <c r="G1208" s="22" t="n"/>
    </row>
    <row r="1209">
      <c r="A1209" s="22" t="inlineStr">
        <is>
          <t>9999</t>
        </is>
      </c>
      <c r="B1209" s="11" t="inlineStr">
        <is>
          <t>Sundries and screws etc</t>
        </is>
      </c>
      <c r="C1209" s="22" t="inlineStr">
        <is>
          <t>L.S.</t>
        </is>
      </c>
      <c r="D1209" s="23" t="n">
        <v>26.91</v>
      </c>
      <c r="E1209" s="24" t="n">
        <v>2</v>
      </c>
      <c r="F1209" s="24">
        <f>D1209*E1209</f>
        <v/>
      </c>
      <c r="G1209" s="22" t="n"/>
    </row>
    <row r="1210">
      <c r="A1210" s="22" t="inlineStr">
        <is>
          <t>13.50.1</t>
        </is>
      </c>
      <c r="B1210" s="11" t="inlineStr">
        <is>
          <t>Rate as per item 13.50.1 - Applying priming coat - With ready mixed pink or Grey primer of approved brand and manufacture on wood work...</t>
        </is>
      </c>
      <c r="C1210" s="22" t="inlineStr">
        <is>
          <t>sqm</t>
        </is>
      </c>
      <c r="D1210" s="23" t="n">
        <v>10</v>
      </c>
      <c r="E1210" s="24" t="n">
        <v>57.05</v>
      </c>
      <c r="F1210" s="24">
        <f>D1210*E1210</f>
        <v/>
      </c>
      <c r="G1210" s="22" t="n"/>
    </row>
    <row r="1211">
      <c r="A1211" s="22" t="inlineStr">
        <is>
          <t>0112</t>
        </is>
      </c>
      <c r="B1211" s="11" t="inlineStr">
        <is>
          <t>Carpenter 2nd class</t>
        </is>
      </c>
      <c r="C1211" s="22" t="inlineStr">
        <is>
          <t>day</t>
        </is>
      </c>
      <c r="D1211" s="23" t="n">
        <v>1.28</v>
      </c>
      <c r="E1211" s="24" t="n">
        <v>679</v>
      </c>
      <c r="F1211" s="24">
        <f>D1211*E1211</f>
        <v/>
      </c>
      <c r="G1211" s="22" t="n"/>
    </row>
    <row r="1212">
      <c r="A1212" s="22" t="inlineStr">
        <is>
          <t>0114</t>
        </is>
      </c>
      <c r="B1212" s="11" t="inlineStr">
        <is>
          <t>Beldar</t>
        </is>
      </c>
      <c r="C1212" s="22" t="inlineStr">
        <is>
          <t>day</t>
        </is>
      </c>
      <c r="D1212" s="23" t="n">
        <v>1.43</v>
      </c>
      <c r="E1212" s="24" t="n">
        <v>558</v>
      </c>
      <c r="F1212" s="24">
        <f>D1212*E1212</f>
        <v/>
      </c>
      <c r="G1212" s="22" t="n"/>
    </row>
    <row r="1213">
      <c r="A1213" s="22" t="inlineStr">
        <is>
          <t>7048</t>
        </is>
      </c>
      <c r="B1213" s="11" t="inlineStr">
        <is>
          <t>Rawl plug 50 mm (designation 10 no.)</t>
        </is>
      </c>
      <c r="C1213" s="22" t="inlineStr">
        <is>
          <t>each</t>
        </is>
      </c>
      <c r="D1213" s="23" t="n">
        <v>55</v>
      </c>
      <c r="E1213" s="24" t="n">
        <v>25</v>
      </c>
      <c r="F1213" s="24">
        <f>D1213*E1213</f>
        <v/>
      </c>
      <c r="G1213" s="22" t="n"/>
    </row>
    <row r="1214">
      <c r="A1214" s="8" t="inlineStr">
        <is>
          <t>Calculated W - SUM of the Amount column above</t>
        </is>
      </c>
      <c r="B1214" s="9" t="n"/>
      <c r="C1214" s="9" t="n"/>
      <c r="D1214" s="9" t="n"/>
      <c r="E1214" s="9" t="n"/>
      <c r="F1214" s="25">
        <f>SUM(F1207:F1213)</f>
        <v/>
      </c>
      <c r="G1214" s="9" t="n"/>
    </row>
    <row r="1215">
      <c r="A1215" s="26" t="inlineStr">
        <is>
          <t>W as printed in the DAR</t>
        </is>
      </c>
      <c r="B1215" s="22" t="n"/>
      <c r="C1215" s="22" t="n"/>
      <c r="D1215" s="22" t="n"/>
      <c r="E1215" s="22" t="n"/>
      <c r="F1215" s="27" t="n">
        <v>13593.42</v>
      </c>
      <c r="G1215" s="22" t="n"/>
    </row>
    <row r="1216">
      <c r="A1216" s="26" t="inlineStr">
        <is>
          <t>Difference (calculated - printed)</t>
        </is>
      </c>
      <c r="B1216" s="22" t="n"/>
      <c r="C1216" s="22" t="n"/>
      <c r="D1216" s="22" t="n"/>
      <c r="E1216" s="22" t="n"/>
      <c r="F1216" s="27">
        <f>F1214-F1215</f>
        <v/>
      </c>
      <c r="G1216" s="22" t="n"/>
    </row>
    <row r="1217">
      <c r="A1217" s="29" t="inlineStr">
        <is>
          <t>SAY (Rs.) - final DAR rate as printed (fixed value, not computed)</t>
        </is>
      </c>
      <c r="B1217" s="30" t="n"/>
      <c r="C1217" s="30" t="n"/>
      <c r="D1217" s="30" t="n"/>
      <c r="E1217" s="30" t="n"/>
      <c r="F1217" s="31" t="n">
        <v>1799.45</v>
      </c>
      <c r="G1217" s="30" t="n"/>
    </row>
    <row r="1219" ht="33" customHeight="1">
      <c r="A1219" s="8" t="inlineStr">
        <is>
          <t>8.27</t>
        </is>
      </c>
      <c r="B1219" s="17" t="inlineStr">
        <is>
          <t>Providing and fixing specified wood frame work consisting of battens 50x25mm fixed with rawl plug and drilling necessary holes for rawl plug etc. including priming coat complete.</t>
        </is>
      </c>
      <c r="C1219" s="9" t="n"/>
      <c r="D1219" s="9" t="n"/>
      <c r="E1219" s="9" t="n"/>
      <c r="F1219" s="9" t="n"/>
      <c r="G1219" s="9" t="n"/>
    </row>
    <row r="1220" ht="18.5" customHeight="1">
      <c r="A1220" s="18" t="inlineStr">
        <is>
          <t>8.27.1</t>
        </is>
      </c>
      <c r="B1220" s="19" t="inlineStr">
        <is>
          <t>Kiln seasoned and chemically treated hollock wood</t>
        </is>
      </c>
      <c r="C1220" s="20" t="n"/>
      <c r="D1220" s="20" t="n"/>
      <c r="E1220" s="20" t="n"/>
      <c r="F1220" s="20" t="n"/>
      <c r="G1220" s="20" t="n"/>
    </row>
    <row r="1221">
      <c r="A1221" s="21" t="inlineStr">
        <is>
          <t>Details of cost for 31.25 cudm   |   Source: CivilDAR_2019_Vol_1.pdf, page 418</t>
        </is>
      </c>
    </row>
    <row r="1222">
      <c r="A1222" s="5" t="inlineStr">
        <is>
          <t>Code</t>
        </is>
      </c>
      <c r="B1222" s="5" t="inlineStr">
        <is>
          <t>Description</t>
        </is>
      </c>
      <c r="C1222" s="5" t="inlineStr">
        <is>
          <t>Unit</t>
        </is>
      </c>
      <c r="D1222" s="5" t="inlineStr">
        <is>
          <t>Quantity</t>
        </is>
      </c>
      <c r="E1222" s="5" t="inlineStr">
        <is>
          <t>Rate (Rs.)</t>
        </is>
      </c>
      <c r="F1222" s="5" t="inlineStr">
        <is>
          <t>Amount (Rs.)</t>
        </is>
      </c>
      <c r="G1222" s="5" t="inlineStr">
        <is>
          <t>Note</t>
        </is>
      </c>
    </row>
    <row r="1223">
      <c r="A1223" s="22" t="inlineStr">
        <is>
          <t>2505</t>
        </is>
      </c>
      <c r="B1223" s="11" t="inlineStr">
        <is>
          <t>Hollock wood in planks</t>
        </is>
      </c>
      <c r="C1223" s="22" t="inlineStr">
        <is>
          <t>10 cudm</t>
        </is>
      </c>
      <c r="D1223" s="23" t="n">
        <v>3.3</v>
      </c>
      <c r="E1223" s="24" t="n">
        <v>390</v>
      </c>
      <c r="F1223" s="24">
        <f>D1223*E1223</f>
        <v/>
      </c>
      <c r="G1223" s="22" t="n"/>
    </row>
    <row r="1224">
      <c r="A1224" s="22" t="inlineStr">
        <is>
          <t>2204</t>
        </is>
      </c>
      <c r="B1224" s="11" t="inlineStr">
        <is>
          <t>Carriage of Timber</t>
        </is>
      </c>
      <c r="C1224" s="22" t="inlineStr">
        <is>
          <t>cum</t>
        </is>
      </c>
      <c r="D1224" s="23" t="n">
        <v>0.033</v>
      </c>
      <c r="E1224" s="24" t="n">
        <v>118.59</v>
      </c>
      <c r="F1224" s="24">
        <f>D1224*E1224</f>
        <v/>
      </c>
      <c r="G1224" s="22" t="n"/>
    </row>
    <row r="1225">
      <c r="A1225" s="22" t="inlineStr">
        <is>
          <t>0111</t>
        </is>
      </c>
      <c r="B1225" s="11" t="inlineStr">
        <is>
          <t>Carpenter 1st class</t>
        </is>
      </c>
      <c r="C1225" s="22" t="inlineStr">
        <is>
          <t>day</t>
        </is>
      </c>
      <c r="D1225" s="23" t="n">
        <v>1</v>
      </c>
      <c r="E1225" s="24" t="n">
        <v>738</v>
      </c>
      <c r="F1225" s="24">
        <f>D1225*E1225</f>
        <v/>
      </c>
      <c r="G1225" s="22" t="n"/>
    </row>
    <row r="1226">
      <c r="A1226" s="22" t="inlineStr">
        <is>
          <t>0114</t>
        </is>
      </c>
      <c r="B1226" s="11" t="inlineStr">
        <is>
          <t>Beldar</t>
        </is>
      </c>
      <c r="C1226" s="22" t="inlineStr">
        <is>
          <t>day</t>
        </is>
      </c>
      <c r="D1226" s="23" t="n">
        <v>0.25</v>
      </c>
      <c r="E1226" s="24" t="n">
        <v>558</v>
      </c>
      <c r="F1226" s="24">
        <f>D1226*E1226</f>
        <v/>
      </c>
      <c r="G1226" s="22" t="n"/>
    </row>
    <row r="1227">
      <c r="A1227" s="22" t="inlineStr">
        <is>
          <t>9999</t>
        </is>
      </c>
      <c r="B1227" s="11" t="inlineStr">
        <is>
          <t>Sundries</t>
        </is>
      </c>
      <c r="C1227" s="22" t="inlineStr">
        <is>
          <t>L.S.</t>
        </is>
      </c>
      <c r="D1227" s="23" t="n">
        <v>6.76</v>
      </c>
      <c r="E1227" s="24" t="n">
        <v>2</v>
      </c>
      <c r="F1227" s="24">
        <f>D1227*E1227</f>
        <v/>
      </c>
      <c r="G1227" s="22" t="n"/>
    </row>
    <row r="1228">
      <c r="A1228" s="22" t="inlineStr">
        <is>
          <t>13.50.1</t>
        </is>
      </c>
      <c r="B1228" s="11" t="inlineStr">
        <is>
          <t>Rate as per item 13.50.1 - Applying priming coat - With ready mixed pink or Grey primer of approved brand and manufacture on wood work...</t>
        </is>
      </c>
      <c r="C1228" s="22" t="inlineStr">
        <is>
          <t>sqm</t>
        </is>
      </c>
      <c r="D1228" s="23" t="n">
        <v>3.75</v>
      </c>
      <c r="E1228" s="24" t="n">
        <v>57.05</v>
      </c>
      <c r="F1228" s="24">
        <f>D1228*E1228</f>
        <v/>
      </c>
      <c r="G1228" s="22" t="n"/>
    </row>
    <row r="1229">
      <c r="A1229" s="22" t="inlineStr">
        <is>
          <t>7048</t>
        </is>
      </c>
      <c r="B1229" s="11" t="inlineStr">
        <is>
          <t>Rawl plug 50 mm (designation 10 no.)</t>
        </is>
      </c>
      <c r="C1229" s="22" t="inlineStr">
        <is>
          <t>each</t>
        </is>
      </c>
      <c r="D1229" s="23" t="n">
        <v>55</v>
      </c>
      <c r="E1229" s="24" t="n">
        <v>25</v>
      </c>
      <c r="F1229" s="24">
        <f>D1229*E1229</f>
        <v/>
      </c>
      <c r="G1229" s="22" t="n"/>
    </row>
    <row r="1230">
      <c r="A1230" s="22" t="inlineStr">
        <is>
          <t>9999</t>
        </is>
      </c>
      <c r="B1230" s="11" t="inlineStr">
        <is>
          <t>Labour for drilling holes, steel tape, sundries etc.</t>
        </is>
      </c>
      <c r="C1230" s="22" t="inlineStr">
        <is>
          <t>L.S.</t>
        </is>
      </c>
      <c r="D1230" s="23" t="n">
        <v>71.5</v>
      </c>
      <c r="E1230" s="24" t="n">
        <v>2</v>
      </c>
      <c r="F1230" s="24">
        <f>D1230*E1230</f>
        <v/>
      </c>
      <c r="G1230" s="22" t="n"/>
    </row>
    <row r="1231">
      <c r="A1231" s="8" t="inlineStr">
        <is>
          <t>Calculated W - SUM of the Amount column above</t>
        </is>
      </c>
      <c r="B1231" s="9" t="n"/>
      <c r="C1231" s="9" t="n"/>
      <c r="D1231" s="9" t="n"/>
      <c r="E1231" s="9" t="n"/>
      <c r="F1231" s="25">
        <f>SUM(F1223:F1230)</f>
        <v/>
      </c>
      <c r="G1231" s="9" t="n"/>
    </row>
    <row r="1232">
      <c r="A1232" s="26" t="inlineStr">
        <is>
          <t>W as printed in the DAR</t>
        </is>
      </c>
      <c r="B1232" s="22" t="n"/>
      <c r="C1232" s="22" t="n"/>
      <c r="D1232" s="22" t="n"/>
      <c r="E1232" s="22" t="n"/>
      <c r="F1232" s="27" t="n">
        <v>3913.87</v>
      </c>
      <c r="G1232" s="22" t="n"/>
    </row>
    <row r="1233">
      <c r="A1233" s="26" t="inlineStr">
        <is>
          <t>Difference (calculated - printed)</t>
        </is>
      </c>
      <c r="B1233" s="22" t="n"/>
      <c r="C1233" s="22" t="n"/>
      <c r="D1233" s="22" t="n"/>
      <c r="E1233" s="22" t="n"/>
      <c r="F1233" s="27">
        <f>F1231-F1232</f>
        <v/>
      </c>
      <c r="G1233" s="22" t="n"/>
    </row>
    <row r="1234">
      <c r="A1234" s="29" t="inlineStr">
        <is>
          <t>SAY (Rs.) - final DAR rate as printed (fixed value, not computed)</t>
        </is>
      </c>
      <c r="B1234" s="30" t="n"/>
      <c r="C1234" s="30" t="n"/>
      <c r="D1234" s="30" t="n"/>
      <c r="E1234" s="30" t="n"/>
      <c r="F1234" s="31" t="n">
        <v>165255.05</v>
      </c>
      <c r="G1234" s="30" t="n"/>
    </row>
    <row r="1236" ht="33" customHeight="1">
      <c r="A1236" s="8" t="inlineStr">
        <is>
          <t>8.28</t>
        </is>
      </c>
      <c r="B1236" s="17" t="inlineStr">
        <is>
          <t>Providing and fixing plywood 4 mm thick, one side decorative veneer conforming to IS: 1328 (type-1), for plain lining / cladding with necessary screws, including priming coat on unexposed surface with :</t>
        </is>
      </c>
      <c r="C1236" s="9" t="n"/>
      <c r="D1236" s="9" t="n"/>
      <c r="E1236" s="9" t="n"/>
      <c r="F1236" s="9" t="n"/>
      <c r="G1236" s="9" t="n"/>
    </row>
    <row r="1237" ht="18.5" customHeight="1">
      <c r="A1237" s="18" t="inlineStr">
        <is>
          <t>8.28.1</t>
        </is>
      </c>
      <c r="B1237" s="19" t="inlineStr">
        <is>
          <t>Decorative veneer facings of approved manufacture</t>
        </is>
      </c>
      <c r="C1237" s="20" t="n"/>
      <c r="D1237" s="20" t="n"/>
      <c r="E1237" s="20" t="n"/>
      <c r="F1237" s="20" t="n"/>
      <c r="G1237" s="20" t="n"/>
    </row>
    <row r="1238">
      <c r="A1238" s="21" t="inlineStr">
        <is>
          <t>Details of cost for 10 sqm   |   Source: CivilDAR_2019_Vol_1.pdf, page 419</t>
        </is>
      </c>
    </row>
    <row r="1239">
      <c r="A1239" s="5" t="inlineStr">
        <is>
          <t>Code</t>
        </is>
      </c>
      <c r="B1239" s="5" t="inlineStr">
        <is>
          <t>Description</t>
        </is>
      </c>
      <c r="C1239" s="5" t="inlineStr">
        <is>
          <t>Unit</t>
        </is>
      </c>
      <c r="D1239" s="5" t="inlineStr">
        <is>
          <t>Quantity</t>
        </is>
      </c>
      <c r="E1239" s="5" t="inlineStr">
        <is>
          <t>Rate (Rs.)</t>
        </is>
      </c>
      <c r="F1239" s="5" t="inlineStr">
        <is>
          <t>Amount (Rs.)</t>
        </is>
      </c>
      <c r="G1239" s="5" t="inlineStr">
        <is>
          <t>Note</t>
        </is>
      </c>
    </row>
    <row r="1240">
      <c r="A1240" s="22" t="inlineStr">
        <is>
          <t>0759</t>
        </is>
      </c>
      <c r="B1240" s="11" t="inlineStr">
        <is>
          <t>Decorative plywood 4 mm</t>
        </is>
      </c>
      <c r="C1240" s="22" t="inlineStr">
        <is>
          <t>sqm</t>
        </is>
      </c>
      <c r="D1240" s="23" t="n">
        <v>12</v>
      </c>
      <c r="E1240" s="24" t="n">
        <v>320</v>
      </c>
      <c r="F1240" s="24">
        <f>D1240*E1240</f>
        <v/>
      </c>
      <c r="G1240" s="22" t="n"/>
    </row>
    <row r="1241">
      <c r="A1241" s="22" t="inlineStr">
        <is>
          <t>9977</t>
        </is>
      </c>
      <c r="B1241" s="11" t="inlineStr">
        <is>
          <t>Carriage of ply wood</t>
        </is>
      </c>
      <c r="C1241" s="22" t="inlineStr">
        <is>
          <t>L.S.</t>
        </is>
      </c>
      <c r="D1241" s="23" t="n">
        <v>5.46</v>
      </c>
      <c r="E1241" s="24" t="n">
        <v>2</v>
      </c>
      <c r="F1241" s="24">
        <f>D1241*E1241</f>
        <v/>
      </c>
      <c r="G1241" s="22" t="n"/>
    </row>
    <row r="1242">
      <c r="A1242" s="22" t="inlineStr">
        <is>
          <t>9.32</t>
        </is>
      </c>
      <c r="B1242" s="11" t="inlineStr">
        <is>
          <t>Rate as per item 9.32</t>
        </is>
      </c>
      <c r="C1242" s="22" t="inlineStr">
        <is>
          <t>each</t>
        </is>
      </c>
      <c r="D1242" s="23" t="n">
        <v>55</v>
      </c>
      <c r="E1242" s="24" t="n">
        <v>33.9</v>
      </c>
      <c r="F1242" s="24">
        <f>D1242*E1242</f>
        <v/>
      </c>
      <c r="G1242" s="22" t="n"/>
    </row>
    <row r="1243">
      <c r="A1243" s="22" t="inlineStr">
        <is>
          <t>0111</t>
        </is>
      </c>
      <c r="B1243" s="11" t="inlineStr">
        <is>
          <t>Carpenter 1st class</t>
        </is>
      </c>
      <c r="C1243" s="22" t="inlineStr">
        <is>
          <t>day</t>
        </is>
      </c>
      <c r="D1243" s="23" t="n">
        <v>3.8</v>
      </c>
      <c r="E1243" s="24" t="n">
        <v>738</v>
      </c>
      <c r="F1243" s="24">
        <f>D1243*E1243</f>
        <v/>
      </c>
      <c r="G1243" s="22" t="n"/>
    </row>
    <row r="1244">
      <c r="A1244" s="22" t="inlineStr">
        <is>
          <t>0114</t>
        </is>
      </c>
      <c r="B1244" s="11" t="inlineStr">
        <is>
          <t>Beldar</t>
        </is>
      </c>
      <c r="C1244" s="22" t="inlineStr">
        <is>
          <t>day</t>
        </is>
      </c>
      <c r="D1244" s="23" t="n">
        <v>4.6</v>
      </c>
      <c r="E1244" s="24" t="n">
        <v>558</v>
      </c>
      <c r="F1244" s="24">
        <f>D1244*E1244</f>
        <v/>
      </c>
      <c r="G1244" s="22" t="n"/>
    </row>
    <row r="1245">
      <c r="A1245" s="22" t="inlineStr">
        <is>
          <t>0130</t>
        </is>
      </c>
      <c r="B1245" s="11" t="inlineStr">
        <is>
          <t>Mistry</t>
        </is>
      </c>
      <c r="C1245" s="22" t="inlineStr">
        <is>
          <t>day</t>
        </is>
      </c>
      <c r="D1245" s="23" t="n">
        <v>0.6</v>
      </c>
      <c r="E1245" s="24" t="n">
        <v>738</v>
      </c>
      <c r="F1245" s="24">
        <f>D1245*E1245</f>
        <v/>
      </c>
      <c r="G1245" s="22" t="n"/>
    </row>
    <row r="1246">
      <c r="A1246" s="22" t="inlineStr">
        <is>
          <t>9999</t>
        </is>
      </c>
      <c r="B1246" s="11" t="inlineStr">
        <is>
          <t>20mm nails without head for fixing ply</t>
        </is>
      </c>
      <c r="C1246" s="22" t="inlineStr">
        <is>
          <t>L.S.</t>
        </is>
      </c>
      <c r="D1246" s="23" t="n">
        <v>53.82</v>
      </c>
      <c r="E1246" s="24" t="n">
        <v>2</v>
      </c>
      <c r="F1246" s="24">
        <f>D1246*E1246</f>
        <v/>
      </c>
      <c r="G1246" s="22" t="n"/>
    </row>
    <row r="1247">
      <c r="A1247" s="22" t="inlineStr">
        <is>
          <t>13.50.1</t>
        </is>
      </c>
      <c r="B1247" s="11" t="inlineStr">
        <is>
          <t>Rate as per item 13.50.1 - Applying priming coat - With ready mixed pink or Grey primer of approved brand and manufacture on wood work...</t>
        </is>
      </c>
      <c r="C1247" s="22" t="inlineStr">
        <is>
          <t>sqm</t>
        </is>
      </c>
      <c r="D1247" s="23" t="n">
        <v>10</v>
      </c>
      <c r="E1247" s="24" t="n">
        <v>57.05</v>
      </c>
      <c r="F1247" s="24">
        <f>D1247*E1247</f>
        <v/>
      </c>
      <c r="G1247" s="22" t="n"/>
    </row>
    <row r="1248">
      <c r="A1248" s="8" t="inlineStr">
        <is>
          <t>Calculated W - SUM of the Amount column above</t>
        </is>
      </c>
      <c r="B1248" s="9" t="n"/>
      <c r="C1248" s="9" t="n"/>
      <c r="D1248" s="9" t="n"/>
      <c r="E1248" s="9" t="n"/>
      <c r="F1248" s="25">
        <f>SUM(F1240:F1247)</f>
        <v/>
      </c>
      <c r="G1248" s="9" t="n"/>
    </row>
    <row r="1249">
      <c r="A1249" s="26" t="inlineStr">
        <is>
          <t>W as printed in the DAR</t>
        </is>
      </c>
      <c r="B1249" s="22" t="n"/>
      <c r="C1249" s="22" t="n"/>
      <c r="D1249" s="22" t="n"/>
      <c r="E1249" s="22" t="n"/>
      <c r="F1249" s="27" t="n">
        <v>12207.56</v>
      </c>
      <c r="G1249" s="22" t="n"/>
    </row>
    <row r="1250">
      <c r="A1250" s="26" t="inlineStr">
        <is>
          <t>Difference (calculated - printed)</t>
        </is>
      </c>
      <c r="B1250" s="22" t="n"/>
      <c r="C1250" s="22" t="n"/>
      <c r="D1250" s="22" t="n"/>
      <c r="E1250" s="22" t="n"/>
      <c r="F1250" s="27">
        <f>F1248-F1249</f>
        <v/>
      </c>
      <c r="G1250" s="22" t="n"/>
    </row>
    <row r="1251">
      <c r="A1251" s="29" t="inlineStr">
        <is>
          <t>SAY (Rs.) - final DAR rate as printed (fixed value, not computed)</t>
        </is>
      </c>
      <c r="B1251" s="30" t="n"/>
      <c r="C1251" s="30" t="n"/>
      <c r="D1251" s="30" t="n"/>
      <c r="E1251" s="30" t="n"/>
      <c r="F1251" s="31" t="n">
        <v>1551</v>
      </c>
      <c r="G1251" s="30" t="n"/>
    </row>
    <row r="1253" ht="33" customHeight="1">
      <c r="A1253" s="18" t="inlineStr">
        <is>
          <t>8.29</t>
        </is>
      </c>
      <c r="B1253" s="19" t="inlineStr">
        <is>
          <t>Providing and fixing 4mm thick coir veneer board, ISI marked IS : 14842, plain lining with necessary screws, priming coat on unexposed surface etc., complete.</t>
        </is>
      </c>
      <c r="C1253" s="20" t="n"/>
      <c r="D1253" s="20" t="n"/>
      <c r="E1253" s="20" t="n"/>
      <c r="F1253" s="20" t="n"/>
      <c r="G1253" s="20" t="n"/>
    </row>
    <row r="1254">
      <c r="A1254" s="21" t="inlineStr">
        <is>
          <t>Details of cost for 10 sqm   |   Source: CivilDAR_2019_Vol_1.pdf, page 420</t>
        </is>
      </c>
    </row>
    <row r="1255">
      <c r="A1255" s="5" t="inlineStr">
        <is>
          <t>Code</t>
        </is>
      </c>
      <c r="B1255" s="5" t="inlineStr">
        <is>
          <t>Description</t>
        </is>
      </c>
      <c r="C1255" s="5" t="inlineStr">
        <is>
          <t>Unit</t>
        </is>
      </c>
      <c r="D1255" s="5" t="inlineStr">
        <is>
          <t>Quantity</t>
        </is>
      </c>
      <c r="E1255" s="5" t="inlineStr">
        <is>
          <t>Rate (Rs.)</t>
        </is>
      </c>
      <c r="F1255" s="5" t="inlineStr">
        <is>
          <t>Amount (Rs.)</t>
        </is>
      </c>
      <c r="G1255" s="5" t="inlineStr">
        <is>
          <t>Note</t>
        </is>
      </c>
    </row>
    <row r="1256">
      <c r="A1256" s="22" t="inlineStr">
        <is>
          <t>7552</t>
        </is>
      </c>
      <c r="B1256" s="11" t="inlineStr">
        <is>
          <t>Coir veneered board 4mm thick</t>
        </is>
      </c>
      <c r="C1256" s="22" t="inlineStr">
        <is>
          <t>sqm</t>
        </is>
      </c>
      <c r="D1256" s="23" t="n">
        <v>12</v>
      </c>
      <c r="E1256" s="24" t="n">
        <v>290</v>
      </c>
      <c r="F1256" s="24">
        <f>D1256*E1256</f>
        <v/>
      </c>
      <c r="G1256" s="22" t="n"/>
    </row>
    <row r="1257">
      <c r="A1257" s="22" t="inlineStr">
        <is>
          <t>9977</t>
        </is>
      </c>
      <c r="B1257" s="11" t="inlineStr">
        <is>
          <t>Carriage of Coir veneered board</t>
        </is>
      </c>
      <c r="C1257" s="22" t="inlineStr">
        <is>
          <t>L.S.</t>
        </is>
      </c>
      <c r="D1257" s="23" t="n">
        <v>5.46</v>
      </c>
      <c r="E1257" s="24" t="n">
        <v>2</v>
      </c>
      <c r="F1257" s="24">
        <f>D1257*E1257</f>
        <v/>
      </c>
      <c r="G1257" s="22" t="n"/>
    </row>
    <row r="1258">
      <c r="A1258" s="22" t="inlineStr">
        <is>
          <t>9.32</t>
        </is>
      </c>
      <c r="B1258" s="11" t="inlineStr">
        <is>
          <t>Rate as per item 9.32</t>
        </is>
      </c>
      <c r="C1258" s="22" t="inlineStr">
        <is>
          <t>each</t>
        </is>
      </c>
      <c r="D1258" s="23" t="n">
        <v>55</v>
      </c>
      <c r="E1258" s="24" t="n">
        <v>33.9</v>
      </c>
      <c r="F1258" s="24">
        <f>D1258*E1258</f>
        <v/>
      </c>
      <c r="G1258" s="22" t="n"/>
    </row>
    <row r="1259">
      <c r="A1259" s="22" t="inlineStr">
        <is>
          <t>0111</t>
        </is>
      </c>
      <c r="B1259" s="11" t="inlineStr">
        <is>
          <t>Carpenter 1st class</t>
        </is>
      </c>
      <c r="C1259" s="22" t="inlineStr">
        <is>
          <t>day</t>
        </is>
      </c>
      <c r="D1259" s="23" t="n">
        <v>3.8</v>
      </c>
      <c r="E1259" s="24" t="n">
        <v>738</v>
      </c>
      <c r="F1259" s="24">
        <f>D1259*E1259</f>
        <v/>
      </c>
      <c r="G1259" s="22" t="n"/>
    </row>
    <row r="1260">
      <c r="A1260" s="22" t="inlineStr">
        <is>
          <t>0114</t>
        </is>
      </c>
      <c r="B1260" s="11" t="inlineStr">
        <is>
          <t>Beldar</t>
        </is>
      </c>
      <c r="C1260" s="22" t="inlineStr">
        <is>
          <t>day</t>
        </is>
      </c>
      <c r="D1260" s="23" t="n">
        <v>4.6</v>
      </c>
      <c r="E1260" s="24" t="n">
        <v>558</v>
      </c>
      <c r="F1260" s="24">
        <f>D1260*E1260</f>
        <v/>
      </c>
      <c r="G1260" s="22" t="n"/>
    </row>
    <row r="1261">
      <c r="A1261" s="22" t="inlineStr">
        <is>
          <t>0130</t>
        </is>
      </c>
      <c r="B1261" s="11" t="inlineStr">
        <is>
          <t>Mistry</t>
        </is>
      </c>
      <c r="C1261" s="22" t="inlineStr">
        <is>
          <t>day</t>
        </is>
      </c>
      <c r="D1261" s="23" t="n">
        <v>0.6</v>
      </c>
      <c r="E1261" s="24" t="n">
        <v>738</v>
      </c>
      <c r="F1261" s="24">
        <f>D1261*E1261</f>
        <v/>
      </c>
      <c r="G1261" s="22" t="n"/>
    </row>
    <row r="1262">
      <c r="A1262" s="22" t="inlineStr">
        <is>
          <t>9999</t>
        </is>
      </c>
      <c r="B1262" s="11" t="inlineStr">
        <is>
          <t>20mm nails without head for fixing ply</t>
        </is>
      </c>
      <c r="C1262" s="22" t="inlineStr">
        <is>
          <t>L.S.</t>
        </is>
      </c>
      <c r="D1262" s="23" t="n">
        <v>53.82</v>
      </c>
      <c r="E1262" s="24" t="n">
        <v>2</v>
      </c>
      <c r="F1262" s="24">
        <f>D1262*E1262</f>
        <v/>
      </c>
      <c r="G1262" s="22" t="n"/>
    </row>
    <row r="1263">
      <c r="A1263" s="22" t="inlineStr">
        <is>
          <t>13.50.1</t>
        </is>
      </c>
      <c r="B1263" s="11" t="inlineStr">
        <is>
          <t>Rate as per item 13.50.1 - Applying priming coat - With ready mixed pink or Grey primer of approved brand and manufacture on wood work...</t>
        </is>
      </c>
      <c r="C1263" s="22" t="inlineStr">
        <is>
          <t>sqm</t>
        </is>
      </c>
      <c r="D1263" s="23" t="n">
        <v>10</v>
      </c>
      <c r="E1263" s="24" t="n">
        <v>57.05</v>
      </c>
      <c r="F1263" s="24">
        <f>D1263*E1263</f>
        <v/>
      </c>
      <c r="G1263" s="22" t="n"/>
    </row>
    <row r="1264">
      <c r="A1264" s="8" t="inlineStr">
        <is>
          <t>Calculated W - SUM of the Amount column above</t>
        </is>
      </c>
      <c r="B1264" s="9" t="n"/>
      <c r="C1264" s="9" t="n"/>
      <c r="D1264" s="9" t="n"/>
      <c r="E1264" s="9" t="n"/>
      <c r="F1264" s="25">
        <f>SUM(F1256:F1263)</f>
        <v/>
      </c>
      <c r="G1264" s="9" t="n"/>
    </row>
    <row r="1265">
      <c r="A1265" s="26" t="inlineStr">
        <is>
          <t>W as printed in the DAR</t>
        </is>
      </c>
      <c r="B1265" s="22" t="n"/>
      <c r="C1265" s="22" t="n"/>
      <c r="D1265" s="22" t="n"/>
      <c r="E1265" s="22" t="n"/>
      <c r="F1265" s="27" t="n">
        <v>11847.56</v>
      </c>
      <c r="G1265" s="22" t="n"/>
    </row>
    <row r="1266">
      <c r="A1266" s="26" t="inlineStr">
        <is>
          <t>Difference (calculated - printed)</t>
        </is>
      </c>
      <c r="B1266" s="22" t="n"/>
      <c r="C1266" s="22" t="n"/>
      <c r="D1266" s="22" t="n"/>
      <c r="E1266" s="22" t="n"/>
      <c r="F1266" s="27">
        <f>F1264-F1265</f>
        <v/>
      </c>
      <c r="G1266" s="22" t="n"/>
    </row>
    <row r="1267">
      <c r="A1267" s="29" t="inlineStr">
        <is>
          <t>SAY (Rs.) - final DAR rate as printed (fixed value, not computed)</t>
        </is>
      </c>
      <c r="B1267" s="30" t="n"/>
      <c r="C1267" s="30" t="n"/>
      <c r="D1267" s="30" t="n"/>
      <c r="E1267" s="30" t="n"/>
      <c r="F1267" s="31" t="n">
        <v>1502.85</v>
      </c>
      <c r="G1267" s="30" t="n"/>
    </row>
    <row r="1269" ht="47.5" customHeight="1">
      <c r="A1269" s="8" t="inlineStr">
        <is>
          <t>8.30</t>
        </is>
      </c>
      <c r="B1269" s="17"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is>
      </c>
      <c r="C1269" s="9" t="n"/>
      <c r="D1269" s="9" t="n"/>
      <c r="E1269" s="9" t="n"/>
      <c r="F1269" s="9" t="n"/>
      <c r="G1269" s="9" t="n"/>
    </row>
    <row r="1270" ht="18.5" customHeight="1">
      <c r="A1270" s="18" t="inlineStr">
        <is>
          <t>8.30.1</t>
        </is>
      </c>
      <c r="B1270" s="19" t="inlineStr">
        <is>
          <t>18 mm thick</t>
        </is>
      </c>
      <c r="C1270" s="20" t="n"/>
      <c r="D1270" s="20" t="n"/>
      <c r="E1270" s="20" t="n"/>
      <c r="F1270" s="20" t="n"/>
      <c r="G1270" s="20" t="n"/>
    </row>
    <row r="1271">
      <c r="A1271" s="21" t="inlineStr">
        <is>
          <t>Details of cost for 6 sqm   |   Source: CivilDAR_2019_Vol_1.pdf, page 421</t>
        </is>
      </c>
    </row>
    <row r="1272">
      <c r="A1272" s="5" t="inlineStr">
        <is>
          <t>Code</t>
        </is>
      </c>
      <c r="B1272" s="5" t="inlineStr">
        <is>
          <t>Description</t>
        </is>
      </c>
      <c r="C1272" s="5" t="inlineStr">
        <is>
          <t>Unit</t>
        </is>
      </c>
      <c r="D1272" s="5" t="inlineStr">
        <is>
          <t>Quantity</t>
        </is>
      </c>
      <c r="E1272" s="5" t="inlineStr">
        <is>
          <t>Rate (Rs.)</t>
        </is>
      </c>
      <c r="F1272" s="5" t="inlineStr">
        <is>
          <t>Amount (Rs.)</t>
        </is>
      </c>
      <c r="G1272" s="5" t="inlineStr">
        <is>
          <t>Note</t>
        </is>
      </c>
    </row>
    <row r="1273">
      <c r="A1273" s="22" t="inlineStr">
        <is>
          <t>7478</t>
        </is>
      </c>
      <c r="B1273" s="11" t="inlineStr">
        <is>
          <t>Prelaminated particle board with one side decorative and other side balancing lamination, flat pressed 3 layer &amp; graded (medium density) Grade I, Type II conforming to IS : 12823 (exterior grade) 18 mm thick</t>
        </is>
      </c>
      <c r="C1273" s="22" t="inlineStr">
        <is>
          <t>sqm</t>
        </is>
      </c>
      <c r="D1273" s="23" t="n">
        <v>6.6</v>
      </c>
      <c r="E1273" s="24" t="n">
        <v>650</v>
      </c>
      <c r="F1273" s="24">
        <f>D1273*E1273</f>
        <v/>
      </c>
      <c r="G1273" s="22" t="n"/>
    </row>
    <row r="1274">
      <c r="A1274" s="22" t="inlineStr">
        <is>
          <t>9977</t>
        </is>
      </c>
      <c r="B1274" s="11" t="inlineStr">
        <is>
          <t>Carriage of particle board</t>
        </is>
      </c>
      <c r="C1274" s="22" t="inlineStr">
        <is>
          <t>L.S.</t>
        </is>
      </c>
      <c r="D1274" s="23" t="n">
        <v>8.109999999999999</v>
      </c>
      <c r="E1274" s="24" t="n">
        <v>2</v>
      </c>
      <c r="F1274" s="24">
        <f>D1274*E1274</f>
        <v/>
      </c>
      <c r="G1274" s="22" t="n"/>
    </row>
    <row r="1275">
      <c r="A1275" s="22" t="inlineStr">
        <is>
          <t>7048</t>
        </is>
      </c>
      <c r="B1275" s="11" t="inlineStr">
        <is>
          <t>Rawl plug 50 mm (designation 10 no.)</t>
        </is>
      </c>
      <c r="C1275" s="22" t="inlineStr">
        <is>
          <t>each</t>
        </is>
      </c>
      <c r="D1275" s="23" t="n">
        <v>102</v>
      </c>
      <c r="E1275" s="24" t="n">
        <v>25</v>
      </c>
      <c r="F1275" s="24">
        <f>D1275*E1275</f>
        <v/>
      </c>
      <c r="G1275" s="22" t="n"/>
    </row>
    <row r="1276">
      <c r="A1276" s="22" t="inlineStr">
        <is>
          <t>9999</t>
        </is>
      </c>
      <c r="B1276" s="11" t="inlineStr">
        <is>
          <t>Labour for drilling holes</t>
        </is>
      </c>
      <c r="C1276" s="22" t="inlineStr">
        <is>
          <t>L.S.</t>
        </is>
      </c>
      <c r="D1276" s="23" t="n">
        <v>130</v>
      </c>
      <c r="E1276" s="24" t="n">
        <v>2</v>
      </c>
      <c r="F1276" s="24">
        <f>D1276*E1276</f>
        <v/>
      </c>
      <c r="G1276" s="22" t="n"/>
    </row>
    <row r="1277">
      <c r="A1277" s="22" t="inlineStr">
        <is>
          <t>0112</t>
        </is>
      </c>
      <c r="B1277" s="11" t="inlineStr">
        <is>
          <t>Carpenter 2nd class</t>
        </is>
      </c>
      <c r="C1277" s="22" t="inlineStr">
        <is>
          <t>day</t>
        </is>
      </c>
      <c r="D1277" s="23" t="n">
        <v>0.77</v>
      </c>
      <c r="E1277" s="24" t="n">
        <v>679</v>
      </c>
      <c r="F1277" s="24">
        <f>D1277*E1277</f>
        <v/>
      </c>
      <c r="G1277" s="22" t="n"/>
    </row>
    <row r="1278">
      <c r="A1278" s="22" t="inlineStr">
        <is>
          <t>0114</t>
        </is>
      </c>
      <c r="B1278" s="11" t="inlineStr">
        <is>
          <t>Beldar</t>
        </is>
      </c>
      <c r="C1278" s="22" t="inlineStr">
        <is>
          <t>day</t>
        </is>
      </c>
      <c r="D1278" s="23" t="n">
        <v>0.86</v>
      </c>
      <c r="E1278" s="24" t="n">
        <v>558</v>
      </c>
      <c r="F1278" s="24">
        <f>D1278*E1278</f>
        <v/>
      </c>
      <c r="G1278" s="22" t="n"/>
    </row>
    <row r="1279">
      <c r="A1279" s="22" t="inlineStr">
        <is>
          <t>9999</t>
        </is>
      </c>
      <c r="B1279" s="11" t="inlineStr">
        <is>
          <t>Sundries (Screws, sand paper)</t>
        </is>
      </c>
      <c r="C1279" s="22" t="inlineStr">
        <is>
          <t>L.S.</t>
        </is>
      </c>
      <c r="D1279" s="23" t="n">
        <v>53.82</v>
      </c>
      <c r="E1279" s="24" t="n">
        <v>2</v>
      </c>
      <c r="F1279" s="24">
        <f>D1279*E1279</f>
        <v/>
      </c>
      <c r="G1279" s="22" t="n"/>
    </row>
    <row r="1280">
      <c r="A1280" s="22" t="inlineStr">
        <is>
          <t>13.50.1</t>
        </is>
      </c>
      <c r="B1280" s="11" t="inlineStr">
        <is>
          <t>Rate as per item 13.50.1 - Applying priming coat - With ready mixed pink or Grey primer of approved brand and manufacture on wood work...</t>
        </is>
      </c>
      <c r="C1280" s="22" t="inlineStr">
        <is>
          <t>sqm</t>
        </is>
      </c>
      <c r="D1280" s="23" t="n">
        <v>6</v>
      </c>
      <c r="E1280" s="24" t="n">
        <v>57.05</v>
      </c>
      <c r="F1280" s="24">
        <f>D1280*E1280</f>
        <v/>
      </c>
      <c r="G1280" s="22" t="n"/>
    </row>
    <row r="1281">
      <c r="A1281" s="8" t="inlineStr">
        <is>
          <t>Calculated W - SUM of the Amount column above</t>
        </is>
      </c>
      <c r="B1281" s="9" t="n"/>
      <c r="C1281" s="9" t="n"/>
      <c r="D1281" s="9" t="n"/>
      <c r="E1281" s="9" t="n"/>
      <c r="F1281" s="25">
        <f>SUM(F1273:F1280)</f>
        <v/>
      </c>
      <c r="G1281" s="9" t="n"/>
    </row>
    <row r="1282">
      <c r="A1282" s="26" t="inlineStr">
        <is>
          <t>W as printed in the DAR</t>
        </is>
      </c>
      <c r="B1282" s="22" t="n"/>
      <c r="C1282" s="22" t="n"/>
      <c r="D1282" s="22" t="n"/>
      <c r="E1282" s="22" t="n"/>
      <c r="F1282" s="27" t="n">
        <v>8568.870000000001</v>
      </c>
      <c r="G1282" s="22" t="n"/>
    </row>
    <row r="1283">
      <c r="A1283" s="26" t="inlineStr">
        <is>
          <t>Difference (calculated - printed)</t>
        </is>
      </c>
      <c r="B1283" s="22" t="n"/>
      <c r="C1283" s="22" t="n"/>
      <c r="D1283" s="22" t="n"/>
      <c r="E1283" s="22" t="n"/>
      <c r="F1283" s="27">
        <f>F1281-F1282</f>
        <v/>
      </c>
      <c r="G1283" s="22" t="n"/>
    </row>
    <row r="1284">
      <c r="A1284" s="29" t="inlineStr">
        <is>
          <t>SAY (Rs.) - final DAR rate as printed (fixed value, not computed)</t>
        </is>
      </c>
      <c r="B1284" s="30" t="n"/>
      <c r="C1284" s="30" t="n"/>
      <c r="D1284" s="30" t="n"/>
      <c r="E1284" s="30" t="n"/>
      <c r="F1284" s="31" t="n">
        <v>1891.5</v>
      </c>
      <c r="G1284" s="30" t="n"/>
    </row>
    <row r="1286" ht="47.5" customHeight="1">
      <c r="A1286" s="8" t="inlineStr">
        <is>
          <t>8.30</t>
        </is>
      </c>
      <c r="B1286" s="17"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is>
      </c>
      <c r="C1286" s="9" t="n"/>
      <c r="D1286" s="9" t="n"/>
      <c r="E1286" s="9" t="n"/>
      <c r="F1286" s="9" t="n"/>
      <c r="G1286" s="9" t="n"/>
    </row>
    <row r="1287" ht="18.5" customHeight="1">
      <c r="A1287" s="18" t="inlineStr">
        <is>
          <t>8.30.2</t>
        </is>
      </c>
      <c r="B1287" s="19" t="inlineStr">
        <is>
          <t>25 mm thick</t>
        </is>
      </c>
      <c r="C1287" s="20" t="n"/>
      <c r="D1287" s="20" t="n"/>
      <c r="E1287" s="20" t="n"/>
      <c r="F1287" s="20" t="n"/>
      <c r="G1287" s="20" t="n"/>
    </row>
    <row r="1288">
      <c r="A1288" s="21" t="inlineStr">
        <is>
          <t>Details of cost for 6 sqm   |   Source: CivilDAR_2019_Vol_1.pdf, page 421</t>
        </is>
      </c>
    </row>
    <row r="1289">
      <c r="A1289" s="5" t="inlineStr">
        <is>
          <t>Code</t>
        </is>
      </c>
      <c r="B1289" s="5" t="inlineStr">
        <is>
          <t>Description</t>
        </is>
      </c>
      <c r="C1289" s="5" t="inlineStr">
        <is>
          <t>Unit</t>
        </is>
      </c>
      <c r="D1289" s="5" t="inlineStr">
        <is>
          <t>Quantity</t>
        </is>
      </c>
      <c r="E1289" s="5" t="inlineStr">
        <is>
          <t>Rate (Rs.)</t>
        </is>
      </c>
      <c r="F1289" s="5" t="inlineStr">
        <is>
          <t>Amount (Rs.)</t>
        </is>
      </c>
      <c r="G1289" s="5" t="inlineStr">
        <is>
          <t>Note</t>
        </is>
      </c>
    </row>
    <row r="1290">
      <c r="A1290" s="22" t="inlineStr">
        <is>
          <t>7479</t>
        </is>
      </c>
      <c r="B1290" s="11" t="inlineStr">
        <is>
          <t>Prelaminated particle board with one side decorative and other side balancing lamination, flat pressed 3 layer &amp; graded (medium density) Grade I, Type II conforming to IS : 12823 (exterior grade) 25 mm thick</t>
        </is>
      </c>
      <c r="C1290" s="22" t="inlineStr">
        <is>
          <t>sqm</t>
        </is>
      </c>
      <c r="D1290" s="23" t="n">
        <v>6.6</v>
      </c>
      <c r="E1290" s="24" t="n">
        <v>900</v>
      </c>
      <c r="F1290" s="24">
        <f>D1290*E1290</f>
        <v/>
      </c>
      <c r="G1290" s="22" t="n"/>
    </row>
    <row r="1291">
      <c r="A1291" s="22" t="inlineStr">
        <is>
          <t>9977</t>
        </is>
      </c>
      <c r="B1291" s="11" t="inlineStr">
        <is>
          <t>Carriage of particle board</t>
        </is>
      </c>
      <c r="C1291" s="22" t="inlineStr">
        <is>
          <t>L.S.</t>
        </is>
      </c>
      <c r="D1291" s="23" t="n">
        <v>8.109999999999999</v>
      </c>
      <c r="E1291" s="24" t="n">
        <v>2</v>
      </c>
      <c r="F1291" s="24">
        <f>D1291*E1291</f>
        <v/>
      </c>
      <c r="G1291" s="22" t="n"/>
    </row>
    <row r="1292">
      <c r="A1292" s="22" t="inlineStr">
        <is>
          <t>7048</t>
        </is>
      </c>
      <c r="B1292" s="11" t="inlineStr">
        <is>
          <t>Rawl plug 50 mm (designation 10 no.)</t>
        </is>
      </c>
      <c r="C1292" s="22" t="inlineStr">
        <is>
          <t>each</t>
        </is>
      </c>
      <c r="D1292" s="23" t="n">
        <v>102</v>
      </c>
      <c r="E1292" s="24" t="n">
        <v>25</v>
      </c>
      <c r="F1292" s="24">
        <f>D1292*E1292</f>
        <v/>
      </c>
      <c r="G1292" s="22" t="n"/>
    </row>
    <row r="1293">
      <c r="A1293" s="22" t="inlineStr">
        <is>
          <t>9999</t>
        </is>
      </c>
      <c r="B1293" s="11" t="inlineStr">
        <is>
          <t>Labour for drilling holes</t>
        </is>
      </c>
      <c r="C1293" s="22" t="inlineStr">
        <is>
          <t>L.S.</t>
        </is>
      </c>
      <c r="D1293" s="23" t="n">
        <v>130</v>
      </c>
      <c r="E1293" s="24" t="n">
        <v>2</v>
      </c>
      <c r="F1293" s="24">
        <f>D1293*E1293</f>
        <v/>
      </c>
      <c r="G1293" s="22" t="n"/>
    </row>
    <row r="1294">
      <c r="A1294" s="22" t="inlineStr">
        <is>
          <t>0112</t>
        </is>
      </c>
      <c r="B1294" s="11" t="inlineStr">
        <is>
          <t>Carpenter 2nd class</t>
        </is>
      </c>
      <c r="C1294" s="22" t="inlineStr">
        <is>
          <t>day</t>
        </is>
      </c>
      <c r="D1294" s="23" t="n">
        <v>0.77</v>
      </c>
      <c r="E1294" s="24" t="n">
        <v>679</v>
      </c>
      <c r="F1294" s="24">
        <f>D1294*E1294</f>
        <v/>
      </c>
      <c r="G1294" s="22" t="n"/>
    </row>
    <row r="1295">
      <c r="A1295" s="22" t="inlineStr">
        <is>
          <t>0114</t>
        </is>
      </c>
      <c r="B1295" s="11" t="inlineStr">
        <is>
          <t>Beldar</t>
        </is>
      </c>
      <c r="C1295" s="22" t="inlineStr">
        <is>
          <t>day</t>
        </is>
      </c>
      <c r="D1295" s="23" t="n">
        <v>0.86</v>
      </c>
      <c r="E1295" s="24" t="n">
        <v>558</v>
      </c>
      <c r="F1295" s="24">
        <f>D1295*E1295</f>
        <v/>
      </c>
      <c r="G1295" s="22" t="n"/>
    </row>
    <row r="1296">
      <c r="A1296" s="22" t="inlineStr">
        <is>
          <t>9999</t>
        </is>
      </c>
      <c r="B1296" s="11" t="inlineStr">
        <is>
          <t>Sundries (Screws, sand paper)</t>
        </is>
      </c>
      <c r="C1296" s="22" t="inlineStr">
        <is>
          <t>L.S.</t>
        </is>
      </c>
      <c r="D1296" s="23" t="n">
        <v>53.82</v>
      </c>
      <c r="E1296" s="24" t="n">
        <v>2</v>
      </c>
      <c r="F1296" s="24">
        <f>D1296*E1296</f>
        <v/>
      </c>
      <c r="G1296" s="22" t="n"/>
    </row>
    <row r="1297">
      <c r="A1297" s="22" t="inlineStr">
        <is>
          <t>13.50.1</t>
        </is>
      </c>
      <c r="B1297" s="11" t="inlineStr">
        <is>
          <t>Rate as per item 13.50.1 - Applying priming coat - With ready mixed pink or Grey primer of approved brand and manufacture on wood work...</t>
        </is>
      </c>
      <c r="C1297" s="22" t="inlineStr">
        <is>
          <t>sqm</t>
        </is>
      </c>
      <c r="D1297" s="23" t="n">
        <v>6</v>
      </c>
      <c r="E1297" s="24" t="n">
        <v>57.05</v>
      </c>
      <c r="F1297" s="24">
        <f>D1297*E1297</f>
        <v/>
      </c>
      <c r="G1297" s="22" t="n"/>
    </row>
    <row r="1298">
      <c r="A1298" s="8" t="inlineStr">
        <is>
          <t>Calculated W - SUM of the Amount column above</t>
        </is>
      </c>
      <c r="B1298" s="9" t="n"/>
      <c r="C1298" s="9" t="n"/>
      <c r="D1298" s="9" t="n"/>
      <c r="E1298" s="9" t="n"/>
      <c r="F1298" s="25">
        <f>SUM(F1290:F1297)</f>
        <v/>
      </c>
      <c r="G1298" s="9" t="n"/>
    </row>
    <row r="1299">
      <c r="A1299" s="26" t="inlineStr">
        <is>
          <t>W as printed in the DAR</t>
        </is>
      </c>
      <c r="B1299" s="22" t="n"/>
      <c r="C1299" s="22" t="n"/>
      <c r="D1299" s="22" t="n"/>
      <c r="E1299" s="22" t="n"/>
      <c r="F1299" s="27" t="n">
        <v>10218.87</v>
      </c>
      <c r="G1299" s="22" t="n"/>
    </row>
    <row r="1300">
      <c r="A1300" s="26" t="inlineStr">
        <is>
          <t>Difference (calculated - printed)</t>
        </is>
      </c>
      <c r="B1300" s="22" t="n"/>
      <c r="C1300" s="22" t="n"/>
      <c r="D1300" s="22" t="n"/>
      <c r="E1300" s="22" t="n"/>
      <c r="F1300" s="27">
        <f>F1298-F1299</f>
        <v/>
      </c>
      <c r="G1300" s="22" t="n"/>
    </row>
    <row r="1301">
      <c r="A1301" s="29" t="inlineStr">
        <is>
          <t>SAY (Rs.) - final DAR rate as printed (fixed value, not computed)</t>
        </is>
      </c>
      <c r="B1301" s="30" t="n"/>
      <c r="C1301" s="30" t="n"/>
      <c r="D1301" s="30" t="n"/>
      <c r="E1301" s="30" t="n"/>
      <c r="F1301" s="31" t="n">
        <v>2259.4</v>
      </c>
      <c r="G1301" s="30" t="n"/>
    </row>
    <row r="1303" ht="62" customHeight="1">
      <c r="A1303" s="18" t="inlineStr">
        <is>
          <t>8.31</t>
        </is>
      </c>
      <c r="B1303" s="19" t="inlineStr">
        <is>
          <t>Providing and fixing Ist quality ceramic glazed wall tiles conforming to IS: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t>
        </is>
      </c>
      <c r="C1303" s="20" t="n"/>
      <c r="D1303" s="20" t="n"/>
      <c r="E1303" s="20" t="n"/>
      <c r="F1303" s="20" t="n"/>
      <c r="G1303" s="20" t="n"/>
    </row>
    <row r="1304">
      <c r="A1304" s="21" t="inlineStr">
        <is>
          <t>Details of cost for 1 sqm   |   Source: CivilDAR_2019_Vol_1.pdf, page 422</t>
        </is>
      </c>
    </row>
    <row r="1305">
      <c r="A1305" s="5" t="inlineStr">
        <is>
          <t>Code</t>
        </is>
      </c>
      <c r="B1305" s="5" t="inlineStr">
        <is>
          <t>Description</t>
        </is>
      </c>
      <c r="C1305" s="5" t="inlineStr">
        <is>
          <t>Unit</t>
        </is>
      </c>
      <c r="D1305" s="5" t="inlineStr">
        <is>
          <t>Quantity</t>
        </is>
      </c>
      <c r="E1305" s="5" t="inlineStr">
        <is>
          <t>Rate (Rs.)</t>
        </is>
      </c>
      <c r="F1305" s="5" t="inlineStr">
        <is>
          <t>Amount (Rs.)</t>
        </is>
      </c>
      <c r="G1305" s="5" t="inlineStr">
        <is>
          <t>Note</t>
        </is>
      </c>
    </row>
    <row r="1306">
      <c r="A1306" s="22" t="inlineStr">
        <is>
          <t>7800</t>
        </is>
      </c>
      <c r="B1306" s="11" t="inlineStr">
        <is>
          <t>Ceramic Glazed Tiles Ist quality minimum thickness 5mm in all colours shades and designs except burgundy, bottle green, black</t>
        </is>
      </c>
      <c r="C1306" s="22" t="inlineStr">
        <is>
          <t>Sq.m.</t>
        </is>
      </c>
      <c r="D1306" s="23" t="n">
        <v>1.025</v>
      </c>
      <c r="E1306" s="24" t="n">
        <v>212</v>
      </c>
      <c r="F1306" s="24">
        <f>D1306*E1306</f>
        <v/>
      </c>
      <c r="G1306" s="22" t="n"/>
    </row>
    <row r="1307">
      <c r="A1307" s="22" t="inlineStr">
        <is>
          <t>9977</t>
        </is>
      </c>
      <c r="B1307" s="11" t="inlineStr">
        <is>
          <t>Carriage of tiles</t>
        </is>
      </c>
      <c r="C1307" s="22" t="inlineStr">
        <is>
          <t>L.S.</t>
        </is>
      </c>
      <c r="D1307" s="23" t="n">
        <v>6.24</v>
      </c>
      <c r="E1307" s="24" t="n">
        <v>2</v>
      </c>
      <c r="F1307" s="24">
        <f>D1307*E1307</f>
        <v/>
      </c>
      <c r="G1307" s="22" t="n"/>
    </row>
    <row r="1308">
      <c r="A1308" s="7" t="inlineStr">
        <is>
          <t>3.8</t>
        </is>
      </c>
      <c r="B1308" s="11" t="inlineStr">
        <is>
          <t>Rate as per item 3.8 - Cement mortar 1:3 (1 cement : 3 coarse sand)</t>
        </is>
      </c>
      <c r="C1308" s="22" t="inlineStr">
        <is>
          <t>cum</t>
        </is>
      </c>
      <c r="D1308" s="23" t="n">
        <v>0.014</v>
      </c>
      <c r="E1308" s="24" t="n">
        <v>4664.55</v>
      </c>
      <c r="F1308" s="24">
        <f>D1308*E1308</f>
        <v/>
      </c>
      <c r="G1308" s="22" t="n"/>
    </row>
    <row r="1309">
      <c r="A1309" s="22" t="inlineStr">
        <is>
          <t>9999</t>
        </is>
      </c>
      <c r="B1309" s="11" t="inlineStr">
        <is>
          <t>Mortar for pointing in white cement</t>
        </is>
      </c>
      <c r="C1309" s="22" t="inlineStr">
        <is>
          <t>L.S.</t>
        </is>
      </c>
      <c r="D1309" s="23" t="n">
        <v>40.43</v>
      </c>
      <c r="E1309" s="24" t="n">
        <v>2</v>
      </c>
      <c r="F1309" s="24">
        <f>D1309*E1309</f>
        <v/>
      </c>
      <c r="G1309" s="22" t="n"/>
    </row>
    <row r="1310">
      <c r="A1310" s="22" t="inlineStr">
        <is>
          <t>0367</t>
        </is>
      </c>
      <c r="B1310" s="11" t="inlineStr">
        <is>
          <t>Portland Cement</t>
        </is>
      </c>
      <c r="C1310" s="22" t="inlineStr">
        <is>
          <t>tonne</t>
        </is>
      </c>
      <c r="D1310" s="23" t="n">
        <v>0.0033</v>
      </c>
      <c r="E1310" s="24" t="n">
        <v>4940</v>
      </c>
      <c r="F1310" s="24">
        <f>D1310*E1310</f>
        <v/>
      </c>
      <c r="G1310" s="22" t="n"/>
    </row>
    <row r="1311">
      <c r="A1311" s="22" t="inlineStr">
        <is>
          <t>0123</t>
        </is>
      </c>
      <c r="B1311" s="11" t="inlineStr">
        <is>
          <t>Mason (brick layer) 1st class</t>
        </is>
      </c>
      <c r="C1311" s="22" t="inlineStr">
        <is>
          <t>day</t>
        </is>
      </c>
      <c r="D1311" s="23" t="n">
        <v>0.25</v>
      </c>
      <c r="E1311" s="24" t="n">
        <v>738</v>
      </c>
      <c r="F1311" s="24">
        <f>D1311*E1311</f>
        <v/>
      </c>
      <c r="G1311" s="22" t="n"/>
    </row>
    <row r="1312">
      <c r="A1312" s="22" t="inlineStr">
        <is>
          <t>0115</t>
        </is>
      </c>
      <c r="B1312" s="11" t="inlineStr">
        <is>
          <t>Coolie</t>
        </is>
      </c>
      <c r="C1312" s="22" t="inlineStr">
        <is>
          <t>day</t>
        </is>
      </c>
      <c r="D1312" s="23" t="n">
        <v>0.25</v>
      </c>
      <c r="E1312" s="24" t="n">
        <v>558</v>
      </c>
      <c r="F1312" s="24">
        <f>D1312*E1312</f>
        <v/>
      </c>
      <c r="G1312" s="22" t="n"/>
    </row>
    <row r="1313">
      <c r="A1313" s="22" t="inlineStr">
        <is>
          <t>9988</t>
        </is>
      </c>
      <c r="B1313" s="11" t="inlineStr">
        <is>
          <t>Sundries including carriage of cement etc</t>
        </is>
      </c>
      <c r="C1313" s="22" t="inlineStr">
        <is>
          <t>L.S.</t>
        </is>
      </c>
      <c r="D1313" s="23" t="n">
        <v>26.91</v>
      </c>
      <c r="E1313" s="24" t="n">
        <v>2</v>
      </c>
      <c r="F1313" s="24">
        <f>D1313*E1313</f>
        <v/>
      </c>
      <c r="G1313" s="22" t="n"/>
    </row>
    <row r="1314">
      <c r="A1314" s="8" t="inlineStr">
        <is>
          <t>Calculated W - SUM of the Amount column above</t>
        </is>
      </c>
      <c r="B1314" s="9" t="n"/>
      <c r="C1314" s="9" t="n"/>
      <c r="D1314" s="9" t="n"/>
      <c r="E1314" s="9" t="n"/>
      <c r="F1314" s="25">
        <f>SUM(F1306:F1313)</f>
        <v/>
      </c>
      <c r="G1314" s="9" t="n"/>
    </row>
    <row r="1315">
      <c r="A1315" s="26" t="inlineStr">
        <is>
          <t>W as printed in the DAR</t>
        </is>
      </c>
      <c r="B1315" s="22" t="n"/>
      <c r="C1315" s="22" t="n"/>
      <c r="D1315" s="22" t="n"/>
      <c r="E1315" s="22" t="n"/>
      <c r="F1315" s="27" t="n">
        <v>770.0700000000001</v>
      </c>
      <c r="G1315" s="22" t="n"/>
    </row>
    <row r="1316">
      <c r="A1316" s="26" t="inlineStr">
        <is>
          <t>Difference (calculated - printed)</t>
        </is>
      </c>
      <c r="B1316" s="22" t="n"/>
      <c r="C1316" s="22" t="n"/>
      <c r="D1316" s="22" t="n"/>
      <c r="E1316" s="22" t="n"/>
      <c r="F1316" s="27">
        <f>F1314-F1315</f>
        <v/>
      </c>
      <c r="G1316" s="22" t="n"/>
    </row>
    <row r="1317">
      <c r="A1317" s="29" t="inlineStr">
        <is>
          <t>SAY (Rs.) - final DAR rate as printed (fixed value, not computed)</t>
        </is>
      </c>
      <c r="B1317" s="30" t="n"/>
      <c r="C1317" s="30" t="n"/>
      <c r="D1317" s="30" t="n"/>
      <c r="E1317" s="30" t="n"/>
      <c r="F1317" s="31" t="n">
        <v>1030.3</v>
      </c>
      <c r="G1317" s="30" t="n"/>
    </row>
    <row r="1319" ht="120" customHeight="1">
      <c r="A1319" s="18" t="inlineStr">
        <is>
          <t>8.32</t>
        </is>
      </c>
      <c r="B1319" s="19" t="inlineStr">
        <is>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t>
        </is>
      </c>
      <c r="C1319" s="20" t="n"/>
      <c r="D1319" s="20" t="n"/>
      <c r="E1319" s="20" t="n"/>
      <c r="F1319" s="20" t="n"/>
      <c r="G1319" s="20" t="n"/>
    </row>
    <row r="1320" ht="18.5" customHeight="1">
      <c r="A1320" s="20" t="n"/>
      <c r="B1320" s="19" t="inlineStr">
        <is>
          <t>Lumiflon based fluoropolymer resin coating of approved colour</t>
        </is>
      </c>
      <c r="C1320" s="20" t="n"/>
      <c r="D1320" s="20" t="n"/>
      <c r="E1320" s="20" t="n"/>
      <c r="F1320" s="20" t="n"/>
      <c r="G1320" s="20" t="n"/>
    </row>
    <row r="1321">
      <c r="A1321" s="21" t="inlineStr">
        <is>
          <t>Details of cost for 6.72 sqm   |   Source: CivilDAR_2019_Vol_1.pdf, page 423</t>
        </is>
      </c>
    </row>
    <row r="1322">
      <c r="A1322" s="5" t="inlineStr">
        <is>
          <t>Code</t>
        </is>
      </c>
      <c r="B1322" s="5" t="inlineStr">
        <is>
          <t>Description</t>
        </is>
      </c>
      <c r="C1322" s="5" t="inlineStr">
        <is>
          <t>Unit</t>
        </is>
      </c>
      <c r="D1322" s="5" t="inlineStr">
        <is>
          <t>Quantity</t>
        </is>
      </c>
      <c r="E1322" s="5" t="inlineStr">
        <is>
          <t>Rate (Rs.)</t>
        </is>
      </c>
      <c r="F1322" s="5" t="inlineStr">
        <is>
          <t>Amount (Rs.)</t>
        </is>
      </c>
      <c r="G1322" s="5" t="inlineStr">
        <is>
          <t>Note</t>
        </is>
      </c>
    </row>
    <row r="1323">
      <c r="A1323" s="22" t="inlineStr">
        <is>
          <t>2607</t>
        </is>
      </c>
      <c r="B1323" s="11" t="inlineStr">
        <is>
          <t>Weather Sealant - Non Staining (600 ml)</t>
        </is>
      </c>
      <c r="C1323" s="22" t="inlineStr">
        <is>
          <t>each</t>
        </is>
      </c>
      <c r="D1323" s="23" t="n">
        <v>2</v>
      </c>
      <c r="E1323" s="24" t="n">
        <v>325</v>
      </c>
      <c r="F1323" s="24">
        <f>D1323*E1323</f>
        <v/>
      </c>
      <c r="G1323" s="22" t="n"/>
    </row>
    <row r="1324">
      <c r="A1324" s="22" t="inlineStr">
        <is>
          <t>2608</t>
        </is>
      </c>
      <c r="B1324" s="11" t="inlineStr">
        <is>
          <t>Weather Sealant - Normal (300 ml)</t>
        </is>
      </c>
      <c r="C1324" s="22" t="inlineStr">
        <is>
          <t>each</t>
        </is>
      </c>
      <c r="D1324" s="23" t="n">
        <v>2</v>
      </c>
      <c r="E1324" s="24" t="n">
        <v>98</v>
      </c>
      <c r="F1324" s="24">
        <f>D1324*E1324</f>
        <v/>
      </c>
      <c r="G1324" s="22" t="n"/>
    </row>
    <row r="1325">
      <c r="A1325" s="22" t="inlineStr">
        <is>
          <t>2609</t>
        </is>
      </c>
      <c r="B1325" s="11" t="inlineStr">
        <is>
          <t>MS Brackets/Aluminium Alloy Brackets</t>
        </is>
      </c>
      <c r="C1325" s="22" t="inlineStr">
        <is>
          <t>kg</t>
        </is>
      </c>
      <c r="D1325" s="23" t="n">
        <v>10</v>
      </c>
      <c r="E1325" s="24" t="n">
        <v>100</v>
      </c>
      <c r="F1325" s="24">
        <f>D1325*E1325</f>
        <v/>
      </c>
      <c r="G1325" s="22" t="n"/>
    </row>
    <row r="1326">
      <c r="A1326" s="22" t="inlineStr">
        <is>
          <t>2611</t>
        </is>
      </c>
      <c r="B1326" s="11" t="inlineStr">
        <is>
          <t>EPDM Gasket in Kg (Above 60 g / m)</t>
        </is>
      </c>
      <c r="C1326" s="22" t="inlineStr">
        <is>
          <t>kg</t>
        </is>
      </c>
      <c r="D1326" s="23" t="n">
        <v>0.7</v>
      </c>
      <c r="E1326" s="24" t="n">
        <v>150</v>
      </c>
      <c r="F1326" s="24">
        <f>D1326*E1326</f>
        <v/>
      </c>
      <c r="G1326" s="22" t="n"/>
    </row>
    <row r="1327">
      <c r="A1327" s="22" t="inlineStr">
        <is>
          <t>2612</t>
        </is>
      </c>
      <c r="B1327" s="11" t="inlineStr">
        <is>
          <t>Anchor Fastner - M10</t>
        </is>
      </c>
      <c r="C1327" s="22" t="inlineStr">
        <is>
          <t>each</t>
        </is>
      </c>
      <c r="D1327" s="23" t="n">
        <v>2</v>
      </c>
      <c r="E1327" s="24" t="n">
        <v>10</v>
      </c>
      <c r="F1327" s="24">
        <f>D1327*E1327</f>
        <v/>
      </c>
      <c r="G1327" s="22" t="n"/>
    </row>
    <row r="1328">
      <c r="A1328" s="22" t="inlineStr">
        <is>
          <t>2613</t>
        </is>
      </c>
      <c r="B1328" s="11" t="inlineStr">
        <is>
          <t>SS Bolt with washer of sizes for structural glazing / ACP Cladding</t>
        </is>
      </c>
      <c r="C1328" s="22" t="inlineStr">
        <is>
          <t>each</t>
        </is>
      </c>
      <c r="D1328" s="23" t="n">
        <v>2</v>
      </c>
      <c r="E1328" s="24" t="n">
        <v>35</v>
      </c>
      <c r="F1328" s="24">
        <f>D1328*E1328</f>
        <v/>
      </c>
      <c r="G1328" s="22" t="n"/>
    </row>
    <row r="1329">
      <c r="A1329" s="22" t="inlineStr">
        <is>
          <t>2614</t>
        </is>
      </c>
      <c r="B1329" s="11" t="inlineStr">
        <is>
          <t>SS Screws of sizes for structural glazing / ACP Cladding</t>
        </is>
      </c>
      <c r="C1329" s="22" t="inlineStr">
        <is>
          <t>each</t>
        </is>
      </c>
      <c r="D1329" s="23" t="n">
        <v>49</v>
      </c>
      <c r="E1329" s="24" t="n">
        <v>3</v>
      </c>
      <c r="F1329" s="24">
        <f>D1329*E1329</f>
        <v/>
      </c>
      <c r="G1329" s="22" t="n"/>
    </row>
    <row r="1330">
      <c r="A1330" s="22" t="inlineStr">
        <is>
          <t>2615</t>
        </is>
      </c>
      <c r="B1330" s="11" t="inlineStr">
        <is>
          <t>Protective Tape</t>
        </is>
      </c>
      <c r="C1330" s="22" t="inlineStr">
        <is>
          <t>metre</t>
        </is>
      </c>
      <c r="D1330" s="23" t="n">
        <v>7</v>
      </c>
      <c r="E1330" s="24" t="n">
        <v>20</v>
      </c>
      <c r="F1330" s="24">
        <f>D1330*E1330</f>
        <v/>
      </c>
      <c r="G1330" s="22" t="n"/>
    </row>
    <row r="1331">
      <c r="A1331" s="22" t="inlineStr">
        <is>
          <t>2630</t>
        </is>
      </c>
      <c r="B1331" s="11" t="inlineStr">
        <is>
          <t>Baker rod</t>
        </is>
      </c>
      <c r="C1331" s="22" t="inlineStr">
        <is>
          <t>metre</t>
        </is>
      </c>
      <c r="D1331" s="23" t="n">
        <v>5</v>
      </c>
      <c r="E1331" s="24" t="n">
        <v>5</v>
      </c>
      <c r="F1331" s="24">
        <f>D1331*E1331</f>
        <v/>
      </c>
      <c r="G1331" s="22" t="n"/>
    </row>
    <row r="1332">
      <c r="A1332" s="22" t="inlineStr">
        <is>
          <t>2616</t>
        </is>
      </c>
      <c r="B1332" s="11" t="inlineStr">
        <is>
          <t>GI flashing - 1.2 mm Thick</t>
        </is>
      </c>
      <c r="C1332" s="22" t="inlineStr">
        <is>
          <t>kg</t>
        </is>
      </c>
      <c r="D1332" s="23" t="n">
        <v>4</v>
      </c>
      <c r="E1332" s="24" t="n">
        <v>59</v>
      </c>
      <c r="F1332" s="24">
        <f>D1332*E1332</f>
        <v/>
      </c>
      <c r="G1332" s="22" t="n"/>
    </row>
    <row r="1333">
      <c r="A1333" s="22" t="inlineStr">
        <is>
          <t>2631</t>
        </is>
      </c>
      <c r="B1333" s="11" t="inlineStr">
        <is>
          <t>4 mm thick ACP</t>
        </is>
      </c>
      <c r="C1333" s="22" t="inlineStr">
        <is>
          <t>sqm</t>
        </is>
      </c>
      <c r="D1333" s="23" t="n">
        <v>7.06</v>
      </c>
      <c r="E1333" s="24" t="n">
        <v>1100</v>
      </c>
      <c r="F1333" s="24">
        <f>D1333*E1333</f>
        <v/>
      </c>
      <c r="G1333" s="22" t="n"/>
    </row>
    <row r="1334">
      <c r="A1334" s="22" t="inlineStr">
        <is>
          <t>9999</t>
        </is>
      </c>
      <c r="B1334" s="11" t="inlineStr">
        <is>
          <t>Sundries</t>
        </is>
      </c>
      <c r="C1334" s="22" t="inlineStr">
        <is>
          <t>L.S.</t>
        </is>
      </c>
      <c r="D1334" s="23" t="n">
        <v>451</v>
      </c>
      <c r="E1334" s="24" t="n">
        <v>2</v>
      </c>
      <c r="F1334" s="24">
        <f>D1334*E1334</f>
        <v/>
      </c>
      <c r="G1334" s="22" t="n"/>
    </row>
    <row r="1335">
      <c r="A1335" s="22" t="inlineStr">
        <is>
          <t>9999</t>
        </is>
      </c>
      <c r="B1335" s="11" t="inlineStr">
        <is>
          <t>Sundries (For Fabrication)</t>
        </is>
      </c>
      <c r="C1335" s="22" t="inlineStr">
        <is>
          <t>L.S.</t>
        </is>
      </c>
      <c r="D1335" s="23" t="n">
        <v>1895.3</v>
      </c>
      <c r="E1335" s="24" t="n">
        <v>2</v>
      </c>
      <c r="F1335" s="24">
        <f>D1335*E1335</f>
        <v/>
      </c>
      <c r="G1335" s="22" t="n"/>
    </row>
    <row r="1336">
      <c r="A1336" s="22" t="inlineStr">
        <is>
          <t>9999</t>
        </is>
      </c>
      <c r="B1336" s="11" t="inlineStr">
        <is>
          <t>Sundries (For Installation)</t>
        </is>
      </c>
      <c r="C1336" s="22" t="inlineStr">
        <is>
          <t>L.S.</t>
        </is>
      </c>
      <c r="D1336" s="23" t="n">
        <v>1895.3</v>
      </c>
      <c r="E1336" s="24" t="n">
        <v>2</v>
      </c>
      <c r="F1336" s="24">
        <f>D1336*E1336</f>
        <v/>
      </c>
      <c r="G1336" s="22" t="n"/>
    </row>
    <row r="1337">
      <c r="A1337" s="22" t="inlineStr">
        <is>
          <t>9999</t>
        </is>
      </c>
      <c r="B1337" s="11" t="inlineStr">
        <is>
          <t>Sundries (Scaffolding / Loading / Unloading)</t>
        </is>
      </c>
      <c r="C1337" s="22" t="inlineStr">
        <is>
          <t>L.S.</t>
        </is>
      </c>
      <c r="D1337" s="23" t="n">
        <v>602.25</v>
      </c>
      <c r="E1337" s="24" t="n">
        <v>2</v>
      </c>
      <c r="F1337" s="24">
        <f>D1337*E1337</f>
        <v/>
      </c>
      <c r="G1337" s="22" t="n"/>
    </row>
    <row r="1338">
      <c r="A1338" s="22" t="inlineStr">
        <is>
          <t>9999</t>
        </is>
      </c>
      <c r="B1338" s="11" t="inlineStr">
        <is>
          <t>Sundries (Transporation)</t>
        </is>
      </c>
      <c r="C1338" s="22" t="inlineStr">
        <is>
          <t>L.S.</t>
        </is>
      </c>
      <c r="D1338" s="23" t="n">
        <v>473.83</v>
      </c>
      <c r="E1338" s="24" t="n">
        <v>2</v>
      </c>
      <c r="F1338" s="24">
        <f>D1338*E1338</f>
        <v/>
      </c>
      <c r="G1338" s="22" t="n"/>
    </row>
    <row r="1339">
      <c r="A1339" s="22" t="inlineStr">
        <is>
          <t>9999</t>
        </is>
      </c>
      <c r="B1339" s="11" t="inlineStr">
        <is>
          <t>Sundries (Designing charges etc.)</t>
        </is>
      </c>
      <c r="C1339" s="22" t="inlineStr">
        <is>
          <t>L.S.</t>
        </is>
      </c>
      <c r="D1339" s="23" t="n">
        <v>328.15</v>
      </c>
      <c r="E1339" s="24" t="n">
        <v>2</v>
      </c>
      <c r="F1339" s="24">
        <f>D1339*E1339</f>
        <v/>
      </c>
      <c r="G1339" s="22" t="n"/>
    </row>
    <row r="1340">
      <c r="A1340" s="8" t="inlineStr">
        <is>
          <t>Calculated W - SUM of the Amount column above</t>
        </is>
      </c>
      <c r="B1340" s="9" t="n"/>
      <c r="C1340" s="9" t="n"/>
      <c r="D1340" s="9" t="n"/>
      <c r="E1340" s="9" t="n"/>
      <c r="F1340" s="25">
        <f>SUM(F1323:F1339)</f>
        <v/>
      </c>
      <c r="G1340" s="9" t="n"/>
    </row>
    <row r="1341">
      <c r="A1341" s="26" t="inlineStr">
        <is>
          <t>W as printed in the DAR</t>
        </is>
      </c>
      <c r="B1341" s="22" t="n"/>
      <c r="C1341" s="22" t="n"/>
      <c r="D1341" s="22" t="n"/>
      <c r="E1341" s="22" t="n"/>
      <c r="F1341" s="27" t="n">
        <v>21646.66</v>
      </c>
      <c r="G1341" s="22" t="n"/>
    </row>
    <row r="1342">
      <c r="A1342" s="26" t="inlineStr">
        <is>
          <t>Difference (calculated - printed)</t>
        </is>
      </c>
      <c r="B1342" s="22" t="n"/>
      <c r="C1342" s="22" t="n"/>
      <c r="D1342" s="22" t="n"/>
      <c r="E1342" s="22" t="n"/>
      <c r="F1342" s="27">
        <f>F1340-F1341</f>
        <v/>
      </c>
      <c r="G1342" s="22" t="n"/>
    </row>
    <row r="1343">
      <c r="A1343" s="29" t="inlineStr">
        <is>
          <t>SAY (Rs.) - final DAR rate as printed (fixed value, not computed)</t>
        </is>
      </c>
      <c r="B1343" s="30" t="n"/>
      <c r="C1343" s="30" t="n"/>
      <c r="D1343" s="30" t="n"/>
      <c r="E1343" s="30" t="n"/>
      <c r="F1343" s="31" t="n">
        <v>4309.8</v>
      </c>
      <c r="G1343" s="30" t="n"/>
    </row>
  </sheetData>
  <mergeCells count="522">
    <mergeCell ref="B1029:G1029"/>
    <mergeCell ref="A1055:E1055"/>
    <mergeCell ref="A802:G802"/>
    <mergeCell ref="A869:E869"/>
    <mergeCell ref="B82:G82"/>
    <mergeCell ref="A79:E79"/>
    <mergeCell ref="A1221:G1221"/>
    <mergeCell ref="B217:G217"/>
    <mergeCell ref="A310:G310"/>
    <mergeCell ref="A1169:E1169"/>
    <mergeCell ref="B65:G65"/>
    <mergeCell ref="A137:E137"/>
    <mergeCell ref="A379:E379"/>
    <mergeCell ref="B1118:G1118"/>
    <mergeCell ref="A640:E640"/>
    <mergeCell ref="A1131:E1131"/>
    <mergeCell ref="A935:E935"/>
    <mergeCell ref="A1027:E1027"/>
    <mergeCell ref="A406:E406"/>
    <mergeCell ref="A1002:E1002"/>
    <mergeCell ref="A185:E185"/>
    <mergeCell ref="A153:G153"/>
    <mergeCell ref="A1133:E1133"/>
    <mergeCell ref="A483:E483"/>
    <mergeCell ref="A768:E768"/>
    <mergeCell ref="A1004:E1004"/>
    <mergeCell ref="A43:E43"/>
    <mergeCell ref="A776:G776"/>
    <mergeCell ref="A63:E63"/>
    <mergeCell ref="A770:E770"/>
    <mergeCell ref="B1136:G1136"/>
    <mergeCell ref="B248:G248"/>
    <mergeCell ref="A1155:G1155"/>
    <mergeCell ref="A1149:E1149"/>
    <mergeCell ref="A261:E261"/>
    <mergeCell ref="A795:E795"/>
    <mergeCell ref="A138:E138"/>
    <mergeCell ref="B670:G670"/>
    <mergeCell ref="A915:E915"/>
    <mergeCell ref="A1086:E1086"/>
    <mergeCell ref="A430:E430"/>
    <mergeCell ref="A1151:E1151"/>
    <mergeCell ref="A561:E561"/>
    <mergeCell ref="B436:G436"/>
    <mergeCell ref="A846:E846"/>
    <mergeCell ref="A196:E196"/>
    <mergeCell ref="A1088:E1088"/>
    <mergeCell ref="A560:E560"/>
    <mergeCell ref="A1215:E1215"/>
    <mergeCell ref="B1237:G1237"/>
    <mergeCell ref="A1315:E1315"/>
    <mergeCell ref="A183:E183"/>
    <mergeCell ref="A354:E354"/>
    <mergeCell ref="A796:E796"/>
    <mergeCell ref="A717:E717"/>
    <mergeCell ref="A568:G568"/>
    <mergeCell ref="A198:E198"/>
    <mergeCell ref="A1317:E1317"/>
    <mergeCell ref="A667:E667"/>
    <mergeCell ref="A1096:E1096"/>
    <mergeCell ref="A334:G334"/>
    <mergeCell ref="A1:G1"/>
    <mergeCell ref="A719:E719"/>
    <mergeCell ref="A1098:E1098"/>
    <mergeCell ref="A147:E147"/>
    <mergeCell ref="A280:E280"/>
    <mergeCell ref="A743:E743"/>
    <mergeCell ref="A432:E432"/>
    <mergeCell ref="B247:G247"/>
    <mergeCell ref="B385:G385"/>
    <mergeCell ref="A966:E966"/>
    <mergeCell ref="A211:E211"/>
    <mergeCell ref="A534:E534"/>
    <mergeCell ref="A509:E509"/>
    <mergeCell ref="A1264:E1264"/>
    <mergeCell ref="B231:G231"/>
    <mergeCell ref="A186:E186"/>
    <mergeCell ref="A1183:E1183"/>
    <mergeCell ref="A794:E794"/>
    <mergeCell ref="A536:E536"/>
    <mergeCell ref="A511:E511"/>
    <mergeCell ref="A1076:E1076"/>
    <mergeCell ref="A1044:G1044"/>
    <mergeCell ref="A957:G957"/>
    <mergeCell ref="B747:G747"/>
    <mergeCell ref="B84:G84"/>
    <mergeCell ref="B618:G618"/>
    <mergeCell ref="A158:E158"/>
    <mergeCell ref="A867:E867"/>
    <mergeCell ref="B384:G384"/>
    <mergeCell ref="A1321:G1321"/>
    <mergeCell ref="A562:E562"/>
    <mergeCell ref="A360:G360"/>
    <mergeCell ref="B905:G905"/>
    <mergeCell ref="A160:E160"/>
    <mergeCell ref="B1203:G1203"/>
    <mergeCell ref="A1167:E1167"/>
    <mergeCell ref="A135:E135"/>
    <mergeCell ref="A1265:E1265"/>
    <mergeCell ref="A433:E433"/>
    <mergeCell ref="B671:G671"/>
    <mergeCell ref="A868:E868"/>
    <mergeCell ref="B969:G969"/>
    <mergeCell ref="A849:E849"/>
    <mergeCell ref="A199:E199"/>
    <mergeCell ref="A1025:E1025"/>
    <mergeCell ref="A940:G940"/>
    <mergeCell ref="A1103:G1103"/>
    <mergeCell ref="A386:G386"/>
    <mergeCell ref="B852:G852"/>
    <mergeCell ref="A61:E61"/>
    <mergeCell ref="B333:G333"/>
    <mergeCell ref="B697:G697"/>
    <mergeCell ref="A1205:G1205"/>
    <mergeCell ref="B989:G989"/>
    <mergeCell ref="B28:G28"/>
    <mergeCell ref="B99:G99"/>
    <mergeCell ref="A971:G971"/>
    <mergeCell ref="A212:E212"/>
    <mergeCell ref="A1038:E1038"/>
    <mergeCell ref="A277:E277"/>
    <mergeCell ref="B1320:G1320"/>
    <mergeCell ref="A1115:E1115"/>
    <mergeCell ref="A214:E214"/>
    <mergeCell ref="A306:E306"/>
    <mergeCell ref="B265:G265"/>
    <mergeCell ref="B1091:G1091"/>
    <mergeCell ref="A7:G7"/>
    <mergeCell ref="B176:G176"/>
    <mergeCell ref="A828:G828"/>
    <mergeCell ref="B539:G539"/>
    <mergeCell ref="A1168:E1168"/>
    <mergeCell ref="A797:E797"/>
    <mergeCell ref="B1269:G1269"/>
    <mergeCell ref="A1039:E1039"/>
    <mergeCell ref="A1026:E1026"/>
    <mergeCell ref="A1097:E1097"/>
    <mergeCell ref="B1287:G1287"/>
    <mergeCell ref="A990:G990"/>
    <mergeCell ref="B463:G463"/>
    <mergeCell ref="B359:G359"/>
    <mergeCell ref="A750:G750"/>
    <mergeCell ref="A823:E823"/>
    <mergeCell ref="A1271:G1271"/>
    <mergeCell ref="A516:G516"/>
    <mergeCell ref="B1303:G1303"/>
    <mergeCell ref="B100:G100"/>
    <mergeCell ref="B1153:G1153"/>
    <mergeCell ref="A327:E327"/>
    <mergeCell ref="B1090:G1090"/>
    <mergeCell ref="B202:G202"/>
    <mergeCell ref="A889:E889"/>
    <mergeCell ref="A1254:G1254"/>
    <mergeCell ref="A612:E612"/>
    <mergeCell ref="A1054:E1054"/>
    <mergeCell ref="A293:E293"/>
    <mergeCell ref="A1041:E1041"/>
    <mergeCell ref="A1217:E1217"/>
    <mergeCell ref="A820:E820"/>
    <mergeCell ref="A234:G234"/>
    <mergeCell ref="A912:E912"/>
    <mergeCell ref="A328:E328"/>
    <mergeCell ref="A983:E983"/>
    <mergeCell ref="A1281:E1281"/>
    <mergeCell ref="A691:E691"/>
    <mergeCell ref="A542:G542"/>
    <mergeCell ref="A594:G594"/>
    <mergeCell ref="A457:E457"/>
    <mergeCell ref="A102:G102"/>
    <mergeCell ref="B128:G128"/>
    <mergeCell ref="B49:G49"/>
    <mergeCell ref="B695:G695"/>
    <mergeCell ref="A1065:E1065"/>
    <mergeCell ref="B50:G50"/>
    <mergeCell ref="A902:E902"/>
    <mergeCell ref="A508:E508"/>
    <mergeCell ref="B851:G851"/>
    <mergeCell ref="A744:E744"/>
    <mergeCell ref="A404:E404"/>
    <mergeCell ref="A1113:E1113"/>
    <mergeCell ref="B27:G27"/>
    <mergeCell ref="A170:E170"/>
    <mergeCell ref="B1069:G1069"/>
    <mergeCell ref="A219:G219"/>
    <mergeCell ref="A226:E226"/>
    <mergeCell ref="B644:G644"/>
    <mergeCell ref="B116:G116"/>
    <mergeCell ref="A228:E228"/>
    <mergeCell ref="A933:E933"/>
    <mergeCell ref="B643:G643"/>
    <mergeCell ref="A172:E172"/>
    <mergeCell ref="B410:G410"/>
    <mergeCell ref="A1231:E1231"/>
    <mergeCell ref="A292:E292"/>
    <mergeCell ref="A1283:E1283"/>
    <mergeCell ref="A1233:E1233"/>
    <mergeCell ref="A984:E984"/>
    <mergeCell ref="A1282:E1282"/>
    <mergeCell ref="A934:E934"/>
    <mergeCell ref="A890:E890"/>
    <mergeCell ref="A1284:E1284"/>
    <mergeCell ref="B129:G129"/>
    <mergeCell ref="B1253:G1253"/>
    <mergeCell ref="A118:G118"/>
    <mergeCell ref="A125:E125"/>
    <mergeCell ref="A1137:G1137"/>
    <mergeCell ref="B357:G357"/>
    <mergeCell ref="A112:E112"/>
    <mergeCell ref="B721:G721"/>
    <mergeCell ref="B826:G826"/>
    <mergeCell ref="A1075:E1075"/>
    <mergeCell ref="B592:G592"/>
    <mergeCell ref="A114:E114"/>
    <mergeCell ref="B567:G567"/>
    <mergeCell ref="B1319:G1319"/>
    <mergeCell ref="A952:E952"/>
    <mergeCell ref="B358:G358"/>
    <mergeCell ref="B827:G827"/>
    <mergeCell ref="A29:G29"/>
    <mergeCell ref="A1114:E1114"/>
    <mergeCell ref="B1079:G1079"/>
    <mergeCell ref="A1150:E1150"/>
    <mergeCell ref="A870:E870"/>
    <mergeCell ref="A1116:E1116"/>
    <mergeCell ref="A894:G894"/>
    <mergeCell ref="A1059:G1059"/>
    <mergeCell ref="B1154:G1154"/>
    <mergeCell ref="B216:G216"/>
    <mergeCell ref="A242:E242"/>
    <mergeCell ref="B645:G645"/>
    <mergeCell ref="B188:G188"/>
    <mergeCell ref="B1008:G1008"/>
    <mergeCell ref="A177:G177"/>
    <mergeCell ref="B218:G218"/>
    <mergeCell ref="A1005:E1005"/>
    <mergeCell ref="B411:G411"/>
    <mergeCell ref="A244:E244"/>
    <mergeCell ref="A164:G164"/>
    <mergeCell ref="B774:G774"/>
    <mergeCell ref="A262:E262"/>
    <mergeCell ref="A62:E62"/>
    <mergeCell ref="B801:G801"/>
    <mergeCell ref="B488:G488"/>
    <mergeCell ref="A771:E771"/>
    <mergeCell ref="B1187:G1187"/>
    <mergeCell ref="B282:G282"/>
    <mergeCell ref="A1063:E1063"/>
    <mergeCell ref="A1234:E1234"/>
    <mergeCell ref="B48:G48"/>
    <mergeCell ref="B1101:G1101"/>
    <mergeCell ref="B437:G437"/>
    <mergeCell ref="A68:G68"/>
    <mergeCell ref="A190:G190"/>
    <mergeCell ref="B1119:G1119"/>
    <mergeCell ref="A724:G724"/>
    <mergeCell ref="B308:G308"/>
    <mergeCell ref="A718:E718"/>
    <mergeCell ref="A954:E954"/>
    <mergeCell ref="B593:G593"/>
    <mergeCell ref="A490:G490"/>
    <mergeCell ref="B956:G956"/>
    <mergeCell ref="B201:G201"/>
    <mergeCell ref="A484:E484"/>
    <mergeCell ref="A891:E891"/>
    <mergeCell ref="A136:E136"/>
    <mergeCell ref="A21:E21"/>
    <mergeCell ref="A847:E847"/>
    <mergeCell ref="A1316:E1316"/>
    <mergeCell ref="A113:E113"/>
    <mergeCell ref="B5:G5"/>
    <mergeCell ref="B722:G722"/>
    <mergeCell ref="B893:G893"/>
    <mergeCell ref="A586:E586"/>
    <mergeCell ref="B203:G203"/>
    <mergeCell ref="A23:E23"/>
    <mergeCell ref="B232:G232"/>
    <mergeCell ref="A665:E665"/>
    <mergeCell ref="A932:E932"/>
    <mergeCell ref="B513:G513"/>
    <mergeCell ref="A510:E510"/>
    <mergeCell ref="A875:G875"/>
    <mergeCell ref="B152:G152"/>
    <mergeCell ref="A1238:G1238"/>
    <mergeCell ref="A352:E352"/>
    <mergeCell ref="B748:G748"/>
    <mergeCell ref="A639:E639"/>
    <mergeCell ref="B514:G514"/>
    <mergeCell ref="B283:G283"/>
    <mergeCell ref="A1304:G1304"/>
    <mergeCell ref="A78:E78"/>
    <mergeCell ref="A1199:E1199"/>
    <mergeCell ref="A80:E80"/>
    <mergeCell ref="A378:E378"/>
    <mergeCell ref="A1074:E1074"/>
    <mergeCell ref="A1166:E1166"/>
    <mergeCell ref="B163:G163"/>
    <mergeCell ref="B309:G309"/>
    <mergeCell ref="B1135:G1135"/>
    <mergeCell ref="A1081:G1081"/>
    <mergeCell ref="A563:E563"/>
    <mergeCell ref="B140:G140"/>
    <mergeCell ref="A848:E848"/>
    <mergeCell ref="A329:E329"/>
    <mergeCell ref="A24:E24"/>
    <mergeCell ref="A1148:E1148"/>
    <mergeCell ref="A260:E260"/>
    <mergeCell ref="A60:E60"/>
    <mergeCell ref="A431:E431"/>
    <mergeCell ref="B669:G669"/>
    <mergeCell ref="A1085:E1085"/>
    <mergeCell ref="A197:E197"/>
    <mergeCell ref="A124:E124"/>
    <mergeCell ref="A672:G672"/>
    <mergeCell ref="A1030:G1030"/>
    <mergeCell ref="B565:G565"/>
    <mergeCell ref="A149:E149"/>
    <mergeCell ref="B266:G266"/>
    <mergeCell ref="B1043:G1043"/>
    <mergeCell ref="B1219:G1219"/>
    <mergeCell ref="B331:G331"/>
    <mergeCell ref="B825:G825"/>
    <mergeCell ref="B800:G800"/>
    <mergeCell ref="A213:E213"/>
    <mergeCell ref="A1099:E1099"/>
    <mergeCell ref="B1058:G1058"/>
    <mergeCell ref="B26:G26"/>
    <mergeCell ref="A1185:E1185"/>
    <mergeCell ref="B591:G591"/>
    <mergeCell ref="B566:G566"/>
    <mergeCell ref="A150:E150"/>
    <mergeCell ref="A951:E951"/>
    <mergeCell ref="A1249:E1249"/>
    <mergeCell ref="A698:G698"/>
    <mergeCell ref="A953:E953"/>
    <mergeCell ref="A1251:E1251"/>
    <mergeCell ref="A464:G464"/>
    <mergeCell ref="B1270:G1270"/>
    <mergeCell ref="A141:G141"/>
    <mergeCell ref="A291:E291"/>
    <mergeCell ref="A589:E589"/>
    <mergeCell ref="A241:E241"/>
    <mergeCell ref="A355:E355"/>
    <mergeCell ref="B619:G619"/>
    <mergeCell ref="B988:G988"/>
    <mergeCell ref="A305:E305"/>
    <mergeCell ref="B540:G540"/>
    <mergeCell ref="A243:E243"/>
    <mergeCell ref="B83:G83"/>
    <mergeCell ref="B1080:G1080"/>
    <mergeCell ref="A664:E664"/>
    <mergeCell ref="A1087:E1087"/>
    <mergeCell ref="A381:E381"/>
    <mergeCell ref="B775:G775"/>
    <mergeCell ref="B1204:G1204"/>
    <mergeCell ref="B383:G383"/>
    <mergeCell ref="A666:E666"/>
    <mergeCell ref="A964:E964"/>
    <mergeCell ref="A1024:E1024"/>
    <mergeCell ref="B541:G541"/>
    <mergeCell ref="A1266:E1266"/>
    <mergeCell ref="A1200:E1200"/>
    <mergeCell ref="B970:G970"/>
    <mergeCell ref="A1182:E1182"/>
    <mergeCell ref="B1057:G1057"/>
    <mergeCell ref="B1220:G1220"/>
    <mergeCell ref="B332:G332"/>
    <mergeCell ref="A1053:E1053"/>
    <mergeCell ref="A1288:G1288"/>
    <mergeCell ref="A742:E742"/>
    <mergeCell ref="A85:G85"/>
    <mergeCell ref="B872:G872"/>
    <mergeCell ref="A913:E913"/>
    <mergeCell ref="A1040:E1040"/>
    <mergeCell ref="A1184:E1184"/>
    <mergeCell ref="B617:G617"/>
    <mergeCell ref="A279:E279"/>
    <mergeCell ref="B937:G937"/>
    <mergeCell ref="A692:E692"/>
    <mergeCell ref="B853:G853"/>
    <mergeCell ref="B461:G461"/>
    <mergeCell ref="A45:E45"/>
    <mergeCell ref="A94:E94"/>
    <mergeCell ref="B175:G175"/>
    <mergeCell ref="A458:E458"/>
    <mergeCell ref="A1340:E1340"/>
    <mergeCell ref="B917:G917"/>
    <mergeCell ref="A821:E821"/>
    <mergeCell ref="B696:G696"/>
    <mergeCell ref="A1342:E1342"/>
    <mergeCell ref="A46:E46"/>
    <mergeCell ref="B189:G189"/>
    <mergeCell ref="B487:G487"/>
    <mergeCell ref="A405:E405"/>
    <mergeCell ref="A641:E641"/>
    <mergeCell ref="A380:E380"/>
    <mergeCell ref="A184:E184"/>
    <mergeCell ref="A1132:E1132"/>
    <mergeCell ref="A171:E171"/>
    <mergeCell ref="A613:E613"/>
    <mergeCell ref="B264:G264"/>
    <mergeCell ref="B295:G295"/>
    <mergeCell ref="A407:E407"/>
    <mergeCell ref="A901:E901"/>
    <mergeCell ref="A1092:G1092"/>
    <mergeCell ref="B749:G749"/>
    <mergeCell ref="B409:G409"/>
    <mergeCell ref="A173:E173"/>
    <mergeCell ref="A229:E229"/>
    <mergeCell ref="A965:E965"/>
    <mergeCell ref="A77:E77"/>
    <mergeCell ref="A769:E769"/>
    <mergeCell ref="A148:E148"/>
    <mergeCell ref="A903:E903"/>
    <mergeCell ref="A1173:G1173"/>
    <mergeCell ref="A1201:E1201"/>
    <mergeCell ref="B101:G101"/>
    <mergeCell ref="A967:E967"/>
    <mergeCell ref="B874:G874"/>
    <mergeCell ref="B1007:G1007"/>
    <mergeCell ref="B1172:G1172"/>
    <mergeCell ref="B246:G246"/>
    <mergeCell ref="A1267:E1267"/>
    <mergeCell ref="B1286:G1286"/>
    <mergeCell ref="A284:G284"/>
    <mergeCell ref="B938:G938"/>
    <mergeCell ref="A326:E326"/>
    <mergeCell ref="B1236:G1236"/>
    <mergeCell ref="A587:E587"/>
    <mergeCell ref="A1120:G1120"/>
    <mergeCell ref="B462:G462"/>
    <mergeCell ref="A745:E745"/>
    <mergeCell ref="A95:E95"/>
    <mergeCell ref="A1341:E1341"/>
    <mergeCell ref="A822:E822"/>
    <mergeCell ref="A303:E303"/>
    <mergeCell ref="A1300:E1300"/>
    <mergeCell ref="A159:E159"/>
    <mergeCell ref="B873:G873"/>
    <mergeCell ref="A97:E97"/>
    <mergeCell ref="A985:E985"/>
    <mergeCell ref="A290:E290"/>
    <mergeCell ref="A1216:E1216"/>
    <mergeCell ref="A1343:E1343"/>
    <mergeCell ref="A588:E588"/>
    <mergeCell ref="A693:E693"/>
    <mergeCell ref="A96:E96"/>
    <mergeCell ref="B66:G66"/>
    <mergeCell ref="A161:E161"/>
    <mergeCell ref="A459:E459"/>
    <mergeCell ref="A1009:G1009"/>
    <mergeCell ref="A297:G297"/>
    <mergeCell ref="B117:G117"/>
    <mergeCell ref="B67:G67"/>
    <mergeCell ref="A1232:E1232"/>
    <mergeCell ref="A615:E615"/>
    <mergeCell ref="A123:E123"/>
    <mergeCell ref="A900:E900"/>
    <mergeCell ref="A1198:E1198"/>
    <mergeCell ref="A614:E614"/>
    <mergeCell ref="A906:G906"/>
    <mergeCell ref="A535:E535"/>
    <mergeCell ref="A485:E485"/>
    <mergeCell ref="A690:E690"/>
    <mergeCell ref="A130:G130"/>
    <mergeCell ref="A914:E914"/>
    <mergeCell ref="A1298:E1298"/>
    <mergeCell ref="A537:E537"/>
    <mergeCell ref="A456:E456"/>
    <mergeCell ref="A1189:G1189"/>
    <mergeCell ref="A1052:E1052"/>
    <mergeCell ref="B773:G773"/>
    <mergeCell ref="A278:E278"/>
    <mergeCell ref="A22:E22"/>
    <mergeCell ref="A1064:E1064"/>
    <mergeCell ref="B939:G939"/>
    <mergeCell ref="A2:G2"/>
    <mergeCell ref="B1102:G1102"/>
    <mergeCell ref="A44:E44"/>
    <mergeCell ref="A1066:E1066"/>
    <mergeCell ref="B1068:G1068"/>
    <mergeCell ref="A1003:E1003"/>
    <mergeCell ref="A888:E888"/>
    <mergeCell ref="A304:E304"/>
    <mergeCell ref="A1130:E1130"/>
    <mergeCell ref="A1301:E1301"/>
    <mergeCell ref="A986:E986"/>
    <mergeCell ref="A638:E638"/>
    <mergeCell ref="B799:G799"/>
    <mergeCell ref="A646:G646"/>
    <mergeCell ref="A227:E227"/>
    <mergeCell ref="A249:G249"/>
    <mergeCell ref="B515:G515"/>
    <mergeCell ref="A412:G412"/>
    <mergeCell ref="A854:G854"/>
    <mergeCell ref="A51:G51"/>
    <mergeCell ref="B723:G723"/>
    <mergeCell ref="B6:G6"/>
    <mergeCell ref="A620:G620"/>
    <mergeCell ref="A918:G918"/>
    <mergeCell ref="B296:G296"/>
    <mergeCell ref="A1070:G1070"/>
    <mergeCell ref="B489:G489"/>
    <mergeCell ref="A1077:E1077"/>
    <mergeCell ref="A1248:E1248"/>
    <mergeCell ref="B4:G4"/>
    <mergeCell ref="B1188:G1188"/>
    <mergeCell ref="A716:E716"/>
    <mergeCell ref="B233:G233"/>
    <mergeCell ref="A1214:E1214"/>
    <mergeCell ref="A126:E126"/>
    <mergeCell ref="A259:E259"/>
    <mergeCell ref="A1250:E1250"/>
    <mergeCell ref="A1299:E1299"/>
    <mergeCell ref="A482:E482"/>
    <mergeCell ref="A267:G267"/>
    <mergeCell ref="A438:G438"/>
    <mergeCell ref="B435:G435"/>
    <mergeCell ref="B1171:G1171"/>
    <mergeCell ref="A1314:E1314"/>
    <mergeCell ref="A111:E111"/>
    <mergeCell ref="A353:E353"/>
    <mergeCell ref="A204:G204"/>
  </mergeCells>
  <conditionalFormatting sqref="F23 F45 F62 F79 F96 F113 F125 F137 F149 F160 F172 F185 F198 F213 F228 F243 F261 F279 F292 F305 F328 F354 F380 F406 F432 F458 F484 F510 F536 F562 F588 F614 F640 F666 F692 F718 F744 F770 F796 F822 F848 F869 F890 F902 F914 F934 F953 F966 F985 F1004 F1026 F1040 F1054 F1065 F1076 F1087 F1098 F1115 F1132 F1150 F1168 F1184 F1200 F1216 F1233 F1250 F1266 F1283 F1300 F1316 F1342">
    <cfRule type="cellIs" priority="1" operator="notBetween" dxfId="0">
      <formula>-0.05</formula>
      <formula>0.05</formula>
    </cfRule>
  </conditionalFormatting>
  <hyperlinks>
    <hyperlink xmlns:r="http://schemas.openxmlformats.org/officeDocument/2006/relationships" ref="A11" r:id="rId1"/>
    <hyperlink xmlns:r="http://schemas.openxmlformats.org/officeDocument/2006/relationships" ref="A12" r:id="rId2"/>
    <hyperlink xmlns:r="http://schemas.openxmlformats.org/officeDocument/2006/relationships" ref="A33" r:id="rId3"/>
    <hyperlink xmlns:r="http://schemas.openxmlformats.org/officeDocument/2006/relationships" ref="A34" r:id="rId4"/>
    <hyperlink xmlns:r="http://schemas.openxmlformats.org/officeDocument/2006/relationships" ref="A54" r:id="rId5"/>
    <hyperlink xmlns:r="http://schemas.openxmlformats.org/officeDocument/2006/relationships" ref="A71" r:id="rId6"/>
    <hyperlink xmlns:r="http://schemas.openxmlformats.org/officeDocument/2006/relationships" ref="A88" r:id="rId7"/>
    <hyperlink xmlns:r="http://schemas.openxmlformats.org/officeDocument/2006/relationships" ref="A105" r:id="rId8"/>
    <hyperlink xmlns:r="http://schemas.openxmlformats.org/officeDocument/2006/relationships" ref="A146" r:id="rId9"/>
    <hyperlink xmlns:r="http://schemas.openxmlformats.org/officeDocument/2006/relationships" ref="A181" r:id="rId10"/>
    <hyperlink xmlns:r="http://schemas.openxmlformats.org/officeDocument/2006/relationships" ref="A194" r:id="rId11"/>
    <hyperlink xmlns:r="http://schemas.openxmlformats.org/officeDocument/2006/relationships" ref="A253" r:id="rId12"/>
    <hyperlink xmlns:r="http://schemas.openxmlformats.org/officeDocument/2006/relationships" ref="A271" r:id="rId13"/>
    <hyperlink xmlns:r="http://schemas.openxmlformats.org/officeDocument/2006/relationships" ref="A314" r:id="rId14"/>
    <hyperlink xmlns:r="http://schemas.openxmlformats.org/officeDocument/2006/relationships" ref="A351" r:id="rId15"/>
    <hyperlink xmlns:r="http://schemas.openxmlformats.org/officeDocument/2006/relationships" ref="A377" r:id="rId16"/>
    <hyperlink xmlns:r="http://schemas.openxmlformats.org/officeDocument/2006/relationships" ref="A403" r:id="rId17"/>
    <hyperlink xmlns:r="http://schemas.openxmlformats.org/officeDocument/2006/relationships" ref="A429" r:id="rId18"/>
    <hyperlink xmlns:r="http://schemas.openxmlformats.org/officeDocument/2006/relationships" ref="A455" r:id="rId19"/>
    <hyperlink xmlns:r="http://schemas.openxmlformats.org/officeDocument/2006/relationships" ref="A481" r:id="rId20"/>
    <hyperlink xmlns:r="http://schemas.openxmlformats.org/officeDocument/2006/relationships" ref="A507" r:id="rId21"/>
    <hyperlink xmlns:r="http://schemas.openxmlformats.org/officeDocument/2006/relationships" ref="A533" r:id="rId22"/>
    <hyperlink xmlns:r="http://schemas.openxmlformats.org/officeDocument/2006/relationships" ref="A559" r:id="rId23"/>
    <hyperlink xmlns:r="http://schemas.openxmlformats.org/officeDocument/2006/relationships" ref="A585" r:id="rId24"/>
    <hyperlink xmlns:r="http://schemas.openxmlformats.org/officeDocument/2006/relationships" ref="A611" r:id="rId25"/>
    <hyperlink xmlns:r="http://schemas.openxmlformats.org/officeDocument/2006/relationships" ref="A637" r:id="rId26"/>
    <hyperlink xmlns:r="http://schemas.openxmlformats.org/officeDocument/2006/relationships" ref="A663" r:id="rId27"/>
    <hyperlink xmlns:r="http://schemas.openxmlformats.org/officeDocument/2006/relationships" ref="A689" r:id="rId28"/>
    <hyperlink xmlns:r="http://schemas.openxmlformats.org/officeDocument/2006/relationships" ref="A715" r:id="rId29"/>
    <hyperlink xmlns:r="http://schemas.openxmlformats.org/officeDocument/2006/relationships" ref="A741" r:id="rId30"/>
    <hyperlink xmlns:r="http://schemas.openxmlformats.org/officeDocument/2006/relationships" ref="A767" r:id="rId31"/>
    <hyperlink xmlns:r="http://schemas.openxmlformats.org/officeDocument/2006/relationships" ref="A793" r:id="rId32"/>
    <hyperlink xmlns:r="http://schemas.openxmlformats.org/officeDocument/2006/relationships" ref="A819" r:id="rId33"/>
    <hyperlink xmlns:r="http://schemas.openxmlformats.org/officeDocument/2006/relationships" ref="A845" r:id="rId34"/>
    <hyperlink xmlns:r="http://schemas.openxmlformats.org/officeDocument/2006/relationships" ref="A866" r:id="rId35"/>
    <hyperlink xmlns:r="http://schemas.openxmlformats.org/officeDocument/2006/relationships" ref="A887" r:id="rId36"/>
    <hyperlink xmlns:r="http://schemas.openxmlformats.org/officeDocument/2006/relationships" ref="A898" r:id="rId37"/>
    <hyperlink xmlns:r="http://schemas.openxmlformats.org/officeDocument/2006/relationships" ref="A910" r:id="rId38"/>
    <hyperlink xmlns:r="http://schemas.openxmlformats.org/officeDocument/2006/relationships" ref="A924" r:id="rId39"/>
    <hyperlink xmlns:r="http://schemas.openxmlformats.org/officeDocument/2006/relationships" ref="A944" r:id="rId40"/>
    <hyperlink xmlns:r="http://schemas.openxmlformats.org/officeDocument/2006/relationships" ref="A1013" r:id="rId41"/>
    <hyperlink xmlns:r="http://schemas.openxmlformats.org/officeDocument/2006/relationships" ref="A1048" r:id="rId42"/>
    <hyperlink xmlns:r="http://schemas.openxmlformats.org/officeDocument/2006/relationships" ref="A1308" r:id="rId4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417"/>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09: WOOD AND PVC WORK</t>
        </is>
      </c>
    </row>
    <row r="2" ht="28" customHeight="1">
      <c r="A2" s="16" t="inlineStr">
        <is>
          <t>355 priced items. Amount and Calculated W are live Excel formulas (Quantity x Rate, SUM); the printed W and SAY are the DAR's own figures. Edit any Quantity or Rate and the item's calculated W recalculates.</t>
        </is>
      </c>
    </row>
    <row r="4" ht="47.5" customHeight="1">
      <c r="A4" s="8" t="inlineStr">
        <is>
          <t>9.1</t>
        </is>
      </c>
      <c r="B4" s="17" t="inlineStr">
        <is>
          <t>Providing wood work in frames of doors, windows, clerestory windows and other frames, wrought framed and fixed in position with hold fast lugs or with dash fasteners of required dia &amp; length (hold fast lugs or dash fastener shall be paid for separately).</t>
        </is>
      </c>
      <c r="C4" s="9" t="n"/>
      <c r="D4" s="9" t="n"/>
      <c r="E4" s="9" t="n"/>
      <c r="F4" s="9" t="n"/>
      <c r="G4" s="9" t="n"/>
    </row>
    <row r="5" ht="18.5" customHeight="1">
      <c r="A5" s="18" t="inlineStr">
        <is>
          <t>9.1.1</t>
        </is>
      </c>
      <c r="B5" s="19" t="inlineStr">
        <is>
          <t>Second class teak wood</t>
        </is>
      </c>
      <c r="C5" s="20" t="n"/>
      <c r="D5" s="20" t="n"/>
      <c r="E5" s="20" t="n"/>
      <c r="F5" s="20" t="n"/>
      <c r="G5" s="20" t="n"/>
    </row>
    <row r="6">
      <c r="A6" s="21" t="inlineStr">
        <is>
          <t>Details of cost for 36 cudm   |   Source: CivilDAR_2019_Vol_1.pdf, page 428</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1189</t>
        </is>
      </c>
      <c r="B8" s="11" t="inlineStr">
        <is>
          <t>Second class teak wood in scantling</t>
        </is>
      </c>
      <c r="C8" s="22" t="inlineStr">
        <is>
          <t>10 cudm</t>
        </is>
      </c>
      <c r="D8" s="23" t="n">
        <v>3.8</v>
      </c>
      <c r="E8" s="24" t="n">
        <v>776</v>
      </c>
      <c r="F8" s="24">
        <f>D8*E8</f>
        <v/>
      </c>
      <c r="G8" s="22" t="n"/>
    </row>
    <row r="9">
      <c r="A9" s="22" t="inlineStr">
        <is>
          <t>2204</t>
        </is>
      </c>
      <c r="B9" s="11" t="inlineStr">
        <is>
          <t>Carriage of Timber</t>
        </is>
      </c>
      <c r="C9" s="22" t="inlineStr">
        <is>
          <t>cum</t>
        </is>
      </c>
      <c r="D9" s="23" t="n">
        <v>0.038</v>
      </c>
      <c r="E9" s="24" t="n">
        <v>118.59</v>
      </c>
      <c r="F9" s="24">
        <f>D9*E9</f>
        <v/>
      </c>
      <c r="G9" s="22" t="n"/>
    </row>
    <row r="10">
      <c r="A10" s="22" t="inlineStr">
        <is>
          <t>0156</t>
        </is>
      </c>
      <c r="B10" s="11" t="inlineStr">
        <is>
          <t>Carpenter (average)</t>
        </is>
      </c>
      <c r="C10" s="22" t="inlineStr">
        <is>
          <t>day</t>
        </is>
      </c>
      <c r="D10" s="23" t="n">
        <v>0.72</v>
      </c>
      <c r="E10" s="24" t="n">
        <v>709</v>
      </c>
      <c r="F10" s="24">
        <f>D10*E10</f>
        <v/>
      </c>
      <c r="G10" s="22" t="n"/>
    </row>
    <row r="11">
      <c r="A11" s="22" t="inlineStr">
        <is>
          <t>0114</t>
        </is>
      </c>
      <c r="B11" s="11" t="inlineStr">
        <is>
          <t>Beldar</t>
        </is>
      </c>
      <c r="C11" s="22" t="inlineStr">
        <is>
          <t>day</t>
        </is>
      </c>
      <c r="D11" s="23" t="n">
        <v>0.07000000000000001</v>
      </c>
      <c r="E11" s="24" t="n">
        <v>558</v>
      </c>
      <c r="F11" s="24">
        <f>D11*E11</f>
        <v/>
      </c>
      <c r="G11" s="22" t="n"/>
    </row>
    <row r="12">
      <c r="A12" s="8" t="inlineStr">
        <is>
          <t>Calculated W - SUM of the Amount column above</t>
        </is>
      </c>
      <c r="B12" s="9" t="n"/>
      <c r="C12" s="9" t="n"/>
      <c r="D12" s="9" t="n"/>
      <c r="E12" s="9" t="n"/>
      <c r="F12" s="25">
        <f>SUM(F8:F11)</f>
        <v/>
      </c>
      <c r="G12" s="9" t="n"/>
    </row>
    <row r="13">
      <c r="A13" s="26" t="inlineStr">
        <is>
          <t>W as printed in the DAR</t>
        </is>
      </c>
      <c r="B13" s="22" t="n"/>
      <c r="C13" s="22" t="n"/>
      <c r="D13" s="22" t="n"/>
      <c r="E13" s="22" t="n"/>
      <c r="F13" s="27" t="n">
        <v>3502.85</v>
      </c>
      <c r="G13" s="22" t="n"/>
    </row>
    <row r="14">
      <c r="A14" s="26" t="inlineStr">
        <is>
          <t>Difference (calculated - printed)</t>
        </is>
      </c>
      <c r="B14" s="22" t="n"/>
      <c r="C14" s="22" t="n"/>
      <c r="D14" s="22" t="n"/>
      <c r="E14" s="22" t="n"/>
      <c r="F14" s="27">
        <f>F12-F13</f>
        <v/>
      </c>
      <c r="G14" s="22" t="n"/>
    </row>
    <row r="15">
      <c r="A15" s="29" t="inlineStr">
        <is>
          <t>SAY (Rs.) - final DAR rate as printed (fixed value, not computed)</t>
        </is>
      </c>
      <c r="B15" s="30" t="n"/>
      <c r="C15" s="30" t="n"/>
      <c r="D15" s="30" t="n"/>
      <c r="E15" s="30" t="n"/>
      <c r="F15" s="31" t="n">
        <v>130183.05</v>
      </c>
      <c r="G15" s="30" t="n"/>
    </row>
    <row r="17" ht="47.5" customHeight="1">
      <c r="A17" s="8" t="inlineStr">
        <is>
          <t>9.1</t>
        </is>
      </c>
      <c r="B17" s="17" t="inlineStr">
        <is>
          <t>Providing wood work in frames of doors, windows, clerestory windows and other frames, wrought framed and fixed in position with hold fast lugs or with dash fasteners of required dia &amp; length (hold fast lugs or dash fastener shall be paid for separately).</t>
        </is>
      </c>
      <c r="C17" s="9" t="n"/>
      <c r="D17" s="9" t="n"/>
      <c r="E17" s="9" t="n"/>
      <c r="F17" s="9" t="n"/>
      <c r="G17" s="9" t="n"/>
    </row>
    <row r="18" ht="18.5" customHeight="1">
      <c r="A18" s="18" t="inlineStr">
        <is>
          <t>9.1.2</t>
        </is>
      </c>
      <c r="B18" s="19" t="inlineStr">
        <is>
          <t>Sal wood</t>
        </is>
      </c>
      <c r="C18" s="20" t="n"/>
      <c r="D18" s="20" t="n"/>
      <c r="E18" s="20" t="n"/>
      <c r="F18" s="20" t="n"/>
      <c r="G18" s="20" t="n"/>
    </row>
    <row r="19">
      <c r="A19" s="21" t="inlineStr">
        <is>
          <t>Details of cost for 36 cudm   |   Source: CivilDAR_2019_Vol_1.pdf, page 428</t>
        </is>
      </c>
    </row>
    <row r="20">
      <c r="A20" s="5" t="inlineStr">
        <is>
          <t>Code</t>
        </is>
      </c>
      <c r="B20" s="5" t="inlineStr">
        <is>
          <t>Description</t>
        </is>
      </c>
      <c r="C20" s="5" t="inlineStr">
        <is>
          <t>Unit</t>
        </is>
      </c>
      <c r="D20" s="5" t="inlineStr">
        <is>
          <t>Quantity</t>
        </is>
      </c>
      <c r="E20" s="5" t="inlineStr">
        <is>
          <t>Rate (Rs.)</t>
        </is>
      </c>
      <c r="F20" s="5" t="inlineStr">
        <is>
          <t>Amount (Rs.)</t>
        </is>
      </c>
      <c r="G20" s="5" t="inlineStr">
        <is>
          <t>Note</t>
        </is>
      </c>
    </row>
    <row r="21">
      <c r="A21" s="22" t="inlineStr">
        <is>
          <t>1199</t>
        </is>
      </c>
      <c r="B21" s="11" t="inlineStr">
        <is>
          <t>Sal wood in scantling</t>
        </is>
      </c>
      <c r="C21" s="22" t="inlineStr">
        <is>
          <t>10 cudm</t>
        </is>
      </c>
      <c r="D21" s="23" t="n">
        <v>3.8</v>
      </c>
      <c r="E21" s="24" t="n">
        <v>600</v>
      </c>
      <c r="F21" s="24">
        <f>D21*E21</f>
        <v/>
      </c>
      <c r="G21" s="22" t="n"/>
    </row>
    <row r="22">
      <c r="A22" s="22" t="inlineStr">
        <is>
          <t>2204</t>
        </is>
      </c>
      <c r="B22" s="11" t="inlineStr">
        <is>
          <t>Carriage of Timber</t>
        </is>
      </c>
      <c r="C22" s="22" t="inlineStr">
        <is>
          <t>cum</t>
        </is>
      </c>
      <c r="D22" s="23" t="n">
        <v>0.038</v>
      </c>
      <c r="E22" s="24" t="n">
        <v>118.59</v>
      </c>
      <c r="F22" s="24">
        <f>D22*E22</f>
        <v/>
      </c>
      <c r="G22" s="22" t="n"/>
    </row>
    <row r="23">
      <c r="A23" s="22" t="inlineStr">
        <is>
          <t>0156</t>
        </is>
      </c>
      <c r="B23" s="11" t="inlineStr">
        <is>
          <t>Carpenter (average)</t>
        </is>
      </c>
      <c r="C23" s="22" t="inlineStr">
        <is>
          <t>day</t>
        </is>
      </c>
      <c r="D23" s="23" t="n">
        <v>0.72</v>
      </c>
      <c r="E23" s="24" t="n">
        <v>709</v>
      </c>
      <c r="F23" s="24">
        <f>D23*E23</f>
        <v/>
      </c>
      <c r="G23" s="22" t="n"/>
    </row>
    <row r="24">
      <c r="A24" s="22" t="inlineStr">
        <is>
          <t>0114</t>
        </is>
      </c>
      <c r="B24" s="11" t="inlineStr">
        <is>
          <t>Beldar</t>
        </is>
      </c>
      <c r="C24" s="22" t="inlineStr">
        <is>
          <t>day</t>
        </is>
      </c>
      <c r="D24" s="23" t="n">
        <v>0.07000000000000001</v>
      </c>
      <c r="E24" s="24" t="n">
        <v>558</v>
      </c>
      <c r="F24" s="24">
        <f>D24*E24</f>
        <v/>
      </c>
      <c r="G24" s="22" t="n"/>
    </row>
    <row r="25">
      <c r="A25" s="8" t="inlineStr">
        <is>
          <t>Calculated W - SUM of the Amount column above</t>
        </is>
      </c>
      <c r="B25" s="9" t="n"/>
      <c r="C25" s="9" t="n"/>
      <c r="D25" s="9" t="n"/>
      <c r="E25" s="9" t="n"/>
      <c r="F25" s="25">
        <f>SUM(F21:F24)</f>
        <v/>
      </c>
      <c r="G25" s="9" t="n"/>
    </row>
    <row r="26">
      <c r="A26" s="26" t="inlineStr">
        <is>
          <t>W as printed in the DAR</t>
        </is>
      </c>
      <c r="B26" s="22" t="n"/>
      <c r="C26" s="22" t="n"/>
      <c r="D26" s="22" t="n"/>
      <c r="E26" s="22" t="n"/>
      <c r="F26" s="27" t="n">
        <v>2834.05</v>
      </c>
      <c r="G26" s="22" t="n"/>
    </row>
    <row r="27">
      <c r="A27" s="26" t="inlineStr">
        <is>
          <t>Difference (calculated - printed)</t>
        </is>
      </c>
      <c r="B27" s="22" t="n"/>
      <c r="C27" s="22" t="n"/>
      <c r="D27" s="22" t="n"/>
      <c r="E27" s="22" t="n"/>
      <c r="F27" s="27">
        <f>F25-F26</f>
        <v/>
      </c>
      <c r="G27" s="22" t="n"/>
    </row>
    <row r="28">
      <c r="A28" s="29" t="inlineStr">
        <is>
          <t>SAY (Rs.) - final DAR rate as printed (fixed value, not computed)</t>
        </is>
      </c>
      <c r="B28" s="30" t="n"/>
      <c r="C28" s="30" t="n"/>
      <c r="D28" s="30" t="n"/>
      <c r="E28" s="30" t="n"/>
      <c r="F28" s="31" t="n">
        <v>105327.2</v>
      </c>
      <c r="G28" s="30" t="n"/>
    </row>
    <row r="30" ht="47.5" customHeight="1">
      <c r="A30" s="8" t="inlineStr">
        <is>
          <t>9.1</t>
        </is>
      </c>
      <c r="B30" s="17" t="inlineStr">
        <is>
          <t>Providing wood work in frames of doors, windows, clerestory windows and other frames, wrought framed and fixed in position with hold fast lugs or with dash fasteners of required dia &amp; length (hold fast lugs or dash fastener shall be paid for separately).</t>
        </is>
      </c>
      <c r="C30" s="9" t="n"/>
      <c r="D30" s="9" t="n"/>
      <c r="E30" s="9" t="n"/>
      <c r="F30" s="9" t="n"/>
      <c r="G30" s="9" t="n"/>
    </row>
    <row r="31" ht="18.5" customHeight="1">
      <c r="A31" s="18" t="inlineStr">
        <is>
          <t>9.1.3</t>
        </is>
      </c>
      <c r="B31" s="19" t="inlineStr">
        <is>
          <t>Kiln seasoned and chemically treated hollock wood</t>
        </is>
      </c>
      <c r="C31" s="20" t="n"/>
      <c r="D31" s="20" t="n"/>
      <c r="E31" s="20" t="n"/>
      <c r="F31" s="20" t="n"/>
      <c r="G31" s="20" t="n"/>
    </row>
    <row r="32">
      <c r="A32" s="21" t="inlineStr">
        <is>
          <t>Details of cost for 36 cudm   |   Source: CivilDAR_2019_Vol_1.pdf, page 429</t>
        </is>
      </c>
    </row>
    <row r="33">
      <c r="A33" s="5" t="inlineStr">
        <is>
          <t>Code</t>
        </is>
      </c>
      <c r="B33" s="5" t="inlineStr">
        <is>
          <t>Description</t>
        </is>
      </c>
      <c r="C33" s="5" t="inlineStr">
        <is>
          <t>Unit</t>
        </is>
      </c>
      <c r="D33" s="5" t="inlineStr">
        <is>
          <t>Quantity</t>
        </is>
      </c>
      <c r="E33" s="5" t="inlineStr">
        <is>
          <t>Rate (Rs.)</t>
        </is>
      </c>
      <c r="F33" s="5" t="inlineStr">
        <is>
          <t>Amount (Rs.)</t>
        </is>
      </c>
      <c r="G33" s="5" t="inlineStr">
        <is>
          <t>Note</t>
        </is>
      </c>
    </row>
    <row r="34">
      <c r="A34" s="22" t="inlineStr">
        <is>
          <t>2466</t>
        </is>
      </c>
      <c r="B34" s="11" t="inlineStr">
        <is>
          <t>Hollock wood in scantling</t>
        </is>
      </c>
      <c r="C34" s="22" t="inlineStr">
        <is>
          <t>10 cudm</t>
        </is>
      </c>
      <c r="D34" s="23" t="n">
        <v>3.8</v>
      </c>
      <c r="E34" s="24" t="n">
        <v>350</v>
      </c>
      <c r="F34" s="24">
        <f>D34*E34</f>
        <v/>
      </c>
      <c r="G34" s="22" t="n"/>
    </row>
    <row r="35">
      <c r="A35" s="22" t="inlineStr">
        <is>
          <t>2204</t>
        </is>
      </c>
      <c r="B35" s="11" t="inlineStr">
        <is>
          <t>Carriage of Timber</t>
        </is>
      </c>
      <c r="C35" s="22" t="inlineStr">
        <is>
          <t>cum</t>
        </is>
      </c>
      <c r="D35" s="23" t="n">
        <v>0.038</v>
      </c>
      <c r="E35" s="24" t="n">
        <v>118.59</v>
      </c>
      <c r="F35" s="24">
        <f>D35*E35</f>
        <v/>
      </c>
      <c r="G35" s="22" t="n"/>
    </row>
    <row r="36">
      <c r="A36" s="22" t="inlineStr">
        <is>
          <t>2504</t>
        </is>
      </c>
      <c r="B36" s="11" t="inlineStr">
        <is>
          <t>Kiln seasoning of timber</t>
        </is>
      </c>
      <c r="C36" s="22" t="inlineStr">
        <is>
          <t>cum</t>
        </is>
      </c>
      <c r="D36" s="23" t="n">
        <v>0.038</v>
      </c>
      <c r="E36" s="24" t="n">
        <v>750</v>
      </c>
      <c r="F36" s="24">
        <f>D36*E36</f>
        <v/>
      </c>
      <c r="G36" s="22" t="n"/>
    </row>
    <row r="37">
      <c r="A37" s="22" t="inlineStr">
        <is>
          <t>9999</t>
        </is>
      </c>
      <c r="B37" s="11" t="inlineStr">
        <is>
          <t>Chemical treatment</t>
        </is>
      </c>
      <c r="C37" s="22" t="inlineStr">
        <is>
          <t>L.S.</t>
        </is>
      </c>
      <c r="D37" s="23" t="n">
        <v>8.970000000000001</v>
      </c>
      <c r="E37" s="24" t="n">
        <v>2</v>
      </c>
      <c r="F37" s="24">
        <f>D37*E37</f>
        <v/>
      </c>
      <c r="G37" s="22" t="n"/>
    </row>
    <row r="38">
      <c r="A38" s="22" t="inlineStr">
        <is>
          <t>0156</t>
        </is>
      </c>
      <c r="B38" s="11" t="inlineStr">
        <is>
          <t>Carpenter (average)</t>
        </is>
      </c>
      <c r="C38" s="22" t="inlineStr">
        <is>
          <t>day</t>
        </is>
      </c>
      <c r="D38" s="23" t="n">
        <v>0.72</v>
      </c>
      <c r="E38" s="24" t="n">
        <v>709</v>
      </c>
      <c r="F38" s="24">
        <f>D38*E38</f>
        <v/>
      </c>
      <c r="G38" s="22" t="n"/>
    </row>
    <row r="39">
      <c r="A39" s="22" t="inlineStr">
        <is>
          <t>0114</t>
        </is>
      </c>
      <c r="B39" s="11" t="inlineStr">
        <is>
          <t>Beldar</t>
        </is>
      </c>
      <c r="C39" s="22" t="inlineStr">
        <is>
          <t>day</t>
        </is>
      </c>
      <c r="D39" s="23" t="n">
        <v>0.07000000000000001</v>
      </c>
      <c r="E39" s="24" t="n">
        <v>558</v>
      </c>
      <c r="F39" s="24">
        <f>D39*E39</f>
        <v/>
      </c>
      <c r="G39" s="22" t="n"/>
    </row>
    <row r="40">
      <c r="A40" s="8" t="inlineStr">
        <is>
          <t>Calculated W - SUM of the Amount column above</t>
        </is>
      </c>
      <c r="B40" s="9" t="n"/>
      <c r="C40" s="9" t="n"/>
      <c r="D40" s="9" t="n"/>
      <c r="E40" s="9" t="n"/>
      <c r="F40" s="25">
        <f>SUM(F34:F39)</f>
        <v/>
      </c>
      <c r="G40" s="9" t="n"/>
    </row>
    <row r="41">
      <c r="A41" s="26" t="inlineStr">
        <is>
          <t>W as printed in the DAR</t>
        </is>
      </c>
      <c r="B41" s="22" t="n"/>
      <c r="C41" s="22" t="n"/>
      <c r="D41" s="22" t="n"/>
      <c r="E41" s="22" t="n"/>
      <c r="F41" s="27" t="n">
        <v>1930.49</v>
      </c>
      <c r="G41" s="22" t="n"/>
    </row>
    <row r="42">
      <c r="A42" s="26" t="inlineStr">
        <is>
          <t>Difference (calculated - printed)</t>
        </is>
      </c>
      <c r="B42" s="22" t="n"/>
      <c r="C42" s="22" t="n"/>
      <c r="D42" s="22" t="n"/>
      <c r="E42" s="22" t="n"/>
      <c r="F42" s="27">
        <f>F40-F41</f>
        <v/>
      </c>
      <c r="G42" s="22" t="n"/>
    </row>
    <row r="43">
      <c r="A43" s="29" t="inlineStr">
        <is>
          <t>SAY (Rs.) - final DAR rate as printed (fixed value, not computed)</t>
        </is>
      </c>
      <c r="B43" s="30" t="n"/>
      <c r="C43" s="30" t="n"/>
      <c r="D43" s="30" t="n"/>
      <c r="E43" s="30" t="n"/>
      <c r="F43" s="31" t="n">
        <v>71746.39999999999</v>
      </c>
      <c r="G43" s="30" t="n"/>
    </row>
    <row r="45" ht="47.5" customHeight="1">
      <c r="A45" s="18" t="inlineStr">
        <is>
          <t>9.2</t>
        </is>
      </c>
      <c r="B45" s="19" t="inlineStr">
        <is>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is>
      </c>
      <c r="C45" s="20" t="n"/>
      <c r="D45" s="20" t="n"/>
      <c r="E45" s="20" t="n"/>
      <c r="F45" s="20" t="n"/>
      <c r="G45" s="20" t="n"/>
    </row>
    <row r="46">
      <c r="A46" s="21" t="inlineStr">
        <is>
          <t>Details of cost for 36 cudm   |   Source: CivilDAR_2019_Vol_1.pdf, page 430</t>
        </is>
      </c>
    </row>
    <row r="47">
      <c r="A47" s="5" t="inlineStr">
        <is>
          <t>Code</t>
        </is>
      </c>
      <c r="B47" s="5" t="inlineStr">
        <is>
          <t>Description</t>
        </is>
      </c>
      <c r="C47" s="5" t="inlineStr">
        <is>
          <t>Unit</t>
        </is>
      </c>
      <c r="D47" s="5" t="inlineStr">
        <is>
          <t>Quantity</t>
        </is>
      </c>
      <c r="E47" s="5" t="inlineStr">
        <is>
          <t>Rate (Rs.)</t>
        </is>
      </c>
      <c r="F47" s="5" t="inlineStr">
        <is>
          <t>Amount (Rs.)</t>
        </is>
      </c>
      <c r="G47" s="5" t="inlineStr">
        <is>
          <t>Note</t>
        </is>
      </c>
    </row>
    <row r="48">
      <c r="A48" s="22" t="inlineStr">
        <is>
          <t>7157</t>
        </is>
      </c>
      <c r="B48" s="11" t="inlineStr">
        <is>
          <t>Laminated veneer lumber confirming to TADS 15:1995 manufactured in factory in frames of doors, windows</t>
        </is>
      </c>
      <c r="C48" s="22" t="inlineStr">
        <is>
          <t>10 cudm</t>
        </is>
      </c>
      <c r="D48" s="23" t="n">
        <v>3.8</v>
      </c>
      <c r="E48" s="24" t="n">
        <v>700</v>
      </c>
      <c r="F48" s="24">
        <f>D48*E48</f>
        <v/>
      </c>
      <c r="G48" s="22" t="n"/>
    </row>
    <row r="49">
      <c r="A49" s="22" t="inlineStr">
        <is>
          <t>2204</t>
        </is>
      </c>
      <c r="B49" s="11" t="inlineStr">
        <is>
          <t>Carriage of Timber</t>
        </is>
      </c>
      <c r="C49" s="22" t="inlineStr">
        <is>
          <t>cum</t>
        </is>
      </c>
      <c r="D49" s="23" t="n">
        <v>0.038</v>
      </c>
      <c r="E49" s="24" t="n">
        <v>118.59</v>
      </c>
      <c r="F49" s="24">
        <f>D49*E49</f>
        <v/>
      </c>
      <c r="G49" s="22" t="n"/>
    </row>
    <row r="50">
      <c r="A50" s="22" t="inlineStr">
        <is>
          <t>0111</t>
        </is>
      </c>
      <c r="B50" s="11" t="inlineStr">
        <is>
          <t>Carpenter 1st class</t>
        </is>
      </c>
      <c r="C50" s="22" t="inlineStr">
        <is>
          <t>day</t>
        </is>
      </c>
      <c r="D50" s="23" t="n">
        <v>0.2</v>
      </c>
      <c r="E50" s="24" t="n">
        <v>738</v>
      </c>
      <c r="F50" s="24">
        <f>D50*E50</f>
        <v/>
      </c>
      <c r="G50" s="22" t="n"/>
    </row>
    <row r="51">
      <c r="A51" s="22" t="inlineStr">
        <is>
          <t>0112</t>
        </is>
      </c>
      <c r="B51" s="11" t="inlineStr">
        <is>
          <t>Carpenter 2nd class</t>
        </is>
      </c>
      <c r="C51" s="22" t="inlineStr">
        <is>
          <t>day</t>
        </is>
      </c>
      <c r="D51" s="23" t="n">
        <v>0.2</v>
      </c>
      <c r="E51" s="24" t="n">
        <v>679</v>
      </c>
      <c r="F51" s="24">
        <f>D51*E51</f>
        <v/>
      </c>
      <c r="G51" s="22" t="n"/>
    </row>
    <row r="52">
      <c r="A52" s="22" t="inlineStr">
        <is>
          <t>0114</t>
        </is>
      </c>
      <c r="B52" s="11" t="inlineStr">
        <is>
          <t>Beldar</t>
        </is>
      </c>
      <c r="C52" s="22" t="inlineStr">
        <is>
          <t>day</t>
        </is>
      </c>
      <c r="D52" s="23" t="n">
        <v>0.2</v>
      </c>
      <c r="E52" s="24" t="n">
        <v>558</v>
      </c>
      <c r="F52" s="24">
        <f>D52*E52</f>
        <v/>
      </c>
      <c r="G52" s="22" t="n"/>
    </row>
    <row r="53">
      <c r="A53" s="8" t="inlineStr">
        <is>
          <t>Calculated W - SUM of the Amount column above</t>
        </is>
      </c>
      <c r="B53" s="9" t="n"/>
      <c r="C53" s="9" t="n"/>
      <c r="D53" s="9" t="n"/>
      <c r="E53" s="9" t="n"/>
      <c r="F53" s="25">
        <f>SUM(F48:F52)</f>
        <v/>
      </c>
      <c r="G53" s="9" t="n"/>
    </row>
    <row r="54">
      <c r="A54" s="26" t="inlineStr">
        <is>
          <t>W as printed in the DAR</t>
        </is>
      </c>
      <c r="B54" s="22" t="n"/>
      <c r="C54" s="22" t="n"/>
      <c r="D54" s="22" t="n"/>
      <c r="E54" s="22" t="n"/>
      <c r="F54" s="27" t="n">
        <v>3059.51</v>
      </c>
      <c r="G54" s="22" t="n"/>
    </row>
    <row r="55">
      <c r="A55" s="26" t="inlineStr">
        <is>
          <t>Difference (calculated - printed)</t>
        </is>
      </c>
      <c r="B55" s="22" t="n"/>
      <c r="C55" s="22" t="n"/>
      <c r="D55" s="22" t="n"/>
      <c r="E55" s="22" t="n"/>
      <c r="F55" s="27">
        <f>F53-F54</f>
        <v/>
      </c>
      <c r="G55" s="22" t="n"/>
    </row>
    <row r="56">
      <c r="A56" s="29" t="inlineStr">
        <is>
          <t>SAY (Rs.) - final DAR rate as printed (fixed value, not computed)</t>
        </is>
      </c>
      <c r="B56" s="30" t="n"/>
      <c r="C56" s="30" t="n"/>
      <c r="D56" s="30" t="n"/>
      <c r="E56" s="30" t="n"/>
      <c r="F56" s="31" t="n">
        <v>113706.4</v>
      </c>
      <c r="G56" s="30" t="n"/>
    </row>
    <row r="58" ht="33" customHeight="1">
      <c r="A58" s="8" t="inlineStr">
        <is>
          <t>9.3</t>
        </is>
      </c>
      <c r="B58" s="17" t="inlineStr">
        <is>
          <t>Providing wood work in frames of false ceiling, partitions etc. sawn and fixed in position with necessary stainless steel screws etc.</t>
        </is>
      </c>
      <c r="C58" s="9" t="n"/>
      <c r="D58" s="9" t="n"/>
      <c r="E58" s="9" t="n"/>
      <c r="F58" s="9" t="n"/>
      <c r="G58" s="9" t="n"/>
    </row>
    <row r="59" ht="18.5" customHeight="1">
      <c r="A59" s="18" t="inlineStr">
        <is>
          <t>9.3.1</t>
        </is>
      </c>
      <c r="B59" s="19" t="inlineStr">
        <is>
          <t>Sal wood</t>
        </is>
      </c>
      <c r="C59" s="20" t="n"/>
      <c r="D59" s="20" t="n"/>
      <c r="E59" s="20" t="n"/>
      <c r="F59" s="20" t="n"/>
      <c r="G59" s="20" t="n"/>
    </row>
    <row r="60">
      <c r="A60" s="21" t="inlineStr">
        <is>
          <t>Details of cost for 158 cudm   |   Source: CivilDAR_2019_Vol_1.pdf, page 430</t>
        </is>
      </c>
    </row>
    <row r="61">
      <c r="A61" s="5" t="inlineStr">
        <is>
          <t>Code</t>
        </is>
      </c>
      <c r="B61" s="5" t="inlineStr">
        <is>
          <t>Description</t>
        </is>
      </c>
      <c r="C61" s="5" t="inlineStr">
        <is>
          <t>Unit</t>
        </is>
      </c>
      <c r="D61" s="5" t="inlineStr">
        <is>
          <t>Quantity</t>
        </is>
      </c>
      <c r="E61" s="5" t="inlineStr">
        <is>
          <t>Rate (Rs.)</t>
        </is>
      </c>
      <c r="F61" s="5" t="inlineStr">
        <is>
          <t>Amount (Rs.)</t>
        </is>
      </c>
      <c r="G61" s="5" t="inlineStr">
        <is>
          <t>Note</t>
        </is>
      </c>
    </row>
    <row r="62">
      <c r="A62" s="22" t="inlineStr">
        <is>
          <t>1199</t>
        </is>
      </c>
      <c r="B62" s="11" t="inlineStr">
        <is>
          <t>Sal wood in scantling</t>
        </is>
      </c>
      <c r="C62" s="22" t="inlineStr">
        <is>
          <t>10 cudm</t>
        </is>
      </c>
      <c r="D62" s="23" t="n">
        <v>16.6</v>
      </c>
      <c r="E62" s="24" t="n">
        <v>600</v>
      </c>
      <c r="F62" s="24">
        <f>D62*E62</f>
        <v/>
      </c>
      <c r="G62" s="22" t="n"/>
    </row>
    <row r="63">
      <c r="A63" s="22" t="inlineStr">
        <is>
          <t>2204</t>
        </is>
      </c>
      <c r="B63" s="11" t="inlineStr">
        <is>
          <t>Carriage of Timber</t>
        </is>
      </c>
      <c r="C63" s="22" t="inlineStr">
        <is>
          <t>cum</t>
        </is>
      </c>
      <c r="D63" s="23" t="n">
        <v>0.166</v>
      </c>
      <c r="E63" s="24" t="n">
        <v>118.59</v>
      </c>
      <c r="F63" s="24">
        <f>D63*E63</f>
        <v/>
      </c>
      <c r="G63" s="22" t="n"/>
    </row>
    <row r="64">
      <c r="A64" s="22" t="inlineStr">
        <is>
          <t>0112</t>
        </is>
      </c>
      <c r="B64" s="11" t="inlineStr">
        <is>
          <t>Carpenter 2nd class</t>
        </is>
      </c>
      <c r="C64" s="22" t="inlineStr">
        <is>
          <t>day</t>
        </is>
      </c>
      <c r="D64" s="23" t="n">
        <v>1</v>
      </c>
      <c r="E64" s="24" t="n">
        <v>679</v>
      </c>
      <c r="F64" s="24">
        <f>D64*E64</f>
        <v/>
      </c>
      <c r="G64" s="22" t="n"/>
    </row>
    <row r="65">
      <c r="A65" s="22" t="inlineStr">
        <is>
          <t>0114</t>
        </is>
      </c>
      <c r="B65" s="11" t="inlineStr">
        <is>
          <t>Beldar</t>
        </is>
      </c>
      <c r="C65" s="22" t="inlineStr">
        <is>
          <t>day</t>
        </is>
      </c>
      <c r="D65" s="23" t="n">
        <v>1</v>
      </c>
      <c r="E65" s="24" t="n">
        <v>558</v>
      </c>
      <c r="F65" s="24">
        <f>D65*E65</f>
        <v/>
      </c>
      <c r="G65" s="22" t="n"/>
    </row>
    <row r="66">
      <c r="A66" s="22" t="inlineStr">
        <is>
          <t>9999</t>
        </is>
      </c>
      <c r="B66" s="11" t="inlineStr">
        <is>
          <t>Sundries screws etc.</t>
        </is>
      </c>
      <c r="C66" s="22" t="inlineStr">
        <is>
          <t>L.S.</t>
        </is>
      </c>
      <c r="D66" s="23" t="n">
        <v>53.82</v>
      </c>
      <c r="E66" s="24" t="n">
        <v>2</v>
      </c>
      <c r="F66" s="24">
        <f>D66*E66</f>
        <v/>
      </c>
      <c r="G66" s="22" t="n"/>
    </row>
    <row r="67">
      <c r="A67" s="8" t="inlineStr">
        <is>
          <t>Calculated W - SUM of the Amount column above</t>
        </is>
      </c>
      <c r="B67" s="9" t="n"/>
      <c r="C67" s="9" t="n"/>
      <c r="D67" s="9" t="n"/>
      <c r="E67" s="9" t="n"/>
      <c r="F67" s="25">
        <f>SUM(F62:F66)</f>
        <v/>
      </c>
      <c r="G67" s="9" t="n"/>
    </row>
    <row r="68">
      <c r="A68" s="26" t="inlineStr">
        <is>
          <t>W as printed in the DAR</t>
        </is>
      </c>
      <c r="B68" s="22" t="n"/>
      <c r="C68" s="22" t="n"/>
      <c r="D68" s="22" t="n"/>
      <c r="E68" s="22" t="n"/>
      <c r="F68" s="27" t="n">
        <v>11324.33</v>
      </c>
      <c r="G68" s="22" t="n"/>
    </row>
    <row r="69">
      <c r="A69" s="26" t="inlineStr">
        <is>
          <t>Difference (calculated - printed)</t>
        </is>
      </c>
      <c r="B69" s="22" t="n"/>
      <c r="C69" s="22" t="n"/>
      <c r="D69" s="22" t="n"/>
      <c r="E69" s="22" t="n"/>
      <c r="F69" s="27">
        <f>F67-F68</f>
        <v/>
      </c>
      <c r="G69" s="22" t="n"/>
    </row>
    <row r="70">
      <c r="A70" s="29" t="inlineStr">
        <is>
          <t>SAY (Rs.) - final DAR rate as printed (fixed value, not computed)</t>
        </is>
      </c>
      <c r="B70" s="30" t="n"/>
      <c r="C70" s="30" t="n"/>
      <c r="D70" s="30" t="n"/>
      <c r="E70" s="30" t="n"/>
      <c r="F70" s="31" t="n">
        <v>95893.89999999999</v>
      </c>
      <c r="G70" s="30" t="n"/>
    </row>
    <row r="72" ht="33" customHeight="1">
      <c r="A72" s="8" t="inlineStr">
        <is>
          <t>9.3</t>
        </is>
      </c>
      <c r="B72" s="17" t="inlineStr">
        <is>
          <t>Providing wood work in frames of false ceiling, partitions etc. sawn and fixed in position with necessary stainless steel screws etc.</t>
        </is>
      </c>
      <c r="C72" s="9" t="n"/>
      <c r="D72" s="9" t="n"/>
      <c r="E72" s="9" t="n"/>
      <c r="F72" s="9" t="n"/>
      <c r="G72" s="9" t="n"/>
    </row>
    <row r="73" ht="18.5" customHeight="1">
      <c r="A73" s="18" t="inlineStr">
        <is>
          <t>9.3.2</t>
        </is>
      </c>
      <c r="B73" s="19" t="inlineStr">
        <is>
          <t>Kiln seasoned and chemically treated hollock wood</t>
        </is>
      </c>
      <c r="C73" s="20" t="n"/>
      <c r="D73" s="20" t="n"/>
      <c r="E73" s="20" t="n"/>
      <c r="F73" s="20" t="n"/>
      <c r="G73" s="20" t="n"/>
    </row>
    <row r="74">
      <c r="A74" s="21" t="inlineStr">
        <is>
          <t>Details of cost for 158 cudm   |   Source: CivilDAR_2019_Vol_1.pdf, page 431</t>
        </is>
      </c>
    </row>
    <row r="75">
      <c r="A75" s="5" t="inlineStr">
        <is>
          <t>Code</t>
        </is>
      </c>
      <c r="B75" s="5" t="inlineStr">
        <is>
          <t>Description</t>
        </is>
      </c>
      <c r="C75" s="5" t="inlineStr">
        <is>
          <t>Unit</t>
        </is>
      </c>
      <c r="D75" s="5" t="inlineStr">
        <is>
          <t>Quantity</t>
        </is>
      </c>
      <c r="E75" s="5" t="inlineStr">
        <is>
          <t>Rate (Rs.)</t>
        </is>
      </c>
      <c r="F75" s="5" t="inlineStr">
        <is>
          <t>Amount (Rs.)</t>
        </is>
      </c>
      <c r="G75" s="5" t="inlineStr">
        <is>
          <t>Note</t>
        </is>
      </c>
    </row>
    <row r="76">
      <c r="A76" s="22" t="inlineStr">
        <is>
          <t>2466</t>
        </is>
      </c>
      <c r="B76" s="11" t="inlineStr">
        <is>
          <t>Hollock wood in scantling</t>
        </is>
      </c>
      <c r="C76" s="22" t="inlineStr">
        <is>
          <t>10 cudm</t>
        </is>
      </c>
      <c r="D76" s="23" t="n">
        <v>16.6</v>
      </c>
      <c r="E76" s="24" t="n">
        <v>350</v>
      </c>
      <c r="F76" s="24">
        <f>D76*E76</f>
        <v/>
      </c>
      <c r="G76" s="22" t="n"/>
    </row>
    <row r="77">
      <c r="A77" s="22" t="inlineStr">
        <is>
          <t>2204</t>
        </is>
      </c>
      <c r="B77" s="11" t="inlineStr">
        <is>
          <t>Carriage of Timber</t>
        </is>
      </c>
      <c r="C77" s="22" t="inlineStr">
        <is>
          <t>cum</t>
        </is>
      </c>
      <c r="D77" s="23" t="n">
        <v>0.166</v>
      </c>
      <c r="E77" s="24" t="n">
        <v>118.59</v>
      </c>
      <c r="F77" s="24">
        <f>D77*E77</f>
        <v/>
      </c>
      <c r="G77" s="22" t="n"/>
    </row>
    <row r="78">
      <c r="A78" s="22" t="inlineStr">
        <is>
          <t>2504</t>
        </is>
      </c>
      <c r="B78" s="11" t="inlineStr">
        <is>
          <t>Kiln seasoning of timber</t>
        </is>
      </c>
      <c r="C78" s="22" t="inlineStr">
        <is>
          <t>cum</t>
        </is>
      </c>
      <c r="D78" s="23" t="n">
        <v>0.166</v>
      </c>
      <c r="E78" s="24" t="n">
        <v>750</v>
      </c>
      <c r="F78" s="24">
        <f>D78*E78</f>
        <v/>
      </c>
      <c r="G78" s="22" t="n"/>
    </row>
    <row r="79">
      <c r="A79" s="22" t="inlineStr">
        <is>
          <t>9999</t>
        </is>
      </c>
      <c r="B79" s="11" t="inlineStr">
        <is>
          <t>Chemical treatment</t>
        </is>
      </c>
      <c r="C79" s="22" t="inlineStr">
        <is>
          <t>L.S.</t>
        </is>
      </c>
      <c r="D79" s="23" t="n">
        <v>18.2</v>
      </c>
      <c r="E79" s="24" t="n">
        <v>2</v>
      </c>
      <c r="F79" s="24">
        <f>D79*E79</f>
        <v/>
      </c>
      <c r="G79" s="22" t="n"/>
    </row>
    <row r="80">
      <c r="A80" s="22" t="inlineStr">
        <is>
          <t>0112</t>
        </is>
      </c>
      <c r="B80" s="11" t="inlineStr">
        <is>
          <t>Carpenter 2nd class</t>
        </is>
      </c>
      <c r="C80" s="22" t="inlineStr">
        <is>
          <t>day</t>
        </is>
      </c>
      <c r="D80" s="23" t="n">
        <v>1</v>
      </c>
      <c r="E80" s="24" t="n">
        <v>679</v>
      </c>
      <c r="F80" s="24">
        <f>D80*E80</f>
        <v/>
      </c>
      <c r="G80" s="22" t="n"/>
    </row>
    <row r="81">
      <c r="A81" s="22" t="inlineStr">
        <is>
          <t>0114</t>
        </is>
      </c>
      <c r="B81" s="11" t="inlineStr">
        <is>
          <t>Beldar</t>
        </is>
      </c>
      <c r="C81" s="22" t="inlineStr">
        <is>
          <t>day</t>
        </is>
      </c>
      <c r="D81" s="23" t="n">
        <v>1</v>
      </c>
      <c r="E81" s="24" t="n">
        <v>558</v>
      </c>
      <c r="F81" s="24">
        <f>D81*E81</f>
        <v/>
      </c>
      <c r="G81" s="22" t="n"/>
    </row>
    <row r="82">
      <c r="A82" s="22" t="inlineStr">
        <is>
          <t>9999</t>
        </is>
      </c>
      <c r="B82" s="11" t="inlineStr">
        <is>
          <t>Sundries screws etc.</t>
        </is>
      </c>
      <c r="C82" s="22" t="inlineStr">
        <is>
          <t>L.S.</t>
        </is>
      </c>
      <c r="D82" s="23" t="n">
        <v>53.82</v>
      </c>
      <c r="E82" s="24" t="n">
        <v>2</v>
      </c>
      <c r="F82" s="24">
        <f>D82*E82</f>
        <v/>
      </c>
      <c r="G82" s="22" t="n"/>
    </row>
    <row r="83">
      <c r="A83" s="8" t="inlineStr">
        <is>
          <t>Calculated W - SUM of the Amount column above</t>
        </is>
      </c>
      <c r="B83" s="9" t="n"/>
      <c r="C83" s="9" t="n"/>
      <c r="D83" s="9" t="n"/>
      <c r="E83" s="9" t="n"/>
      <c r="F83" s="25">
        <f>SUM(F76:F82)</f>
        <v/>
      </c>
      <c r="G83" s="9" t="n"/>
    </row>
    <row r="84">
      <c r="A84" s="26" t="inlineStr">
        <is>
          <t>W as printed in the DAR</t>
        </is>
      </c>
      <c r="B84" s="22" t="n"/>
      <c r="C84" s="22" t="n"/>
      <c r="D84" s="22" t="n"/>
      <c r="E84" s="22" t="n"/>
      <c r="F84" s="27" t="n">
        <v>7335.23</v>
      </c>
      <c r="G84" s="22" t="n"/>
    </row>
    <row r="85">
      <c r="A85" s="26" t="inlineStr">
        <is>
          <t>Difference (calculated - printed)</t>
        </is>
      </c>
      <c r="B85" s="22" t="n"/>
      <c r="C85" s="22" t="n"/>
      <c r="D85" s="22" t="n"/>
      <c r="E85" s="22" t="n"/>
      <c r="F85" s="27">
        <f>F83-F84</f>
        <v/>
      </c>
      <c r="G85" s="22" t="n"/>
    </row>
    <row r="86">
      <c r="A86" s="29" t="inlineStr">
        <is>
          <t>SAY (Rs.) - final DAR rate as printed (fixed value, not computed)</t>
        </is>
      </c>
      <c r="B86" s="30" t="n"/>
      <c r="C86" s="30" t="n"/>
      <c r="D86" s="30" t="n"/>
      <c r="E86" s="30" t="n"/>
      <c r="F86" s="31" t="n">
        <v>62114.45</v>
      </c>
      <c r="G86" s="30" t="n"/>
    </row>
    <row r="88" ht="18.5" customHeight="1">
      <c r="A88" s="8" t="inlineStr">
        <is>
          <t>9.4</t>
        </is>
      </c>
      <c r="B88" s="17" t="inlineStr">
        <is>
          <t>Extra for additional labour for circular works, such as in frames of fan light</t>
        </is>
      </c>
      <c r="C88" s="9" t="n"/>
      <c r="D88" s="9" t="n"/>
      <c r="E88" s="9" t="n"/>
      <c r="F88" s="9" t="n"/>
      <c r="G88" s="9" t="n"/>
    </row>
    <row r="89" ht="18.5" customHeight="1">
      <c r="A89" s="18" t="inlineStr">
        <is>
          <t>9.4.1</t>
        </is>
      </c>
      <c r="B89" s="19" t="inlineStr">
        <is>
          <t>Second class teak wood</t>
        </is>
      </c>
      <c r="C89" s="20" t="n"/>
      <c r="D89" s="20" t="n"/>
      <c r="E89" s="20" t="n"/>
      <c r="F89" s="20" t="n"/>
      <c r="G89" s="20" t="n"/>
    </row>
    <row r="90">
      <c r="A90" s="21" t="inlineStr">
        <is>
          <t>Details of cost for 36 cudm   |   Source: CivilDAR_2019_Vol_1.pdf, page 432</t>
        </is>
      </c>
    </row>
    <row r="91">
      <c r="A91" s="5" t="inlineStr">
        <is>
          <t>Code</t>
        </is>
      </c>
      <c r="B91" s="5" t="inlineStr">
        <is>
          <t>Description</t>
        </is>
      </c>
      <c r="C91" s="5" t="inlineStr">
        <is>
          <t>Unit</t>
        </is>
      </c>
      <c r="D91" s="5" t="inlineStr">
        <is>
          <t>Quantity</t>
        </is>
      </c>
      <c r="E91" s="5" t="inlineStr">
        <is>
          <t>Rate (Rs.)</t>
        </is>
      </c>
      <c r="F91" s="5" t="inlineStr">
        <is>
          <t>Amount (Rs.)</t>
        </is>
      </c>
      <c r="G91" s="5" t="inlineStr">
        <is>
          <t>Note</t>
        </is>
      </c>
    </row>
    <row r="92">
      <c r="A92" s="22" t="inlineStr">
        <is>
          <t>1189</t>
        </is>
      </c>
      <c r="B92" s="11" t="inlineStr">
        <is>
          <t>Second class teak wood in scantling</t>
        </is>
      </c>
      <c r="C92" s="22" t="inlineStr">
        <is>
          <t>10 cudm</t>
        </is>
      </c>
      <c r="D92" s="23" t="n">
        <v>0.38</v>
      </c>
      <c r="E92" s="24" t="n">
        <v>776</v>
      </c>
      <c r="F92" s="24">
        <f>D92*E92</f>
        <v/>
      </c>
      <c r="G92" s="22" t="n"/>
    </row>
    <row r="93">
      <c r="A93" s="22" t="inlineStr">
        <is>
          <t>2204</t>
        </is>
      </c>
      <c r="B93" s="11" t="inlineStr">
        <is>
          <t>Carriage of Timber</t>
        </is>
      </c>
      <c r="C93" s="22" t="inlineStr">
        <is>
          <t>cum</t>
        </is>
      </c>
      <c r="D93" s="23" t="n">
        <v>0.0038</v>
      </c>
      <c r="E93" s="24" t="n">
        <v>118.59</v>
      </c>
      <c r="F93" s="24">
        <f>D93*E93</f>
        <v/>
      </c>
      <c r="G93" s="22" t="n"/>
    </row>
    <row r="94">
      <c r="A94" s="22" t="inlineStr">
        <is>
          <t>0156</t>
        </is>
      </c>
      <c r="B94" s="11" t="inlineStr">
        <is>
          <t>Carpenter (average)</t>
        </is>
      </c>
      <c r="C94" s="22" t="inlineStr">
        <is>
          <t>day</t>
        </is>
      </c>
      <c r="D94" s="23" t="n">
        <v>0.07199999999999999</v>
      </c>
      <c r="E94" s="24" t="n">
        <v>709</v>
      </c>
      <c r="F94" s="24">
        <f>D94*E94</f>
        <v/>
      </c>
      <c r="G94" s="22" t="n"/>
    </row>
    <row r="95">
      <c r="A95" s="22" t="inlineStr">
        <is>
          <t>0114</t>
        </is>
      </c>
      <c r="B95" s="11" t="inlineStr">
        <is>
          <t>Beldar</t>
        </is>
      </c>
      <c r="C95" s="22" t="inlineStr">
        <is>
          <t>day</t>
        </is>
      </c>
      <c r="D95" s="23" t="n">
        <v>0.007</v>
      </c>
      <c r="E95" s="24" t="n">
        <v>558</v>
      </c>
      <c r="F95" s="24">
        <f>D95*E95</f>
        <v/>
      </c>
      <c r="G95" s="22" t="n"/>
    </row>
    <row r="96">
      <c r="A96" s="8" t="inlineStr">
        <is>
          <t>Calculated W - SUM of the Amount column above</t>
        </is>
      </c>
      <c r="B96" s="9" t="n"/>
      <c r="C96" s="9" t="n"/>
      <c r="D96" s="9" t="n"/>
      <c r="E96" s="9" t="n"/>
      <c r="F96" s="25">
        <f>SUM(F92:F95)</f>
        <v/>
      </c>
      <c r="G96" s="9" t="n"/>
    </row>
    <row r="97">
      <c r="A97" s="26" t="inlineStr">
        <is>
          <t>W as printed in the DAR</t>
        </is>
      </c>
      <c r="B97" s="22" t="n"/>
      <c r="C97" s="22" t="n"/>
      <c r="D97" s="22" t="n"/>
      <c r="E97" s="22" t="n"/>
      <c r="F97" s="27" t="n">
        <v>350.28</v>
      </c>
      <c r="G97" s="22" t="n"/>
    </row>
    <row r="98">
      <c r="A98" s="26" t="inlineStr">
        <is>
          <t>Difference (calculated - printed)</t>
        </is>
      </c>
      <c r="B98" s="22" t="n"/>
      <c r="C98" s="22" t="n"/>
      <c r="D98" s="22" t="n"/>
      <c r="E98" s="22" t="n"/>
      <c r="F98" s="27">
        <f>F96-F97</f>
        <v/>
      </c>
      <c r="G98" s="22" t="n"/>
    </row>
    <row r="99">
      <c r="A99" s="29" t="inlineStr">
        <is>
          <t>SAY (Rs.) - final DAR rate as printed (fixed value, not computed)</t>
        </is>
      </c>
      <c r="B99" s="30" t="n"/>
      <c r="C99" s="30" t="n"/>
      <c r="D99" s="30" t="n"/>
      <c r="E99" s="30" t="n"/>
      <c r="F99" s="31" t="n">
        <v>13018.35</v>
      </c>
      <c r="G99" s="30" t="n"/>
    </row>
    <row r="101" ht="18.5" customHeight="1">
      <c r="A101" s="8" t="inlineStr">
        <is>
          <t>9.4</t>
        </is>
      </c>
      <c r="B101" s="17" t="inlineStr">
        <is>
          <t>Extra for additional labour for circular works, such as in frames of fan light</t>
        </is>
      </c>
      <c r="C101" s="9" t="n"/>
      <c r="D101" s="9" t="n"/>
      <c r="E101" s="9" t="n"/>
      <c r="F101" s="9" t="n"/>
      <c r="G101" s="9" t="n"/>
    </row>
    <row r="102" ht="18.5" customHeight="1">
      <c r="A102" s="18" t="inlineStr">
        <is>
          <t>9.4.2</t>
        </is>
      </c>
      <c r="B102" s="19" t="inlineStr">
        <is>
          <t>Sal wood</t>
        </is>
      </c>
      <c r="C102" s="20" t="n"/>
      <c r="D102" s="20" t="n"/>
      <c r="E102" s="20" t="n"/>
      <c r="F102" s="20" t="n"/>
      <c r="G102" s="20" t="n"/>
    </row>
    <row r="103">
      <c r="A103" s="21" t="inlineStr">
        <is>
          <t>Details of cost for 36 cudm   |   Source: CivilDAR_2019_Vol_1.pdf, page 432</t>
        </is>
      </c>
    </row>
    <row r="104">
      <c r="A104" s="5" t="inlineStr">
        <is>
          <t>Code</t>
        </is>
      </c>
      <c r="B104" s="5" t="inlineStr">
        <is>
          <t>Description</t>
        </is>
      </c>
      <c r="C104" s="5" t="inlineStr">
        <is>
          <t>Unit</t>
        </is>
      </c>
      <c r="D104" s="5" t="inlineStr">
        <is>
          <t>Quantity</t>
        </is>
      </c>
      <c r="E104" s="5" t="inlineStr">
        <is>
          <t>Rate (Rs.)</t>
        </is>
      </c>
      <c r="F104" s="5" t="inlineStr">
        <is>
          <t>Amount (Rs.)</t>
        </is>
      </c>
      <c r="G104" s="5" t="inlineStr">
        <is>
          <t>Note</t>
        </is>
      </c>
    </row>
    <row r="105">
      <c r="A105" s="22" t="inlineStr">
        <is>
          <t>1199</t>
        </is>
      </c>
      <c r="B105" s="11" t="inlineStr">
        <is>
          <t>Sal wood in scantling</t>
        </is>
      </c>
      <c r="C105" s="22" t="inlineStr">
        <is>
          <t>10 cudm</t>
        </is>
      </c>
      <c r="D105" s="23" t="n">
        <v>0.38</v>
      </c>
      <c r="E105" s="24" t="n">
        <v>600</v>
      </c>
      <c r="F105" s="24">
        <f>D105*E105</f>
        <v/>
      </c>
      <c r="G105" s="22" t="n"/>
    </row>
    <row r="106">
      <c r="A106" s="22" t="inlineStr">
        <is>
          <t>2204</t>
        </is>
      </c>
      <c r="B106" s="11" t="inlineStr">
        <is>
          <t>Carriage of Timber</t>
        </is>
      </c>
      <c r="C106" s="22" t="inlineStr">
        <is>
          <t>cum</t>
        </is>
      </c>
      <c r="D106" s="23" t="n">
        <v>0.0038</v>
      </c>
      <c r="E106" s="24" t="n">
        <v>118.59</v>
      </c>
      <c r="F106" s="24">
        <f>D106*E106</f>
        <v/>
      </c>
      <c r="G106" s="22" t="n"/>
    </row>
    <row r="107">
      <c r="A107" s="22" t="inlineStr">
        <is>
          <t>0156</t>
        </is>
      </c>
      <c r="B107" s="11" t="inlineStr">
        <is>
          <t>Carpenter (average)</t>
        </is>
      </c>
      <c r="C107" s="22" t="inlineStr">
        <is>
          <t>day</t>
        </is>
      </c>
      <c r="D107" s="23" t="n">
        <v>0.07199999999999999</v>
      </c>
      <c r="E107" s="24" t="n">
        <v>709</v>
      </c>
      <c r="F107" s="24">
        <f>D107*E107</f>
        <v/>
      </c>
      <c r="G107" s="22" t="n"/>
    </row>
    <row r="108">
      <c r="A108" s="22" t="inlineStr">
        <is>
          <t>0114</t>
        </is>
      </c>
      <c r="B108" s="11" t="inlineStr">
        <is>
          <t>Beldar</t>
        </is>
      </c>
      <c r="C108" s="22" t="inlineStr">
        <is>
          <t>day</t>
        </is>
      </c>
      <c r="D108" s="23" t="n">
        <v>0.007</v>
      </c>
      <c r="E108" s="24" t="n">
        <v>558</v>
      </c>
      <c r="F108" s="24">
        <f>D108*E108</f>
        <v/>
      </c>
      <c r="G108" s="22" t="n"/>
    </row>
    <row r="109">
      <c r="A109" s="8" t="inlineStr">
        <is>
          <t>Calculated W - SUM of the Amount column above</t>
        </is>
      </c>
      <c r="B109" s="9" t="n"/>
      <c r="C109" s="9" t="n"/>
      <c r="D109" s="9" t="n"/>
      <c r="E109" s="9" t="n"/>
      <c r="F109" s="25">
        <f>SUM(F105:F108)</f>
        <v/>
      </c>
      <c r="G109" s="9" t="n"/>
    </row>
    <row r="110">
      <c r="A110" s="26" t="inlineStr">
        <is>
          <t>W as printed in the DAR</t>
        </is>
      </c>
      <c r="B110" s="22" t="n"/>
      <c r="C110" s="22" t="n"/>
      <c r="D110" s="22" t="n"/>
      <c r="E110" s="22" t="n"/>
      <c r="F110" s="27" t="n">
        <v>283.4</v>
      </c>
      <c r="G110" s="22" t="n"/>
    </row>
    <row r="111">
      <c r="A111" s="26" t="inlineStr">
        <is>
          <t>Difference (calculated - printed)</t>
        </is>
      </c>
      <c r="B111" s="22" t="n"/>
      <c r="C111" s="22" t="n"/>
      <c r="D111" s="22" t="n"/>
      <c r="E111" s="22" t="n"/>
      <c r="F111" s="27">
        <f>F109-F110</f>
        <v/>
      </c>
      <c r="G111" s="22" t="n"/>
    </row>
    <row r="112">
      <c r="A112" s="29" t="inlineStr">
        <is>
          <t>SAY (Rs.) - final DAR rate as printed (fixed value, not computed)</t>
        </is>
      </c>
      <c r="B112" s="30" t="n"/>
      <c r="C112" s="30" t="n"/>
      <c r="D112" s="30" t="n"/>
      <c r="E112" s="30" t="n"/>
      <c r="F112" s="31" t="n">
        <v>10532.8</v>
      </c>
      <c r="G112" s="30" t="n"/>
    </row>
    <row r="114" ht="18.5" customHeight="1">
      <c r="A114" s="8" t="inlineStr">
        <is>
          <t>9.4</t>
        </is>
      </c>
      <c r="B114" s="17" t="inlineStr">
        <is>
          <t>Extra for additional labour for circular works, such as in frames of fan light</t>
        </is>
      </c>
      <c r="C114" s="9" t="n"/>
      <c r="D114" s="9" t="n"/>
      <c r="E114" s="9" t="n"/>
      <c r="F114" s="9" t="n"/>
      <c r="G114" s="9" t="n"/>
    </row>
    <row r="115" ht="18.5" customHeight="1">
      <c r="A115" s="18" t="inlineStr">
        <is>
          <t>9.4.3</t>
        </is>
      </c>
      <c r="B115" s="19" t="inlineStr">
        <is>
          <t>Kiln seasoned and chemically treated hollock wood</t>
        </is>
      </c>
      <c r="C115" s="20" t="n"/>
      <c r="D115" s="20" t="n"/>
      <c r="E115" s="20" t="n"/>
      <c r="F115" s="20" t="n"/>
      <c r="G115" s="20" t="n"/>
    </row>
    <row r="116">
      <c r="A116" s="21" t="inlineStr">
        <is>
          <t>Details of cost for 36 cudm   |   Source: CivilDAR_2019_Vol_1.pdf, page 433</t>
        </is>
      </c>
    </row>
    <row r="117">
      <c r="A117" s="5" t="inlineStr">
        <is>
          <t>Code</t>
        </is>
      </c>
      <c r="B117" s="5" t="inlineStr">
        <is>
          <t>Description</t>
        </is>
      </c>
      <c r="C117" s="5" t="inlineStr">
        <is>
          <t>Unit</t>
        </is>
      </c>
      <c r="D117" s="5" t="inlineStr">
        <is>
          <t>Quantity</t>
        </is>
      </c>
      <c r="E117" s="5" t="inlineStr">
        <is>
          <t>Rate (Rs.)</t>
        </is>
      </c>
      <c r="F117" s="5" t="inlineStr">
        <is>
          <t>Amount (Rs.)</t>
        </is>
      </c>
      <c r="G117" s="5" t="inlineStr">
        <is>
          <t>Note</t>
        </is>
      </c>
    </row>
    <row r="118">
      <c r="A118" s="22" t="inlineStr">
        <is>
          <t>2466</t>
        </is>
      </c>
      <c r="B118" s="11" t="inlineStr">
        <is>
          <t>Hollock wood in scantling</t>
        </is>
      </c>
      <c r="C118" s="22" t="inlineStr">
        <is>
          <t>10 cudm</t>
        </is>
      </c>
      <c r="D118" s="23" t="n">
        <v>0.38</v>
      </c>
      <c r="E118" s="24" t="n">
        <v>350</v>
      </c>
      <c r="F118" s="24">
        <f>D118*E118</f>
        <v/>
      </c>
      <c r="G118" s="22" t="n"/>
    </row>
    <row r="119">
      <c r="A119" s="22" t="inlineStr">
        <is>
          <t>2204</t>
        </is>
      </c>
      <c r="B119" s="11" t="inlineStr">
        <is>
          <t>Carriage of Timber</t>
        </is>
      </c>
      <c r="C119" s="22" t="inlineStr">
        <is>
          <t>cum</t>
        </is>
      </c>
      <c r="D119" s="23" t="n">
        <v>0.0038</v>
      </c>
      <c r="E119" s="24" t="n">
        <v>118.59</v>
      </c>
      <c r="F119" s="24">
        <f>D119*E119</f>
        <v/>
      </c>
      <c r="G119" s="22" t="n"/>
    </row>
    <row r="120">
      <c r="A120" s="22" t="inlineStr">
        <is>
          <t>2504</t>
        </is>
      </c>
      <c r="B120" s="11" t="inlineStr">
        <is>
          <t>Kiln seasoning of timber</t>
        </is>
      </c>
      <c r="C120" s="22" t="inlineStr">
        <is>
          <t>cum</t>
        </is>
      </c>
      <c r="D120" s="23" t="n">
        <v>0.0038</v>
      </c>
      <c r="E120" s="24" t="n">
        <v>750</v>
      </c>
      <c r="F120" s="24">
        <f>D120*E120</f>
        <v/>
      </c>
      <c r="G120" s="22" t="n"/>
    </row>
    <row r="121">
      <c r="A121" s="22" t="inlineStr">
        <is>
          <t>9999</t>
        </is>
      </c>
      <c r="B121" s="11" t="inlineStr">
        <is>
          <t>Chemical treatment</t>
        </is>
      </c>
      <c r="C121" s="22" t="inlineStr">
        <is>
          <t>L.S.</t>
        </is>
      </c>
      <c r="D121" s="23" t="n">
        <v>0.9</v>
      </c>
      <c r="E121" s="24" t="n">
        <v>2</v>
      </c>
      <c r="F121" s="24">
        <f>D121*E121</f>
        <v/>
      </c>
      <c r="G121" s="22" t="n"/>
    </row>
    <row r="122">
      <c r="A122" s="22" t="inlineStr">
        <is>
          <t>0156</t>
        </is>
      </c>
      <c r="B122" s="11" t="inlineStr">
        <is>
          <t>Carpenter (average)</t>
        </is>
      </c>
      <c r="C122" s="22" t="inlineStr">
        <is>
          <t>day</t>
        </is>
      </c>
      <c r="D122" s="23" t="n">
        <v>0.07199999999999999</v>
      </c>
      <c r="E122" s="24" t="n">
        <v>709</v>
      </c>
      <c r="F122" s="24">
        <f>D122*E122</f>
        <v/>
      </c>
      <c r="G122" s="22" t="n"/>
    </row>
    <row r="123">
      <c r="A123" s="22" t="inlineStr">
        <is>
          <t>0114</t>
        </is>
      </c>
      <c r="B123" s="11" t="inlineStr">
        <is>
          <t>Beldar</t>
        </is>
      </c>
      <c r="C123" s="22" t="inlineStr">
        <is>
          <t>day</t>
        </is>
      </c>
      <c r="D123" s="23" t="n">
        <v>0.007</v>
      </c>
      <c r="E123" s="24" t="n">
        <v>558</v>
      </c>
      <c r="F123" s="24">
        <f>D123*E123</f>
        <v/>
      </c>
      <c r="G123" s="22" t="n"/>
    </row>
    <row r="124">
      <c r="A124" s="8" t="inlineStr">
        <is>
          <t>Calculated W - SUM of the Amount column above</t>
        </is>
      </c>
      <c r="B124" s="9" t="n"/>
      <c r="C124" s="9" t="n"/>
      <c r="D124" s="9" t="n"/>
      <c r="E124" s="9" t="n"/>
      <c r="F124" s="25">
        <f>SUM(F118:F123)</f>
        <v/>
      </c>
      <c r="G124" s="9" t="n"/>
    </row>
    <row r="125">
      <c r="A125" s="26" t="inlineStr">
        <is>
          <t>W as printed in the DAR</t>
        </is>
      </c>
      <c r="B125" s="22" t="n"/>
      <c r="C125" s="22" t="n"/>
      <c r="D125" s="22" t="n"/>
      <c r="E125" s="22" t="n"/>
      <c r="F125" s="27" t="n">
        <v>193.05</v>
      </c>
      <c r="G125" s="22" t="n"/>
    </row>
    <row r="126">
      <c r="A126" s="26" t="inlineStr">
        <is>
          <t>Difference (calculated - printed)</t>
        </is>
      </c>
      <c r="B126" s="22" t="n"/>
      <c r="C126" s="22" t="n"/>
      <c r="D126" s="22" t="n"/>
      <c r="E126" s="22" t="n"/>
      <c r="F126" s="27">
        <f>F124-F125</f>
        <v/>
      </c>
      <c r="G126" s="22" t="n"/>
    </row>
    <row r="127">
      <c r="A127" s="29" t="inlineStr">
        <is>
          <t>SAY (Rs.) - final DAR rate as printed (fixed value, not computed)</t>
        </is>
      </c>
      <c r="B127" s="30" t="n"/>
      <c r="C127" s="30" t="n"/>
      <c r="D127" s="30" t="n"/>
      <c r="E127" s="30" t="n"/>
      <c r="F127" s="31" t="n">
        <v>7175</v>
      </c>
      <c r="G127" s="30" t="n"/>
    </row>
    <row r="129" ht="47.5" customHeight="1">
      <c r="A129" s="8" t="inlineStr">
        <is>
          <t>9.5</t>
        </is>
      </c>
      <c r="B129"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129" s="9" t="n"/>
      <c r="D129" s="9" t="n"/>
      <c r="E129" s="9" t="n"/>
      <c r="F129" s="9" t="n"/>
      <c r="G129" s="9" t="n"/>
    </row>
    <row r="130" ht="18.5" customHeight="1">
      <c r="A130" s="8" t="inlineStr">
        <is>
          <t>9.5.1</t>
        </is>
      </c>
      <c r="B130" s="17" t="inlineStr">
        <is>
          <t>Second class teak wood</t>
        </is>
      </c>
      <c r="C130" s="9" t="n"/>
      <c r="D130" s="9" t="n"/>
      <c r="E130" s="9" t="n"/>
      <c r="F130" s="9" t="n"/>
      <c r="G130" s="9" t="n"/>
    </row>
    <row r="131" ht="18.5" customHeight="1">
      <c r="A131" s="18" t="inlineStr">
        <is>
          <t>9.5.1.1</t>
        </is>
      </c>
      <c r="B131" s="19" t="inlineStr">
        <is>
          <t>35 mm thick shutters</t>
        </is>
      </c>
      <c r="C131" s="20" t="n"/>
      <c r="D131" s="20" t="n"/>
      <c r="E131" s="20" t="n"/>
      <c r="F131" s="20" t="n"/>
      <c r="G131" s="20" t="n"/>
    </row>
    <row r="132">
      <c r="A132" s="21" t="inlineStr">
        <is>
          <t>Details of cost for 2.16 sqm   |   Source: CivilDAR_2019_Vol_1.pdf, page 433</t>
        </is>
      </c>
    </row>
    <row r="133">
      <c r="A133" s="5" t="inlineStr">
        <is>
          <t>Code</t>
        </is>
      </c>
      <c r="B133" s="5" t="inlineStr">
        <is>
          <t>Description</t>
        </is>
      </c>
      <c r="C133" s="5" t="inlineStr">
        <is>
          <t>Unit</t>
        </is>
      </c>
      <c r="D133" s="5" t="inlineStr">
        <is>
          <t>Quantity</t>
        </is>
      </c>
      <c r="E133" s="5" t="inlineStr">
        <is>
          <t>Rate (Rs.)</t>
        </is>
      </c>
      <c r="F133" s="5" t="inlineStr">
        <is>
          <t>Amount (Rs.)</t>
        </is>
      </c>
      <c r="G133" s="5" t="inlineStr">
        <is>
          <t>Note</t>
        </is>
      </c>
    </row>
    <row r="134">
      <c r="A134" s="22" t="inlineStr">
        <is>
          <t>1190</t>
        </is>
      </c>
      <c r="B134" s="11" t="inlineStr">
        <is>
          <t>Second class teak wood in planks</t>
        </is>
      </c>
      <c r="C134" s="22" t="inlineStr">
        <is>
          <t>10 cudm</t>
        </is>
      </c>
      <c r="D134" s="23" t="n">
        <v>5.1</v>
      </c>
      <c r="E134" s="24" t="n">
        <v>791</v>
      </c>
      <c r="F134" s="24">
        <f>D134*E134</f>
        <v/>
      </c>
      <c r="G134" s="22" t="n"/>
    </row>
    <row r="135">
      <c r="A135" s="22" t="inlineStr">
        <is>
          <t>2204</t>
        </is>
      </c>
      <c r="B135" s="11" t="inlineStr">
        <is>
          <t>Carriage of Timber</t>
        </is>
      </c>
      <c r="C135" s="22" t="inlineStr">
        <is>
          <t>cum</t>
        </is>
      </c>
      <c r="D135" s="23" t="n">
        <v>0.051</v>
      </c>
      <c r="E135" s="24" t="n">
        <v>118.59</v>
      </c>
      <c r="F135" s="24">
        <f>D135*E135</f>
        <v/>
      </c>
      <c r="G135" s="22" t="n"/>
    </row>
    <row r="136">
      <c r="A136" s="22" t="inlineStr">
        <is>
          <t>0156</t>
        </is>
      </c>
      <c r="B136" s="11" t="inlineStr">
        <is>
          <t>Carpenter (average)</t>
        </is>
      </c>
      <c r="C136" s="22" t="inlineStr">
        <is>
          <t>day</t>
        </is>
      </c>
      <c r="D136" s="23" t="n">
        <v>1.83</v>
      </c>
      <c r="E136" s="24" t="n">
        <v>709</v>
      </c>
      <c r="F136" s="24">
        <f>D136*E136</f>
        <v/>
      </c>
      <c r="G136" s="22" t="n"/>
    </row>
    <row r="137">
      <c r="A137" s="22" t="inlineStr">
        <is>
          <t>0114</t>
        </is>
      </c>
      <c r="B137" s="11" t="inlineStr">
        <is>
          <t>Beldar</t>
        </is>
      </c>
      <c r="C137" s="22" t="inlineStr">
        <is>
          <t>day</t>
        </is>
      </c>
      <c r="D137" s="23" t="n">
        <v>0.76</v>
      </c>
      <c r="E137" s="24" t="n">
        <v>558</v>
      </c>
      <c r="F137" s="24">
        <f>D137*E137</f>
        <v/>
      </c>
      <c r="G137" s="22" t="n"/>
    </row>
    <row r="138">
      <c r="A138" s="22" t="inlineStr">
        <is>
          <t>9999</t>
        </is>
      </c>
      <c r="B138" s="11" t="inlineStr">
        <is>
          <t>Sundries</t>
        </is>
      </c>
      <c r="C138" s="22" t="inlineStr">
        <is>
          <t>L.S.</t>
        </is>
      </c>
      <c r="D138" s="23" t="n">
        <v>35.88</v>
      </c>
      <c r="E138" s="24" t="n">
        <v>2</v>
      </c>
      <c r="F138" s="24">
        <f>D138*E138</f>
        <v/>
      </c>
      <c r="G138" s="22" t="n"/>
    </row>
    <row r="139">
      <c r="A139" s="8" t="inlineStr">
        <is>
          <t>Calculated W - SUM of the Amount column above</t>
        </is>
      </c>
      <c r="B139" s="9" t="n"/>
      <c r="C139" s="9" t="n"/>
      <c r="D139" s="9" t="n"/>
      <c r="E139" s="9" t="n"/>
      <c r="F139" s="25">
        <f>SUM(F134:F138)</f>
        <v/>
      </c>
      <c r="G139" s="9" t="n"/>
    </row>
    <row r="140">
      <c r="A140" s="26" t="inlineStr">
        <is>
          <t>W as printed in the DAR</t>
        </is>
      </c>
      <c r="B140" s="22" t="n"/>
      <c r="C140" s="22" t="n"/>
      <c r="D140" s="22" t="n"/>
      <c r="E140" s="22" t="n"/>
      <c r="F140" s="27" t="n">
        <v>5833.46</v>
      </c>
      <c r="G140" s="22" t="n"/>
    </row>
    <row r="141">
      <c r="A141" s="26" t="inlineStr">
        <is>
          <t>Difference (calculated - printed)</t>
        </is>
      </c>
      <c r="B141" s="22" t="n"/>
      <c r="C141" s="22" t="n"/>
      <c r="D141" s="22" t="n"/>
      <c r="E141" s="22" t="n"/>
      <c r="F141" s="27">
        <f>F139-F140</f>
        <v/>
      </c>
      <c r="G141" s="22" t="n"/>
    </row>
    <row r="142">
      <c r="A142" s="29" t="inlineStr">
        <is>
          <t>SAY (Rs.) - final DAR rate as printed (fixed value, not computed)</t>
        </is>
      </c>
      <c r="B142" s="30" t="n"/>
      <c r="C142" s="30" t="n"/>
      <c r="D142" s="30" t="n"/>
      <c r="E142" s="30" t="n"/>
      <c r="F142" s="31" t="n">
        <v>3613.35</v>
      </c>
      <c r="G142" s="30" t="n"/>
    </row>
    <row r="144" ht="47.5" customHeight="1">
      <c r="A144" s="8" t="inlineStr">
        <is>
          <t>9.5</t>
        </is>
      </c>
      <c r="B144"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144" s="9" t="n"/>
      <c r="D144" s="9" t="n"/>
      <c r="E144" s="9" t="n"/>
      <c r="F144" s="9" t="n"/>
      <c r="G144" s="9" t="n"/>
    </row>
    <row r="145" ht="18.5" customHeight="1">
      <c r="A145" s="8" t="inlineStr">
        <is>
          <t>9.5.1</t>
        </is>
      </c>
      <c r="B145" s="17" t="inlineStr">
        <is>
          <t>Second class teak wood</t>
        </is>
      </c>
      <c r="C145" s="9" t="n"/>
      <c r="D145" s="9" t="n"/>
      <c r="E145" s="9" t="n"/>
      <c r="F145" s="9" t="n"/>
      <c r="G145" s="9" t="n"/>
    </row>
    <row r="146" ht="18.5" customHeight="1">
      <c r="A146" s="18" t="inlineStr">
        <is>
          <t>9.5.1.2</t>
        </is>
      </c>
      <c r="B146" s="19" t="inlineStr">
        <is>
          <t>30 mm thick shutters</t>
        </is>
      </c>
      <c r="C146" s="20" t="n"/>
      <c r="D146" s="20" t="n"/>
      <c r="E146" s="20" t="n"/>
      <c r="F146" s="20" t="n"/>
      <c r="G146" s="20" t="n"/>
    </row>
    <row r="147">
      <c r="A147" s="21" t="inlineStr">
        <is>
          <t>Details of cost for 2.16 sqm   |   Source: CivilDAR_2019_Vol_1.pdf, page 434</t>
        </is>
      </c>
    </row>
    <row r="148">
      <c r="A148" s="5" t="inlineStr">
        <is>
          <t>Code</t>
        </is>
      </c>
      <c r="B148" s="5" t="inlineStr">
        <is>
          <t>Description</t>
        </is>
      </c>
      <c r="C148" s="5" t="inlineStr">
        <is>
          <t>Unit</t>
        </is>
      </c>
      <c r="D148" s="5" t="inlineStr">
        <is>
          <t>Quantity</t>
        </is>
      </c>
      <c r="E148" s="5" t="inlineStr">
        <is>
          <t>Rate (Rs.)</t>
        </is>
      </c>
      <c r="F148" s="5" t="inlineStr">
        <is>
          <t>Amount (Rs.)</t>
        </is>
      </c>
      <c r="G148" s="5" t="inlineStr">
        <is>
          <t>Note</t>
        </is>
      </c>
    </row>
    <row r="149">
      <c r="A149" s="22" t="inlineStr">
        <is>
          <t>1190</t>
        </is>
      </c>
      <c r="B149" s="11" t="inlineStr">
        <is>
          <t>Second class teak wood in planks</t>
        </is>
      </c>
      <c r="C149" s="22" t="inlineStr">
        <is>
          <t>10 cudm</t>
        </is>
      </c>
      <c r="D149" s="23" t="n">
        <v>4.4</v>
      </c>
      <c r="E149" s="24" t="n">
        <v>791</v>
      </c>
      <c r="F149" s="24">
        <f>D149*E149</f>
        <v/>
      </c>
      <c r="G149" s="22" t="n"/>
    </row>
    <row r="150">
      <c r="A150" s="22" t="inlineStr">
        <is>
          <t>2204</t>
        </is>
      </c>
      <c r="B150" s="11" t="inlineStr">
        <is>
          <t>Carriage of Timber</t>
        </is>
      </c>
      <c r="C150" s="22" t="inlineStr">
        <is>
          <t>cum</t>
        </is>
      </c>
      <c r="D150" s="23" t="n">
        <v>0.044</v>
      </c>
      <c r="E150" s="24" t="n">
        <v>118.59</v>
      </c>
      <c r="F150" s="24">
        <f>D150*E150</f>
        <v/>
      </c>
      <c r="G150" s="22" t="n"/>
    </row>
    <row r="151">
      <c r="A151" s="22" t="inlineStr">
        <is>
          <t>0156</t>
        </is>
      </c>
      <c r="B151" s="11" t="inlineStr">
        <is>
          <t>Carpenter (average)</t>
        </is>
      </c>
      <c r="C151" s="22" t="inlineStr">
        <is>
          <t>day</t>
        </is>
      </c>
      <c r="D151" s="23" t="n">
        <v>1.83</v>
      </c>
      <c r="E151" s="24" t="n">
        <v>709</v>
      </c>
      <c r="F151" s="24">
        <f>D151*E151</f>
        <v/>
      </c>
      <c r="G151" s="22" t="n"/>
    </row>
    <row r="152">
      <c r="A152" s="22" t="inlineStr">
        <is>
          <t>0114</t>
        </is>
      </c>
      <c r="B152" s="11" t="inlineStr">
        <is>
          <t>Beldar</t>
        </is>
      </c>
      <c r="C152" s="22" t="inlineStr">
        <is>
          <t>day</t>
        </is>
      </c>
      <c r="D152" s="23" t="n">
        <v>0.76</v>
      </c>
      <c r="E152" s="24" t="n">
        <v>558</v>
      </c>
      <c r="F152" s="24">
        <f>D152*E152</f>
        <v/>
      </c>
      <c r="G152" s="22" t="n"/>
    </row>
    <row r="153">
      <c r="A153" s="22" t="inlineStr">
        <is>
          <t>9999</t>
        </is>
      </c>
      <c r="B153" s="11" t="inlineStr">
        <is>
          <t>Sundries</t>
        </is>
      </c>
      <c r="C153" s="22" t="inlineStr">
        <is>
          <t>L.S.</t>
        </is>
      </c>
      <c r="D153" s="23" t="n">
        <v>35.88</v>
      </c>
      <c r="E153" s="24" t="n">
        <v>2</v>
      </c>
      <c r="F153" s="24">
        <f>D153*E153</f>
        <v/>
      </c>
      <c r="G153" s="22" t="n"/>
    </row>
    <row r="154">
      <c r="A154" s="8" t="inlineStr">
        <is>
          <t>Calculated W - SUM of the Amount column above</t>
        </is>
      </c>
      <c r="B154" s="9" t="n"/>
      <c r="C154" s="9" t="n"/>
      <c r="D154" s="9" t="n"/>
      <c r="E154" s="9" t="n"/>
      <c r="F154" s="25">
        <f>SUM(F149:F153)</f>
        <v/>
      </c>
      <c r="G154" s="9" t="n"/>
    </row>
    <row r="155">
      <c r="A155" s="26" t="inlineStr">
        <is>
          <t>W as printed in the DAR</t>
        </is>
      </c>
      <c r="B155" s="22" t="n"/>
      <c r="C155" s="22" t="n"/>
      <c r="D155" s="22" t="n"/>
      <c r="E155" s="22" t="n"/>
      <c r="F155" s="27" t="n">
        <v>5278.93</v>
      </c>
      <c r="G155" s="22" t="n"/>
    </row>
    <row r="156">
      <c r="A156" s="26" t="inlineStr">
        <is>
          <t>Difference (calculated - printed)</t>
        </is>
      </c>
      <c r="B156" s="22" t="n"/>
      <c r="C156" s="22" t="n"/>
      <c r="D156" s="22" t="n"/>
      <c r="E156" s="22" t="n"/>
      <c r="F156" s="27">
        <f>F154-F155</f>
        <v/>
      </c>
      <c r="G156" s="22" t="n"/>
    </row>
    <row r="157">
      <c r="A157" s="29" t="inlineStr">
        <is>
          <t>SAY (Rs.) - final DAR rate as printed (fixed value, not computed)</t>
        </is>
      </c>
      <c r="B157" s="30" t="n"/>
      <c r="C157" s="30" t="n"/>
      <c r="D157" s="30" t="n"/>
      <c r="E157" s="30" t="n"/>
      <c r="F157" s="31" t="n">
        <v>3269.85</v>
      </c>
      <c r="G157" s="30" t="n"/>
    </row>
    <row r="159" ht="47.5" customHeight="1">
      <c r="A159" s="8" t="inlineStr">
        <is>
          <t>9.5</t>
        </is>
      </c>
      <c r="B159"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159" s="9" t="n"/>
      <c r="D159" s="9" t="n"/>
      <c r="E159" s="9" t="n"/>
      <c r="F159" s="9" t="n"/>
      <c r="G159" s="9" t="n"/>
    </row>
    <row r="160" ht="18.5" customHeight="1">
      <c r="A160" s="8" t="inlineStr">
        <is>
          <t>9.5.2</t>
        </is>
      </c>
      <c r="B160" s="17" t="inlineStr">
        <is>
          <t>Kiln seasoned and chemically treated hollock wood</t>
        </is>
      </c>
      <c r="C160" s="9" t="n"/>
      <c r="D160" s="9" t="n"/>
      <c r="E160" s="9" t="n"/>
      <c r="F160" s="9" t="n"/>
      <c r="G160" s="9" t="n"/>
    </row>
    <row r="161" ht="18.5" customHeight="1">
      <c r="A161" s="18" t="inlineStr">
        <is>
          <t>9.5.2.1</t>
        </is>
      </c>
      <c r="B161" s="19" t="inlineStr">
        <is>
          <t>35 mm thick shutters</t>
        </is>
      </c>
      <c r="C161" s="20" t="n"/>
      <c r="D161" s="20" t="n"/>
      <c r="E161" s="20" t="n"/>
      <c r="F161" s="20" t="n"/>
      <c r="G161" s="20" t="n"/>
    </row>
    <row r="162">
      <c r="A162" s="21" t="inlineStr">
        <is>
          <t>Details of cost for 2.16 sqm   |   Source: CivilDAR_2019_Vol_1.pdf, page 435</t>
        </is>
      </c>
    </row>
    <row r="163">
      <c r="A163" s="5" t="inlineStr">
        <is>
          <t>Code</t>
        </is>
      </c>
      <c r="B163" s="5" t="inlineStr">
        <is>
          <t>Description</t>
        </is>
      </c>
      <c r="C163" s="5" t="inlineStr">
        <is>
          <t>Unit</t>
        </is>
      </c>
      <c r="D163" s="5" t="inlineStr">
        <is>
          <t>Quantity</t>
        </is>
      </c>
      <c r="E163" s="5" t="inlineStr">
        <is>
          <t>Rate (Rs.)</t>
        </is>
      </c>
      <c r="F163" s="5" t="inlineStr">
        <is>
          <t>Amount (Rs.)</t>
        </is>
      </c>
      <c r="G163" s="5" t="inlineStr">
        <is>
          <t>Note</t>
        </is>
      </c>
    </row>
    <row r="164">
      <c r="A164" s="22" t="inlineStr">
        <is>
          <t>2505</t>
        </is>
      </c>
      <c r="B164" s="11" t="inlineStr">
        <is>
          <t>Hollock wood in planks</t>
        </is>
      </c>
      <c r="C164" s="22" t="inlineStr">
        <is>
          <t>10 cudm</t>
        </is>
      </c>
      <c r="D164" s="23" t="n">
        <v>5.1</v>
      </c>
      <c r="E164" s="24" t="n">
        <v>390</v>
      </c>
      <c r="F164" s="24">
        <f>D164*E164</f>
        <v/>
      </c>
      <c r="G164" s="22" t="n"/>
    </row>
    <row r="165">
      <c r="A165" s="22" t="inlineStr">
        <is>
          <t>2204</t>
        </is>
      </c>
      <c r="B165" s="11" t="inlineStr">
        <is>
          <t>Carriage of Timber</t>
        </is>
      </c>
      <c r="C165" s="22" t="inlineStr">
        <is>
          <t>cum</t>
        </is>
      </c>
      <c r="D165" s="23" t="n">
        <v>0.051</v>
      </c>
      <c r="E165" s="24" t="n">
        <v>118.59</v>
      </c>
      <c r="F165" s="24">
        <f>D165*E165</f>
        <v/>
      </c>
      <c r="G165" s="22" t="n"/>
    </row>
    <row r="166">
      <c r="A166" s="22" t="inlineStr">
        <is>
          <t>2504</t>
        </is>
      </c>
      <c r="B166" s="11" t="inlineStr">
        <is>
          <t>Kiln seasoning of timber</t>
        </is>
      </c>
      <c r="C166" s="22" t="inlineStr">
        <is>
          <t>cum</t>
        </is>
      </c>
      <c r="D166" s="23" t="n">
        <v>0.051</v>
      </c>
      <c r="E166" s="24" t="n">
        <v>750</v>
      </c>
      <c r="F166" s="24">
        <f>D166*E166</f>
        <v/>
      </c>
      <c r="G166" s="22" t="n"/>
    </row>
    <row r="167">
      <c r="A167" s="22" t="inlineStr">
        <is>
          <t>9999</t>
        </is>
      </c>
      <c r="B167" s="11" t="inlineStr">
        <is>
          <t>Chemical treatment</t>
        </is>
      </c>
      <c r="C167" s="22" t="inlineStr">
        <is>
          <t>L.S.</t>
        </is>
      </c>
      <c r="D167" s="23" t="n">
        <v>9.1</v>
      </c>
      <c r="E167" s="24" t="n">
        <v>2</v>
      </c>
      <c r="F167" s="24">
        <f>D167*E167</f>
        <v/>
      </c>
      <c r="G167" s="22" t="n"/>
    </row>
    <row r="168">
      <c r="A168" s="22" t="inlineStr">
        <is>
          <t>0156</t>
        </is>
      </c>
      <c r="B168" s="11" t="inlineStr">
        <is>
          <t>Carpenter (average)</t>
        </is>
      </c>
      <c r="C168" s="22" t="inlineStr">
        <is>
          <t>day</t>
        </is>
      </c>
      <c r="D168" s="23" t="n">
        <v>1.83</v>
      </c>
      <c r="E168" s="24" t="n">
        <v>709</v>
      </c>
      <c r="F168" s="24">
        <f>D168*E168</f>
        <v/>
      </c>
      <c r="G168" s="22" t="n"/>
    </row>
    <row r="169">
      <c r="A169" s="22" t="inlineStr">
        <is>
          <t>0114</t>
        </is>
      </c>
      <c r="B169" s="11" t="inlineStr">
        <is>
          <t>Beldar</t>
        </is>
      </c>
      <c r="C169" s="22" t="inlineStr">
        <is>
          <t>day</t>
        </is>
      </c>
      <c r="D169" s="23" t="n">
        <v>0.76</v>
      </c>
      <c r="E169" s="24" t="n">
        <v>558</v>
      </c>
      <c r="F169" s="24">
        <f>D169*E169</f>
        <v/>
      </c>
      <c r="G169" s="22" t="n"/>
    </row>
    <row r="170">
      <c r="A170" s="22" t="inlineStr">
        <is>
          <t>9999</t>
        </is>
      </c>
      <c r="B170" s="11" t="inlineStr">
        <is>
          <t>Sundries</t>
        </is>
      </c>
      <c r="C170" s="22" t="inlineStr">
        <is>
          <t>L.S.</t>
        </is>
      </c>
      <c r="D170" s="23" t="n">
        <v>35.88</v>
      </c>
      <c r="E170" s="24" t="n">
        <v>2</v>
      </c>
      <c r="F170" s="24">
        <f>D170*E170</f>
        <v/>
      </c>
      <c r="G170" s="22" t="n"/>
    </row>
    <row r="171">
      <c r="A171" s="8" t="inlineStr">
        <is>
          <t>Calculated W - SUM of the Amount column above</t>
        </is>
      </c>
      <c r="B171" s="9" t="n"/>
      <c r="C171" s="9" t="n"/>
      <c r="D171" s="9" t="n"/>
      <c r="E171" s="9" t="n"/>
      <c r="F171" s="25">
        <f>SUM(F164:F170)</f>
        <v/>
      </c>
      <c r="G171" s="9" t="n"/>
    </row>
    <row r="172">
      <c r="A172" s="26" t="inlineStr">
        <is>
          <t>W as printed in the DAR</t>
        </is>
      </c>
      <c r="B172" s="22" t="n"/>
      <c r="C172" s="22" t="n"/>
      <c r="D172" s="22" t="n"/>
      <c r="E172" s="22" t="n"/>
      <c r="F172" s="27" t="n">
        <v>3844.81</v>
      </c>
      <c r="G172" s="22" t="n"/>
    </row>
    <row r="173">
      <c r="A173" s="26" t="inlineStr">
        <is>
          <t>Difference (calculated - printed)</t>
        </is>
      </c>
      <c r="B173" s="22" t="n"/>
      <c r="C173" s="22" t="n"/>
      <c r="D173" s="22" t="n"/>
      <c r="E173" s="22" t="n"/>
      <c r="F173" s="27">
        <f>F171-F172</f>
        <v/>
      </c>
      <c r="G173" s="22" t="n"/>
    </row>
    <row r="174">
      <c r="A174" s="29" t="inlineStr">
        <is>
          <t>SAY (Rs.) - final DAR rate as printed (fixed value, not computed)</t>
        </is>
      </c>
      <c r="B174" s="30" t="n"/>
      <c r="C174" s="30" t="n"/>
      <c r="D174" s="30" t="n"/>
      <c r="E174" s="30" t="n"/>
      <c r="F174" s="31" t="n">
        <v>2381.55</v>
      </c>
      <c r="G174" s="30" t="n"/>
    </row>
    <row r="176" ht="47.5" customHeight="1">
      <c r="A176" s="8" t="inlineStr">
        <is>
          <t>9.5</t>
        </is>
      </c>
      <c r="B176"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176" s="9" t="n"/>
      <c r="D176" s="9" t="n"/>
      <c r="E176" s="9" t="n"/>
      <c r="F176" s="9" t="n"/>
      <c r="G176" s="9" t="n"/>
    </row>
    <row r="177" ht="18.5" customHeight="1">
      <c r="A177" s="8" t="inlineStr">
        <is>
          <t>9.5.2</t>
        </is>
      </c>
      <c r="B177" s="17" t="inlineStr">
        <is>
          <t>Kiln seasoned and chemically treated hollock wood</t>
        </is>
      </c>
      <c r="C177" s="9" t="n"/>
      <c r="D177" s="9" t="n"/>
      <c r="E177" s="9" t="n"/>
      <c r="F177" s="9" t="n"/>
      <c r="G177" s="9" t="n"/>
    </row>
    <row r="178" ht="18.5" customHeight="1">
      <c r="A178" s="18" t="inlineStr">
        <is>
          <t>9.5.2.2</t>
        </is>
      </c>
      <c r="B178" s="19" t="inlineStr">
        <is>
          <t>30 mm thick shutters</t>
        </is>
      </c>
      <c r="C178" s="20" t="n"/>
      <c r="D178" s="20" t="n"/>
      <c r="E178" s="20" t="n"/>
      <c r="F178" s="20" t="n"/>
      <c r="G178" s="20" t="n"/>
    </row>
    <row r="179">
      <c r="A179" s="21" t="inlineStr">
        <is>
          <t>Details of cost for 2.16 sqm   |   Source: CivilDAR_2019_Vol_1.pdf, page 436</t>
        </is>
      </c>
    </row>
    <row r="180">
      <c r="A180" s="5" t="inlineStr">
        <is>
          <t>Code</t>
        </is>
      </c>
      <c r="B180" s="5" t="inlineStr">
        <is>
          <t>Description</t>
        </is>
      </c>
      <c r="C180" s="5" t="inlineStr">
        <is>
          <t>Unit</t>
        </is>
      </c>
      <c r="D180" s="5" t="inlineStr">
        <is>
          <t>Quantity</t>
        </is>
      </c>
      <c r="E180" s="5" t="inlineStr">
        <is>
          <t>Rate (Rs.)</t>
        </is>
      </c>
      <c r="F180" s="5" t="inlineStr">
        <is>
          <t>Amount (Rs.)</t>
        </is>
      </c>
      <c r="G180" s="5" t="inlineStr">
        <is>
          <t>Note</t>
        </is>
      </c>
    </row>
    <row r="181">
      <c r="A181" s="22" t="inlineStr">
        <is>
          <t>2505</t>
        </is>
      </c>
      <c r="B181" s="11" t="inlineStr">
        <is>
          <t>Hollock wood in planks</t>
        </is>
      </c>
      <c r="C181" s="22" t="inlineStr">
        <is>
          <t>10 cudm</t>
        </is>
      </c>
      <c r="D181" s="23" t="n">
        <v>4.4</v>
      </c>
      <c r="E181" s="24" t="n">
        <v>390</v>
      </c>
      <c r="F181" s="24">
        <f>D181*E181</f>
        <v/>
      </c>
      <c r="G181" s="22" t="n"/>
    </row>
    <row r="182">
      <c r="A182" s="22" t="inlineStr">
        <is>
          <t>2204</t>
        </is>
      </c>
      <c r="B182" s="11" t="inlineStr">
        <is>
          <t>Carriage of Timber</t>
        </is>
      </c>
      <c r="C182" s="22" t="inlineStr">
        <is>
          <t>cum</t>
        </is>
      </c>
      <c r="D182" s="23" t="n">
        <v>0.044</v>
      </c>
      <c r="E182" s="24" t="n">
        <v>118.59</v>
      </c>
      <c r="F182" s="24">
        <f>D182*E182</f>
        <v/>
      </c>
      <c r="G182" s="22" t="n"/>
    </row>
    <row r="183">
      <c r="A183" s="22" t="inlineStr">
        <is>
          <t>2504</t>
        </is>
      </c>
      <c r="B183" s="11" t="inlineStr">
        <is>
          <t>Kiln seasoning of timber</t>
        </is>
      </c>
      <c r="C183" s="22" t="inlineStr">
        <is>
          <t>cum</t>
        </is>
      </c>
      <c r="D183" s="23" t="n">
        <v>0.044</v>
      </c>
      <c r="E183" s="24" t="n">
        <v>750</v>
      </c>
      <c r="F183" s="24">
        <f>D183*E183</f>
        <v/>
      </c>
      <c r="G183" s="22" t="n"/>
    </row>
    <row r="184">
      <c r="A184" s="22" t="inlineStr">
        <is>
          <t>9999</t>
        </is>
      </c>
      <c r="B184" s="11" t="inlineStr">
        <is>
          <t>Chemical treatment</t>
        </is>
      </c>
      <c r="C184" s="22" t="inlineStr">
        <is>
          <t>L.S.</t>
        </is>
      </c>
      <c r="D184" s="23" t="n">
        <v>9.1</v>
      </c>
      <c r="E184" s="24" t="n">
        <v>2</v>
      </c>
      <c r="F184" s="24">
        <f>D184*E184</f>
        <v/>
      </c>
      <c r="G184" s="22" t="n"/>
    </row>
    <row r="185">
      <c r="A185" s="22" t="inlineStr">
        <is>
          <t>0156</t>
        </is>
      </c>
      <c r="B185" s="11" t="inlineStr">
        <is>
          <t>Carpenter (average)</t>
        </is>
      </c>
      <c r="C185" s="22" t="inlineStr">
        <is>
          <t>day</t>
        </is>
      </c>
      <c r="D185" s="23" t="n">
        <v>1.83</v>
      </c>
      <c r="E185" s="24" t="n">
        <v>709</v>
      </c>
      <c r="F185" s="24">
        <f>D185*E185</f>
        <v/>
      </c>
      <c r="G185" s="22" t="n"/>
    </row>
    <row r="186">
      <c r="A186" s="22" t="inlineStr">
        <is>
          <t>0114</t>
        </is>
      </c>
      <c r="B186" s="11" t="inlineStr">
        <is>
          <t>Beldar</t>
        </is>
      </c>
      <c r="C186" s="22" t="inlineStr">
        <is>
          <t>day</t>
        </is>
      </c>
      <c r="D186" s="23" t="n">
        <v>0.76</v>
      </c>
      <c r="E186" s="24" t="n">
        <v>558</v>
      </c>
      <c r="F186" s="24">
        <f>D186*E186</f>
        <v/>
      </c>
      <c r="G186" s="22" t="n"/>
    </row>
    <row r="187">
      <c r="A187" s="22" t="inlineStr">
        <is>
          <t>9999</t>
        </is>
      </c>
      <c r="B187" s="11" t="inlineStr">
        <is>
          <t>Sundries</t>
        </is>
      </c>
      <c r="C187" s="22" t="inlineStr">
        <is>
          <t>L.S.</t>
        </is>
      </c>
      <c r="D187" s="23" t="n">
        <v>35.88</v>
      </c>
      <c r="E187" s="24" t="n">
        <v>2</v>
      </c>
      <c r="F187" s="24">
        <f>D187*E187</f>
        <v/>
      </c>
      <c r="G187" s="22" t="n"/>
    </row>
    <row r="188">
      <c r="A188" s="8" t="inlineStr">
        <is>
          <t>Calculated W - SUM of the Amount column above</t>
        </is>
      </c>
      <c r="B188" s="9" t="n"/>
      <c r="C188" s="9" t="n"/>
      <c r="D188" s="9" t="n"/>
      <c r="E188" s="9" t="n"/>
      <c r="F188" s="25">
        <f>SUM(F181:F187)</f>
        <v/>
      </c>
      <c r="G188" s="9" t="n"/>
    </row>
    <row r="189">
      <c r="A189" s="26" t="inlineStr">
        <is>
          <t>W as printed in the DAR</t>
        </is>
      </c>
      <c r="B189" s="22" t="n"/>
      <c r="C189" s="22" t="n"/>
      <c r="D189" s="22" t="n"/>
      <c r="E189" s="22" t="n"/>
      <c r="F189" s="27" t="n">
        <v>3565.73</v>
      </c>
      <c r="G189" s="22" t="n"/>
    </row>
    <row r="190">
      <c r="A190" s="26" t="inlineStr">
        <is>
          <t>Difference (calculated - printed)</t>
        </is>
      </c>
      <c r="B190" s="22" t="n"/>
      <c r="C190" s="22" t="n"/>
      <c r="D190" s="22" t="n"/>
      <c r="E190" s="22" t="n"/>
      <c r="F190" s="27">
        <f>F188-F189</f>
        <v/>
      </c>
      <c r="G190" s="22" t="n"/>
    </row>
    <row r="191">
      <c r="A191" s="29" t="inlineStr">
        <is>
          <t>SAY (Rs.) - final DAR rate as printed (fixed value, not computed)</t>
        </is>
      </c>
      <c r="B191" s="30" t="n"/>
      <c r="C191" s="30" t="n"/>
      <c r="D191" s="30" t="n"/>
      <c r="E191" s="30" t="n"/>
      <c r="F191" s="31" t="n">
        <v>2208.65</v>
      </c>
      <c r="G191" s="30" t="n"/>
    </row>
    <row r="193" ht="47.5" customHeight="1">
      <c r="A193" s="8" t="inlineStr">
        <is>
          <t>9.5</t>
        </is>
      </c>
      <c r="B193"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193" s="9" t="n"/>
      <c r="D193" s="9" t="n"/>
      <c r="E193" s="9" t="n"/>
      <c r="F193" s="9" t="n"/>
      <c r="G193" s="9" t="n"/>
    </row>
    <row r="194" ht="18.5" customHeight="1">
      <c r="A194" s="8" t="inlineStr">
        <is>
          <t>9.5.3</t>
        </is>
      </c>
      <c r="B194" s="17" t="inlineStr">
        <is>
          <t>Kiln seasoned selected planks of sheesham wood</t>
        </is>
      </c>
      <c r="C194" s="9" t="n"/>
      <c r="D194" s="9" t="n"/>
      <c r="E194" s="9" t="n"/>
      <c r="F194" s="9" t="n"/>
      <c r="G194" s="9" t="n"/>
    </row>
    <row r="195" ht="18.5" customHeight="1">
      <c r="A195" s="18" t="inlineStr">
        <is>
          <t>9.5.3.1</t>
        </is>
      </c>
      <c r="B195" s="19" t="inlineStr">
        <is>
          <t>35 mm thick shutters</t>
        </is>
      </c>
      <c r="C195" s="20" t="n"/>
      <c r="D195" s="20" t="n"/>
      <c r="E195" s="20" t="n"/>
      <c r="F195" s="20" t="n"/>
      <c r="G195" s="20" t="n"/>
    </row>
    <row r="196">
      <c r="A196" s="21" t="inlineStr">
        <is>
          <t>Details of cost for 2.16 sqm   |   Source: CivilDAR_2019_Vol_1.pdf, page 436</t>
        </is>
      </c>
    </row>
    <row r="197">
      <c r="A197" s="5" t="inlineStr">
        <is>
          <t>Code</t>
        </is>
      </c>
      <c r="B197" s="5" t="inlineStr">
        <is>
          <t>Description</t>
        </is>
      </c>
      <c r="C197" s="5" t="inlineStr">
        <is>
          <t>Unit</t>
        </is>
      </c>
      <c r="D197" s="5" t="inlineStr">
        <is>
          <t>Quantity</t>
        </is>
      </c>
      <c r="E197" s="5" t="inlineStr">
        <is>
          <t>Rate (Rs.)</t>
        </is>
      </c>
      <c r="F197" s="5" t="inlineStr">
        <is>
          <t>Amount (Rs.)</t>
        </is>
      </c>
      <c r="G197" s="5" t="inlineStr">
        <is>
          <t>Note</t>
        </is>
      </c>
    </row>
    <row r="198">
      <c r="A198" s="22" t="inlineStr">
        <is>
          <t>1200</t>
        </is>
      </c>
      <c r="B198" s="11" t="inlineStr">
        <is>
          <t>Kiln seasoned selected sheesum wood planks</t>
        </is>
      </c>
      <c r="C198" s="22" t="inlineStr">
        <is>
          <t>10 cudm</t>
        </is>
      </c>
      <c r="D198" s="23" t="n">
        <v>5.1</v>
      </c>
      <c r="E198" s="24" t="n">
        <v>650</v>
      </c>
      <c r="F198" s="24">
        <f>D198*E198</f>
        <v/>
      </c>
      <c r="G198" s="22" t="n"/>
    </row>
    <row r="199">
      <c r="A199" s="22" t="inlineStr">
        <is>
          <t>2204</t>
        </is>
      </c>
      <c r="B199" s="11" t="inlineStr">
        <is>
          <t>Carriage of Timber</t>
        </is>
      </c>
      <c r="C199" s="22" t="inlineStr">
        <is>
          <t>cum</t>
        </is>
      </c>
      <c r="D199" s="23" t="n">
        <v>0.051</v>
      </c>
      <c r="E199" s="24" t="n">
        <v>118.59</v>
      </c>
      <c r="F199" s="24">
        <f>D199*E199</f>
        <v/>
      </c>
      <c r="G199" s="22" t="n"/>
    </row>
    <row r="200">
      <c r="A200" s="22" t="inlineStr">
        <is>
          <t>2504</t>
        </is>
      </c>
      <c r="B200" s="11" t="inlineStr">
        <is>
          <t>Kiln seasoning of timber</t>
        </is>
      </c>
      <c r="C200" s="22" t="inlineStr">
        <is>
          <t>cum</t>
        </is>
      </c>
      <c r="D200" s="23" t="n">
        <v>0.051</v>
      </c>
      <c r="E200" s="24" t="n">
        <v>750</v>
      </c>
      <c r="F200" s="24">
        <f>D200*E200</f>
        <v/>
      </c>
      <c r="G200" s="22" t="n"/>
    </row>
    <row r="201">
      <c r="A201" s="22" t="inlineStr">
        <is>
          <t>0156</t>
        </is>
      </c>
      <c r="B201" s="11" t="inlineStr">
        <is>
          <t>Carpenter (average)</t>
        </is>
      </c>
      <c r="C201" s="22" t="inlineStr">
        <is>
          <t>day</t>
        </is>
      </c>
      <c r="D201" s="23" t="n">
        <v>1.83</v>
      </c>
      <c r="E201" s="24" t="n">
        <v>709</v>
      </c>
      <c r="F201" s="24">
        <f>D201*E201</f>
        <v/>
      </c>
      <c r="G201" s="22" t="n"/>
    </row>
    <row r="202">
      <c r="A202" s="22" t="inlineStr">
        <is>
          <t>0114</t>
        </is>
      </c>
      <c r="B202" s="11" t="inlineStr">
        <is>
          <t>Beldar</t>
        </is>
      </c>
      <c r="C202" s="22" t="inlineStr">
        <is>
          <t>day</t>
        </is>
      </c>
      <c r="D202" s="23" t="n">
        <v>0.76</v>
      </c>
      <c r="E202" s="24" t="n">
        <v>558</v>
      </c>
      <c r="F202" s="24">
        <f>D202*E202</f>
        <v/>
      </c>
      <c r="G202" s="22" t="n"/>
    </row>
    <row r="203">
      <c r="A203" s="22" t="inlineStr">
        <is>
          <t>9999</t>
        </is>
      </c>
      <c r="B203" s="11" t="inlineStr">
        <is>
          <t>Sundries</t>
        </is>
      </c>
      <c r="C203" s="22" t="inlineStr">
        <is>
          <t>L.S.</t>
        </is>
      </c>
      <c r="D203" s="23" t="n">
        <v>35.88</v>
      </c>
      <c r="E203" s="24" t="n">
        <v>2</v>
      </c>
      <c r="F203" s="24">
        <f>D203*E203</f>
        <v/>
      </c>
      <c r="G203" s="22" t="n"/>
    </row>
    <row r="204">
      <c r="A204" s="8" t="inlineStr">
        <is>
          <t>Calculated W - SUM of the Amount column above</t>
        </is>
      </c>
      <c r="B204" s="9" t="n"/>
      <c r="C204" s="9" t="n"/>
      <c r="D204" s="9" t="n"/>
      <c r="E204" s="9" t="n"/>
      <c r="F204" s="25">
        <f>SUM(F198:F203)</f>
        <v/>
      </c>
      <c r="G204" s="9" t="n"/>
    </row>
    <row r="205">
      <c r="A205" s="26" t="inlineStr">
        <is>
          <t>W as printed in the DAR</t>
        </is>
      </c>
      <c r="B205" s="22" t="n"/>
      <c r="C205" s="22" t="n"/>
      <c r="D205" s="22" t="n"/>
      <c r="E205" s="22" t="n"/>
      <c r="F205" s="27" t="n">
        <v>5152.61</v>
      </c>
      <c r="G205" s="22" t="n"/>
    </row>
    <row r="206">
      <c r="A206" s="26" t="inlineStr">
        <is>
          <t>Difference (calculated - printed)</t>
        </is>
      </c>
      <c r="B206" s="22" t="n"/>
      <c r="C206" s="22" t="n"/>
      <c r="D206" s="22" t="n"/>
      <c r="E206" s="22" t="n"/>
      <c r="F206" s="27">
        <f>F204-F205</f>
        <v/>
      </c>
      <c r="G206" s="22" t="n"/>
    </row>
    <row r="207">
      <c r="A207" s="29" t="inlineStr">
        <is>
          <t>SAY (Rs.) - final DAR rate as printed (fixed value, not computed)</t>
        </is>
      </c>
      <c r="B207" s="30" t="n"/>
      <c r="C207" s="30" t="n"/>
      <c r="D207" s="30" t="n"/>
      <c r="E207" s="30" t="n"/>
      <c r="F207" s="31" t="n">
        <v>3191.6</v>
      </c>
      <c r="G207" s="30" t="n"/>
    </row>
    <row r="209" ht="47.5" customHeight="1">
      <c r="A209" s="8" t="inlineStr">
        <is>
          <t>9.5</t>
        </is>
      </c>
      <c r="B209" s="1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is>
      </c>
      <c r="C209" s="9" t="n"/>
      <c r="D209" s="9" t="n"/>
      <c r="E209" s="9" t="n"/>
      <c r="F209" s="9" t="n"/>
      <c r="G209" s="9" t="n"/>
    </row>
    <row r="210" ht="18.5" customHeight="1">
      <c r="A210" s="8" t="inlineStr">
        <is>
          <t>9.5.3</t>
        </is>
      </c>
      <c r="B210" s="17" t="inlineStr">
        <is>
          <t>Kiln seasoned selected planks of sheesham wood</t>
        </is>
      </c>
      <c r="C210" s="9" t="n"/>
      <c r="D210" s="9" t="n"/>
      <c r="E210" s="9" t="n"/>
      <c r="F210" s="9" t="n"/>
      <c r="G210" s="9" t="n"/>
    </row>
    <row r="211" ht="18.5" customHeight="1">
      <c r="A211" s="18" t="inlineStr">
        <is>
          <t>9.5.3.2</t>
        </is>
      </c>
      <c r="B211" s="19" t="inlineStr">
        <is>
          <t>30 mm thick shutters</t>
        </is>
      </c>
      <c r="C211" s="20" t="n"/>
      <c r="D211" s="20" t="n"/>
      <c r="E211" s="20" t="n"/>
      <c r="F211" s="20" t="n"/>
      <c r="G211" s="20" t="n"/>
    </row>
    <row r="212">
      <c r="A212" s="21" t="inlineStr">
        <is>
          <t>Details of cost for 2.16 sqm   |   Source: CivilDAR_2019_Vol_1.pdf, page 437</t>
        </is>
      </c>
    </row>
    <row r="213">
      <c r="A213" s="5" t="inlineStr">
        <is>
          <t>Code</t>
        </is>
      </c>
      <c r="B213" s="5" t="inlineStr">
        <is>
          <t>Description</t>
        </is>
      </c>
      <c r="C213" s="5" t="inlineStr">
        <is>
          <t>Unit</t>
        </is>
      </c>
      <c r="D213" s="5" t="inlineStr">
        <is>
          <t>Quantity</t>
        </is>
      </c>
      <c r="E213" s="5" t="inlineStr">
        <is>
          <t>Rate (Rs.)</t>
        </is>
      </c>
      <c r="F213" s="5" t="inlineStr">
        <is>
          <t>Amount (Rs.)</t>
        </is>
      </c>
      <c r="G213" s="5" t="inlineStr">
        <is>
          <t>Note</t>
        </is>
      </c>
    </row>
    <row r="214">
      <c r="A214" s="22" t="inlineStr">
        <is>
          <t>1200</t>
        </is>
      </c>
      <c r="B214" s="11" t="inlineStr">
        <is>
          <t>Kiln seasoned selected sheesum wood planks</t>
        </is>
      </c>
      <c r="C214" s="22" t="inlineStr">
        <is>
          <t>10 cudm</t>
        </is>
      </c>
      <c r="D214" s="23" t="n">
        <v>4.4</v>
      </c>
      <c r="E214" s="24" t="n">
        <v>650</v>
      </c>
      <c r="F214" s="24">
        <f>D214*E214</f>
        <v/>
      </c>
      <c r="G214" s="22" t="n"/>
    </row>
    <row r="215">
      <c r="A215" s="22" t="inlineStr">
        <is>
          <t>2204</t>
        </is>
      </c>
      <c r="B215" s="11" t="inlineStr">
        <is>
          <t>Carriage of Timber</t>
        </is>
      </c>
      <c r="C215" s="22" t="inlineStr">
        <is>
          <t>cum</t>
        </is>
      </c>
      <c r="D215" s="23" t="n">
        <v>0.044</v>
      </c>
      <c r="E215" s="24" t="n">
        <v>118.59</v>
      </c>
      <c r="F215" s="24">
        <f>D215*E215</f>
        <v/>
      </c>
      <c r="G215" s="22" t="n"/>
    </row>
    <row r="216">
      <c r="A216" s="22" t="inlineStr">
        <is>
          <t>2504</t>
        </is>
      </c>
      <c r="B216" s="11" t="inlineStr">
        <is>
          <t>Kiln seasoning of timber</t>
        </is>
      </c>
      <c r="C216" s="22" t="inlineStr">
        <is>
          <t>cum</t>
        </is>
      </c>
      <c r="D216" s="23" t="n">
        <v>0.044</v>
      </c>
      <c r="E216" s="24" t="n">
        <v>750</v>
      </c>
      <c r="F216" s="24">
        <f>D216*E216</f>
        <v/>
      </c>
      <c r="G216" s="22" t="n"/>
    </row>
    <row r="217">
      <c r="A217" s="22" t="inlineStr">
        <is>
          <t>0156</t>
        </is>
      </c>
      <c r="B217" s="11" t="inlineStr">
        <is>
          <t>Carpenter (average)</t>
        </is>
      </c>
      <c r="C217" s="22" t="inlineStr">
        <is>
          <t>day</t>
        </is>
      </c>
      <c r="D217" s="23" t="n">
        <v>1.83</v>
      </c>
      <c r="E217" s="24" t="n">
        <v>709</v>
      </c>
      <c r="F217" s="24">
        <f>D217*E217</f>
        <v/>
      </c>
      <c r="G217" s="22" t="n"/>
    </row>
    <row r="218">
      <c r="A218" s="22" t="inlineStr">
        <is>
          <t>0114</t>
        </is>
      </c>
      <c r="B218" s="11" t="inlineStr">
        <is>
          <t>Beldar</t>
        </is>
      </c>
      <c r="C218" s="22" t="inlineStr">
        <is>
          <t>day</t>
        </is>
      </c>
      <c r="D218" s="23" t="n">
        <v>0.76</v>
      </c>
      <c r="E218" s="24" t="n">
        <v>558</v>
      </c>
      <c r="F218" s="24">
        <f>D218*E218</f>
        <v/>
      </c>
      <c r="G218" s="22" t="n"/>
    </row>
    <row r="219">
      <c r="A219" s="22" t="inlineStr">
        <is>
          <t>9999</t>
        </is>
      </c>
      <c r="B219" s="11" t="inlineStr">
        <is>
          <t>Sundries</t>
        </is>
      </c>
      <c r="C219" s="22" t="inlineStr">
        <is>
          <t>L.S.</t>
        </is>
      </c>
      <c r="D219" s="23" t="n">
        <v>35.88</v>
      </c>
      <c r="E219" s="24" t="n">
        <v>2</v>
      </c>
      <c r="F219" s="24">
        <f>D219*E219</f>
        <v/>
      </c>
      <c r="G219" s="22" t="n"/>
    </row>
    <row r="220">
      <c r="A220" s="8" t="inlineStr">
        <is>
          <t>Calculated W - SUM of the Amount column above</t>
        </is>
      </c>
      <c r="B220" s="9" t="n"/>
      <c r="C220" s="9" t="n"/>
      <c r="D220" s="9" t="n"/>
      <c r="E220" s="9" t="n"/>
      <c r="F220" s="25">
        <f>SUM(F214:F219)</f>
        <v/>
      </c>
      <c r="G220" s="9" t="n"/>
    </row>
    <row r="221">
      <c r="A221" s="26" t="inlineStr">
        <is>
          <t>W as printed in the DAR</t>
        </is>
      </c>
      <c r="B221" s="22" t="n"/>
      <c r="C221" s="22" t="n"/>
      <c r="D221" s="22" t="n"/>
      <c r="E221" s="22" t="n"/>
      <c r="F221" s="27" t="n">
        <v>4691.53</v>
      </c>
      <c r="G221" s="22" t="n"/>
    </row>
    <row r="222">
      <c r="A222" s="26" t="inlineStr">
        <is>
          <t>Difference (calculated - printed)</t>
        </is>
      </c>
      <c r="B222" s="22" t="n"/>
      <c r="C222" s="22" t="n"/>
      <c r="D222" s="22" t="n"/>
      <c r="E222" s="22" t="n"/>
      <c r="F222" s="27">
        <f>F220-F221</f>
        <v/>
      </c>
      <c r="G222" s="22" t="n"/>
    </row>
    <row r="223">
      <c r="A223" s="29" t="inlineStr">
        <is>
          <t>SAY (Rs.) - final DAR rate as printed (fixed value, not computed)</t>
        </is>
      </c>
      <c r="B223" s="30" t="n"/>
      <c r="C223" s="30" t="n"/>
      <c r="D223" s="30" t="n"/>
      <c r="E223" s="30" t="n"/>
      <c r="F223" s="31" t="n">
        <v>2906</v>
      </c>
      <c r="G223" s="30" t="n"/>
    </row>
    <row r="225" ht="47.5" customHeight="1">
      <c r="A225" s="8" t="inlineStr">
        <is>
          <t>9.6</t>
        </is>
      </c>
      <c r="B225" s="17"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is>
      </c>
      <c r="C225" s="9" t="n"/>
      <c r="D225" s="9" t="n"/>
      <c r="E225" s="9" t="n"/>
      <c r="F225" s="9" t="n"/>
      <c r="G225" s="9" t="n"/>
    </row>
    <row r="226" ht="33" customHeight="1">
      <c r="A226" s="18" t="inlineStr">
        <is>
          <t>9.6.1</t>
        </is>
      </c>
      <c r="B226" s="19" t="inlineStr">
        <is>
          <t>12 mm thick plain grade -1, medium density flat pressed three layer particle board FPT - I or graded wood particle board FPT- I, IS : 3087 marked, bonded with BWP type synthetic resin adhesive as per IS : 848 :</t>
        </is>
      </c>
      <c r="C226" s="20" t="n"/>
      <c r="D226" s="20" t="n"/>
      <c r="E226" s="20" t="n"/>
      <c r="F226" s="20" t="n"/>
      <c r="G226" s="20" t="n"/>
    </row>
    <row r="227">
      <c r="A227" s="21" t="inlineStr">
        <is>
          <t>Details of cost for 2.38 sqm   |   Source: CivilDAR_2019_Vol_1.pdf, page 438</t>
        </is>
      </c>
    </row>
    <row r="228">
      <c r="A228" s="5" t="inlineStr">
        <is>
          <t>Code</t>
        </is>
      </c>
      <c r="B228" s="5" t="inlineStr">
        <is>
          <t>Description</t>
        </is>
      </c>
      <c r="C228" s="5" t="inlineStr">
        <is>
          <t>Unit</t>
        </is>
      </c>
      <c r="D228" s="5" t="inlineStr">
        <is>
          <t>Quantity</t>
        </is>
      </c>
      <c r="E228" s="5" t="inlineStr">
        <is>
          <t>Rate (Rs.)</t>
        </is>
      </c>
      <c r="F228" s="5" t="inlineStr">
        <is>
          <t>Amount (Rs.)</t>
        </is>
      </c>
      <c r="G228" s="5" t="inlineStr">
        <is>
          <t>Note</t>
        </is>
      </c>
    </row>
    <row r="229">
      <c r="A229" s="22" t="inlineStr">
        <is>
          <t>7137</t>
        </is>
      </c>
      <c r="B229" s="11" t="inlineStr">
        <is>
          <t>Factory made 35 mm thick shutters with laminated veneer lumber styles rails as per TADS IS:1995 and panels of 12 mm thick plain type-I, medium density flat pressed three layer, graded particle board (FPT-I) as per IS:3087- 1985 bonded with BWP type synthetic resin adhesive, as per IS:848</t>
        </is>
      </c>
      <c r="C229" s="22" t="inlineStr">
        <is>
          <t>sqm</t>
        </is>
      </c>
      <c r="D229" s="23" t="n">
        <v>2.38</v>
      </c>
      <c r="E229" s="24" t="n">
        <v>1620</v>
      </c>
      <c r="F229" s="24">
        <f>D229*E229</f>
        <v/>
      </c>
      <c r="G229" s="22" t="n"/>
    </row>
    <row r="230">
      <c r="A230" s="22" t="inlineStr">
        <is>
          <t>9977</t>
        </is>
      </c>
      <c r="B230" s="11" t="inlineStr">
        <is>
          <t>Carriage of shutters</t>
        </is>
      </c>
      <c r="C230" s="22" t="inlineStr">
        <is>
          <t>L.S.</t>
        </is>
      </c>
      <c r="D230" s="23" t="n">
        <v>29.64</v>
      </c>
      <c r="E230" s="24" t="n">
        <v>2</v>
      </c>
      <c r="F230" s="24">
        <f>D230*E230</f>
        <v/>
      </c>
      <c r="G230" s="22" t="n"/>
    </row>
    <row r="231">
      <c r="A231" s="22" t="inlineStr">
        <is>
          <t>0156</t>
        </is>
      </c>
      <c r="B231" s="11" t="inlineStr">
        <is>
          <t>Carpenter (average)</t>
        </is>
      </c>
      <c r="C231" s="22" t="inlineStr">
        <is>
          <t>day</t>
        </is>
      </c>
      <c r="D231" s="23" t="n">
        <v>0.52</v>
      </c>
      <c r="E231" s="24" t="n">
        <v>709</v>
      </c>
      <c r="F231" s="24">
        <f>D231*E231</f>
        <v/>
      </c>
      <c r="G231" s="22" t="n"/>
    </row>
    <row r="232">
      <c r="A232" s="22" t="inlineStr">
        <is>
          <t>0114</t>
        </is>
      </c>
      <c r="B232" s="11" t="inlineStr">
        <is>
          <t>Beldar</t>
        </is>
      </c>
      <c r="C232" s="22" t="inlineStr">
        <is>
          <t>day</t>
        </is>
      </c>
      <c r="D232" s="23" t="n">
        <v>0.6</v>
      </c>
      <c r="E232" s="24" t="n">
        <v>558</v>
      </c>
      <c r="F232" s="24">
        <f>D232*E232</f>
        <v/>
      </c>
      <c r="G232" s="22" t="n"/>
    </row>
    <row r="233">
      <c r="A233" s="22" t="inlineStr">
        <is>
          <t>9999</t>
        </is>
      </c>
      <c r="B233" s="11" t="inlineStr">
        <is>
          <t>Sundries</t>
        </is>
      </c>
      <c r="C233" s="22" t="inlineStr">
        <is>
          <t>L.S.</t>
        </is>
      </c>
      <c r="D233" s="23" t="n">
        <v>35.88</v>
      </c>
      <c r="E233" s="24" t="n">
        <v>2</v>
      </c>
      <c r="F233" s="24">
        <f>D233*E233</f>
        <v/>
      </c>
      <c r="G233" s="22" t="n"/>
    </row>
    <row r="234">
      <c r="A234" s="8" t="inlineStr">
        <is>
          <t>Calculated W - SUM of the Amount column above</t>
        </is>
      </c>
      <c r="B234" s="9" t="n"/>
      <c r="C234" s="9" t="n"/>
      <c r="D234" s="9" t="n"/>
      <c r="E234" s="9" t="n"/>
      <c r="F234" s="25">
        <f>SUM(F229:F233)</f>
        <v/>
      </c>
      <c r="G234" s="9" t="n"/>
    </row>
    <row r="235">
      <c r="A235" s="26" t="inlineStr">
        <is>
          <t>W as printed in the DAR</t>
        </is>
      </c>
      <c r="B235" s="22" t="n"/>
      <c r="C235" s="22" t="n"/>
      <c r="D235" s="22" t="n"/>
      <c r="E235" s="22" t="n"/>
      <c r="F235" s="27" t="n">
        <v>4690.12</v>
      </c>
      <c r="G235" s="22" t="n"/>
    </row>
    <row r="236">
      <c r="A236" s="26" t="inlineStr">
        <is>
          <t>Difference (calculated - printed)</t>
        </is>
      </c>
      <c r="B236" s="22" t="n"/>
      <c r="C236" s="22" t="n"/>
      <c r="D236" s="22" t="n"/>
      <c r="E236" s="22" t="n"/>
      <c r="F236" s="27">
        <f>F234-F235</f>
        <v/>
      </c>
      <c r="G236" s="22" t="n"/>
    </row>
    <row r="237">
      <c r="A237" s="29" t="inlineStr">
        <is>
          <t>SAY (Rs.) - final DAR rate as printed (fixed value, not computed)</t>
        </is>
      </c>
      <c r="B237" s="30" t="n"/>
      <c r="C237" s="30" t="n"/>
      <c r="D237" s="30" t="n"/>
      <c r="E237" s="30" t="n"/>
      <c r="F237" s="31" t="n">
        <v>2636.6</v>
      </c>
      <c r="G237" s="30" t="n"/>
    </row>
    <row r="239" ht="47.5" customHeight="1">
      <c r="A239" s="8" t="inlineStr">
        <is>
          <t>9.6</t>
        </is>
      </c>
      <c r="B239" s="17"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is>
      </c>
      <c r="C239" s="9" t="n"/>
      <c r="D239" s="9" t="n"/>
      <c r="E239" s="9" t="n"/>
      <c r="F239" s="9" t="n"/>
      <c r="G239" s="9" t="n"/>
    </row>
    <row r="240" ht="47.5" customHeight="1">
      <c r="A240" s="18" t="inlineStr">
        <is>
          <t>9.6.2</t>
        </is>
      </c>
      <c r="B240" s="19" t="inlineStr">
        <is>
          <t>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t>
        </is>
      </c>
      <c r="C240" s="20" t="n"/>
      <c r="D240" s="20" t="n"/>
      <c r="E240" s="20" t="n"/>
      <c r="F240" s="20" t="n"/>
      <c r="G240" s="20" t="n"/>
    </row>
    <row r="241">
      <c r="A241" s="21" t="inlineStr">
        <is>
          <t>Details of cost for 2.38 sqm   |   Source: CivilDAR_2019_Vol_1.pdf, page 439</t>
        </is>
      </c>
    </row>
    <row r="242">
      <c r="A242" s="5" t="inlineStr">
        <is>
          <t>Code</t>
        </is>
      </c>
      <c r="B242" s="5" t="inlineStr">
        <is>
          <t>Description</t>
        </is>
      </c>
      <c r="C242" s="5" t="inlineStr">
        <is>
          <t>Unit</t>
        </is>
      </c>
      <c r="D242" s="5" t="inlineStr">
        <is>
          <t>Quantity</t>
        </is>
      </c>
      <c r="E242" s="5" t="inlineStr">
        <is>
          <t>Rate (Rs.)</t>
        </is>
      </c>
      <c r="F242" s="5" t="inlineStr">
        <is>
          <t>Amount (Rs.)</t>
        </is>
      </c>
      <c r="G242" s="5" t="inlineStr">
        <is>
          <t>Note</t>
        </is>
      </c>
    </row>
    <row r="243">
      <c r="A243" s="22" t="inlineStr">
        <is>
          <t>7139</t>
        </is>
      </c>
      <c r="B243" s="11" t="inlineStr">
        <is>
          <t>Factory made 35 mm thick shutters with laminated veneer lumber styles rails as per TADS IS:1995 and panels of 12 mm thick both sides prelaminated type-I, medium density flat pressed three layer, graded particle board (FPT-I) as per IS:3087-1985 bonded with BWP type synthetic resin adhesive, as per IS:848-1974</t>
        </is>
      </c>
      <c r="C243" s="22" t="inlineStr">
        <is>
          <t>sqm</t>
        </is>
      </c>
      <c r="D243" s="23" t="n">
        <v>2.38</v>
      </c>
      <c r="E243" s="24" t="n">
        <v>1720</v>
      </c>
      <c r="F243" s="24">
        <f>D243*E243</f>
        <v/>
      </c>
      <c r="G243" s="22" t="n"/>
    </row>
    <row r="244">
      <c r="A244" s="22" t="inlineStr">
        <is>
          <t>9977</t>
        </is>
      </c>
      <c r="B244" s="11" t="inlineStr">
        <is>
          <t>Carriage of shutters</t>
        </is>
      </c>
      <c r="C244" s="22" t="inlineStr">
        <is>
          <t>L.S.</t>
        </is>
      </c>
      <c r="D244" s="23" t="n">
        <v>29.64</v>
      </c>
      <c r="E244" s="24" t="n">
        <v>2</v>
      </c>
      <c r="F244" s="24">
        <f>D244*E244</f>
        <v/>
      </c>
      <c r="G244" s="22" t="n"/>
    </row>
    <row r="245">
      <c r="A245" s="22" t="inlineStr">
        <is>
          <t>0156</t>
        </is>
      </c>
      <c r="B245" s="11" t="inlineStr">
        <is>
          <t>Carpenter (average)</t>
        </is>
      </c>
      <c r="C245" s="22" t="inlineStr">
        <is>
          <t>day</t>
        </is>
      </c>
      <c r="D245" s="23" t="n">
        <v>0.52</v>
      </c>
      <c r="E245" s="24" t="n">
        <v>709</v>
      </c>
      <c r="F245" s="24">
        <f>D245*E245</f>
        <v/>
      </c>
      <c r="G245" s="22" t="n"/>
    </row>
    <row r="246">
      <c r="A246" s="22" t="inlineStr">
        <is>
          <t>0114</t>
        </is>
      </c>
      <c r="B246" s="11" t="inlineStr">
        <is>
          <t>Beldar</t>
        </is>
      </c>
      <c r="C246" s="22" t="inlineStr">
        <is>
          <t>day</t>
        </is>
      </c>
      <c r="D246" s="23" t="n">
        <v>0.6</v>
      </c>
      <c r="E246" s="24" t="n">
        <v>558</v>
      </c>
      <c r="F246" s="24">
        <f>D246*E246</f>
        <v/>
      </c>
      <c r="G246" s="22" t="n"/>
    </row>
    <row r="247">
      <c r="A247" s="22" t="inlineStr">
        <is>
          <t>9999</t>
        </is>
      </c>
      <c r="B247" s="11" t="inlineStr">
        <is>
          <t>Sundries</t>
        </is>
      </c>
      <c r="C247" s="22" t="inlineStr">
        <is>
          <t>L.S.</t>
        </is>
      </c>
      <c r="D247" s="23" t="n">
        <v>35.88</v>
      </c>
      <c r="E247" s="24" t="n">
        <v>2</v>
      </c>
      <c r="F247" s="24">
        <f>D247*E247</f>
        <v/>
      </c>
      <c r="G247" s="22" t="n"/>
    </row>
    <row r="248">
      <c r="A248" s="8" t="inlineStr">
        <is>
          <t>Calculated W - SUM of the Amount column above</t>
        </is>
      </c>
      <c r="B248" s="9" t="n"/>
      <c r="C248" s="9" t="n"/>
      <c r="D248" s="9" t="n"/>
      <c r="E248" s="9" t="n"/>
      <c r="F248" s="25">
        <f>SUM(F243:F247)</f>
        <v/>
      </c>
      <c r="G248" s="9" t="n"/>
    </row>
    <row r="249">
      <c r="A249" s="26" t="inlineStr">
        <is>
          <t>W as printed in the DAR</t>
        </is>
      </c>
      <c r="B249" s="22" t="n"/>
      <c r="C249" s="22" t="n"/>
      <c r="D249" s="22" t="n"/>
      <c r="E249" s="22" t="n"/>
      <c r="F249" s="27" t="n">
        <v>4928.12</v>
      </c>
      <c r="G249" s="22" t="n"/>
    </row>
    <row r="250">
      <c r="A250" s="26" t="inlineStr">
        <is>
          <t>Difference (calculated - printed)</t>
        </is>
      </c>
      <c r="B250" s="22" t="n"/>
      <c r="C250" s="22" t="n"/>
      <c r="D250" s="22" t="n"/>
      <c r="E250" s="22" t="n"/>
      <c r="F250" s="27">
        <f>F248-F249</f>
        <v/>
      </c>
      <c r="G250" s="22" t="n"/>
    </row>
    <row r="251">
      <c r="A251" s="29" t="inlineStr">
        <is>
          <t>SAY (Rs.) - final DAR rate as printed (fixed value, not computed)</t>
        </is>
      </c>
      <c r="B251" s="30" t="n"/>
      <c r="C251" s="30" t="n"/>
      <c r="D251" s="30" t="n"/>
      <c r="E251" s="30" t="n"/>
      <c r="F251" s="31" t="n">
        <v>2770.4</v>
      </c>
      <c r="G251" s="30" t="n"/>
    </row>
    <row r="253" ht="47.5" customHeight="1">
      <c r="A253" s="8" t="inlineStr">
        <is>
          <t>9.6</t>
        </is>
      </c>
      <c r="B253" s="17"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is>
      </c>
      <c r="C253" s="9" t="n"/>
      <c r="D253" s="9" t="n"/>
      <c r="E253" s="9" t="n"/>
      <c r="F253" s="9" t="n"/>
      <c r="G253" s="9" t="n"/>
    </row>
    <row r="254" ht="62" customHeight="1">
      <c r="A254" s="18" t="inlineStr">
        <is>
          <t>9.6.3</t>
        </is>
      </c>
      <c r="B254" s="19" t="inlineStr">
        <is>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 laminated conforming to IS : 12823, Grade -1, Type II marked :</t>
        </is>
      </c>
      <c r="C254" s="20" t="n"/>
      <c r="D254" s="20" t="n"/>
      <c r="E254" s="20" t="n"/>
      <c r="F254" s="20" t="n"/>
      <c r="G254" s="20" t="n"/>
    </row>
    <row r="255">
      <c r="A255" s="21" t="inlineStr">
        <is>
          <t>Details of cost for 2.38 sqm   |   Source: CivilDAR_2019_Vol_1.pdf, page 440</t>
        </is>
      </c>
    </row>
    <row r="256">
      <c r="A256" s="5" t="inlineStr">
        <is>
          <t>Code</t>
        </is>
      </c>
      <c r="B256" s="5" t="inlineStr">
        <is>
          <t>Description</t>
        </is>
      </c>
      <c r="C256" s="5" t="inlineStr">
        <is>
          <t>Unit</t>
        </is>
      </c>
      <c r="D256" s="5" t="inlineStr">
        <is>
          <t>Quantity</t>
        </is>
      </c>
      <c r="E256" s="5" t="inlineStr">
        <is>
          <t>Rate (Rs.)</t>
        </is>
      </c>
      <c r="F256" s="5" t="inlineStr">
        <is>
          <t>Amount (Rs.)</t>
        </is>
      </c>
      <c r="G256" s="5" t="inlineStr">
        <is>
          <t>Note</t>
        </is>
      </c>
    </row>
    <row r="257">
      <c r="A257" s="22" t="inlineStr">
        <is>
          <t>7143</t>
        </is>
      </c>
      <c r="B257" s="11" t="inlineStr">
        <is>
          <t>Factory made 35 mm thick shutters with laminated veneer lumber styles rails as per TADS IS:1995 and panels of 12 mm thick one side prelaminated type-I, and other side balancing lamination, medium density flat pressed three layer, graded particle board (FPT-I) as per IS:3087-1985 bonded with BWP type synthetic resin adhesive, as per IS:848-1974</t>
        </is>
      </c>
      <c r="C257" s="22" t="inlineStr">
        <is>
          <t>sqm</t>
        </is>
      </c>
      <c r="D257" s="23" t="n">
        <v>2.38</v>
      </c>
      <c r="E257" s="24" t="n">
        <v>1910</v>
      </c>
      <c r="F257" s="24">
        <f>D257*E257</f>
        <v/>
      </c>
      <c r="G257" s="22" t="n"/>
    </row>
    <row r="258">
      <c r="A258" s="22" t="inlineStr">
        <is>
          <t>9977</t>
        </is>
      </c>
      <c r="B258" s="11" t="inlineStr">
        <is>
          <t>Carriage of shutters</t>
        </is>
      </c>
      <c r="C258" s="22" t="inlineStr">
        <is>
          <t>L.S.</t>
        </is>
      </c>
      <c r="D258" s="23" t="n">
        <v>29.64</v>
      </c>
      <c r="E258" s="24" t="n">
        <v>2</v>
      </c>
      <c r="F258" s="24">
        <f>D258*E258</f>
        <v/>
      </c>
      <c r="G258" s="22" t="n"/>
    </row>
    <row r="259">
      <c r="A259" s="22" t="inlineStr">
        <is>
          <t>0156</t>
        </is>
      </c>
      <c r="B259" s="11" t="inlineStr">
        <is>
          <t>Carpenter (average)</t>
        </is>
      </c>
      <c r="C259" s="22" t="inlineStr">
        <is>
          <t>day</t>
        </is>
      </c>
      <c r="D259" s="23" t="n">
        <v>0.52</v>
      </c>
      <c r="E259" s="24" t="n">
        <v>709</v>
      </c>
      <c r="F259" s="24">
        <f>D259*E259</f>
        <v/>
      </c>
      <c r="G259" s="22" t="n"/>
    </row>
    <row r="260">
      <c r="A260" s="22" t="inlineStr">
        <is>
          <t>0114</t>
        </is>
      </c>
      <c r="B260" s="11" t="inlineStr">
        <is>
          <t>Beldar</t>
        </is>
      </c>
      <c r="C260" s="22" t="inlineStr">
        <is>
          <t>day</t>
        </is>
      </c>
      <c r="D260" s="23" t="n">
        <v>0.6</v>
      </c>
      <c r="E260" s="24" t="n">
        <v>558</v>
      </c>
      <c r="F260" s="24">
        <f>D260*E260</f>
        <v/>
      </c>
      <c r="G260" s="22" t="n"/>
    </row>
    <row r="261">
      <c r="A261" s="22" t="inlineStr">
        <is>
          <t>9999</t>
        </is>
      </c>
      <c r="B261" s="11" t="inlineStr">
        <is>
          <t>Sundries</t>
        </is>
      </c>
      <c r="C261" s="22" t="inlineStr">
        <is>
          <t>L.S.</t>
        </is>
      </c>
      <c r="D261" s="23" t="n">
        <v>35.88</v>
      </c>
      <c r="E261" s="24" t="n">
        <v>2</v>
      </c>
      <c r="F261" s="24">
        <f>D261*E261</f>
        <v/>
      </c>
      <c r="G261" s="22" t="n"/>
    </row>
    <row r="262">
      <c r="A262" s="8" t="inlineStr">
        <is>
          <t>Calculated W - SUM of the Amount column above</t>
        </is>
      </c>
      <c r="B262" s="9" t="n"/>
      <c r="C262" s="9" t="n"/>
      <c r="D262" s="9" t="n"/>
      <c r="E262" s="9" t="n"/>
      <c r="F262" s="25">
        <f>SUM(F257:F261)</f>
        <v/>
      </c>
      <c r="G262" s="9" t="n"/>
    </row>
    <row r="263">
      <c r="A263" s="26" t="inlineStr">
        <is>
          <t>W as printed in the DAR</t>
        </is>
      </c>
      <c r="B263" s="22" t="n"/>
      <c r="C263" s="22" t="n"/>
      <c r="D263" s="22" t="n"/>
      <c r="E263" s="22" t="n"/>
      <c r="F263" s="27" t="n">
        <v>5380.32</v>
      </c>
      <c r="G263" s="22" t="n"/>
    </row>
    <row r="264">
      <c r="A264" s="26" t="inlineStr">
        <is>
          <t>Difference (calculated - printed)</t>
        </is>
      </c>
      <c r="B264" s="22" t="n"/>
      <c r="C264" s="22" t="n"/>
      <c r="D264" s="22" t="n"/>
      <c r="E264" s="22" t="n"/>
      <c r="F264" s="27">
        <f>F262-F263</f>
        <v/>
      </c>
      <c r="G264" s="22" t="n"/>
    </row>
    <row r="265">
      <c r="A265" s="29" t="inlineStr">
        <is>
          <t>SAY (Rs.) - final DAR rate as printed (fixed value, not computed)</t>
        </is>
      </c>
      <c r="B265" s="30" t="n"/>
      <c r="C265" s="30" t="n"/>
      <c r="D265" s="30" t="n"/>
      <c r="E265" s="30" t="n"/>
      <c r="F265" s="31" t="n">
        <v>3024.6</v>
      </c>
      <c r="G265" s="30" t="n"/>
    </row>
    <row r="267" ht="47.5" customHeight="1">
      <c r="A267" s="8" t="inlineStr">
        <is>
          <t>9.7</t>
        </is>
      </c>
      <c r="B267"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267" s="9" t="n"/>
      <c r="D267" s="9" t="n"/>
      <c r="E267" s="9" t="n"/>
      <c r="F267" s="9" t="n"/>
      <c r="G267" s="9" t="n"/>
    </row>
    <row r="268" ht="18.5" customHeight="1">
      <c r="A268" s="18" t="inlineStr">
        <is>
          <t>9.7.1</t>
        </is>
      </c>
      <c r="B268" s="19" t="inlineStr">
        <is>
          <t>Second class teak wood</t>
        </is>
      </c>
      <c r="C268" s="20" t="n"/>
      <c r="D268" s="20" t="n"/>
      <c r="E268" s="20" t="n"/>
      <c r="F268" s="20" t="n"/>
      <c r="G268" s="20" t="n"/>
    </row>
    <row r="269">
      <c r="A269" s="21" t="inlineStr">
        <is>
          <t>Details of cost for 0.66 sqm   |   Source: CivilDAR_2019_Vol_1.pdf, page 440</t>
        </is>
      </c>
    </row>
    <row r="270">
      <c r="A270" s="5" t="inlineStr">
        <is>
          <t>Code</t>
        </is>
      </c>
      <c r="B270" s="5" t="inlineStr">
        <is>
          <t>Description</t>
        </is>
      </c>
      <c r="C270" s="5" t="inlineStr">
        <is>
          <t>Unit</t>
        </is>
      </c>
      <c r="D270" s="5" t="inlineStr">
        <is>
          <t>Quantity</t>
        </is>
      </c>
      <c r="E270" s="5" t="inlineStr">
        <is>
          <t>Rate (Rs.)</t>
        </is>
      </c>
      <c r="F270" s="5" t="inlineStr">
        <is>
          <t>Amount (Rs.)</t>
        </is>
      </c>
      <c r="G270" s="5" t="inlineStr">
        <is>
          <t>Note</t>
        </is>
      </c>
    </row>
    <row r="271">
      <c r="A271" s="22" t="inlineStr">
        <is>
          <t>1190</t>
        </is>
      </c>
      <c r="B271" s="11" t="inlineStr">
        <is>
          <t>Second class teak wood in planks</t>
        </is>
      </c>
      <c r="C271" s="22" t="inlineStr">
        <is>
          <t>10 cudm</t>
        </is>
      </c>
      <c r="D271" s="23" t="n">
        <v>1.29</v>
      </c>
      <c r="E271" s="24" t="n">
        <v>791</v>
      </c>
      <c r="F271" s="24">
        <f>D271*E271</f>
        <v/>
      </c>
      <c r="G271" s="22" t="n"/>
    </row>
    <row r="272">
      <c r="A272" s="22" t="inlineStr">
        <is>
          <t>2204</t>
        </is>
      </c>
      <c r="B272" s="11" t="inlineStr">
        <is>
          <t>Carriage of Timber</t>
        </is>
      </c>
      <c r="C272" s="22" t="inlineStr">
        <is>
          <t>cum</t>
        </is>
      </c>
      <c r="D272" s="23" t="n">
        <v>0.0129</v>
      </c>
      <c r="E272" s="24" t="n">
        <v>118.59</v>
      </c>
      <c r="F272" s="24">
        <f>D272*E272</f>
        <v/>
      </c>
      <c r="G272" s="22" t="n"/>
    </row>
    <row r="273">
      <c r="A273" s="22" t="inlineStr">
        <is>
          <t>0111</t>
        </is>
      </c>
      <c r="B273" s="11" t="inlineStr">
        <is>
          <t>Carpenter 1st class</t>
        </is>
      </c>
      <c r="C273" s="22" t="inlineStr">
        <is>
          <t>day</t>
        </is>
      </c>
      <c r="D273" s="23" t="n">
        <v>0.57</v>
      </c>
      <c r="E273" s="24" t="n">
        <v>738</v>
      </c>
      <c r="F273" s="24">
        <f>D273*E273</f>
        <v/>
      </c>
      <c r="G273" s="22" t="n"/>
    </row>
    <row r="274">
      <c r="A274" s="22" t="inlineStr">
        <is>
          <t>9999</t>
        </is>
      </c>
      <c r="B274" s="11" t="inlineStr">
        <is>
          <t>Sundries</t>
        </is>
      </c>
      <c r="C274" s="22" t="inlineStr">
        <is>
          <t>L.S.</t>
        </is>
      </c>
      <c r="D274" s="23" t="n">
        <v>4.42</v>
      </c>
      <c r="E274" s="24" t="n">
        <v>2</v>
      </c>
      <c r="F274" s="24">
        <f>D274*E274</f>
        <v/>
      </c>
      <c r="G274" s="22" t="n"/>
    </row>
    <row r="275">
      <c r="A275" s="8" t="inlineStr">
        <is>
          <t>Calculated W - SUM of the Amount column above</t>
        </is>
      </c>
      <c r="B275" s="9" t="n"/>
      <c r="C275" s="9" t="n"/>
      <c r="D275" s="9" t="n"/>
      <c r="E275" s="9" t="n"/>
      <c r="F275" s="25">
        <f>SUM(F271:F274)</f>
        <v/>
      </c>
      <c r="G275" s="9" t="n"/>
    </row>
    <row r="276">
      <c r="A276" s="26" t="inlineStr">
        <is>
          <t>W as printed in the DAR</t>
        </is>
      </c>
      <c r="B276" s="22" t="n"/>
      <c r="C276" s="22" t="n"/>
      <c r="D276" s="22" t="n"/>
      <c r="E276" s="22" t="n"/>
      <c r="F276" s="27" t="n">
        <v>1451.42</v>
      </c>
      <c r="G276" s="22" t="n"/>
    </row>
    <row r="277">
      <c r="A277" s="26" t="inlineStr">
        <is>
          <t>Difference (calculated - printed)</t>
        </is>
      </c>
      <c r="B277" s="22" t="n"/>
      <c r="C277" s="22" t="n"/>
      <c r="D277" s="22" t="n"/>
      <c r="E277" s="22" t="n"/>
      <c r="F277" s="27">
        <f>F275-F276</f>
        <v/>
      </c>
      <c r="G277" s="22" t="n"/>
    </row>
    <row r="278">
      <c r="A278" s="29" t="inlineStr">
        <is>
          <t>SAY (Rs.) - final DAR rate as printed (fixed value, not computed)</t>
        </is>
      </c>
      <c r="B278" s="30" t="n"/>
      <c r="C278" s="30" t="n"/>
      <c r="D278" s="30" t="n"/>
      <c r="E278" s="30" t="n"/>
      <c r="F278" s="31" t="n">
        <v>2942.3</v>
      </c>
      <c r="G278" s="30" t="n"/>
    </row>
    <row r="280" ht="47.5" customHeight="1">
      <c r="A280" s="8" t="inlineStr">
        <is>
          <t>9.7</t>
        </is>
      </c>
      <c r="B280"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280" s="9" t="n"/>
      <c r="D280" s="9" t="n"/>
      <c r="E280" s="9" t="n"/>
      <c r="F280" s="9" t="n"/>
      <c r="G280" s="9" t="n"/>
    </row>
    <row r="281" ht="18.5" customHeight="1">
      <c r="A281" s="18" t="inlineStr">
        <is>
          <t>9.7.2</t>
        </is>
      </c>
      <c r="B281" s="19" t="inlineStr">
        <is>
          <t>Kiln seasoned and chemically treated hollock wood</t>
        </is>
      </c>
      <c r="C281" s="20" t="n"/>
      <c r="D281" s="20" t="n"/>
      <c r="E281" s="20" t="n"/>
      <c r="F281" s="20" t="n"/>
      <c r="G281" s="20" t="n"/>
    </row>
    <row r="282">
      <c r="A282" s="21" t="inlineStr">
        <is>
          <t>Details of cost for 0.66 sqm   |   Source: CivilDAR_2019_Vol_1.pdf, page 441</t>
        </is>
      </c>
    </row>
    <row r="283">
      <c r="A283" s="5" t="inlineStr">
        <is>
          <t>Code</t>
        </is>
      </c>
      <c r="B283" s="5" t="inlineStr">
        <is>
          <t>Description</t>
        </is>
      </c>
      <c r="C283" s="5" t="inlineStr">
        <is>
          <t>Unit</t>
        </is>
      </c>
      <c r="D283" s="5" t="inlineStr">
        <is>
          <t>Quantity</t>
        </is>
      </c>
      <c r="E283" s="5" t="inlineStr">
        <is>
          <t>Rate (Rs.)</t>
        </is>
      </c>
      <c r="F283" s="5" t="inlineStr">
        <is>
          <t>Amount (Rs.)</t>
        </is>
      </c>
      <c r="G283" s="5" t="inlineStr">
        <is>
          <t>Note</t>
        </is>
      </c>
    </row>
    <row r="284">
      <c r="A284" s="22" t="inlineStr">
        <is>
          <t>2505</t>
        </is>
      </c>
      <c r="B284" s="11" t="inlineStr">
        <is>
          <t>Hollock wood in planks</t>
        </is>
      </c>
      <c r="C284" s="22" t="inlineStr">
        <is>
          <t>10 cudm</t>
        </is>
      </c>
      <c r="D284" s="23" t="n">
        <v>1.29</v>
      </c>
      <c r="E284" s="24" t="n">
        <v>390</v>
      </c>
      <c r="F284" s="24">
        <f>D284*E284</f>
        <v/>
      </c>
      <c r="G284" s="22" t="n"/>
    </row>
    <row r="285">
      <c r="A285" s="22" t="inlineStr">
        <is>
          <t>2204</t>
        </is>
      </c>
      <c r="B285" s="11" t="inlineStr">
        <is>
          <t>Carriage of Timber</t>
        </is>
      </c>
      <c r="C285" s="22" t="inlineStr">
        <is>
          <t>cum</t>
        </is>
      </c>
      <c r="D285" s="23" t="n">
        <v>0.0129</v>
      </c>
      <c r="E285" s="24" t="n">
        <v>118.59</v>
      </c>
      <c r="F285" s="24">
        <f>D285*E285</f>
        <v/>
      </c>
      <c r="G285" s="22" t="n"/>
    </row>
    <row r="286">
      <c r="A286" s="22" t="inlineStr">
        <is>
          <t>2504</t>
        </is>
      </c>
      <c r="B286" s="11" t="inlineStr">
        <is>
          <t>Kiln seasoning of timber</t>
        </is>
      </c>
      <c r="C286" s="22" t="inlineStr">
        <is>
          <t>cum</t>
        </is>
      </c>
      <c r="D286" s="23" t="n">
        <v>0.0129</v>
      </c>
      <c r="E286" s="24" t="n">
        <v>750</v>
      </c>
      <c r="F286" s="24">
        <f>D286*E286</f>
        <v/>
      </c>
      <c r="G286" s="22" t="n"/>
    </row>
    <row r="287">
      <c r="A287" s="22" t="inlineStr">
        <is>
          <t>9999</t>
        </is>
      </c>
      <c r="B287" s="11" t="inlineStr">
        <is>
          <t>Chemical treatment</t>
        </is>
      </c>
      <c r="C287" s="22" t="inlineStr">
        <is>
          <t>L.S.</t>
        </is>
      </c>
      <c r="D287" s="23" t="n">
        <v>8.970000000000001</v>
      </c>
      <c r="E287" s="24" t="n">
        <v>2</v>
      </c>
      <c r="F287" s="24">
        <f>D287*E287</f>
        <v/>
      </c>
      <c r="G287" s="22" t="n"/>
    </row>
    <row r="288">
      <c r="A288" s="22" t="inlineStr">
        <is>
          <t>0111</t>
        </is>
      </c>
      <c r="B288" s="11" t="inlineStr">
        <is>
          <t>Carpenter 1st class</t>
        </is>
      </c>
      <c r="C288" s="22" t="inlineStr">
        <is>
          <t>day</t>
        </is>
      </c>
      <c r="D288" s="23" t="n">
        <v>0.57</v>
      </c>
      <c r="E288" s="24" t="n">
        <v>738</v>
      </c>
      <c r="F288" s="24">
        <f>D288*E288</f>
        <v/>
      </c>
      <c r="G288" s="22" t="n"/>
    </row>
    <row r="289">
      <c r="A289" s="22" t="inlineStr">
        <is>
          <t>9999</t>
        </is>
      </c>
      <c r="B289" s="11" t="inlineStr">
        <is>
          <t>Sundries</t>
        </is>
      </c>
      <c r="C289" s="22" t="inlineStr">
        <is>
          <t>L.S.</t>
        </is>
      </c>
      <c r="D289" s="23" t="n">
        <v>4.42</v>
      </c>
      <c r="E289" s="24" t="n">
        <v>2</v>
      </c>
      <c r="F289" s="24">
        <f>D289*E289</f>
        <v/>
      </c>
      <c r="G289" s="22" t="n"/>
    </row>
    <row r="290">
      <c r="A290" s="8" t="inlineStr">
        <is>
          <t>Calculated W - SUM of the Amount column above</t>
        </is>
      </c>
      <c r="B290" s="9" t="n"/>
      <c r="C290" s="9" t="n"/>
      <c r="D290" s="9" t="n"/>
      <c r="E290" s="9" t="n"/>
      <c r="F290" s="25">
        <f>SUM(F284:F289)</f>
        <v/>
      </c>
      <c r="G290" s="9" t="n"/>
    </row>
    <row r="291">
      <c r="A291" s="26" t="inlineStr">
        <is>
          <t>W as printed in the DAR</t>
        </is>
      </c>
      <c r="B291" s="22" t="n"/>
      <c r="C291" s="22" t="n"/>
      <c r="D291" s="22" t="n"/>
      <c r="E291" s="22" t="n"/>
      <c r="F291" s="27" t="n">
        <v>961.74</v>
      </c>
      <c r="G291" s="22" t="n"/>
    </row>
    <row r="292">
      <c r="A292" s="26" t="inlineStr">
        <is>
          <t>Difference (calculated - printed)</t>
        </is>
      </c>
      <c r="B292" s="22" t="n"/>
      <c r="C292" s="22" t="n"/>
      <c r="D292" s="22" t="n"/>
      <c r="E292" s="22" t="n"/>
      <c r="F292" s="27">
        <f>F290-F291</f>
        <v/>
      </c>
      <c r="G292" s="22" t="n"/>
    </row>
    <row r="293">
      <c r="A293" s="29" t="inlineStr">
        <is>
          <t>SAY (Rs.) - final DAR rate as printed (fixed value, not computed)</t>
        </is>
      </c>
      <c r="B293" s="30" t="n"/>
      <c r="C293" s="30" t="n"/>
      <c r="D293" s="30" t="n"/>
      <c r="E293" s="30" t="n"/>
      <c r="F293" s="31" t="n">
        <v>1949.65</v>
      </c>
      <c r="G293" s="30" t="n"/>
    </row>
    <row r="295" ht="47.5" customHeight="1">
      <c r="A295" s="8" t="inlineStr">
        <is>
          <t>9.7</t>
        </is>
      </c>
      <c r="B295"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295" s="9" t="n"/>
      <c r="D295" s="9" t="n"/>
      <c r="E295" s="9" t="n"/>
      <c r="F295" s="9" t="n"/>
      <c r="G295" s="9" t="n"/>
    </row>
    <row r="296" ht="18.5" customHeight="1">
      <c r="A296" s="8" t="inlineStr">
        <is>
          <t>9.7.3</t>
        </is>
      </c>
      <c r="B296" s="17" t="inlineStr">
        <is>
          <t>Ply wood 5 ply, 9 mm thick</t>
        </is>
      </c>
      <c r="C296" s="9" t="n"/>
      <c r="D296" s="9" t="n"/>
      <c r="E296" s="9" t="n"/>
      <c r="F296" s="9" t="n"/>
      <c r="G296" s="9" t="n"/>
    </row>
    <row r="297" ht="18.5" customHeight="1">
      <c r="A297" s="18" t="inlineStr">
        <is>
          <t>9.7.3.1</t>
        </is>
      </c>
      <c r="B297" s="19" t="inlineStr">
        <is>
          <t>Decorative plywood both side decorative veneer (Type - I) conforming to IS 1328 BWR type</t>
        </is>
      </c>
      <c r="C297" s="20" t="n"/>
      <c r="D297" s="20" t="n"/>
      <c r="E297" s="20" t="n"/>
      <c r="F297" s="20" t="n"/>
      <c r="G297" s="20" t="n"/>
    </row>
    <row r="298">
      <c r="A298" s="21" t="inlineStr">
        <is>
          <t>Details of cost for 0.66 sqm   |   Source: CivilDAR_2019_Vol_1.pdf, page 442</t>
        </is>
      </c>
    </row>
    <row r="299">
      <c r="A299" s="5" t="inlineStr">
        <is>
          <t>Code</t>
        </is>
      </c>
      <c r="B299" s="5" t="inlineStr">
        <is>
          <t>Description</t>
        </is>
      </c>
      <c r="C299" s="5" t="inlineStr">
        <is>
          <t>Unit</t>
        </is>
      </c>
      <c r="D299" s="5" t="inlineStr">
        <is>
          <t>Quantity</t>
        </is>
      </c>
      <c r="E299" s="5" t="inlineStr">
        <is>
          <t>Rate (Rs.)</t>
        </is>
      </c>
      <c r="F299" s="5" t="inlineStr">
        <is>
          <t>Amount (Rs.)</t>
        </is>
      </c>
      <c r="G299" s="5" t="inlineStr">
        <is>
          <t>Note</t>
        </is>
      </c>
    </row>
    <row r="300">
      <c r="A300" s="22" t="inlineStr">
        <is>
          <t>2480</t>
        </is>
      </c>
      <c r="B300" s="11" t="inlineStr">
        <is>
          <t>Ply wood 5 ply with teak ply on both faces 9 mm thick</t>
        </is>
      </c>
      <c r="C300" s="22" t="inlineStr">
        <is>
          <t>sqm</t>
        </is>
      </c>
      <c r="D300" s="23" t="n">
        <v>0.8</v>
      </c>
      <c r="E300" s="24" t="n">
        <v>850</v>
      </c>
      <c r="F300" s="24">
        <f>D300*E300</f>
        <v/>
      </c>
      <c r="G300" s="22" t="n"/>
    </row>
    <row r="301">
      <c r="A301" s="22" t="inlineStr">
        <is>
          <t>9977</t>
        </is>
      </c>
      <c r="B301" s="11" t="inlineStr">
        <is>
          <t>Carriage of Plywood</t>
        </is>
      </c>
      <c r="C301" s="22" t="inlineStr">
        <is>
          <t>L.S.</t>
        </is>
      </c>
      <c r="D301" s="23" t="n">
        <v>1.82</v>
      </c>
      <c r="E301" s="24" t="n">
        <v>2</v>
      </c>
      <c r="F301" s="24">
        <f>D301*E301</f>
        <v/>
      </c>
      <c r="G301" s="22" t="n"/>
    </row>
    <row r="302">
      <c r="A302" s="22" t="inlineStr">
        <is>
          <t>0111</t>
        </is>
      </c>
      <c r="B302" s="11" t="inlineStr">
        <is>
          <t>Carpenter 1st class</t>
        </is>
      </c>
      <c r="C302" s="22" t="inlineStr">
        <is>
          <t>day</t>
        </is>
      </c>
      <c r="D302" s="23" t="n">
        <v>0.57</v>
      </c>
      <c r="E302" s="24" t="n">
        <v>738</v>
      </c>
      <c r="F302" s="24">
        <f>D302*E302</f>
        <v/>
      </c>
      <c r="G302" s="22" t="n"/>
    </row>
    <row r="303">
      <c r="A303" s="22" t="inlineStr">
        <is>
          <t>9999</t>
        </is>
      </c>
      <c r="B303" s="11" t="inlineStr">
        <is>
          <t>Sundries</t>
        </is>
      </c>
      <c r="C303" s="22" t="inlineStr">
        <is>
          <t>L.S.</t>
        </is>
      </c>
      <c r="D303" s="23" t="n">
        <v>4.42</v>
      </c>
      <c r="E303" s="24" t="n">
        <v>2</v>
      </c>
      <c r="F303" s="24">
        <f>D303*E303</f>
        <v/>
      </c>
      <c r="G303" s="22" t="n"/>
    </row>
    <row r="304">
      <c r="A304" s="8" t="inlineStr">
        <is>
          <t>Calculated W - SUM of the Amount column above</t>
        </is>
      </c>
      <c r="B304" s="9" t="n"/>
      <c r="C304" s="9" t="n"/>
      <c r="D304" s="9" t="n"/>
      <c r="E304" s="9" t="n"/>
      <c r="F304" s="25">
        <f>SUM(F300:F303)</f>
        <v/>
      </c>
      <c r="G304" s="9" t="n"/>
    </row>
    <row r="305">
      <c r="A305" s="26" t="inlineStr">
        <is>
          <t>W as printed in the DAR</t>
        </is>
      </c>
      <c r="B305" s="22" t="n"/>
      <c r="C305" s="22" t="n"/>
      <c r="D305" s="22" t="n"/>
      <c r="E305" s="22" t="n"/>
      <c r="F305" s="27" t="n">
        <v>1113.14</v>
      </c>
      <c r="G305" s="22" t="n"/>
    </row>
    <row r="306">
      <c r="A306" s="26" t="inlineStr">
        <is>
          <t>Difference (calculated - printed)</t>
        </is>
      </c>
      <c r="B306" s="22" t="n"/>
      <c r="C306" s="22" t="n"/>
      <c r="D306" s="22" t="n"/>
      <c r="E306" s="22" t="n"/>
      <c r="F306" s="27">
        <f>F304-F305</f>
        <v/>
      </c>
      <c r="G306" s="22" t="n"/>
    </row>
    <row r="307">
      <c r="A307" s="29" t="inlineStr">
        <is>
          <t>SAY (Rs.) - final DAR rate as printed (fixed value, not computed)</t>
        </is>
      </c>
      <c r="B307" s="30" t="n"/>
      <c r="C307" s="30" t="n"/>
      <c r="D307" s="30" t="n"/>
      <c r="E307" s="30" t="n"/>
      <c r="F307" s="31" t="n">
        <v>2256.55</v>
      </c>
      <c r="G307" s="30" t="n"/>
    </row>
    <row r="309" ht="47.5" customHeight="1">
      <c r="A309" s="8" t="inlineStr">
        <is>
          <t>9.7</t>
        </is>
      </c>
      <c r="B309"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09" s="9" t="n"/>
      <c r="D309" s="9" t="n"/>
      <c r="E309" s="9" t="n"/>
      <c r="F309" s="9" t="n"/>
      <c r="G309" s="9" t="n"/>
    </row>
    <row r="310" ht="18.5" customHeight="1">
      <c r="A310" s="8" t="inlineStr">
        <is>
          <t>9.7.3</t>
        </is>
      </c>
      <c r="B310" s="17" t="inlineStr">
        <is>
          <t>Ply wood 5 ply, 9 mm thick</t>
        </is>
      </c>
      <c r="C310" s="9" t="n"/>
      <c r="D310" s="9" t="n"/>
      <c r="E310" s="9" t="n"/>
      <c r="F310" s="9" t="n"/>
      <c r="G310" s="9" t="n"/>
    </row>
    <row r="311" ht="18.5" customHeight="1">
      <c r="A311" s="18" t="inlineStr">
        <is>
          <t>9.7.3.2</t>
        </is>
      </c>
      <c r="B311" s="19" t="inlineStr">
        <is>
          <t>Decorative plywood one side decorative veneer and commercial veneer on other face (Type 1) conforming to IS 1328 BWR Type</t>
        </is>
      </c>
      <c r="C311" s="20" t="n"/>
      <c r="D311" s="20" t="n"/>
      <c r="E311" s="20" t="n"/>
      <c r="F311" s="20" t="n"/>
      <c r="G311" s="20" t="n"/>
    </row>
    <row r="312">
      <c r="A312" s="21" t="inlineStr">
        <is>
          <t>Details of cost for 0.66 sqm   |   Source: CivilDAR_2019_Vol_1.pdf, page 442</t>
        </is>
      </c>
    </row>
    <row r="313">
      <c r="A313" s="5" t="inlineStr">
        <is>
          <t>Code</t>
        </is>
      </c>
      <c r="B313" s="5" t="inlineStr">
        <is>
          <t>Description</t>
        </is>
      </c>
      <c r="C313" s="5" t="inlineStr">
        <is>
          <t>Unit</t>
        </is>
      </c>
      <c r="D313" s="5" t="inlineStr">
        <is>
          <t>Quantity</t>
        </is>
      </c>
      <c r="E313" s="5" t="inlineStr">
        <is>
          <t>Rate (Rs.)</t>
        </is>
      </c>
      <c r="F313" s="5" t="inlineStr">
        <is>
          <t>Amount (Rs.)</t>
        </is>
      </c>
      <c r="G313" s="5" t="inlineStr">
        <is>
          <t>Note</t>
        </is>
      </c>
    </row>
    <row r="314">
      <c r="A314" s="22" t="inlineStr">
        <is>
          <t>2481</t>
        </is>
      </c>
      <c r="B314" s="11" t="inlineStr">
        <is>
          <t>Ply wood 5 ply with teak ply on one face and commercial ply on another face 9 mm thick</t>
        </is>
      </c>
      <c r="C314" s="22" t="inlineStr">
        <is>
          <t>sqm</t>
        </is>
      </c>
      <c r="D314" s="23" t="n">
        <v>0.8</v>
      </c>
      <c r="E314" s="24" t="n">
        <v>870</v>
      </c>
      <c r="F314" s="24">
        <f>D314*E314</f>
        <v/>
      </c>
      <c r="G314" s="22" t="n"/>
    </row>
    <row r="315">
      <c r="A315" s="22" t="inlineStr">
        <is>
          <t>9977</t>
        </is>
      </c>
      <c r="B315" s="11" t="inlineStr">
        <is>
          <t>Carriage of Plywood</t>
        </is>
      </c>
      <c r="C315" s="22" t="inlineStr">
        <is>
          <t>L.S.</t>
        </is>
      </c>
      <c r="D315" s="23" t="n">
        <v>1.82</v>
      </c>
      <c r="E315" s="24" t="n">
        <v>2</v>
      </c>
      <c r="F315" s="24">
        <f>D315*E315</f>
        <v/>
      </c>
      <c r="G315" s="22" t="n"/>
    </row>
    <row r="316">
      <c r="A316" s="22" t="inlineStr">
        <is>
          <t>0111</t>
        </is>
      </c>
      <c r="B316" s="11" t="inlineStr">
        <is>
          <t>Carpenter 1st class</t>
        </is>
      </c>
      <c r="C316" s="22" t="inlineStr">
        <is>
          <t>day</t>
        </is>
      </c>
      <c r="D316" s="23" t="n">
        <v>0.57</v>
      </c>
      <c r="E316" s="24" t="n">
        <v>738</v>
      </c>
      <c r="F316" s="24">
        <f>D316*E316</f>
        <v/>
      </c>
      <c r="G316" s="22" t="n"/>
    </row>
    <row r="317">
      <c r="A317" s="22" t="inlineStr">
        <is>
          <t>9999</t>
        </is>
      </c>
      <c r="B317" s="11" t="inlineStr">
        <is>
          <t>Sundries</t>
        </is>
      </c>
      <c r="C317" s="22" t="inlineStr">
        <is>
          <t>L.S.</t>
        </is>
      </c>
      <c r="D317" s="23" t="n">
        <v>4.42</v>
      </c>
      <c r="E317" s="24" t="n">
        <v>2</v>
      </c>
      <c r="F317" s="24">
        <f>D317*E317</f>
        <v/>
      </c>
      <c r="G317" s="22" t="n"/>
    </row>
    <row r="318">
      <c r="A318" s="8" t="inlineStr">
        <is>
          <t>Calculated W - SUM of the Amount column above</t>
        </is>
      </c>
      <c r="B318" s="9" t="n"/>
      <c r="C318" s="9" t="n"/>
      <c r="D318" s="9" t="n"/>
      <c r="E318" s="9" t="n"/>
      <c r="F318" s="25">
        <f>SUM(F314:F317)</f>
        <v/>
      </c>
      <c r="G318" s="9" t="n"/>
    </row>
    <row r="319">
      <c r="A319" s="26" t="inlineStr">
        <is>
          <t>W as printed in the DAR</t>
        </is>
      </c>
      <c r="B319" s="22" t="n"/>
      <c r="C319" s="22" t="n"/>
      <c r="D319" s="22" t="n"/>
      <c r="E319" s="22" t="n"/>
      <c r="F319" s="27" t="n">
        <v>1129.14</v>
      </c>
      <c r="G319" s="22" t="n"/>
    </row>
    <row r="320">
      <c r="A320" s="26" t="inlineStr">
        <is>
          <t>Difference (calculated - printed)</t>
        </is>
      </c>
      <c r="B320" s="22" t="n"/>
      <c r="C320" s="22" t="n"/>
      <c r="D320" s="22" t="n"/>
      <c r="E320" s="22" t="n"/>
      <c r="F320" s="27">
        <f>F318-F319</f>
        <v/>
      </c>
      <c r="G320" s="22" t="n"/>
    </row>
    <row r="321">
      <c r="A321" s="29" t="inlineStr">
        <is>
          <t>SAY (Rs.) - final DAR rate as printed (fixed value, not computed)</t>
        </is>
      </c>
      <c r="B321" s="30" t="n"/>
      <c r="C321" s="30" t="n"/>
      <c r="D321" s="30" t="n"/>
      <c r="E321" s="30" t="n"/>
      <c r="F321" s="31" t="n">
        <v>2288.95</v>
      </c>
      <c r="G321" s="30" t="n"/>
    </row>
    <row r="323" ht="47.5" customHeight="1">
      <c r="A323" s="8" t="inlineStr">
        <is>
          <t>9.7</t>
        </is>
      </c>
      <c r="B323"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23" s="9" t="n"/>
      <c r="D323" s="9" t="n"/>
      <c r="E323" s="9" t="n"/>
      <c r="F323" s="9" t="n"/>
      <c r="G323" s="9" t="n"/>
    </row>
    <row r="324" ht="18.5" customHeight="1">
      <c r="A324" s="8" t="inlineStr">
        <is>
          <t>9.7.4</t>
        </is>
      </c>
      <c r="B324" s="17" t="inlineStr">
        <is>
          <t>Ply wood 7 ply, 9 mm thick</t>
        </is>
      </c>
      <c r="C324" s="9" t="n"/>
      <c r="D324" s="9" t="n"/>
      <c r="E324" s="9" t="n"/>
      <c r="F324" s="9" t="n"/>
      <c r="G324" s="9" t="n"/>
    </row>
    <row r="325" ht="18.5" customHeight="1">
      <c r="A325" s="18" t="inlineStr">
        <is>
          <t>9.7.4.1</t>
        </is>
      </c>
      <c r="B325" s="19" t="inlineStr">
        <is>
          <t>Decorative plywood one side decorative veneer and commercial veneer on other face (Type 1) conforming to IS 1328 BWR Type</t>
        </is>
      </c>
      <c r="C325" s="20" t="n"/>
      <c r="D325" s="20" t="n"/>
      <c r="E325" s="20" t="n"/>
      <c r="F325" s="20" t="n"/>
      <c r="G325" s="20" t="n"/>
    </row>
    <row r="326">
      <c r="A326" s="21" t="inlineStr">
        <is>
          <t>Details of cost for 0.66 sqm   |   Source: CivilDAR_2019_Vol_1.pdf, page 443</t>
        </is>
      </c>
    </row>
    <row r="327">
      <c r="A327" s="5" t="inlineStr">
        <is>
          <t>Code</t>
        </is>
      </c>
      <c r="B327" s="5" t="inlineStr">
        <is>
          <t>Description</t>
        </is>
      </c>
      <c r="C327" s="5" t="inlineStr">
        <is>
          <t>Unit</t>
        </is>
      </c>
      <c r="D327" s="5" t="inlineStr">
        <is>
          <t>Quantity</t>
        </is>
      </c>
      <c r="E327" s="5" t="inlineStr">
        <is>
          <t>Rate (Rs.)</t>
        </is>
      </c>
      <c r="F327" s="5" t="inlineStr">
        <is>
          <t>Amount (Rs.)</t>
        </is>
      </c>
      <c r="G327" s="5" t="inlineStr">
        <is>
          <t>Note</t>
        </is>
      </c>
    </row>
    <row r="328">
      <c r="A328" s="22" t="inlineStr">
        <is>
          <t>2483</t>
        </is>
      </c>
      <c r="B328" s="11" t="inlineStr">
        <is>
          <t>Ply wood 7 ply with teak ply on one face and commercial ply on another face 9 mm thick</t>
        </is>
      </c>
      <c r="C328" s="22" t="inlineStr">
        <is>
          <t>sqm</t>
        </is>
      </c>
      <c r="D328" s="23" t="n">
        <v>0.8</v>
      </c>
      <c r="E328" s="24" t="n">
        <v>950</v>
      </c>
      <c r="F328" s="24">
        <f>D328*E328</f>
        <v/>
      </c>
      <c r="G328" s="22" t="n"/>
    </row>
    <row r="329">
      <c r="A329" s="22" t="inlineStr">
        <is>
          <t>9977</t>
        </is>
      </c>
      <c r="B329" s="11" t="inlineStr">
        <is>
          <t>Carriage of Plywood</t>
        </is>
      </c>
      <c r="C329" s="22" t="inlineStr">
        <is>
          <t>L.S.</t>
        </is>
      </c>
      <c r="D329" s="23" t="n">
        <v>1.82</v>
      </c>
      <c r="E329" s="24" t="n">
        <v>2</v>
      </c>
      <c r="F329" s="24">
        <f>D329*E329</f>
        <v/>
      </c>
      <c r="G329" s="22" t="n"/>
    </row>
    <row r="330">
      <c r="A330" s="22" t="inlineStr">
        <is>
          <t>0111</t>
        </is>
      </c>
      <c r="B330" s="11" t="inlineStr">
        <is>
          <t>Carpenter 1st class</t>
        </is>
      </c>
      <c r="C330" s="22" t="inlineStr">
        <is>
          <t>day</t>
        </is>
      </c>
      <c r="D330" s="23" t="n">
        <v>0.57</v>
      </c>
      <c r="E330" s="24" t="n">
        <v>738</v>
      </c>
      <c r="F330" s="24">
        <f>D330*E330</f>
        <v/>
      </c>
      <c r="G330" s="22" t="n"/>
    </row>
    <row r="331">
      <c r="A331" s="22" t="inlineStr">
        <is>
          <t>9999</t>
        </is>
      </c>
      <c r="B331" s="11" t="inlineStr">
        <is>
          <t>Sundries</t>
        </is>
      </c>
      <c r="C331" s="22" t="inlineStr">
        <is>
          <t>L.S.</t>
        </is>
      </c>
      <c r="D331" s="23" t="n">
        <v>4.42</v>
      </c>
      <c r="E331" s="24" t="n">
        <v>2</v>
      </c>
      <c r="F331" s="24">
        <f>D331*E331</f>
        <v/>
      </c>
      <c r="G331" s="22" t="n"/>
    </row>
    <row r="332">
      <c r="A332" s="8" t="inlineStr">
        <is>
          <t>Calculated W - SUM of the Amount column above</t>
        </is>
      </c>
      <c r="B332" s="9" t="n"/>
      <c r="C332" s="9" t="n"/>
      <c r="D332" s="9" t="n"/>
      <c r="E332" s="9" t="n"/>
      <c r="F332" s="25">
        <f>SUM(F328:F331)</f>
        <v/>
      </c>
      <c r="G332" s="9" t="n"/>
    </row>
    <row r="333">
      <c r="A333" s="26" t="inlineStr">
        <is>
          <t>W as printed in the DAR</t>
        </is>
      </c>
      <c r="B333" s="22" t="n"/>
      <c r="C333" s="22" t="n"/>
      <c r="D333" s="22" t="n"/>
      <c r="E333" s="22" t="n"/>
      <c r="F333" s="27" t="n">
        <v>1193.14</v>
      </c>
      <c r="G333" s="22" t="n"/>
    </row>
    <row r="334">
      <c r="A334" s="26" t="inlineStr">
        <is>
          <t>Difference (calculated - printed)</t>
        </is>
      </c>
      <c r="B334" s="22" t="n"/>
      <c r="C334" s="22" t="n"/>
      <c r="D334" s="22" t="n"/>
      <c r="E334" s="22" t="n"/>
      <c r="F334" s="27">
        <f>F332-F333</f>
        <v/>
      </c>
      <c r="G334" s="22" t="n"/>
    </row>
    <row r="335">
      <c r="A335" s="29" t="inlineStr">
        <is>
          <t>SAY (Rs.) - final DAR rate as printed (fixed value, not computed)</t>
        </is>
      </c>
      <c r="B335" s="30" t="n"/>
      <c r="C335" s="30" t="n"/>
      <c r="D335" s="30" t="n"/>
      <c r="E335" s="30" t="n"/>
      <c r="F335" s="31" t="n">
        <v>2418.7</v>
      </c>
      <c r="G335" s="30" t="n"/>
    </row>
    <row r="337" ht="47.5" customHeight="1">
      <c r="A337" s="8" t="inlineStr">
        <is>
          <t>9.7</t>
        </is>
      </c>
      <c r="B337"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37" s="9" t="n"/>
      <c r="D337" s="9" t="n"/>
      <c r="E337" s="9" t="n"/>
      <c r="F337" s="9" t="n"/>
      <c r="G337" s="9" t="n"/>
    </row>
    <row r="338" ht="18.5" customHeight="1">
      <c r="A338" s="8" t="inlineStr">
        <is>
          <t>9.7.5</t>
        </is>
      </c>
      <c r="B338" s="17" t="inlineStr">
        <is>
          <t>Particle Board 12 mm thick</t>
        </is>
      </c>
      <c r="C338" s="9" t="n"/>
      <c r="D338" s="9" t="n"/>
      <c r="E338" s="9" t="n"/>
      <c r="F338" s="9" t="n"/>
      <c r="G338" s="9" t="n"/>
    </row>
    <row r="339" ht="18.5" customHeight="1">
      <c r="A339" s="18" t="inlineStr">
        <is>
          <t>9.7.5.1</t>
        </is>
      </c>
      <c r="B339" s="19" t="inlineStr">
        <is>
          <t>Plain particle board flat pressed, 3 layer or graded wood particle board medium density Grade I, IS : 3087 marked</t>
        </is>
      </c>
      <c r="C339" s="20" t="n"/>
      <c r="D339" s="20" t="n"/>
      <c r="E339" s="20" t="n"/>
      <c r="F339" s="20" t="n"/>
      <c r="G339" s="20" t="n"/>
    </row>
    <row r="340">
      <c r="A340" s="21" t="inlineStr">
        <is>
          <t>Details of cost for 0.66 sqm   |   Source: CivilDAR_2019_Vol_1.pdf, page 444</t>
        </is>
      </c>
    </row>
    <row r="341">
      <c r="A341" s="5" t="inlineStr">
        <is>
          <t>Code</t>
        </is>
      </c>
      <c r="B341" s="5" t="inlineStr">
        <is>
          <t>Description</t>
        </is>
      </c>
      <c r="C341" s="5" t="inlineStr">
        <is>
          <t>Unit</t>
        </is>
      </c>
      <c r="D341" s="5" t="inlineStr">
        <is>
          <t>Quantity</t>
        </is>
      </c>
      <c r="E341" s="5" t="inlineStr">
        <is>
          <t>Rate (Rs.)</t>
        </is>
      </c>
      <c r="F341" s="5" t="inlineStr">
        <is>
          <t>Amount (Rs.)</t>
        </is>
      </c>
      <c r="G341" s="5" t="inlineStr">
        <is>
          <t>Note</t>
        </is>
      </c>
    </row>
    <row r="342">
      <c r="A342" s="22" t="inlineStr">
        <is>
          <t>0341</t>
        </is>
      </c>
      <c r="B342" s="11" t="inlineStr">
        <is>
          <t>Flat pressed 3 layer particle board (medium density) Grade I :12 mm thick</t>
        </is>
      </c>
      <c r="C342" s="22" t="inlineStr">
        <is>
          <t>sqm</t>
        </is>
      </c>
      <c r="D342" s="23" t="n">
        <v>0.8</v>
      </c>
      <c r="E342" s="24" t="n">
        <v>288</v>
      </c>
      <c r="F342" s="24">
        <f>D342*E342</f>
        <v/>
      </c>
      <c r="G342" s="22" t="n"/>
    </row>
    <row r="343">
      <c r="A343" s="22" t="inlineStr">
        <is>
          <t>9977</t>
        </is>
      </c>
      <c r="B343" s="11" t="inlineStr">
        <is>
          <t>Carriage of Plywood</t>
        </is>
      </c>
      <c r="C343" s="22" t="inlineStr">
        <is>
          <t>L.S.</t>
        </is>
      </c>
      <c r="D343" s="23" t="n">
        <v>1.82</v>
      </c>
      <c r="E343" s="24" t="n">
        <v>2</v>
      </c>
      <c r="F343" s="24">
        <f>D343*E343</f>
        <v/>
      </c>
      <c r="G343" s="22" t="n"/>
    </row>
    <row r="344">
      <c r="A344" s="22" t="inlineStr">
        <is>
          <t>0111</t>
        </is>
      </c>
      <c r="B344" s="11" t="inlineStr">
        <is>
          <t>Carpenter 1st class</t>
        </is>
      </c>
      <c r="C344" s="22" t="inlineStr">
        <is>
          <t>day</t>
        </is>
      </c>
      <c r="D344" s="23" t="n">
        <v>0.57</v>
      </c>
      <c r="E344" s="24" t="n">
        <v>738</v>
      </c>
      <c r="F344" s="24">
        <f>D344*E344</f>
        <v/>
      </c>
      <c r="G344" s="22" t="n"/>
    </row>
    <row r="345">
      <c r="A345" s="22" t="inlineStr">
        <is>
          <t>9999</t>
        </is>
      </c>
      <c r="B345" s="11" t="inlineStr">
        <is>
          <t>Sundries</t>
        </is>
      </c>
      <c r="C345" s="22" t="inlineStr">
        <is>
          <t>L.S.</t>
        </is>
      </c>
      <c r="D345" s="23" t="n">
        <v>4.42</v>
      </c>
      <c r="E345" s="24" t="n">
        <v>2</v>
      </c>
      <c r="F345" s="24">
        <f>D345*E345</f>
        <v/>
      </c>
      <c r="G345" s="22" t="n"/>
    </row>
    <row r="346">
      <c r="A346" s="8" t="inlineStr">
        <is>
          <t>Calculated W - SUM of the Amount column above</t>
        </is>
      </c>
      <c r="B346" s="9" t="n"/>
      <c r="C346" s="9" t="n"/>
      <c r="D346" s="9" t="n"/>
      <c r="E346" s="9" t="n"/>
      <c r="F346" s="25">
        <f>SUM(F342:F345)</f>
        <v/>
      </c>
      <c r="G346" s="9" t="n"/>
    </row>
    <row r="347">
      <c r="A347" s="26" t="inlineStr">
        <is>
          <t>W as printed in the DAR</t>
        </is>
      </c>
      <c r="B347" s="22" t="n"/>
      <c r="C347" s="22" t="n"/>
      <c r="D347" s="22" t="n"/>
      <c r="E347" s="22" t="n"/>
      <c r="F347" s="27" t="n">
        <v>663.54</v>
      </c>
      <c r="G347" s="22" t="n"/>
    </row>
    <row r="348">
      <c r="A348" s="26" t="inlineStr">
        <is>
          <t>Difference (calculated - printed)</t>
        </is>
      </c>
      <c r="B348" s="22" t="n"/>
      <c r="C348" s="22" t="n"/>
      <c r="D348" s="22" t="n"/>
      <c r="E348" s="22" t="n"/>
      <c r="F348" s="27">
        <f>F346-F347</f>
        <v/>
      </c>
      <c r="G348" s="22" t="n"/>
    </row>
    <row r="349">
      <c r="A349" s="29" t="inlineStr">
        <is>
          <t>SAY (Rs.) - final DAR rate as printed (fixed value, not computed)</t>
        </is>
      </c>
      <c r="B349" s="30" t="n"/>
      <c r="C349" s="30" t="n"/>
      <c r="D349" s="30" t="n"/>
      <c r="E349" s="30" t="n"/>
      <c r="F349" s="31" t="n">
        <v>1345.1</v>
      </c>
      <c r="G349" s="30" t="n"/>
    </row>
    <row r="351" ht="47.5" customHeight="1">
      <c r="A351" s="8" t="inlineStr">
        <is>
          <t>9.7</t>
        </is>
      </c>
      <c r="B351"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51" s="9" t="n"/>
      <c r="D351" s="9" t="n"/>
      <c r="E351" s="9" t="n"/>
      <c r="F351" s="9" t="n"/>
      <c r="G351" s="9" t="n"/>
    </row>
    <row r="352" ht="18.5" customHeight="1">
      <c r="A352" s="8" t="inlineStr">
        <is>
          <t>9.7.5</t>
        </is>
      </c>
      <c r="B352" s="17" t="inlineStr">
        <is>
          <t>Particle Board 12 mm thick</t>
        </is>
      </c>
      <c r="C352" s="9" t="n"/>
      <c r="D352" s="9" t="n"/>
      <c r="E352" s="9" t="n"/>
      <c r="F352" s="9" t="n"/>
      <c r="G352" s="9" t="n"/>
    </row>
    <row r="353" ht="33" customHeight="1">
      <c r="A353" s="18" t="inlineStr">
        <is>
          <t>9.7.5.2</t>
        </is>
      </c>
      <c r="B353" s="19" t="inlineStr">
        <is>
          <t>Veneered flat pressed three layer or graded wood particle board with commercial veneering on both sides conforming to IS:3097, grade I</t>
        </is>
      </c>
      <c r="C353" s="20" t="n"/>
      <c r="D353" s="20" t="n"/>
      <c r="E353" s="20" t="n"/>
      <c r="F353" s="20" t="n"/>
      <c r="G353" s="20" t="n"/>
    </row>
    <row r="354">
      <c r="A354" s="21" t="inlineStr">
        <is>
          <t>Details of cost for 0.66 sqm   |   Source: CivilDAR_2019_Vol_1.pdf, page 444</t>
        </is>
      </c>
    </row>
    <row r="355">
      <c r="A355" s="5" t="inlineStr">
        <is>
          <t>Code</t>
        </is>
      </c>
      <c r="B355" s="5" t="inlineStr">
        <is>
          <t>Description</t>
        </is>
      </c>
      <c r="C355" s="5" t="inlineStr">
        <is>
          <t>Unit</t>
        </is>
      </c>
      <c r="D355" s="5" t="inlineStr">
        <is>
          <t>Quantity</t>
        </is>
      </c>
      <c r="E355" s="5" t="inlineStr">
        <is>
          <t>Rate (Rs.)</t>
        </is>
      </c>
      <c r="F355" s="5" t="inlineStr">
        <is>
          <t>Amount (Rs.)</t>
        </is>
      </c>
      <c r="G355" s="5" t="inlineStr">
        <is>
          <t>Note</t>
        </is>
      </c>
    </row>
    <row r="356">
      <c r="A356" s="22" t="inlineStr">
        <is>
          <t>7468</t>
        </is>
      </c>
      <c r="B356" s="11" t="inlineStr">
        <is>
          <t>Veneered particle board with commercial veneering on both sides 12 mm thick</t>
        </is>
      </c>
      <c r="C356" s="22" t="inlineStr">
        <is>
          <t>sqm</t>
        </is>
      </c>
      <c r="D356" s="23" t="n">
        <v>0.8</v>
      </c>
      <c r="E356" s="24" t="n">
        <v>500</v>
      </c>
      <c r="F356" s="24">
        <f>D356*E356</f>
        <v/>
      </c>
      <c r="G356" s="22" t="n"/>
    </row>
    <row r="357">
      <c r="A357" s="22" t="inlineStr">
        <is>
          <t>9977</t>
        </is>
      </c>
      <c r="B357" s="11" t="inlineStr">
        <is>
          <t>Carriage of Plywood</t>
        </is>
      </c>
      <c r="C357" s="22" t="inlineStr">
        <is>
          <t>L.S.</t>
        </is>
      </c>
      <c r="D357" s="23" t="n">
        <v>1.82</v>
      </c>
      <c r="E357" s="24" t="n">
        <v>2</v>
      </c>
      <c r="F357" s="24">
        <f>D357*E357</f>
        <v/>
      </c>
      <c r="G357" s="22" t="n"/>
    </row>
    <row r="358">
      <c r="A358" s="22" t="inlineStr">
        <is>
          <t>0111</t>
        </is>
      </c>
      <c r="B358" s="11" t="inlineStr">
        <is>
          <t>Carpenter 1st class</t>
        </is>
      </c>
      <c r="C358" s="22" t="inlineStr">
        <is>
          <t>day</t>
        </is>
      </c>
      <c r="D358" s="23" t="n">
        <v>0.57</v>
      </c>
      <c r="E358" s="24" t="n">
        <v>738</v>
      </c>
      <c r="F358" s="24">
        <f>D358*E358</f>
        <v/>
      </c>
      <c r="G358" s="22" t="n"/>
    </row>
    <row r="359">
      <c r="A359" s="22" t="inlineStr">
        <is>
          <t>9999</t>
        </is>
      </c>
      <c r="B359" s="11" t="inlineStr">
        <is>
          <t>Sundries</t>
        </is>
      </c>
      <c r="C359" s="22" t="inlineStr">
        <is>
          <t>L.S.</t>
        </is>
      </c>
      <c r="D359" s="23" t="n">
        <v>4.42</v>
      </c>
      <c r="E359" s="24" t="n">
        <v>2</v>
      </c>
      <c r="F359" s="24">
        <f>D359*E359</f>
        <v/>
      </c>
      <c r="G359" s="22" t="n"/>
    </row>
    <row r="360">
      <c r="A360" s="8" t="inlineStr">
        <is>
          <t>Calculated W - SUM of the Amount column above</t>
        </is>
      </c>
      <c r="B360" s="9" t="n"/>
      <c r="C360" s="9" t="n"/>
      <c r="D360" s="9" t="n"/>
      <c r="E360" s="9" t="n"/>
      <c r="F360" s="25">
        <f>SUM(F356:F359)</f>
        <v/>
      </c>
      <c r="G360" s="9" t="n"/>
    </row>
    <row r="361">
      <c r="A361" s="26" t="inlineStr">
        <is>
          <t>W as printed in the DAR</t>
        </is>
      </c>
      <c r="B361" s="22" t="n"/>
      <c r="C361" s="22" t="n"/>
      <c r="D361" s="22" t="n"/>
      <c r="E361" s="22" t="n"/>
      <c r="F361" s="27" t="n">
        <v>833.14</v>
      </c>
      <c r="G361" s="22" t="n"/>
    </row>
    <row r="362">
      <c r="A362" s="26" t="inlineStr">
        <is>
          <t>Difference (calculated - printed)</t>
        </is>
      </c>
      <c r="B362" s="22" t="n"/>
      <c r="C362" s="22" t="n"/>
      <c r="D362" s="22" t="n"/>
      <c r="E362" s="22" t="n"/>
      <c r="F362" s="27">
        <f>F360-F361</f>
        <v/>
      </c>
      <c r="G362" s="22" t="n"/>
    </row>
    <row r="363">
      <c r="A363" s="29" t="inlineStr">
        <is>
          <t>SAY (Rs.) - final DAR rate as printed (fixed value, not computed)</t>
        </is>
      </c>
      <c r="B363" s="30" t="n"/>
      <c r="C363" s="30" t="n"/>
      <c r="D363" s="30" t="n"/>
      <c r="E363" s="30" t="n"/>
      <c r="F363" s="31" t="n">
        <v>1688.9</v>
      </c>
      <c r="G363" s="30" t="n"/>
    </row>
    <row r="365" ht="47.5" customHeight="1">
      <c r="A365" s="8" t="inlineStr">
        <is>
          <t>9.7</t>
        </is>
      </c>
      <c r="B365"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65" s="9" t="n"/>
      <c r="D365" s="9" t="n"/>
      <c r="E365" s="9" t="n"/>
      <c r="F365" s="9" t="n"/>
      <c r="G365" s="9" t="n"/>
    </row>
    <row r="366" ht="18.5" customHeight="1">
      <c r="A366" s="8" t="inlineStr">
        <is>
          <t>9.7.5</t>
        </is>
      </c>
      <c r="B366" s="17" t="inlineStr">
        <is>
          <t>Particle Board 12 mm thick</t>
        </is>
      </c>
      <c r="C366" s="9" t="n"/>
      <c r="D366" s="9" t="n"/>
      <c r="E366" s="9" t="n"/>
      <c r="F366" s="9" t="n"/>
      <c r="G366" s="9" t="n"/>
    </row>
    <row r="367" ht="33" customHeight="1">
      <c r="A367" s="18" t="inlineStr">
        <is>
          <t>9.7.5.3</t>
        </is>
      </c>
      <c r="B367" s="19" t="inlineStr">
        <is>
          <t>Pre-laminated particle board with decorative lamination on one side and balancing lamination on other side, Grade I, Type II IS: 12823 marked</t>
        </is>
      </c>
      <c r="C367" s="20" t="n"/>
      <c r="D367" s="20" t="n"/>
      <c r="E367" s="20" t="n"/>
      <c r="F367" s="20" t="n"/>
      <c r="G367" s="20" t="n"/>
    </row>
    <row r="368">
      <c r="A368" s="21" t="inlineStr">
        <is>
          <t>Details of cost for 0.66 sqm   |   Source: CivilDAR_2019_Vol_1.pdf, page 445</t>
        </is>
      </c>
    </row>
    <row r="369">
      <c r="A369" s="5" t="inlineStr">
        <is>
          <t>Code</t>
        </is>
      </c>
      <c r="B369" s="5" t="inlineStr">
        <is>
          <t>Description</t>
        </is>
      </c>
      <c r="C369" s="5" t="inlineStr">
        <is>
          <t>Unit</t>
        </is>
      </c>
      <c r="D369" s="5" t="inlineStr">
        <is>
          <t>Quantity</t>
        </is>
      </c>
      <c r="E369" s="5" t="inlineStr">
        <is>
          <t>Rate (Rs.)</t>
        </is>
      </c>
      <c r="F369" s="5" t="inlineStr">
        <is>
          <t>Amount (Rs.)</t>
        </is>
      </c>
      <c r="G369" s="5" t="inlineStr">
        <is>
          <t>Note</t>
        </is>
      </c>
    </row>
    <row r="370">
      <c r="A370" s="22" t="inlineStr">
        <is>
          <t>7477</t>
        </is>
      </c>
      <c r="B370" s="11" t="inlineStr">
        <is>
          <t>Prelaminated particle board with one side decorative and other side balancing lamination, flat pressed 3 layer &amp; graded (medium density) Grade I, Type II conforming to IS : 12823 (exterior grade) 12 mm thick</t>
        </is>
      </c>
      <c r="C370" s="22" t="inlineStr">
        <is>
          <t>sqm</t>
        </is>
      </c>
      <c r="D370" s="23" t="n">
        <v>0.8</v>
      </c>
      <c r="E370" s="24" t="n">
        <v>540</v>
      </c>
      <c r="F370" s="24">
        <f>D370*E370</f>
        <v/>
      </c>
      <c r="G370" s="22" t="n"/>
    </row>
    <row r="371">
      <c r="A371" s="22" t="inlineStr">
        <is>
          <t>9977</t>
        </is>
      </c>
      <c r="B371" s="11" t="inlineStr">
        <is>
          <t>Carriage of Plywood</t>
        </is>
      </c>
      <c r="C371" s="22" t="inlineStr">
        <is>
          <t>L.S.</t>
        </is>
      </c>
      <c r="D371" s="23" t="n">
        <v>1.82</v>
      </c>
      <c r="E371" s="24" t="n">
        <v>2</v>
      </c>
      <c r="F371" s="24">
        <f>D371*E371</f>
        <v/>
      </c>
      <c r="G371" s="22" t="n"/>
    </row>
    <row r="372">
      <c r="A372" s="22" t="inlineStr">
        <is>
          <t>0111</t>
        </is>
      </c>
      <c r="B372" s="11" t="inlineStr">
        <is>
          <t>Carpenter 1st class</t>
        </is>
      </c>
      <c r="C372" s="22" t="inlineStr">
        <is>
          <t>day</t>
        </is>
      </c>
      <c r="D372" s="23" t="n">
        <v>0.57</v>
      </c>
      <c r="E372" s="24" t="n">
        <v>738</v>
      </c>
      <c r="F372" s="24">
        <f>D372*E372</f>
        <v/>
      </c>
      <c r="G372" s="22" t="n"/>
    </row>
    <row r="373">
      <c r="A373" s="22" t="inlineStr">
        <is>
          <t>9999</t>
        </is>
      </c>
      <c r="B373" s="11" t="inlineStr">
        <is>
          <t>Sundries</t>
        </is>
      </c>
      <c r="C373" s="22" t="inlineStr">
        <is>
          <t>L.S.</t>
        </is>
      </c>
      <c r="D373" s="23" t="n">
        <v>4.42</v>
      </c>
      <c r="E373" s="24" t="n">
        <v>2</v>
      </c>
      <c r="F373" s="24">
        <f>D373*E373</f>
        <v/>
      </c>
      <c r="G373" s="22" t="n"/>
    </row>
    <row r="374">
      <c r="A374" s="8" t="inlineStr">
        <is>
          <t>Calculated W - SUM of the Amount column above</t>
        </is>
      </c>
      <c r="B374" s="9" t="n"/>
      <c r="C374" s="9" t="n"/>
      <c r="D374" s="9" t="n"/>
      <c r="E374" s="9" t="n"/>
      <c r="F374" s="25">
        <f>SUM(F370:F373)</f>
        <v/>
      </c>
      <c r="G374" s="9" t="n"/>
    </row>
    <row r="375">
      <c r="A375" s="26" t="inlineStr">
        <is>
          <t>W as printed in the DAR</t>
        </is>
      </c>
      <c r="B375" s="22" t="n"/>
      <c r="C375" s="22" t="n"/>
      <c r="D375" s="22" t="n"/>
      <c r="E375" s="22" t="n"/>
      <c r="F375" s="27" t="n">
        <v>865.14</v>
      </c>
      <c r="G375" s="22" t="n"/>
    </row>
    <row r="376">
      <c r="A376" s="26" t="inlineStr">
        <is>
          <t>Difference (calculated - printed)</t>
        </is>
      </c>
      <c r="B376" s="22" t="n"/>
      <c r="C376" s="22" t="n"/>
      <c r="D376" s="22" t="n"/>
      <c r="E376" s="22" t="n"/>
      <c r="F376" s="27">
        <f>F374-F375</f>
        <v/>
      </c>
      <c r="G376" s="22" t="n"/>
    </row>
    <row r="377">
      <c r="A377" s="29" t="inlineStr">
        <is>
          <t>SAY (Rs.) - final DAR rate as printed (fixed value, not computed)</t>
        </is>
      </c>
      <c r="B377" s="30" t="n"/>
      <c r="C377" s="30" t="n"/>
      <c r="D377" s="30" t="n"/>
      <c r="E377" s="30" t="n"/>
      <c r="F377" s="31" t="n">
        <v>1753.8</v>
      </c>
      <c r="G377" s="30" t="n"/>
    </row>
    <row r="379" ht="47.5" customHeight="1">
      <c r="A379" s="8" t="inlineStr">
        <is>
          <t>9.7</t>
        </is>
      </c>
      <c r="B379"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79" s="9" t="n"/>
      <c r="D379" s="9" t="n"/>
      <c r="E379" s="9" t="n"/>
      <c r="F379" s="9" t="n"/>
      <c r="G379" s="9" t="n"/>
    </row>
    <row r="380" ht="18.5" customHeight="1">
      <c r="A380" s="8" t="inlineStr">
        <is>
          <t>9.7.5</t>
        </is>
      </c>
      <c r="B380" s="17" t="inlineStr">
        <is>
          <t>Particle Board 12 mm thick</t>
        </is>
      </c>
      <c r="C380" s="9" t="n"/>
      <c r="D380" s="9" t="n"/>
      <c r="E380" s="9" t="n"/>
      <c r="F380" s="9" t="n"/>
      <c r="G380" s="9" t="n"/>
    </row>
    <row r="381" ht="18.5" customHeight="1">
      <c r="A381" s="18" t="inlineStr">
        <is>
          <t>9.7.5.4</t>
        </is>
      </c>
      <c r="B381" s="19" t="inlineStr">
        <is>
          <t>Pre-laminated particle board with decorative lamination on both sides, Grade I, Type II, IS:12823 marked</t>
        </is>
      </c>
      <c r="C381" s="20" t="n"/>
      <c r="D381" s="20" t="n"/>
      <c r="E381" s="20" t="n"/>
      <c r="F381" s="20" t="n"/>
      <c r="G381" s="20" t="n"/>
    </row>
    <row r="382">
      <c r="A382" s="21" t="inlineStr">
        <is>
          <t>Details of cost for 0.66 sqm   |   Source: CivilDAR_2019_Vol_1.pdf, page 446</t>
        </is>
      </c>
    </row>
    <row r="383">
      <c r="A383" s="5" t="inlineStr">
        <is>
          <t>Code</t>
        </is>
      </c>
      <c r="B383" s="5" t="inlineStr">
        <is>
          <t>Description</t>
        </is>
      </c>
      <c r="C383" s="5" t="inlineStr">
        <is>
          <t>Unit</t>
        </is>
      </c>
      <c r="D383" s="5" t="inlineStr">
        <is>
          <t>Quantity</t>
        </is>
      </c>
      <c r="E383" s="5" t="inlineStr">
        <is>
          <t>Rate (Rs.)</t>
        </is>
      </c>
      <c r="F383" s="5" t="inlineStr">
        <is>
          <t>Amount (Rs.)</t>
        </is>
      </c>
      <c r="G383" s="5" t="inlineStr">
        <is>
          <t>Note</t>
        </is>
      </c>
    </row>
    <row r="384">
      <c r="A384" s="22" t="inlineStr">
        <is>
          <t>7480</t>
        </is>
      </c>
      <c r="B384" s="11" t="inlineStr">
        <is>
          <t>Prelaminated particle board with both sides decorative lamination, flat pressed 3 layer &amp; graded (medium density) Grade I, Type II conforming to IS : 12823 (exterior grade) 12 mm thick</t>
        </is>
      </c>
      <c r="C384" s="22" t="inlineStr">
        <is>
          <t>sqm</t>
        </is>
      </c>
      <c r="D384" s="23" t="n">
        <v>0.8</v>
      </c>
      <c r="E384" s="24" t="n">
        <v>575</v>
      </c>
      <c r="F384" s="24">
        <f>D384*E384</f>
        <v/>
      </c>
      <c r="G384" s="22" t="n"/>
    </row>
    <row r="385">
      <c r="A385" s="22" t="inlineStr">
        <is>
          <t>9977</t>
        </is>
      </c>
      <c r="B385" s="11" t="inlineStr">
        <is>
          <t>Carriage of Plywood</t>
        </is>
      </c>
      <c r="C385" s="22" t="inlineStr">
        <is>
          <t>L.S.</t>
        </is>
      </c>
      <c r="D385" s="23" t="n">
        <v>1.82</v>
      </c>
      <c r="E385" s="24" t="n">
        <v>2</v>
      </c>
      <c r="F385" s="24">
        <f>D385*E385</f>
        <v/>
      </c>
      <c r="G385" s="22" t="n"/>
    </row>
    <row r="386">
      <c r="A386" s="22" t="inlineStr">
        <is>
          <t>0111</t>
        </is>
      </c>
      <c r="B386" s="11" t="inlineStr">
        <is>
          <t>Carpenter 1st class</t>
        </is>
      </c>
      <c r="C386" s="22" t="inlineStr">
        <is>
          <t>day</t>
        </is>
      </c>
      <c r="D386" s="23" t="n">
        <v>0.57</v>
      </c>
      <c r="E386" s="24" t="n">
        <v>738</v>
      </c>
      <c r="F386" s="24">
        <f>D386*E386</f>
        <v/>
      </c>
      <c r="G386" s="22" t="n"/>
    </row>
    <row r="387">
      <c r="A387" s="22" t="inlineStr">
        <is>
          <t>9999</t>
        </is>
      </c>
      <c r="B387" s="11" t="inlineStr">
        <is>
          <t>Sundries</t>
        </is>
      </c>
      <c r="C387" s="22" t="inlineStr">
        <is>
          <t>L.S.</t>
        </is>
      </c>
      <c r="D387" s="23" t="n">
        <v>4.42</v>
      </c>
      <c r="E387" s="24" t="n">
        <v>2</v>
      </c>
      <c r="F387" s="24">
        <f>D387*E387</f>
        <v/>
      </c>
      <c r="G387" s="22" t="n"/>
    </row>
    <row r="388">
      <c r="A388" s="8" t="inlineStr">
        <is>
          <t>Calculated W - SUM of the Amount column above</t>
        </is>
      </c>
      <c r="B388" s="9" t="n"/>
      <c r="C388" s="9" t="n"/>
      <c r="D388" s="9" t="n"/>
      <c r="E388" s="9" t="n"/>
      <c r="F388" s="25">
        <f>SUM(F384:F387)</f>
        <v/>
      </c>
      <c r="G388" s="9" t="n"/>
    </row>
    <row r="389">
      <c r="A389" s="26" t="inlineStr">
        <is>
          <t>W as printed in the DAR</t>
        </is>
      </c>
      <c r="B389" s="22" t="n"/>
      <c r="C389" s="22" t="n"/>
      <c r="D389" s="22" t="n"/>
      <c r="E389" s="22" t="n"/>
      <c r="F389" s="27" t="n">
        <v>893.14</v>
      </c>
      <c r="G389" s="22" t="n"/>
    </row>
    <row r="390">
      <c r="A390" s="26" t="inlineStr">
        <is>
          <t>Difference (calculated - printed)</t>
        </is>
      </c>
      <c r="B390" s="22" t="n"/>
      <c r="C390" s="22" t="n"/>
      <c r="D390" s="22" t="n"/>
      <c r="E390" s="22" t="n"/>
      <c r="F390" s="27">
        <f>F388-F389</f>
        <v/>
      </c>
      <c r="G390" s="22" t="n"/>
    </row>
    <row r="391">
      <c r="A391" s="29" t="inlineStr">
        <is>
          <t>SAY (Rs.) - final DAR rate as printed (fixed value, not computed)</t>
        </is>
      </c>
      <c r="B391" s="30" t="n"/>
      <c r="C391" s="30" t="n"/>
      <c r="D391" s="30" t="n"/>
      <c r="E391" s="30" t="n"/>
      <c r="F391" s="31" t="n">
        <v>1810.55</v>
      </c>
      <c r="G391" s="30" t="n"/>
    </row>
    <row r="393" ht="47.5" customHeight="1">
      <c r="A393" s="8" t="inlineStr">
        <is>
          <t>9.7</t>
        </is>
      </c>
      <c r="B393"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393" s="9" t="n"/>
      <c r="D393" s="9" t="n"/>
      <c r="E393" s="9" t="n"/>
      <c r="F393" s="9" t="n"/>
      <c r="G393" s="9" t="n"/>
    </row>
    <row r="394" ht="18.5" customHeight="1">
      <c r="A394" s="8" t="inlineStr">
        <is>
          <t>9.7.6</t>
        </is>
      </c>
      <c r="B394" s="17" t="inlineStr">
        <is>
          <t>Coir Veneer Board (conforming to IS 14842)</t>
        </is>
      </c>
      <c r="C394" s="9" t="n"/>
      <c r="D394" s="9" t="n"/>
      <c r="E394" s="9" t="n"/>
      <c r="F394" s="9" t="n"/>
      <c r="G394" s="9" t="n"/>
    </row>
    <row r="395" ht="18.5" customHeight="1">
      <c r="A395" s="18" t="inlineStr">
        <is>
          <t>9.7.6.1</t>
        </is>
      </c>
      <c r="B395" s="19" t="inlineStr">
        <is>
          <t>12 mm thick</t>
        </is>
      </c>
      <c r="C395" s="20" t="n"/>
      <c r="D395" s="20" t="n"/>
      <c r="E395" s="20" t="n"/>
      <c r="F395" s="20" t="n"/>
      <c r="G395" s="20" t="n"/>
    </row>
    <row r="396">
      <c r="A396" s="21" t="inlineStr">
        <is>
          <t>Details of cost for 0.66 sqm   |   Source: CivilDAR_2019_Vol_1.pdf, page 446</t>
        </is>
      </c>
    </row>
    <row r="397">
      <c r="A397" s="5" t="inlineStr">
        <is>
          <t>Code</t>
        </is>
      </c>
      <c r="B397" s="5" t="inlineStr">
        <is>
          <t>Description</t>
        </is>
      </c>
      <c r="C397" s="5" t="inlineStr">
        <is>
          <t>Unit</t>
        </is>
      </c>
      <c r="D397" s="5" t="inlineStr">
        <is>
          <t>Quantity</t>
        </is>
      </c>
      <c r="E397" s="5" t="inlineStr">
        <is>
          <t>Rate (Rs.)</t>
        </is>
      </c>
      <c r="F397" s="5" t="inlineStr">
        <is>
          <t>Amount (Rs.)</t>
        </is>
      </c>
      <c r="G397" s="5" t="inlineStr">
        <is>
          <t>Note</t>
        </is>
      </c>
    </row>
    <row r="398">
      <c r="A398" s="22" t="inlineStr">
        <is>
          <t>7555</t>
        </is>
      </c>
      <c r="B398" s="11" t="inlineStr">
        <is>
          <t>Coir veneered board 12mm thick</t>
        </is>
      </c>
      <c r="C398" s="22" t="inlineStr">
        <is>
          <t>sqm</t>
        </is>
      </c>
      <c r="D398" s="23" t="n">
        <v>0.8</v>
      </c>
      <c r="E398" s="24" t="n">
        <v>670</v>
      </c>
      <c r="F398" s="24">
        <f>D398*E398</f>
        <v/>
      </c>
      <c r="G398" s="22" t="n"/>
    </row>
    <row r="399">
      <c r="A399" s="22" t="inlineStr">
        <is>
          <t>9977</t>
        </is>
      </c>
      <c r="B399" s="11" t="inlineStr">
        <is>
          <t>CARRIAGE</t>
        </is>
      </c>
      <c r="C399" s="22" t="inlineStr">
        <is>
          <t>L.S.</t>
        </is>
      </c>
      <c r="D399" s="23" t="n">
        <v>1.82</v>
      </c>
      <c r="E399" s="24" t="n">
        <v>2</v>
      </c>
      <c r="F399" s="24">
        <f>D399*E399</f>
        <v/>
      </c>
      <c r="G399" s="22" t="n"/>
    </row>
    <row r="400">
      <c r="A400" s="22" t="inlineStr">
        <is>
          <t>0111</t>
        </is>
      </c>
      <c r="B400" s="11" t="inlineStr">
        <is>
          <t>Carpenter 1st class</t>
        </is>
      </c>
      <c r="C400" s="22" t="inlineStr">
        <is>
          <t>day</t>
        </is>
      </c>
      <c r="D400" s="23" t="n">
        <v>0.57</v>
      </c>
      <c r="E400" s="24" t="n">
        <v>738</v>
      </c>
      <c r="F400" s="24">
        <f>D400*E400</f>
        <v/>
      </c>
      <c r="G400" s="22" t="n"/>
    </row>
    <row r="401">
      <c r="A401" s="22" t="inlineStr">
        <is>
          <t>9999</t>
        </is>
      </c>
      <c r="B401" s="11" t="inlineStr">
        <is>
          <t>Sundries</t>
        </is>
      </c>
      <c r="C401" s="22" t="inlineStr">
        <is>
          <t>L.S.</t>
        </is>
      </c>
      <c r="D401" s="23" t="n">
        <v>4.42</v>
      </c>
      <c r="E401" s="24" t="n">
        <v>2</v>
      </c>
      <c r="F401" s="24">
        <f>D401*E401</f>
        <v/>
      </c>
      <c r="G401" s="22" t="n"/>
    </row>
    <row r="402">
      <c r="A402" s="8" t="inlineStr">
        <is>
          <t>Calculated W - SUM of the Amount column above</t>
        </is>
      </c>
      <c r="B402" s="9" t="n"/>
      <c r="C402" s="9" t="n"/>
      <c r="D402" s="9" t="n"/>
      <c r="E402" s="9" t="n"/>
      <c r="F402" s="25">
        <f>SUM(F398:F401)</f>
        <v/>
      </c>
      <c r="G402" s="9" t="n"/>
    </row>
    <row r="403">
      <c r="A403" s="26" t="inlineStr">
        <is>
          <t>W as printed in the DAR</t>
        </is>
      </c>
      <c r="B403" s="22" t="n"/>
      <c r="C403" s="22" t="n"/>
      <c r="D403" s="22" t="n"/>
      <c r="E403" s="22" t="n"/>
      <c r="F403" s="27" t="n">
        <v>969.14</v>
      </c>
      <c r="G403" s="22" t="n"/>
    </row>
    <row r="404">
      <c r="A404" s="26" t="inlineStr">
        <is>
          <t>Difference (calculated - printed)</t>
        </is>
      </c>
      <c r="B404" s="22" t="n"/>
      <c r="C404" s="22" t="n"/>
      <c r="D404" s="22" t="n"/>
      <c r="E404" s="22" t="n"/>
      <c r="F404" s="27">
        <f>F402-F403</f>
        <v/>
      </c>
      <c r="G404" s="22" t="n"/>
    </row>
    <row r="405">
      <c r="A405" s="29" t="inlineStr">
        <is>
          <t>SAY (Rs.) - final DAR rate as printed (fixed value, not computed)</t>
        </is>
      </c>
      <c r="B405" s="30" t="n"/>
      <c r="C405" s="30" t="n"/>
      <c r="D405" s="30" t="n"/>
      <c r="E405" s="30" t="n"/>
      <c r="F405" s="31" t="n">
        <v>1964.6</v>
      </c>
      <c r="G405" s="30" t="n"/>
    </row>
    <row r="407" ht="47.5" customHeight="1">
      <c r="A407" s="8" t="inlineStr">
        <is>
          <t>9.7</t>
        </is>
      </c>
      <c r="B407"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407" s="9" t="n"/>
      <c r="D407" s="9" t="n"/>
      <c r="E407" s="9" t="n"/>
      <c r="F407" s="9" t="n"/>
      <c r="G407" s="9" t="n"/>
    </row>
    <row r="408" ht="18.5" customHeight="1">
      <c r="A408" s="8" t="inlineStr">
        <is>
          <t>9.7.7</t>
        </is>
      </c>
      <c r="B408" s="17" t="inlineStr">
        <is>
          <t>Float glass panes</t>
        </is>
      </c>
      <c r="C408" s="9" t="n"/>
      <c r="D408" s="9" t="n"/>
      <c r="E408" s="9" t="n"/>
      <c r="F408" s="9" t="n"/>
      <c r="G408" s="9" t="n"/>
    </row>
    <row r="409" ht="18.5" customHeight="1">
      <c r="A409" s="18" t="inlineStr">
        <is>
          <t>9.7.7.1</t>
        </is>
      </c>
      <c r="B409" s="19" t="inlineStr">
        <is>
          <t>4 mm thick glass pane (weight not less than 10kg/sqm).</t>
        </is>
      </c>
      <c r="C409" s="20" t="n"/>
      <c r="D409" s="20" t="n"/>
      <c r="E409" s="20" t="n"/>
      <c r="F409" s="20" t="n"/>
      <c r="G409" s="20" t="n"/>
    </row>
    <row r="410">
      <c r="A410" s="21" t="inlineStr">
        <is>
          <t>Details of cost for 0.66 sqm   |   Source: CivilDAR_2019_Vol_1.pdf, page 447</t>
        </is>
      </c>
    </row>
    <row r="411">
      <c r="A411" s="5" t="inlineStr">
        <is>
          <t>Code</t>
        </is>
      </c>
      <c r="B411" s="5" t="inlineStr">
        <is>
          <t>Description</t>
        </is>
      </c>
      <c r="C411" s="5" t="inlineStr">
        <is>
          <t>Unit</t>
        </is>
      </c>
      <c r="D411" s="5" t="inlineStr">
        <is>
          <t>Quantity</t>
        </is>
      </c>
      <c r="E411" s="5" t="inlineStr">
        <is>
          <t>Rate (Rs.)</t>
        </is>
      </c>
      <c r="F411" s="5" t="inlineStr">
        <is>
          <t>Amount (Rs.)</t>
        </is>
      </c>
      <c r="G411" s="5" t="inlineStr">
        <is>
          <t>Note</t>
        </is>
      </c>
    </row>
    <row r="412">
      <c r="A412" s="22" t="inlineStr">
        <is>
          <t>2406</t>
        </is>
      </c>
      <c r="B412" s="11" t="inlineStr">
        <is>
          <t>Float glass sheet of nominal thickness 4 mm (weight not less than 10kg/sqm).</t>
        </is>
      </c>
      <c r="C412" s="22" t="inlineStr">
        <is>
          <t>sqm</t>
        </is>
      </c>
      <c r="D412" s="23" t="n">
        <v>0.8</v>
      </c>
      <c r="E412" s="24" t="n">
        <v>300</v>
      </c>
      <c r="F412" s="24">
        <f>D412*E412</f>
        <v/>
      </c>
      <c r="G412" s="22" t="n"/>
    </row>
    <row r="413">
      <c r="A413" s="22" t="inlineStr">
        <is>
          <t>9977</t>
        </is>
      </c>
      <c r="B413" s="11" t="inlineStr">
        <is>
          <t>CARRIAGE</t>
        </is>
      </c>
      <c r="C413" s="22" t="inlineStr">
        <is>
          <t>L.S.</t>
        </is>
      </c>
      <c r="D413" s="23" t="n">
        <v>1.82</v>
      </c>
      <c r="E413" s="24" t="n">
        <v>2</v>
      </c>
      <c r="F413" s="24">
        <f>D413*E413</f>
        <v/>
      </c>
      <c r="G413" s="22" t="n"/>
    </row>
    <row r="414">
      <c r="A414" s="22" t="inlineStr">
        <is>
          <t>0156</t>
        </is>
      </c>
      <c r="B414" s="11" t="inlineStr">
        <is>
          <t>Carpenter (average)</t>
        </is>
      </c>
      <c r="C414" s="22" t="inlineStr">
        <is>
          <t>day</t>
        </is>
      </c>
      <c r="D414" s="23" t="n">
        <v>0.57</v>
      </c>
      <c r="E414" s="24" t="n">
        <v>709</v>
      </c>
      <c r="F414" s="24">
        <f>D414*E414</f>
        <v/>
      </c>
      <c r="G414" s="22" t="n"/>
    </row>
    <row r="415">
      <c r="A415" s="22" t="inlineStr">
        <is>
          <t>0119</t>
        </is>
      </c>
      <c r="B415" s="11" t="inlineStr">
        <is>
          <t>Glazier</t>
        </is>
      </c>
      <c r="C415" s="22" t="inlineStr">
        <is>
          <t>day</t>
        </is>
      </c>
      <c r="D415" s="23" t="n">
        <v>0.15</v>
      </c>
      <c r="E415" s="24" t="n">
        <v>679</v>
      </c>
      <c r="F415" s="24">
        <f>D415*E415</f>
        <v/>
      </c>
      <c r="G415" s="22" t="n"/>
    </row>
    <row r="416">
      <c r="A416" s="22" t="inlineStr">
        <is>
          <t>0114</t>
        </is>
      </c>
      <c r="B416" s="11" t="inlineStr">
        <is>
          <t>Beldar</t>
        </is>
      </c>
      <c r="C416" s="22" t="inlineStr">
        <is>
          <t>day</t>
        </is>
      </c>
      <c r="D416" s="23" t="n">
        <v>0.15</v>
      </c>
      <c r="E416" s="24" t="n">
        <v>558</v>
      </c>
      <c r="F416" s="24">
        <f>D416*E416</f>
        <v/>
      </c>
      <c r="G416" s="22" t="n"/>
    </row>
    <row r="417">
      <c r="A417" s="22" t="inlineStr">
        <is>
          <t>9999</t>
        </is>
      </c>
      <c r="B417" s="11" t="inlineStr">
        <is>
          <t>Sundries</t>
        </is>
      </c>
      <c r="C417" s="22" t="inlineStr">
        <is>
          <t>L.S.</t>
        </is>
      </c>
      <c r="D417" s="23" t="n">
        <v>25.47</v>
      </c>
      <c r="E417" s="24" t="n">
        <v>2</v>
      </c>
      <c r="F417" s="24">
        <f>D417*E417</f>
        <v/>
      </c>
      <c r="G417" s="22" t="n"/>
    </row>
    <row r="418">
      <c r="A418" s="8" t="inlineStr">
        <is>
          <t>Calculated W - SUM of the Amount column above</t>
        </is>
      </c>
      <c r="B418" s="9" t="n"/>
      <c r="C418" s="9" t="n"/>
      <c r="D418" s="9" t="n"/>
      <c r="E418" s="9" t="n"/>
      <c r="F418" s="25">
        <f>SUM(F412:F417)</f>
        <v/>
      </c>
      <c r="G418" s="9" t="n"/>
    </row>
    <row r="419">
      <c r="A419" s="26" t="inlineStr">
        <is>
          <t>W as printed in the DAR</t>
        </is>
      </c>
      <c r="B419" s="22" t="n"/>
      <c r="C419" s="22" t="n"/>
      <c r="D419" s="22" t="n"/>
      <c r="E419" s="22" t="n"/>
      <c r="F419" s="27" t="n">
        <v>884.26</v>
      </c>
      <c r="G419" s="22" t="n"/>
    </row>
    <row r="420">
      <c r="A420" s="26" t="inlineStr">
        <is>
          <t>Difference (calculated - printed)</t>
        </is>
      </c>
      <c r="B420" s="22" t="n"/>
      <c r="C420" s="22" t="n"/>
      <c r="D420" s="22" t="n"/>
      <c r="E420" s="22" t="n"/>
      <c r="F420" s="27">
        <f>F418-F419</f>
        <v/>
      </c>
      <c r="G420" s="22" t="n"/>
    </row>
    <row r="421">
      <c r="A421" s="29" t="inlineStr">
        <is>
          <t>SAY (Rs.) - final DAR rate as printed (fixed value, not computed)</t>
        </is>
      </c>
      <c r="B421" s="30" t="n"/>
      <c r="C421" s="30" t="n"/>
      <c r="D421" s="30" t="n"/>
      <c r="E421" s="30" t="n"/>
      <c r="F421" s="31" t="n">
        <v>1792.55</v>
      </c>
      <c r="G421" s="30" t="n"/>
    </row>
    <row r="423" ht="47.5" customHeight="1">
      <c r="A423" s="8" t="inlineStr">
        <is>
          <t>9.7</t>
        </is>
      </c>
      <c r="B423"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423" s="9" t="n"/>
      <c r="D423" s="9" t="n"/>
      <c r="E423" s="9" t="n"/>
      <c r="F423" s="9" t="n"/>
      <c r="G423" s="9" t="n"/>
    </row>
    <row r="424" ht="18.5" customHeight="1">
      <c r="A424" s="8" t="inlineStr">
        <is>
          <t>9.7.7</t>
        </is>
      </c>
      <c r="B424" s="17" t="inlineStr">
        <is>
          <t>Float glass panes</t>
        </is>
      </c>
      <c r="C424" s="9" t="n"/>
      <c r="D424" s="9" t="n"/>
      <c r="E424" s="9" t="n"/>
      <c r="F424" s="9" t="n"/>
      <c r="G424" s="9" t="n"/>
    </row>
    <row r="425" ht="18.5" customHeight="1">
      <c r="A425" s="18" t="inlineStr">
        <is>
          <t>9.7.7.2</t>
        </is>
      </c>
      <c r="B425" s="19" t="inlineStr">
        <is>
          <t>5.0 mm thick glass panes (weight not less than 12.50 kg/sqm).</t>
        </is>
      </c>
      <c r="C425" s="20" t="n"/>
      <c r="D425" s="20" t="n"/>
      <c r="E425" s="20" t="n"/>
      <c r="F425" s="20" t="n"/>
      <c r="G425" s="20" t="n"/>
    </row>
    <row r="426">
      <c r="A426" s="21" t="inlineStr">
        <is>
          <t>Details of cost for 0.66 sqm   |   Source: CivilDAR_2019_Vol_1.pdf, page 448</t>
        </is>
      </c>
    </row>
    <row r="427">
      <c r="A427" s="5" t="inlineStr">
        <is>
          <t>Code</t>
        </is>
      </c>
      <c r="B427" s="5" t="inlineStr">
        <is>
          <t>Description</t>
        </is>
      </c>
      <c r="C427" s="5" t="inlineStr">
        <is>
          <t>Unit</t>
        </is>
      </c>
      <c r="D427" s="5" t="inlineStr">
        <is>
          <t>Quantity</t>
        </is>
      </c>
      <c r="E427" s="5" t="inlineStr">
        <is>
          <t>Rate (Rs.)</t>
        </is>
      </c>
      <c r="F427" s="5" t="inlineStr">
        <is>
          <t>Amount (Rs.)</t>
        </is>
      </c>
      <c r="G427" s="5" t="inlineStr">
        <is>
          <t>Note</t>
        </is>
      </c>
    </row>
    <row r="428">
      <c r="A428" s="22" t="inlineStr">
        <is>
          <t>2407</t>
        </is>
      </c>
      <c r="B428" s="11" t="inlineStr">
        <is>
          <t>Float glass sheet of nominal thickness 5.0 mm.(weight not less than 12.50 kg/ sqm).</t>
        </is>
      </c>
      <c r="C428" s="22" t="inlineStr">
        <is>
          <t>sqm</t>
        </is>
      </c>
      <c r="D428" s="23" t="n">
        <v>0.8</v>
      </c>
      <c r="E428" s="24" t="n">
        <v>500</v>
      </c>
      <c r="F428" s="24">
        <f>D428*E428</f>
        <v/>
      </c>
      <c r="G428" s="22" t="n"/>
    </row>
    <row r="429">
      <c r="A429" s="22" t="inlineStr">
        <is>
          <t>9977</t>
        </is>
      </c>
      <c r="B429" s="11" t="inlineStr">
        <is>
          <t>CARRIAGE</t>
        </is>
      </c>
      <c r="C429" s="22" t="inlineStr">
        <is>
          <t>L.S.</t>
        </is>
      </c>
      <c r="D429" s="23" t="n">
        <v>1.82</v>
      </c>
      <c r="E429" s="24" t="n">
        <v>2</v>
      </c>
      <c r="F429" s="24">
        <f>D429*E429</f>
        <v/>
      </c>
      <c r="G429" s="22" t="n"/>
    </row>
    <row r="430">
      <c r="A430" s="22" t="inlineStr">
        <is>
          <t>0156</t>
        </is>
      </c>
      <c r="B430" s="11" t="inlineStr">
        <is>
          <t>Carpenter (average)</t>
        </is>
      </c>
      <c r="C430" s="22" t="inlineStr">
        <is>
          <t>day</t>
        </is>
      </c>
      <c r="D430" s="23" t="n">
        <v>0.57</v>
      </c>
      <c r="E430" s="24" t="n">
        <v>709</v>
      </c>
      <c r="F430" s="24">
        <f>D430*E430</f>
        <v/>
      </c>
      <c r="G430" s="22" t="n"/>
    </row>
    <row r="431">
      <c r="A431" s="22" t="inlineStr">
        <is>
          <t>0119</t>
        </is>
      </c>
      <c r="B431" s="11" t="inlineStr">
        <is>
          <t>Glazier</t>
        </is>
      </c>
      <c r="C431" s="22" t="inlineStr">
        <is>
          <t>day</t>
        </is>
      </c>
      <c r="D431" s="23" t="n">
        <v>0.15</v>
      </c>
      <c r="E431" s="24" t="n">
        <v>679</v>
      </c>
      <c r="F431" s="24">
        <f>D431*E431</f>
        <v/>
      </c>
      <c r="G431" s="22" t="n"/>
    </row>
    <row r="432">
      <c r="A432" s="22" t="inlineStr">
        <is>
          <t>0114</t>
        </is>
      </c>
      <c r="B432" s="11" t="inlineStr">
        <is>
          <t>Beldar</t>
        </is>
      </c>
      <c r="C432" s="22" t="inlineStr">
        <is>
          <t>day</t>
        </is>
      </c>
      <c r="D432" s="23" t="n">
        <v>0.15</v>
      </c>
      <c r="E432" s="24" t="n">
        <v>558</v>
      </c>
      <c r="F432" s="24">
        <f>D432*E432</f>
        <v/>
      </c>
      <c r="G432" s="22" t="n"/>
    </row>
    <row r="433">
      <c r="A433" s="22" t="inlineStr">
        <is>
          <t>9999</t>
        </is>
      </c>
      <c r="B433" s="11" t="inlineStr">
        <is>
          <t>Sundries</t>
        </is>
      </c>
      <c r="C433" s="22" t="inlineStr">
        <is>
          <t>L.S.</t>
        </is>
      </c>
      <c r="D433" s="23" t="n">
        <v>25.47</v>
      </c>
      <c r="E433" s="24" t="n">
        <v>2</v>
      </c>
      <c r="F433" s="24">
        <f>D433*E433</f>
        <v/>
      </c>
      <c r="G433" s="22" t="n"/>
    </row>
    <row r="434">
      <c r="A434" s="8" t="inlineStr">
        <is>
          <t>Calculated W - SUM of the Amount column above</t>
        </is>
      </c>
      <c r="B434" s="9" t="n"/>
      <c r="C434" s="9" t="n"/>
      <c r="D434" s="9" t="n"/>
      <c r="E434" s="9" t="n"/>
      <c r="F434" s="25">
        <f>SUM(F428:F433)</f>
        <v/>
      </c>
      <c r="G434" s="9" t="n"/>
    </row>
    <row r="435">
      <c r="A435" s="26" t="inlineStr">
        <is>
          <t>W as printed in the DAR</t>
        </is>
      </c>
      <c r="B435" s="22" t="n"/>
      <c r="C435" s="22" t="n"/>
      <c r="D435" s="22" t="n"/>
      <c r="E435" s="22" t="n"/>
      <c r="F435" s="27" t="n">
        <v>1044.26</v>
      </c>
      <c r="G435" s="22" t="n"/>
    </row>
    <row r="436">
      <c r="A436" s="26" t="inlineStr">
        <is>
          <t>Difference (calculated - printed)</t>
        </is>
      </c>
      <c r="B436" s="22" t="n"/>
      <c r="C436" s="22" t="n"/>
      <c r="D436" s="22" t="n"/>
      <c r="E436" s="22" t="n"/>
      <c r="F436" s="27">
        <f>F434-F435</f>
        <v/>
      </c>
      <c r="G436" s="22" t="n"/>
    </row>
    <row r="437">
      <c r="A437" s="29" t="inlineStr">
        <is>
          <t>SAY (Rs.) - final DAR rate as printed (fixed value, not computed)</t>
        </is>
      </c>
      <c r="B437" s="30" t="n"/>
      <c r="C437" s="30" t="n"/>
      <c r="D437" s="30" t="n"/>
      <c r="E437" s="30" t="n"/>
      <c r="F437" s="31" t="n">
        <v>2116.9</v>
      </c>
      <c r="G437" s="30" t="n"/>
    </row>
    <row r="439" ht="47.5" customHeight="1">
      <c r="A439" s="8" t="inlineStr">
        <is>
          <t>9.7</t>
        </is>
      </c>
      <c r="B439" s="17"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is>
      </c>
      <c r="C439" s="9" t="n"/>
      <c r="D439" s="9" t="n"/>
      <c r="E439" s="9" t="n"/>
      <c r="F439" s="9" t="n"/>
      <c r="G439" s="9" t="n"/>
    </row>
    <row r="440" ht="18.5" customHeight="1">
      <c r="A440" s="18" t="inlineStr">
        <is>
          <t>9.7.8</t>
        </is>
      </c>
      <c r="B440" s="19" t="inlineStr">
        <is>
          <t>Fly proof stainless steel grade 304 wire gauge with 0.5 mm dia. wire and 1.4mm wide aperture with matching wood beading</t>
        </is>
      </c>
      <c r="C440" s="20" t="n"/>
      <c r="D440" s="20" t="n"/>
      <c r="E440" s="20" t="n"/>
      <c r="F440" s="20" t="n"/>
      <c r="G440" s="20" t="n"/>
    </row>
    <row r="441">
      <c r="A441" s="21" t="inlineStr">
        <is>
          <t>Details of cost for 0.66 sqm   |   Source: CivilDAR_2019_Vol_1.pdf, page 448</t>
        </is>
      </c>
    </row>
    <row r="442">
      <c r="A442" s="5" t="inlineStr">
        <is>
          <t>Code</t>
        </is>
      </c>
      <c r="B442" s="5" t="inlineStr">
        <is>
          <t>Description</t>
        </is>
      </c>
      <c r="C442" s="5" t="inlineStr">
        <is>
          <t>Unit</t>
        </is>
      </c>
      <c r="D442" s="5" t="inlineStr">
        <is>
          <t>Quantity</t>
        </is>
      </c>
      <c r="E442" s="5" t="inlineStr">
        <is>
          <t>Rate (Rs.)</t>
        </is>
      </c>
      <c r="F442" s="5" t="inlineStr">
        <is>
          <t>Amount (Rs.)</t>
        </is>
      </c>
      <c r="G442" s="5" t="inlineStr">
        <is>
          <t>Note</t>
        </is>
      </c>
    </row>
    <row r="443">
      <c r="A443" s="22" t="inlineStr">
        <is>
          <t>8737</t>
        </is>
      </c>
      <c r="B443" s="11" t="inlineStr">
        <is>
          <t>Stainless steel wire guage (Grade-304) aperture 1.4mm and 0.50 mm dia wire</t>
        </is>
      </c>
      <c r="C443" s="22" t="inlineStr">
        <is>
          <t>sqm</t>
        </is>
      </c>
      <c r="D443" s="23" t="n">
        <v>0.8</v>
      </c>
      <c r="E443" s="24" t="n">
        <v>400</v>
      </c>
      <c r="F443" s="24">
        <f>D443*E443</f>
        <v/>
      </c>
      <c r="G443" s="22" t="n"/>
    </row>
    <row r="444">
      <c r="A444" s="22" t="inlineStr">
        <is>
          <t>9977</t>
        </is>
      </c>
      <c r="B444" s="11" t="inlineStr">
        <is>
          <t>CARRIAGE</t>
        </is>
      </c>
      <c r="C444" s="22" t="inlineStr">
        <is>
          <t>L.S.</t>
        </is>
      </c>
      <c r="D444" s="23" t="n">
        <v>1.82</v>
      </c>
      <c r="E444" s="24" t="n">
        <v>2</v>
      </c>
      <c r="F444" s="24">
        <f>D444*E444</f>
        <v/>
      </c>
      <c r="G444" s="22" t="n"/>
    </row>
    <row r="445">
      <c r="A445" s="22" t="inlineStr">
        <is>
          <t>0112</t>
        </is>
      </c>
      <c r="B445" s="11" t="inlineStr">
        <is>
          <t>Carpenter 2nd class</t>
        </is>
      </c>
      <c r="C445" s="22" t="inlineStr">
        <is>
          <t>day</t>
        </is>
      </c>
      <c r="D445" s="23" t="n">
        <v>0.57</v>
      </c>
      <c r="E445" s="24" t="n">
        <v>679</v>
      </c>
      <c r="F445" s="24">
        <f>D445*E445</f>
        <v/>
      </c>
      <c r="G445" s="22" t="n"/>
    </row>
    <row r="446">
      <c r="A446" s="22" t="inlineStr">
        <is>
          <t>9999</t>
        </is>
      </c>
      <c r="B446" s="11" t="inlineStr">
        <is>
          <t>Sundries</t>
        </is>
      </c>
      <c r="C446" s="22" t="inlineStr">
        <is>
          <t>L.S.</t>
        </is>
      </c>
      <c r="D446" s="23" t="n">
        <v>4.42</v>
      </c>
      <c r="E446" s="24" t="n">
        <v>2</v>
      </c>
      <c r="F446" s="24">
        <f>D446*E446</f>
        <v/>
      </c>
      <c r="G446" s="22" t="n"/>
    </row>
    <row r="447">
      <c r="A447" s="8" t="inlineStr">
        <is>
          <t>Calculated W - SUM of the Amount column above</t>
        </is>
      </c>
      <c r="B447" s="9" t="n"/>
      <c r="C447" s="9" t="n"/>
      <c r="D447" s="9" t="n"/>
      <c r="E447" s="9" t="n"/>
      <c r="F447" s="25">
        <f>SUM(F443:F446)</f>
        <v/>
      </c>
      <c r="G447" s="9" t="n"/>
    </row>
    <row r="448">
      <c r="A448" s="26" t="inlineStr">
        <is>
          <t>W as printed in the DAR</t>
        </is>
      </c>
      <c r="B448" s="22" t="n"/>
      <c r="C448" s="22" t="n"/>
      <c r="D448" s="22" t="n"/>
      <c r="E448" s="22" t="n"/>
      <c r="F448" s="27" t="n">
        <v>719.51</v>
      </c>
      <c r="G448" s="22" t="n"/>
    </row>
    <row r="449">
      <c r="A449" s="26" t="inlineStr">
        <is>
          <t>Difference (calculated - printed)</t>
        </is>
      </c>
      <c r="B449" s="22" t="n"/>
      <c r="C449" s="22" t="n"/>
      <c r="D449" s="22" t="n"/>
      <c r="E449" s="22" t="n"/>
      <c r="F449" s="27">
        <f>F447-F448</f>
        <v/>
      </c>
      <c r="G449" s="22" t="n"/>
    </row>
    <row r="450">
      <c r="A450" s="29" t="inlineStr">
        <is>
          <t>SAY (Rs.) - final DAR rate as printed (fixed value, not computed)</t>
        </is>
      </c>
      <c r="B450" s="30" t="n"/>
      <c r="C450" s="30" t="n"/>
      <c r="D450" s="30" t="n"/>
      <c r="E450" s="30" t="n"/>
      <c r="F450" s="31" t="n">
        <v>1458.6</v>
      </c>
      <c r="G450" s="30" t="n"/>
    </row>
    <row r="452" ht="33" customHeight="1">
      <c r="A452" s="8" t="inlineStr">
        <is>
          <t>9.9</t>
        </is>
      </c>
      <c r="B452" s="17" t="inlineStr">
        <is>
          <t>Providing and fixing glazed shutters for doors, windows and clerestory windows using 4 mm thick float glass panes, including ISI marked M.S. pressed butt hinges bright finished of required size with necessary screws.</t>
        </is>
      </c>
      <c r="C452" s="9" t="n"/>
      <c r="D452" s="9" t="n"/>
      <c r="E452" s="9" t="n"/>
      <c r="F452" s="9" t="n"/>
      <c r="G452" s="9" t="n"/>
    </row>
    <row r="453" ht="18.5" customHeight="1">
      <c r="A453" s="8" t="inlineStr">
        <is>
          <t>9.9.1</t>
        </is>
      </c>
      <c r="B453" s="17" t="inlineStr">
        <is>
          <t>Second class teak wood</t>
        </is>
      </c>
      <c r="C453" s="9" t="n"/>
      <c r="D453" s="9" t="n"/>
      <c r="E453" s="9" t="n"/>
      <c r="F453" s="9" t="n"/>
      <c r="G453" s="9" t="n"/>
    </row>
    <row r="454" ht="18.5" customHeight="1">
      <c r="A454" s="18" t="inlineStr">
        <is>
          <t>9.9.1.1</t>
        </is>
      </c>
      <c r="B454" s="19" t="inlineStr">
        <is>
          <t>35 mm thick</t>
        </is>
      </c>
      <c r="C454" s="20" t="n"/>
      <c r="D454" s="20" t="n"/>
      <c r="E454" s="20" t="n"/>
      <c r="F454" s="20" t="n"/>
      <c r="G454" s="20" t="n"/>
    </row>
    <row r="455">
      <c r="A455" s="21" t="inlineStr">
        <is>
          <t>Details of cost for 2.16 sqm   |   Source: CivilDAR_2019_Vol_1.pdf, page 449</t>
        </is>
      </c>
    </row>
    <row r="456">
      <c r="A456" s="5" t="inlineStr">
        <is>
          <t>Code</t>
        </is>
      </c>
      <c r="B456" s="5" t="inlineStr">
        <is>
          <t>Description</t>
        </is>
      </c>
      <c r="C456" s="5" t="inlineStr">
        <is>
          <t>Unit</t>
        </is>
      </c>
      <c r="D456" s="5" t="inlineStr">
        <is>
          <t>Quantity</t>
        </is>
      </c>
      <c r="E456" s="5" t="inlineStr">
        <is>
          <t>Rate (Rs.)</t>
        </is>
      </c>
      <c r="F456" s="5" t="inlineStr">
        <is>
          <t>Amount (Rs.)</t>
        </is>
      </c>
      <c r="G456" s="5" t="inlineStr">
        <is>
          <t>Note</t>
        </is>
      </c>
    </row>
    <row r="457">
      <c r="A457" s="22" t="inlineStr">
        <is>
          <t>1190</t>
        </is>
      </c>
      <c r="B457" s="11" t="inlineStr">
        <is>
          <t>Second class teak wood in planks</t>
        </is>
      </c>
      <c r="C457" s="22" t="inlineStr">
        <is>
          <t>10 cudm</t>
        </is>
      </c>
      <c r="D457" s="23" t="n">
        <v>5.8</v>
      </c>
      <c r="E457" s="24" t="n">
        <v>791</v>
      </c>
      <c r="F457" s="24">
        <f>D457*E457</f>
        <v/>
      </c>
      <c r="G457" s="22" t="n"/>
    </row>
    <row r="458">
      <c r="A458" s="22" t="inlineStr">
        <is>
          <t>2406</t>
        </is>
      </c>
      <c r="B458" s="11" t="inlineStr">
        <is>
          <t>Float glass sheet of nominal thickness 4 mm (weight not less than 10kg/sqm).</t>
        </is>
      </c>
      <c r="C458" s="22" t="inlineStr">
        <is>
          <t>sqm</t>
        </is>
      </c>
      <c r="D458" s="23" t="n">
        <v>1.27</v>
      </c>
      <c r="E458" s="24" t="n">
        <v>300</v>
      </c>
      <c r="F458" s="24">
        <f>D458*E458</f>
        <v/>
      </c>
      <c r="G458" s="22" t="n"/>
    </row>
    <row r="459">
      <c r="A459" s="22" t="inlineStr">
        <is>
          <t>0595</t>
        </is>
      </c>
      <c r="B459" s="11" t="inlineStr">
        <is>
          <t>Bright finished or black enamelled mild steel butt hinges 100x58x1.90 mm</t>
        </is>
      </c>
      <c r="C459" s="22" t="inlineStr">
        <is>
          <t>10 Nos</t>
        </is>
      </c>
      <c r="D459" s="23" t="n">
        <v>0.6</v>
      </c>
      <c r="E459" s="24" t="n">
        <v>80</v>
      </c>
      <c r="F459" s="24">
        <f>D459*E459</f>
        <v/>
      </c>
      <c r="G459" s="22" t="n"/>
    </row>
    <row r="460">
      <c r="A460" s="22" t="inlineStr">
        <is>
          <t>0597</t>
        </is>
      </c>
      <c r="B460" s="11" t="inlineStr">
        <is>
          <t>Bright finished or black enamelled mild steel butt hinges50x37x1.50 mm</t>
        </is>
      </c>
      <c r="C460" s="22" t="inlineStr">
        <is>
          <t>10 Nos</t>
        </is>
      </c>
      <c r="D460" s="23" t="n">
        <v>0.2</v>
      </c>
      <c r="E460" s="24" t="n">
        <v>49</v>
      </c>
      <c r="F460" s="24">
        <f>D460*E460</f>
        <v/>
      </c>
      <c r="G460" s="22" t="n"/>
    </row>
    <row r="461">
      <c r="A461" s="22" t="inlineStr">
        <is>
          <t>0637</t>
        </is>
      </c>
      <c r="B461" s="11" t="inlineStr">
        <is>
          <t>Bright finished or black enamelled mild steel screws 40 mm</t>
        </is>
      </c>
      <c r="C461" s="22" t="inlineStr">
        <is>
          <t>100 Nos</t>
        </is>
      </c>
      <c r="D461" s="23" t="n">
        <v>0.48</v>
      </c>
      <c r="E461" s="24" t="n">
        <v>60</v>
      </c>
      <c r="F461" s="24">
        <f>D461*E461</f>
        <v/>
      </c>
      <c r="G461" s="22" t="n"/>
    </row>
    <row r="462">
      <c r="A462" s="22" t="inlineStr">
        <is>
          <t>0640</t>
        </is>
      </c>
      <c r="B462" s="11" t="inlineStr">
        <is>
          <t>Bright finished or black enamelled mild steel screws 20 mm</t>
        </is>
      </c>
      <c r="C462" s="22" t="inlineStr">
        <is>
          <t>100 Nos</t>
        </is>
      </c>
      <c r="D462" s="23" t="n">
        <v>0.08</v>
      </c>
      <c r="E462" s="24" t="n">
        <v>30</v>
      </c>
      <c r="F462" s="24">
        <f>D462*E462</f>
        <v/>
      </c>
      <c r="G462" s="22" t="n"/>
    </row>
    <row r="463">
      <c r="A463" s="22" t="inlineStr">
        <is>
          <t>2204</t>
        </is>
      </c>
      <c r="B463" s="11" t="inlineStr">
        <is>
          <t>Carriage of Timber</t>
        </is>
      </c>
      <c r="C463" s="22" t="inlineStr">
        <is>
          <t>cum</t>
        </is>
      </c>
      <c r="D463" s="23" t="n">
        <v>0.058</v>
      </c>
      <c r="E463" s="24" t="n">
        <v>118.59</v>
      </c>
      <c r="F463" s="24">
        <f>D463*E463</f>
        <v/>
      </c>
      <c r="G463" s="22" t="n"/>
    </row>
    <row r="464">
      <c r="A464" s="22" t="inlineStr">
        <is>
          <t>0156</t>
        </is>
      </c>
      <c r="B464" s="11" t="inlineStr">
        <is>
          <t>Carpenter (average)</t>
        </is>
      </c>
      <c r="C464" s="22" t="inlineStr">
        <is>
          <t>day</t>
        </is>
      </c>
      <c r="D464" s="23" t="n">
        <v>1.83</v>
      </c>
      <c r="E464" s="24" t="n">
        <v>709</v>
      </c>
      <c r="F464" s="24">
        <f>D464*E464</f>
        <v/>
      </c>
      <c r="G464" s="22" t="n"/>
    </row>
    <row r="465">
      <c r="A465" s="22" t="inlineStr">
        <is>
          <t>0119</t>
        </is>
      </c>
      <c r="B465" s="11" t="inlineStr">
        <is>
          <t>Glazier</t>
        </is>
      </c>
      <c r="C465" s="22" t="inlineStr">
        <is>
          <t>day</t>
        </is>
      </c>
      <c r="D465" s="23" t="n">
        <v>0.23</v>
      </c>
      <c r="E465" s="24" t="n">
        <v>679</v>
      </c>
      <c r="F465" s="24">
        <f>D465*E465</f>
        <v/>
      </c>
      <c r="G465" s="22" t="n"/>
    </row>
    <row r="466">
      <c r="A466" s="22" t="inlineStr">
        <is>
          <t>0114</t>
        </is>
      </c>
      <c r="B466" s="11" t="inlineStr">
        <is>
          <t>Beldar</t>
        </is>
      </c>
      <c r="C466" s="22" t="inlineStr">
        <is>
          <t>day</t>
        </is>
      </c>
      <c r="D466" s="23" t="n">
        <v>0.77</v>
      </c>
      <c r="E466" s="24" t="n">
        <v>558</v>
      </c>
      <c r="F466" s="24">
        <f>D466*E466</f>
        <v/>
      </c>
      <c r="G466" s="22" t="n"/>
    </row>
    <row r="467">
      <c r="A467" s="22" t="inlineStr">
        <is>
          <t>9999</t>
        </is>
      </c>
      <c r="B467" s="11" t="inlineStr">
        <is>
          <t>Sundries</t>
        </is>
      </c>
      <c r="C467" s="22" t="inlineStr">
        <is>
          <t>L.S.</t>
        </is>
      </c>
      <c r="D467" s="23" t="n">
        <v>40.43</v>
      </c>
      <c r="E467" s="24" t="n">
        <v>2</v>
      </c>
      <c r="F467" s="24">
        <f>D467*E467</f>
        <v/>
      </c>
      <c r="G467" s="22" t="n"/>
    </row>
    <row r="468">
      <c r="A468" s="8" t="inlineStr">
        <is>
          <t>Calculated W - SUM of the Amount column above</t>
        </is>
      </c>
      <c r="B468" s="9" t="n"/>
      <c r="C468" s="9" t="n"/>
      <c r="D468" s="9" t="n"/>
      <c r="E468" s="9" t="n"/>
      <c r="F468" s="25">
        <f>SUM(F457:F467)</f>
        <v/>
      </c>
      <c r="G468" s="9" t="n"/>
    </row>
    <row r="469">
      <c r="A469" s="26" t="inlineStr">
        <is>
          <t>W as printed in the DAR</t>
        </is>
      </c>
      <c r="B469" s="22" t="n"/>
      <c r="C469" s="22" t="n"/>
      <c r="D469" s="22" t="n"/>
      <c r="E469" s="22" t="n"/>
      <c r="F469" s="27" t="n">
        <v>7028.84</v>
      </c>
      <c r="G469" s="22" t="n"/>
    </row>
    <row r="470">
      <c r="A470" s="26" t="inlineStr">
        <is>
          <t>Difference (calculated - printed)</t>
        </is>
      </c>
      <c r="B470" s="22" t="n"/>
      <c r="C470" s="22" t="n"/>
      <c r="D470" s="22" t="n"/>
      <c r="E470" s="22" t="n"/>
      <c r="F470" s="27">
        <f>F468-F469</f>
        <v/>
      </c>
      <c r="G470" s="22" t="n"/>
    </row>
    <row r="471">
      <c r="A471" s="29" t="inlineStr">
        <is>
          <t>SAY (Rs.) - final DAR rate as printed (fixed value, not computed)</t>
        </is>
      </c>
      <c r="B471" s="30" t="n"/>
      <c r="C471" s="30" t="n"/>
      <c r="D471" s="30" t="n"/>
      <c r="E471" s="30" t="n"/>
      <c r="F471" s="31" t="n">
        <v>4353.75</v>
      </c>
      <c r="G471" s="30" t="n"/>
    </row>
    <row r="473" ht="33" customHeight="1">
      <c r="A473" s="8" t="inlineStr">
        <is>
          <t>9.9</t>
        </is>
      </c>
      <c r="B473" s="17" t="inlineStr">
        <is>
          <t>Providing and fixing glazed shutters for doors, windows and clerestory windows using 4 mm thick float glass panes, including ISI marked M.S. pressed butt hinges bright finished of required size with necessary screws.</t>
        </is>
      </c>
      <c r="C473" s="9" t="n"/>
      <c r="D473" s="9" t="n"/>
      <c r="E473" s="9" t="n"/>
      <c r="F473" s="9" t="n"/>
      <c r="G473" s="9" t="n"/>
    </row>
    <row r="474" ht="18.5" customHeight="1">
      <c r="A474" s="8" t="inlineStr">
        <is>
          <t>9.9.1</t>
        </is>
      </c>
      <c r="B474" s="17" t="inlineStr">
        <is>
          <t>Second class teak wood</t>
        </is>
      </c>
      <c r="C474" s="9" t="n"/>
      <c r="D474" s="9" t="n"/>
      <c r="E474" s="9" t="n"/>
      <c r="F474" s="9" t="n"/>
      <c r="G474" s="9" t="n"/>
    </row>
    <row r="475" ht="18.5" customHeight="1">
      <c r="A475" s="18" t="inlineStr">
        <is>
          <t>9.9.1.2</t>
        </is>
      </c>
      <c r="B475" s="19" t="inlineStr">
        <is>
          <t>30 mm thick</t>
        </is>
      </c>
      <c r="C475" s="20" t="n"/>
      <c r="D475" s="20" t="n"/>
      <c r="E475" s="20" t="n"/>
      <c r="F475" s="20" t="n"/>
      <c r="G475" s="20" t="n"/>
    </row>
    <row r="476">
      <c r="A476" s="21" t="inlineStr">
        <is>
          <t>Details of cost for 2.16 sqm   |   Source: CivilDAR_2019_Vol_1.pdf, page 450</t>
        </is>
      </c>
    </row>
    <row r="477">
      <c r="A477" s="5" t="inlineStr">
        <is>
          <t>Code</t>
        </is>
      </c>
      <c r="B477" s="5" t="inlineStr">
        <is>
          <t>Description</t>
        </is>
      </c>
      <c r="C477" s="5" t="inlineStr">
        <is>
          <t>Unit</t>
        </is>
      </c>
      <c r="D477" s="5" t="inlineStr">
        <is>
          <t>Quantity</t>
        </is>
      </c>
      <c r="E477" s="5" t="inlineStr">
        <is>
          <t>Rate (Rs.)</t>
        </is>
      </c>
      <c r="F477" s="5" t="inlineStr">
        <is>
          <t>Amount (Rs.)</t>
        </is>
      </c>
      <c r="G477" s="5" t="inlineStr">
        <is>
          <t>Note</t>
        </is>
      </c>
    </row>
    <row r="478">
      <c r="A478" s="22" t="inlineStr">
        <is>
          <t>1190</t>
        </is>
      </c>
      <c r="B478" s="11" t="inlineStr">
        <is>
          <t>Second class teak wood in planks</t>
        </is>
      </c>
      <c r="C478" s="22" t="inlineStr">
        <is>
          <t>10 cudm</t>
        </is>
      </c>
      <c r="D478" s="23" t="n">
        <v>5</v>
      </c>
      <c r="E478" s="24" t="n">
        <v>791</v>
      </c>
      <c r="F478" s="24">
        <f>D478*E478</f>
        <v/>
      </c>
      <c r="G478" s="22" t="n"/>
    </row>
    <row r="479">
      <c r="A479" s="22" t="inlineStr">
        <is>
          <t>2406</t>
        </is>
      </c>
      <c r="B479" s="11" t="inlineStr">
        <is>
          <t>Float glass sheet of nominal thickness 4 mm (weight not less than 10kg/sqm).</t>
        </is>
      </c>
      <c r="C479" s="22" t="inlineStr">
        <is>
          <t>sqm</t>
        </is>
      </c>
      <c r="D479" s="23" t="n">
        <v>1.27</v>
      </c>
      <c r="E479" s="24" t="n">
        <v>300</v>
      </c>
      <c r="F479" s="24">
        <f>D479*E479</f>
        <v/>
      </c>
      <c r="G479" s="22" t="n"/>
    </row>
    <row r="480">
      <c r="A480" s="22" t="inlineStr">
        <is>
          <t>0595</t>
        </is>
      </c>
      <c r="B480" s="11" t="inlineStr">
        <is>
          <t>Bright finished or black enamelled mild steel butt hinges 100x58x1.90 mm</t>
        </is>
      </c>
      <c r="C480" s="22" t="inlineStr">
        <is>
          <t>10 Nos</t>
        </is>
      </c>
      <c r="D480" s="23" t="n">
        <v>0.6</v>
      </c>
      <c r="E480" s="24" t="n">
        <v>80</v>
      </c>
      <c r="F480" s="24">
        <f>D480*E480</f>
        <v/>
      </c>
      <c r="G480" s="22" t="n"/>
    </row>
    <row r="481">
      <c r="A481" s="22" t="inlineStr">
        <is>
          <t>0597</t>
        </is>
      </c>
      <c r="B481" s="11" t="inlineStr">
        <is>
          <t>Bright finished or black enamelled mild steel butt hinges50x37x1.50 mm</t>
        </is>
      </c>
      <c r="C481" s="22" t="inlineStr">
        <is>
          <t>10 Nos</t>
        </is>
      </c>
      <c r="D481" s="23" t="n">
        <v>0.2</v>
      </c>
      <c r="E481" s="24" t="n">
        <v>49</v>
      </c>
      <c r="F481" s="24">
        <f>D481*E481</f>
        <v/>
      </c>
      <c r="G481" s="22" t="n"/>
    </row>
    <row r="482">
      <c r="A482" s="22" t="inlineStr">
        <is>
          <t>0637</t>
        </is>
      </c>
      <c r="B482" s="11" t="inlineStr">
        <is>
          <t>Bright finished or black enamelled mild steel screws 40 mm</t>
        </is>
      </c>
      <c r="C482" s="22" t="inlineStr">
        <is>
          <t>100 Nos</t>
        </is>
      </c>
      <c r="D482" s="23" t="n">
        <v>0.48</v>
      </c>
      <c r="E482" s="24" t="n">
        <v>60</v>
      </c>
      <c r="F482" s="24">
        <f>D482*E482</f>
        <v/>
      </c>
      <c r="G482" s="22" t="n"/>
    </row>
    <row r="483">
      <c r="A483" s="22" t="inlineStr">
        <is>
          <t>0640</t>
        </is>
      </c>
      <c r="B483" s="11" t="inlineStr">
        <is>
          <t>Bright finished or black enamelled mild steel screws 20 mm</t>
        </is>
      </c>
      <c r="C483" s="22" t="inlineStr">
        <is>
          <t>100 Nos</t>
        </is>
      </c>
      <c r="D483" s="23" t="n">
        <v>0.08</v>
      </c>
      <c r="E483" s="24" t="n">
        <v>30</v>
      </c>
      <c r="F483" s="24">
        <f>D483*E483</f>
        <v/>
      </c>
      <c r="G483" s="22" t="n"/>
    </row>
    <row r="484">
      <c r="A484" s="22" t="inlineStr">
        <is>
          <t>2204</t>
        </is>
      </c>
      <c r="B484" s="11" t="inlineStr">
        <is>
          <t>Carriage of Timber</t>
        </is>
      </c>
      <c r="C484" s="22" t="inlineStr">
        <is>
          <t>cum</t>
        </is>
      </c>
      <c r="D484" s="23" t="n">
        <v>0.05</v>
      </c>
      <c r="E484" s="24" t="n">
        <v>118.59</v>
      </c>
      <c r="F484" s="24">
        <f>D484*E484</f>
        <v/>
      </c>
      <c r="G484" s="22" t="n"/>
    </row>
    <row r="485">
      <c r="A485" s="22" t="inlineStr">
        <is>
          <t>0156</t>
        </is>
      </c>
      <c r="B485" s="11" t="inlineStr">
        <is>
          <t>Carpenter (average)</t>
        </is>
      </c>
      <c r="C485" s="22" t="inlineStr">
        <is>
          <t>day</t>
        </is>
      </c>
      <c r="D485" s="23" t="n">
        <v>1.83</v>
      </c>
      <c r="E485" s="24" t="n">
        <v>709</v>
      </c>
      <c r="F485" s="24">
        <f>D485*E485</f>
        <v/>
      </c>
      <c r="G485" s="22" t="n"/>
    </row>
    <row r="486">
      <c r="A486" s="22" t="inlineStr">
        <is>
          <t>0119</t>
        </is>
      </c>
      <c r="B486" s="11" t="inlineStr">
        <is>
          <t>Glazier</t>
        </is>
      </c>
      <c r="C486" s="22" t="inlineStr">
        <is>
          <t>day</t>
        </is>
      </c>
      <c r="D486" s="23" t="n">
        <v>0.23</v>
      </c>
      <c r="E486" s="24" t="n">
        <v>679</v>
      </c>
      <c r="F486" s="24">
        <f>D486*E486</f>
        <v/>
      </c>
      <c r="G486" s="22" t="n"/>
    </row>
    <row r="487">
      <c r="A487" s="22" t="inlineStr">
        <is>
          <t>0114</t>
        </is>
      </c>
      <c r="B487" s="11" t="inlineStr">
        <is>
          <t>Beldar</t>
        </is>
      </c>
      <c r="C487" s="22" t="inlineStr">
        <is>
          <t>day</t>
        </is>
      </c>
      <c r="D487" s="23" t="n">
        <v>0.77</v>
      </c>
      <c r="E487" s="24" t="n">
        <v>558</v>
      </c>
      <c r="F487" s="24">
        <f>D487*E487</f>
        <v/>
      </c>
      <c r="G487" s="22" t="n"/>
    </row>
    <row r="488">
      <c r="A488" s="22" t="inlineStr">
        <is>
          <t>9999</t>
        </is>
      </c>
      <c r="B488" s="11" t="inlineStr">
        <is>
          <t>Sundries</t>
        </is>
      </c>
      <c r="C488" s="22" t="inlineStr">
        <is>
          <t>L.S.</t>
        </is>
      </c>
      <c r="D488" s="23" t="n">
        <v>40.43</v>
      </c>
      <c r="E488" s="24" t="n">
        <v>2</v>
      </c>
      <c r="F488" s="24">
        <f>D488*E488</f>
        <v/>
      </c>
      <c r="G488" s="22" t="n"/>
    </row>
    <row r="489">
      <c r="A489" s="8" t="inlineStr">
        <is>
          <t>Calculated W - SUM of the Amount column above</t>
        </is>
      </c>
      <c r="B489" s="9" t="n"/>
      <c r="C489" s="9" t="n"/>
      <c r="D489" s="9" t="n"/>
      <c r="E489" s="9" t="n"/>
      <c r="F489" s="25">
        <f>SUM(F478:F488)</f>
        <v/>
      </c>
      <c r="G489" s="9" t="n"/>
    </row>
    <row r="490">
      <c r="A490" s="26" t="inlineStr">
        <is>
          <t>W as printed in the DAR</t>
        </is>
      </c>
      <c r="B490" s="22" t="n"/>
      <c r="C490" s="22" t="n"/>
      <c r="D490" s="22" t="n"/>
      <c r="E490" s="22" t="n"/>
      <c r="F490" s="27" t="n">
        <v>6395.09</v>
      </c>
      <c r="G490" s="22" t="n"/>
    </row>
    <row r="491">
      <c r="A491" s="26" t="inlineStr">
        <is>
          <t>Difference (calculated - printed)</t>
        </is>
      </c>
      <c r="B491" s="22" t="n"/>
      <c r="C491" s="22" t="n"/>
      <c r="D491" s="22" t="n"/>
      <c r="E491" s="22" t="n"/>
      <c r="F491" s="27">
        <f>F489-F490</f>
        <v/>
      </c>
      <c r="G491" s="22" t="n"/>
    </row>
    <row r="492">
      <c r="A492" s="29" t="inlineStr">
        <is>
          <t>SAY (Rs.) - final DAR rate as printed (fixed value, not computed)</t>
        </is>
      </c>
      <c r="B492" s="30" t="n"/>
      <c r="C492" s="30" t="n"/>
      <c r="D492" s="30" t="n"/>
      <c r="E492" s="30" t="n"/>
      <c r="F492" s="31" t="n">
        <v>3961.2</v>
      </c>
      <c r="G492" s="30" t="n"/>
    </row>
    <row r="494" ht="33" customHeight="1">
      <c r="A494" s="8" t="inlineStr">
        <is>
          <t>9.9</t>
        </is>
      </c>
      <c r="B494" s="17" t="inlineStr">
        <is>
          <t>Providing and fixing glazed shutters for doors, windows and clerestory windows using 4 mm thick float glass panes, including ISI marked M.S. pressed butt hinges bright finished of required size with necessary screws.</t>
        </is>
      </c>
      <c r="C494" s="9" t="n"/>
      <c r="D494" s="9" t="n"/>
      <c r="E494" s="9" t="n"/>
      <c r="F494" s="9" t="n"/>
      <c r="G494" s="9" t="n"/>
    </row>
    <row r="495" ht="18.5" customHeight="1">
      <c r="A495" s="8" t="inlineStr">
        <is>
          <t>9.9.2</t>
        </is>
      </c>
      <c r="B495" s="17" t="inlineStr">
        <is>
          <t>Kiln seasoned and chemically treated hollock wood</t>
        </is>
      </c>
      <c r="C495" s="9" t="n"/>
      <c r="D495" s="9" t="n"/>
      <c r="E495" s="9" t="n"/>
      <c r="F495" s="9" t="n"/>
      <c r="G495" s="9" t="n"/>
    </row>
    <row r="496" ht="18.5" customHeight="1">
      <c r="A496" s="18" t="inlineStr">
        <is>
          <t>9.9.2.1</t>
        </is>
      </c>
      <c r="B496" s="19" t="inlineStr">
        <is>
          <t>35 mm thick</t>
        </is>
      </c>
      <c r="C496" s="20" t="n"/>
      <c r="D496" s="20" t="n"/>
      <c r="E496" s="20" t="n"/>
      <c r="F496" s="20" t="n"/>
      <c r="G496" s="20" t="n"/>
    </row>
    <row r="497">
      <c r="A497" s="21" t="inlineStr">
        <is>
          <t>Details of cost for 2.16 sqm   |   Source: CivilDAR_2019_Vol_1.pdf, page 451</t>
        </is>
      </c>
    </row>
    <row r="498">
      <c r="A498" s="5" t="inlineStr">
        <is>
          <t>Code</t>
        </is>
      </c>
      <c r="B498" s="5" t="inlineStr">
        <is>
          <t>Description</t>
        </is>
      </c>
      <c r="C498" s="5" t="inlineStr">
        <is>
          <t>Unit</t>
        </is>
      </c>
      <c r="D498" s="5" t="inlineStr">
        <is>
          <t>Quantity</t>
        </is>
      </c>
      <c r="E498" s="5" t="inlineStr">
        <is>
          <t>Rate (Rs.)</t>
        </is>
      </c>
      <c r="F498" s="5" t="inlineStr">
        <is>
          <t>Amount (Rs.)</t>
        </is>
      </c>
      <c r="G498" s="5" t="inlineStr">
        <is>
          <t>Note</t>
        </is>
      </c>
    </row>
    <row r="499">
      <c r="A499" s="22" t="inlineStr">
        <is>
          <t>2505</t>
        </is>
      </c>
      <c r="B499" s="11" t="inlineStr">
        <is>
          <t>Hollock wood in planks</t>
        </is>
      </c>
      <c r="C499" s="22" t="inlineStr">
        <is>
          <t>10 cudm</t>
        </is>
      </c>
      <c r="D499" s="23" t="n">
        <v>5.8</v>
      </c>
      <c r="E499" s="24" t="n">
        <v>390</v>
      </c>
      <c r="F499" s="24">
        <f>D499*E499</f>
        <v/>
      </c>
      <c r="G499" s="22" t="n"/>
    </row>
    <row r="500">
      <c r="A500" s="22" t="inlineStr">
        <is>
          <t>2504</t>
        </is>
      </c>
      <c r="B500" s="11" t="inlineStr">
        <is>
          <t>Kiln seasoning of timber</t>
        </is>
      </c>
      <c r="C500" s="22" t="inlineStr">
        <is>
          <t>cum</t>
        </is>
      </c>
      <c r="D500" s="23" t="n">
        <v>0.058</v>
      </c>
      <c r="E500" s="24" t="n">
        <v>750</v>
      </c>
      <c r="F500" s="24">
        <f>D500*E500</f>
        <v/>
      </c>
      <c r="G500" s="22" t="n"/>
    </row>
    <row r="501">
      <c r="A501" s="22" t="inlineStr">
        <is>
          <t>9999</t>
        </is>
      </c>
      <c r="B501" s="11" t="inlineStr">
        <is>
          <t>(iii) Chemical treatment</t>
        </is>
      </c>
      <c r="C501" s="22" t="inlineStr">
        <is>
          <t>L.S.</t>
        </is>
      </c>
      <c r="D501" s="23" t="n">
        <v>9.1</v>
      </c>
      <c r="E501" s="24" t="n">
        <v>2</v>
      </c>
      <c r="F501" s="24">
        <f>D501*E501</f>
        <v/>
      </c>
      <c r="G501" s="22" t="n"/>
    </row>
    <row r="502">
      <c r="A502" s="22" t="inlineStr">
        <is>
          <t>2406</t>
        </is>
      </c>
      <c r="B502" s="11" t="inlineStr">
        <is>
          <t>Float glass sheet of nominal thickness 4 mm (weight not less than 10kg/sqm).</t>
        </is>
      </c>
      <c r="C502" s="22" t="inlineStr">
        <is>
          <t>sqm</t>
        </is>
      </c>
      <c r="D502" s="23" t="n">
        <v>1.27</v>
      </c>
      <c r="E502" s="24" t="n">
        <v>300</v>
      </c>
      <c r="F502" s="24">
        <f>D502*E502</f>
        <v/>
      </c>
      <c r="G502" s="22" t="n"/>
    </row>
    <row r="503">
      <c r="A503" s="22" t="inlineStr">
        <is>
          <t>0595</t>
        </is>
      </c>
      <c r="B503" s="11" t="inlineStr">
        <is>
          <t>Bright finished or black enamelled mild steel butt hinges 100x58x1.90 mm</t>
        </is>
      </c>
      <c r="C503" s="22" t="inlineStr">
        <is>
          <t>10 Nos</t>
        </is>
      </c>
      <c r="D503" s="23" t="n">
        <v>0.6</v>
      </c>
      <c r="E503" s="24" t="n">
        <v>80</v>
      </c>
      <c r="F503" s="24">
        <f>D503*E503</f>
        <v/>
      </c>
      <c r="G503" s="22" t="n"/>
    </row>
    <row r="504">
      <c r="A504" s="22" t="inlineStr">
        <is>
          <t>0597</t>
        </is>
      </c>
      <c r="B504" s="11" t="inlineStr">
        <is>
          <t>Bright finished or black enamelled mild steel butt hinges50x37x1.50 mm</t>
        </is>
      </c>
      <c r="C504" s="22" t="inlineStr">
        <is>
          <t>10 Nos</t>
        </is>
      </c>
      <c r="D504" s="23" t="n">
        <v>0.2</v>
      </c>
      <c r="E504" s="24" t="n">
        <v>49</v>
      </c>
      <c r="F504" s="24">
        <f>D504*E504</f>
        <v/>
      </c>
      <c r="G504" s="22" t="n"/>
    </row>
    <row r="505">
      <c r="A505" s="22" t="inlineStr">
        <is>
          <t>0637</t>
        </is>
      </c>
      <c r="B505" s="11" t="inlineStr">
        <is>
          <t>Bright finished or black enamelled mild steel screws 40 mm</t>
        </is>
      </c>
      <c r="C505" s="22" t="inlineStr">
        <is>
          <t>100 Nos</t>
        </is>
      </c>
      <c r="D505" s="23" t="n">
        <v>0.48</v>
      </c>
      <c r="E505" s="24" t="n">
        <v>60</v>
      </c>
      <c r="F505" s="24">
        <f>D505*E505</f>
        <v/>
      </c>
      <c r="G505" s="22" t="n"/>
    </row>
    <row r="506">
      <c r="A506" s="22" t="inlineStr">
        <is>
          <t>0640</t>
        </is>
      </c>
      <c r="B506" s="11" t="inlineStr">
        <is>
          <t>Bright finished or black enamelled mild steel screws 20 mm</t>
        </is>
      </c>
      <c r="C506" s="22" t="inlineStr">
        <is>
          <t>100 Nos</t>
        </is>
      </c>
      <c r="D506" s="23" t="n">
        <v>0.08</v>
      </c>
      <c r="E506" s="24" t="n">
        <v>30</v>
      </c>
      <c r="F506" s="24">
        <f>D506*E506</f>
        <v/>
      </c>
      <c r="G506" s="22" t="n"/>
    </row>
    <row r="507">
      <c r="A507" s="22" t="inlineStr">
        <is>
          <t>2204</t>
        </is>
      </c>
      <c r="B507" s="11" t="inlineStr">
        <is>
          <t>Carriage of Timber</t>
        </is>
      </c>
      <c r="C507" s="22" t="inlineStr">
        <is>
          <t>cum</t>
        </is>
      </c>
      <c r="D507" s="23" t="n">
        <v>0.058</v>
      </c>
      <c r="E507" s="24" t="n">
        <v>118.59</v>
      </c>
      <c r="F507" s="24">
        <f>D507*E507</f>
        <v/>
      </c>
      <c r="G507" s="22" t="n"/>
    </row>
    <row r="508">
      <c r="A508" s="22" t="inlineStr">
        <is>
          <t>0156</t>
        </is>
      </c>
      <c r="B508" s="11" t="inlineStr">
        <is>
          <t>Carpenter (average)</t>
        </is>
      </c>
      <c r="C508" s="22" t="inlineStr">
        <is>
          <t>day</t>
        </is>
      </c>
      <c r="D508" s="23" t="n">
        <v>1.83</v>
      </c>
      <c r="E508" s="24" t="n">
        <v>709</v>
      </c>
      <c r="F508" s="24">
        <f>D508*E508</f>
        <v/>
      </c>
      <c r="G508" s="22" t="n"/>
    </row>
    <row r="509">
      <c r="A509" s="22" t="inlineStr">
        <is>
          <t>0119</t>
        </is>
      </c>
      <c r="B509" s="11" t="inlineStr">
        <is>
          <t>Glazier</t>
        </is>
      </c>
      <c r="C509" s="22" t="inlineStr">
        <is>
          <t>day</t>
        </is>
      </c>
      <c r="D509" s="23" t="n">
        <v>0.23</v>
      </c>
      <c r="E509" s="24" t="n">
        <v>679</v>
      </c>
      <c r="F509" s="24">
        <f>D509*E509</f>
        <v/>
      </c>
      <c r="G509" s="22" t="n"/>
    </row>
    <row r="510">
      <c r="A510" s="22" t="inlineStr">
        <is>
          <t>0114</t>
        </is>
      </c>
      <c r="B510" s="11" t="inlineStr">
        <is>
          <t>Beldar</t>
        </is>
      </c>
      <c r="C510" s="22" t="inlineStr">
        <is>
          <t>day</t>
        </is>
      </c>
      <c r="D510" s="23" t="n">
        <v>0.77</v>
      </c>
      <c r="E510" s="24" t="n">
        <v>558</v>
      </c>
      <c r="F510" s="24">
        <f>D510*E510</f>
        <v/>
      </c>
      <c r="G510" s="22" t="n"/>
    </row>
    <row r="511">
      <c r="A511" s="22" t="inlineStr">
        <is>
          <t>9999</t>
        </is>
      </c>
      <c r="B511" s="11" t="inlineStr">
        <is>
          <t>Sundries</t>
        </is>
      </c>
      <c r="C511" s="22" t="inlineStr">
        <is>
          <t>L.S.</t>
        </is>
      </c>
      <c r="D511" s="23" t="n">
        <v>40.43</v>
      </c>
      <c r="E511" s="24" t="n">
        <v>2</v>
      </c>
      <c r="F511" s="24">
        <f>D511*E511</f>
        <v/>
      </c>
      <c r="G511" s="22" t="n"/>
    </row>
    <row r="512">
      <c r="A512" s="8" t="inlineStr">
        <is>
          <t>Calculated W - SUM of the Amount column above</t>
        </is>
      </c>
      <c r="B512" s="9" t="n"/>
      <c r="C512" s="9" t="n"/>
      <c r="D512" s="9" t="n"/>
      <c r="E512" s="9" t="n"/>
      <c r="F512" s="25">
        <f>SUM(F499:F511)</f>
        <v/>
      </c>
      <c r="G512" s="9" t="n"/>
    </row>
    <row r="513">
      <c r="A513" s="26" t="inlineStr">
        <is>
          <t>W as printed in the DAR</t>
        </is>
      </c>
      <c r="B513" s="22" t="n"/>
      <c r="C513" s="22" t="n"/>
      <c r="D513" s="22" t="n"/>
      <c r="E513" s="22" t="n"/>
      <c r="F513" s="27" t="n">
        <v>4764.74</v>
      </c>
      <c r="G513" s="22" t="n"/>
    </row>
    <row r="514">
      <c r="A514" s="26" t="inlineStr">
        <is>
          <t>Difference (calculated - printed)</t>
        </is>
      </c>
      <c r="B514" s="22" t="n"/>
      <c r="C514" s="22" t="n"/>
      <c r="D514" s="22" t="n"/>
      <c r="E514" s="22" t="n"/>
      <c r="F514" s="27">
        <f>F512-F513</f>
        <v/>
      </c>
      <c r="G514" s="22" t="n"/>
    </row>
    <row r="515">
      <c r="A515" s="29" t="inlineStr">
        <is>
          <t>SAY (Rs.) - final DAR rate as printed (fixed value, not computed)</t>
        </is>
      </c>
      <c r="B515" s="30" t="n"/>
      <c r="C515" s="30" t="n"/>
      <c r="D515" s="30" t="n"/>
      <c r="E515" s="30" t="n"/>
      <c r="F515" s="31" t="n">
        <v>2951.35</v>
      </c>
      <c r="G515" s="30" t="n"/>
    </row>
    <row r="517" ht="33" customHeight="1">
      <c r="A517" s="8" t="inlineStr">
        <is>
          <t>9.9</t>
        </is>
      </c>
      <c r="B517" s="17" t="inlineStr">
        <is>
          <t>Providing and fixing glazed shutters for doors, windows and clerestory windows using 4 mm thick float glass panes, including ISI marked M.S. pressed butt hinges bright finished of required size with necessary screws.</t>
        </is>
      </c>
      <c r="C517" s="9" t="n"/>
      <c r="D517" s="9" t="n"/>
      <c r="E517" s="9" t="n"/>
      <c r="F517" s="9" t="n"/>
      <c r="G517" s="9" t="n"/>
    </row>
    <row r="518" ht="18.5" customHeight="1">
      <c r="A518" s="8" t="inlineStr">
        <is>
          <t>9.9.2</t>
        </is>
      </c>
      <c r="B518" s="17" t="inlineStr">
        <is>
          <t>Kiln seasoned and chemically treated hollock wood</t>
        </is>
      </c>
      <c r="C518" s="9" t="n"/>
      <c r="D518" s="9" t="n"/>
      <c r="E518" s="9" t="n"/>
      <c r="F518" s="9" t="n"/>
      <c r="G518" s="9" t="n"/>
    </row>
    <row r="519" ht="18.5" customHeight="1">
      <c r="A519" s="18" t="inlineStr">
        <is>
          <t>9.9.2.2</t>
        </is>
      </c>
      <c r="B519" s="19" t="inlineStr">
        <is>
          <t>30 mm thick</t>
        </is>
      </c>
      <c r="C519" s="20" t="n"/>
      <c r="D519" s="20" t="n"/>
      <c r="E519" s="20" t="n"/>
      <c r="F519" s="20" t="n"/>
      <c r="G519" s="20" t="n"/>
    </row>
    <row r="520">
      <c r="A520" s="21" t="inlineStr">
        <is>
          <t>Details of cost for 2.16 sqm   |   Source: CivilDAR_2019_Vol_1.pdf, page 452</t>
        </is>
      </c>
    </row>
    <row r="521">
      <c r="A521" s="5" t="inlineStr">
        <is>
          <t>Code</t>
        </is>
      </c>
      <c r="B521" s="5" t="inlineStr">
        <is>
          <t>Description</t>
        </is>
      </c>
      <c r="C521" s="5" t="inlineStr">
        <is>
          <t>Unit</t>
        </is>
      </c>
      <c r="D521" s="5" t="inlineStr">
        <is>
          <t>Quantity</t>
        </is>
      </c>
      <c r="E521" s="5" t="inlineStr">
        <is>
          <t>Rate (Rs.)</t>
        </is>
      </c>
      <c r="F521" s="5" t="inlineStr">
        <is>
          <t>Amount (Rs.)</t>
        </is>
      </c>
      <c r="G521" s="5" t="inlineStr">
        <is>
          <t>Note</t>
        </is>
      </c>
    </row>
    <row r="522">
      <c r="A522" s="22" t="inlineStr">
        <is>
          <t>2505</t>
        </is>
      </c>
      <c r="B522" s="11" t="inlineStr">
        <is>
          <t>Hollock wood in planks</t>
        </is>
      </c>
      <c r="C522" s="22" t="inlineStr">
        <is>
          <t>10 cudm</t>
        </is>
      </c>
      <c r="D522" s="23" t="n">
        <v>5</v>
      </c>
      <c r="E522" s="24" t="n">
        <v>390</v>
      </c>
      <c r="F522" s="24">
        <f>D522*E522</f>
        <v/>
      </c>
      <c r="G522" s="22" t="n"/>
    </row>
    <row r="523">
      <c r="A523" s="22" t="inlineStr">
        <is>
          <t>2504</t>
        </is>
      </c>
      <c r="B523" s="11" t="inlineStr">
        <is>
          <t>Kiln seasoning of timber</t>
        </is>
      </c>
      <c r="C523" s="22" t="inlineStr">
        <is>
          <t>cum</t>
        </is>
      </c>
      <c r="D523" s="23" t="n">
        <v>0.05</v>
      </c>
      <c r="E523" s="24" t="n">
        <v>750</v>
      </c>
      <c r="F523" s="24">
        <f>D523*E523</f>
        <v/>
      </c>
      <c r="G523" s="22" t="n"/>
    </row>
    <row r="524">
      <c r="A524" s="22" t="inlineStr">
        <is>
          <t>9999</t>
        </is>
      </c>
      <c r="B524" s="11" t="inlineStr">
        <is>
          <t>Chemical treatment</t>
        </is>
      </c>
      <c r="C524" s="22" t="inlineStr">
        <is>
          <t>L.S.</t>
        </is>
      </c>
      <c r="D524" s="23" t="n">
        <v>9.1</v>
      </c>
      <c r="E524" s="24" t="n">
        <v>2</v>
      </c>
      <c r="F524" s="24">
        <f>D524*E524</f>
        <v/>
      </c>
      <c r="G524" s="22" t="n"/>
    </row>
    <row r="525">
      <c r="A525" s="22" t="inlineStr">
        <is>
          <t>2406</t>
        </is>
      </c>
      <c r="B525" s="11" t="inlineStr">
        <is>
          <t>Float glass sheet of nominal thickness 4 mm (weight not less than 10kg/sqm).</t>
        </is>
      </c>
      <c r="C525" s="22" t="inlineStr">
        <is>
          <t>sqm</t>
        </is>
      </c>
      <c r="D525" s="23" t="n">
        <v>1.27</v>
      </c>
      <c r="E525" s="24" t="n">
        <v>300</v>
      </c>
      <c r="F525" s="24">
        <f>D525*E525</f>
        <v/>
      </c>
      <c r="G525" s="22" t="n"/>
    </row>
    <row r="526">
      <c r="A526" s="22" t="inlineStr">
        <is>
          <t>0595</t>
        </is>
      </c>
      <c r="B526" s="11" t="inlineStr">
        <is>
          <t>Bright finished or black enamelled mild steel butt hinges 100x58x1.90 mm</t>
        </is>
      </c>
      <c r="C526" s="22" t="inlineStr">
        <is>
          <t>10 Nos</t>
        </is>
      </c>
      <c r="D526" s="23" t="n">
        <v>0.6</v>
      </c>
      <c r="E526" s="24" t="n">
        <v>80</v>
      </c>
      <c r="F526" s="24">
        <f>D526*E526</f>
        <v/>
      </c>
      <c r="G526" s="22" t="n"/>
    </row>
    <row r="527">
      <c r="A527" s="22" t="inlineStr">
        <is>
          <t>0597</t>
        </is>
      </c>
      <c r="B527" s="11" t="inlineStr">
        <is>
          <t>Bright finished or black enamelled mild steel butt hinges50x37x1.50 mm</t>
        </is>
      </c>
      <c r="C527" s="22" t="inlineStr">
        <is>
          <t>10 Nos</t>
        </is>
      </c>
      <c r="D527" s="23" t="n">
        <v>0.2</v>
      </c>
      <c r="E527" s="24" t="n">
        <v>49</v>
      </c>
      <c r="F527" s="24">
        <f>D527*E527</f>
        <v/>
      </c>
      <c r="G527" s="22" t="n"/>
    </row>
    <row r="528">
      <c r="A528" s="22" t="inlineStr">
        <is>
          <t>0637</t>
        </is>
      </c>
      <c r="B528" s="11" t="inlineStr">
        <is>
          <t>Bright finished or black enamelled mild steel screws 40 mm</t>
        </is>
      </c>
      <c r="C528" s="22" t="inlineStr">
        <is>
          <t>100 Nos</t>
        </is>
      </c>
      <c r="D528" s="23" t="n">
        <v>0.48</v>
      </c>
      <c r="E528" s="24" t="n">
        <v>60</v>
      </c>
      <c r="F528" s="24">
        <f>D528*E528</f>
        <v/>
      </c>
      <c r="G528" s="22" t="n"/>
    </row>
    <row r="529">
      <c r="A529" s="22" t="inlineStr">
        <is>
          <t>0640</t>
        </is>
      </c>
      <c r="B529" s="11" t="inlineStr">
        <is>
          <t>Bright finished or black enamelled mild steel screws 20 mm</t>
        </is>
      </c>
      <c r="C529" s="22" t="inlineStr">
        <is>
          <t>100 Nos</t>
        </is>
      </c>
      <c r="D529" s="23" t="n">
        <v>0.08</v>
      </c>
      <c r="E529" s="24" t="n">
        <v>30</v>
      </c>
      <c r="F529" s="24">
        <f>D529*E529</f>
        <v/>
      </c>
      <c r="G529" s="22" t="n"/>
    </row>
    <row r="530">
      <c r="A530" s="22" t="inlineStr">
        <is>
          <t>2204</t>
        </is>
      </c>
      <c r="B530" s="11" t="inlineStr">
        <is>
          <t>Carriage of Timber</t>
        </is>
      </c>
      <c r="C530" s="22" t="inlineStr">
        <is>
          <t>cum</t>
        </is>
      </c>
      <c r="D530" s="23" t="n">
        <v>0.05</v>
      </c>
      <c r="E530" s="24" t="n">
        <v>118.59</v>
      </c>
      <c r="F530" s="24">
        <f>D530*E530</f>
        <v/>
      </c>
      <c r="G530" s="22" t="n"/>
    </row>
    <row r="531">
      <c r="A531" s="22" t="inlineStr">
        <is>
          <t>0156</t>
        </is>
      </c>
      <c r="B531" s="11" t="inlineStr">
        <is>
          <t>Carpenter (average)</t>
        </is>
      </c>
      <c r="C531" s="22" t="inlineStr">
        <is>
          <t>day</t>
        </is>
      </c>
      <c r="D531" s="23" t="n">
        <v>1.83</v>
      </c>
      <c r="E531" s="24" t="n">
        <v>709</v>
      </c>
      <c r="F531" s="24">
        <f>D531*E531</f>
        <v/>
      </c>
      <c r="G531" s="22" t="n"/>
    </row>
    <row r="532">
      <c r="A532" s="22" t="inlineStr">
        <is>
          <t>0119</t>
        </is>
      </c>
      <c r="B532" s="11" t="inlineStr">
        <is>
          <t>Glazier</t>
        </is>
      </c>
      <c r="C532" s="22" t="inlineStr">
        <is>
          <t>day</t>
        </is>
      </c>
      <c r="D532" s="23" t="n">
        <v>0.23</v>
      </c>
      <c r="E532" s="24" t="n">
        <v>679</v>
      </c>
      <c r="F532" s="24">
        <f>D532*E532</f>
        <v/>
      </c>
      <c r="G532" s="22" t="n"/>
    </row>
    <row r="533">
      <c r="A533" s="22" t="inlineStr">
        <is>
          <t>0114</t>
        </is>
      </c>
      <c r="B533" s="11" t="inlineStr">
        <is>
          <t>Beldar</t>
        </is>
      </c>
      <c r="C533" s="22" t="inlineStr">
        <is>
          <t>day</t>
        </is>
      </c>
      <c r="D533" s="23" t="n">
        <v>0.77</v>
      </c>
      <c r="E533" s="24" t="n">
        <v>558</v>
      </c>
      <c r="F533" s="24">
        <f>D533*E533</f>
        <v/>
      </c>
      <c r="G533" s="22" t="n"/>
    </row>
    <row r="534">
      <c r="A534" s="22" t="inlineStr">
        <is>
          <t>9999</t>
        </is>
      </c>
      <c r="B534" s="11" t="inlineStr">
        <is>
          <t>Sundries</t>
        </is>
      </c>
      <c r="C534" s="22" t="inlineStr">
        <is>
          <t>L.S.</t>
        </is>
      </c>
      <c r="D534" s="23" t="n">
        <v>40.43</v>
      </c>
      <c r="E534" s="24" t="n">
        <v>2</v>
      </c>
      <c r="F534" s="24">
        <f>D534*E534</f>
        <v/>
      </c>
      <c r="G534" s="22" t="n"/>
    </row>
    <row r="535">
      <c r="A535" s="8" t="inlineStr">
        <is>
          <t>Calculated W - SUM of the Amount column above</t>
        </is>
      </c>
      <c r="B535" s="9" t="n"/>
      <c r="C535" s="9" t="n"/>
      <c r="D535" s="9" t="n"/>
      <c r="E535" s="9" t="n"/>
      <c r="F535" s="25">
        <f>SUM(F522:F534)</f>
        <v/>
      </c>
      <c r="G535" s="9" t="n"/>
    </row>
    <row r="536">
      <c r="A536" s="26" t="inlineStr">
        <is>
          <t>W as printed in the DAR</t>
        </is>
      </c>
      <c r="B536" s="22" t="n"/>
      <c r="C536" s="22" t="n"/>
      <c r="D536" s="22" t="n"/>
      <c r="E536" s="22" t="n"/>
      <c r="F536" s="27" t="n">
        <v>4445.79</v>
      </c>
      <c r="G536" s="22" t="n"/>
    </row>
    <row r="537">
      <c r="A537" s="26" t="inlineStr">
        <is>
          <t>Difference (calculated - printed)</t>
        </is>
      </c>
      <c r="B537" s="22" t="n"/>
      <c r="C537" s="22" t="n"/>
      <c r="D537" s="22" t="n"/>
      <c r="E537" s="22" t="n"/>
      <c r="F537" s="27">
        <f>F535-F536</f>
        <v/>
      </c>
      <c r="G537" s="22" t="n"/>
    </row>
    <row r="538">
      <c r="A538" s="29" t="inlineStr">
        <is>
          <t>SAY (Rs.) - final DAR rate as printed (fixed value, not computed)</t>
        </is>
      </c>
      <c r="B538" s="30" t="n"/>
      <c r="C538" s="30" t="n"/>
      <c r="D538" s="30" t="n"/>
      <c r="E538" s="30" t="n"/>
      <c r="F538" s="31" t="n">
        <v>2753.8</v>
      </c>
      <c r="G538" s="30" t="n"/>
    </row>
    <row r="540" ht="33" customHeight="1">
      <c r="A540" s="8" t="inlineStr">
        <is>
          <t>9.9</t>
        </is>
      </c>
      <c r="B540" s="17" t="inlineStr">
        <is>
          <t>Providing and fixing glazed shutters for doors, windows and clerestory windows using 4 mm thick float glass panes, including ISI marked M.S. pressed butt hinges bright finished of required size with necessary screws.</t>
        </is>
      </c>
      <c r="C540" s="9" t="n"/>
      <c r="D540" s="9" t="n"/>
      <c r="E540" s="9" t="n"/>
      <c r="F540" s="9" t="n"/>
      <c r="G540" s="9" t="n"/>
    </row>
    <row r="541" ht="18.5" customHeight="1">
      <c r="A541" s="8" t="inlineStr">
        <is>
          <t>9.9.3</t>
        </is>
      </c>
      <c r="B541" s="17" t="inlineStr">
        <is>
          <t>Kiln seasoned selected planks of sheesham wood</t>
        </is>
      </c>
      <c r="C541" s="9" t="n"/>
      <c r="D541" s="9" t="n"/>
      <c r="E541" s="9" t="n"/>
      <c r="F541" s="9" t="n"/>
      <c r="G541" s="9" t="n"/>
    </row>
    <row r="542" ht="18.5" customHeight="1">
      <c r="A542" s="18" t="inlineStr">
        <is>
          <t>9.9.3.1</t>
        </is>
      </c>
      <c r="B542" s="19" t="inlineStr">
        <is>
          <t>35 mm thick</t>
        </is>
      </c>
      <c r="C542" s="20" t="n"/>
      <c r="D542" s="20" t="n"/>
      <c r="E542" s="20" t="n"/>
      <c r="F542" s="20" t="n"/>
      <c r="G542" s="20" t="n"/>
    </row>
    <row r="543">
      <c r="A543" s="21" t="inlineStr">
        <is>
          <t>Details of cost for 2.16 sqm   |   Source: CivilDAR_2019_Vol_1.pdf, page 453</t>
        </is>
      </c>
    </row>
    <row r="544">
      <c r="A544" s="5" t="inlineStr">
        <is>
          <t>Code</t>
        </is>
      </c>
      <c r="B544" s="5" t="inlineStr">
        <is>
          <t>Description</t>
        </is>
      </c>
      <c r="C544" s="5" t="inlineStr">
        <is>
          <t>Unit</t>
        </is>
      </c>
      <c r="D544" s="5" t="inlineStr">
        <is>
          <t>Quantity</t>
        </is>
      </c>
      <c r="E544" s="5" t="inlineStr">
        <is>
          <t>Rate (Rs.)</t>
        </is>
      </c>
      <c r="F544" s="5" t="inlineStr">
        <is>
          <t>Amount (Rs.)</t>
        </is>
      </c>
      <c r="G544" s="5" t="inlineStr">
        <is>
          <t>Note</t>
        </is>
      </c>
    </row>
    <row r="545">
      <c r="A545" s="22" t="inlineStr">
        <is>
          <t>1200</t>
        </is>
      </c>
      <c r="B545" s="11" t="inlineStr">
        <is>
          <t>Kiln seasoned selected sheesum wood planks</t>
        </is>
      </c>
      <c r="C545" s="22" t="inlineStr">
        <is>
          <t>10 cudm</t>
        </is>
      </c>
      <c r="D545" s="23" t="n">
        <v>5.8</v>
      </c>
      <c r="E545" s="24" t="n">
        <v>650</v>
      </c>
      <c r="F545" s="24">
        <f>D545*E545</f>
        <v/>
      </c>
      <c r="G545" s="22" t="n"/>
    </row>
    <row r="546">
      <c r="A546" s="22" t="inlineStr">
        <is>
          <t>2504</t>
        </is>
      </c>
      <c r="B546" s="11" t="inlineStr">
        <is>
          <t>Kiln seasoning of timber</t>
        </is>
      </c>
      <c r="C546" s="22" t="inlineStr">
        <is>
          <t>cum</t>
        </is>
      </c>
      <c r="D546" s="23" t="n">
        <v>0.058</v>
      </c>
      <c r="E546" s="24" t="n">
        <v>750</v>
      </c>
      <c r="F546" s="24">
        <f>D546*E546</f>
        <v/>
      </c>
      <c r="G546" s="22" t="n"/>
    </row>
    <row r="547">
      <c r="A547" s="22" t="inlineStr">
        <is>
          <t>2406</t>
        </is>
      </c>
      <c r="B547" s="11" t="inlineStr">
        <is>
          <t>Float glass sheet of nominal thickness 4 mm (weight not less than 10kg/sqm).</t>
        </is>
      </c>
      <c r="C547" s="22" t="inlineStr">
        <is>
          <t>sqm</t>
        </is>
      </c>
      <c r="D547" s="23" t="n">
        <v>1.27</v>
      </c>
      <c r="E547" s="24" t="n">
        <v>300</v>
      </c>
      <c r="F547" s="24">
        <f>D547*E547</f>
        <v/>
      </c>
      <c r="G547" s="22" t="n"/>
    </row>
    <row r="548">
      <c r="A548" s="22" t="inlineStr">
        <is>
          <t>0595</t>
        </is>
      </c>
      <c r="B548" s="11" t="inlineStr">
        <is>
          <t>Bright finished or black enamelled mild steel butt hinges 100x58x1.90 mm</t>
        </is>
      </c>
      <c r="C548" s="22" t="inlineStr">
        <is>
          <t>10 Nos</t>
        </is>
      </c>
      <c r="D548" s="23" t="n">
        <v>0.6</v>
      </c>
      <c r="E548" s="24" t="n">
        <v>80</v>
      </c>
      <c r="F548" s="24">
        <f>D548*E548</f>
        <v/>
      </c>
      <c r="G548" s="22" t="n"/>
    </row>
    <row r="549">
      <c r="A549" s="22" t="inlineStr">
        <is>
          <t>0597</t>
        </is>
      </c>
      <c r="B549" s="11" t="inlineStr">
        <is>
          <t>Bright finished or black enamelled mild steel butt hinges50x37x1.50 mm</t>
        </is>
      </c>
      <c r="C549" s="22" t="inlineStr">
        <is>
          <t>10 Nos</t>
        </is>
      </c>
      <c r="D549" s="23" t="n">
        <v>0.2</v>
      </c>
      <c r="E549" s="24" t="n">
        <v>49</v>
      </c>
      <c r="F549" s="24">
        <f>D549*E549</f>
        <v/>
      </c>
      <c r="G549" s="22" t="n"/>
    </row>
    <row r="550">
      <c r="A550" s="22" t="inlineStr">
        <is>
          <t>0637</t>
        </is>
      </c>
      <c r="B550" s="11" t="inlineStr">
        <is>
          <t>Bright finished or black enamelled mild steel screws 40 mm</t>
        </is>
      </c>
      <c r="C550" s="22" t="inlineStr">
        <is>
          <t>100 Nos</t>
        </is>
      </c>
      <c r="D550" s="23" t="n">
        <v>0.48</v>
      </c>
      <c r="E550" s="24" t="n">
        <v>60</v>
      </c>
      <c r="F550" s="24">
        <f>D550*E550</f>
        <v/>
      </c>
      <c r="G550" s="22" t="n"/>
    </row>
    <row r="551">
      <c r="A551" s="22" t="inlineStr">
        <is>
          <t>0640</t>
        </is>
      </c>
      <c r="B551" s="11" t="inlineStr">
        <is>
          <t>Bright finished or black enamelled mild steel screws 20 mm</t>
        </is>
      </c>
      <c r="C551" s="22" t="inlineStr">
        <is>
          <t>100 Nos</t>
        </is>
      </c>
      <c r="D551" s="23" t="n">
        <v>0.08</v>
      </c>
      <c r="E551" s="24" t="n">
        <v>30</v>
      </c>
      <c r="F551" s="24">
        <f>D551*E551</f>
        <v/>
      </c>
      <c r="G551" s="22" t="n"/>
    </row>
    <row r="552">
      <c r="A552" s="22" t="inlineStr">
        <is>
          <t>2204</t>
        </is>
      </c>
      <c r="B552" s="11" t="inlineStr">
        <is>
          <t>Carriage of Timber</t>
        </is>
      </c>
      <c r="C552" s="22" t="inlineStr">
        <is>
          <t>cum</t>
        </is>
      </c>
      <c r="D552" s="23" t="n">
        <v>0.058</v>
      </c>
      <c r="E552" s="24" t="n">
        <v>118.59</v>
      </c>
      <c r="F552" s="24">
        <f>D552*E552</f>
        <v/>
      </c>
      <c r="G552" s="22" t="n"/>
    </row>
    <row r="553">
      <c r="A553" s="22" t="inlineStr">
        <is>
          <t>0156</t>
        </is>
      </c>
      <c r="B553" s="11" t="inlineStr">
        <is>
          <t>Carpenter (average)</t>
        </is>
      </c>
      <c r="C553" s="22" t="inlineStr">
        <is>
          <t>day</t>
        </is>
      </c>
      <c r="D553" s="23" t="n">
        <v>1.83</v>
      </c>
      <c r="E553" s="24" t="n">
        <v>709</v>
      </c>
      <c r="F553" s="24">
        <f>D553*E553</f>
        <v/>
      </c>
      <c r="G553" s="22" t="n"/>
    </row>
    <row r="554">
      <c r="A554" s="22" t="inlineStr">
        <is>
          <t>0119</t>
        </is>
      </c>
      <c r="B554" s="11" t="inlineStr">
        <is>
          <t>Glazier</t>
        </is>
      </c>
      <c r="C554" s="22" t="inlineStr">
        <is>
          <t>day</t>
        </is>
      </c>
      <c r="D554" s="23" t="n">
        <v>0.23</v>
      </c>
      <c r="E554" s="24" t="n">
        <v>679</v>
      </c>
      <c r="F554" s="24">
        <f>D554*E554</f>
        <v/>
      </c>
      <c r="G554" s="22" t="n"/>
    </row>
    <row r="555">
      <c r="A555" s="22" t="inlineStr">
        <is>
          <t>0114</t>
        </is>
      </c>
      <c r="B555" s="11" t="inlineStr">
        <is>
          <t>Beldar</t>
        </is>
      </c>
      <c r="C555" s="22" t="inlineStr">
        <is>
          <t>day</t>
        </is>
      </c>
      <c r="D555" s="23" t="n">
        <v>0.77</v>
      </c>
      <c r="E555" s="24" t="n">
        <v>558</v>
      </c>
      <c r="F555" s="24">
        <f>D555*E555</f>
        <v/>
      </c>
      <c r="G555" s="22" t="n"/>
    </row>
    <row r="556">
      <c r="A556" s="22" t="inlineStr">
        <is>
          <t>9999</t>
        </is>
      </c>
      <c r="B556" s="11" t="inlineStr">
        <is>
          <t>Sundries</t>
        </is>
      </c>
      <c r="C556" s="22" t="inlineStr">
        <is>
          <t>L.S.</t>
        </is>
      </c>
      <c r="D556" s="23" t="n">
        <v>40.43</v>
      </c>
      <c r="E556" s="24" t="n">
        <v>2</v>
      </c>
      <c r="F556" s="24">
        <f>D556*E556</f>
        <v/>
      </c>
      <c r="G556" s="22" t="n"/>
    </row>
    <row r="557">
      <c r="A557" s="8" t="inlineStr">
        <is>
          <t>Calculated W - SUM of the Amount column above</t>
        </is>
      </c>
      <c r="B557" s="9" t="n"/>
      <c r="C557" s="9" t="n"/>
      <c r="D557" s="9" t="n"/>
      <c r="E557" s="9" t="n"/>
      <c r="F557" s="25">
        <f>SUM(F545:F556)</f>
        <v/>
      </c>
      <c r="G557" s="9" t="n"/>
    </row>
    <row r="558">
      <c r="A558" s="26" t="inlineStr">
        <is>
          <t>W as printed in the DAR</t>
        </is>
      </c>
      <c r="B558" s="22" t="n"/>
      <c r="C558" s="22" t="n"/>
      <c r="D558" s="22" t="n"/>
      <c r="E558" s="22" t="n"/>
      <c r="F558" s="27" t="n">
        <v>6254.54</v>
      </c>
      <c r="G558" s="22" t="n"/>
    </row>
    <row r="559">
      <c r="A559" s="26" t="inlineStr">
        <is>
          <t>Difference (calculated - printed)</t>
        </is>
      </c>
      <c r="B559" s="22" t="n"/>
      <c r="C559" s="22" t="n"/>
      <c r="D559" s="22" t="n"/>
      <c r="E559" s="22" t="n"/>
      <c r="F559" s="27">
        <f>F557-F558</f>
        <v/>
      </c>
      <c r="G559" s="22" t="n"/>
    </row>
    <row r="560">
      <c r="A560" s="29" t="inlineStr">
        <is>
          <t>SAY (Rs.) - final DAR rate as printed (fixed value, not computed)</t>
        </is>
      </c>
      <c r="B560" s="30" t="n"/>
      <c r="C560" s="30" t="n"/>
      <c r="D560" s="30" t="n"/>
      <c r="E560" s="30" t="n"/>
      <c r="F560" s="31" t="n">
        <v>3874.15</v>
      </c>
      <c r="G560" s="30" t="n"/>
    </row>
    <row r="562" ht="33" customHeight="1">
      <c r="A562" s="8" t="inlineStr">
        <is>
          <t>9.9</t>
        </is>
      </c>
      <c r="B562" s="17" t="inlineStr">
        <is>
          <t>Providing and fixing glazed shutters for doors, windows and clerestory windows using 4 mm thick float glass panes, including ISI marked M.S. pressed butt hinges bright finished of required size with necessary screws.</t>
        </is>
      </c>
      <c r="C562" s="9" t="n"/>
      <c r="D562" s="9" t="n"/>
      <c r="E562" s="9" t="n"/>
      <c r="F562" s="9" t="n"/>
      <c r="G562" s="9" t="n"/>
    </row>
    <row r="563" ht="18.5" customHeight="1">
      <c r="A563" s="8" t="inlineStr">
        <is>
          <t>9.9.3</t>
        </is>
      </c>
      <c r="B563" s="17" t="inlineStr">
        <is>
          <t>Kiln seasoned selected planks of sheesham wood</t>
        </is>
      </c>
      <c r="C563" s="9" t="n"/>
      <c r="D563" s="9" t="n"/>
      <c r="E563" s="9" t="n"/>
      <c r="F563" s="9" t="n"/>
      <c r="G563" s="9" t="n"/>
    </row>
    <row r="564" ht="18.5" customHeight="1">
      <c r="A564" s="18" t="inlineStr">
        <is>
          <t>9.9.3.2</t>
        </is>
      </c>
      <c r="B564" s="19" t="inlineStr">
        <is>
          <t>30 mm thick</t>
        </is>
      </c>
      <c r="C564" s="20" t="n"/>
      <c r="D564" s="20" t="n"/>
      <c r="E564" s="20" t="n"/>
      <c r="F564" s="20" t="n"/>
      <c r="G564" s="20" t="n"/>
    </row>
    <row r="565">
      <c r="A565" s="21" t="inlineStr">
        <is>
          <t>Details of cost for 2.16 sqm   |   Source: CivilDAR_2019_Vol_1.pdf, page 454</t>
        </is>
      </c>
    </row>
    <row r="566">
      <c r="A566" s="5" t="inlineStr">
        <is>
          <t>Code</t>
        </is>
      </c>
      <c r="B566" s="5" t="inlineStr">
        <is>
          <t>Description</t>
        </is>
      </c>
      <c r="C566" s="5" t="inlineStr">
        <is>
          <t>Unit</t>
        </is>
      </c>
      <c r="D566" s="5" t="inlineStr">
        <is>
          <t>Quantity</t>
        </is>
      </c>
      <c r="E566" s="5" t="inlineStr">
        <is>
          <t>Rate (Rs.)</t>
        </is>
      </c>
      <c r="F566" s="5" t="inlineStr">
        <is>
          <t>Amount (Rs.)</t>
        </is>
      </c>
      <c r="G566" s="5" t="inlineStr">
        <is>
          <t>Note</t>
        </is>
      </c>
    </row>
    <row r="567">
      <c r="A567" s="22" t="inlineStr">
        <is>
          <t>1200</t>
        </is>
      </c>
      <c r="B567" s="11" t="inlineStr">
        <is>
          <t>Kiln seasoned selected sheesum wood planks</t>
        </is>
      </c>
      <c r="C567" s="22" t="inlineStr">
        <is>
          <t>10 cudm</t>
        </is>
      </c>
      <c r="D567" s="23" t="n">
        <v>5</v>
      </c>
      <c r="E567" s="24" t="n">
        <v>650</v>
      </c>
      <c r="F567" s="24">
        <f>D567*E567</f>
        <v/>
      </c>
      <c r="G567" s="22" t="n"/>
    </row>
    <row r="568">
      <c r="A568" s="22" t="inlineStr">
        <is>
          <t>2504</t>
        </is>
      </c>
      <c r="B568" s="11" t="inlineStr">
        <is>
          <t>Kiln seasoning of timber</t>
        </is>
      </c>
      <c r="C568" s="22" t="inlineStr">
        <is>
          <t>cum</t>
        </is>
      </c>
      <c r="D568" s="23" t="n">
        <v>0.05</v>
      </c>
      <c r="E568" s="24" t="n">
        <v>750</v>
      </c>
      <c r="F568" s="24">
        <f>D568*E568</f>
        <v/>
      </c>
      <c r="G568" s="22" t="n"/>
    </row>
    <row r="569">
      <c r="A569" s="22" t="inlineStr">
        <is>
          <t>2406</t>
        </is>
      </c>
      <c r="B569" s="11" t="inlineStr">
        <is>
          <t>Float glass sheet of nominal thickness 4 mm (weight not less than 10kg/sqm).</t>
        </is>
      </c>
      <c r="C569" s="22" t="inlineStr">
        <is>
          <t>sqm</t>
        </is>
      </c>
      <c r="D569" s="23" t="n">
        <v>1.27</v>
      </c>
      <c r="E569" s="24" t="n">
        <v>300</v>
      </c>
      <c r="F569" s="24">
        <f>D569*E569</f>
        <v/>
      </c>
      <c r="G569" s="22" t="n"/>
    </row>
    <row r="570">
      <c r="A570" s="22" t="inlineStr">
        <is>
          <t>0595</t>
        </is>
      </c>
      <c r="B570" s="11" t="inlineStr">
        <is>
          <t>Bright finished or black enamelled mild steel butt hinges 100x58x1.90 mm</t>
        </is>
      </c>
      <c r="C570" s="22" t="inlineStr">
        <is>
          <t>10 Nos</t>
        </is>
      </c>
      <c r="D570" s="23" t="n">
        <v>0.6</v>
      </c>
      <c r="E570" s="24" t="n">
        <v>80</v>
      </c>
      <c r="F570" s="24">
        <f>D570*E570</f>
        <v/>
      </c>
      <c r="G570" s="22" t="n"/>
    </row>
    <row r="571">
      <c r="A571" s="22" t="inlineStr">
        <is>
          <t>0597</t>
        </is>
      </c>
      <c r="B571" s="11" t="inlineStr">
        <is>
          <t>Bright finished or black enamelled mild steel butt hinges50x37x1.50 mm</t>
        </is>
      </c>
      <c r="C571" s="22" t="inlineStr">
        <is>
          <t>10 Nos</t>
        </is>
      </c>
      <c r="D571" s="23" t="n">
        <v>0.2</v>
      </c>
      <c r="E571" s="24" t="n">
        <v>49</v>
      </c>
      <c r="F571" s="24">
        <f>D571*E571</f>
        <v/>
      </c>
      <c r="G571" s="22" t="n"/>
    </row>
    <row r="572">
      <c r="A572" s="22" t="inlineStr">
        <is>
          <t>0637</t>
        </is>
      </c>
      <c r="B572" s="11" t="inlineStr">
        <is>
          <t>Bright finished or black enamelled mild steel screws 40 mm</t>
        </is>
      </c>
      <c r="C572" s="22" t="inlineStr">
        <is>
          <t>100 Nos</t>
        </is>
      </c>
      <c r="D572" s="23" t="n">
        <v>0.48</v>
      </c>
      <c r="E572" s="24" t="n">
        <v>60</v>
      </c>
      <c r="F572" s="24">
        <f>D572*E572</f>
        <v/>
      </c>
      <c r="G572" s="22" t="n"/>
    </row>
    <row r="573">
      <c r="A573" s="22" t="inlineStr">
        <is>
          <t>0640</t>
        </is>
      </c>
      <c r="B573" s="11" t="inlineStr">
        <is>
          <t>Bright finished or black enamelled mild steel screws 20 mm</t>
        </is>
      </c>
      <c r="C573" s="22" t="inlineStr">
        <is>
          <t>100 Nos</t>
        </is>
      </c>
      <c r="D573" s="23" t="n">
        <v>0.08</v>
      </c>
      <c r="E573" s="24" t="n">
        <v>30</v>
      </c>
      <c r="F573" s="24">
        <f>D573*E573</f>
        <v/>
      </c>
      <c r="G573" s="22" t="n"/>
    </row>
    <row r="574">
      <c r="A574" s="22" t="inlineStr">
        <is>
          <t>2204</t>
        </is>
      </c>
      <c r="B574" s="11" t="inlineStr">
        <is>
          <t>Carriage of Timber</t>
        </is>
      </c>
      <c r="C574" s="22" t="inlineStr">
        <is>
          <t>cum</t>
        </is>
      </c>
      <c r="D574" s="23" t="n">
        <v>0.05</v>
      </c>
      <c r="E574" s="24" t="n">
        <v>118.59</v>
      </c>
      <c r="F574" s="24">
        <f>D574*E574</f>
        <v/>
      </c>
      <c r="G574" s="22" t="n"/>
    </row>
    <row r="575">
      <c r="A575" s="22" t="inlineStr">
        <is>
          <t>0156</t>
        </is>
      </c>
      <c r="B575" s="11" t="inlineStr">
        <is>
          <t>Carpenter (average)</t>
        </is>
      </c>
      <c r="C575" s="22" t="inlineStr">
        <is>
          <t>day</t>
        </is>
      </c>
      <c r="D575" s="23" t="n">
        <v>1.83</v>
      </c>
      <c r="E575" s="24" t="n">
        <v>709</v>
      </c>
      <c r="F575" s="24">
        <f>D575*E575</f>
        <v/>
      </c>
      <c r="G575" s="22" t="n"/>
    </row>
    <row r="576">
      <c r="A576" s="22" t="inlineStr">
        <is>
          <t>0119</t>
        </is>
      </c>
      <c r="B576" s="11" t="inlineStr">
        <is>
          <t>Glazier</t>
        </is>
      </c>
      <c r="C576" s="22" t="inlineStr">
        <is>
          <t>day</t>
        </is>
      </c>
      <c r="D576" s="23" t="n">
        <v>0.23</v>
      </c>
      <c r="E576" s="24" t="n">
        <v>679</v>
      </c>
      <c r="F576" s="24">
        <f>D576*E576</f>
        <v/>
      </c>
      <c r="G576" s="22" t="n"/>
    </row>
    <row r="577">
      <c r="A577" s="22" t="inlineStr">
        <is>
          <t>0114</t>
        </is>
      </c>
      <c r="B577" s="11" t="inlineStr">
        <is>
          <t>Beldar</t>
        </is>
      </c>
      <c r="C577" s="22" t="inlineStr">
        <is>
          <t>day</t>
        </is>
      </c>
      <c r="D577" s="23" t="n">
        <v>0.77</v>
      </c>
      <c r="E577" s="24" t="n">
        <v>558</v>
      </c>
      <c r="F577" s="24">
        <f>D577*E577</f>
        <v/>
      </c>
      <c r="G577" s="22" t="n"/>
    </row>
    <row r="578">
      <c r="A578" s="22" t="inlineStr">
        <is>
          <t>9999</t>
        </is>
      </c>
      <c r="B578" s="11" t="inlineStr">
        <is>
          <t>Sundries</t>
        </is>
      </c>
      <c r="C578" s="22" t="inlineStr">
        <is>
          <t>L.S.</t>
        </is>
      </c>
      <c r="D578" s="23" t="n">
        <v>40.43</v>
      </c>
      <c r="E578" s="24" t="n">
        <v>2</v>
      </c>
      <c r="F578" s="24">
        <f>D578*E578</f>
        <v/>
      </c>
      <c r="G578" s="22" t="n"/>
    </row>
    <row r="579">
      <c r="A579" s="8" t="inlineStr">
        <is>
          <t>Calculated W - SUM of the Amount column above</t>
        </is>
      </c>
      <c r="B579" s="9" t="n"/>
      <c r="C579" s="9" t="n"/>
      <c r="D579" s="9" t="n"/>
      <c r="E579" s="9" t="n"/>
      <c r="F579" s="25">
        <f>SUM(F567:F578)</f>
        <v/>
      </c>
      <c r="G579" s="9" t="n"/>
    </row>
    <row r="580">
      <c r="A580" s="26" t="inlineStr">
        <is>
          <t>W as printed in the DAR</t>
        </is>
      </c>
      <c r="B580" s="22" t="n"/>
      <c r="C580" s="22" t="n"/>
      <c r="D580" s="22" t="n"/>
      <c r="E580" s="22" t="n"/>
      <c r="F580" s="27" t="n">
        <v>5727.59</v>
      </c>
      <c r="G580" s="22" t="n"/>
    </row>
    <row r="581">
      <c r="A581" s="26" t="inlineStr">
        <is>
          <t>Difference (calculated - printed)</t>
        </is>
      </c>
      <c r="B581" s="22" t="n"/>
      <c r="C581" s="22" t="n"/>
      <c r="D581" s="22" t="n"/>
      <c r="E581" s="22" t="n"/>
      <c r="F581" s="27">
        <f>F579-F580</f>
        <v/>
      </c>
      <c r="G581" s="22" t="n"/>
    </row>
    <row r="582">
      <c r="A582" s="29" t="inlineStr">
        <is>
          <t>SAY (Rs.) - final DAR rate as printed (fixed value, not computed)</t>
        </is>
      </c>
      <c r="B582" s="30" t="n"/>
      <c r="C582" s="30" t="n"/>
      <c r="D582" s="30" t="n"/>
      <c r="E582" s="30" t="n"/>
      <c r="F582" s="31" t="n">
        <v>3547.75</v>
      </c>
      <c r="G582" s="30" t="n"/>
    </row>
    <row r="584" ht="47.5" customHeight="1">
      <c r="A584" s="8" t="inlineStr">
        <is>
          <t>9.10</t>
        </is>
      </c>
      <c r="B584" s="17" t="inlineStr">
        <is>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t>
        </is>
      </c>
      <c r="C584" s="9" t="n"/>
      <c r="D584" s="9" t="n"/>
      <c r="E584" s="9" t="n"/>
      <c r="F584" s="9" t="n"/>
      <c r="G584" s="9" t="n"/>
    </row>
    <row r="585" ht="18.5" customHeight="1">
      <c r="A585" s="18" t="inlineStr">
        <is>
          <t>9.10.1</t>
        </is>
      </c>
      <c r="B585" s="19" t="inlineStr">
        <is>
          <t>30 mm thick shutters</t>
        </is>
      </c>
      <c r="C585" s="20" t="n"/>
      <c r="D585" s="20" t="n"/>
      <c r="E585" s="20" t="n"/>
      <c r="F585" s="20" t="n"/>
      <c r="G585" s="20" t="n"/>
    </row>
    <row r="586">
      <c r="A586" s="21" t="inlineStr">
        <is>
          <t>Details of cost for 2.38 sqm   |   Source: CivilDAR_2019_Vol_1.pdf, page 455</t>
        </is>
      </c>
    </row>
    <row r="587">
      <c r="A587" s="5" t="inlineStr">
        <is>
          <t>Code</t>
        </is>
      </c>
      <c r="B587" s="5" t="inlineStr">
        <is>
          <t>Description</t>
        </is>
      </c>
      <c r="C587" s="5" t="inlineStr">
        <is>
          <t>Unit</t>
        </is>
      </c>
      <c r="D587" s="5" t="inlineStr">
        <is>
          <t>Quantity</t>
        </is>
      </c>
      <c r="E587" s="5" t="inlineStr">
        <is>
          <t>Rate (Rs.)</t>
        </is>
      </c>
      <c r="F587" s="5" t="inlineStr">
        <is>
          <t>Amount (Rs.)</t>
        </is>
      </c>
      <c r="G587" s="5" t="inlineStr">
        <is>
          <t>Note</t>
        </is>
      </c>
    </row>
    <row r="588">
      <c r="A588" s="22" t="inlineStr">
        <is>
          <t>7151</t>
        </is>
      </c>
      <c r="B588" s="11" t="inlineStr">
        <is>
          <t>Factory made 30 mm thick shutters with laminated veneer lumber styles rails as per TADS IS:1995 and panels of sheet glass using 10 kg/ sqm glass panes</t>
        </is>
      </c>
      <c r="C588" s="22" t="inlineStr">
        <is>
          <t>sqm</t>
        </is>
      </c>
      <c r="D588" s="23" t="n">
        <v>2.38</v>
      </c>
      <c r="E588" s="24" t="n">
        <v>1620</v>
      </c>
      <c r="F588" s="24">
        <f>D588*E588</f>
        <v/>
      </c>
      <c r="G588" s="22" t="n"/>
    </row>
    <row r="589">
      <c r="A589" s="22" t="inlineStr">
        <is>
          <t>9977</t>
        </is>
      </c>
      <c r="B589" s="11" t="inlineStr">
        <is>
          <t>Carriage of shutters</t>
        </is>
      </c>
      <c r="C589" s="22" t="inlineStr">
        <is>
          <t>L.S.</t>
        </is>
      </c>
      <c r="D589" s="23" t="n">
        <v>29.64</v>
      </c>
      <c r="E589" s="24" t="n">
        <v>2</v>
      </c>
      <c r="F589" s="24">
        <f>D589*E589</f>
        <v/>
      </c>
      <c r="G589" s="22" t="n"/>
    </row>
    <row r="590">
      <c r="A590" s="22" t="inlineStr">
        <is>
          <t>0156</t>
        </is>
      </c>
      <c r="B590" s="11" t="inlineStr">
        <is>
          <t>Carpenter (average)</t>
        </is>
      </c>
      <c r="C590" s="22" t="inlineStr">
        <is>
          <t>day</t>
        </is>
      </c>
      <c r="D590" s="23" t="n">
        <v>0.52</v>
      </c>
      <c r="E590" s="24" t="n">
        <v>709</v>
      </c>
      <c r="F590" s="24">
        <f>D590*E590</f>
        <v/>
      </c>
      <c r="G590" s="22" t="n"/>
    </row>
    <row r="591">
      <c r="A591" s="22" t="inlineStr">
        <is>
          <t>0114</t>
        </is>
      </c>
      <c r="B591" s="11" t="inlineStr">
        <is>
          <t>Beldar</t>
        </is>
      </c>
      <c r="C591" s="22" t="inlineStr">
        <is>
          <t>day</t>
        </is>
      </c>
      <c r="D591" s="23" t="n">
        <v>0.6</v>
      </c>
      <c r="E591" s="24" t="n">
        <v>368</v>
      </c>
      <c r="F591" s="24">
        <f>D591*E591</f>
        <v/>
      </c>
      <c r="G591" s="22" t="n"/>
    </row>
    <row r="592">
      <c r="A592" s="22" t="inlineStr">
        <is>
          <t>9999</t>
        </is>
      </c>
      <c r="B592" s="11" t="inlineStr">
        <is>
          <t>Sundries</t>
        </is>
      </c>
      <c r="C592" s="22" t="inlineStr">
        <is>
          <t>L.S.</t>
        </is>
      </c>
      <c r="D592" s="23" t="n">
        <v>35.88</v>
      </c>
      <c r="E592" s="24" t="n">
        <v>2</v>
      </c>
      <c r="F592" s="24">
        <f>D592*E592</f>
        <v/>
      </c>
      <c r="G592" s="22" t="n"/>
    </row>
    <row r="593">
      <c r="A593" s="8" t="inlineStr">
        <is>
          <t>Calculated W - SUM of the Amount column above</t>
        </is>
      </c>
      <c r="B593" s="9" t="n"/>
      <c r="C593" s="9" t="n"/>
      <c r="D593" s="9" t="n"/>
      <c r="E593" s="9" t="n"/>
      <c r="F593" s="25">
        <f>SUM(F588:F592)</f>
        <v/>
      </c>
      <c r="G593" s="9" t="n"/>
    </row>
    <row r="594">
      <c r="A594" s="26" t="inlineStr">
        <is>
          <t>W as printed in the DAR</t>
        </is>
      </c>
      <c r="B594" s="22" t="n"/>
      <c r="C594" s="22" t="n"/>
      <c r="D594" s="22" t="n"/>
      <c r="E594" s="22" t="n"/>
      <c r="F594" s="27" t="n">
        <v>4576.12</v>
      </c>
      <c r="G594" s="22" t="n"/>
    </row>
    <row r="595">
      <c r="A595" s="26" t="inlineStr">
        <is>
          <t>Difference (calculated - printed)</t>
        </is>
      </c>
      <c r="B595" s="22" t="n"/>
      <c r="C595" s="22" t="n"/>
      <c r="D595" s="22" t="n"/>
      <c r="E595" s="22" t="n"/>
      <c r="F595" s="27">
        <f>F593-F594</f>
        <v/>
      </c>
      <c r="G595" s="22" t="n"/>
    </row>
    <row r="596">
      <c r="A596" s="29" t="inlineStr">
        <is>
          <t>SAY (Rs.) - final DAR rate as printed (fixed value, not computed)</t>
        </is>
      </c>
      <c r="B596" s="30" t="n"/>
      <c r="C596" s="30" t="n"/>
      <c r="D596" s="30" t="n"/>
      <c r="E596" s="30" t="n"/>
      <c r="F596" s="31" t="n">
        <v>2572.5</v>
      </c>
      <c r="G596" s="30" t="n"/>
    </row>
    <row r="598" ht="33" customHeight="1">
      <c r="A598" s="8" t="inlineStr">
        <is>
          <t>9.11</t>
        </is>
      </c>
      <c r="B598" s="17" t="inlineStr">
        <is>
          <t>Extra for providing heavy sheet float glass panes instead of ordinary float glass in glazed doors, windows and clerestory window shutters. (Area of opening for glass panes excluding portion inside rebate shall be measured)</t>
        </is>
      </c>
      <c r="C598" s="9" t="n"/>
      <c r="D598" s="9" t="n"/>
      <c r="E598" s="9" t="n"/>
      <c r="F598" s="9" t="n"/>
      <c r="G598" s="9" t="n"/>
    </row>
    <row r="599" ht="18.5" customHeight="1">
      <c r="A599" s="18" t="inlineStr">
        <is>
          <t>9.11.1</t>
        </is>
      </c>
      <c r="B599" s="19" t="inlineStr">
        <is>
          <t>5.0 mm thick instead of 4 mm thick.</t>
        </is>
      </c>
      <c r="C599" s="20" t="n"/>
      <c r="D599" s="20" t="n"/>
      <c r="E599" s="20" t="n"/>
      <c r="F599" s="20" t="n"/>
      <c r="G599" s="20" t="n"/>
    </row>
    <row r="600">
      <c r="A600" s="21" t="inlineStr">
        <is>
          <t>Details of cost for 1 sqm   |   Source: CivilDAR_2019_Vol_1.pdf, page 456</t>
        </is>
      </c>
    </row>
    <row r="601">
      <c r="A601" s="5" t="inlineStr">
        <is>
          <t>Code</t>
        </is>
      </c>
      <c r="B601" s="5" t="inlineStr">
        <is>
          <t>Description</t>
        </is>
      </c>
      <c r="C601" s="5" t="inlineStr">
        <is>
          <t>Unit</t>
        </is>
      </c>
      <c r="D601" s="5" t="inlineStr">
        <is>
          <t>Quantity</t>
        </is>
      </c>
      <c r="E601" s="5" t="inlineStr">
        <is>
          <t>Rate (Rs.)</t>
        </is>
      </c>
      <c r="F601" s="5" t="inlineStr">
        <is>
          <t>Amount (Rs.)</t>
        </is>
      </c>
      <c r="G601" s="5" t="inlineStr">
        <is>
          <t>Note</t>
        </is>
      </c>
    </row>
    <row r="602">
      <c r="A602" s="22" t="inlineStr">
        <is>
          <t>2407</t>
        </is>
      </c>
      <c r="B602" s="11" t="inlineStr">
        <is>
          <t>Float glass sheet of nominal thickness 5.0 mm.(weight not less than 12.50 kg/ sqm).</t>
        </is>
      </c>
      <c r="C602" s="22" t="inlineStr">
        <is>
          <t>sqm</t>
        </is>
      </c>
      <c r="D602" s="23" t="n">
        <v>1</v>
      </c>
      <c r="E602" s="24" t="n">
        <v>500</v>
      </c>
      <c r="F602" s="24">
        <f>D602*E602</f>
        <v/>
      </c>
      <c r="G602" s="22" t="n"/>
    </row>
    <row r="603">
      <c r="A603" s="22" t="inlineStr">
        <is>
          <t>2406</t>
        </is>
      </c>
      <c r="B603" s="11" t="inlineStr">
        <is>
          <t>Float glass sheet of nominal thickness 4 mm (weight not less than 10kg/sqm).</t>
        </is>
      </c>
      <c r="C603" s="22" t="inlineStr">
        <is>
          <t>sqm</t>
        </is>
      </c>
      <c r="D603" s="23" t="n">
        <v>-1</v>
      </c>
      <c r="E603" s="24" t="n">
        <v>300</v>
      </c>
      <c r="F603" s="24">
        <f>D603*E603</f>
        <v/>
      </c>
      <c r="G603" s="22" t="n"/>
    </row>
    <row r="604">
      <c r="A604" s="8" t="inlineStr">
        <is>
          <t>Calculated W - SUM of the Amount column above</t>
        </is>
      </c>
      <c r="B604" s="9" t="n"/>
      <c r="C604" s="9" t="n"/>
      <c r="D604" s="9" t="n"/>
      <c r="E604" s="9" t="n"/>
      <c r="F604" s="25">
        <f>SUM(F602:F603)</f>
        <v/>
      </c>
      <c r="G604" s="9" t="n"/>
    </row>
    <row r="605">
      <c r="A605" s="26" t="inlineStr">
        <is>
          <t>W as printed in the DAR</t>
        </is>
      </c>
      <c r="B605" s="22" t="n"/>
      <c r="C605" s="22" t="n"/>
      <c r="D605" s="22" t="n"/>
      <c r="E605" s="22" t="n"/>
      <c r="F605" s="27" t="n">
        <v>200</v>
      </c>
      <c r="G605" s="22" t="n"/>
    </row>
    <row r="606">
      <c r="A606" s="26" t="inlineStr">
        <is>
          <t>Difference (calculated - printed)</t>
        </is>
      </c>
      <c r="B606" s="22" t="n"/>
      <c r="C606" s="22" t="n"/>
      <c r="D606" s="22" t="n"/>
      <c r="E606" s="22" t="n"/>
      <c r="F606" s="27">
        <f>F604-F605</f>
        <v/>
      </c>
      <c r="G606" s="22" t="n"/>
    </row>
    <row r="607">
      <c r="A607" s="29" t="inlineStr">
        <is>
          <t>SAY (Rs.) - final DAR rate as printed (fixed value, not computed)</t>
        </is>
      </c>
      <c r="B607" s="30" t="n"/>
      <c r="C607" s="30" t="n"/>
      <c r="D607" s="30" t="n"/>
      <c r="E607" s="30" t="n"/>
      <c r="F607" s="31" t="n">
        <v>267.6</v>
      </c>
      <c r="G607" s="30" t="n"/>
    </row>
    <row r="609" ht="33" customHeight="1">
      <c r="A609" s="18" t="inlineStr">
        <is>
          <t>9.12</t>
        </is>
      </c>
      <c r="B609" s="19" t="inlineStr">
        <is>
          <t>Extra for providing frosted glass panes 4 mm thick instead of ordinary float glass panes 4 mm thick in doors, windows and clerestory window shutters. (Area of opening for glass panes excluding portion inside rebate shall be measured). Cost for 1 sqm.</t>
        </is>
      </c>
      <c r="C609" s="20" t="n"/>
      <c r="D609" s="20" t="n"/>
      <c r="E609" s="20" t="n"/>
      <c r="F609" s="20" t="n"/>
      <c r="G609" s="20" t="n"/>
    </row>
    <row r="610">
      <c r="A610" s="21" t="inlineStr">
        <is>
          <t>Details of cost for 1 sqm   |   Source: CivilDAR_2019_Vol_1.pdf, page 456</t>
        </is>
      </c>
    </row>
    <row r="611">
      <c r="A611" s="5" t="inlineStr">
        <is>
          <t>Code</t>
        </is>
      </c>
      <c r="B611" s="5" t="inlineStr">
        <is>
          <t>Description</t>
        </is>
      </c>
      <c r="C611" s="5" t="inlineStr">
        <is>
          <t>Unit</t>
        </is>
      </c>
      <c r="D611" s="5" t="inlineStr">
        <is>
          <t>Quantity</t>
        </is>
      </c>
      <c r="E611" s="5" t="inlineStr">
        <is>
          <t>Rate (Rs.)</t>
        </is>
      </c>
      <c r="F611" s="5" t="inlineStr">
        <is>
          <t>Amount (Rs.)</t>
        </is>
      </c>
      <c r="G611" s="5" t="inlineStr">
        <is>
          <t>Note</t>
        </is>
      </c>
    </row>
    <row r="612">
      <c r="A612" s="22" t="inlineStr">
        <is>
          <t>7032</t>
        </is>
      </c>
      <c r="B612" s="11" t="inlineStr">
        <is>
          <t>Frosted glass sheet of nominal thickness 4 mm (weighing not less than 10 kg/sqm)</t>
        </is>
      </c>
      <c r="C612" s="22" t="inlineStr">
        <is>
          <t>sqm</t>
        </is>
      </c>
      <c r="D612" s="23" t="n">
        <v>1</v>
      </c>
      <c r="E612" s="24" t="n">
        <v>460</v>
      </c>
      <c r="F612" s="24">
        <f>D612*E612</f>
        <v/>
      </c>
      <c r="G612" s="22" t="n"/>
    </row>
    <row r="613">
      <c r="A613" s="22" t="inlineStr">
        <is>
          <t>2406</t>
        </is>
      </c>
      <c r="B613" s="11" t="inlineStr">
        <is>
          <t>Float glass sheet of nominal thickness 4 mm (weight not less than 10kg/sqm).</t>
        </is>
      </c>
      <c r="C613" s="22" t="inlineStr">
        <is>
          <t>sqm</t>
        </is>
      </c>
      <c r="D613" s="23" t="n">
        <v>-1</v>
      </c>
      <c r="E613" s="24" t="n">
        <v>300</v>
      </c>
      <c r="F613" s="24">
        <f>D613*E613</f>
        <v/>
      </c>
      <c r="G613" s="22" t="n"/>
    </row>
    <row r="614">
      <c r="A614" s="8" t="inlineStr">
        <is>
          <t>Calculated W - SUM of the Amount column above</t>
        </is>
      </c>
      <c r="B614" s="9" t="n"/>
      <c r="C614" s="9" t="n"/>
      <c r="D614" s="9" t="n"/>
      <c r="E614" s="9" t="n"/>
      <c r="F614" s="25">
        <f>SUM(F612:F613)</f>
        <v/>
      </c>
      <c r="G614" s="9" t="n"/>
    </row>
    <row r="615">
      <c r="A615" s="26" t="inlineStr">
        <is>
          <t>W as printed in the DAR</t>
        </is>
      </c>
      <c r="B615" s="22" t="n"/>
      <c r="C615" s="22" t="n"/>
      <c r="D615" s="22" t="n"/>
      <c r="E615" s="22" t="n"/>
      <c r="F615" s="27" t="n">
        <v>160</v>
      </c>
      <c r="G615" s="22" t="n"/>
    </row>
    <row r="616">
      <c r="A616" s="26" t="inlineStr">
        <is>
          <t>Difference (calculated - printed)</t>
        </is>
      </c>
      <c r="B616" s="22" t="n"/>
      <c r="C616" s="22" t="n"/>
      <c r="D616" s="22" t="n"/>
      <c r="E616" s="22" t="n"/>
      <c r="F616" s="27">
        <f>F614-F615</f>
        <v/>
      </c>
      <c r="G616" s="22" t="n"/>
    </row>
    <row r="617">
      <c r="A617" s="29" t="inlineStr">
        <is>
          <t>SAY (Rs.) - final DAR rate as printed (fixed value, not computed)</t>
        </is>
      </c>
      <c r="B617" s="30" t="n"/>
      <c r="C617" s="30" t="n"/>
      <c r="D617" s="30" t="n"/>
      <c r="E617" s="30" t="n"/>
      <c r="F617" s="31" t="n">
        <v>214.05</v>
      </c>
      <c r="G617" s="30" t="n"/>
    </row>
    <row r="619" ht="47.5" customHeight="1">
      <c r="A619" s="18" t="inlineStr">
        <is>
          <t>9.13</t>
        </is>
      </c>
      <c r="B619" s="19" t="inlineStr">
        <is>
          <t>Deduct for providing pin headed glass panes instead of ordinary float glass panes weighing 4 mm thick in doors, windows and clerestory windows shutters (Area of opening for glass panes excluding portion inside rebate shall be measured). Cost for 1 sqm.</t>
        </is>
      </c>
      <c r="C619" s="20" t="n"/>
      <c r="D619" s="20" t="n"/>
      <c r="E619" s="20" t="n"/>
      <c r="F619" s="20" t="n"/>
      <c r="G619" s="20" t="n"/>
    </row>
    <row r="620">
      <c r="A620" s="21" t="inlineStr">
        <is>
          <t>Details of cost for 1 sqm   |   Source: CivilDAR_2019_Vol_1.pdf, page 457</t>
        </is>
      </c>
    </row>
    <row r="621">
      <c r="A621" s="5" t="inlineStr">
        <is>
          <t>Code</t>
        </is>
      </c>
      <c r="B621" s="5" t="inlineStr">
        <is>
          <t>Description</t>
        </is>
      </c>
      <c r="C621" s="5" t="inlineStr">
        <is>
          <t>Unit</t>
        </is>
      </c>
      <c r="D621" s="5" t="inlineStr">
        <is>
          <t>Quantity</t>
        </is>
      </c>
      <c r="E621" s="5" t="inlineStr">
        <is>
          <t>Rate (Rs.)</t>
        </is>
      </c>
      <c r="F621" s="5" t="inlineStr">
        <is>
          <t>Amount (Rs.)</t>
        </is>
      </c>
      <c r="G621" s="5" t="inlineStr">
        <is>
          <t>Note</t>
        </is>
      </c>
    </row>
    <row r="622">
      <c r="A622" s="22" t="inlineStr">
        <is>
          <t>2406</t>
        </is>
      </c>
      <c r="B622" s="11" t="inlineStr">
        <is>
          <t>Float glass sheet of nominal thickness 4 mm (weight not less than 10kg/sqm).</t>
        </is>
      </c>
      <c r="C622" s="22" t="inlineStr">
        <is>
          <t>sqm</t>
        </is>
      </c>
      <c r="D622" s="23" t="n">
        <v>-1</v>
      </c>
      <c r="E622" s="24" t="n">
        <v>300</v>
      </c>
      <c r="F622" s="24">
        <f>D622*E622</f>
        <v/>
      </c>
      <c r="G622" s="22" t="n"/>
    </row>
    <row r="623">
      <c r="A623" s="22" t="inlineStr">
        <is>
          <t>7451</t>
        </is>
      </c>
      <c r="B623" s="11" t="inlineStr">
        <is>
          <t>Glass sheet (Pin headed) 4 mm thick</t>
        </is>
      </c>
      <c r="C623" s="22" t="inlineStr">
        <is>
          <t>sqm</t>
        </is>
      </c>
      <c r="D623" s="23" t="n">
        <v>1</v>
      </c>
      <c r="E623" s="24" t="n">
        <v>305</v>
      </c>
      <c r="F623" s="24">
        <f>D623*E623</f>
        <v/>
      </c>
      <c r="G623" s="22" t="n"/>
    </row>
    <row r="624">
      <c r="A624" s="8" t="inlineStr">
        <is>
          <t>Calculated W - SUM of the Amount column above</t>
        </is>
      </c>
      <c r="B624" s="9" t="n"/>
      <c r="C624" s="9" t="n"/>
      <c r="D624" s="9" t="n"/>
      <c r="E624" s="9" t="n"/>
      <c r="F624" s="25">
        <f>SUM(F622:F623)</f>
        <v/>
      </c>
      <c r="G624" s="9" t="n"/>
    </row>
    <row r="625">
      <c r="A625" s="26" t="inlineStr">
        <is>
          <t>W as printed in the DAR</t>
        </is>
      </c>
      <c r="B625" s="22" t="n"/>
      <c r="C625" s="22" t="n"/>
      <c r="D625" s="22" t="n"/>
      <c r="E625" s="22" t="n"/>
      <c r="F625" s="27" t="n">
        <v>5</v>
      </c>
      <c r="G625" s="22" t="n"/>
    </row>
    <row r="626">
      <c r="A626" s="26" t="inlineStr">
        <is>
          <t>Difference (calculated - printed)</t>
        </is>
      </c>
      <c r="B626" s="22" t="n"/>
      <c r="C626" s="22" t="n"/>
      <c r="D626" s="22" t="n"/>
      <c r="E626" s="22" t="n"/>
      <c r="F626" s="27">
        <f>F624-F625</f>
        <v/>
      </c>
      <c r="G626" s="22" t="n"/>
    </row>
    <row r="627">
      <c r="A627" s="29" t="inlineStr">
        <is>
          <t>SAY (Rs.) - final DAR rate as printed (fixed value, not computed)</t>
        </is>
      </c>
      <c r="B627" s="30" t="n"/>
      <c r="C627" s="30" t="n"/>
      <c r="D627" s="30" t="n"/>
      <c r="E627" s="30" t="n"/>
      <c r="F627" s="31" t="n">
        <v>6.7</v>
      </c>
      <c r="G627" s="30" t="n"/>
    </row>
    <row r="629" ht="33" customHeight="1">
      <c r="A629" s="18" t="inlineStr">
        <is>
          <t>9.14</t>
        </is>
      </c>
      <c r="B629" s="19" t="inlineStr">
        <is>
          <t>Extra for providing ISI marked Stainless Steel butt hinges instead of M.S. pressed butt hinges bright finished of required size with necessary screws. (Shutter area to be measured).</t>
        </is>
      </c>
      <c r="C629" s="20" t="n"/>
      <c r="D629" s="20" t="n"/>
      <c r="E629" s="20" t="n"/>
      <c r="F629" s="20" t="n"/>
      <c r="G629" s="20" t="n"/>
    </row>
    <row r="630">
      <c r="A630" s="21" t="inlineStr">
        <is>
          <t>Details of cost for 2.16 sqm   |   Source: CivilDAR_2019_Vol_1.pdf, page 457</t>
        </is>
      </c>
    </row>
    <row r="631">
      <c r="A631" s="5" t="inlineStr">
        <is>
          <t>Code</t>
        </is>
      </c>
      <c r="B631" s="5" t="inlineStr">
        <is>
          <t>Description</t>
        </is>
      </c>
      <c r="C631" s="5" t="inlineStr">
        <is>
          <t>Unit</t>
        </is>
      </c>
      <c r="D631" s="5" t="inlineStr">
        <is>
          <t>Quantity</t>
        </is>
      </c>
      <c r="E631" s="5" t="inlineStr">
        <is>
          <t>Rate (Rs.)</t>
        </is>
      </c>
      <c r="F631" s="5" t="inlineStr">
        <is>
          <t>Amount (Rs.)</t>
        </is>
      </c>
      <c r="G631" s="5" t="inlineStr">
        <is>
          <t>Note</t>
        </is>
      </c>
    </row>
    <row r="632">
      <c r="A632" s="22" t="inlineStr">
        <is>
          <t>8220</t>
        </is>
      </c>
      <c r="B632" s="11" t="inlineStr">
        <is>
          <t>Stainless steel butt hinges (heavy weight) 100x60x2.5 mm IS : 12817 marked</t>
        </is>
      </c>
      <c r="C632" s="22" t="inlineStr">
        <is>
          <t>10 Nos</t>
        </is>
      </c>
      <c r="D632" s="23" t="n">
        <v>0.6</v>
      </c>
      <c r="E632" s="24" t="n">
        <v>255</v>
      </c>
      <c r="F632" s="24">
        <f>D632*E632</f>
        <v/>
      </c>
      <c r="G632" s="22" t="n"/>
    </row>
    <row r="633">
      <c r="A633" s="22" t="inlineStr">
        <is>
          <t>8218</t>
        </is>
      </c>
      <c r="B633" s="11" t="inlineStr">
        <is>
          <t>Stainless steel butt hinges 50x37x 1.5 mm IS : 12817 marked</t>
        </is>
      </c>
      <c r="C633" s="22" t="inlineStr">
        <is>
          <t>10 Nos</t>
        </is>
      </c>
      <c r="D633" s="23" t="n">
        <v>0.2</v>
      </c>
      <c r="E633" s="24" t="n">
        <v>135</v>
      </c>
      <c r="F633" s="24">
        <f>D633*E633</f>
        <v/>
      </c>
      <c r="G633" s="22" t="n"/>
    </row>
    <row r="634">
      <c r="A634" s="22" t="inlineStr">
        <is>
          <t>8211</t>
        </is>
      </c>
      <c r="B634" s="11" t="inlineStr">
        <is>
          <t>Stainless steel screws 40 mm</t>
        </is>
      </c>
      <c r="C634" s="22" t="inlineStr">
        <is>
          <t>100 Nos</t>
        </is>
      </c>
      <c r="D634" s="23" t="n">
        <v>0.48</v>
      </c>
      <c r="E634" s="24" t="n">
        <v>215</v>
      </c>
      <c r="F634" s="24">
        <f>D634*E634</f>
        <v/>
      </c>
      <c r="G634" s="22" t="n"/>
    </row>
    <row r="635">
      <c r="A635" s="22" t="inlineStr">
        <is>
          <t>8214</t>
        </is>
      </c>
      <c r="B635" s="11" t="inlineStr">
        <is>
          <t>Stainless steel screws 20 mm</t>
        </is>
      </c>
      <c r="C635" s="22" t="inlineStr">
        <is>
          <t>100 Nos</t>
        </is>
      </c>
      <c r="D635" s="23" t="n">
        <v>0.08</v>
      </c>
      <c r="E635" s="24" t="n">
        <v>125</v>
      </c>
      <c r="F635" s="24">
        <f>D635*E635</f>
        <v/>
      </c>
      <c r="G635" s="22" t="n"/>
    </row>
    <row r="636">
      <c r="A636" s="22" t="inlineStr">
        <is>
          <t>0595</t>
        </is>
      </c>
      <c r="B636" s="11" t="inlineStr">
        <is>
          <t>Bright finished or black enamelled mild steel butt hinges 100x58x1.90 mm</t>
        </is>
      </c>
      <c r="C636" s="22" t="inlineStr">
        <is>
          <t>10 Nos</t>
        </is>
      </c>
      <c r="D636" s="23" t="n">
        <v>-0.6</v>
      </c>
      <c r="E636" s="24" t="n">
        <v>80</v>
      </c>
      <c r="F636" s="24">
        <f>D636*E636</f>
        <v/>
      </c>
      <c r="G636" s="22" t="n"/>
    </row>
    <row r="637">
      <c r="A637" s="22" t="inlineStr">
        <is>
          <t>0597</t>
        </is>
      </c>
      <c r="B637" s="11" t="inlineStr">
        <is>
          <t>Bright finished or black enamelled mild steel butt hinges50x37x1.50 mm Black enameled Iron</t>
        </is>
      </c>
      <c r="C637" s="22" t="inlineStr">
        <is>
          <t>10 Nos</t>
        </is>
      </c>
      <c r="D637" s="23" t="n">
        <v>-0.2</v>
      </c>
      <c r="E637" s="24" t="n">
        <v>49</v>
      </c>
      <c r="F637" s="24">
        <f>D637*E637</f>
        <v/>
      </c>
      <c r="G637" s="22" t="n"/>
    </row>
    <row r="638">
      <c r="A638" s="22" t="inlineStr">
        <is>
          <t>0637</t>
        </is>
      </c>
      <c r="B638" s="11" t="inlineStr">
        <is>
          <t>Bright finished or black enamelled mild steel screws 40 mm</t>
        </is>
      </c>
      <c r="C638" s="22" t="inlineStr">
        <is>
          <t>100 Nos</t>
        </is>
      </c>
      <c r="D638" s="23" t="n">
        <v>-0.48</v>
      </c>
      <c r="E638" s="24" t="n">
        <v>60</v>
      </c>
      <c r="F638" s="24">
        <f>D638*E638</f>
        <v/>
      </c>
      <c r="G638" s="22" t="n"/>
    </row>
    <row r="639">
      <c r="A639" s="22" t="inlineStr">
        <is>
          <t>0640</t>
        </is>
      </c>
      <c r="B639" s="11" t="inlineStr">
        <is>
          <t>Bright finished or black enamelled mild steel screws 20 mm</t>
        </is>
      </c>
      <c r="C639" s="22" t="inlineStr">
        <is>
          <t>100 Nos</t>
        </is>
      </c>
      <c r="D639" s="23" t="n">
        <v>-0.08</v>
      </c>
      <c r="E639" s="24" t="n">
        <v>30</v>
      </c>
      <c r="F639" s="24">
        <f>D639*E639</f>
        <v/>
      </c>
      <c r="G639" s="22" t="n"/>
    </row>
    <row r="640">
      <c r="A640" s="8" t="inlineStr">
        <is>
          <t>Calculated W - SUM of the Amount column above</t>
        </is>
      </c>
      <c r="B640" s="9" t="n"/>
      <c r="C640" s="9" t="n"/>
      <c r="D640" s="9" t="n"/>
      <c r="E640" s="9" t="n"/>
      <c r="F640" s="25">
        <f>SUM(F632:F639)</f>
        <v/>
      </c>
      <c r="G640" s="9" t="n"/>
    </row>
    <row r="641">
      <c r="A641" s="26" t="inlineStr">
        <is>
          <t>W as printed in the DAR</t>
        </is>
      </c>
      <c r="B641" s="22" t="n"/>
      <c r="C641" s="22" t="n"/>
      <c r="D641" s="22" t="n"/>
      <c r="E641" s="22" t="n"/>
      <c r="F641" s="27" t="n">
        <v>204.2</v>
      </c>
      <c r="G641" s="22" t="n"/>
    </row>
    <row r="642">
      <c r="A642" s="26" t="inlineStr">
        <is>
          <t>Difference (calculated - printed)</t>
        </is>
      </c>
      <c r="B642" s="22" t="n"/>
      <c r="C642" s="22" t="n"/>
      <c r="D642" s="22" t="n"/>
      <c r="E642" s="22" t="n"/>
      <c r="F642" s="27">
        <f>F640-F641</f>
        <v/>
      </c>
      <c r="G642" s="22" t="n"/>
    </row>
    <row r="643">
      <c r="A643" s="29" t="inlineStr">
        <is>
          <t>SAY (Rs.) - final DAR rate as printed (fixed value, not computed)</t>
        </is>
      </c>
      <c r="B643" s="30" t="n"/>
      <c r="C643" s="30" t="n"/>
      <c r="D643" s="30" t="n"/>
      <c r="E643" s="30" t="n"/>
      <c r="F643" s="31" t="n">
        <v>126.5</v>
      </c>
      <c r="G643" s="30" t="n"/>
    </row>
    <row r="645" ht="18.5" customHeight="1">
      <c r="A645" s="8" t="inlineStr">
        <is>
          <t>9.15</t>
        </is>
      </c>
      <c r="B645" s="17" t="inlineStr">
        <is>
          <t>Deduct for not providing hinges in doors, windows or clerestory window shutters with :</t>
        </is>
      </c>
      <c r="C645" s="9" t="n"/>
      <c r="D645" s="9" t="n"/>
      <c r="E645" s="9" t="n"/>
      <c r="F645" s="9" t="n"/>
      <c r="G645" s="9" t="n"/>
    </row>
    <row r="646" ht="18.5" customHeight="1">
      <c r="A646" s="8" t="inlineStr">
        <is>
          <t>9.15.1</t>
        </is>
      </c>
      <c r="B646" s="17" t="inlineStr">
        <is>
          <t>Stainless steel butt hinges with stainless steel screws :</t>
        </is>
      </c>
      <c r="C646" s="9" t="n"/>
      <c r="D646" s="9" t="n"/>
      <c r="E646" s="9" t="n"/>
      <c r="F646" s="9" t="n"/>
      <c r="G646" s="9" t="n"/>
    </row>
    <row r="647" ht="18.5" customHeight="1">
      <c r="A647" s="18" t="inlineStr">
        <is>
          <t>9.15.1.1</t>
        </is>
      </c>
      <c r="B647" s="19" t="inlineStr">
        <is>
          <t>For 2nd class teak wood and other class of wood shutters</t>
        </is>
      </c>
      <c r="C647" s="20" t="n"/>
      <c r="D647" s="20" t="n"/>
      <c r="E647" s="20" t="n"/>
      <c r="F647" s="20" t="n"/>
      <c r="G647" s="20" t="n"/>
    </row>
    <row r="648">
      <c r="A648" s="21" t="inlineStr">
        <is>
          <t>Details of cost for 2.16 sqm   |   Source: CivilDAR_2019_Vol_1.pdf, page 458</t>
        </is>
      </c>
    </row>
    <row r="649">
      <c r="A649" s="5" t="inlineStr">
        <is>
          <t>Code</t>
        </is>
      </c>
      <c r="B649" s="5" t="inlineStr">
        <is>
          <t>Description</t>
        </is>
      </c>
      <c r="C649" s="5" t="inlineStr">
        <is>
          <t>Unit</t>
        </is>
      </c>
      <c r="D649" s="5" t="inlineStr">
        <is>
          <t>Quantity</t>
        </is>
      </c>
      <c r="E649" s="5" t="inlineStr">
        <is>
          <t>Rate (Rs.)</t>
        </is>
      </c>
      <c r="F649" s="5" t="inlineStr">
        <is>
          <t>Amount (Rs.)</t>
        </is>
      </c>
      <c r="G649" s="5" t="inlineStr">
        <is>
          <t>Note</t>
        </is>
      </c>
    </row>
    <row r="650">
      <c r="A650" s="22" t="inlineStr">
        <is>
          <t>8220</t>
        </is>
      </c>
      <c r="B650" s="11" t="inlineStr">
        <is>
          <t>Stainless steel butt hinges (heavy weight) 100x60x2.5 mm IS : 12817 marked</t>
        </is>
      </c>
      <c r="C650" s="22" t="inlineStr">
        <is>
          <t>10 Nos</t>
        </is>
      </c>
      <c r="D650" s="23" t="n">
        <v>0.6</v>
      </c>
      <c r="E650" s="24" t="n">
        <v>255</v>
      </c>
      <c r="F650" s="24">
        <f>D650*E650</f>
        <v/>
      </c>
      <c r="G650" s="22" t="n"/>
    </row>
    <row r="651">
      <c r="A651" s="22" t="inlineStr">
        <is>
          <t>8218</t>
        </is>
      </c>
      <c r="B651" s="11" t="inlineStr">
        <is>
          <t>Stainless steel butt hinges 50x37x 1.5 mm IS : 12817 marked</t>
        </is>
      </c>
      <c r="C651" s="22" t="inlineStr">
        <is>
          <t>10 Nos</t>
        </is>
      </c>
      <c r="D651" s="23" t="n">
        <v>0.2</v>
      </c>
      <c r="E651" s="24" t="n">
        <v>135</v>
      </c>
      <c r="F651" s="24">
        <f>D651*E651</f>
        <v/>
      </c>
      <c r="G651" s="22" t="n"/>
    </row>
    <row r="652">
      <c r="A652" s="22" t="inlineStr">
        <is>
          <t>8211</t>
        </is>
      </c>
      <c r="B652" s="11" t="inlineStr">
        <is>
          <t>Stainless steel screws 40 mm</t>
        </is>
      </c>
      <c r="C652" s="22" t="inlineStr">
        <is>
          <t>100 Nos</t>
        </is>
      </c>
      <c r="D652" s="23" t="n">
        <v>0.48</v>
      </c>
      <c r="E652" s="24" t="n">
        <v>215</v>
      </c>
      <c r="F652" s="24">
        <f>D652*E652</f>
        <v/>
      </c>
      <c r="G652" s="22" t="n"/>
    </row>
    <row r="653">
      <c r="A653" s="22" t="inlineStr">
        <is>
          <t>8214</t>
        </is>
      </c>
      <c r="B653" s="11" t="inlineStr">
        <is>
          <t>Stainless steel screws 20 mm</t>
        </is>
      </c>
      <c r="C653" s="22" t="inlineStr">
        <is>
          <t>100 Nos</t>
        </is>
      </c>
      <c r="D653" s="23" t="n">
        <v>0.08</v>
      </c>
      <c r="E653" s="24" t="n">
        <v>125</v>
      </c>
      <c r="F653" s="24">
        <f>D653*E653</f>
        <v/>
      </c>
      <c r="G653" s="22" t="n"/>
    </row>
    <row r="654">
      <c r="A654" s="8" t="inlineStr">
        <is>
          <t>Calculated W - SUM of the Amount column above</t>
        </is>
      </c>
      <c r="B654" s="9" t="n"/>
      <c r="C654" s="9" t="n"/>
      <c r="D654" s="9" t="n"/>
      <c r="E654" s="9" t="n"/>
      <c r="F654" s="25">
        <f>SUM(F650:F653)</f>
        <v/>
      </c>
      <c r="G654" s="9" t="n"/>
    </row>
    <row r="655">
      <c r="A655" s="26" t="inlineStr">
        <is>
          <t>W as printed in the DAR</t>
        </is>
      </c>
      <c r="B655" s="22" t="n"/>
      <c r="C655" s="22" t="n"/>
      <c r="D655" s="22" t="n"/>
      <c r="E655" s="22" t="n"/>
      <c r="F655" s="27" t="n">
        <v>293.2</v>
      </c>
      <c r="G655" s="22" t="n"/>
    </row>
    <row r="656">
      <c r="A656" s="26" t="inlineStr">
        <is>
          <t>Difference (calculated - printed)</t>
        </is>
      </c>
      <c r="B656" s="22" t="n"/>
      <c r="C656" s="22" t="n"/>
      <c r="D656" s="22" t="n"/>
      <c r="E656" s="22" t="n"/>
      <c r="F656" s="27">
        <f>F654-F655</f>
        <v/>
      </c>
      <c r="G656" s="22" t="n"/>
    </row>
    <row r="657">
      <c r="A657" s="29" t="inlineStr">
        <is>
          <t>SAY (Rs.) - final DAR rate as printed (fixed value, not computed)</t>
        </is>
      </c>
      <c r="B657" s="30" t="n"/>
      <c r="C657" s="30" t="n"/>
      <c r="D657" s="30" t="n"/>
      <c r="E657" s="30" t="n"/>
      <c r="F657" s="31" t="n">
        <v>181.6</v>
      </c>
      <c r="G657" s="30" t="n"/>
    </row>
    <row r="659" ht="18.5" customHeight="1">
      <c r="A659" s="8" t="inlineStr">
        <is>
          <t>9.15</t>
        </is>
      </c>
      <c r="B659" s="17" t="inlineStr">
        <is>
          <t>Deduct for not providing hinges in doors, windows or clerestory window shutters with :</t>
        </is>
      </c>
      <c r="C659" s="9" t="n"/>
      <c r="D659" s="9" t="n"/>
      <c r="E659" s="9" t="n"/>
      <c r="F659" s="9" t="n"/>
      <c r="G659" s="9" t="n"/>
    </row>
    <row r="660" ht="18.5" customHeight="1">
      <c r="A660" s="8" t="inlineStr">
        <is>
          <t>9.15.2</t>
        </is>
      </c>
      <c r="B660" s="17" t="inlineStr">
        <is>
          <t>ISI marked M.S. pressed butt hinges bright finished of required size.</t>
        </is>
      </c>
      <c r="C660" s="9" t="n"/>
      <c r="D660" s="9" t="n"/>
      <c r="E660" s="9" t="n"/>
      <c r="F660" s="9" t="n"/>
      <c r="G660" s="9" t="n"/>
    </row>
    <row r="661" ht="18.5" customHeight="1">
      <c r="A661" s="18" t="inlineStr">
        <is>
          <t>9.15.2.1</t>
        </is>
      </c>
      <c r="B661" s="19" t="inlineStr">
        <is>
          <t>For 2nd class teak wood and other class of wood shutters</t>
        </is>
      </c>
      <c r="C661" s="20" t="n"/>
      <c r="D661" s="20" t="n"/>
      <c r="E661" s="20" t="n"/>
      <c r="F661" s="20" t="n"/>
      <c r="G661" s="20" t="n"/>
    </row>
    <row r="662">
      <c r="A662" s="21" t="inlineStr">
        <is>
          <t>Details of cost for 2.16 sqm   |   Source: CivilDAR_2019_Vol_1.pdf, page 459</t>
        </is>
      </c>
    </row>
    <row r="663">
      <c r="A663" s="5" t="inlineStr">
        <is>
          <t>Code</t>
        </is>
      </c>
      <c r="B663" s="5" t="inlineStr">
        <is>
          <t>Description</t>
        </is>
      </c>
      <c r="C663" s="5" t="inlineStr">
        <is>
          <t>Unit</t>
        </is>
      </c>
      <c r="D663" s="5" t="inlineStr">
        <is>
          <t>Quantity</t>
        </is>
      </c>
      <c r="E663" s="5" t="inlineStr">
        <is>
          <t>Rate (Rs.)</t>
        </is>
      </c>
      <c r="F663" s="5" t="inlineStr">
        <is>
          <t>Amount (Rs.)</t>
        </is>
      </c>
      <c r="G663" s="5" t="inlineStr">
        <is>
          <t>Note</t>
        </is>
      </c>
    </row>
    <row r="664">
      <c r="A664" s="22" t="inlineStr">
        <is>
          <t>0595</t>
        </is>
      </c>
      <c r="B664" s="11" t="inlineStr">
        <is>
          <t>Bright finished or black enamelled mild steel butt hinges 100x58x1.90 mm</t>
        </is>
      </c>
      <c r="C664" s="22" t="inlineStr">
        <is>
          <t>10 Nos</t>
        </is>
      </c>
      <c r="D664" s="23" t="n">
        <v>0.6</v>
      </c>
      <c r="E664" s="24" t="n">
        <v>80</v>
      </c>
      <c r="F664" s="24">
        <f>D664*E664</f>
        <v/>
      </c>
      <c r="G664" s="22" t="n"/>
    </row>
    <row r="665">
      <c r="A665" s="22" t="inlineStr">
        <is>
          <t>0597</t>
        </is>
      </c>
      <c r="B665" s="11" t="inlineStr">
        <is>
          <t>Bright finished or black enamelled mild steel butt hinges50x37x1.50 mm</t>
        </is>
      </c>
      <c r="C665" s="22" t="inlineStr">
        <is>
          <t>10 Nos</t>
        </is>
      </c>
      <c r="D665" s="23" t="n">
        <v>0.2</v>
      </c>
      <c r="E665" s="24" t="n">
        <v>49</v>
      </c>
      <c r="F665" s="24">
        <f>D665*E665</f>
        <v/>
      </c>
      <c r="G665" s="22" t="n"/>
    </row>
    <row r="666">
      <c r="A666" s="22" t="inlineStr">
        <is>
          <t>0637</t>
        </is>
      </c>
      <c r="B666" s="11" t="inlineStr">
        <is>
          <t>Bright finished or black enamelled mild steel screws 40 mm</t>
        </is>
      </c>
      <c r="C666" s="22" t="inlineStr">
        <is>
          <t>100 Nos</t>
        </is>
      </c>
      <c r="D666" s="23" t="n">
        <v>0.48</v>
      </c>
      <c r="E666" s="24" t="n">
        <v>60</v>
      </c>
      <c r="F666" s="24">
        <f>D666*E666</f>
        <v/>
      </c>
      <c r="G666" s="22" t="n"/>
    </row>
    <row r="667">
      <c r="A667" s="22" t="inlineStr">
        <is>
          <t>0640</t>
        </is>
      </c>
      <c r="B667" s="11" t="inlineStr">
        <is>
          <t>Bright finished or black enamelled mild steel screws 20 mm</t>
        </is>
      </c>
      <c r="C667" s="22" t="inlineStr">
        <is>
          <t>100 Nos</t>
        </is>
      </c>
      <c r="D667" s="23" t="n">
        <v>0.08</v>
      </c>
      <c r="E667" s="24" t="n">
        <v>30</v>
      </c>
      <c r="F667" s="24">
        <f>D667*E667</f>
        <v/>
      </c>
      <c r="G667" s="22" t="n"/>
    </row>
    <row r="668">
      <c r="A668" s="8" t="inlineStr">
        <is>
          <t>Calculated W - SUM of the Amount column above</t>
        </is>
      </c>
      <c r="B668" s="9" t="n"/>
      <c r="C668" s="9" t="n"/>
      <c r="D668" s="9" t="n"/>
      <c r="E668" s="9" t="n"/>
      <c r="F668" s="25">
        <f>SUM(F664:F667)</f>
        <v/>
      </c>
      <c r="G668" s="9" t="n"/>
    </row>
    <row r="669">
      <c r="A669" s="26" t="inlineStr">
        <is>
          <t>W as printed in the DAR</t>
        </is>
      </c>
      <c r="B669" s="22" t="n"/>
      <c r="C669" s="22" t="n"/>
      <c r="D669" s="22" t="n"/>
      <c r="E669" s="22" t="n"/>
      <c r="F669" s="27" t="n">
        <v>89</v>
      </c>
      <c r="G669" s="22" t="n"/>
    </row>
    <row r="670">
      <c r="A670" s="26" t="inlineStr">
        <is>
          <t>Difference (calculated - printed)</t>
        </is>
      </c>
      <c r="B670" s="22" t="n"/>
      <c r="C670" s="22" t="n"/>
      <c r="D670" s="22" t="n"/>
      <c r="E670" s="22" t="n"/>
      <c r="F670" s="27">
        <f>F668-F669</f>
        <v/>
      </c>
      <c r="G670" s="22" t="n"/>
    </row>
    <row r="671">
      <c r="A671" s="29" t="inlineStr">
        <is>
          <t>SAY (Rs.) - final DAR rate as printed (fixed value, not computed)</t>
        </is>
      </c>
      <c r="B671" s="30" t="n"/>
      <c r="C671" s="30" t="n"/>
      <c r="D671" s="30" t="n"/>
      <c r="E671" s="30" t="n"/>
      <c r="F671" s="31" t="n">
        <v>55.15</v>
      </c>
      <c r="G671" s="30" t="n"/>
    </row>
    <row r="673" ht="18.5" customHeight="1">
      <c r="A673" s="8" t="inlineStr">
        <is>
          <t>9.16</t>
        </is>
      </c>
      <c r="B673" s="17" t="inlineStr">
        <is>
          <t>Providing and fixing 25 mm thick shutters for cup board etc. :</t>
        </is>
      </c>
      <c r="C673" s="9" t="n"/>
      <c r="D673" s="9" t="n"/>
      <c r="E673" s="9" t="n"/>
      <c r="F673" s="9" t="n"/>
      <c r="G673" s="9" t="n"/>
    </row>
    <row r="674" ht="18.5" customHeight="1">
      <c r="A674" s="8" t="inlineStr">
        <is>
          <t>9.16.1</t>
        </is>
      </c>
      <c r="B674" s="17" t="inlineStr">
        <is>
          <t>Panelled or panelled &amp; glazed shutters :</t>
        </is>
      </c>
      <c r="C674" s="9" t="n"/>
      <c r="D674" s="9" t="n"/>
      <c r="E674" s="9" t="n"/>
      <c r="F674" s="9" t="n"/>
      <c r="G674" s="9" t="n"/>
    </row>
    <row r="675" ht="18.5" customHeight="1">
      <c r="A675" s="18" t="inlineStr">
        <is>
          <t>9.16.1.1</t>
        </is>
      </c>
      <c r="B675" s="19" t="inlineStr">
        <is>
          <t>Second class teak wood including ISI marked anodised aluminium butt hinges with necessary screws</t>
        </is>
      </c>
      <c r="C675" s="20" t="n"/>
      <c r="D675" s="20" t="n"/>
      <c r="E675" s="20" t="n"/>
      <c r="F675" s="20" t="n"/>
      <c r="G675" s="20" t="n"/>
    </row>
    <row r="676">
      <c r="A676" s="21" t="inlineStr">
        <is>
          <t>Details of cost for 2.16 sqm   |   Source: CivilDAR_2019_Vol_1.pdf, page 459</t>
        </is>
      </c>
    </row>
    <row r="677">
      <c r="A677" s="5" t="inlineStr">
        <is>
          <t>Code</t>
        </is>
      </c>
      <c r="B677" s="5" t="inlineStr">
        <is>
          <t>Description</t>
        </is>
      </c>
      <c r="C677" s="5" t="inlineStr">
        <is>
          <t>Unit</t>
        </is>
      </c>
      <c r="D677" s="5" t="inlineStr">
        <is>
          <t>Quantity</t>
        </is>
      </c>
      <c r="E677" s="5" t="inlineStr">
        <is>
          <t>Rate (Rs.)</t>
        </is>
      </c>
      <c r="F677" s="5" t="inlineStr">
        <is>
          <t>Amount (Rs.)</t>
        </is>
      </c>
      <c r="G677" s="5" t="inlineStr">
        <is>
          <t>Note</t>
        </is>
      </c>
    </row>
    <row r="678">
      <c r="A678" s="22" t="inlineStr">
        <is>
          <t>1190</t>
        </is>
      </c>
      <c r="B678" s="11" t="inlineStr">
        <is>
          <t>Second class teak wood in planks</t>
        </is>
      </c>
      <c r="C678" s="22" t="inlineStr">
        <is>
          <t>10 cudm</t>
        </is>
      </c>
      <c r="D678" s="23" t="n">
        <v>4</v>
      </c>
      <c r="E678" s="24" t="n">
        <v>791</v>
      </c>
      <c r="F678" s="24">
        <f>D678*E678</f>
        <v/>
      </c>
      <c r="G678" s="22" t="n"/>
    </row>
    <row r="679">
      <c r="A679" s="22" t="inlineStr">
        <is>
          <t>2204</t>
        </is>
      </c>
      <c r="B679" s="11" t="inlineStr">
        <is>
          <t>Carriage of Timber</t>
        </is>
      </c>
      <c r="C679" s="22" t="inlineStr">
        <is>
          <t>cum</t>
        </is>
      </c>
      <c r="D679" s="23" t="n">
        <v>0.04</v>
      </c>
      <c r="E679" s="24" t="n">
        <v>118.59</v>
      </c>
      <c r="F679" s="24">
        <f>D679*E679</f>
        <v/>
      </c>
      <c r="G679" s="22" t="n"/>
    </row>
    <row r="680">
      <c r="A680" s="22" t="inlineStr">
        <is>
          <t>2406</t>
        </is>
      </c>
      <c r="B680" s="11" t="inlineStr">
        <is>
          <t>Float glass sheet of nominal thickness 4 mm (weight not less than 10kg/sqm).</t>
        </is>
      </c>
      <c r="C680" s="22" t="inlineStr">
        <is>
          <t>sqm</t>
        </is>
      </c>
      <c r="D680" s="23" t="n">
        <v>0.99</v>
      </c>
      <c r="E680" s="24" t="n">
        <v>300</v>
      </c>
      <c r="F680" s="24">
        <f>D680*E680</f>
        <v/>
      </c>
      <c r="G680" s="22" t="n"/>
    </row>
    <row r="681">
      <c r="A681" s="22" t="inlineStr">
        <is>
          <t>0694</t>
        </is>
      </c>
      <c r="B681" s="11" t="inlineStr">
        <is>
          <t>Anodised Aluminium butt hinges 75x45x3.2 mm</t>
        </is>
      </c>
      <c r="C681" s="22" t="inlineStr">
        <is>
          <t>10 Nos</t>
        </is>
      </c>
      <c r="D681" s="23" t="n">
        <v>0.6</v>
      </c>
      <c r="E681" s="24" t="n">
        <v>196</v>
      </c>
      <c r="F681" s="24">
        <f>D681*E681</f>
        <v/>
      </c>
      <c r="G681" s="22" t="n"/>
    </row>
    <row r="682">
      <c r="A682" s="22" t="inlineStr">
        <is>
          <t>0586</t>
        </is>
      </c>
      <c r="B682" s="11" t="inlineStr">
        <is>
          <t>Chromium plated Brass screws 40 mm</t>
        </is>
      </c>
      <c r="C682" s="22" t="inlineStr">
        <is>
          <t>100 Nos</t>
        </is>
      </c>
      <c r="D682" s="23" t="n">
        <v>0.48</v>
      </c>
      <c r="E682" s="24" t="n">
        <v>290</v>
      </c>
      <c r="F682" s="24">
        <f>D682*E682</f>
        <v/>
      </c>
      <c r="G682" s="22" t="n"/>
    </row>
    <row r="683">
      <c r="A683" s="22" t="inlineStr">
        <is>
          <t>0111</t>
        </is>
      </c>
      <c r="B683" s="11" t="inlineStr">
        <is>
          <t>Carpenter 1st class</t>
        </is>
      </c>
      <c r="C683" s="22" t="inlineStr">
        <is>
          <t>day</t>
        </is>
      </c>
      <c r="D683" s="23" t="n">
        <v>2.4</v>
      </c>
      <c r="E683" s="24" t="n">
        <v>738</v>
      </c>
      <c r="F683" s="24">
        <f>D683*E683</f>
        <v/>
      </c>
      <c r="G683" s="22" t="n"/>
    </row>
    <row r="684">
      <c r="A684" s="22" t="inlineStr">
        <is>
          <t>0119</t>
        </is>
      </c>
      <c r="B684" s="11" t="inlineStr">
        <is>
          <t>Glazier</t>
        </is>
      </c>
      <c r="C684" s="22" t="inlineStr">
        <is>
          <t>day</t>
        </is>
      </c>
      <c r="D684" s="23" t="n">
        <v>0.18</v>
      </c>
      <c r="E684" s="24" t="n">
        <v>679</v>
      </c>
      <c r="F684" s="24">
        <f>D684*E684</f>
        <v/>
      </c>
      <c r="G684" s="22" t="n"/>
    </row>
    <row r="685">
      <c r="A685" s="22" t="inlineStr">
        <is>
          <t>0114</t>
        </is>
      </c>
      <c r="B685" s="11" t="inlineStr">
        <is>
          <t>Beldar</t>
        </is>
      </c>
      <c r="C685" s="22" t="inlineStr">
        <is>
          <t>day</t>
        </is>
      </c>
      <c r="D685" s="23" t="n">
        <v>0.77</v>
      </c>
      <c r="E685" s="24" t="n">
        <v>558</v>
      </c>
      <c r="F685" s="24">
        <f>D685*E685</f>
        <v/>
      </c>
      <c r="G685" s="22" t="n"/>
    </row>
    <row r="686">
      <c r="A686" s="22" t="inlineStr">
        <is>
          <t>9999</t>
        </is>
      </c>
      <c r="B686" s="11" t="inlineStr">
        <is>
          <t>Sundries</t>
        </is>
      </c>
      <c r="C686" s="22" t="inlineStr">
        <is>
          <t>L.S.</t>
        </is>
      </c>
      <c r="D686" s="23" t="n">
        <v>40.43</v>
      </c>
      <c r="E686" s="24" t="n">
        <v>2</v>
      </c>
      <c r="F686" s="24">
        <f>D686*E686</f>
        <v/>
      </c>
      <c r="G686" s="22" t="n"/>
    </row>
    <row r="687">
      <c r="A687" s="8" t="inlineStr">
        <is>
          <t>Calculated W - SUM of the Amount column above</t>
        </is>
      </c>
      <c r="B687" s="9" t="n"/>
      <c r="C687" s="9" t="n"/>
      <c r="D687" s="9" t="n"/>
      <c r="E687" s="9" t="n"/>
      <c r="F687" s="25">
        <f>SUM(F678:F686)</f>
        <v/>
      </c>
      <c r="G687" s="9" t="n"/>
    </row>
    <row r="688">
      <c r="A688" s="26" t="inlineStr">
        <is>
          <t>W as printed in the DAR</t>
        </is>
      </c>
      <c r="B688" s="22" t="n"/>
      <c r="C688" s="22" t="n"/>
      <c r="D688" s="22" t="n"/>
      <c r="E688" s="22" t="n"/>
      <c r="F688" s="27" t="n">
        <v>6126.48</v>
      </c>
      <c r="G688" s="22" t="n"/>
    </row>
    <row r="689">
      <c r="A689" s="26" t="inlineStr">
        <is>
          <t>Difference (calculated - printed)</t>
        </is>
      </c>
      <c r="B689" s="22" t="n"/>
      <c r="C689" s="22" t="n"/>
      <c r="D689" s="22" t="n"/>
      <c r="E689" s="22" t="n"/>
      <c r="F689" s="27">
        <f>F687-F688</f>
        <v/>
      </c>
      <c r="G689" s="22" t="n"/>
    </row>
    <row r="690">
      <c r="A690" s="29" t="inlineStr">
        <is>
          <t>SAY (Rs.) - final DAR rate as printed (fixed value, not computed)</t>
        </is>
      </c>
      <c r="B690" s="30" t="n"/>
      <c r="C690" s="30" t="n"/>
      <c r="D690" s="30" t="n"/>
      <c r="E690" s="30" t="n"/>
      <c r="F690" s="31" t="n">
        <v>3794.85</v>
      </c>
      <c r="G690" s="30" t="n"/>
    </row>
    <row r="692" ht="18.5" customHeight="1">
      <c r="A692" s="8" t="inlineStr">
        <is>
          <t>9.16</t>
        </is>
      </c>
      <c r="B692" s="17" t="inlineStr">
        <is>
          <t>Providing and fixing 25 mm thick shutters for cup board etc. :</t>
        </is>
      </c>
      <c r="C692" s="9" t="n"/>
      <c r="D692" s="9" t="n"/>
      <c r="E692" s="9" t="n"/>
      <c r="F692" s="9" t="n"/>
      <c r="G692" s="9" t="n"/>
    </row>
    <row r="693" ht="18.5" customHeight="1">
      <c r="A693" s="8" t="inlineStr">
        <is>
          <t>9.16.1</t>
        </is>
      </c>
      <c r="B693" s="17" t="inlineStr">
        <is>
          <t>Panelled or panelled &amp; glazed shutters :</t>
        </is>
      </c>
      <c r="C693" s="9" t="n"/>
      <c r="D693" s="9" t="n"/>
      <c r="E693" s="9" t="n"/>
      <c r="F693" s="9" t="n"/>
      <c r="G693" s="9" t="n"/>
    </row>
    <row r="694" ht="18.5" customHeight="1">
      <c r="A694" s="18" t="inlineStr">
        <is>
          <t>9.16.1.2</t>
        </is>
      </c>
      <c r="B694" s="19" t="inlineStr">
        <is>
          <t>Second class teak wood including iSi marked nickel plated bright finished M.S. piano hinges with necessary screws</t>
        </is>
      </c>
      <c r="C694" s="20" t="n"/>
      <c r="D694" s="20" t="n"/>
      <c r="E694" s="20" t="n"/>
      <c r="F694" s="20" t="n"/>
      <c r="G694" s="20" t="n"/>
    </row>
    <row r="695">
      <c r="A695" s="21" t="inlineStr">
        <is>
          <t>Details of cost for 2.16 sqm   |   Source: CivilDAR_2019_Vol_1.pdf, page 460</t>
        </is>
      </c>
    </row>
    <row r="696">
      <c r="A696" s="5" t="inlineStr">
        <is>
          <t>Code</t>
        </is>
      </c>
      <c r="B696" s="5" t="inlineStr">
        <is>
          <t>Description</t>
        </is>
      </c>
      <c r="C696" s="5" t="inlineStr">
        <is>
          <t>Unit</t>
        </is>
      </c>
      <c r="D696" s="5" t="inlineStr">
        <is>
          <t>Quantity</t>
        </is>
      </c>
      <c r="E696" s="5" t="inlineStr">
        <is>
          <t>Rate (Rs.)</t>
        </is>
      </c>
      <c r="F696" s="5" t="inlineStr">
        <is>
          <t>Amount (Rs.)</t>
        </is>
      </c>
      <c r="G696" s="5" t="inlineStr">
        <is>
          <t>Note</t>
        </is>
      </c>
    </row>
    <row r="697">
      <c r="A697" s="22" t="inlineStr">
        <is>
          <t>1190</t>
        </is>
      </c>
      <c r="B697" s="11" t="inlineStr">
        <is>
          <t>Second class teak wood in planks</t>
        </is>
      </c>
      <c r="C697" s="22" t="inlineStr">
        <is>
          <t>10 cudm</t>
        </is>
      </c>
      <c r="D697" s="23" t="n">
        <v>4</v>
      </c>
      <c r="E697" s="24" t="n">
        <v>791</v>
      </c>
      <c r="F697" s="24">
        <f>D697*E697</f>
        <v/>
      </c>
      <c r="G697" s="22" t="n"/>
    </row>
    <row r="698">
      <c r="A698" s="22" t="inlineStr">
        <is>
          <t>2204</t>
        </is>
      </c>
      <c r="B698" s="11" t="inlineStr">
        <is>
          <t>Carriage of Timber</t>
        </is>
      </c>
      <c r="C698" s="22" t="inlineStr">
        <is>
          <t>cum</t>
        </is>
      </c>
      <c r="D698" s="23" t="n">
        <v>0.04</v>
      </c>
      <c r="E698" s="24" t="n">
        <v>118.59</v>
      </c>
      <c r="F698" s="24">
        <f>D698*E698</f>
        <v/>
      </c>
      <c r="G698" s="22" t="n"/>
    </row>
    <row r="699">
      <c r="A699" s="22" t="inlineStr">
        <is>
          <t>2406</t>
        </is>
      </c>
      <c r="B699" s="11" t="inlineStr">
        <is>
          <t>Float glass sheet of nominal thickness 4 mm (weight not less than 10kg/sqm).</t>
        </is>
      </c>
      <c r="C699" s="22" t="inlineStr">
        <is>
          <t>sqm</t>
        </is>
      </c>
      <c r="D699" s="23" t="n">
        <v>0.99</v>
      </c>
      <c r="E699" s="24" t="n">
        <v>300</v>
      </c>
      <c r="F699" s="24">
        <f>D699*E699</f>
        <v/>
      </c>
      <c r="G699" s="22" t="n"/>
    </row>
    <row r="700">
      <c r="A700" s="22" t="inlineStr">
        <is>
          <t>0608</t>
        </is>
      </c>
      <c r="B700" s="11" t="inlineStr">
        <is>
          <t>Nickel plated mild steel piono hinges 1 mm thick 25 mm wide</t>
        </is>
      </c>
      <c r="C700" s="22" t="inlineStr">
        <is>
          <t>metre</t>
        </is>
      </c>
      <c r="D700" s="23" t="n">
        <v>4</v>
      </c>
      <c r="E700" s="24" t="n">
        <v>39</v>
      </c>
      <c r="F700" s="24">
        <f>D700*E700</f>
        <v/>
      </c>
      <c r="G700" s="22" t="n"/>
    </row>
    <row r="701">
      <c r="A701" s="22" t="inlineStr">
        <is>
          <t>0586</t>
        </is>
      </c>
      <c r="B701" s="11" t="inlineStr">
        <is>
          <t>Chromium plated Brass screws 40 mm</t>
        </is>
      </c>
      <c r="C701" s="22" t="inlineStr">
        <is>
          <t>100 Nos</t>
        </is>
      </c>
      <c r="D701" s="23" t="n">
        <v>1.14</v>
      </c>
      <c r="E701" s="24" t="n">
        <v>290</v>
      </c>
      <c r="F701" s="24">
        <f>D701*E701</f>
        <v/>
      </c>
      <c r="G701" s="22" t="n"/>
    </row>
    <row r="702">
      <c r="A702" s="22" t="inlineStr">
        <is>
          <t>0111</t>
        </is>
      </c>
      <c r="B702" s="11" t="inlineStr">
        <is>
          <t>Carpenter 1st class</t>
        </is>
      </c>
      <c r="C702" s="22" t="inlineStr">
        <is>
          <t>day</t>
        </is>
      </c>
      <c r="D702" s="23" t="n">
        <v>2.4</v>
      </c>
      <c r="E702" s="24" t="n">
        <v>738</v>
      </c>
      <c r="F702" s="24">
        <f>D702*E702</f>
        <v/>
      </c>
      <c r="G702" s="22" t="n"/>
    </row>
    <row r="703">
      <c r="A703" s="22" t="inlineStr">
        <is>
          <t>0119</t>
        </is>
      </c>
      <c r="B703" s="11" t="inlineStr">
        <is>
          <t>Glazier</t>
        </is>
      </c>
      <c r="C703" s="22" t="inlineStr">
        <is>
          <t>day</t>
        </is>
      </c>
      <c r="D703" s="23" t="n">
        <v>0.18</v>
      </c>
      <c r="E703" s="24" t="n">
        <v>679</v>
      </c>
      <c r="F703" s="24">
        <f>D703*E703</f>
        <v/>
      </c>
      <c r="G703" s="22" t="n"/>
    </row>
    <row r="704">
      <c r="A704" s="22" t="inlineStr">
        <is>
          <t>0114</t>
        </is>
      </c>
      <c r="B704" s="11" t="inlineStr">
        <is>
          <t>Beldar</t>
        </is>
      </c>
      <c r="C704" s="22" t="inlineStr">
        <is>
          <t>day</t>
        </is>
      </c>
      <c r="D704" s="23" t="n">
        <v>0.77</v>
      </c>
      <c r="E704" s="24" t="n">
        <v>558</v>
      </c>
      <c r="F704" s="24">
        <f>D704*E704</f>
        <v/>
      </c>
      <c r="G704" s="22" t="n"/>
    </row>
    <row r="705">
      <c r="A705" s="22" t="inlineStr">
        <is>
          <t>9999</t>
        </is>
      </c>
      <c r="B705" s="11" t="inlineStr">
        <is>
          <t>Sundries</t>
        </is>
      </c>
      <c r="C705" s="22" t="inlineStr">
        <is>
          <t>L.S.</t>
        </is>
      </c>
      <c r="D705" s="23" t="n">
        <v>40.43</v>
      </c>
      <c r="E705" s="24" t="n">
        <v>2</v>
      </c>
      <c r="F705" s="24">
        <f>D705*E705</f>
        <v/>
      </c>
      <c r="G705" s="22" t="n"/>
    </row>
    <row r="706">
      <c r="A706" s="8" t="inlineStr">
        <is>
          <t>Calculated W - SUM of the Amount column above</t>
        </is>
      </c>
      <c r="B706" s="9" t="n"/>
      <c r="C706" s="9" t="n"/>
      <c r="D706" s="9" t="n"/>
      <c r="E706" s="9" t="n"/>
      <c r="F706" s="25">
        <f>SUM(F697:F705)</f>
        <v/>
      </c>
      <c r="G706" s="9" t="n"/>
    </row>
    <row r="707">
      <c r="A707" s="26" t="inlineStr">
        <is>
          <t>W as printed in the DAR</t>
        </is>
      </c>
      <c r="B707" s="22" t="n"/>
      <c r="C707" s="22" t="n"/>
      <c r="D707" s="22" t="n"/>
      <c r="E707" s="22" t="n"/>
      <c r="F707" s="27" t="n">
        <v>6356.28</v>
      </c>
      <c r="G707" s="22" t="n"/>
    </row>
    <row r="708">
      <c r="A708" s="26" t="inlineStr">
        <is>
          <t>Difference (calculated - printed)</t>
        </is>
      </c>
      <c r="B708" s="22" t="n"/>
      <c r="C708" s="22" t="n"/>
      <c r="D708" s="22" t="n"/>
      <c r="E708" s="22" t="n"/>
      <c r="F708" s="27">
        <f>F706-F707</f>
        <v/>
      </c>
      <c r="G708" s="22" t="n"/>
    </row>
    <row r="709">
      <c r="A709" s="29" t="inlineStr">
        <is>
          <t>SAY (Rs.) - final DAR rate as printed (fixed value, not computed)</t>
        </is>
      </c>
      <c r="B709" s="30" t="n"/>
      <c r="C709" s="30" t="n"/>
      <c r="D709" s="30" t="n"/>
      <c r="E709" s="30" t="n"/>
      <c r="F709" s="31" t="n">
        <v>3937.2</v>
      </c>
      <c r="G709" s="30" t="n"/>
    </row>
    <row r="711" ht="18.5" customHeight="1">
      <c r="A711" s="8" t="inlineStr">
        <is>
          <t>9.16</t>
        </is>
      </c>
      <c r="B711" s="17" t="inlineStr">
        <is>
          <t>Providing and fixing 25 mm thick shutters for cup board etc. :</t>
        </is>
      </c>
      <c r="C711" s="9" t="n"/>
      <c r="D711" s="9" t="n"/>
      <c r="E711" s="9" t="n"/>
      <c r="F711" s="9" t="n"/>
      <c r="G711" s="9" t="n"/>
    </row>
    <row r="712" ht="18.5" customHeight="1">
      <c r="A712" s="8" t="inlineStr">
        <is>
          <t>9.16.2</t>
        </is>
      </c>
      <c r="B712" s="17" t="inlineStr">
        <is>
          <t>Glazed shutters :</t>
        </is>
      </c>
      <c r="C712" s="9" t="n"/>
      <c r="D712" s="9" t="n"/>
      <c r="E712" s="9" t="n"/>
      <c r="F712" s="9" t="n"/>
      <c r="G712" s="9" t="n"/>
    </row>
    <row r="713" ht="18.5" customHeight="1">
      <c r="A713" s="18" t="inlineStr">
        <is>
          <t>9.16.2.1</t>
        </is>
      </c>
      <c r="B713" s="19" t="inlineStr">
        <is>
          <t>Second class teak wood including ISI marked anodized aluminium butt hinges with necessary screws</t>
        </is>
      </c>
      <c r="C713" s="20" t="n"/>
      <c r="D713" s="20" t="n"/>
      <c r="E713" s="20" t="n"/>
      <c r="F713" s="20" t="n"/>
      <c r="G713" s="20" t="n"/>
    </row>
    <row r="714">
      <c r="A714" s="21" t="inlineStr">
        <is>
          <t>Details of cost for 2.16 sqm   |   Source: CivilDAR_2019_Vol_1.pdf, page 461</t>
        </is>
      </c>
    </row>
    <row r="715">
      <c r="A715" s="5" t="inlineStr">
        <is>
          <t>Code</t>
        </is>
      </c>
      <c r="B715" s="5" t="inlineStr">
        <is>
          <t>Description</t>
        </is>
      </c>
      <c r="C715" s="5" t="inlineStr">
        <is>
          <t>Unit</t>
        </is>
      </c>
      <c r="D715" s="5" t="inlineStr">
        <is>
          <t>Quantity</t>
        </is>
      </c>
      <c r="E715" s="5" t="inlineStr">
        <is>
          <t>Rate (Rs.)</t>
        </is>
      </c>
      <c r="F715" s="5" t="inlineStr">
        <is>
          <t>Amount (Rs.)</t>
        </is>
      </c>
      <c r="G715" s="5" t="inlineStr">
        <is>
          <t>Note</t>
        </is>
      </c>
    </row>
    <row r="716">
      <c r="A716" s="22" t="inlineStr">
        <is>
          <t>1190</t>
        </is>
      </c>
      <c r="B716" s="11" t="inlineStr">
        <is>
          <t>Second class teak wood in planks</t>
        </is>
      </c>
      <c r="C716" s="22" t="inlineStr">
        <is>
          <t>10 cudm</t>
        </is>
      </c>
      <c r="D716" s="23" t="n">
        <v>4.3</v>
      </c>
      <c r="E716" s="24" t="n">
        <v>791</v>
      </c>
      <c r="F716" s="24">
        <f>D716*E716</f>
        <v/>
      </c>
      <c r="G716" s="22" t="n"/>
    </row>
    <row r="717">
      <c r="A717" s="22" t="inlineStr">
        <is>
          <t>2406</t>
        </is>
      </c>
      <c r="B717" s="11" t="inlineStr">
        <is>
          <t>Float glass sheet of nominal thickness 4 mm (weight not less than 10kg/sqm).</t>
        </is>
      </c>
      <c r="C717" s="22" t="inlineStr">
        <is>
          <t>sqm</t>
        </is>
      </c>
      <c r="D717" s="23" t="n">
        <v>1.27</v>
      </c>
      <c r="E717" s="24" t="n">
        <v>300</v>
      </c>
      <c r="F717" s="24">
        <f>D717*E717</f>
        <v/>
      </c>
      <c r="G717" s="22" t="n"/>
    </row>
    <row r="718">
      <c r="A718" s="22" t="inlineStr">
        <is>
          <t>0694</t>
        </is>
      </c>
      <c r="B718" s="11" t="inlineStr">
        <is>
          <t>Anodised Aluminium butt hinges 75x45x3.2 mm</t>
        </is>
      </c>
      <c r="C718" s="22" t="inlineStr">
        <is>
          <t>10 Nos</t>
        </is>
      </c>
      <c r="D718" s="23" t="n">
        <v>0.6</v>
      </c>
      <c r="E718" s="24" t="n">
        <v>196</v>
      </c>
      <c r="F718" s="24">
        <f>D718*E718</f>
        <v/>
      </c>
      <c r="G718" s="22" t="n"/>
    </row>
    <row r="719">
      <c r="A719" s="22" t="inlineStr">
        <is>
          <t>0639</t>
        </is>
      </c>
      <c r="B719" s="11" t="inlineStr">
        <is>
          <t>Bright finished or black enamelled mild steel screws 25 mm</t>
        </is>
      </c>
      <c r="C719" s="22" t="inlineStr">
        <is>
          <t>100 Nos</t>
        </is>
      </c>
      <c r="D719" s="23" t="n">
        <v>0.48</v>
      </c>
      <c r="E719" s="24" t="n">
        <v>36</v>
      </c>
      <c r="F719" s="24">
        <f>D719*E719</f>
        <v/>
      </c>
      <c r="G719" s="22" t="n"/>
    </row>
    <row r="720">
      <c r="A720" s="22" t="inlineStr">
        <is>
          <t>2204</t>
        </is>
      </c>
      <c r="B720" s="11" t="inlineStr">
        <is>
          <t>Carriage of Timber</t>
        </is>
      </c>
      <c r="C720" s="22" t="inlineStr">
        <is>
          <t>cum</t>
        </is>
      </c>
      <c r="D720" s="23" t="n">
        <v>0.043</v>
      </c>
      <c r="E720" s="24" t="n">
        <v>118.59</v>
      </c>
      <c r="F720" s="24">
        <f>D720*E720</f>
        <v/>
      </c>
      <c r="G720" s="22" t="n"/>
    </row>
    <row r="721">
      <c r="A721" s="22" t="inlineStr">
        <is>
          <t>0156</t>
        </is>
      </c>
      <c r="B721" s="11" t="inlineStr">
        <is>
          <t>Carpenter (average)</t>
        </is>
      </c>
      <c r="C721" s="22" t="inlineStr">
        <is>
          <t>day</t>
        </is>
      </c>
      <c r="D721" s="23" t="n">
        <v>1.83</v>
      </c>
      <c r="E721" s="24" t="n">
        <v>709</v>
      </c>
      <c r="F721" s="24">
        <f>D721*E721</f>
        <v/>
      </c>
      <c r="G721" s="22" t="n"/>
    </row>
    <row r="722">
      <c r="A722" s="22" t="inlineStr">
        <is>
          <t>0119</t>
        </is>
      </c>
      <c r="B722" s="11" t="inlineStr">
        <is>
          <t>Glazier</t>
        </is>
      </c>
      <c r="C722" s="22" t="inlineStr">
        <is>
          <t>day</t>
        </is>
      </c>
      <c r="D722" s="23" t="n">
        <v>0.23</v>
      </c>
      <c r="E722" s="24" t="n">
        <v>679</v>
      </c>
      <c r="F722" s="24">
        <f>D722*E722</f>
        <v/>
      </c>
      <c r="G722" s="22" t="n"/>
    </row>
    <row r="723">
      <c r="A723" s="22" t="inlineStr">
        <is>
          <t>0114</t>
        </is>
      </c>
      <c r="B723" s="11" t="inlineStr">
        <is>
          <t>Beldar</t>
        </is>
      </c>
      <c r="C723" s="22" t="inlineStr">
        <is>
          <t>day</t>
        </is>
      </c>
      <c r="D723" s="23" t="n">
        <v>0.77</v>
      </c>
      <c r="E723" s="24" t="n">
        <v>558</v>
      </c>
      <c r="F723" s="24">
        <f>D723*E723</f>
        <v/>
      </c>
      <c r="G723" s="22" t="n"/>
    </row>
    <row r="724">
      <c r="A724" s="22" t="inlineStr">
        <is>
          <t>9999</t>
        </is>
      </c>
      <c r="B724" s="11" t="inlineStr">
        <is>
          <t>Sundries</t>
        </is>
      </c>
      <c r="C724" s="22" t="inlineStr">
        <is>
          <t>L.S.</t>
        </is>
      </c>
      <c r="D724" s="23" t="n">
        <v>40.43</v>
      </c>
      <c r="E724" s="24" t="n">
        <v>2</v>
      </c>
      <c r="F724" s="24">
        <f>D724*E724</f>
        <v/>
      </c>
      <c r="G724" s="22" t="n"/>
    </row>
    <row r="725">
      <c r="A725" s="8" t="inlineStr">
        <is>
          <t>Calculated W - SUM of the Amount column above</t>
        </is>
      </c>
      <c r="B725" s="9" t="n"/>
      <c r="C725" s="9" t="n"/>
      <c r="D725" s="9" t="n"/>
      <c r="E725" s="9" t="n"/>
      <c r="F725" s="25">
        <f>SUM(F716:F724)</f>
        <v/>
      </c>
      <c r="G725" s="9" t="n"/>
    </row>
    <row r="726">
      <c r="A726" s="26" t="inlineStr">
        <is>
          <t>W as printed in the DAR</t>
        </is>
      </c>
      <c r="B726" s="22" t="n"/>
      <c r="C726" s="22" t="n"/>
      <c r="D726" s="22" t="n"/>
      <c r="E726" s="22" t="n"/>
      <c r="F726" s="27" t="n">
        <v>5886.44</v>
      </c>
      <c r="G726" s="22" t="n"/>
    </row>
    <row r="727">
      <c r="A727" s="26" t="inlineStr">
        <is>
          <t>Difference (calculated - printed)</t>
        </is>
      </c>
      <c r="B727" s="22" t="n"/>
      <c r="C727" s="22" t="n"/>
      <c r="D727" s="22" t="n"/>
      <c r="E727" s="22" t="n"/>
      <c r="F727" s="27">
        <f>F725-F726</f>
        <v/>
      </c>
      <c r="G727" s="22" t="n"/>
    </row>
    <row r="728">
      <c r="A728" s="29" t="inlineStr">
        <is>
          <t>SAY (Rs.) - final DAR rate as printed (fixed value, not computed)</t>
        </is>
      </c>
      <c r="B728" s="30" t="n"/>
      <c r="C728" s="30" t="n"/>
      <c r="D728" s="30" t="n"/>
      <c r="E728" s="30" t="n"/>
      <c r="F728" s="31" t="n">
        <v>3646.15</v>
      </c>
      <c r="G728" s="30" t="n"/>
    </row>
    <row r="730" ht="18.5" customHeight="1">
      <c r="A730" s="8" t="inlineStr">
        <is>
          <t>9.16</t>
        </is>
      </c>
      <c r="B730" s="17" t="inlineStr">
        <is>
          <t>Providing and fixing 25 mm thick shutters for cup board etc. :</t>
        </is>
      </c>
      <c r="C730" s="9" t="n"/>
      <c r="D730" s="9" t="n"/>
      <c r="E730" s="9" t="n"/>
      <c r="F730" s="9" t="n"/>
      <c r="G730" s="9" t="n"/>
    </row>
    <row r="731" ht="18.5" customHeight="1">
      <c r="A731" s="8" t="inlineStr">
        <is>
          <t>9.16.2</t>
        </is>
      </c>
      <c r="B731" s="17" t="inlineStr">
        <is>
          <t>Glazed shutters :</t>
        </is>
      </c>
      <c r="C731" s="9" t="n"/>
      <c r="D731" s="9" t="n"/>
      <c r="E731" s="9" t="n"/>
      <c r="F731" s="9" t="n"/>
      <c r="G731" s="9" t="n"/>
    </row>
    <row r="732" ht="18.5" customHeight="1">
      <c r="A732" s="18" t="inlineStr">
        <is>
          <t>9.16.2.2</t>
        </is>
      </c>
      <c r="B732" s="19" t="inlineStr">
        <is>
          <t>Second class teak wood including ISI marked nickel plated bright finished M.S. piano hinges with necessary screws</t>
        </is>
      </c>
      <c r="C732" s="20" t="n"/>
      <c r="D732" s="20" t="n"/>
      <c r="E732" s="20" t="n"/>
      <c r="F732" s="20" t="n"/>
      <c r="G732" s="20" t="n"/>
    </row>
    <row r="733">
      <c r="A733" s="21" t="inlineStr">
        <is>
          <t>Details of cost for 2.16 sqm   |   Source: CivilDAR_2019_Vol_1.pdf, page 462</t>
        </is>
      </c>
    </row>
    <row r="734">
      <c r="A734" s="5" t="inlineStr">
        <is>
          <t>Code</t>
        </is>
      </c>
      <c r="B734" s="5" t="inlineStr">
        <is>
          <t>Description</t>
        </is>
      </c>
      <c r="C734" s="5" t="inlineStr">
        <is>
          <t>Unit</t>
        </is>
      </c>
      <c r="D734" s="5" t="inlineStr">
        <is>
          <t>Quantity</t>
        </is>
      </c>
      <c r="E734" s="5" t="inlineStr">
        <is>
          <t>Rate (Rs.)</t>
        </is>
      </c>
      <c r="F734" s="5" t="inlineStr">
        <is>
          <t>Amount (Rs.)</t>
        </is>
      </c>
      <c r="G734" s="5" t="inlineStr">
        <is>
          <t>Note</t>
        </is>
      </c>
    </row>
    <row r="735">
      <c r="A735" s="22" t="inlineStr">
        <is>
          <t>1190</t>
        </is>
      </c>
      <c r="B735" s="11" t="inlineStr">
        <is>
          <t>Second class teak wood in planks</t>
        </is>
      </c>
      <c r="C735" s="22" t="inlineStr">
        <is>
          <t>10 cudm</t>
        </is>
      </c>
      <c r="D735" s="23" t="n">
        <v>4.3</v>
      </c>
      <c r="E735" s="24" t="n">
        <v>791</v>
      </c>
      <c r="F735" s="24">
        <f>D735*E735</f>
        <v/>
      </c>
      <c r="G735" s="22" t="n"/>
    </row>
    <row r="736">
      <c r="A736" s="22" t="inlineStr">
        <is>
          <t>2406</t>
        </is>
      </c>
      <c r="B736" s="11" t="inlineStr">
        <is>
          <t>Float glass sheet of nominal thickness 4 mm (weight not less than 10kg/sqm).</t>
        </is>
      </c>
      <c r="C736" s="22" t="inlineStr">
        <is>
          <t>sqm</t>
        </is>
      </c>
      <c r="D736" s="23" t="n">
        <v>1.27</v>
      </c>
      <c r="E736" s="24" t="n">
        <v>300</v>
      </c>
      <c r="F736" s="24">
        <f>D736*E736</f>
        <v/>
      </c>
      <c r="G736" s="22" t="n"/>
    </row>
    <row r="737">
      <c r="A737" s="22" t="inlineStr">
        <is>
          <t>0608</t>
        </is>
      </c>
      <c r="B737" s="11" t="inlineStr">
        <is>
          <t>Nickel plated mild steel piono hinges 1 mm thick 25 mm wide</t>
        </is>
      </c>
      <c r="C737" s="22" t="inlineStr">
        <is>
          <t>metre</t>
        </is>
      </c>
      <c r="D737" s="23" t="n">
        <v>4</v>
      </c>
      <c r="E737" s="24" t="n">
        <v>39</v>
      </c>
      <c r="F737" s="24">
        <f>D737*E737</f>
        <v/>
      </c>
      <c r="G737" s="22" t="n"/>
    </row>
    <row r="738">
      <c r="A738" s="22" t="inlineStr">
        <is>
          <t>0639</t>
        </is>
      </c>
      <c r="B738" s="11" t="inlineStr">
        <is>
          <t>Bright finished or black enamelled mild steel screws 25 mm</t>
        </is>
      </c>
      <c r="C738" s="22" t="inlineStr">
        <is>
          <t>100 Nos</t>
        </is>
      </c>
      <c r="D738" s="23" t="n">
        <v>1.14</v>
      </c>
      <c r="E738" s="24" t="n">
        <v>36</v>
      </c>
      <c r="F738" s="24">
        <f>D738*E738</f>
        <v/>
      </c>
      <c r="G738" s="22" t="n"/>
    </row>
    <row r="739">
      <c r="A739" s="22" t="inlineStr">
        <is>
          <t>2204</t>
        </is>
      </c>
      <c r="B739" s="11" t="inlineStr">
        <is>
          <t>Carriage of Timber</t>
        </is>
      </c>
      <c r="C739" s="22" t="inlineStr">
        <is>
          <t>cum</t>
        </is>
      </c>
      <c r="D739" s="23" t="n">
        <v>0.043</v>
      </c>
      <c r="E739" s="24" t="n">
        <v>118.59</v>
      </c>
      <c r="F739" s="24">
        <f>D739*E739</f>
        <v/>
      </c>
      <c r="G739" s="22" t="n"/>
    </row>
    <row r="740">
      <c r="A740" s="22" t="inlineStr">
        <is>
          <t>0156</t>
        </is>
      </c>
      <c r="B740" s="11" t="inlineStr">
        <is>
          <t>Carpenter (average)</t>
        </is>
      </c>
      <c r="C740" s="22" t="inlineStr">
        <is>
          <t>day</t>
        </is>
      </c>
      <c r="D740" s="23" t="n">
        <v>1.83</v>
      </c>
      <c r="E740" s="24" t="n">
        <v>709</v>
      </c>
      <c r="F740" s="24">
        <f>D740*E740</f>
        <v/>
      </c>
      <c r="G740" s="22" t="n"/>
    </row>
    <row r="741">
      <c r="A741" s="22" t="inlineStr">
        <is>
          <t>0119</t>
        </is>
      </c>
      <c r="B741" s="11" t="inlineStr">
        <is>
          <t>Glazier</t>
        </is>
      </c>
      <c r="C741" s="22" t="inlineStr">
        <is>
          <t>day</t>
        </is>
      </c>
      <c r="D741" s="23" t="n">
        <v>0.23</v>
      </c>
      <c r="E741" s="24" t="n">
        <v>679</v>
      </c>
      <c r="F741" s="24">
        <f>D741*E741</f>
        <v/>
      </c>
      <c r="G741" s="22" t="n"/>
    </row>
    <row r="742">
      <c r="A742" s="22" t="inlineStr">
        <is>
          <t>0114</t>
        </is>
      </c>
      <c r="B742" s="11" t="inlineStr">
        <is>
          <t>Beldar</t>
        </is>
      </c>
      <c r="C742" s="22" t="inlineStr">
        <is>
          <t>day</t>
        </is>
      </c>
      <c r="D742" s="23" t="n">
        <v>0.77</v>
      </c>
      <c r="E742" s="24" t="n">
        <v>558</v>
      </c>
      <c r="F742" s="24">
        <f>D742*E742</f>
        <v/>
      </c>
      <c r="G742" s="22" t="n"/>
    </row>
    <row r="743">
      <c r="A743" s="22" t="inlineStr">
        <is>
          <t>9999</t>
        </is>
      </c>
      <c r="B743" s="11" t="inlineStr">
        <is>
          <t>Sundries</t>
        </is>
      </c>
      <c r="C743" s="22" t="inlineStr">
        <is>
          <t>L.S.</t>
        </is>
      </c>
      <c r="D743" s="23" t="n">
        <v>40.43</v>
      </c>
      <c r="E743" s="24" t="n">
        <v>2</v>
      </c>
      <c r="F743" s="24">
        <f>D743*E743</f>
        <v/>
      </c>
      <c r="G743" s="22" t="n"/>
    </row>
    <row r="744">
      <c r="A744" s="8" t="inlineStr">
        <is>
          <t>Calculated W - SUM of the Amount column above</t>
        </is>
      </c>
      <c r="B744" s="9" t="n"/>
      <c r="C744" s="9" t="n"/>
      <c r="D744" s="9" t="n"/>
      <c r="E744" s="9" t="n"/>
      <c r="F744" s="25">
        <f>SUM(F735:F743)</f>
        <v/>
      </c>
      <c r="G744" s="9" t="n"/>
    </row>
    <row r="745">
      <c r="A745" s="26" t="inlineStr">
        <is>
          <t>W as printed in the DAR</t>
        </is>
      </c>
      <c r="B745" s="22" t="n"/>
      <c r="C745" s="22" t="n"/>
      <c r="D745" s="22" t="n"/>
      <c r="E745" s="22" t="n"/>
      <c r="F745" s="27" t="n">
        <v>5948.6</v>
      </c>
      <c r="G745" s="22" t="n"/>
    </row>
    <row r="746">
      <c r="A746" s="26" t="inlineStr">
        <is>
          <t>Difference (calculated - printed)</t>
        </is>
      </c>
      <c r="B746" s="22" t="n"/>
      <c r="C746" s="22" t="n"/>
      <c r="D746" s="22" t="n"/>
      <c r="E746" s="22" t="n"/>
      <c r="F746" s="27">
        <f>F744-F745</f>
        <v/>
      </c>
      <c r="G746" s="22" t="n"/>
    </row>
    <row r="747">
      <c r="A747" s="29" t="inlineStr">
        <is>
          <t>SAY (Rs.) - final DAR rate as printed (fixed value, not computed)</t>
        </is>
      </c>
      <c r="B747" s="30" t="n"/>
      <c r="C747" s="30" t="n"/>
      <c r="D747" s="30" t="n"/>
      <c r="E747" s="30" t="n"/>
      <c r="F747" s="31" t="n">
        <v>3684.65</v>
      </c>
      <c r="G747" s="30" t="n"/>
    </row>
    <row r="749" ht="47.5" customHeight="1">
      <c r="A749" s="8" t="inlineStr">
        <is>
          <t>9.17</t>
        </is>
      </c>
      <c r="B749" s="17" t="inlineStr">
        <is>
          <t>Providing and fixing flat pressed 3 layer particle board medium density exterior grade (Grade I) or graded wood particle board IS : 3087 marked, to frame, backing or studding with screws etc. complete (Frames, backing or studding to be paid separately):</t>
        </is>
      </c>
      <c r="C749" s="9" t="n"/>
      <c r="D749" s="9" t="n"/>
      <c r="E749" s="9" t="n"/>
      <c r="F749" s="9" t="n"/>
      <c r="G749" s="9" t="n"/>
    </row>
    <row r="750" ht="18.5" customHeight="1">
      <c r="A750" s="18" t="inlineStr">
        <is>
          <t>9.17.1</t>
        </is>
      </c>
      <c r="B750" s="19" t="inlineStr">
        <is>
          <t>12 mm thick</t>
        </is>
      </c>
      <c r="C750" s="20" t="n"/>
      <c r="D750" s="20" t="n"/>
      <c r="E750" s="20" t="n"/>
      <c r="F750" s="20" t="n"/>
      <c r="G750" s="20" t="n"/>
    </row>
    <row r="751">
      <c r="A751" s="21" t="inlineStr">
        <is>
          <t>Details of cost for 7 sqm   |   Source: CivilDAR_2019_Vol_1.pdf, page 463</t>
        </is>
      </c>
    </row>
    <row r="752">
      <c r="A752" s="5" t="inlineStr">
        <is>
          <t>Code</t>
        </is>
      </c>
      <c r="B752" s="5" t="inlineStr">
        <is>
          <t>Description</t>
        </is>
      </c>
      <c r="C752" s="5" t="inlineStr">
        <is>
          <t>Unit</t>
        </is>
      </c>
      <c r="D752" s="5" t="inlineStr">
        <is>
          <t>Quantity</t>
        </is>
      </c>
      <c r="E752" s="5" t="inlineStr">
        <is>
          <t>Rate (Rs.)</t>
        </is>
      </c>
      <c r="F752" s="5" t="inlineStr">
        <is>
          <t>Amount (Rs.)</t>
        </is>
      </c>
      <c r="G752" s="5" t="inlineStr">
        <is>
          <t>Note</t>
        </is>
      </c>
    </row>
    <row r="753">
      <c r="A753" s="22" t="inlineStr">
        <is>
          <t>0341</t>
        </is>
      </c>
      <c r="B753" s="11" t="inlineStr">
        <is>
          <t>Flat pressed 3 layer particle board (medium density) Grade I :12 mm thick</t>
        </is>
      </c>
      <c r="C753" s="22" t="inlineStr">
        <is>
          <t>sqm</t>
        </is>
      </c>
      <c r="D753" s="23" t="n">
        <v>7.35</v>
      </c>
      <c r="E753" s="24" t="n">
        <v>288</v>
      </c>
      <c r="F753" s="24">
        <f>D753*E753</f>
        <v/>
      </c>
      <c r="G753" s="22" t="n"/>
    </row>
    <row r="754">
      <c r="A754" s="22" t="inlineStr">
        <is>
          <t>9977</t>
        </is>
      </c>
      <c r="B754" s="11" t="inlineStr">
        <is>
          <t>Carriage of particle board</t>
        </is>
      </c>
      <c r="C754" s="22" t="inlineStr">
        <is>
          <t>L.S.</t>
        </is>
      </c>
      <c r="D754" s="23" t="n">
        <v>13.52</v>
      </c>
      <c r="E754" s="24" t="n">
        <v>2</v>
      </c>
      <c r="F754" s="24">
        <f>D754*E754</f>
        <v/>
      </c>
      <c r="G754" s="22" t="n"/>
    </row>
    <row r="755">
      <c r="A755" s="22" t="inlineStr">
        <is>
          <t>9999</t>
        </is>
      </c>
      <c r="B755" s="11" t="inlineStr">
        <is>
          <t>Sundries and screws</t>
        </is>
      </c>
      <c r="C755" s="22" t="inlineStr">
        <is>
          <t>L.S.</t>
        </is>
      </c>
      <c r="D755" s="23" t="n">
        <v>26.91</v>
      </c>
      <c r="E755" s="24" t="n">
        <v>2</v>
      </c>
      <c r="F755" s="24">
        <f>D755*E755</f>
        <v/>
      </c>
      <c r="G755" s="22" t="n"/>
    </row>
    <row r="756">
      <c r="A756" s="22" t="inlineStr">
        <is>
          <t>0112</t>
        </is>
      </c>
      <c r="B756" s="11" t="inlineStr">
        <is>
          <t>Carpenter 2nd class</t>
        </is>
      </c>
      <c r="C756" s="22" t="inlineStr">
        <is>
          <t>day</t>
        </is>
      </c>
      <c r="D756" s="23" t="n">
        <v>0.9</v>
      </c>
      <c r="E756" s="24" t="n">
        <v>679</v>
      </c>
      <c r="F756" s="24">
        <f>D756*E756</f>
        <v/>
      </c>
      <c r="G756" s="22" t="n"/>
    </row>
    <row r="757">
      <c r="A757" s="22" t="inlineStr">
        <is>
          <t>0114</t>
        </is>
      </c>
      <c r="B757" s="11" t="inlineStr">
        <is>
          <t>Beldar</t>
        </is>
      </c>
      <c r="C757" s="22" t="inlineStr">
        <is>
          <t>day</t>
        </is>
      </c>
      <c r="D757" s="23" t="n">
        <v>1</v>
      </c>
      <c r="E757" s="24" t="n">
        <v>558</v>
      </c>
      <c r="F757" s="24">
        <f>D757*E757</f>
        <v/>
      </c>
      <c r="G757" s="22" t="n"/>
    </row>
    <row r="758">
      <c r="A758" s="8" t="inlineStr">
        <is>
          <t>Calculated W - SUM of the Amount column above</t>
        </is>
      </c>
      <c r="B758" s="9" t="n"/>
      <c r="C758" s="9" t="n"/>
      <c r="D758" s="9" t="n"/>
      <c r="E758" s="9" t="n"/>
      <c r="F758" s="25">
        <f>SUM(F753:F757)</f>
        <v/>
      </c>
      <c r="G758" s="9" t="n"/>
    </row>
    <row r="759">
      <c r="A759" s="26" t="inlineStr">
        <is>
          <t>W as printed in the DAR</t>
        </is>
      </c>
      <c r="B759" s="22" t="n"/>
      <c r="C759" s="22" t="n"/>
      <c r="D759" s="22" t="n"/>
      <c r="E759" s="22" t="n"/>
      <c r="F759" s="27" t="n">
        <v>3366.76</v>
      </c>
      <c r="G759" s="22" t="n"/>
    </row>
    <row r="760">
      <c r="A760" s="26" t="inlineStr">
        <is>
          <t>Difference (calculated - printed)</t>
        </is>
      </c>
      <c r="B760" s="22" t="n"/>
      <c r="C760" s="22" t="n"/>
      <c r="D760" s="22" t="n"/>
      <c r="E760" s="22" t="n"/>
      <c r="F760" s="27">
        <f>F758-F759</f>
        <v/>
      </c>
      <c r="G760" s="22" t="n"/>
    </row>
    <row r="761">
      <c r="A761" s="29" t="inlineStr">
        <is>
          <t>SAY (Rs.) - final DAR rate as printed (fixed value, not computed)</t>
        </is>
      </c>
      <c r="B761" s="30" t="n"/>
      <c r="C761" s="30" t="n"/>
      <c r="D761" s="30" t="n"/>
      <c r="E761" s="30" t="n"/>
      <c r="F761" s="31" t="n">
        <v>643.5</v>
      </c>
      <c r="G761" s="30" t="n"/>
    </row>
    <row r="763" ht="47.5" customHeight="1">
      <c r="A763" s="8" t="inlineStr">
        <is>
          <t>9.17</t>
        </is>
      </c>
      <c r="B763" s="17" t="inlineStr">
        <is>
          <t>Providing and fixing flat pressed 3 layer particle board medium density exterior grade (Grade I) or graded wood particle board IS : 3087 marked, to frame, backing or studding with screws etc. complete (Frames, backing or studding to be paid separately):</t>
        </is>
      </c>
      <c r="C763" s="9" t="n"/>
      <c r="D763" s="9" t="n"/>
      <c r="E763" s="9" t="n"/>
      <c r="F763" s="9" t="n"/>
      <c r="G763" s="9" t="n"/>
    </row>
    <row r="764" ht="18.5" customHeight="1">
      <c r="A764" s="18" t="inlineStr">
        <is>
          <t>9.17.2</t>
        </is>
      </c>
      <c r="B764" s="19" t="inlineStr">
        <is>
          <t>18 mm thick</t>
        </is>
      </c>
      <c r="C764" s="20" t="n"/>
      <c r="D764" s="20" t="n"/>
      <c r="E764" s="20" t="n"/>
      <c r="F764" s="20" t="n"/>
      <c r="G764" s="20" t="n"/>
    </row>
    <row r="765">
      <c r="A765" s="21" t="inlineStr">
        <is>
          <t>Details of cost for 7 sqm   |   Source: CivilDAR_2019_Vol_1.pdf, page 463</t>
        </is>
      </c>
    </row>
    <row r="766">
      <c r="A766" s="5" t="inlineStr">
        <is>
          <t>Code</t>
        </is>
      </c>
      <c r="B766" s="5" t="inlineStr">
        <is>
          <t>Description</t>
        </is>
      </c>
      <c r="C766" s="5" t="inlineStr">
        <is>
          <t>Unit</t>
        </is>
      </c>
      <c r="D766" s="5" t="inlineStr">
        <is>
          <t>Quantity</t>
        </is>
      </c>
      <c r="E766" s="5" t="inlineStr">
        <is>
          <t>Rate (Rs.)</t>
        </is>
      </c>
      <c r="F766" s="5" t="inlineStr">
        <is>
          <t>Amount (Rs.)</t>
        </is>
      </c>
      <c r="G766" s="5" t="inlineStr">
        <is>
          <t>Note</t>
        </is>
      </c>
    </row>
    <row r="767">
      <c r="A767" s="22" t="inlineStr">
        <is>
          <t>7055</t>
        </is>
      </c>
      <c r="B767" s="11" t="inlineStr">
        <is>
          <t>Flat pressed 3 layer and graded particle board (medium density) Grade 1 conforming to IS : 3087 - 18 mm thick</t>
        </is>
      </c>
      <c r="C767" s="22" t="inlineStr">
        <is>
          <t>sqm</t>
        </is>
      </c>
      <c r="D767" s="23" t="n">
        <v>7.35</v>
      </c>
      <c r="E767" s="24" t="n">
        <v>480</v>
      </c>
      <c r="F767" s="24">
        <f>D767*E767</f>
        <v/>
      </c>
      <c r="G767" s="22" t="n"/>
    </row>
    <row r="768">
      <c r="A768" s="22" t="inlineStr">
        <is>
          <t>9977</t>
        </is>
      </c>
      <c r="B768" s="11" t="inlineStr">
        <is>
          <t>Carriage of particle board</t>
        </is>
      </c>
      <c r="C768" s="22" t="inlineStr">
        <is>
          <t>L.S.</t>
        </is>
      </c>
      <c r="D768" s="23" t="n">
        <v>19.76</v>
      </c>
      <c r="E768" s="24" t="n">
        <v>2</v>
      </c>
      <c r="F768" s="24">
        <f>D768*E768</f>
        <v/>
      </c>
      <c r="G768" s="22" t="n"/>
    </row>
    <row r="769">
      <c r="A769" s="22" t="inlineStr">
        <is>
          <t>9999</t>
        </is>
      </c>
      <c r="B769" s="11" t="inlineStr">
        <is>
          <t>Sundries and screws</t>
        </is>
      </c>
      <c r="C769" s="22" t="inlineStr">
        <is>
          <t>L.S.</t>
        </is>
      </c>
      <c r="D769" s="23" t="n">
        <v>26.91</v>
      </c>
      <c r="E769" s="24" t="n">
        <v>2</v>
      </c>
      <c r="F769" s="24">
        <f>D769*E769</f>
        <v/>
      </c>
      <c r="G769" s="22" t="n"/>
    </row>
    <row r="770">
      <c r="A770" s="22" t="inlineStr">
        <is>
          <t>0112</t>
        </is>
      </c>
      <c r="B770" s="11" t="inlineStr">
        <is>
          <t>Carpenter 2nd class</t>
        </is>
      </c>
      <c r="C770" s="22" t="inlineStr">
        <is>
          <t>day</t>
        </is>
      </c>
      <c r="D770" s="23" t="n">
        <v>0.9</v>
      </c>
      <c r="E770" s="24" t="n">
        <v>679</v>
      </c>
      <c r="F770" s="24">
        <f>D770*E770</f>
        <v/>
      </c>
      <c r="G770" s="22" t="n"/>
    </row>
    <row r="771">
      <c r="A771" s="22" t="inlineStr">
        <is>
          <t>0114</t>
        </is>
      </c>
      <c r="B771" s="11" t="inlineStr">
        <is>
          <t>Beldar</t>
        </is>
      </c>
      <c r="C771" s="22" t="inlineStr">
        <is>
          <t>day</t>
        </is>
      </c>
      <c r="D771" s="23" t="n">
        <v>1</v>
      </c>
      <c r="E771" s="24" t="n">
        <v>558</v>
      </c>
      <c r="F771" s="24">
        <f>D771*E771</f>
        <v/>
      </c>
      <c r="G771" s="22" t="n"/>
    </row>
    <row r="772">
      <c r="A772" s="8" t="inlineStr">
        <is>
          <t>Calculated W - SUM of the Amount column above</t>
        </is>
      </c>
      <c r="B772" s="9" t="n"/>
      <c r="C772" s="9" t="n"/>
      <c r="D772" s="9" t="n"/>
      <c r="E772" s="9" t="n"/>
      <c r="F772" s="25">
        <f>SUM(F767:F771)</f>
        <v/>
      </c>
      <c r="G772" s="9" t="n"/>
    </row>
    <row r="773">
      <c r="A773" s="26" t="inlineStr">
        <is>
          <t>W as printed in the DAR</t>
        </is>
      </c>
      <c r="B773" s="22" t="n"/>
      <c r="C773" s="22" t="n"/>
      <c r="D773" s="22" t="n"/>
      <c r="E773" s="22" t="n"/>
      <c r="F773" s="27" t="n">
        <v>4790.44</v>
      </c>
      <c r="G773" s="22" t="n"/>
    </row>
    <row r="774">
      <c r="A774" s="26" t="inlineStr">
        <is>
          <t>Difference (calculated - printed)</t>
        </is>
      </c>
      <c r="B774" s="22" t="n"/>
      <c r="C774" s="22" t="n"/>
      <c r="D774" s="22" t="n"/>
      <c r="E774" s="22" t="n"/>
      <c r="F774" s="27">
        <f>F772-F773</f>
        <v/>
      </c>
      <c r="G774" s="22" t="n"/>
    </row>
    <row r="775">
      <c r="A775" s="29" t="inlineStr">
        <is>
          <t>SAY (Rs.) - final DAR rate as printed (fixed value, not computed)</t>
        </is>
      </c>
      <c r="B775" s="30" t="n"/>
      <c r="C775" s="30" t="n"/>
      <c r="D775" s="30" t="n"/>
      <c r="E775" s="30" t="n"/>
      <c r="F775" s="31" t="n">
        <v>915.6</v>
      </c>
      <c r="G775" s="30" t="n"/>
    </row>
    <row r="777" ht="62" customHeight="1">
      <c r="A777" s="8" t="inlineStr">
        <is>
          <t>9.18</t>
        </is>
      </c>
      <c r="B777" s="17"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is>
      </c>
      <c r="C777" s="9" t="n"/>
      <c r="D777" s="9" t="n"/>
      <c r="E777" s="9" t="n"/>
      <c r="F777" s="9" t="n"/>
      <c r="G777" s="9" t="n"/>
    </row>
    <row r="778" ht="18.5" customHeight="1">
      <c r="A778" s="18" t="inlineStr">
        <is>
          <t>9.18.1</t>
        </is>
      </c>
      <c r="B778" s="19" t="inlineStr">
        <is>
          <t>18 mm thick</t>
        </is>
      </c>
      <c r="C778" s="20" t="n"/>
      <c r="D778" s="20" t="n"/>
      <c r="E778" s="20" t="n"/>
      <c r="F778" s="20" t="n"/>
      <c r="G778" s="20" t="n"/>
    </row>
    <row r="779">
      <c r="A779" s="21" t="inlineStr">
        <is>
          <t>Details of cost for 0.6 sqm   |   Source: CivilDAR_2019_Vol_1.pdf, page 464</t>
        </is>
      </c>
    </row>
    <row r="780">
      <c r="A780" s="5" t="inlineStr">
        <is>
          <t>Code</t>
        </is>
      </c>
      <c r="B780" s="5" t="inlineStr">
        <is>
          <t>Description</t>
        </is>
      </c>
      <c r="C780" s="5" t="inlineStr">
        <is>
          <t>Unit</t>
        </is>
      </c>
      <c r="D780" s="5" t="inlineStr">
        <is>
          <t>Quantity</t>
        </is>
      </c>
      <c r="E780" s="5" t="inlineStr">
        <is>
          <t>Rate (Rs.)</t>
        </is>
      </c>
      <c r="F780" s="5" t="inlineStr">
        <is>
          <t>Amount (Rs.)</t>
        </is>
      </c>
      <c r="G780" s="5" t="inlineStr">
        <is>
          <t>Note</t>
        </is>
      </c>
    </row>
    <row r="781">
      <c r="A781" s="22" t="inlineStr">
        <is>
          <t>7478</t>
        </is>
      </c>
      <c r="B781" s="11" t="inlineStr">
        <is>
          <t>Prelaminated particle board with one side decorative and other side balancing lamination, flat pressed 3 layer &amp; graded (medium density) Grade I, Type II conforming to IS : 12823 (exterior grade) 18 mm thick</t>
        </is>
      </c>
      <c r="C781" s="22" t="inlineStr">
        <is>
          <t>sqm</t>
        </is>
      </c>
      <c r="D781" s="23" t="n">
        <v>0.63</v>
      </c>
      <c r="E781" s="24" t="n">
        <v>650</v>
      </c>
      <c r="F781" s="24">
        <f>D781*E781</f>
        <v/>
      </c>
      <c r="G781" s="22" t="n"/>
    </row>
    <row r="782">
      <c r="A782" s="22" t="inlineStr">
        <is>
          <t>9977</t>
        </is>
      </c>
      <c r="B782" s="11" t="inlineStr">
        <is>
          <t>Carriage of board</t>
        </is>
      </c>
      <c r="C782" s="22" t="inlineStr">
        <is>
          <t>L.S.</t>
        </is>
      </c>
      <c r="D782" s="23" t="n">
        <v>0.91</v>
      </c>
      <c r="E782" s="24" t="n">
        <v>2</v>
      </c>
      <c r="F782" s="24">
        <f>D782*E782</f>
        <v/>
      </c>
      <c r="G782" s="22" t="n"/>
    </row>
    <row r="783">
      <c r="A783" s="22" t="inlineStr">
        <is>
          <t>0112</t>
        </is>
      </c>
      <c r="B783" s="11" t="inlineStr">
        <is>
          <t>Carpenter 2nd class</t>
        </is>
      </c>
      <c r="C783" s="22" t="inlineStr">
        <is>
          <t>day</t>
        </is>
      </c>
      <c r="D783" s="23" t="n">
        <v>0.11</v>
      </c>
      <c r="E783" s="24" t="n">
        <v>679</v>
      </c>
      <c r="F783" s="24">
        <f>D783*E783</f>
        <v/>
      </c>
      <c r="G783" s="22" t="n"/>
    </row>
    <row r="784">
      <c r="A784" s="22" t="inlineStr">
        <is>
          <t>0114</t>
        </is>
      </c>
      <c r="B784" s="11" t="inlineStr">
        <is>
          <t>Beldar</t>
        </is>
      </c>
      <c r="C784" s="22" t="inlineStr">
        <is>
          <t>day</t>
        </is>
      </c>
      <c r="D784" s="23" t="n">
        <v>0.06</v>
      </c>
      <c r="E784" s="24" t="n">
        <v>558</v>
      </c>
      <c r="F784" s="24">
        <f>D784*E784</f>
        <v/>
      </c>
      <c r="G784" s="22" t="n"/>
    </row>
    <row r="785">
      <c r="A785" s="22" t="inlineStr">
        <is>
          <t>9999</t>
        </is>
      </c>
      <c r="B785" s="11" t="inlineStr">
        <is>
          <t>Sundries, Painting edges &amp; Screws</t>
        </is>
      </c>
      <c r="C785" s="22" t="inlineStr">
        <is>
          <t>L.S.</t>
        </is>
      </c>
      <c r="D785" s="23" t="n">
        <v>7.8</v>
      </c>
      <c r="E785" s="24" t="n">
        <v>2</v>
      </c>
      <c r="F785" s="24">
        <f>D785*E785</f>
        <v/>
      </c>
      <c r="G785" s="22" t="n"/>
    </row>
    <row r="786">
      <c r="A786" s="8" t="inlineStr">
        <is>
          <t>Calculated W - SUM of the Amount column above</t>
        </is>
      </c>
      <c r="B786" s="9" t="n"/>
      <c r="C786" s="9" t="n"/>
      <c r="D786" s="9" t="n"/>
      <c r="E786" s="9" t="n"/>
      <c r="F786" s="25">
        <f>SUM(F781:F785)</f>
        <v/>
      </c>
      <c r="G786" s="9" t="n"/>
    </row>
    <row r="787">
      <c r="A787" s="26" t="inlineStr">
        <is>
          <t>W as printed in the DAR</t>
        </is>
      </c>
      <c r="B787" s="22" t="n"/>
      <c r="C787" s="22" t="n"/>
      <c r="D787" s="22" t="n"/>
      <c r="E787" s="22" t="n"/>
      <c r="F787" s="27" t="n">
        <v>535.09</v>
      </c>
      <c r="G787" s="22" t="n"/>
    </row>
    <row r="788">
      <c r="A788" s="26" t="inlineStr">
        <is>
          <t>Difference (calculated - printed)</t>
        </is>
      </c>
      <c r="B788" s="22" t="n"/>
      <c r="C788" s="22" t="n"/>
      <c r="D788" s="22" t="n"/>
      <c r="E788" s="22" t="n"/>
      <c r="F788" s="27">
        <f>F786-F787</f>
        <v/>
      </c>
      <c r="G788" s="22" t="n"/>
    </row>
    <row r="789">
      <c r="A789" s="29" t="inlineStr">
        <is>
          <t>SAY (Rs.) - final DAR rate as printed (fixed value, not computed)</t>
        </is>
      </c>
      <c r="B789" s="30" t="n"/>
      <c r="C789" s="30" t="n"/>
      <c r="D789" s="30" t="n"/>
      <c r="E789" s="30" t="n"/>
      <c r="F789" s="31" t="n">
        <v>1193.2</v>
      </c>
      <c r="G789" s="30" t="n"/>
    </row>
    <row r="791" ht="62" customHeight="1">
      <c r="A791" s="8" t="inlineStr">
        <is>
          <t>9.18</t>
        </is>
      </c>
      <c r="B791" s="17"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is>
      </c>
      <c r="C791" s="9" t="n"/>
      <c r="D791" s="9" t="n"/>
      <c r="E791" s="9" t="n"/>
      <c r="F791" s="9" t="n"/>
      <c r="G791" s="9" t="n"/>
    </row>
    <row r="792" ht="18.5" customHeight="1">
      <c r="A792" s="18" t="inlineStr">
        <is>
          <t>9.18.2</t>
        </is>
      </c>
      <c r="B792" s="19" t="inlineStr">
        <is>
          <t>25 mm thick</t>
        </is>
      </c>
      <c r="C792" s="20" t="n"/>
      <c r="D792" s="20" t="n"/>
      <c r="E792" s="20" t="n"/>
      <c r="F792" s="20" t="n"/>
      <c r="G792" s="20" t="n"/>
    </row>
    <row r="793">
      <c r="A793" s="21" t="inlineStr">
        <is>
          <t>Details of cost for 0.6 sqm   |   Source: CivilDAR_2019_Vol_1.pdf, page 465</t>
        </is>
      </c>
    </row>
    <row r="794">
      <c r="A794" s="5" t="inlineStr">
        <is>
          <t>Code</t>
        </is>
      </c>
      <c r="B794" s="5" t="inlineStr">
        <is>
          <t>Description</t>
        </is>
      </c>
      <c r="C794" s="5" t="inlineStr">
        <is>
          <t>Unit</t>
        </is>
      </c>
      <c r="D794" s="5" t="inlineStr">
        <is>
          <t>Quantity</t>
        </is>
      </c>
      <c r="E794" s="5" t="inlineStr">
        <is>
          <t>Rate (Rs.)</t>
        </is>
      </c>
      <c r="F794" s="5" t="inlineStr">
        <is>
          <t>Amount (Rs.)</t>
        </is>
      </c>
      <c r="G794" s="5" t="inlineStr">
        <is>
          <t>Note</t>
        </is>
      </c>
    </row>
    <row r="795">
      <c r="A795" s="22" t="inlineStr">
        <is>
          <t>7479</t>
        </is>
      </c>
      <c r="B795" s="11" t="inlineStr">
        <is>
          <t>Prelaminated particle board with one side decorative and other side balancing lamination, flat pressed 3 layer &amp; graded (medium density) Grade I, Type II conforming to IS : 12823 (exterior grade) 25 mm thick</t>
        </is>
      </c>
      <c r="C795" s="22" t="inlineStr">
        <is>
          <t>sqm</t>
        </is>
      </c>
      <c r="D795" s="23" t="n">
        <v>0.63</v>
      </c>
      <c r="E795" s="24" t="n">
        <v>900</v>
      </c>
      <c r="F795" s="24">
        <f>D795*E795</f>
        <v/>
      </c>
      <c r="G795" s="22" t="n"/>
    </row>
    <row r="796">
      <c r="A796" s="22" t="inlineStr">
        <is>
          <t>9977</t>
        </is>
      </c>
      <c r="B796" s="11" t="inlineStr">
        <is>
          <t>Carriage of board</t>
        </is>
      </c>
      <c r="C796" s="22" t="inlineStr">
        <is>
          <t>L.S.</t>
        </is>
      </c>
      <c r="D796" s="23" t="n">
        <v>1.82</v>
      </c>
      <c r="E796" s="24" t="n">
        <v>2</v>
      </c>
      <c r="F796" s="24">
        <f>D796*E796</f>
        <v/>
      </c>
      <c r="G796" s="22" t="n"/>
    </row>
    <row r="797">
      <c r="A797" s="22" t="inlineStr">
        <is>
          <t>0112</t>
        </is>
      </c>
      <c r="B797" s="11" t="inlineStr">
        <is>
          <t>Carpenter 2nd class</t>
        </is>
      </c>
      <c r="C797" s="22" t="inlineStr">
        <is>
          <t>day</t>
        </is>
      </c>
      <c r="D797" s="23" t="n">
        <v>0.11</v>
      </c>
      <c r="E797" s="24" t="n">
        <v>679</v>
      </c>
      <c r="F797" s="24">
        <f>D797*E797</f>
        <v/>
      </c>
      <c r="G797" s="22" t="n"/>
    </row>
    <row r="798">
      <c r="A798" s="22" t="inlineStr">
        <is>
          <t>0114</t>
        </is>
      </c>
      <c r="B798" s="11" t="inlineStr">
        <is>
          <t>Beldar</t>
        </is>
      </c>
      <c r="C798" s="22" t="inlineStr">
        <is>
          <t>day</t>
        </is>
      </c>
      <c r="D798" s="23" t="n">
        <v>0.06</v>
      </c>
      <c r="E798" s="24" t="n">
        <v>558</v>
      </c>
      <c r="F798" s="24">
        <f>D798*E798</f>
        <v/>
      </c>
      <c r="G798" s="22" t="n"/>
    </row>
    <row r="799">
      <c r="A799" s="22" t="inlineStr">
        <is>
          <t>9999</t>
        </is>
      </c>
      <c r="B799" s="11" t="inlineStr">
        <is>
          <t>Sundries, Painting edges &amp; Screws</t>
        </is>
      </c>
      <c r="C799" s="22" t="inlineStr">
        <is>
          <t>L.S.</t>
        </is>
      </c>
      <c r="D799" s="23" t="n">
        <v>7.8</v>
      </c>
      <c r="E799" s="24" t="n">
        <v>2</v>
      </c>
      <c r="F799" s="24">
        <f>D799*E799</f>
        <v/>
      </c>
      <c r="G799" s="22" t="n"/>
    </row>
    <row r="800">
      <c r="A800" s="8" t="inlineStr">
        <is>
          <t>Calculated W - SUM of the Amount column above</t>
        </is>
      </c>
      <c r="B800" s="9" t="n"/>
      <c r="C800" s="9" t="n"/>
      <c r="D800" s="9" t="n"/>
      <c r="E800" s="9" t="n"/>
      <c r="F800" s="25">
        <f>SUM(F795:F799)</f>
        <v/>
      </c>
      <c r="G800" s="9" t="n"/>
    </row>
    <row r="801">
      <c r="A801" s="26" t="inlineStr">
        <is>
          <t>W as printed in the DAR</t>
        </is>
      </c>
      <c r="B801" s="22" t="n"/>
      <c r="C801" s="22" t="n"/>
      <c r="D801" s="22" t="n"/>
      <c r="E801" s="22" t="n"/>
      <c r="F801" s="27" t="n">
        <v>694.41</v>
      </c>
      <c r="G801" s="22" t="n"/>
    </row>
    <row r="802">
      <c r="A802" s="26" t="inlineStr">
        <is>
          <t>Difference (calculated - printed)</t>
        </is>
      </c>
      <c r="B802" s="22" t="n"/>
      <c r="C802" s="22" t="n"/>
      <c r="D802" s="22" t="n"/>
      <c r="E802" s="22" t="n"/>
      <c r="F802" s="27">
        <f>F800-F801</f>
        <v/>
      </c>
      <c r="G802" s="22" t="n"/>
    </row>
    <row r="803">
      <c r="A803" s="29" t="inlineStr">
        <is>
          <t>SAY (Rs.) - final DAR rate as printed (fixed value, not computed)</t>
        </is>
      </c>
      <c r="B803" s="30" t="n"/>
      <c r="C803" s="30" t="n"/>
      <c r="D803" s="30" t="n"/>
      <c r="E803" s="30" t="n"/>
      <c r="F803" s="31" t="n">
        <v>1548.45</v>
      </c>
      <c r="G803" s="30" t="n"/>
    </row>
    <row r="805" ht="47.5" customHeight="1">
      <c r="A805" s="8" t="inlineStr">
        <is>
          <t>9.20</t>
        </is>
      </c>
      <c r="B805" s="17"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is>
      </c>
      <c r="C805" s="9" t="n"/>
      <c r="D805" s="9" t="n"/>
      <c r="E805" s="9" t="n"/>
      <c r="F805" s="9" t="n"/>
      <c r="G805" s="9" t="n"/>
    </row>
    <row r="806" ht="18.5" customHeight="1">
      <c r="A806" s="18" t="inlineStr">
        <is>
          <t>9.20.1</t>
        </is>
      </c>
      <c r="B806" s="19" t="inlineStr">
        <is>
          <t>35 mm thick including ISI marked Stainless Steel butt hinges with necessary screws</t>
        </is>
      </c>
      <c r="C806" s="20" t="n"/>
      <c r="D806" s="20" t="n"/>
      <c r="E806" s="20" t="n"/>
      <c r="F806" s="20" t="n"/>
      <c r="G806" s="20" t="n"/>
    </row>
    <row r="807">
      <c r="A807" s="21" t="inlineStr">
        <is>
          <t>Details of cost for 2.2 sqm   |   Source: CivilDAR_2019_Vol_1.pdf, page 466</t>
        </is>
      </c>
    </row>
    <row r="808">
      <c r="A808" s="5" t="inlineStr">
        <is>
          <t>Code</t>
        </is>
      </c>
      <c r="B808" s="5" t="inlineStr">
        <is>
          <t>Description</t>
        </is>
      </c>
      <c r="C808" s="5" t="inlineStr">
        <is>
          <t>Unit</t>
        </is>
      </c>
      <c r="D808" s="5" t="inlineStr">
        <is>
          <t>Quantity</t>
        </is>
      </c>
      <c r="E808" s="5" t="inlineStr">
        <is>
          <t>Rate (Rs.)</t>
        </is>
      </c>
      <c r="F808" s="5" t="inlineStr">
        <is>
          <t>Amount (Rs.)</t>
        </is>
      </c>
      <c r="G808" s="5" t="inlineStr">
        <is>
          <t>Note</t>
        </is>
      </c>
    </row>
    <row r="809">
      <c r="A809" s="22" t="inlineStr">
        <is>
          <t>0713</t>
        </is>
      </c>
      <c r="B809" s="11" t="inlineStr">
        <is>
          <t>Block board construction flush door with teak wood ply on both faces 35 mm thick</t>
        </is>
      </c>
      <c r="C809" s="22" t="inlineStr">
        <is>
          <t>sqm</t>
        </is>
      </c>
      <c r="D809" s="23" t="n">
        <v>2.2</v>
      </c>
      <c r="E809" s="24" t="n">
        <v>1800</v>
      </c>
      <c r="F809" s="24">
        <f>D809*E809</f>
        <v/>
      </c>
      <c r="G809" s="22" t="n"/>
    </row>
    <row r="810">
      <c r="A810" s="22" t="inlineStr">
        <is>
          <t>9977</t>
        </is>
      </c>
      <c r="B810" s="11" t="inlineStr">
        <is>
          <t>Carriage of door</t>
        </is>
      </c>
      <c r="C810" s="22" t="inlineStr">
        <is>
          <t>L.S.</t>
        </is>
      </c>
      <c r="D810" s="23" t="n">
        <v>29.64</v>
      </c>
      <c r="E810" s="24" t="n">
        <v>2</v>
      </c>
      <c r="F810" s="24">
        <f>D810*E810</f>
        <v/>
      </c>
      <c r="G810" s="22" t="n"/>
    </row>
    <row r="811">
      <c r="A811" s="22" t="inlineStr">
        <is>
          <t>8220</t>
        </is>
      </c>
      <c r="B811" s="11" t="inlineStr">
        <is>
          <t>Stainless steel butt hinges (heavy weight) 100x60x2.5 mm IS : 12817 marked</t>
        </is>
      </c>
      <c r="C811" s="22" t="inlineStr">
        <is>
          <t>10 Nos</t>
        </is>
      </c>
      <c r="D811" s="23" t="n">
        <v>0.6</v>
      </c>
      <c r="E811" s="24" t="n">
        <v>255</v>
      </c>
      <c r="F811" s="24">
        <f>D811*E811</f>
        <v/>
      </c>
      <c r="G811" s="22" t="n"/>
    </row>
    <row r="812">
      <c r="A812" s="22" t="inlineStr">
        <is>
          <t>8211</t>
        </is>
      </c>
      <c r="B812" s="11" t="inlineStr">
        <is>
          <t>Stainless steel screws 40 mm</t>
        </is>
      </c>
      <c r="C812" s="22" t="inlineStr">
        <is>
          <t>100 Nos</t>
        </is>
      </c>
      <c r="D812" s="23" t="n">
        <v>0.48</v>
      </c>
      <c r="E812" s="24" t="n">
        <v>215</v>
      </c>
      <c r="F812" s="24">
        <f>D812*E812</f>
        <v/>
      </c>
      <c r="G812" s="22" t="n"/>
    </row>
    <row r="813">
      <c r="A813" s="22" t="inlineStr">
        <is>
          <t>0156</t>
        </is>
      </c>
      <c r="B813" s="11" t="inlineStr">
        <is>
          <t>Carpenter (average)</t>
        </is>
      </c>
      <c r="C813" s="22" t="inlineStr">
        <is>
          <t>day</t>
        </is>
      </c>
      <c r="D813" s="23" t="n">
        <v>0.55</v>
      </c>
      <c r="E813" s="24" t="n">
        <v>709</v>
      </c>
      <c r="F813" s="24">
        <f>D813*E813</f>
        <v/>
      </c>
      <c r="G813" s="22" t="n"/>
    </row>
    <row r="814">
      <c r="A814" s="22" t="inlineStr">
        <is>
          <t>0114</t>
        </is>
      </c>
      <c r="B814" s="11" t="inlineStr">
        <is>
          <t>Beldar</t>
        </is>
      </c>
      <c r="C814" s="22" t="inlineStr">
        <is>
          <t>day</t>
        </is>
      </c>
      <c r="D814" s="23" t="n">
        <v>0.55</v>
      </c>
      <c r="E814" s="24" t="n">
        <v>558</v>
      </c>
      <c r="F814" s="24">
        <f>D814*E814</f>
        <v/>
      </c>
      <c r="G814" s="22" t="n"/>
    </row>
    <row r="815">
      <c r="A815" s="8" t="inlineStr">
        <is>
          <t>Calculated W - SUM of the Amount column above</t>
        </is>
      </c>
      <c r="B815" s="9" t="n"/>
      <c r="C815" s="9" t="n"/>
      <c r="D815" s="9" t="n"/>
      <c r="E815" s="9" t="n"/>
      <c r="F815" s="25">
        <f>SUM(F809:F814)</f>
        <v/>
      </c>
      <c r="G815" s="9" t="n"/>
    </row>
    <row r="816">
      <c r="A816" s="26" t="inlineStr">
        <is>
          <t>W as printed in the DAR</t>
        </is>
      </c>
      <c r="B816" s="22" t="n"/>
      <c r="C816" s="22" t="n"/>
      <c r="D816" s="22" t="n"/>
      <c r="E816" s="22" t="n"/>
      <c r="F816" s="27" t="n">
        <v>4972.33</v>
      </c>
      <c r="G816" s="22" t="n"/>
    </row>
    <row r="817">
      <c r="A817" s="26" t="inlineStr">
        <is>
          <t>Difference (calculated - printed)</t>
        </is>
      </c>
      <c r="B817" s="22" t="n"/>
      <c r="C817" s="22" t="n"/>
      <c r="D817" s="22" t="n"/>
      <c r="E817" s="22" t="n"/>
      <c r="F817" s="27">
        <f>F815-F816</f>
        <v/>
      </c>
      <c r="G817" s="22" t="n"/>
    </row>
    <row r="818">
      <c r="A818" s="29" t="inlineStr">
        <is>
          <t>SAY (Rs.) - final DAR rate as printed (fixed value, not computed)</t>
        </is>
      </c>
      <c r="B818" s="30" t="n"/>
      <c r="C818" s="30" t="n"/>
      <c r="D818" s="30" t="n"/>
      <c r="E818" s="30" t="n"/>
      <c r="F818" s="31" t="n">
        <v>3023.95</v>
      </c>
      <c r="G818" s="30" t="n"/>
    </row>
    <row r="820" ht="47.5" customHeight="1">
      <c r="A820" s="8" t="inlineStr">
        <is>
          <t>9.20</t>
        </is>
      </c>
      <c r="B820" s="17"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is>
      </c>
      <c r="C820" s="9" t="n"/>
      <c r="D820" s="9" t="n"/>
      <c r="E820" s="9" t="n"/>
      <c r="F820" s="9" t="n"/>
      <c r="G820" s="9" t="n"/>
    </row>
    <row r="821" ht="18.5" customHeight="1">
      <c r="A821" s="18" t="inlineStr">
        <is>
          <t>9.20.2</t>
        </is>
      </c>
      <c r="B821" s="19" t="inlineStr">
        <is>
          <t>30 mm thick including ISI marked Stainless Steel butt hinges with necessary screws</t>
        </is>
      </c>
      <c r="C821" s="20" t="n"/>
      <c r="D821" s="20" t="n"/>
      <c r="E821" s="20" t="n"/>
      <c r="F821" s="20" t="n"/>
      <c r="G821" s="20" t="n"/>
    </row>
    <row r="822">
      <c r="A822" s="21" t="inlineStr">
        <is>
          <t>Details of cost for 2.2 sqm   |   Source: CivilDAR_2019_Vol_1.pdf, page 466</t>
        </is>
      </c>
    </row>
    <row r="823">
      <c r="A823" s="5" t="inlineStr">
        <is>
          <t>Code</t>
        </is>
      </c>
      <c r="B823" s="5" t="inlineStr">
        <is>
          <t>Description</t>
        </is>
      </c>
      <c r="C823" s="5" t="inlineStr">
        <is>
          <t>Unit</t>
        </is>
      </c>
      <c r="D823" s="5" t="inlineStr">
        <is>
          <t>Quantity</t>
        </is>
      </c>
      <c r="E823" s="5" t="inlineStr">
        <is>
          <t>Rate (Rs.)</t>
        </is>
      </c>
      <c r="F823" s="5" t="inlineStr">
        <is>
          <t>Amount (Rs.)</t>
        </is>
      </c>
      <c r="G823" s="5" t="inlineStr">
        <is>
          <t>Note</t>
        </is>
      </c>
    </row>
    <row r="824">
      <c r="A824" s="22" t="inlineStr">
        <is>
          <t>0714</t>
        </is>
      </c>
      <c r="B824" s="11" t="inlineStr">
        <is>
          <t>Block board construction flush door with teak wood ply on both faces 30 mm thick</t>
        </is>
      </c>
      <c r="C824" s="22" t="inlineStr">
        <is>
          <t>sqm</t>
        </is>
      </c>
      <c r="D824" s="23" t="n">
        <v>2.2</v>
      </c>
      <c r="E824" s="24" t="n">
        <v>1600</v>
      </c>
      <c r="F824" s="24">
        <f>D824*E824</f>
        <v/>
      </c>
      <c r="G824" s="22" t="n"/>
    </row>
    <row r="825">
      <c r="A825" s="22" t="inlineStr">
        <is>
          <t>9977</t>
        </is>
      </c>
      <c r="B825" s="11" t="inlineStr">
        <is>
          <t>Carriage of door</t>
        </is>
      </c>
      <c r="C825" s="22" t="inlineStr">
        <is>
          <t>L.S.</t>
        </is>
      </c>
      <c r="D825" s="23" t="n">
        <v>29.64</v>
      </c>
      <c r="E825" s="24" t="n">
        <v>2</v>
      </c>
      <c r="F825" s="24">
        <f>D825*E825</f>
        <v/>
      </c>
      <c r="G825" s="22" t="n"/>
    </row>
    <row r="826">
      <c r="A826" s="22" t="inlineStr">
        <is>
          <t>8220</t>
        </is>
      </c>
      <c r="B826" s="11" t="inlineStr">
        <is>
          <t>Stainless steel butt hinges (heavy weight) 100x60x2.5 mm IS : 12817 marked</t>
        </is>
      </c>
      <c r="C826" s="22" t="inlineStr">
        <is>
          <t>10 Nos</t>
        </is>
      </c>
      <c r="D826" s="23" t="n">
        <v>0.6</v>
      </c>
      <c r="E826" s="24" t="n">
        <v>255</v>
      </c>
      <c r="F826" s="24">
        <f>D826*E826</f>
        <v/>
      </c>
      <c r="G826" s="22" t="n"/>
    </row>
    <row r="827">
      <c r="A827" s="22" t="inlineStr">
        <is>
          <t>8211</t>
        </is>
      </c>
      <c r="B827" s="11" t="inlineStr">
        <is>
          <t>Stainless steel screws 40 mm</t>
        </is>
      </c>
      <c r="C827" s="22" t="inlineStr">
        <is>
          <t>100 Nos</t>
        </is>
      </c>
      <c r="D827" s="23" t="n">
        <v>0.48</v>
      </c>
      <c r="E827" s="24" t="n">
        <v>215</v>
      </c>
      <c r="F827" s="24">
        <f>D827*E827</f>
        <v/>
      </c>
      <c r="G827" s="22" t="n"/>
    </row>
    <row r="828">
      <c r="A828" s="22" t="inlineStr">
        <is>
          <t>0156</t>
        </is>
      </c>
      <c r="B828" s="11" t="inlineStr">
        <is>
          <t>Carpenter (average)</t>
        </is>
      </c>
      <c r="C828" s="22" t="inlineStr">
        <is>
          <t>day</t>
        </is>
      </c>
      <c r="D828" s="23" t="n">
        <v>0.55</v>
      </c>
      <c r="E828" s="24" t="n">
        <v>709</v>
      </c>
      <c r="F828" s="24">
        <f>D828*E828</f>
        <v/>
      </c>
      <c r="G828" s="22" t="n"/>
    </row>
    <row r="829">
      <c r="A829" s="22" t="inlineStr">
        <is>
          <t>0114</t>
        </is>
      </c>
      <c r="B829" s="11" t="inlineStr">
        <is>
          <t>Beldar</t>
        </is>
      </c>
      <c r="C829" s="22" t="inlineStr">
        <is>
          <t>day</t>
        </is>
      </c>
      <c r="D829" s="23" t="n">
        <v>0.55</v>
      </c>
      <c r="E829" s="24" t="n">
        <v>558</v>
      </c>
      <c r="F829" s="24">
        <f>D829*E829</f>
        <v/>
      </c>
      <c r="G829" s="22" t="n"/>
    </row>
    <row r="830">
      <c r="A830" s="8" t="inlineStr">
        <is>
          <t>Calculated W - SUM of the Amount column above</t>
        </is>
      </c>
      <c r="B830" s="9" t="n"/>
      <c r="C830" s="9" t="n"/>
      <c r="D830" s="9" t="n"/>
      <c r="E830" s="9" t="n"/>
      <c r="F830" s="25">
        <f>SUM(F824:F829)</f>
        <v/>
      </c>
      <c r="G830" s="9" t="n"/>
    </row>
    <row r="831">
      <c r="A831" s="26" t="inlineStr">
        <is>
          <t>W as printed in the DAR</t>
        </is>
      </c>
      <c r="B831" s="22" t="n"/>
      <c r="C831" s="22" t="n"/>
      <c r="D831" s="22" t="n"/>
      <c r="E831" s="22" t="n"/>
      <c r="F831" s="27" t="n">
        <v>4532.33</v>
      </c>
      <c r="G831" s="22" t="n"/>
    </row>
    <row r="832">
      <c r="A832" s="26" t="inlineStr">
        <is>
          <t>Difference (calculated - printed)</t>
        </is>
      </c>
      <c r="B832" s="22" t="n"/>
      <c r="C832" s="22" t="n"/>
      <c r="D832" s="22" t="n"/>
      <c r="E832" s="22" t="n"/>
      <c r="F832" s="27">
        <f>F830-F831</f>
        <v/>
      </c>
      <c r="G832" s="22" t="n"/>
    </row>
    <row r="833">
      <c r="A833" s="29" t="inlineStr">
        <is>
          <t>SAY (Rs.) - final DAR rate as printed (fixed value, not computed)</t>
        </is>
      </c>
      <c r="B833" s="30" t="n"/>
      <c r="C833" s="30" t="n"/>
      <c r="D833" s="30" t="n"/>
      <c r="E833" s="30" t="n"/>
      <c r="F833" s="31" t="n">
        <v>2756.35</v>
      </c>
      <c r="G833" s="30" t="n"/>
    </row>
    <row r="835" ht="47.5" customHeight="1">
      <c r="A835" s="8" t="inlineStr">
        <is>
          <t>9.20</t>
        </is>
      </c>
      <c r="B835" s="17"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is>
      </c>
      <c r="C835" s="9" t="n"/>
      <c r="D835" s="9" t="n"/>
      <c r="E835" s="9" t="n"/>
      <c r="F835" s="9" t="n"/>
      <c r="G835" s="9" t="n"/>
    </row>
    <row r="836" ht="33" customHeight="1">
      <c r="A836" s="18" t="inlineStr">
        <is>
          <t>9.20.3</t>
        </is>
      </c>
      <c r="B836" s="19" t="inlineStr">
        <is>
          <t>25 mm thick (for cupboard) including ISI marked nickel plated bright finished M.S. Piano hinges IS : 3818 marked with necessary screws</t>
        </is>
      </c>
      <c r="C836" s="20" t="n"/>
      <c r="D836" s="20" t="n"/>
      <c r="E836" s="20" t="n"/>
      <c r="F836" s="20" t="n"/>
      <c r="G836" s="20" t="n"/>
    </row>
    <row r="837">
      <c r="A837" s="21" t="inlineStr">
        <is>
          <t>Details of cost for 2.2 sqm   |   Source: CivilDAR_2019_Vol_1.pdf, page 467</t>
        </is>
      </c>
    </row>
    <row r="838">
      <c r="A838" s="5" t="inlineStr">
        <is>
          <t>Code</t>
        </is>
      </c>
      <c r="B838" s="5" t="inlineStr">
        <is>
          <t>Description</t>
        </is>
      </c>
      <c r="C838" s="5" t="inlineStr">
        <is>
          <t>Unit</t>
        </is>
      </c>
      <c r="D838" s="5" t="inlineStr">
        <is>
          <t>Quantity</t>
        </is>
      </c>
      <c r="E838" s="5" t="inlineStr">
        <is>
          <t>Rate (Rs.)</t>
        </is>
      </c>
      <c r="F838" s="5" t="inlineStr">
        <is>
          <t>Amount (Rs.)</t>
        </is>
      </c>
      <c r="G838" s="5" t="inlineStr">
        <is>
          <t>Note</t>
        </is>
      </c>
    </row>
    <row r="839">
      <c r="A839" s="22" t="inlineStr">
        <is>
          <t>0715</t>
        </is>
      </c>
      <c r="B839" s="11" t="inlineStr">
        <is>
          <t>Block board construction flush door with teak wood ply on both faces 25 mm thick</t>
        </is>
      </c>
      <c r="C839" s="22" t="inlineStr">
        <is>
          <t>sqm</t>
        </is>
      </c>
      <c r="D839" s="23" t="n">
        <v>2.2</v>
      </c>
      <c r="E839" s="24" t="n">
        <v>1400</v>
      </c>
      <c r="F839" s="24">
        <f>D839*E839</f>
        <v/>
      </c>
      <c r="G839" s="22" t="n"/>
    </row>
    <row r="840">
      <c r="A840" s="22" t="inlineStr">
        <is>
          <t>9977</t>
        </is>
      </c>
      <c r="B840" s="11" t="inlineStr">
        <is>
          <t>Carriage of door</t>
        </is>
      </c>
      <c r="C840" s="22" t="inlineStr">
        <is>
          <t>L.S.</t>
        </is>
      </c>
      <c r="D840" s="23" t="n">
        <v>29.64</v>
      </c>
      <c r="E840" s="24" t="n">
        <v>2</v>
      </c>
      <c r="F840" s="24">
        <f>D840*E840</f>
        <v/>
      </c>
      <c r="G840" s="22" t="n"/>
    </row>
    <row r="841">
      <c r="A841" s="22" t="inlineStr">
        <is>
          <t>0608</t>
        </is>
      </c>
      <c r="B841" s="11" t="inlineStr">
        <is>
          <t>Nickel plated mild steel piono hinges 1 mm thick 25 mm wide</t>
        </is>
      </c>
      <c r="C841" s="22" t="inlineStr">
        <is>
          <t>metre</t>
        </is>
      </c>
      <c r="D841" s="23" t="n">
        <v>4.4</v>
      </c>
      <c r="E841" s="24" t="n">
        <v>39</v>
      </c>
      <c r="F841" s="24">
        <f>D841*E841</f>
        <v/>
      </c>
      <c r="G841" s="22" t="n"/>
    </row>
    <row r="842">
      <c r="A842" s="22" t="inlineStr">
        <is>
          <t>0639</t>
        </is>
      </c>
      <c r="B842" s="11" t="inlineStr">
        <is>
          <t>Bright finished or black enamelled mild steel screws 25 mm</t>
        </is>
      </c>
      <c r="C842" s="22" t="inlineStr">
        <is>
          <t>100 Nos</t>
        </is>
      </c>
      <c r="D842" s="23" t="n">
        <v>1.25</v>
      </c>
      <c r="E842" s="24" t="n">
        <v>36</v>
      </c>
      <c r="F842" s="24">
        <f>D842*E842</f>
        <v/>
      </c>
      <c r="G842" s="22" t="n"/>
    </row>
    <row r="843">
      <c r="A843" s="22" t="inlineStr">
        <is>
          <t>0156</t>
        </is>
      </c>
      <c r="B843" s="11" t="inlineStr">
        <is>
          <t>Carpenter (average)</t>
        </is>
      </c>
      <c r="C843" s="22" t="inlineStr">
        <is>
          <t>day</t>
        </is>
      </c>
      <c r="D843" s="23" t="n">
        <v>0.55</v>
      </c>
      <c r="E843" s="24" t="n">
        <v>709</v>
      </c>
      <c r="F843" s="24">
        <f>D843*E843</f>
        <v/>
      </c>
      <c r="G843" s="22" t="n"/>
    </row>
    <row r="844">
      <c r="A844" s="22" t="inlineStr">
        <is>
          <t>0114</t>
        </is>
      </c>
      <c r="B844" s="11" t="inlineStr">
        <is>
          <t>Beldar</t>
        </is>
      </c>
      <c r="C844" s="22" t="inlineStr">
        <is>
          <t>day</t>
        </is>
      </c>
      <c r="D844" s="23" t="n">
        <v>0.55</v>
      </c>
      <c r="E844" s="24" t="n">
        <v>558</v>
      </c>
      <c r="F844" s="24">
        <f>D844*E844</f>
        <v/>
      </c>
      <c r="G844" s="22" t="n"/>
    </row>
    <row r="845">
      <c r="A845" s="8" t="inlineStr">
        <is>
          <t>Calculated W - SUM of the Amount column above</t>
        </is>
      </c>
      <c r="B845" s="9" t="n"/>
      <c r="C845" s="9" t="n"/>
      <c r="D845" s="9" t="n"/>
      <c r="E845" s="9" t="n"/>
      <c r="F845" s="25">
        <f>SUM(F839:F844)</f>
        <v/>
      </c>
      <c r="G845" s="9" t="n"/>
    </row>
    <row r="846">
      <c r="A846" s="26" t="inlineStr">
        <is>
          <t>W as printed in the DAR</t>
        </is>
      </c>
      <c r="B846" s="22" t="n"/>
      <c r="C846" s="22" t="n"/>
      <c r="D846" s="22" t="n"/>
      <c r="E846" s="22" t="n"/>
      <c r="F846" s="27" t="n">
        <v>4052.73</v>
      </c>
      <c r="G846" s="22" t="n"/>
    </row>
    <row r="847">
      <c r="A847" s="26" t="inlineStr">
        <is>
          <t>Difference (calculated - printed)</t>
        </is>
      </c>
      <c r="B847" s="22" t="n"/>
      <c r="C847" s="22" t="n"/>
      <c r="D847" s="22" t="n"/>
      <c r="E847" s="22" t="n"/>
      <c r="F847" s="27">
        <f>F845-F846</f>
        <v/>
      </c>
      <c r="G847" s="22" t="n"/>
    </row>
    <row r="848">
      <c r="A848" s="29" t="inlineStr">
        <is>
          <t>SAY (Rs.) - final DAR rate as printed (fixed value, not computed)</t>
        </is>
      </c>
      <c r="B848" s="30" t="n"/>
      <c r="C848" s="30" t="n"/>
      <c r="D848" s="30" t="n"/>
      <c r="E848" s="30" t="n"/>
      <c r="F848" s="31" t="n">
        <v>2464.7</v>
      </c>
      <c r="G848" s="30" t="n"/>
    </row>
    <row r="850" ht="47.5" customHeight="1">
      <c r="A850" s="8" t="inlineStr">
        <is>
          <t>9.21</t>
        </is>
      </c>
      <c r="B850" s="17"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is>
      </c>
      <c r="C850" s="9" t="n"/>
      <c r="D850" s="9" t="n"/>
      <c r="E850" s="9" t="n"/>
      <c r="F850" s="9" t="n"/>
      <c r="G850" s="9" t="n"/>
    </row>
    <row r="851" ht="18.5" customHeight="1">
      <c r="A851" s="18" t="inlineStr">
        <is>
          <t>9.21.1</t>
        </is>
      </c>
      <c r="B851" s="19" t="inlineStr">
        <is>
          <t>35 mm thick including ISI marked Stainless Steel butt hinges with necessary screws</t>
        </is>
      </c>
      <c r="C851" s="20" t="n"/>
      <c r="D851" s="20" t="n"/>
      <c r="E851" s="20" t="n"/>
      <c r="F851" s="20" t="n"/>
      <c r="G851" s="20" t="n"/>
    </row>
    <row r="852">
      <c r="A852" s="21" t="inlineStr">
        <is>
          <t>Details of cost for 2.2 sqm   |   Source: CivilDAR_2019_Vol_1.pdf, page 468</t>
        </is>
      </c>
    </row>
    <row r="853">
      <c r="A853" s="5" t="inlineStr">
        <is>
          <t>Code</t>
        </is>
      </c>
      <c r="B853" s="5" t="inlineStr">
        <is>
          <t>Description</t>
        </is>
      </c>
      <c r="C853" s="5" t="inlineStr">
        <is>
          <t>Unit</t>
        </is>
      </c>
      <c r="D853" s="5" t="inlineStr">
        <is>
          <t>Quantity</t>
        </is>
      </c>
      <c r="E853" s="5" t="inlineStr">
        <is>
          <t>Rate (Rs.)</t>
        </is>
      </c>
      <c r="F853" s="5" t="inlineStr">
        <is>
          <t>Amount (Rs.)</t>
        </is>
      </c>
      <c r="G853" s="5" t="inlineStr">
        <is>
          <t>Note</t>
        </is>
      </c>
    </row>
    <row r="854">
      <c r="A854" s="22" t="inlineStr">
        <is>
          <t>0717</t>
        </is>
      </c>
      <c r="B854" s="11" t="inlineStr">
        <is>
          <t>Block board construction flush door with commercial ply on both faces 35 mm thick</t>
        </is>
      </c>
      <c r="C854" s="22" t="inlineStr">
        <is>
          <t>sqm</t>
        </is>
      </c>
      <c r="D854" s="23" t="n">
        <v>2.2</v>
      </c>
      <c r="E854" s="24" t="n">
        <v>950</v>
      </c>
      <c r="F854" s="24">
        <f>D854*E854</f>
        <v/>
      </c>
      <c r="G854" s="22" t="n"/>
    </row>
    <row r="855">
      <c r="A855" s="22" t="inlineStr">
        <is>
          <t>9977</t>
        </is>
      </c>
      <c r="B855" s="11" t="inlineStr">
        <is>
          <t>Carriage of door</t>
        </is>
      </c>
      <c r="C855" s="22" t="inlineStr">
        <is>
          <t>L.S.</t>
        </is>
      </c>
      <c r="D855" s="23" t="n">
        <v>29.64</v>
      </c>
      <c r="E855" s="24" t="n">
        <v>2</v>
      </c>
      <c r="F855" s="24">
        <f>D855*E855</f>
        <v/>
      </c>
      <c r="G855" s="22" t="n"/>
    </row>
    <row r="856">
      <c r="A856" s="22" t="inlineStr">
        <is>
          <t>8220</t>
        </is>
      </c>
      <c r="B856" s="11" t="inlineStr">
        <is>
          <t>Stainless steel butt hinges (heavy weight) 100x60x2.5 mm IS : 12817 marked</t>
        </is>
      </c>
      <c r="C856" s="22" t="inlineStr">
        <is>
          <t>10 Nos</t>
        </is>
      </c>
      <c r="D856" s="23" t="n">
        <v>0.6</v>
      </c>
      <c r="E856" s="24" t="n">
        <v>255</v>
      </c>
      <c r="F856" s="24">
        <f>D856*E856</f>
        <v/>
      </c>
      <c r="G856" s="22" t="n"/>
    </row>
    <row r="857">
      <c r="A857" s="22" t="inlineStr">
        <is>
          <t>8211</t>
        </is>
      </c>
      <c r="B857" s="11" t="inlineStr">
        <is>
          <t>Stainless steel screws 40 mm</t>
        </is>
      </c>
      <c r="C857" s="22" t="inlineStr">
        <is>
          <t>100 Nos</t>
        </is>
      </c>
      <c r="D857" s="23" t="n">
        <v>0.48</v>
      </c>
      <c r="E857" s="24" t="n">
        <v>215</v>
      </c>
      <c r="F857" s="24">
        <f>D857*E857</f>
        <v/>
      </c>
      <c r="G857" s="22" t="n"/>
    </row>
    <row r="858">
      <c r="A858" s="22" t="inlineStr">
        <is>
          <t>0156</t>
        </is>
      </c>
      <c r="B858" s="11" t="inlineStr">
        <is>
          <t>Carpenter (average)</t>
        </is>
      </c>
      <c r="C858" s="22" t="inlineStr">
        <is>
          <t>day</t>
        </is>
      </c>
      <c r="D858" s="23" t="n">
        <v>0.55</v>
      </c>
      <c r="E858" s="24" t="n">
        <v>709</v>
      </c>
      <c r="F858" s="24">
        <f>D858*E858</f>
        <v/>
      </c>
      <c r="G858" s="22" t="n"/>
    </row>
    <row r="859">
      <c r="A859" s="22" t="inlineStr">
        <is>
          <t>0114</t>
        </is>
      </c>
      <c r="B859" s="11" t="inlineStr">
        <is>
          <t>Beldar</t>
        </is>
      </c>
      <c r="C859" s="22" t="inlineStr">
        <is>
          <t>day</t>
        </is>
      </c>
      <c r="D859" s="23" t="n">
        <v>0.55</v>
      </c>
      <c r="E859" s="24" t="n">
        <v>558</v>
      </c>
      <c r="F859" s="24">
        <f>D859*E859</f>
        <v/>
      </c>
      <c r="G859" s="22" t="n"/>
    </row>
    <row r="860">
      <c r="A860" s="8" t="inlineStr">
        <is>
          <t>Calculated W - SUM of the Amount column above</t>
        </is>
      </c>
      <c r="B860" s="9" t="n"/>
      <c r="C860" s="9" t="n"/>
      <c r="D860" s="9" t="n"/>
      <c r="E860" s="9" t="n"/>
      <c r="F860" s="25">
        <f>SUM(F854:F859)</f>
        <v/>
      </c>
      <c r="G860" s="9" t="n"/>
    </row>
    <row r="861">
      <c r="A861" s="26" t="inlineStr">
        <is>
          <t>W as printed in the DAR</t>
        </is>
      </c>
      <c r="B861" s="22" t="n"/>
      <c r="C861" s="22" t="n"/>
      <c r="D861" s="22" t="n"/>
      <c r="E861" s="22" t="n"/>
      <c r="F861" s="27" t="n">
        <v>3102.33</v>
      </c>
      <c r="G861" s="22" t="n"/>
    </row>
    <row r="862">
      <c r="A862" s="26" t="inlineStr">
        <is>
          <t>Difference (calculated - printed)</t>
        </is>
      </c>
      <c r="B862" s="22" t="n"/>
      <c r="C862" s="22" t="n"/>
      <c r="D862" s="22" t="n"/>
      <c r="E862" s="22" t="n"/>
      <c r="F862" s="27">
        <f>F860-F861</f>
        <v/>
      </c>
      <c r="G862" s="22" t="n"/>
    </row>
    <row r="863">
      <c r="A863" s="29" t="inlineStr">
        <is>
          <t>SAY (Rs.) - final DAR rate as printed (fixed value, not computed)</t>
        </is>
      </c>
      <c r="B863" s="30" t="n"/>
      <c r="C863" s="30" t="n"/>
      <c r="D863" s="30" t="n"/>
      <c r="E863" s="30" t="n"/>
      <c r="F863" s="31" t="n">
        <v>1886.7</v>
      </c>
      <c r="G863" s="30" t="n"/>
    </row>
    <row r="865" ht="47.5" customHeight="1">
      <c r="A865" s="8" t="inlineStr">
        <is>
          <t>9.21</t>
        </is>
      </c>
      <c r="B865" s="17"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is>
      </c>
      <c r="C865" s="9" t="n"/>
      <c r="D865" s="9" t="n"/>
      <c r="E865" s="9" t="n"/>
      <c r="F865" s="9" t="n"/>
      <c r="G865" s="9" t="n"/>
    </row>
    <row r="866" ht="18.5" customHeight="1">
      <c r="A866" s="18" t="inlineStr">
        <is>
          <t>9.21.2</t>
        </is>
      </c>
      <c r="B866" s="19" t="inlineStr">
        <is>
          <t>30 mm thick including ISI marked Stainless Steel butt hinges with necessary screws</t>
        </is>
      </c>
      <c r="C866" s="20" t="n"/>
      <c r="D866" s="20" t="n"/>
      <c r="E866" s="20" t="n"/>
      <c r="F866" s="20" t="n"/>
      <c r="G866" s="20" t="n"/>
    </row>
    <row r="867">
      <c r="A867" s="21" t="inlineStr">
        <is>
          <t>Details of cost for 2.2 sqm   |   Source: CivilDAR_2019_Vol_1.pdf, page 468</t>
        </is>
      </c>
    </row>
    <row r="868">
      <c r="A868" s="5" t="inlineStr">
        <is>
          <t>Code</t>
        </is>
      </c>
      <c r="B868" s="5" t="inlineStr">
        <is>
          <t>Description</t>
        </is>
      </c>
      <c r="C868" s="5" t="inlineStr">
        <is>
          <t>Unit</t>
        </is>
      </c>
      <c r="D868" s="5" t="inlineStr">
        <is>
          <t>Quantity</t>
        </is>
      </c>
      <c r="E868" s="5" t="inlineStr">
        <is>
          <t>Rate (Rs.)</t>
        </is>
      </c>
      <c r="F868" s="5" t="inlineStr">
        <is>
          <t>Amount (Rs.)</t>
        </is>
      </c>
      <c r="G868" s="5" t="inlineStr">
        <is>
          <t>Note</t>
        </is>
      </c>
    </row>
    <row r="869">
      <c r="A869" s="22" t="inlineStr">
        <is>
          <t>0718</t>
        </is>
      </c>
      <c r="B869" s="11" t="inlineStr">
        <is>
          <t>Block board construction flush door with commercial ply on both faces 30 mm thick</t>
        </is>
      </c>
      <c r="C869" s="22" t="inlineStr">
        <is>
          <t>sqm</t>
        </is>
      </c>
      <c r="D869" s="23" t="n">
        <v>2.2</v>
      </c>
      <c r="E869" s="24" t="n">
        <v>900</v>
      </c>
      <c r="F869" s="24">
        <f>D869*E869</f>
        <v/>
      </c>
      <c r="G869" s="22" t="n"/>
    </row>
    <row r="870">
      <c r="A870" s="22" t="inlineStr">
        <is>
          <t>9977</t>
        </is>
      </c>
      <c r="B870" s="11" t="inlineStr">
        <is>
          <t>Carriage of door</t>
        </is>
      </c>
      <c r="C870" s="22" t="inlineStr">
        <is>
          <t>L.S.</t>
        </is>
      </c>
      <c r="D870" s="23" t="n">
        <v>29.64</v>
      </c>
      <c r="E870" s="24" t="n">
        <v>2</v>
      </c>
      <c r="F870" s="24">
        <f>D870*E870</f>
        <v/>
      </c>
      <c r="G870" s="22" t="n"/>
    </row>
    <row r="871">
      <c r="A871" s="22" t="inlineStr">
        <is>
          <t>8220</t>
        </is>
      </c>
      <c r="B871" s="11" t="inlineStr">
        <is>
          <t>Stainless steel butt hinges (heavy weight) 100x60x2.5 mm IS : 12817 marked</t>
        </is>
      </c>
      <c r="C871" s="22" t="inlineStr">
        <is>
          <t>10 Nos</t>
        </is>
      </c>
      <c r="D871" s="23" t="n">
        <v>0.6</v>
      </c>
      <c r="E871" s="24" t="n">
        <v>255</v>
      </c>
      <c r="F871" s="24">
        <f>D871*E871</f>
        <v/>
      </c>
      <c r="G871" s="22" t="n"/>
    </row>
    <row r="872">
      <c r="A872" s="22" t="inlineStr">
        <is>
          <t>8211</t>
        </is>
      </c>
      <c r="B872" s="11" t="inlineStr">
        <is>
          <t>Stainless steel screws 40 mm</t>
        </is>
      </c>
      <c r="C872" s="22" t="inlineStr">
        <is>
          <t>100 Nos</t>
        </is>
      </c>
      <c r="D872" s="23" t="n">
        <v>0.48</v>
      </c>
      <c r="E872" s="24" t="n">
        <v>215</v>
      </c>
      <c r="F872" s="24">
        <f>D872*E872</f>
        <v/>
      </c>
      <c r="G872" s="22" t="n"/>
    </row>
    <row r="873">
      <c r="A873" s="22" t="inlineStr">
        <is>
          <t>0156</t>
        </is>
      </c>
      <c r="B873" s="11" t="inlineStr">
        <is>
          <t>Carpenter (average)</t>
        </is>
      </c>
      <c r="C873" s="22" t="inlineStr">
        <is>
          <t>day</t>
        </is>
      </c>
      <c r="D873" s="23" t="n">
        <v>0.55</v>
      </c>
      <c r="E873" s="24" t="n">
        <v>709</v>
      </c>
      <c r="F873" s="24">
        <f>D873*E873</f>
        <v/>
      </c>
      <c r="G873" s="22" t="n"/>
    </row>
    <row r="874">
      <c r="A874" s="22" t="inlineStr">
        <is>
          <t>0114</t>
        </is>
      </c>
      <c r="B874" s="11" t="inlineStr">
        <is>
          <t>Beldar</t>
        </is>
      </c>
      <c r="C874" s="22" t="inlineStr">
        <is>
          <t>day</t>
        </is>
      </c>
      <c r="D874" s="23" t="n">
        <v>0.55</v>
      </c>
      <c r="E874" s="24" t="n">
        <v>558</v>
      </c>
      <c r="F874" s="24">
        <f>D874*E874</f>
        <v/>
      </c>
      <c r="G874" s="22" t="n"/>
    </row>
    <row r="875">
      <c r="A875" s="8" t="inlineStr">
        <is>
          <t>Calculated W - SUM of the Amount column above</t>
        </is>
      </c>
      <c r="B875" s="9" t="n"/>
      <c r="C875" s="9" t="n"/>
      <c r="D875" s="9" t="n"/>
      <c r="E875" s="9" t="n"/>
      <c r="F875" s="25">
        <f>SUM(F869:F874)</f>
        <v/>
      </c>
      <c r="G875" s="9" t="n"/>
    </row>
    <row r="876">
      <c r="A876" s="26" t="inlineStr">
        <is>
          <t>W as printed in the DAR</t>
        </is>
      </c>
      <c r="B876" s="22" t="n"/>
      <c r="C876" s="22" t="n"/>
      <c r="D876" s="22" t="n"/>
      <c r="E876" s="22" t="n"/>
      <c r="F876" s="27" t="n">
        <v>2992.33</v>
      </c>
      <c r="G876" s="22" t="n"/>
    </row>
    <row r="877">
      <c r="A877" s="26" t="inlineStr">
        <is>
          <t>Difference (calculated - printed)</t>
        </is>
      </c>
      <c r="B877" s="22" t="n"/>
      <c r="C877" s="22" t="n"/>
      <c r="D877" s="22" t="n"/>
      <c r="E877" s="22" t="n"/>
      <c r="F877" s="27">
        <f>F875-F876</f>
        <v/>
      </c>
      <c r="G877" s="22" t="n"/>
    </row>
    <row r="878">
      <c r="A878" s="29" t="inlineStr">
        <is>
          <t>SAY (Rs.) - final DAR rate as printed (fixed value, not computed)</t>
        </is>
      </c>
      <c r="B878" s="30" t="n"/>
      <c r="C878" s="30" t="n"/>
      <c r="D878" s="30" t="n"/>
      <c r="E878" s="30" t="n"/>
      <c r="F878" s="31" t="n">
        <v>1819.8</v>
      </c>
      <c r="G878" s="30" t="n"/>
    </row>
    <row r="880" ht="47.5" customHeight="1">
      <c r="A880" s="8" t="inlineStr">
        <is>
          <t>9.21</t>
        </is>
      </c>
      <c r="B880" s="17"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is>
      </c>
      <c r="C880" s="9" t="n"/>
      <c r="D880" s="9" t="n"/>
      <c r="E880" s="9" t="n"/>
      <c r="F880" s="9" t="n"/>
      <c r="G880" s="9" t="n"/>
    </row>
    <row r="881" ht="18.5" customHeight="1">
      <c r="A881" s="18" t="inlineStr">
        <is>
          <t>9.21.3</t>
        </is>
      </c>
      <c r="B881" s="19" t="inlineStr">
        <is>
          <t>25 mm thick (for cupboard) including ISI marked nickel plated bright finished M.S. piano hinges with necessary screws</t>
        </is>
      </c>
      <c r="C881" s="20" t="n"/>
      <c r="D881" s="20" t="n"/>
      <c r="E881" s="20" t="n"/>
      <c r="F881" s="20" t="n"/>
      <c r="G881" s="20" t="n"/>
    </row>
    <row r="882">
      <c r="A882" s="21" t="inlineStr">
        <is>
          <t>Details of cost for 2.2 sqm   |   Source: CivilDAR_2019_Vol_1.pdf, page 469</t>
        </is>
      </c>
    </row>
    <row r="883">
      <c r="A883" s="5" t="inlineStr">
        <is>
          <t>Code</t>
        </is>
      </c>
      <c r="B883" s="5" t="inlineStr">
        <is>
          <t>Description</t>
        </is>
      </c>
      <c r="C883" s="5" t="inlineStr">
        <is>
          <t>Unit</t>
        </is>
      </c>
      <c r="D883" s="5" t="inlineStr">
        <is>
          <t>Quantity</t>
        </is>
      </c>
      <c r="E883" s="5" t="inlineStr">
        <is>
          <t>Rate (Rs.)</t>
        </is>
      </c>
      <c r="F883" s="5" t="inlineStr">
        <is>
          <t>Amount (Rs.)</t>
        </is>
      </c>
      <c r="G883" s="5" t="inlineStr">
        <is>
          <t>Note</t>
        </is>
      </c>
    </row>
    <row r="884">
      <c r="A884" s="22" t="inlineStr">
        <is>
          <t>0719</t>
        </is>
      </c>
      <c r="B884" s="11" t="inlineStr">
        <is>
          <t>Block board construction flush door with commercial ply on both faces 25 mm thick</t>
        </is>
      </c>
      <c r="C884" s="22" t="inlineStr">
        <is>
          <t>sqm</t>
        </is>
      </c>
      <c r="D884" s="23" t="n">
        <v>2.2</v>
      </c>
      <c r="E884" s="24" t="n">
        <v>890</v>
      </c>
      <c r="F884" s="24">
        <f>D884*E884</f>
        <v/>
      </c>
      <c r="G884" s="22" t="n"/>
    </row>
    <row r="885">
      <c r="A885" s="22" t="inlineStr">
        <is>
          <t>9977</t>
        </is>
      </c>
      <c r="B885" s="11" t="inlineStr">
        <is>
          <t>Carriage of door</t>
        </is>
      </c>
      <c r="C885" s="22" t="inlineStr">
        <is>
          <t>L.S.</t>
        </is>
      </c>
      <c r="D885" s="23" t="n">
        <v>29.64</v>
      </c>
      <c r="E885" s="24" t="n">
        <v>2</v>
      </c>
      <c r="F885" s="24">
        <f>D885*E885</f>
        <v/>
      </c>
      <c r="G885" s="22" t="n"/>
    </row>
    <row r="886">
      <c r="A886" s="22" t="inlineStr">
        <is>
          <t>0608</t>
        </is>
      </c>
      <c r="B886" s="11" t="inlineStr">
        <is>
          <t>Nickel plated mild steel piono hinges 1 mm thick 25 mm wide</t>
        </is>
      </c>
      <c r="C886" s="22" t="inlineStr">
        <is>
          <t>metre</t>
        </is>
      </c>
      <c r="D886" s="23" t="n">
        <v>4.4</v>
      </c>
      <c r="E886" s="24" t="n">
        <v>39</v>
      </c>
      <c r="F886" s="24">
        <f>D886*E886</f>
        <v/>
      </c>
      <c r="G886" s="22" t="n"/>
    </row>
    <row r="887">
      <c r="A887" s="22" t="inlineStr">
        <is>
          <t>0639</t>
        </is>
      </c>
      <c r="B887" s="11" t="inlineStr">
        <is>
          <t>Bright finished or black enamelled mild steel screws 25 mm</t>
        </is>
      </c>
      <c r="C887" s="22" t="inlineStr">
        <is>
          <t>100 Nos</t>
        </is>
      </c>
      <c r="D887" s="23" t="n">
        <v>1.25</v>
      </c>
      <c r="E887" s="24" t="n">
        <v>36</v>
      </c>
      <c r="F887" s="24">
        <f>D887*E887</f>
        <v/>
      </c>
      <c r="G887" s="22" t="n"/>
    </row>
    <row r="888">
      <c r="A888" s="22" t="inlineStr">
        <is>
          <t>0156</t>
        </is>
      </c>
      <c r="B888" s="11" t="inlineStr">
        <is>
          <t>Carpenter (average)</t>
        </is>
      </c>
      <c r="C888" s="22" t="inlineStr">
        <is>
          <t>day</t>
        </is>
      </c>
      <c r="D888" s="23" t="n">
        <v>0.55</v>
      </c>
      <c r="E888" s="24" t="n">
        <v>709</v>
      </c>
      <c r="F888" s="24">
        <f>D888*E888</f>
        <v/>
      </c>
      <c r="G888" s="22" t="n"/>
    </row>
    <row r="889">
      <c r="A889" s="22" t="inlineStr">
        <is>
          <t>0114</t>
        </is>
      </c>
      <c r="B889" s="11" t="inlineStr">
        <is>
          <t>Beldar</t>
        </is>
      </c>
      <c r="C889" s="22" t="inlineStr">
        <is>
          <t>day</t>
        </is>
      </c>
      <c r="D889" s="23" t="n">
        <v>0.55</v>
      </c>
      <c r="E889" s="24" t="n">
        <v>558</v>
      </c>
      <c r="F889" s="24">
        <f>D889*E889</f>
        <v/>
      </c>
      <c r="G889" s="22" t="n"/>
    </row>
    <row r="890">
      <c r="A890" s="8" t="inlineStr">
        <is>
          <t>Calculated W - SUM of the Amount column above</t>
        </is>
      </c>
      <c r="B890" s="9" t="n"/>
      <c r="C890" s="9" t="n"/>
      <c r="D890" s="9" t="n"/>
      <c r="E890" s="9" t="n"/>
      <c r="F890" s="25">
        <f>SUM(F884:F889)</f>
        <v/>
      </c>
      <c r="G890" s="9" t="n"/>
    </row>
    <row r="891">
      <c r="A891" s="26" t="inlineStr">
        <is>
          <t>W as printed in the DAR</t>
        </is>
      </c>
      <c r="B891" s="22" t="n"/>
      <c r="C891" s="22" t="n"/>
      <c r="D891" s="22" t="n"/>
      <c r="E891" s="22" t="n"/>
      <c r="F891" s="27" t="n">
        <v>2930.73</v>
      </c>
      <c r="G891" s="22" t="n"/>
    </row>
    <row r="892">
      <c r="A892" s="26" t="inlineStr">
        <is>
          <t>Difference (calculated - printed)</t>
        </is>
      </c>
      <c r="B892" s="22" t="n"/>
      <c r="C892" s="22" t="n"/>
      <c r="D892" s="22" t="n"/>
      <c r="E892" s="22" t="n"/>
      <c r="F892" s="27">
        <f>F890-F891</f>
        <v/>
      </c>
      <c r="G892" s="22" t="n"/>
    </row>
    <row r="893">
      <c r="A893" s="29" t="inlineStr">
        <is>
          <t>SAY (Rs.) - final DAR rate as printed (fixed value, not computed)</t>
        </is>
      </c>
      <c r="B893" s="30" t="n"/>
      <c r="C893" s="30" t="n"/>
      <c r="D893" s="30" t="n"/>
      <c r="E893" s="30" t="n"/>
      <c r="F893" s="31" t="n">
        <v>1782.35</v>
      </c>
      <c r="G893" s="30" t="n"/>
    </row>
    <row r="895" ht="33" customHeight="1">
      <c r="A895" s="8" t="inlineStr">
        <is>
          <t>9.22</t>
        </is>
      </c>
      <c r="B895" s="17" t="inlineStr">
        <is>
          <t>Extra for Providing and fixing flush doors with decorative veneering instead of non decorative ISI marked flush door shutters conforming to IS: 2202 (Part I)</t>
        </is>
      </c>
      <c r="C895" s="9" t="n"/>
      <c r="D895" s="9" t="n"/>
      <c r="E895" s="9" t="n"/>
      <c r="F895" s="9" t="n"/>
      <c r="G895" s="9" t="n"/>
    </row>
    <row r="896" ht="18.5" customHeight="1">
      <c r="A896" s="18" t="inlineStr">
        <is>
          <t>9.22.1</t>
        </is>
      </c>
      <c r="B896" s="19" t="inlineStr">
        <is>
          <t>On one side only</t>
        </is>
      </c>
      <c r="C896" s="20" t="n"/>
      <c r="D896" s="20" t="n"/>
      <c r="E896" s="20" t="n"/>
      <c r="F896" s="20" t="n"/>
      <c r="G896" s="20" t="n"/>
    </row>
    <row r="897">
      <c r="A897" s="21" t="inlineStr">
        <is>
          <t>Details of cost for 1 sqm   |   Source: CivilDAR_2019_Vol_1.pdf, page 470</t>
        </is>
      </c>
    </row>
    <row r="898">
      <c r="A898" s="5" t="inlineStr">
        <is>
          <t>Code</t>
        </is>
      </c>
      <c r="B898" s="5" t="inlineStr">
        <is>
          <t>Description</t>
        </is>
      </c>
      <c r="C898" s="5" t="inlineStr">
        <is>
          <t>Unit</t>
        </is>
      </c>
      <c r="D898" s="5" t="inlineStr">
        <is>
          <t>Quantity</t>
        </is>
      </c>
      <c r="E898" s="5" t="inlineStr">
        <is>
          <t>Rate (Rs.)</t>
        </is>
      </c>
      <c r="F898" s="5" t="inlineStr">
        <is>
          <t>Amount (Rs.)</t>
        </is>
      </c>
      <c r="G898" s="5" t="inlineStr">
        <is>
          <t>Note</t>
        </is>
      </c>
    </row>
    <row r="899">
      <c r="A899" s="22" t="inlineStr">
        <is>
          <t>7307</t>
        </is>
      </c>
      <c r="B899" s="11" t="inlineStr">
        <is>
          <t>For flush door shutters Extra for providing teak veneering on one side instead of commercial veneering</t>
        </is>
      </c>
      <c r="C899" s="22" t="inlineStr">
        <is>
          <t>sqm</t>
        </is>
      </c>
      <c r="D899" s="23" t="n">
        <v>1</v>
      </c>
      <c r="E899" s="24" t="n">
        <v>330</v>
      </c>
      <c r="F899" s="24">
        <f>D899*E899</f>
        <v/>
      </c>
      <c r="G899" s="22" t="n"/>
    </row>
    <row r="900">
      <c r="A900" s="8" t="inlineStr">
        <is>
          <t>Calculated W - SUM of the Amount column above</t>
        </is>
      </c>
      <c r="B900" s="9" t="n"/>
      <c r="C900" s="9" t="n"/>
      <c r="D900" s="9" t="n"/>
      <c r="E900" s="9" t="n"/>
      <c r="F900" s="25">
        <f>SUM(F899:F899)</f>
        <v/>
      </c>
      <c r="G900" s="9" t="n"/>
    </row>
    <row r="901">
      <c r="A901" s="26" t="inlineStr">
        <is>
          <t>W as printed in the DAR</t>
        </is>
      </c>
      <c r="B901" s="22" t="n"/>
      <c r="C901" s="22" t="n"/>
      <c r="D901" s="22" t="n"/>
      <c r="E901" s="22" t="n"/>
      <c r="F901" s="27" t="n">
        <v>330</v>
      </c>
      <c r="G901" s="22" t="n"/>
    </row>
    <row r="902">
      <c r="A902" s="26" t="inlineStr">
        <is>
          <t>Difference (calculated - printed)</t>
        </is>
      </c>
      <c r="B902" s="22" t="n"/>
      <c r="C902" s="22" t="n"/>
      <c r="D902" s="22" t="n"/>
      <c r="E902" s="22" t="n"/>
      <c r="F902" s="27">
        <f>F900-F901</f>
        <v/>
      </c>
      <c r="G902" s="22" t="n"/>
    </row>
    <row r="903">
      <c r="A903" s="29" t="inlineStr">
        <is>
          <t>SAY (Rs.) - final DAR rate as printed (fixed value, not computed)</t>
        </is>
      </c>
      <c r="B903" s="30" t="n"/>
      <c r="C903" s="30" t="n"/>
      <c r="D903" s="30" t="n"/>
      <c r="E903" s="30" t="n"/>
      <c r="F903" s="31" t="n">
        <v>441.5</v>
      </c>
      <c r="G903" s="30" t="n"/>
    </row>
    <row r="905" ht="33" customHeight="1">
      <c r="A905" s="18" t="inlineStr">
        <is>
          <t>9.23</t>
        </is>
      </c>
      <c r="B905" s="19" t="inlineStr">
        <is>
          <t>Extra for providing lipping with 2nd class teak wood battens 25 mm minimum depth on all edges of flush door shutters (over all area of door shutter to be measured).</t>
        </is>
      </c>
      <c r="C905" s="20" t="n"/>
      <c r="D905" s="20" t="n"/>
      <c r="E905" s="20" t="n"/>
      <c r="F905" s="20" t="n"/>
      <c r="G905" s="20" t="n"/>
    </row>
    <row r="906">
      <c r="A906" s="21" t="inlineStr">
        <is>
          <t>Details of cost for 1 sqm   |   Source: CivilDAR_2019_Vol_1.pdf, page 470</t>
        </is>
      </c>
    </row>
    <row r="907">
      <c r="A907" s="5" t="inlineStr">
        <is>
          <t>Code</t>
        </is>
      </c>
      <c r="B907" s="5" t="inlineStr">
        <is>
          <t>Description</t>
        </is>
      </c>
      <c r="C907" s="5" t="inlineStr">
        <is>
          <t>Unit</t>
        </is>
      </c>
      <c r="D907" s="5" t="inlineStr">
        <is>
          <t>Quantity</t>
        </is>
      </c>
      <c r="E907" s="5" t="inlineStr">
        <is>
          <t>Rate (Rs.)</t>
        </is>
      </c>
      <c r="F907" s="5" t="inlineStr">
        <is>
          <t>Amount (Rs.)</t>
        </is>
      </c>
      <c r="G907" s="5" t="inlineStr">
        <is>
          <t>Note</t>
        </is>
      </c>
    </row>
    <row r="908">
      <c r="A908" s="22" t="inlineStr">
        <is>
          <t>0752</t>
        </is>
      </c>
      <c r="B908" s="11" t="inlineStr">
        <is>
          <t>Block board construction flush door sqm of lipping</t>
        </is>
      </c>
      <c r="C908" s="22" t="inlineStr">
        <is>
          <t>door area</t>
        </is>
      </c>
      <c r="D908" s="23" t="n">
        <v>1</v>
      </c>
      <c r="E908" s="24" t="n">
        <v>300</v>
      </c>
      <c r="F908" s="24">
        <f>D908*E908</f>
        <v/>
      </c>
      <c r="G908" s="22" t="n"/>
    </row>
    <row r="909">
      <c r="A909" s="8" t="inlineStr">
        <is>
          <t>Calculated W - SUM of the Amount column above</t>
        </is>
      </c>
      <c r="B909" s="9" t="n"/>
      <c r="C909" s="9" t="n"/>
      <c r="D909" s="9" t="n"/>
      <c r="E909" s="9" t="n"/>
      <c r="F909" s="25">
        <f>SUM(F908:F908)</f>
        <v/>
      </c>
      <c r="G909" s="9" t="n"/>
    </row>
    <row r="910">
      <c r="A910" s="26" t="inlineStr">
        <is>
          <t>W as printed in the DAR</t>
        </is>
      </c>
      <c r="B910" s="22" t="n"/>
      <c r="C910" s="22" t="n"/>
      <c r="D910" s="22" t="n"/>
      <c r="E910" s="22" t="n"/>
      <c r="F910" s="27" t="n">
        <v>300</v>
      </c>
      <c r="G910" s="22" t="n"/>
    </row>
    <row r="911">
      <c r="A911" s="26" t="inlineStr">
        <is>
          <t>Difference (calculated - printed)</t>
        </is>
      </c>
      <c r="B911" s="22" t="n"/>
      <c r="C911" s="22" t="n"/>
      <c r="D911" s="22" t="n"/>
      <c r="E911" s="22" t="n"/>
      <c r="F911" s="27">
        <f>F909-F910</f>
        <v/>
      </c>
      <c r="G911" s="22" t="n"/>
    </row>
    <row r="912">
      <c r="A912" s="29" t="inlineStr">
        <is>
          <t>SAY (Rs.) - final DAR rate as printed (fixed value, not computed)</t>
        </is>
      </c>
      <c r="B912" s="30" t="n"/>
      <c r="C912" s="30" t="n"/>
      <c r="D912" s="30" t="n"/>
      <c r="E912" s="30" t="n"/>
      <c r="F912" s="31" t="n">
        <v>401.4</v>
      </c>
      <c r="G912" s="30" t="n"/>
    </row>
    <row r="914" ht="33" customHeight="1">
      <c r="A914" s="8" t="inlineStr">
        <is>
          <t>9.24</t>
        </is>
      </c>
      <c r="B914" s="17" t="inlineStr">
        <is>
          <t>Extra for providing vision panel not exceeding 0.1 sqm in all type of flush doors (cost of glass excluded) (overall area of door shutter to be measured):</t>
        </is>
      </c>
      <c r="C914" s="9" t="n"/>
      <c r="D914" s="9" t="n"/>
      <c r="E914" s="9" t="n"/>
      <c r="F914" s="9" t="n"/>
      <c r="G914" s="9" t="n"/>
    </row>
    <row r="915" ht="18.5" customHeight="1">
      <c r="A915" s="18" t="inlineStr">
        <is>
          <t>9.24.1</t>
        </is>
      </c>
      <c r="B915" s="19" t="inlineStr">
        <is>
          <t>Rectangular or square</t>
        </is>
      </c>
      <c r="C915" s="20" t="n"/>
      <c r="D915" s="20" t="n"/>
      <c r="E915" s="20" t="n"/>
      <c r="F915" s="20" t="n"/>
      <c r="G915" s="20" t="n"/>
    </row>
    <row r="916">
      <c r="A916" s="21" t="inlineStr">
        <is>
          <t>Details of cost for 1 sqm   |   Source: CivilDAR_2019_Vol_1.pdf, page 471</t>
        </is>
      </c>
    </row>
    <row r="917">
      <c r="A917" s="5" t="inlineStr">
        <is>
          <t>Code</t>
        </is>
      </c>
      <c r="B917" s="5" t="inlineStr">
        <is>
          <t>Description</t>
        </is>
      </c>
      <c r="C917" s="5" t="inlineStr">
        <is>
          <t>Unit</t>
        </is>
      </c>
      <c r="D917" s="5" t="inlineStr">
        <is>
          <t>Quantity</t>
        </is>
      </c>
      <c r="E917" s="5" t="inlineStr">
        <is>
          <t>Rate (Rs.)</t>
        </is>
      </c>
      <c r="F917" s="5" t="inlineStr">
        <is>
          <t>Amount (Rs.)</t>
        </is>
      </c>
      <c r="G917" s="5" t="inlineStr">
        <is>
          <t>Note</t>
        </is>
      </c>
    </row>
    <row r="918">
      <c r="A918" s="22" t="inlineStr">
        <is>
          <t>0753</t>
        </is>
      </c>
      <c r="B918" s="11" t="inlineStr">
        <is>
          <t>Square vision panel (upto 0.10 sqm) in sqm of Block board construction flush door</t>
        </is>
      </c>
      <c r="C918" s="22" t="inlineStr">
        <is>
          <t>door area</t>
        </is>
      </c>
      <c r="D918" s="23" t="n">
        <v>1</v>
      </c>
      <c r="E918" s="24" t="n">
        <v>130</v>
      </c>
      <c r="F918" s="24">
        <f>D918*E918</f>
        <v/>
      </c>
      <c r="G918" s="22" t="n"/>
    </row>
    <row r="919">
      <c r="A919" s="8" t="inlineStr">
        <is>
          <t>Calculated W - SUM of the Amount column above</t>
        </is>
      </c>
      <c r="B919" s="9" t="n"/>
      <c r="C919" s="9" t="n"/>
      <c r="D919" s="9" t="n"/>
      <c r="E919" s="9" t="n"/>
      <c r="F919" s="25">
        <f>SUM(F918:F918)</f>
        <v/>
      </c>
      <c r="G919" s="9" t="n"/>
    </row>
    <row r="920">
      <c r="A920" s="26" t="inlineStr">
        <is>
          <t>W as printed in the DAR</t>
        </is>
      </c>
      <c r="B920" s="22" t="n"/>
      <c r="C920" s="22" t="n"/>
      <c r="D920" s="22" t="n"/>
      <c r="E920" s="22" t="n"/>
      <c r="F920" s="27" t="n">
        <v>130</v>
      </c>
      <c r="G920" s="22" t="n"/>
    </row>
    <row r="921">
      <c r="A921" s="26" t="inlineStr">
        <is>
          <t>Difference (calculated - printed)</t>
        </is>
      </c>
      <c r="B921" s="22" t="n"/>
      <c r="C921" s="22" t="n"/>
      <c r="D921" s="22" t="n"/>
      <c r="E921" s="22" t="n"/>
      <c r="F921" s="27">
        <f>F919-F920</f>
        <v/>
      </c>
      <c r="G921" s="22" t="n"/>
    </row>
    <row r="922">
      <c r="A922" s="29" t="inlineStr">
        <is>
          <t>SAY (Rs.) - final DAR rate as printed (fixed value, not computed)</t>
        </is>
      </c>
      <c r="B922" s="30" t="n"/>
      <c r="C922" s="30" t="n"/>
      <c r="D922" s="30" t="n"/>
      <c r="E922" s="30" t="n"/>
      <c r="F922" s="31" t="n">
        <v>173.95</v>
      </c>
      <c r="G922" s="30" t="n"/>
    </row>
    <row r="924" ht="33" customHeight="1">
      <c r="A924" s="8" t="inlineStr">
        <is>
          <t>9.24</t>
        </is>
      </c>
      <c r="B924" s="17" t="inlineStr">
        <is>
          <t>Extra for providing vision panel not exceeding 0.1 sqm in all type of flush doors (cost of glass excluded) (overall area of door shutter to be measured):</t>
        </is>
      </c>
      <c r="C924" s="9" t="n"/>
      <c r="D924" s="9" t="n"/>
      <c r="E924" s="9" t="n"/>
      <c r="F924" s="9" t="n"/>
      <c r="G924" s="9" t="n"/>
    </row>
    <row r="925" ht="18.5" customHeight="1">
      <c r="A925" s="18" t="inlineStr">
        <is>
          <t>9.24.2</t>
        </is>
      </c>
      <c r="B925" s="19" t="inlineStr">
        <is>
          <t>Circular</t>
        </is>
      </c>
      <c r="C925" s="20" t="n"/>
      <c r="D925" s="20" t="n"/>
      <c r="E925" s="20" t="n"/>
      <c r="F925" s="20" t="n"/>
      <c r="G925" s="20" t="n"/>
    </row>
    <row r="926">
      <c r="A926" s="21" t="inlineStr">
        <is>
          <t>Details of cost for 1 sqm   |   Source: CivilDAR_2019_Vol_1.pdf, page 471</t>
        </is>
      </c>
    </row>
    <row r="927">
      <c r="A927" s="5" t="inlineStr">
        <is>
          <t>Code</t>
        </is>
      </c>
      <c r="B927" s="5" t="inlineStr">
        <is>
          <t>Description</t>
        </is>
      </c>
      <c r="C927" s="5" t="inlineStr">
        <is>
          <t>Unit</t>
        </is>
      </c>
      <c r="D927" s="5" t="inlineStr">
        <is>
          <t>Quantity</t>
        </is>
      </c>
      <c r="E927" s="5" t="inlineStr">
        <is>
          <t>Rate (Rs.)</t>
        </is>
      </c>
      <c r="F927" s="5" t="inlineStr">
        <is>
          <t>Amount (Rs.)</t>
        </is>
      </c>
      <c r="G927" s="5" t="inlineStr">
        <is>
          <t>Note</t>
        </is>
      </c>
    </row>
    <row r="928">
      <c r="A928" s="22" t="inlineStr">
        <is>
          <t>0754</t>
        </is>
      </c>
      <c r="B928" s="11" t="inlineStr">
        <is>
          <t>Circular vision panel (upto 0.10 sqm) in sqm of Block board construction flush door</t>
        </is>
      </c>
      <c r="C928" s="22" t="inlineStr">
        <is>
          <t>door area</t>
        </is>
      </c>
      <c r="D928" s="23" t="n">
        <v>1</v>
      </c>
      <c r="E928" s="24" t="n">
        <v>135</v>
      </c>
      <c r="F928" s="24">
        <f>D928*E928</f>
        <v/>
      </c>
      <c r="G928" s="22" t="n"/>
    </row>
    <row r="929">
      <c r="A929" s="8" t="inlineStr">
        <is>
          <t>Calculated W - SUM of the Amount column above</t>
        </is>
      </c>
      <c r="B929" s="9" t="n"/>
      <c r="C929" s="9" t="n"/>
      <c r="D929" s="9" t="n"/>
      <c r="E929" s="9" t="n"/>
      <c r="F929" s="25">
        <f>SUM(F928:F928)</f>
        <v/>
      </c>
      <c r="G929" s="9" t="n"/>
    </row>
    <row r="930">
      <c r="A930" s="26" t="inlineStr">
        <is>
          <t>W as printed in the DAR</t>
        </is>
      </c>
      <c r="B930" s="22" t="n"/>
      <c r="C930" s="22" t="n"/>
      <c r="D930" s="22" t="n"/>
      <c r="E930" s="22" t="n"/>
      <c r="F930" s="27" t="n">
        <v>135</v>
      </c>
      <c r="G930" s="22" t="n"/>
    </row>
    <row r="931">
      <c r="A931" s="26" t="inlineStr">
        <is>
          <t>Difference (calculated - printed)</t>
        </is>
      </c>
      <c r="B931" s="22" t="n"/>
      <c r="C931" s="22" t="n"/>
      <c r="D931" s="22" t="n"/>
      <c r="E931" s="22" t="n"/>
      <c r="F931" s="27">
        <f>F929-F930</f>
        <v/>
      </c>
      <c r="G931" s="22" t="n"/>
    </row>
    <row r="932">
      <c r="A932" s="29" t="inlineStr">
        <is>
          <t>SAY (Rs.) - final DAR rate as printed (fixed value, not computed)</t>
        </is>
      </c>
      <c r="B932" s="30" t="n"/>
      <c r="C932" s="30" t="n"/>
      <c r="D932" s="30" t="n"/>
      <c r="E932" s="30" t="n"/>
      <c r="F932" s="31" t="n">
        <v>180.6</v>
      </c>
      <c r="G932" s="30" t="n"/>
    </row>
    <row r="934" ht="18.5" customHeight="1">
      <c r="A934" s="8" t="inlineStr">
        <is>
          <t>9.25</t>
        </is>
      </c>
      <c r="B934" s="17" t="inlineStr">
        <is>
          <t>Extra if louvers (not exceeding 0.2 sqm) are provided in flush door shutters (overall area of door shutters to be measured).</t>
        </is>
      </c>
      <c r="C934" s="9" t="n"/>
      <c r="D934" s="9" t="n"/>
      <c r="E934" s="9" t="n"/>
      <c r="F934" s="9" t="n"/>
      <c r="G934" s="9" t="n"/>
    </row>
    <row r="935" ht="18.5" customHeight="1">
      <c r="A935" s="18" t="inlineStr">
        <is>
          <t>9.25.1</t>
        </is>
      </c>
      <c r="B935" s="19" t="inlineStr">
        <is>
          <t>Decorative type door</t>
        </is>
      </c>
      <c r="C935" s="20" t="n"/>
      <c r="D935" s="20" t="n"/>
      <c r="E935" s="20" t="n"/>
      <c r="F935" s="20" t="n"/>
      <c r="G935" s="20" t="n"/>
    </row>
    <row r="936">
      <c r="A936" s="21" t="inlineStr">
        <is>
          <t>Details of cost for 1 sqm   |   Source: CivilDAR_2019_Vol_1.pdf, page 472</t>
        </is>
      </c>
    </row>
    <row r="937">
      <c r="A937" s="5" t="inlineStr">
        <is>
          <t>Code</t>
        </is>
      </c>
      <c r="B937" s="5" t="inlineStr">
        <is>
          <t>Description</t>
        </is>
      </c>
      <c r="C937" s="5" t="inlineStr">
        <is>
          <t>Unit</t>
        </is>
      </c>
      <c r="D937" s="5" t="inlineStr">
        <is>
          <t>Quantity</t>
        </is>
      </c>
      <c r="E937" s="5" t="inlineStr">
        <is>
          <t>Rate (Rs.)</t>
        </is>
      </c>
      <c r="F937" s="5" t="inlineStr">
        <is>
          <t>Amount (Rs.)</t>
        </is>
      </c>
      <c r="G937" s="5" t="inlineStr">
        <is>
          <t>Note</t>
        </is>
      </c>
    </row>
    <row r="938">
      <c r="A938" s="22" t="inlineStr">
        <is>
          <t>0755</t>
        </is>
      </c>
      <c r="B938" s="11" t="inlineStr">
        <is>
          <t>Decorative type Louvers (upto 0.20 sqm)in Block board construction flush sqm of door</t>
        </is>
      </c>
      <c r="C938" s="22" t="inlineStr">
        <is>
          <t>door area</t>
        </is>
      </c>
      <c r="D938" s="23" t="n">
        <v>1</v>
      </c>
      <c r="E938" s="24" t="n">
        <v>265</v>
      </c>
      <c r="F938" s="24">
        <f>D938*E938</f>
        <v/>
      </c>
      <c r="G938" s="22" t="n"/>
    </row>
    <row r="939">
      <c r="A939" s="8" t="inlineStr">
        <is>
          <t>Calculated W - SUM of the Amount column above</t>
        </is>
      </c>
      <c r="B939" s="9" t="n"/>
      <c r="C939" s="9" t="n"/>
      <c r="D939" s="9" t="n"/>
      <c r="E939" s="9" t="n"/>
      <c r="F939" s="25">
        <f>SUM(F938:F938)</f>
        <v/>
      </c>
      <c r="G939" s="9" t="n"/>
    </row>
    <row r="940">
      <c r="A940" s="26" t="inlineStr">
        <is>
          <t>W as printed in the DAR</t>
        </is>
      </c>
      <c r="B940" s="22" t="n"/>
      <c r="C940" s="22" t="n"/>
      <c r="D940" s="22" t="n"/>
      <c r="E940" s="22" t="n"/>
      <c r="F940" s="27" t="n">
        <v>265</v>
      </c>
      <c r="G940" s="22" t="n"/>
    </row>
    <row r="941">
      <c r="A941" s="26" t="inlineStr">
        <is>
          <t>Difference (calculated - printed)</t>
        </is>
      </c>
      <c r="B941" s="22" t="n"/>
      <c r="C941" s="22" t="n"/>
      <c r="D941" s="22" t="n"/>
      <c r="E941" s="22" t="n"/>
      <c r="F941" s="27">
        <f>F939-F940</f>
        <v/>
      </c>
      <c r="G941" s="22" t="n"/>
    </row>
    <row r="942">
      <c r="A942" s="29" t="inlineStr">
        <is>
          <t>SAY (Rs.) - final DAR rate as printed (fixed value, not computed)</t>
        </is>
      </c>
      <c r="B942" s="30" t="n"/>
      <c r="C942" s="30" t="n"/>
      <c r="D942" s="30" t="n"/>
      <c r="E942" s="30" t="n"/>
      <c r="F942" s="31" t="n">
        <v>354.55</v>
      </c>
      <c r="G942" s="30" t="n"/>
    </row>
    <row r="944" ht="18.5" customHeight="1">
      <c r="A944" s="18" t="inlineStr">
        <is>
          <t>9.26</t>
        </is>
      </c>
      <c r="B944" s="19" t="inlineStr">
        <is>
          <t>Extra for cutting rebate in flush door shutters (Total area of the shutter to be measured).</t>
        </is>
      </c>
      <c r="C944" s="20" t="n"/>
      <c r="D944" s="20" t="n"/>
      <c r="E944" s="20" t="n"/>
      <c r="F944" s="20" t="n"/>
      <c r="G944" s="20" t="n"/>
    </row>
    <row r="945">
      <c r="A945" s="21" t="inlineStr">
        <is>
          <t>Details of cost for 1 sqm   |   Source: CivilDAR_2019_Vol_1.pdf, page 472</t>
        </is>
      </c>
    </row>
    <row r="946">
      <c r="A946" s="5" t="inlineStr">
        <is>
          <t>Code</t>
        </is>
      </c>
      <c r="B946" s="5" t="inlineStr">
        <is>
          <t>Description</t>
        </is>
      </c>
      <c r="C946" s="5" t="inlineStr">
        <is>
          <t>Unit</t>
        </is>
      </c>
      <c r="D946" s="5" t="inlineStr">
        <is>
          <t>Quantity</t>
        </is>
      </c>
      <c r="E946" s="5" t="inlineStr">
        <is>
          <t>Rate (Rs.)</t>
        </is>
      </c>
      <c r="F946" s="5" t="inlineStr">
        <is>
          <t>Amount (Rs.)</t>
        </is>
      </c>
      <c r="G946" s="5" t="inlineStr">
        <is>
          <t>Note</t>
        </is>
      </c>
    </row>
    <row r="947">
      <c r="A947" s="22" t="inlineStr">
        <is>
          <t>0757</t>
        </is>
      </c>
      <c r="B947" s="11" t="inlineStr">
        <is>
          <t>Rebate cutting in Block board sqm of construction flush door</t>
        </is>
      </c>
      <c r="C947" s="22" t="inlineStr">
        <is>
          <t>door area</t>
        </is>
      </c>
      <c r="D947" s="23" t="n">
        <v>1</v>
      </c>
      <c r="E947" s="24" t="n">
        <v>70</v>
      </c>
      <c r="F947" s="24">
        <f>D947*E947</f>
        <v/>
      </c>
      <c r="G947" s="22" t="n"/>
    </row>
    <row r="948">
      <c r="A948" s="8" t="inlineStr">
        <is>
          <t>Calculated W - SUM of the Amount column above</t>
        </is>
      </c>
      <c r="B948" s="9" t="n"/>
      <c r="C948" s="9" t="n"/>
      <c r="D948" s="9" t="n"/>
      <c r="E948" s="9" t="n"/>
      <c r="F948" s="25">
        <f>SUM(F947:F947)</f>
        <v/>
      </c>
      <c r="G948" s="9" t="n"/>
    </row>
    <row r="949">
      <c r="A949" s="26" t="inlineStr">
        <is>
          <t>W as printed in the DAR</t>
        </is>
      </c>
      <c r="B949" s="22" t="n"/>
      <c r="C949" s="22" t="n"/>
      <c r="D949" s="22" t="n"/>
      <c r="E949" s="22" t="n"/>
      <c r="F949" s="27" t="n">
        <v>70</v>
      </c>
      <c r="G949" s="22" t="n"/>
    </row>
    <row r="950">
      <c r="A950" s="26" t="inlineStr">
        <is>
          <t>Difference (calculated - printed)</t>
        </is>
      </c>
      <c r="B950" s="22" t="n"/>
      <c r="C950" s="22" t="n"/>
      <c r="D950" s="22" t="n"/>
      <c r="E950" s="22" t="n"/>
      <c r="F950" s="27">
        <f>F948-F949</f>
        <v/>
      </c>
      <c r="G950" s="22" t="n"/>
    </row>
    <row r="951">
      <c r="A951" s="29" t="inlineStr">
        <is>
          <t>SAY (Rs.) - final DAR rate as printed (fixed value, not computed)</t>
        </is>
      </c>
      <c r="B951" s="30" t="n"/>
      <c r="C951" s="30" t="n"/>
      <c r="D951" s="30" t="n"/>
      <c r="E951" s="30" t="n"/>
      <c r="F951" s="31" t="n">
        <v>93.65000000000001</v>
      </c>
      <c r="G951" s="30" t="n"/>
    </row>
    <row r="953" ht="33" customHeight="1">
      <c r="A953" s="8" t="inlineStr">
        <is>
          <t>9.27</t>
        </is>
      </c>
      <c r="B953" s="17" t="inlineStr">
        <is>
          <t>Providing and fixing wire gauge shutters using galvanized M.S. wire gauge of average width of aperture 1.4 mm in both directions with wire of dia 0.63 mm, for doors, windows and clerestory windows with hinges and necessary screws :</t>
        </is>
      </c>
      <c r="C953" s="9" t="n"/>
      <c r="D953" s="9" t="n"/>
      <c r="E953" s="9" t="n"/>
      <c r="F953" s="9" t="n"/>
      <c r="G953" s="9" t="n"/>
    </row>
    <row r="954" ht="18.5" customHeight="1">
      <c r="A954" s="8" t="inlineStr">
        <is>
          <t>9.27.1</t>
        </is>
      </c>
      <c r="B954" s="17" t="inlineStr">
        <is>
          <t>35 mm thick shutters</t>
        </is>
      </c>
      <c r="C954" s="9" t="n"/>
      <c r="D954" s="9" t="n"/>
      <c r="E954" s="9" t="n"/>
      <c r="F954" s="9" t="n"/>
      <c r="G954" s="9" t="n"/>
    </row>
    <row r="955" ht="18.5" customHeight="1">
      <c r="A955" s="8" t="inlineStr">
        <is>
          <t>9.27.1.1</t>
        </is>
      </c>
      <c r="B955" s="17" t="inlineStr">
        <is>
          <t>with ISI marked M.S. pressed butt hinges bright finished of required size</t>
        </is>
      </c>
      <c r="C955" s="9" t="n"/>
      <c r="D955" s="9" t="n"/>
      <c r="E955" s="9" t="n"/>
      <c r="F955" s="9" t="n"/>
      <c r="G955" s="9" t="n"/>
    </row>
    <row r="956" ht="18.5" customHeight="1">
      <c r="A956" s="18" t="inlineStr">
        <is>
          <t>9.27.1.1.1</t>
        </is>
      </c>
      <c r="B956" s="19" t="inlineStr">
        <is>
          <t>Second class teak wood</t>
        </is>
      </c>
      <c r="C956" s="20" t="n"/>
      <c r="D956" s="20" t="n"/>
      <c r="E956" s="20" t="n"/>
      <c r="F956" s="20" t="n"/>
      <c r="G956" s="20" t="n"/>
    </row>
    <row r="957">
      <c r="A957" s="21" t="inlineStr">
        <is>
          <t>Details of cost for 2.16 sqm   |   Source: CivilDAR_2019_Vol_1.pdf, page 473</t>
        </is>
      </c>
    </row>
    <row r="958">
      <c r="A958" s="5" t="inlineStr">
        <is>
          <t>Code</t>
        </is>
      </c>
      <c r="B958" s="5" t="inlineStr">
        <is>
          <t>Description</t>
        </is>
      </c>
      <c r="C958" s="5" t="inlineStr">
        <is>
          <t>Unit</t>
        </is>
      </c>
      <c r="D958" s="5" t="inlineStr">
        <is>
          <t>Quantity</t>
        </is>
      </c>
      <c r="E958" s="5" t="inlineStr">
        <is>
          <t>Rate (Rs.)</t>
        </is>
      </c>
      <c r="F958" s="5" t="inlineStr">
        <is>
          <t>Amount (Rs.)</t>
        </is>
      </c>
      <c r="G958" s="5" t="inlineStr">
        <is>
          <t>Note</t>
        </is>
      </c>
    </row>
    <row r="959">
      <c r="A959" s="22" t="inlineStr">
        <is>
          <t>1190</t>
        </is>
      </c>
      <c r="B959" s="11" t="inlineStr">
        <is>
          <t>Second class teak wood in planks</t>
        </is>
      </c>
      <c r="C959" s="22" t="inlineStr">
        <is>
          <t>10 cudm</t>
        </is>
      </c>
      <c r="D959" s="23" t="n">
        <v>5.14</v>
      </c>
      <c r="E959" s="24" t="n">
        <v>791</v>
      </c>
      <c r="F959" s="24">
        <f>D959*E959</f>
        <v/>
      </c>
      <c r="G959" s="22" t="n"/>
    </row>
    <row r="960">
      <c r="A960" s="22" t="inlineStr">
        <is>
          <t>7029</t>
        </is>
      </c>
      <c r="B960" s="11" t="inlineStr">
        <is>
          <t>Galvanised wire mesh of average width of aperture 1.4 mm and nominal dia. Of wire 0.63 mm</t>
        </is>
      </c>
      <c r="C960" s="22" t="inlineStr">
        <is>
          <t>sqm</t>
        </is>
      </c>
      <c r="D960" s="23" t="n">
        <v>1.41</v>
      </c>
      <c r="E960" s="24" t="n">
        <v>250</v>
      </c>
      <c r="F960" s="24">
        <f>D960*E960</f>
        <v/>
      </c>
      <c r="G960" s="22" t="n"/>
    </row>
    <row r="961">
      <c r="A961" s="22" t="inlineStr">
        <is>
          <t>0595</t>
        </is>
      </c>
      <c r="B961" s="11" t="inlineStr">
        <is>
          <t>Bright finished or black enamelled mild steel butt hinges 100x58x1.90 mm</t>
        </is>
      </c>
      <c r="C961" s="22" t="inlineStr">
        <is>
          <t>10 Nos</t>
        </is>
      </c>
      <c r="D961" s="23" t="n">
        <v>0.6</v>
      </c>
      <c r="E961" s="24" t="n">
        <v>80</v>
      </c>
      <c r="F961" s="24">
        <f>D961*E961</f>
        <v/>
      </c>
      <c r="G961" s="22" t="n"/>
    </row>
    <row r="962">
      <c r="A962" s="22" t="inlineStr">
        <is>
          <t>0597</t>
        </is>
      </c>
      <c r="B962" s="11" t="inlineStr">
        <is>
          <t>Bright finished or black enamelled mild steel butt hinges50x37x1.50 mm</t>
        </is>
      </c>
      <c r="C962" s="22" t="inlineStr">
        <is>
          <t>10 Nos</t>
        </is>
      </c>
      <c r="D962" s="23" t="n">
        <v>0.2</v>
      </c>
      <c r="E962" s="24" t="n">
        <v>49</v>
      </c>
      <c r="F962" s="24">
        <f>D962*E962</f>
        <v/>
      </c>
      <c r="G962" s="22" t="n"/>
    </row>
    <row r="963">
      <c r="A963" s="22" t="inlineStr">
        <is>
          <t>0637</t>
        </is>
      </c>
      <c r="B963" s="11" t="inlineStr">
        <is>
          <t>Bright finished or black enamelled mild steel screws 40 mm</t>
        </is>
      </c>
      <c r="C963" s="22" t="inlineStr">
        <is>
          <t>100 Nos</t>
        </is>
      </c>
      <c r="D963" s="23" t="n">
        <v>0.48</v>
      </c>
      <c r="E963" s="24" t="n">
        <v>60</v>
      </c>
      <c r="F963" s="24">
        <f>D963*E963</f>
        <v/>
      </c>
      <c r="G963" s="22" t="n"/>
    </row>
    <row r="964">
      <c r="A964" s="22" t="inlineStr">
        <is>
          <t>0640</t>
        </is>
      </c>
      <c r="B964" s="11" t="inlineStr">
        <is>
          <t>Bright finished or black enamelled mild steel screws 20 mm</t>
        </is>
      </c>
      <c r="C964" s="22" t="inlineStr">
        <is>
          <t>100 Nos</t>
        </is>
      </c>
      <c r="D964" s="23" t="n">
        <v>0.08</v>
      </c>
      <c r="E964" s="24" t="n">
        <v>30</v>
      </c>
      <c r="F964" s="24">
        <f>D964*E964</f>
        <v/>
      </c>
      <c r="G964" s="22" t="n"/>
    </row>
    <row r="965">
      <c r="A965" s="22" t="inlineStr">
        <is>
          <t>2204</t>
        </is>
      </c>
      <c r="B965" s="11" t="inlineStr">
        <is>
          <t>Carriage of Timber</t>
        </is>
      </c>
      <c r="C965" s="22" t="inlineStr">
        <is>
          <t>cum</t>
        </is>
      </c>
      <c r="D965" s="23" t="n">
        <v>0.0514</v>
      </c>
      <c r="E965" s="24" t="n">
        <v>118.59</v>
      </c>
      <c r="F965" s="24">
        <f>D965*E965</f>
        <v/>
      </c>
      <c r="G965" s="22" t="n"/>
    </row>
    <row r="966">
      <c r="A966" s="22" t="inlineStr">
        <is>
          <t>0111</t>
        </is>
      </c>
      <c r="B966" s="11" t="inlineStr">
        <is>
          <t>Carpenter 1st class</t>
        </is>
      </c>
      <c r="C966" s="22" t="inlineStr">
        <is>
          <t>day</t>
        </is>
      </c>
      <c r="D966" s="23" t="n">
        <v>1.3</v>
      </c>
      <c r="E966" s="24" t="n">
        <v>738</v>
      </c>
      <c r="F966" s="24">
        <f>D966*E966</f>
        <v/>
      </c>
      <c r="G966" s="22" t="n"/>
    </row>
    <row r="967">
      <c r="A967" s="22" t="inlineStr">
        <is>
          <t>0112</t>
        </is>
      </c>
      <c r="B967" s="11" t="inlineStr">
        <is>
          <t>Carpenter 2nd class</t>
        </is>
      </c>
      <c r="C967" s="22" t="inlineStr">
        <is>
          <t>day</t>
        </is>
      </c>
      <c r="D967" s="23" t="n">
        <v>0.9</v>
      </c>
      <c r="E967" s="24" t="n">
        <v>679</v>
      </c>
      <c r="F967" s="24">
        <f>D967*E967</f>
        <v/>
      </c>
      <c r="G967" s="22" t="n"/>
    </row>
    <row r="968">
      <c r="A968" s="22" t="inlineStr">
        <is>
          <t>0114</t>
        </is>
      </c>
      <c r="B968" s="11" t="inlineStr">
        <is>
          <t>Beldar</t>
        </is>
      </c>
      <c r="C968" s="22" t="inlineStr">
        <is>
          <t>day</t>
        </is>
      </c>
      <c r="D968" s="23" t="n">
        <v>1.05</v>
      </c>
      <c r="E968" s="24" t="n">
        <v>558</v>
      </c>
      <c r="F968" s="24">
        <f>D968*E968</f>
        <v/>
      </c>
      <c r="G968" s="22" t="n"/>
    </row>
    <row r="969">
      <c r="A969" s="22" t="inlineStr">
        <is>
          <t>0130</t>
        </is>
      </c>
      <c r="B969" s="11" t="inlineStr">
        <is>
          <t>Mistry</t>
        </is>
      </c>
      <c r="C969" s="22" t="inlineStr">
        <is>
          <t>day</t>
        </is>
      </c>
      <c r="D969" s="23" t="n">
        <v>0.105</v>
      </c>
      <c r="E969" s="24" t="n">
        <v>738</v>
      </c>
      <c r="F969" s="24">
        <f>D969*E969</f>
        <v/>
      </c>
      <c r="G969" s="22" t="n"/>
    </row>
    <row r="970">
      <c r="A970" s="22" t="inlineStr">
        <is>
          <t>9999</t>
        </is>
      </c>
      <c r="B970" s="11" t="inlineStr">
        <is>
          <t>Sundries</t>
        </is>
      </c>
      <c r="C970" s="22" t="inlineStr">
        <is>
          <t>L.S.</t>
        </is>
      </c>
      <c r="D970" s="23" t="n">
        <v>33.8</v>
      </c>
      <c r="E970" s="24" t="n">
        <v>2</v>
      </c>
      <c r="F970" s="24">
        <f>D970*E970</f>
        <v/>
      </c>
      <c r="G970" s="22" t="n"/>
    </row>
    <row r="971">
      <c r="A971" s="8" t="inlineStr">
        <is>
          <t>Calculated W - SUM of the Amount column above</t>
        </is>
      </c>
      <c r="B971" s="9" t="n"/>
      <c r="C971" s="9" t="n"/>
      <c r="D971" s="9" t="n"/>
      <c r="E971" s="9" t="n"/>
      <c r="F971" s="25">
        <f>SUM(F959:F970)</f>
        <v/>
      </c>
      <c r="G971" s="9" t="n"/>
    </row>
    <row r="972">
      <c r="A972" s="26" t="inlineStr">
        <is>
          <t>W as printed in the DAR</t>
        </is>
      </c>
      <c r="B972" s="22" t="n"/>
      <c r="C972" s="22" t="n"/>
      <c r="D972" s="22" t="n"/>
      <c r="E972" s="22" t="n"/>
      <c r="F972" s="27" t="n">
        <v>6814.83</v>
      </c>
      <c r="G972" s="22" t="n"/>
    </row>
    <row r="973">
      <c r="A973" s="26" t="inlineStr">
        <is>
          <t>Difference (calculated - printed)</t>
        </is>
      </c>
      <c r="B973" s="22" t="n"/>
      <c r="C973" s="22" t="n"/>
      <c r="D973" s="22" t="n"/>
      <c r="E973" s="22" t="n"/>
      <c r="F973" s="27">
        <f>F971-F972</f>
        <v/>
      </c>
      <c r="G973" s="22" t="n"/>
    </row>
    <row r="974">
      <c r="A974" s="29" t="inlineStr">
        <is>
          <t>SAY (Rs.) - final DAR rate as printed (fixed value, not computed)</t>
        </is>
      </c>
      <c r="B974" s="30" t="n"/>
      <c r="C974" s="30" t="n"/>
      <c r="D974" s="30" t="n"/>
      <c r="E974" s="30" t="n"/>
      <c r="F974" s="31" t="n">
        <v>4221.2</v>
      </c>
      <c r="G974" s="30" t="n"/>
    </row>
    <row r="976" ht="33" customHeight="1">
      <c r="A976" s="8" t="inlineStr">
        <is>
          <t>9.27</t>
        </is>
      </c>
      <c r="B976" s="17" t="inlineStr">
        <is>
          <t>Providing and fixing wire gauge shutters using galvanized M.S. wire gauge of average width of aperture 1.4 mm in both directions with wire of dia 0.63 mm, for doors, windows and clerestory windows with hinges and necessary screws :</t>
        </is>
      </c>
      <c r="C976" s="9" t="n"/>
      <c r="D976" s="9" t="n"/>
      <c r="E976" s="9" t="n"/>
      <c r="F976" s="9" t="n"/>
      <c r="G976" s="9" t="n"/>
    </row>
    <row r="977" ht="18.5" customHeight="1">
      <c r="A977" s="8" t="inlineStr">
        <is>
          <t>9.27.1</t>
        </is>
      </c>
      <c r="B977" s="17" t="inlineStr">
        <is>
          <t>35 mm thick shutters</t>
        </is>
      </c>
      <c r="C977" s="9" t="n"/>
      <c r="D977" s="9" t="n"/>
      <c r="E977" s="9" t="n"/>
      <c r="F977" s="9" t="n"/>
      <c r="G977" s="9" t="n"/>
    </row>
    <row r="978" ht="18.5" customHeight="1">
      <c r="A978" s="8" t="inlineStr">
        <is>
          <t>9.27.1.1</t>
        </is>
      </c>
      <c r="B978" s="17" t="inlineStr">
        <is>
          <t>with ISI marked M.S. pressed butt hinges bright finished of required size</t>
        </is>
      </c>
      <c r="C978" s="9" t="n"/>
      <c r="D978" s="9" t="n"/>
      <c r="E978" s="9" t="n"/>
      <c r="F978" s="9" t="n"/>
      <c r="G978" s="9" t="n"/>
    </row>
    <row r="979" ht="18.5" customHeight="1">
      <c r="A979" s="18" t="inlineStr">
        <is>
          <t>9.27.1.1.2</t>
        </is>
      </c>
      <c r="B979" s="19" t="inlineStr">
        <is>
          <t>Kiln seasoned and chemically treated hollock wood</t>
        </is>
      </c>
      <c r="C979" s="20" t="n"/>
      <c r="D979" s="20" t="n"/>
      <c r="E979" s="20" t="n"/>
      <c r="F979" s="20" t="n"/>
      <c r="G979" s="20" t="n"/>
    </row>
    <row r="980">
      <c r="A980" s="21" t="inlineStr">
        <is>
          <t>Details of cost for 2.16 sqm   |   Source: CivilDAR_2019_Vol_1.pdf, page 474</t>
        </is>
      </c>
    </row>
    <row r="981">
      <c r="A981" s="5" t="inlineStr">
        <is>
          <t>Code</t>
        </is>
      </c>
      <c r="B981" s="5" t="inlineStr">
        <is>
          <t>Description</t>
        </is>
      </c>
      <c r="C981" s="5" t="inlineStr">
        <is>
          <t>Unit</t>
        </is>
      </c>
      <c r="D981" s="5" t="inlineStr">
        <is>
          <t>Quantity</t>
        </is>
      </c>
      <c r="E981" s="5" t="inlineStr">
        <is>
          <t>Rate (Rs.)</t>
        </is>
      </c>
      <c r="F981" s="5" t="inlineStr">
        <is>
          <t>Amount (Rs.)</t>
        </is>
      </c>
      <c r="G981" s="5" t="inlineStr">
        <is>
          <t>Note</t>
        </is>
      </c>
    </row>
    <row r="982">
      <c r="A982" s="22" t="inlineStr">
        <is>
          <t>2505</t>
        </is>
      </c>
      <c r="B982" s="11" t="inlineStr">
        <is>
          <t>Hollock wood in planks</t>
        </is>
      </c>
      <c r="C982" s="22" t="inlineStr">
        <is>
          <t>10 cudm</t>
        </is>
      </c>
      <c r="D982" s="23" t="n">
        <v>5.14</v>
      </c>
      <c r="E982" s="24" t="n">
        <v>390</v>
      </c>
      <c r="F982" s="24">
        <f>D982*E982</f>
        <v/>
      </c>
      <c r="G982" s="22" t="n"/>
    </row>
    <row r="983">
      <c r="A983" s="22" t="inlineStr">
        <is>
          <t>2204</t>
        </is>
      </c>
      <c r="B983" s="11" t="inlineStr">
        <is>
          <t>Carriage of Timber</t>
        </is>
      </c>
      <c r="C983" s="22" t="inlineStr">
        <is>
          <t>cum</t>
        </is>
      </c>
      <c r="D983" s="23" t="n">
        <v>0.0514</v>
      </c>
      <c r="E983" s="24" t="n">
        <v>118.59</v>
      </c>
      <c r="F983" s="24">
        <f>D983*E983</f>
        <v/>
      </c>
      <c r="G983" s="22" t="n"/>
    </row>
    <row r="984">
      <c r="A984" s="22" t="inlineStr">
        <is>
          <t>2504</t>
        </is>
      </c>
      <c r="B984" s="11" t="inlineStr">
        <is>
          <t>Kiln seasoning of timber</t>
        </is>
      </c>
      <c r="C984" s="22" t="inlineStr">
        <is>
          <t>cum</t>
        </is>
      </c>
      <c r="D984" s="23" t="n">
        <v>0.0514</v>
      </c>
      <c r="E984" s="24" t="n">
        <v>750</v>
      </c>
      <c r="F984" s="24">
        <f>D984*E984</f>
        <v/>
      </c>
      <c r="G984" s="22" t="n"/>
    </row>
    <row r="985">
      <c r="A985" s="22" t="inlineStr">
        <is>
          <t>9999</t>
        </is>
      </c>
      <c r="B985" s="11" t="inlineStr">
        <is>
          <t>Chemical treatment</t>
        </is>
      </c>
      <c r="C985" s="22" t="inlineStr">
        <is>
          <t>L.S.</t>
        </is>
      </c>
      <c r="D985" s="23" t="n">
        <v>8.970000000000001</v>
      </c>
      <c r="E985" s="24" t="n">
        <v>2</v>
      </c>
      <c r="F985" s="24">
        <f>D985*E985</f>
        <v/>
      </c>
      <c r="G985" s="22" t="n"/>
    </row>
    <row r="986">
      <c r="A986" s="22" t="inlineStr">
        <is>
          <t>7029</t>
        </is>
      </c>
      <c r="B986" s="11" t="inlineStr">
        <is>
          <t>Galvanised wire mesh of average width of aperture 1.4 mm and nominal dia. Of wire 0.63 mm</t>
        </is>
      </c>
      <c r="C986" s="22" t="inlineStr">
        <is>
          <t>sqm</t>
        </is>
      </c>
      <c r="D986" s="23" t="n">
        <v>1.41</v>
      </c>
      <c r="E986" s="24" t="n">
        <v>250</v>
      </c>
      <c r="F986" s="24">
        <f>D986*E986</f>
        <v/>
      </c>
      <c r="G986" s="22" t="n"/>
    </row>
    <row r="987">
      <c r="A987" s="22" t="inlineStr">
        <is>
          <t>0595</t>
        </is>
      </c>
      <c r="B987" s="11" t="inlineStr">
        <is>
          <t>Bright finished or black enamelled mild steel butt hinges 100x58x1.90 mm</t>
        </is>
      </c>
      <c r="C987" s="22" t="inlineStr">
        <is>
          <t>10 Nos</t>
        </is>
      </c>
      <c r="D987" s="23" t="n">
        <v>0.6</v>
      </c>
      <c r="E987" s="24" t="n">
        <v>80</v>
      </c>
      <c r="F987" s="24">
        <f>D987*E987</f>
        <v/>
      </c>
      <c r="G987" s="22" t="n"/>
    </row>
    <row r="988">
      <c r="A988" s="22" t="inlineStr">
        <is>
          <t>0597</t>
        </is>
      </c>
      <c r="B988" s="11" t="inlineStr">
        <is>
          <t>Bright finished or black enamelled mild steel butt hinges50x37x1.50 mm</t>
        </is>
      </c>
      <c r="C988" s="22" t="inlineStr">
        <is>
          <t>10 Nos</t>
        </is>
      </c>
      <c r="D988" s="23" t="n">
        <v>0.2</v>
      </c>
      <c r="E988" s="24" t="n">
        <v>49</v>
      </c>
      <c r="F988" s="24">
        <f>D988*E988</f>
        <v/>
      </c>
      <c r="G988" s="22" t="n"/>
    </row>
    <row r="989">
      <c r="A989" s="22" t="inlineStr">
        <is>
          <t>0637</t>
        </is>
      </c>
      <c r="B989" s="11" t="inlineStr">
        <is>
          <t>Bright finished or black enamelled mild steel screws 40 mm</t>
        </is>
      </c>
      <c r="C989" s="22" t="inlineStr">
        <is>
          <t>100 Nos</t>
        </is>
      </c>
      <c r="D989" s="23" t="n">
        <v>0.48</v>
      </c>
      <c r="E989" s="24" t="n">
        <v>60</v>
      </c>
      <c r="F989" s="24">
        <f>D989*E989</f>
        <v/>
      </c>
      <c r="G989" s="22" t="n"/>
    </row>
    <row r="990">
      <c r="A990" s="22" t="inlineStr">
        <is>
          <t>0640</t>
        </is>
      </c>
      <c r="B990" s="11" t="inlineStr">
        <is>
          <t>Bright finished or black enamelled mild steel screws 20 mm</t>
        </is>
      </c>
      <c r="C990" s="22" t="inlineStr">
        <is>
          <t>100 Nos</t>
        </is>
      </c>
      <c r="D990" s="23" t="n">
        <v>0.08</v>
      </c>
      <c r="E990" s="24" t="n">
        <v>30</v>
      </c>
      <c r="F990" s="24">
        <f>D990*E990</f>
        <v/>
      </c>
      <c r="G990" s="22" t="n"/>
    </row>
    <row r="991">
      <c r="A991" s="22" t="inlineStr">
        <is>
          <t>0111</t>
        </is>
      </c>
      <c r="B991" s="11" t="inlineStr">
        <is>
          <t>Carpenter 1st class</t>
        </is>
      </c>
      <c r="C991" s="22" t="inlineStr">
        <is>
          <t>day</t>
        </is>
      </c>
      <c r="D991" s="23" t="n">
        <v>1.3</v>
      </c>
      <c r="E991" s="24" t="n">
        <v>738</v>
      </c>
      <c r="F991" s="24">
        <f>D991*E991</f>
        <v/>
      </c>
      <c r="G991" s="22" t="n"/>
    </row>
    <row r="992">
      <c r="A992" s="22" t="inlineStr">
        <is>
          <t>0112</t>
        </is>
      </c>
      <c r="B992" s="11" t="inlineStr">
        <is>
          <t>Carpenter 2nd class</t>
        </is>
      </c>
      <c r="C992" s="22" t="inlineStr">
        <is>
          <t>day</t>
        </is>
      </c>
      <c r="D992" s="23" t="n">
        <v>0.9</v>
      </c>
      <c r="E992" s="24" t="n">
        <v>679</v>
      </c>
      <c r="F992" s="24">
        <f>D992*E992</f>
        <v/>
      </c>
      <c r="G992" s="22" t="n"/>
    </row>
    <row r="993">
      <c r="A993" s="22" t="inlineStr">
        <is>
          <t>0114</t>
        </is>
      </c>
      <c r="B993" s="11" t="inlineStr">
        <is>
          <t>Beldar</t>
        </is>
      </c>
      <c r="C993" s="22" t="inlineStr">
        <is>
          <t>day</t>
        </is>
      </c>
      <c r="D993" s="23" t="n">
        <v>1.05</v>
      </c>
      <c r="E993" s="24" t="n">
        <v>558</v>
      </c>
      <c r="F993" s="24">
        <f>D993*E993</f>
        <v/>
      </c>
      <c r="G993" s="22" t="n"/>
    </row>
    <row r="994">
      <c r="A994" s="22" t="inlineStr">
        <is>
          <t>0130</t>
        </is>
      </c>
      <c r="B994" s="11" t="inlineStr">
        <is>
          <t>Mistry</t>
        </is>
      </c>
      <c r="C994" s="22" t="inlineStr">
        <is>
          <t>day</t>
        </is>
      </c>
      <c r="D994" s="23" t="n">
        <v>0.105</v>
      </c>
      <c r="E994" s="24" t="n">
        <v>738</v>
      </c>
      <c r="F994" s="24">
        <f>D994*E994</f>
        <v/>
      </c>
      <c r="G994" s="22" t="n"/>
    </row>
    <row r="995">
      <c r="A995" s="22" t="inlineStr">
        <is>
          <t>9999</t>
        </is>
      </c>
      <c r="B995" s="11" t="inlineStr">
        <is>
          <t>Sundries</t>
        </is>
      </c>
      <c r="C995" s="22" t="inlineStr">
        <is>
          <t>L.S.</t>
        </is>
      </c>
      <c r="D995" s="23" t="n">
        <v>33.8</v>
      </c>
      <c r="E995" s="24" t="n">
        <v>2</v>
      </c>
      <c r="F995" s="24">
        <f>D995*E995</f>
        <v/>
      </c>
      <c r="G995" s="22" t="n"/>
    </row>
    <row r="996">
      <c r="A996" s="8" t="inlineStr">
        <is>
          <t>Calculated W - SUM of the Amount column above</t>
        </is>
      </c>
      <c r="B996" s="9" t="n"/>
      <c r="C996" s="9" t="n"/>
      <c r="D996" s="9" t="n"/>
      <c r="E996" s="9" t="n"/>
      <c r="F996" s="25">
        <f>SUM(F982:F995)</f>
        <v/>
      </c>
      <c r="G996" s="9" t="n"/>
    </row>
    <row r="997">
      <c r="A997" s="26" t="inlineStr">
        <is>
          <t>W as printed in the DAR</t>
        </is>
      </c>
      <c r="B997" s="22" t="n"/>
      <c r="C997" s="22" t="n"/>
      <c r="D997" s="22" t="n"/>
      <c r="E997" s="22" t="n"/>
      <c r="F997" s="27" t="n">
        <v>4810.18</v>
      </c>
      <c r="G997" s="22" t="n"/>
    </row>
    <row r="998">
      <c r="A998" s="26" t="inlineStr">
        <is>
          <t>Difference (calculated - printed)</t>
        </is>
      </c>
      <c r="B998" s="22" t="n"/>
      <c r="C998" s="22" t="n"/>
      <c r="D998" s="22" t="n"/>
      <c r="E998" s="22" t="n"/>
      <c r="F998" s="27">
        <f>F996-F997</f>
        <v/>
      </c>
      <c r="G998" s="22" t="n"/>
    </row>
    <row r="999">
      <c r="A999" s="29" t="inlineStr">
        <is>
          <t>SAY (Rs.) - final DAR rate as printed (fixed value, not computed)</t>
        </is>
      </c>
      <c r="B999" s="30" t="n"/>
      <c r="C999" s="30" t="n"/>
      <c r="D999" s="30" t="n"/>
      <c r="E999" s="30" t="n"/>
      <c r="F999" s="31" t="n">
        <v>2979.5</v>
      </c>
      <c r="G999" s="30" t="n"/>
    </row>
    <row r="1001" ht="33" customHeight="1">
      <c r="A1001" s="8" t="inlineStr">
        <is>
          <t>9.27</t>
        </is>
      </c>
      <c r="B1001" s="17" t="inlineStr">
        <is>
          <t>Providing and fixing wire gauge shutters using galvanized M.S. wire gauge of average width of aperture 1.4 mm in both directions with wire of dia 0.63 mm, for doors, windows and clerestory windows with hinges and necessary screws :</t>
        </is>
      </c>
      <c r="C1001" s="9" t="n"/>
      <c r="D1001" s="9" t="n"/>
      <c r="E1001" s="9" t="n"/>
      <c r="F1001" s="9" t="n"/>
      <c r="G1001" s="9" t="n"/>
    </row>
    <row r="1002" ht="18.5" customHeight="1">
      <c r="A1002" s="8" t="inlineStr">
        <is>
          <t>9.27.1</t>
        </is>
      </c>
      <c r="B1002" s="17" t="inlineStr">
        <is>
          <t>35 mm thick shutters</t>
        </is>
      </c>
      <c r="C1002" s="9" t="n"/>
      <c r="D1002" s="9" t="n"/>
      <c r="E1002" s="9" t="n"/>
      <c r="F1002" s="9" t="n"/>
      <c r="G1002" s="9" t="n"/>
    </row>
    <row r="1003" ht="18.5" customHeight="1">
      <c r="A1003" s="8" t="inlineStr">
        <is>
          <t>9.27.1.1</t>
        </is>
      </c>
      <c r="B1003" s="17" t="inlineStr">
        <is>
          <t>with ISI marked M.S. pressed butt hinges bright finished of required size</t>
        </is>
      </c>
      <c r="C1003" s="9" t="n"/>
      <c r="D1003" s="9" t="n"/>
      <c r="E1003" s="9" t="n"/>
      <c r="F1003" s="9" t="n"/>
      <c r="G1003" s="9" t="n"/>
    </row>
    <row r="1004" ht="18.5" customHeight="1">
      <c r="A1004" s="18" t="inlineStr">
        <is>
          <t>9.27.1.1.3</t>
        </is>
      </c>
      <c r="B1004" s="19" t="inlineStr">
        <is>
          <t>Kiln seasoned selected class of sheesham wood</t>
        </is>
      </c>
      <c r="C1004" s="20" t="n"/>
      <c r="D1004" s="20" t="n"/>
      <c r="E1004" s="20" t="n"/>
      <c r="F1004" s="20" t="n"/>
      <c r="G1004" s="20" t="n"/>
    </row>
    <row r="1005">
      <c r="A1005" s="21" t="inlineStr">
        <is>
          <t>Details of cost for 2.16 sqm   |   Source: CivilDAR_2019_Vol_1.pdf, page 475</t>
        </is>
      </c>
    </row>
    <row r="1006">
      <c r="A1006" s="5" t="inlineStr">
        <is>
          <t>Code</t>
        </is>
      </c>
      <c r="B1006" s="5" t="inlineStr">
        <is>
          <t>Description</t>
        </is>
      </c>
      <c r="C1006" s="5" t="inlineStr">
        <is>
          <t>Unit</t>
        </is>
      </c>
      <c r="D1006" s="5" t="inlineStr">
        <is>
          <t>Quantity</t>
        </is>
      </c>
      <c r="E1006" s="5" t="inlineStr">
        <is>
          <t>Rate (Rs.)</t>
        </is>
      </c>
      <c r="F1006" s="5" t="inlineStr">
        <is>
          <t>Amount (Rs.)</t>
        </is>
      </c>
      <c r="G1006" s="5" t="inlineStr">
        <is>
          <t>Note</t>
        </is>
      </c>
    </row>
    <row r="1007">
      <c r="A1007" s="22" t="inlineStr">
        <is>
          <t>1200</t>
        </is>
      </c>
      <c r="B1007" s="11" t="inlineStr">
        <is>
          <t>Kiln seasoned selected sheesum wood planks</t>
        </is>
      </c>
      <c r="C1007" s="22" t="inlineStr">
        <is>
          <t>10 cudm</t>
        </is>
      </c>
      <c r="D1007" s="23" t="n">
        <v>5.14</v>
      </c>
      <c r="E1007" s="24" t="n">
        <v>650</v>
      </c>
      <c r="F1007" s="24">
        <f>D1007*E1007</f>
        <v/>
      </c>
      <c r="G1007" s="22" t="n"/>
    </row>
    <row r="1008">
      <c r="A1008" s="22" t="inlineStr">
        <is>
          <t>2204</t>
        </is>
      </c>
      <c r="B1008" s="11" t="inlineStr">
        <is>
          <t>Carriage of Timber</t>
        </is>
      </c>
      <c r="C1008" s="22" t="inlineStr">
        <is>
          <t>cum</t>
        </is>
      </c>
      <c r="D1008" s="23" t="n">
        <v>0.0514</v>
      </c>
      <c r="E1008" s="24" t="n">
        <v>118.59</v>
      </c>
      <c r="F1008" s="24">
        <f>D1008*E1008</f>
        <v/>
      </c>
      <c r="G1008" s="22" t="n"/>
    </row>
    <row r="1009">
      <c r="A1009" s="22" t="inlineStr">
        <is>
          <t>2504</t>
        </is>
      </c>
      <c r="B1009" s="11" t="inlineStr">
        <is>
          <t>Kiln seasoning of timber</t>
        </is>
      </c>
      <c r="C1009" s="22" t="inlineStr">
        <is>
          <t>cum</t>
        </is>
      </c>
      <c r="D1009" s="23" t="n">
        <v>0.0514</v>
      </c>
      <c r="E1009" s="24" t="n">
        <v>750</v>
      </c>
      <c r="F1009" s="24">
        <f>D1009*E1009</f>
        <v/>
      </c>
      <c r="G1009" s="22" t="n"/>
    </row>
    <row r="1010">
      <c r="A1010" s="22" t="inlineStr">
        <is>
          <t>7029</t>
        </is>
      </c>
      <c r="B1010" s="11" t="inlineStr">
        <is>
          <t>Galvanised wire mesh of average width of aperture 1.4 mm and nominal dia. of wire 0.63 mm</t>
        </is>
      </c>
      <c r="C1010" s="22" t="inlineStr">
        <is>
          <t>sqm</t>
        </is>
      </c>
      <c r="D1010" s="23" t="n">
        <v>1.41</v>
      </c>
      <c r="E1010" s="24" t="n">
        <v>250</v>
      </c>
      <c r="F1010" s="24">
        <f>D1010*E1010</f>
        <v/>
      </c>
      <c r="G1010" s="22" t="n"/>
    </row>
    <row r="1011">
      <c r="A1011" s="22" t="inlineStr">
        <is>
          <t>0595</t>
        </is>
      </c>
      <c r="B1011" s="11" t="inlineStr">
        <is>
          <t>Bright finished or black enamelled mild steel butt hinges 100x58x1.90 mm</t>
        </is>
      </c>
      <c r="C1011" s="22" t="inlineStr">
        <is>
          <t>10 Nos</t>
        </is>
      </c>
      <c r="D1011" s="23" t="n">
        <v>0.6</v>
      </c>
      <c r="E1011" s="24" t="n">
        <v>80</v>
      </c>
      <c r="F1011" s="24">
        <f>D1011*E1011</f>
        <v/>
      </c>
      <c r="G1011" s="22" t="n"/>
    </row>
    <row r="1012">
      <c r="A1012" s="22" t="inlineStr">
        <is>
          <t>0597</t>
        </is>
      </c>
      <c r="B1012" s="11" t="inlineStr">
        <is>
          <t>Bright finished or black enamelled mild steel butt hinges50x37x1.50 mm</t>
        </is>
      </c>
      <c r="C1012" s="22" t="inlineStr">
        <is>
          <t>10 Nos</t>
        </is>
      </c>
      <c r="D1012" s="23" t="n">
        <v>0.2</v>
      </c>
      <c r="E1012" s="24" t="n">
        <v>49</v>
      </c>
      <c r="F1012" s="24">
        <f>D1012*E1012</f>
        <v/>
      </c>
      <c r="G1012" s="22" t="n"/>
    </row>
    <row r="1013">
      <c r="A1013" s="22" t="inlineStr">
        <is>
          <t>0637</t>
        </is>
      </c>
      <c r="B1013" s="11" t="inlineStr">
        <is>
          <t>Bright finished or black enamelled mild steel screws 40 mm</t>
        </is>
      </c>
      <c r="C1013" s="22" t="inlineStr">
        <is>
          <t>100 Nos</t>
        </is>
      </c>
      <c r="D1013" s="23" t="n">
        <v>0.48</v>
      </c>
      <c r="E1013" s="24" t="n">
        <v>60</v>
      </c>
      <c r="F1013" s="24">
        <f>D1013*E1013</f>
        <v/>
      </c>
      <c r="G1013" s="22" t="n"/>
    </row>
    <row r="1014">
      <c r="A1014" s="22" t="inlineStr">
        <is>
          <t>0640</t>
        </is>
      </c>
      <c r="B1014" s="11" t="inlineStr">
        <is>
          <t>Bright finished or black enamelled mild steel screws 20 mm</t>
        </is>
      </c>
      <c r="C1014" s="22" t="inlineStr">
        <is>
          <t>100 Nos</t>
        </is>
      </c>
      <c r="D1014" s="23" t="n">
        <v>0.08</v>
      </c>
      <c r="E1014" s="24" t="n">
        <v>30</v>
      </c>
      <c r="F1014" s="24">
        <f>D1014*E1014</f>
        <v/>
      </c>
      <c r="G1014" s="22" t="n"/>
    </row>
    <row r="1015">
      <c r="A1015" s="22" t="inlineStr">
        <is>
          <t>0111</t>
        </is>
      </c>
      <c r="B1015" s="11" t="inlineStr">
        <is>
          <t>Carpenter 1st class</t>
        </is>
      </c>
      <c r="C1015" s="22" t="inlineStr">
        <is>
          <t>day</t>
        </is>
      </c>
      <c r="D1015" s="23" t="n">
        <v>1.3</v>
      </c>
      <c r="E1015" s="24" t="n">
        <v>738</v>
      </c>
      <c r="F1015" s="24">
        <f>D1015*E1015</f>
        <v/>
      </c>
      <c r="G1015" s="22" t="n"/>
    </row>
    <row r="1016">
      <c r="A1016" s="22" t="inlineStr">
        <is>
          <t>0112</t>
        </is>
      </c>
      <c r="B1016" s="11" t="inlineStr">
        <is>
          <t>Carpenter 2nd class</t>
        </is>
      </c>
      <c r="C1016" s="22" t="inlineStr">
        <is>
          <t>day</t>
        </is>
      </c>
      <c r="D1016" s="23" t="n">
        <v>0.9</v>
      </c>
      <c r="E1016" s="24" t="n">
        <v>679</v>
      </c>
      <c r="F1016" s="24">
        <f>D1016*E1016</f>
        <v/>
      </c>
      <c r="G1016" s="22" t="n"/>
    </row>
    <row r="1017">
      <c r="A1017" s="22" t="inlineStr">
        <is>
          <t>0114</t>
        </is>
      </c>
      <c r="B1017" s="11" t="inlineStr">
        <is>
          <t>Beldar</t>
        </is>
      </c>
      <c r="C1017" s="22" t="inlineStr">
        <is>
          <t>day</t>
        </is>
      </c>
      <c r="D1017" s="23" t="n">
        <v>1.05</v>
      </c>
      <c r="E1017" s="24" t="n">
        <v>558</v>
      </c>
      <c r="F1017" s="24">
        <f>D1017*E1017</f>
        <v/>
      </c>
      <c r="G1017" s="22" t="n"/>
    </row>
    <row r="1018">
      <c r="A1018" s="22" t="inlineStr">
        <is>
          <t>0130</t>
        </is>
      </c>
      <c r="B1018" s="11" t="inlineStr">
        <is>
          <t>Mistry</t>
        </is>
      </c>
      <c r="C1018" s="22" t="inlineStr">
        <is>
          <t>day</t>
        </is>
      </c>
      <c r="D1018" s="23" t="n">
        <v>0.105</v>
      </c>
      <c r="E1018" s="24" t="n">
        <v>738</v>
      </c>
      <c r="F1018" s="24">
        <f>D1018*E1018</f>
        <v/>
      </c>
      <c r="G1018" s="22" t="n"/>
    </row>
    <row r="1019">
      <c r="A1019" s="22" t="inlineStr">
        <is>
          <t>9999</t>
        </is>
      </c>
      <c r="B1019" s="11" t="inlineStr">
        <is>
          <t>Sundries</t>
        </is>
      </c>
      <c r="C1019" s="22" t="inlineStr">
        <is>
          <t>L.S.</t>
        </is>
      </c>
      <c r="D1019" s="23" t="n">
        <v>33.8</v>
      </c>
      <c r="E1019" s="24" t="n">
        <v>2</v>
      </c>
      <c r="F1019" s="24">
        <f>D1019*E1019</f>
        <v/>
      </c>
      <c r="G1019" s="22" t="n"/>
    </row>
    <row r="1020">
      <c r="A1020" s="8" t="inlineStr">
        <is>
          <t>Calculated W - SUM of the Amount column above</t>
        </is>
      </c>
      <c r="B1020" s="9" t="n"/>
      <c r="C1020" s="9" t="n"/>
      <c r="D1020" s="9" t="n"/>
      <c r="E1020" s="9" t="n"/>
      <c r="F1020" s="25">
        <f>SUM(F1007:F1019)</f>
        <v/>
      </c>
      <c r="G1020" s="9" t="n"/>
    </row>
    <row r="1021">
      <c r="A1021" s="26" t="inlineStr">
        <is>
          <t>W as printed in the DAR</t>
        </is>
      </c>
      <c r="B1021" s="22" t="n"/>
      <c r="C1021" s="22" t="n"/>
      <c r="D1021" s="22" t="n"/>
      <c r="E1021" s="22" t="n"/>
      <c r="F1021" s="27" t="n">
        <v>6128.64</v>
      </c>
      <c r="G1021" s="22" t="n"/>
    </row>
    <row r="1022">
      <c r="A1022" s="26" t="inlineStr">
        <is>
          <t>Difference (calculated - printed)</t>
        </is>
      </c>
      <c r="B1022" s="22" t="n"/>
      <c r="C1022" s="22" t="n"/>
      <c r="D1022" s="22" t="n"/>
      <c r="E1022" s="22" t="n"/>
      <c r="F1022" s="27">
        <f>F1020-F1021</f>
        <v/>
      </c>
      <c r="G1022" s="22" t="n"/>
    </row>
    <row r="1023">
      <c r="A1023" s="29" t="inlineStr">
        <is>
          <t>SAY (Rs.) - final DAR rate as printed (fixed value, not computed)</t>
        </is>
      </c>
      <c r="B1023" s="30" t="n"/>
      <c r="C1023" s="30" t="n"/>
      <c r="D1023" s="30" t="n"/>
      <c r="E1023" s="30" t="n"/>
      <c r="F1023" s="31" t="n">
        <v>3796.15</v>
      </c>
      <c r="G1023" s="30" t="n"/>
    </row>
    <row r="1025" ht="33" customHeight="1">
      <c r="A1025" s="8" t="inlineStr">
        <is>
          <t>9.27</t>
        </is>
      </c>
      <c r="B1025" s="17" t="inlineStr">
        <is>
          <t>Providing and fixing wire gauge shutters using galvanized M.S. wire gauge of average width of aperture 1.4 mm in both directions with wire of dia 0.63 mm, for doors, windows and clerestory windows with hinges and necessary screws :</t>
        </is>
      </c>
      <c r="C1025" s="9" t="n"/>
      <c r="D1025" s="9" t="n"/>
      <c r="E1025" s="9" t="n"/>
      <c r="F1025" s="9" t="n"/>
      <c r="G1025" s="9" t="n"/>
    </row>
    <row r="1026" ht="18.5" customHeight="1">
      <c r="A1026" s="8" t="inlineStr">
        <is>
          <t>9.27.1</t>
        </is>
      </c>
      <c r="B1026" s="17" t="inlineStr">
        <is>
          <t>35 mm thick shutters</t>
        </is>
      </c>
      <c r="C1026" s="9" t="n"/>
      <c r="D1026" s="9" t="n"/>
      <c r="E1026" s="9" t="n"/>
      <c r="F1026" s="9" t="n"/>
      <c r="G1026" s="9" t="n"/>
    </row>
    <row r="1027" ht="18.5" customHeight="1">
      <c r="A1027" s="8" t="inlineStr">
        <is>
          <t>9.27.1.2</t>
        </is>
      </c>
      <c r="B1027" s="17" t="inlineStr">
        <is>
          <t>With ISI marked stainless steel butt hinges of required size</t>
        </is>
      </c>
      <c r="C1027" s="9" t="n"/>
      <c r="D1027" s="9" t="n"/>
      <c r="E1027" s="9" t="n"/>
      <c r="F1027" s="9" t="n"/>
      <c r="G1027" s="9" t="n"/>
    </row>
    <row r="1028" ht="18.5" customHeight="1">
      <c r="A1028" s="18" t="inlineStr">
        <is>
          <t>9.27.1.2.1</t>
        </is>
      </c>
      <c r="B1028" s="19" t="inlineStr">
        <is>
          <t>Second class teak wood</t>
        </is>
      </c>
      <c r="C1028" s="20" t="n"/>
      <c r="D1028" s="20" t="n"/>
      <c r="E1028" s="20" t="n"/>
      <c r="F1028" s="20" t="n"/>
      <c r="G1028" s="20" t="n"/>
    </row>
    <row r="1029">
      <c r="A1029" s="21" t="inlineStr">
        <is>
          <t>Details of cost for 2.16 sqm   |   Source: CivilDAR_2019_Vol_1.pdf, page 476</t>
        </is>
      </c>
    </row>
    <row r="1030">
      <c r="A1030" s="5" t="inlineStr">
        <is>
          <t>Code</t>
        </is>
      </c>
      <c r="B1030" s="5" t="inlineStr">
        <is>
          <t>Description</t>
        </is>
      </c>
      <c r="C1030" s="5" t="inlineStr">
        <is>
          <t>Unit</t>
        </is>
      </c>
      <c r="D1030" s="5" t="inlineStr">
        <is>
          <t>Quantity</t>
        </is>
      </c>
      <c r="E1030" s="5" t="inlineStr">
        <is>
          <t>Rate (Rs.)</t>
        </is>
      </c>
      <c r="F1030" s="5" t="inlineStr">
        <is>
          <t>Amount (Rs.)</t>
        </is>
      </c>
      <c r="G1030" s="5" t="inlineStr">
        <is>
          <t>Note</t>
        </is>
      </c>
    </row>
    <row r="1031">
      <c r="A1031" s="22" t="inlineStr">
        <is>
          <t>1190</t>
        </is>
      </c>
      <c r="B1031" s="11" t="inlineStr">
        <is>
          <t>Second class teak wood in planks</t>
        </is>
      </c>
      <c r="C1031" s="22" t="inlineStr">
        <is>
          <t>10 cudm</t>
        </is>
      </c>
      <c r="D1031" s="23" t="n">
        <v>5.14</v>
      </c>
      <c r="E1031" s="24" t="n">
        <v>791</v>
      </c>
      <c r="F1031" s="24">
        <f>D1031*E1031</f>
        <v/>
      </c>
      <c r="G1031" s="22" t="n"/>
    </row>
    <row r="1032">
      <c r="A1032" s="22" t="inlineStr">
        <is>
          <t>7029</t>
        </is>
      </c>
      <c r="B1032" s="11" t="inlineStr">
        <is>
          <t>Galvanised wire mesh of average width of aperture 1.4 mm and nominal dia. Of wire 0.63 mm</t>
        </is>
      </c>
      <c r="C1032" s="22" t="inlineStr">
        <is>
          <t>sqm</t>
        </is>
      </c>
      <c r="D1032" s="23" t="n">
        <v>1.41</v>
      </c>
      <c r="E1032" s="24" t="n">
        <v>250</v>
      </c>
      <c r="F1032" s="24">
        <f>D1032*E1032</f>
        <v/>
      </c>
      <c r="G1032" s="22" t="n"/>
    </row>
    <row r="1033">
      <c r="A1033" s="22" t="inlineStr">
        <is>
          <t>8220</t>
        </is>
      </c>
      <c r="B1033" s="11" t="inlineStr">
        <is>
          <t>Stainless steel butt hinges (heavy weight) 100x60x2.5 mm IS : 12817 marked</t>
        </is>
      </c>
      <c r="C1033" s="22" t="inlineStr">
        <is>
          <t>10 Nos</t>
        </is>
      </c>
      <c r="D1033" s="23" t="n">
        <v>0.6</v>
      </c>
      <c r="E1033" s="24" t="n">
        <v>255</v>
      </c>
      <c r="F1033" s="24">
        <f>D1033*E1033</f>
        <v/>
      </c>
      <c r="G1033" s="22" t="n"/>
    </row>
    <row r="1034">
      <c r="A1034" s="22" t="inlineStr">
        <is>
          <t>8218</t>
        </is>
      </c>
      <c r="B1034" s="11" t="inlineStr">
        <is>
          <t>Stainless steel butt hinges 50x37x 1.5 mm IS : 12817 marked</t>
        </is>
      </c>
      <c r="C1034" s="22" t="inlineStr">
        <is>
          <t>10 Nos</t>
        </is>
      </c>
      <c r="D1034" s="23" t="n">
        <v>0.2</v>
      </c>
      <c r="E1034" s="24" t="n">
        <v>135</v>
      </c>
      <c r="F1034" s="24">
        <f>D1034*E1034</f>
        <v/>
      </c>
      <c r="G1034" s="22" t="n"/>
    </row>
    <row r="1035">
      <c r="A1035" s="22" t="inlineStr">
        <is>
          <t>8211</t>
        </is>
      </c>
      <c r="B1035" s="11" t="inlineStr">
        <is>
          <t>Stainless steel screws 40 mm</t>
        </is>
      </c>
      <c r="C1035" s="22" t="inlineStr">
        <is>
          <t>100 Nos</t>
        </is>
      </c>
      <c r="D1035" s="23" t="n">
        <v>0.48</v>
      </c>
      <c r="E1035" s="24" t="n">
        <v>215</v>
      </c>
      <c r="F1035" s="24">
        <f>D1035*E1035</f>
        <v/>
      </c>
      <c r="G1035" s="22" t="n"/>
    </row>
    <row r="1036">
      <c r="A1036" s="22" t="inlineStr">
        <is>
          <t>8214</t>
        </is>
      </c>
      <c r="B1036" s="11" t="inlineStr">
        <is>
          <t>Stainless steel screws 20 mm</t>
        </is>
      </c>
      <c r="C1036" s="22" t="inlineStr">
        <is>
          <t>100 Nos</t>
        </is>
      </c>
      <c r="D1036" s="23" t="n">
        <v>0.08</v>
      </c>
      <c r="E1036" s="24" t="n">
        <v>125</v>
      </c>
      <c r="F1036" s="24">
        <f>D1036*E1036</f>
        <v/>
      </c>
      <c r="G1036" s="22" t="n"/>
    </row>
    <row r="1037">
      <c r="A1037" s="22" t="inlineStr">
        <is>
          <t>2204</t>
        </is>
      </c>
      <c r="B1037" s="11" t="inlineStr">
        <is>
          <t>Carriage of Timber</t>
        </is>
      </c>
      <c r="C1037" s="22" t="inlineStr">
        <is>
          <t>cum</t>
        </is>
      </c>
      <c r="D1037" s="23" t="n">
        <v>0.0514</v>
      </c>
      <c r="E1037" s="24" t="n">
        <v>118.59</v>
      </c>
      <c r="F1037" s="24">
        <f>D1037*E1037</f>
        <v/>
      </c>
      <c r="G1037" s="22" t="n"/>
    </row>
    <row r="1038">
      <c r="A1038" s="22" t="inlineStr">
        <is>
          <t>0111</t>
        </is>
      </c>
      <c r="B1038" s="11" t="inlineStr">
        <is>
          <t>Carpenter 1st class</t>
        </is>
      </c>
      <c r="C1038" s="22" t="inlineStr">
        <is>
          <t>day</t>
        </is>
      </c>
      <c r="D1038" s="23" t="n">
        <v>1.3</v>
      </c>
      <c r="E1038" s="24" t="n">
        <v>738</v>
      </c>
      <c r="F1038" s="24">
        <f>D1038*E1038</f>
        <v/>
      </c>
      <c r="G1038" s="22" t="n"/>
    </row>
    <row r="1039">
      <c r="A1039" s="22" t="inlineStr">
        <is>
          <t>0112</t>
        </is>
      </c>
      <c r="B1039" s="11" t="inlineStr">
        <is>
          <t>Carpenter 2nd class</t>
        </is>
      </c>
      <c r="C1039" s="22" t="inlineStr">
        <is>
          <t>day</t>
        </is>
      </c>
      <c r="D1039" s="23" t="n">
        <v>0.9</v>
      </c>
      <c r="E1039" s="24" t="n">
        <v>679</v>
      </c>
      <c r="F1039" s="24">
        <f>D1039*E1039</f>
        <v/>
      </c>
      <c r="G1039" s="22" t="n"/>
    </row>
    <row r="1040">
      <c r="A1040" s="22" t="inlineStr">
        <is>
          <t>0114</t>
        </is>
      </c>
      <c r="B1040" s="11" t="inlineStr">
        <is>
          <t>Beldar</t>
        </is>
      </c>
      <c r="C1040" s="22" t="inlineStr">
        <is>
          <t>day</t>
        </is>
      </c>
      <c r="D1040" s="23" t="n">
        <v>1.05</v>
      </c>
      <c r="E1040" s="24" t="n">
        <v>558</v>
      </c>
      <c r="F1040" s="24">
        <f>D1040*E1040</f>
        <v/>
      </c>
      <c r="G1040" s="22" t="n"/>
    </row>
    <row r="1041">
      <c r="A1041" s="22" t="inlineStr">
        <is>
          <t>0130</t>
        </is>
      </c>
      <c r="B1041" s="11" t="inlineStr">
        <is>
          <t>Mistry</t>
        </is>
      </c>
      <c r="C1041" s="22" t="inlineStr">
        <is>
          <t>day</t>
        </is>
      </c>
      <c r="D1041" s="23" t="n">
        <v>0.105</v>
      </c>
      <c r="E1041" s="24" t="n">
        <v>738</v>
      </c>
      <c r="F1041" s="24">
        <f>D1041*E1041</f>
        <v/>
      </c>
      <c r="G1041" s="22" t="n"/>
    </row>
    <row r="1042">
      <c r="A1042" s="22" t="inlineStr">
        <is>
          <t>9999</t>
        </is>
      </c>
      <c r="B1042" s="11" t="inlineStr">
        <is>
          <t>Sundries</t>
        </is>
      </c>
      <c r="C1042" s="22" t="inlineStr">
        <is>
          <t>L.S.</t>
        </is>
      </c>
      <c r="D1042" s="23" t="n">
        <v>33.8</v>
      </c>
      <c r="E1042" s="24" t="n">
        <v>2</v>
      </c>
      <c r="F1042" s="24">
        <f>D1042*E1042</f>
        <v/>
      </c>
      <c r="G1042" s="22" t="n"/>
    </row>
    <row r="1043">
      <c r="A1043" s="8" t="inlineStr">
        <is>
          <t>Calculated W - SUM of the Amount column above</t>
        </is>
      </c>
      <c r="B1043" s="9" t="n"/>
      <c r="C1043" s="9" t="n"/>
      <c r="D1043" s="9" t="n"/>
      <c r="E1043" s="9" t="n"/>
      <c r="F1043" s="25">
        <f>SUM(F1031:F1042)</f>
        <v/>
      </c>
      <c r="G1043" s="9" t="n"/>
    </row>
    <row r="1044">
      <c r="A1044" s="26" t="inlineStr">
        <is>
          <t>W as printed in the DAR</t>
        </is>
      </c>
      <c r="B1044" s="22" t="n"/>
      <c r="C1044" s="22" t="n"/>
      <c r="D1044" s="22" t="n"/>
      <c r="E1044" s="22" t="n"/>
      <c r="F1044" s="27" t="n">
        <v>7019.03</v>
      </c>
      <c r="G1044" s="22" t="n"/>
    </row>
    <row r="1045">
      <c r="A1045" s="26" t="inlineStr">
        <is>
          <t>Difference (calculated - printed)</t>
        </is>
      </c>
      <c r="B1045" s="22" t="n"/>
      <c r="C1045" s="22" t="n"/>
      <c r="D1045" s="22" t="n"/>
      <c r="E1045" s="22" t="n"/>
      <c r="F1045" s="27">
        <f>F1043-F1044</f>
        <v/>
      </c>
      <c r="G1045" s="22" t="n"/>
    </row>
    <row r="1046">
      <c r="A1046" s="29" t="inlineStr">
        <is>
          <t>SAY (Rs.) - final DAR rate as printed (fixed value, not computed)</t>
        </is>
      </c>
      <c r="B1046" s="30" t="n"/>
      <c r="C1046" s="30" t="n"/>
      <c r="D1046" s="30" t="n"/>
      <c r="E1046" s="30" t="n"/>
      <c r="F1046" s="31" t="n">
        <v>4347.7</v>
      </c>
      <c r="G1046" s="30" t="n"/>
    </row>
    <row r="1048" ht="33" customHeight="1">
      <c r="A1048" s="8" t="inlineStr">
        <is>
          <t>9.27</t>
        </is>
      </c>
      <c r="B1048" s="17" t="inlineStr">
        <is>
          <t>Providing and fixing wire gauge shutters using galvanized M.S. wire gauge of average width of aperture 1.4 mm in both directions with wire of dia 0.63 mm, for doors, windows and clerestory windows with hinges and necessary screws :</t>
        </is>
      </c>
      <c r="C1048" s="9" t="n"/>
      <c r="D1048" s="9" t="n"/>
      <c r="E1048" s="9" t="n"/>
      <c r="F1048" s="9" t="n"/>
      <c r="G1048" s="9" t="n"/>
    </row>
    <row r="1049" ht="18.5" customHeight="1">
      <c r="A1049" s="8" t="inlineStr">
        <is>
          <t>9.27.1</t>
        </is>
      </c>
      <c r="B1049" s="17" t="inlineStr">
        <is>
          <t>35 mm thick shutters</t>
        </is>
      </c>
      <c r="C1049" s="9" t="n"/>
      <c r="D1049" s="9" t="n"/>
      <c r="E1049" s="9" t="n"/>
      <c r="F1049" s="9" t="n"/>
      <c r="G1049" s="9" t="n"/>
    </row>
    <row r="1050" ht="18.5" customHeight="1">
      <c r="A1050" s="8" t="inlineStr">
        <is>
          <t>9.27.1.2</t>
        </is>
      </c>
      <c r="B1050" s="17" t="inlineStr">
        <is>
          <t>With ISI marked stainless steel butt hinges of required size</t>
        </is>
      </c>
      <c r="C1050" s="9" t="n"/>
      <c r="D1050" s="9" t="n"/>
      <c r="E1050" s="9" t="n"/>
      <c r="F1050" s="9" t="n"/>
      <c r="G1050" s="9" t="n"/>
    </row>
    <row r="1051" ht="18.5" customHeight="1">
      <c r="A1051" s="18" t="inlineStr">
        <is>
          <t>9.27.1.2.2</t>
        </is>
      </c>
      <c r="B1051" s="19" t="inlineStr">
        <is>
          <t>Kiln seasoned and chemically treated hollock wood</t>
        </is>
      </c>
      <c r="C1051" s="20" t="n"/>
      <c r="D1051" s="20" t="n"/>
      <c r="E1051" s="20" t="n"/>
      <c r="F1051" s="20" t="n"/>
      <c r="G1051" s="20" t="n"/>
    </row>
    <row r="1052">
      <c r="A1052" s="21" t="inlineStr">
        <is>
          <t>Details of cost for 2.16 sqm   |   Source: CivilDAR_2019_Vol_1.pdf, page 477</t>
        </is>
      </c>
    </row>
    <row r="1053">
      <c r="A1053" s="5" t="inlineStr">
        <is>
          <t>Code</t>
        </is>
      </c>
      <c r="B1053" s="5" t="inlineStr">
        <is>
          <t>Description</t>
        </is>
      </c>
      <c r="C1053" s="5" t="inlineStr">
        <is>
          <t>Unit</t>
        </is>
      </c>
      <c r="D1053" s="5" t="inlineStr">
        <is>
          <t>Quantity</t>
        </is>
      </c>
      <c r="E1053" s="5" t="inlineStr">
        <is>
          <t>Rate (Rs.)</t>
        </is>
      </c>
      <c r="F1053" s="5" t="inlineStr">
        <is>
          <t>Amount (Rs.)</t>
        </is>
      </c>
      <c r="G1053" s="5" t="inlineStr">
        <is>
          <t>Note</t>
        </is>
      </c>
    </row>
    <row r="1054">
      <c r="A1054" s="22" t="inlineStr">
        <is>
          <t>2505</t>
        </is>
      </c>
      <c r="B1054" s="11" t="inlineStr">
        <is>
          <t>Hollock wood in planks</t>
        </is>
      </c>
      <c r="C1054" s="22" t="inlineStr">
        <is>
          <t>10 cudm</t>
        </is>
      </c>
      <c r="D1054" s="23" t="n">
        <v>5.14</v>
      </c>
      <c r="E1054" s="24" t="n">
        <v>390</v>
      </c>
      <c r="F1054" s="24">
        <f>D1054*E1054</f>
        <v/>
      </c>
      <c r="G1054" s="22" t="n"/>
    </row>
    <row r="1055">
      <c r="A1055" s="22" t="inlineStr">
        <is>
          <t>2504</t>
        </is>
      </c>
      <c r="B1055" s="11" t="inlineStr">
        <is>
          <t>Kiln seasoning of timber</t>
        </is>
      </c>
      <c r="C1055" s="22" t="inlineStr">
        <is>
          <t>cum</t>
        </is>
      </c>
      <c r="D1055" s="23" t="n">
        <v>0.0514</v>
      </c>
      <c r="E1055" s="24" t="n">
        <v>750</v>
      </c>
      <c r="F1055" s="24">
        <f>D1055*E1055</f>
        <v/>
      </c>
      <c r="G1055" s="22" t="n"/>
    </row>
    <row r="1056">
      <c r="A1056" s="22" t="inlineStr">
        <is>
          <t>9999</t>
        </is>
      </c>
      <c r="B1056" s="11" t="inlineStr">
        <is>
          <t>Chemical treatment</t>
        </is>
      </c>
      <c r="C1056" s="22" t="inlineStr">
        <is>
          <t>L.S.</t>
        </is>
      </c>
      <c r="D1056" s="23" t="n">
        <v>8.970000000000001</v>
      </c>
      <c r="E1056" s="24" t="n">
        <v>2</v>
      </c>
      <c r="F1056" s="24">
        <f>D1056*E1056</f>
        <v/>
      </c>
      <c r="G1056" s="22" t="n"/>
    </row>
    <row r="1057">
      <c r="A1057" s="22" t="inlineStr">
        <is>
          <t>7029</t>
        </is>
      </c>
      <c r="B1057" s="11" t="inlineStr">
        <is>
          <t>Galvanised wire mesh of average width of aperture 1.4 mm and nominal dia. Of wire 0.63 mm</t>
        </is>
      </c>
      <c r="C1057" s="22" t="inlineStr">
        <is>
          <t>sqm</t>
        </is>
      </c>
      <c r="D1057" s="23" t="n">
        <v>1.41</v>
      </c>
      <c r="E1057" s="24" t="n">
        <v>250</v>
      </c>
      <c r="F1057" s="24">
        <f>D1057*E1057</f>
        <v/>
      </c>
      <c r="G1057" s="22" t="n"/>
    </row>
    <row r="1058">
      <c r="A1058" s="22" t="inlineStr">
        <is>
          <t>8220</t>
        </is>
      </c>
      <c r="B1058" s="11" t="inlineStr">
        <is>
          <t>Stainless steel butt hinges (heavy weight) 100x60x2.5 mm IS : 12817 marked</t>
        </is>
      </c>
      <c r="C1058" s="22" t="inlineStr">
        <is>
          <t>10 Nos</t>
        </is>
      </c>
      <c r="D1058" s="23" t="n">
        <v>0.6</v>
      </c>
      <c r="E1058" s="24" t="n">
        <v>255</v>
      </c>
      <c r="F1058" s="24">
        <f>D1058*E1058</f>
        <v/>
      </c>
      <c r="G1058" s="22" t="n"/>
    </row>
    <row r="1059">
      <c r="A1059" s="22" t="inlineStr">
        <is>
          <t>8218</t>
        </is>
      </c>
      <c r="B1059" s="11" t="inlineStr">
        <is>
          <t>Stainless steel butt hinges 50x37x 1.5 mm IS : 12817 marked</t>
        </is>
      </c>
      <c r="C1059" s="22" t="inlineStr">
        <is>
          <t>10 Nos</t>
        </is>
      </c>
      <c r="D1059" s="23" t="n">
        <v>0.2</v>
      </c>
      <c r="E1059" s="24" t="n">
        <v>135</v>
      </c>
      <c r="F1059" s="24">
        <f>D1059*E1059</f>
        <v/>
      </c>
      <c r="G1059" s="22" t="n"/>
    </row>
    <row r="1060">
      <c r="A1060" s="22" t="inlineStr">
        <is>
          <t>8211</t>
        </is>
      </c>
      <c r="B1060" s="11" t="inlineStr">
        <is>
          <t>Stainless steel screws 40 mm</t>
        </is>
      </c>
      <c r="C1060" s="22" t="inlineStr">
        <is>
          <t>100 Nos</t>
        </is>
      </c>
      <c r="D1060" s="23" t="n">
        <v>0.48</v>
      </c>
      <c r="E1060" s="24" t="n">
        <v>215</v>
      </c>
      <c r="F1060" s="24">
        <f>D1060*E1060</f>
        <v/>
      </c>
      <c r="G1060" s="22" t="n"/>
    </row>
    <row r="1061">
      <c r="A1061" s="22" t="inlineStr">
        <is>
          <t>8214</t>
        </is>
      </c>
      <c r="B1061" s="11" t="inlineStr">
        <is>
          <t>Stainless steel screws 20 mm</t>
        </is>
      </c>
      <c r="C1061" s="22" t="inlineStr">
        <is>
          <t>100 Nos</t>
        </is>
      </c>
      <c r="D1061" s="23" t="n">
        <v>0.08</v>
      </c>
      <c r="E1061" s="24" t="n">
        <v>125</v>
      </c>
      <c r="F1061" s="24">
        <f>D1061*E1061</f>
        <v/>
      </c>
      <c r="G1061" s="22" t="n"/>
    </row>
    <row r="1062">
      <c r="A1062" s="22" t="inlineStr">
        <is>
          <t>2204</t>
        </is>
      </c>
      <c r="B1062" s="11" t="inlineStr">
        <is>
          <t>Carriage of Timber</t>
        </is>
      </c>
      <c r="C1062" s="22" t="inlineStr">
        <is>
          <t>cum</t>
        </is>
      </c>
      <c r="D1062" s="23" t="n">
        <v>0.0514</v>
      </c>
      <c r="E1062" s="24" t="n">
        <v>118.59</v>
      </c>
      <c r="F1062" s="24">
        <f>D1062*E1062</f>
        <v/>
      </c>
      <c r="G1062" s="22" t="n"/>
    </row>
    <row r="1063">
      <c r="A1063" s="22" t="inlineStr">
        <is>
          <t>0111</t>
        </is>
      </c>
      <c r="B1063" s="11" t="inlineStr">
        <is>
          <t>Carpenter 1st class</t>
        </is>
      </c>
      <c r="C1063" s="22" t="inlineStr">
        <is>
          <t>day</t>
        </is>
      </c>
      <c r="D1063" s="23" t="n">
        <v>1.3</v>
      </c>
      <c r="E1063" s="24" t="n">
        <v>738</v>
      </c>
      <c r="F1063" s="24">
        <f>D1063*E1063</f>
        <v/>
      </c>
      <c r="G1063" s="22" t="n"/>
    </row>
    <row r="1064">
      <c r="A1064" s="22" t="inlineStr">
        <is>
          <t>0112</t>
        </is>
      </c>
      <c r="B1064" s="11" t="inlineStr">
        <is>
          <t>Carpenter 2nd class</t>
        </is>
      </c>
      <c r="C1064" s="22" t="inlineStr">
        <is>
          <t>day</t>
        </is>
      </c>
      <c r="D1064" s="23" t="n">
        <v>0.9</v>
      </c>
      <c r="E1064" s="24" t="n">
        <v>679</v>
      </c>
      <c r="F1064" s="24">
        <f>D1064*E1064</f>
        <v/>
      </c>
      <c r="G1064" s="22" t="n"/>
    </row>
    <row r="1065">
      <c r="A1065" s="22" t="inlineStr">
        <is>
          <t>0114</t>
        </is>
      </c>
      <c r="B1065" s="11" t="inlineStr">
        <is>
          <t>Beldar</t>
        </is>
      </c>
      <c r="C1065" s="22" t="inlineStr">
        <is>
          <t>day</t>
        </is>
      </c>
      <c r="D1065" s="23" t="n">
        <v>1.05</v>
      </c>
      <c r="E1065" s="24" t="n">
        <v>558</v>
      </c>
      <c r="F1065" s="24">
        <f>D1065*E1065</f>
        <v/>
      </c>
      <c r="G1065" s="22" t="n"/>
    </row>
    <row r="1066">
      <c r="A1066" s="22" t="inlineStr">
        <is>
          <t>0130</t>
        </is>
      </c>
      <c r="B1066" s="11" t="inlineStr">
        <is>
          <t>Mistry</t>
        </is>
      </c>
      <c r="C1066" s="22" t="inlineStr">
        <is>
          <t>day</t>
        </is>
      </c>
      <c r="D1066" s="23" t="n">
        <v>0.105</v>
      </c>
      <c r="E1066" s="24" t="n">
        <v>738</v>
      </c>
      <c r="F1066" s="24">
        <f>D1066*E1066</f>
        <v/>
      </c>
      <c r="G1066" s="22" t="n"/>
    </row>
    <row r="1067">
      <c r="A1067" s="22" t="inlineStr">
        <is>
          <t>9999</t>
        </is>
      </c>
      <c r="B1067" s="11" t="inlineStr">
        <is>
          <t>Sundries</t>
        </is>
      </c>
      <c r="C1067" s="22" t="inlineStr">
        <is>
          <t>L.S.</t>
        </is>
      </c>
      <c r="D1067" s="23" t="n">
        <v>33.8</v>
      </c>
      <c r="E1067" s="24" t="n">
        <v>2</v>
      </c>
      <c r="F1067" s="24">
        <f>D1067*E1067</f>
        <v/>
      </c>
      <c r="G1067" s="22" t="n"/>
    </row>
    <row r="1068">
      <c r="A1068" s="8" t="inlineStr">
        <is>
          <t>Calculated W - SUM of the Amount column above</t>
        </is>
      </c>
      <c r="B1068" s="9" t="n"/>
      <c r="C1068" s="9" t="n"/>
      <c r="D1068" s="9" t="n"/>
      <c r="E1068" s="9" t="n"/>
      <c r="F1068" s="25">
        <f>SUM(F1054:F1067)</f>
        <v/>
      </c>
      <c r="G1068" s="9" t="n"/>
    </row>
    <row r="1069">
      <c r="A1069" s="26" t="inlineStr">
        <is>
          <t>W as printed in the DAR</t>
        </is>
      </c>
      <c r="B1069" s="22" t="n"/>
      <c r="C1069" s="22" t="n"/>
      <c r="D1069" s="22" t="n"/>
      <c r="E1069" s="22" t="n"/>
      <c r="F1069" s="27" t="n">
        <v>5014.38</v>
      </c>
      <c r="G1069" s="22" t="n"/>
    </row>
    <row r="1070">
      <c r="A1070" s="26" t="inlineStr">
        <is>
          <t>Difference (calculated - printed)</t>
        </is>
      </c>
      <c r="B1070" s="22" t="n"/>
      <c r="C1070" s="22" t="n"/>
      <c r="D1070" s="22" t="n"/>
      <c r="E1070" s="22" t="n"/>
      <c r="F1070" s="27">
        <f>F1068-F1069</f>
        <v/>
      </c>
      <c r="G1070" s="22" t="n"/>
    </row>
    <row r="1071">
      <c r="A1071" s="29" t="inlineStr">
        <is>
          <t>SAY (Rs.) - final DAR rate as printed (fixed value, not computed)</t>
        </is>
      </c>
      <c r="B1071" s="30" t="n"/>
      <c r="C1071" s="30" t="n"/>
      <c r="D1071" s="30" t="n"/>
      <c r="E1071" s="30" t="n"/>
      <c r="F1071" s="31" t="n">
        <v>3106</v>
      </c>
      <c r="G1071" s="30" t="n"/>
    </row>
    <row r="1073" ht="33" customHeight="1">
      <c r="A1073" s="8" t="inlineStr">
        <is>
          <t>9.27</t>
        </is>
      </c>
      <c r="B1073" s="17" t="inlineStr">
        <is>
          <t>Providing and fixing wire gauge shutters using galvanized M.S. wire gauge of average width of aperture 1.4 mm in both directions with wire of dia 0.63 mm, for doors, windows and clerestory windows with hinges and necessary screws :</t>
        </is>
      </c>
      <c r="C1073" s="9" t="n"/>
      <c r="D1073" s="9" t="n"/>
      <c r="E1073" s="9" t="n"/>
      <c r="F1073" s="9" t="n"/>
      <c r="G1073" s="9" t="n"/>
    </row>
    <row r="1074" ht="18.5" customHeight="1">
      <c r="A1074" s="8" t="inlineStr">
        <is>
          <t>9.27.1</t>
        </is>
      </c>
      <c r="B1074" s="17" t="inlineStr">
        <is>
          <t>35 mm thick shutters</t>
        </is>
      </c>
      <c r="C1074" s="9" t="n"/>
      <c r="D1074" s="9" t="n"/>
      <c r="E1074" s="9" t="n"/>
      <c r="F1074" s="9" t="n"/>
      <c r="G1074" s="9" t="n"/>
    </row>
    <row r="1075" ht="18.5" customHeight="1">
      <c r="A1075" s="8" t="inlineStr">
        <is>
          <t>9.27.1.2</t>
        </is>
      </c>
      <c r="B1075" s="17" t="inlineStr">
        <is>
          <t>With ISI marked stainless steel butt hinges of required size</t>
        </is>
      </c>
      <c r="C1075" s="9" t="n"/>
      <c r="D1075" s="9" t="n"/>
      <c r="E1075" s="9" t="n"/>
      <c r="F1075" s="9" t="n"/>
      <c r="G1075" s="9" t="n"/>
    </row>
    <row r="1076" ht="18.5" customHeight="1">
      <c r="A1076" s="18" t="inlineStr">
        <is>
          <t>9.27.1.2.3</t>
        </is>
      </c>
      <c r="B1076" s="19" t="inlineStr">
        <is>
          <t>Kiln seasoned selected class of sheesham wood</t>
        </is>
      </c>
      <c r="C1076" s="20" t="n"/>
      <c r="D1076" s="20" t="n"/>
      <c r="E1076" s="20" t="n"/>
      <c r="F1076" s="20" t="n"/>
      <c r="G1076" s="20" t="n"/>
    </row>
    <row r="1077">
      <c r="A1077" s="21" t="inlineStr">
        <is>
          <t>Details of cost for 2.16 sqm   |   Source: CivilDAR_2019_Vol_1.pdf, page 478</t>
        </is>
      </c>
    </row>
    <row r="1078">
      <c r="A1078" s="5" t="inlineStr">
        <is>
          <t>Code</t>
        </is>
      </c>
      <c r="B1078" s="5" t="inlineStr">
        <is>
          <t>Description</t>
        </is>
      </c>
      <c r="C1078" s="5" t="inlineStr">
        <is>
          <t>Unit</t>
        </is>
      </c>
      <c r="D1078" s="5" t="inlineStr">
        <is>
          <t>Quantity</t>
        </is>
      </c>
      <c r="E1078" s="5" t="inlineStr">
        <is>
          <t>Rate (Rs.)</t>
        </is>
      </c>
      <c r="F1078" s="5" t="inlineStr">
        <is>
          <t>Amount (Rs.)</t>
        </is>
      </c>
      <c r="G1078" s="5" t="inlineStr">
        <is>
          <t>Note</t>
        </is>
      </c>
    </row>
    <row r="1079">
      <c r="A1079" s="22" t="inlineStr">
        <is>
          <t>1200</t>
        </is>
      </c>
      <c r="B1079" s="11" t="inlineStr">
        <is>
          <t>Kiln seasoned selected sheesum wood planks</t>
        </is>
      </c>
      <c r="C1079" s="22" t="inlineStr">
        <is>
          <t>10 cudm</t>
        </is>
      </c>
      <c r="D1079" s="23" t="n">
        <v>5.14</v>
      </c>
      <c r="E1079" s="24" t="n">
        <v>650</v>
      </c>
      <c r="F1079" s="24">
        <f>D1079*E1079</f>
        <v/>
      </c>
      <c r="G1079" s="22" t="n"/>
    </row>
    <row r="1080">
      <c r="A1080" s="22" t="inlineStr">
        <is>
          <t>2504</t>
        </is>
      </c>
      <c r="B1080" s="11" t="inlineStr">
        <is>
          <t>Kiln seasoning of timber</t>
        </is>
      </c>
      <c r="C1080" s="22" t="inlineStr">
        <is>
          <t>cum</t>
        </is>
      </c>
      <c r="D1080" s="23" t="n">
        <v>0.0514</v>
      </c>
      <c r="E1080" s="24" t="n">
        <v>750</v>
      </c>
      <c r="F1080" s="24">
        <f>D1080*E1080</f>
        <v/>
      </c>
      <c r="G1080" s="22" t="n"/>
    </row>
    <row r="1081">
      <c r="A1081" s="22" t="inlineStr">
        <is>
          <t>7029</t>
        </is>
      </c>
      <c r="B1081" s="11" t="inlineStr">
        <is>
          <t>Galvanised wire mesh of average width of aperture 1.4 mm and nominal dia. Of wire 0.63 mm</t>
        </is>
      </c>
      <c r="C1081" s="22" t="inlineStr">
        <is>
          <t>sqm</t>
        </is>
      </c>
      <c r="D1081" s="23" t="n">
        <v>1.41</v>
      </c>
      <c r="E1081" s="24" t="n">
        <v>250</v>
      </c>
      <c r="F1081" s="24">
        <f>D1081*E1081</f>
        <v/>
      </c>
      <c r="G1081" s="22" t="n"/>
    </row>
    <row r="1082">
      <c r="A1082" s="22" t="inlineStr">
        <is>
          <t>8220</t>
        </is>
      </c>
      <c r="B1082" s="11" t="inlineStr">
        <is>
          <t>Stainless steel butt hinges (heavy weight) 100x60x2.5 mm IS : 12817 marked</t>
        </is>
      </c>
      <c r="C1082" s="22" t="inlineStr">
        <is>
          <t>10 Nos</t>
        </is>
      </c>
      <c r="D1082" s="23" t="n">
        <v>0.6</v>
      </c>
      <c r="E1082" s="24" t="n">
        <v>255</v>
      </c>
      <c r="F1082" s="24">
        <f>D1082*E1082</f>
        <v/>
      </c>
      <c r="G1082" s="22" t="n"/>
    </row>
    <row r="1083">
      <c r="A1083" s="22" t="inlineStr">
        <is>
          <t>8218</t>
        </is>
      </c>
      <c r="B1083" s="11" t="inlineStr">
        <is>
          <t>Stainless steel butt hinges 50x37x 1.5 mm IS : 12817 marked</t>
        </is>
      </c>
      <c r="C1083" s="22" t="inlineStr">
        <is>
          <t>10 Nos</t>
        </is>
      </c>
      <c r="D1083" s="23" t="n">
        <v>0.2</v>
      </c>
      <c r="E1083" s="24" t="n">
        <v>135</v>
      </c>
      <c r="F1083" s="24">
        <f>D1083*E1083</f>
        <v/>
      </c>
      <c r="G1083" s="22" t="n"/>
    </row>
    <row r="1084">
      <c r="A1084" s="22" t="inlineStr">
        <is>
          <t>8211</t>
        </is>
      </c>
      <c r="B1084" s="11" t="inlineStr">
        <is>
          <t>Stainless steel screws 40 mm</t>
        </is>
      </c>
      <c r="C1084" s="22" t="inlineStr">
        <is>
          <t>100 Nos</t>
        </is>
      </c>
      <c r="D1084" s="23" t="n">
        <v>0.48</v>
      </c>
      <c r="E1084" s="24" t="n">
        <v>215</v>
      </c>
      <c r="F1084" s="24">
        <f>D1084*E1084</f>
        <v/>
      </c>
      <c r="G1084" s="22" t="n"/>
    </row>
    <row r="1085">
      <c r="A1085" s="22" t="inlineStr">
        <is>
          <t>8214</t>
        </is>
      </c>
      <c r="B1085" s="11" t="inlineStr">
        <is>
          <t>Stainless steel screws 20 mm</t>
        </is>
      </c>
      <c r="C1085" s="22" t="inlineStr">
        <is>
          <t>100 Nos</t>
        </is>
      </c>
      <c r="D1085" s="23" t="n">
        <v>0.08</v>
      </c>
      <c r="E1085" s="24" t="n">
        <v>125</v>
      </c>
      <c r="F1085" s="24">
        <f>D1085*E1085</f>
        <v/>
      </c>
      <c r="G1085" s="22" t="n"/>
    </row>
    <row r="1086">
      <c r="A1086" s="22" t="inlineStr">
        <is>
          <t>2204</t>
        </is>
      </c>
      <c r="B1086" s="11" t="inlineStr">
        <is>
          <t>Carriage of Timber</t>
        </is>
      </c>
      <c r="C1086" s="22" t="inlineStr">
        <is>
          <t>cum</t>
        </is>
      </c>
      <c r="D1086" s="23" t="n">
        <v>0.0514</v>
      </c>
      <c r="E1086" s="24" t="n">
        <v>118.59</v>
      </c>
      <c r="F1086" s="24">
        <f>D1086*E1086</f>
        <v/>
      </c>
      <c r="G1086" s="22" t="n"/>
    </row>
    <row r="1087">
      <c r="A1087" s="22" t="inlineStr">
        <is>
          <t>0111</t>
        </is>
      </c>
      <c r="B1087" s="11" t="inlineStr">
        <is>
          <t>Carpenter 1st class</t>
        </is>
      </c>
      <c r="C1087" s="22" t="inlineStr">
        <is>
          <t>day</t>
        </is>
      </c>
      <c r="D1087" s="23" t="n">
        <v>1.3</v>
      </c>
      <c r="E1087" s="24" t="n">
        <v>738</v>
      </c>
      <c r="F1087" s="24">
        <f>D1087*E1087</f>
        <v/>
      </c>
      <c r="G1087" s="22" t="n"/>
    </row>
    <row r="1088">
      <c r="A1088" s="22" t="inlineStr">
        <is>
          <t>0112</t>
        </is>
      </c>
      <c r="B1088" s="11" t="inlineStr">
        <is>
          <t>Carpenter 2nd class</t>
        </is>
      </c>
      <c r="C1088" s="22" t="inlineStr">
        <is>
          <t>day</t>
        </is>
      </c>
      <c r="D1088" s="23" t="n">
        <v>0.9</v>
      </c>
      <c r="E1088" s="24" t="n">
        <v>679</v>
      </c>
      <c r="F1088" s="24">
        <f>D1088*E1088</f>
        <v/>
      </c>
      <c r="G1088" s="22" t="n"/>
    </row>
    <row r="1089">
      <c r="A1089" s="22" t="inlineStr">
        <is>
          <t>0114</t>
        </is>
      </c>
      <c r="B1089" s="11" t="inlineStr">
        <is>
          <t>Beldar</t>
        </is>
      </c>
      <c r="C1089" s="22" t="inlineStr">
        <is>
          <t>day</t>
        </is>
      </c>
      <c r="D1089" s="23" t="n">
        <v>1.05</v>
      </c>
      <c r="E1089" s="24" t="n">
        <v>558</v>
      </c>
      <c r="F1089" s="24">
        <f>D1089*E1089</f>
        <v/>
      </c>
      <c r="G1089" s="22" t="n"/>
    </row>
    <row r="1090">
      <c r="A1090" s="22" t="inlineStr">
        <is>
          <t>0130</t>
        </is>
      </c>
      <c r="B1090" s="11" t="inlineStr">
        <is>
          <t>Mistry</t>
        </is>
      </c>
      <c r="C1090" s="22" t="inlineStr">
        <is>
          <t>day</t>
        </is>
      </c>
      <c r="D1090" s="23" t="n">
        <v>0.105</v>
      </c>
      <c r="E1090" s="24" t="n">
        <v>738</v>
      </c>
      <c r="F1090" s="24">
        <f>D1090*E1090</f>
        <v/>
      </c>
      <c r="G1090" s="22" t="n"/>
    </row>
    <row r="1091">
      <c r="A1091" s="22" t="inlineStr">
        <is>
          <t>9999</t>
        </is>
      </c>
      <c r="B1091" s="11" t="inlineStr">
        <is>
          <t>Sundries</t>
        </is>
      </c>
      <c r="C1091" s="22" t="inlineStr">
        <is>
          <t>L.S.</t>
        </is>
      </c>
      <c r="D1091" s="23" t="n">
        <v>33.8</v>
      </c>
      <c r="E1091" s="24" t="n">
        <v>2</v>
      </c>
      <c r="F1091" s="24">
        <f>D1091*E1091</f>
        <v/>
      </c>
      <c r="G1091" s="22" t="n"/>
    </row>
    <row r="1092">
      <c r="A1092" s="8" t="inlineStr">
        <is>
          <t>Calculated W - SUM of the Amount column above</t>
        </is>
      </c>
      <c r="B1092" s="9" t="n"/>
      <c r="C1092" s="9" t="n"/>
      <c r="D1092" s="9" t="n"/>
      <c r="E1092" s="9" t="n"/>
      <c r="F1092" s="25">
        <f>SUM(F1079:F1091)</f>
        <v/>
      </c>
      <c r="G1092" s="9" t="n"/>
    </row>
    <row r="1093">
      <c r="A1093" s="26" t="inlineStr">
        <is>
          <t>W as printed in the DAR</t>
        </is>
      </c>
      <c r="B1093" s="22" t="n"/>
      <c r="C1093" s="22" t="n"/>
      <c r="D1093" s="22" t="n"/>
      <c r="E1093" s="22" t="n"/>
      <c r="F1093" s="27" t="n">
        <v>6332.84</v>
      </c>
      <c r="G1093" s="22" t="n"/>
    </row>
    <row r="1094">
      <c r="A1094" s="26" t="inlineStr">
        <is>
          <t>Difference (calculated - printed)</t>
        </is>
      </c>
      <c r="B1094" s="22" t="n"/>
      <c r="C1094" s="22" t="n"/>
      <c r="D1094" s="22" t="n"/>
      <c r="E1094" s="22" t="n"/>
      <c r="F1094" s="27">
        <f>F1092-F1093</f>
        <v/>
      </c>
      <c r="G1094" s="22" t="n"/>
    </row>
    <row r="1095">
      <c r="A1095" s="29" t="inlineStr">
        <is>
          <t>SAY (Rs.) - final DAR rate as printed (fixed value, not computed)</t>
        </is>
      </c>
      <c r="B1095" s="30" t="n"/>
      <c r="C1095" s="30" t="n"/>
      <c r="D1095" s="30" t="n"/>
      <c r="E1095" s="30" t="n"/>
      <c r="F1095" s="31" t="n">
        <v>3922.65</v>
      </c>
      <c r="G1095" s="30" t="n"/>
    </row>
    <row r="1097" ht="33" customHeight="1">
      <c r="A1097" s="8" t="inlineStr">
        <is>
          <t>9.27</t>
        </is>
      </c>
      <c r="B1097" s="17" t="inlineStr">
        <is>
          <t>Providing and fixing wire gauge shutters using galvanized M.S. wire gauge of average width of aperture 1.4 mm in both directions with wire of dia 0.63 mm, for doors, windows and clerestory windows with hinges and necessary screws :</t>
        </is>
      </c>
      <c r="C1097" s="9" t="n"/>
      <c r="D1097" s="9" t="n"/>
      <c r="E1097" s="9" t="n"/>
      <c r="F1097" s="9" t="n"/>
      <c r="G1097" s="9" t="n"/>
    </row>
    <row r="1098" ht="18.5" customHeight="1">
      <c r="A1098" s="8" t="inlineStr">
        <is>
          <t>9.27.2</t>
        </is>
      </c>
      <c r="B1098" s="17" t="inlineStr">
        <is>
          <t>30 mm thick shutters</t>
        </is>
      </c>
      <c r="C1098" s="9" t="n"/>
      <c r="D1098" s="9" t="n"/>
      <c r="E1098" s="9" t="n"/>
      <c r="F1098" s="9" t="n"/>
      <c r="G1098" s="9" t="n"/>
    </row>
    <row r="1099" ht="18.5" customHeight="1">
      <c r="A1099" s="8" t="inlineStr">
        <is>
          <t>9.27.2.1</t>
        </is>
      </c>
      <c r="B1099" s="17" t="inlineStr">
        <is>
          <t>with ISI marked M.S. pressed butt hinges bright finished of required size</t>
        </is>
      </c>
      <c r="C1099" s="9" t="n"/>
      <c r="D1099" s="9" t="n"/>
      <c r="E1099" s="9" t="n"/>
      <c r="F1099" s="9" t="n"/>
      <c r="G1099" s="9" t="n"/>
    </row>
    <row r="1100" ht="18.5" customHeight="1">
      <c r="A1100" s="18" t="inlineStr">
        <is>
          <t>9.27.2.1.1</t>
        </is>
      </c>
      <c r="B1100" s="19" t="inlineStr">
        <is>
          <t>Second class teak wood</t>
        </is>
      </c>
      <c r="C1100" s="20" t="n"/>
      <c r="D1100" s="20" t="n"/>
      <c r="E1100" s="20" t="n"/>
      <c r="F1100" s="20" t="n"/>
      <c r="G1100" s="20" t="n"/>
    </row>
    <row r="1101">
      <c r="A1101" s="21" t="inlineStr">
        <is>
          <t>Details of cost for 2.16 sqm   |   Source: CivilDAR_2019_Vol_1.pdf, page 479</t>
        </is>
      </c>
    </row>
    <row r="1102">
      <c r="A1102" s="5" t="inlineStr">
        <is>
          <t>Code</t>
        </is>
      </c>
      <c r="B1102" s="5" t="inlineStr">
        <is>
          <t>Description</t>
        </is>
      </c>
      <c r="C1102" s="5" t="inlineStr">
        <is>
          <t>Unit</t>
        </is>
      </c>
      <c r="D1102" s="5" t="inlineStr">
        <is>
          <t>Quantity</t>
        </is>
      </c>
      <c r="E1102" s="5" t="inlineStr">
        <is>
          <t>Rate (Rs.)</t>
        </is>
      </c>
      <c r="F1102" s="5" t="inlineStr">
        <is>
          <t>Amount (Rs.)</t>
        </is>
      </c>
      <c r="G1102" s="5" t="inlineStr">
        <is>
          <t>Note</t>
        </is>
      </c>
    </row>
    <row r="1103">
      <c r="A1103" s="22" t="inlineStr">
        <is>
          <t>1190</t>
        </is>
      </c>
      <c r="B1103" s="11" t="inlineStr">
        <is>
          <t>Second class teak wood in planks</t>
        </is>
      </c>
      <c r="C1103" s="22" t="inlineStr">
        <is>
          <t>10 cudm</t>
        </is>
      </c>
      <c r="D1103" s="23" t="n">
        <v>4.4</v>
      </c>
      <c r="E1103" s="24" t="n">
        <v>791</v>
      </c>
      <c r="F1103" s="24">
        <f>D1103*E1103</f>
        <v/>
      </c>
      <c r="G1103" s="22" t="n"/>
    </row>
    <row r="1104">
      <c r="A1104" s="22" t="inlineStr">
        <is>
          <t>2204</t>
        </is>
      </c>
      <c r="B1104" s="11" t="inlineStr">
        <is>
          <t>Carriage of Timber</t>
        </is>
      </c>
      <c r="C1104" s="22" t="inlineStr">
        <is>
          <t>cum</t>
        </is>
      </c>
      <c r="D1104" s="23" t="n">
        <v>0.044</v>
      </c>
      <c r="E1104" s="24" t="n">
        <v>118.59</v>
      </c>
      <c r="F1104" s="24">
        <f>D1104*E1104</f>
        <v/>
      </c>
      <c r="G1104" s="22" t="n"/>
    </row>
    <row r="1105">
      <c r="A1105" s="22" t="inlineStr">
        <is>
          <t>7029</t>
        </is>
      </c>
      <c r="B1105" s="11" t="inlineStr">
        <is>
          <t>Galvanised wire mesh of average width of aperture 1.4 mm and nominal dia. Of wire 0.63 mm</t>
        </is>
      </c>
      <c r="C1105" s="22" t="inlineStr">
        <is>
          <t>sqm</t>
        </is>
      </c>
      <c r="D1105" s="23" t="n">
        <v>1.41</v>
      </c>
      <c r="E1105" s="24" t="n">
        <v>250</v>
      </c>
      <c r="F1105" s="24">
        <f>D1105*E1105</f>
        <v/>
      </c>
      <c r="G1105" s="22" t="n"/>
    </row>
    <row r="1106">
      <c r="A1106" s="22" t="inlineStr">
        <is>
          <t>0595</t>
        </is>
      </c>
      <c r="B1106" s="11" t="inlineStr">
        <is>
          <t>Bright finished or black enamelled mild steel butt hinges 100x58x1.90 mm</t>
        </is>
      </c>
      <c r="C1106" s="22" t="inlineStr">
        <is>
          <t>10 Nos</t>
        </is>
      </c>
      <c r="D1106" s="23" t="n">
        <v>0.6</v>
      </c>
      <c r="E1106" s="24" t="n">
        <v>80</v>
      </c>
      <c r="F1106" s="24">
        <f>D1106*E1106</f>
        <v/>
      </c>
      <c r="G1106" s="22" t="n"/>
    </row>
    <row r="1107">
      <c r="A1107" s="22" t="inlineStr">
        <is>
          <t>0597</t>
        </is>
      </c>
      <c r="B1107" s="11" t="inlineStr">
        <is>
          <t>Bright finished or black enamelled mild steel butt hinges50x37x1.50 mm</t>
        </is>
      </c>
      <c r="C1107" s="22" t="inlineStr">
        <is>
          <t>10 Nos</t>
        </is>
      </c>
      <c r="D1107" s="23" t="n">
        <v>0.2</v>
      </c>
      <c r="E1107" s="24" t="n">
        <v>49</v>
      </c>
      <c r="F1107" s="24">
        <f>D1107*E1107</f>
        <v/>
      </c>
      <c r="G1107" s="22" t="n"/>
    </row>
    <row r="1108">
      <c r="A1108" s="22" t="inlineStr">
        <is>
          <t>0637</t>
        </is>
      </c>
      <c r="B1108" s="11" t="inlineStr">
        <is>
          <t>Bright finished or black enamelled mild steel screws 40 mm</t>
        </is>
      </c>
      <c r="C1108" s="22" t="inlineStr">
        <is>
          <t>100 Nos</t>
        </is>
      </c>
      <c r="D1108" s="23" t="n">
        <v>0.48</v>
      </c>
      <c r="E1108" s="24" t="n">
        <v>60</v>
      </c>
      <c r="F1108" s="24">
        <f>D1108*E1108</f>
        <v/>
      </c>
      <c r="G1108" s="22" t="n"/>
    </row>
    <row r="1109">
      <c r="A1109" s="22" t="inlineStr">
        <is>
          <t>0640</t>
        </is>
      </c>
      <c r="B1109" s="11" t="inlineStr">
        <is>
          <t>Bright finished or black enamelled mild steel screws 20 mm</t>
        </is>
      </c>
      <c r="C1109" s="22" t="inlineStr">
        <is>
          <t>100 Nos</t>
        </is>
      </c>
      <c r="D1109" s="23" t="n">
        <v>0.08</v>
      </c>
      <c r="E1109" s="24" t="n">
        <v>30</v>
      </c>
      <c r="F1109" s="24">
        <f>D1109*E1109</f>
        <v/>
      </c>
      <c r="G1109" s="22" t="n"/>
    </row>
    <row r="1110">
      <c r="A1110" s="22" t="inlineStr">
        <is>
          <t>0111</t>
        </is>
      </c>
      <c r="B1110" s="11" t="inlineStr">
        <is>
          <t>Carpenter 1st class</t>
        </is>
      </c>
      <c r="C1110" s="22" t="inlineStr">
        <is>
          <t>day</t>
        </is>
      </c>
      <c r="D1110" s="23" t="n">
        <v>1.2</v>
      </c>
      <c r="E1110" s="24" t="n">
        <v>738</v>
      </c>
      <c r="F1110" s="24">
        <f>D1110*E1110</f>
        <v/>
      </c>
      <c r="G1110" s="22" t="n"/>
    </row>
    <row r="1111">
      <c r="A1111" s="22" t="inlineStr">
        <is>
          <t>0112</t>
        </is>
      </c>
      <c r="B1111" s="11" t="inlineStr">
        <is>
          <t>Carpenter 2nd class</t>
        </is>
      </c>
      <c r="C1111" s="22" t="inlineStr">
        <is>
          <t>day</t>
        </is>
      </c>
      <c r="D1111" s="23" t="n">
        <v>0.8</v>
      </c>
      <c r="E1111" s="24" t="n">
        <v>679</v>
      </c>
      <c r="F1111" s="24">
        <f>D1111*E1111</f>
        <v/>
      </c>
      <c r="G1111" s="22" t="n"/>
    </row>
    <row r="1112">
      <c r="A1112" s="22" t="inlineStr">
        <is>
          <t>0114</t>
        </is>
      </c>
      <c r="B1112" s="11" t="inlineStr">
        <is>
          <t>Beldar</t>
        </is>
      </c>
      <c r="C1112" s="22" t="inlineStr">
        <is>
          <t>day</t>
        </is>
      </c>
      <c r="D1112" s="23" t="n">
        <v>1</v>
      </c>
      <c r="E1112" s="24" t="n">
        <v>558</v>
      </c>
      <c r="F1112" s="24">
        <f>D1112*E1112</f>
        <v/>
      </c>
      <c r="G1112" s="22" t="n"/>
    </row>
    <row r="1113">
      <c r="A1113" s="22" t="inlineStr">
        <is>
          <t>0130</t>
        </is>
      </c>
      <c r="B1113" s="11" t="inlineStr">
        <is>
          <t>Mistry</t>
        </is>
      </c>
      <c r="C1113" s="22" t="inlineStr">
        <is>
          <t>day</t>
        </is>
      </c>
      <c r="D1113" s="23" t="n">
        <v>0.1</v>
      </c>
      <c r="E1113" s="24" t="n">
        <v>738</v>
      </c>
      <c r="F1113" s="24">
        <f>D1113*E1113</f>
        <v/>
      </c>
      <c r="G1113" s="22" t="n"/>
    </row>
    <row r="1114">
      <c r="A1114" s="22" t="inlineStr">
        <is>
          <t>9999</t>
        </is>
      </c>
      <c r="B1114" s="11" t="inlineStr">
        <is>
          <t>Sundries</t>
        </is>
      </c>
      <c r="C1114" s="22" t="inlineStr">
        <is>
          <t>L.S.</t>
        </is>
      </c>
      <c r="D1114" s="23" t="n">
        <v>33.8</v>
      </c>
      <c r="E1114" s="24" t="n">
        <v>2</v>
      </c>
      <c r="F1114" s="24">
        <f>D1114*E1114</f>
        <v/>
      </c>
      <c r="G1114" s="22" t="n"/>
    </row>
    <row r="1115">
      <c r="A1115" s="8" t="inlineStr">
        <is>
          <t>Calculated W - SUM of the Amount column above</t>
        </is>
      </c>
      <c r="B1115" s="9" t="n"/>
      <c r="C1115" s="9" t="n"/>
      <c r="D1115" s="9" t="n"/>
      <c r="E1115" s="9" t="n"/>
      <c r="F1115" s="25">
        <f>SUM(F1103:F1114)</f>
        <v/>
      </c>
      <c r="G1115" s="9" t="n"/>
    </row>
    <row r="1116">
      <c r="A1116" s="26" t="inlineStr">
        <is>
          <t>W as printed in the DAR</t>
        </is>
      </c>
      <c r="B1116" s="22" t="n"/>
      <c r="C1116" s="22" t="n"/>
      <c r="D1116" s="22" t="n"/>
      <c r="E1116" s="22" t="n"/>
      <c r="F1116" s="27" t="n">
        <v>6055.32</v>
      </c>
      <c r="G1116" s="22" t="n"/>
    </row>
    <row r="1117">
      <c r="A1117" s="26" t="inlineStr">
        <is>
          <t>Difference (calculated - printed)</t>
        </is>
      </c>
      <c r="B1117" s="22" t="n"/>
      <c r="C1117" s="22" t="n"/>
      <c r="D1117" s="22" t="n"/>
      <c r="E1117" s="22" t="n"/>
      <c r="F1117" s="27">
        <f>F1115-F1116</f>
        <v/>
      </c>
      <c r="G1117" s="22" t="n"/>
    </row>
    <row r="1118">
      <c r="A1118" s="29" t="inlineStr">
        <is>
          <t>SAY (Rs.) - final DAR rate as printed (fixed value, not computed)</t>
        </is>
      </c>
      <c r="B1118" s="30" t="n"/>
      <c r="C1118" s="30" t="n"/>
      <c r="D1118" s="30" t="n"/>
      <c r="E1118" s="30" t="n"/>
      <c r="F1118" s="31" t="n">
        <v>3750.75</v>
      </c>
      <c r="G1118" s="30" t="n"/>
    </row>
    <row r="1120" ht="33" customHeight="1">
      <c r="A1120" s="8" t="inlineStr">
        <is>
          <t>9.27</t>
        </is>
      </c>
      <c r="B1120" s="17" t="inlineStr">
        <is>
          <t>Providing and fixing wire gauge shutters using galvanized M.S. wire gauge of average width of aperture 1.4 mm in both directions with wire of dia 0.63 mm, for doors, windows and clerestory windows with hinges and necessary screws :</t>
        </is>
      </c>
      <c r="C1120" s="9" t="n"/>
      <c r="D1120" s="9" t="n"/>
      <c r="E1120" s="9" t="n"/>
      <c r="F1120" s="9" t="n"/>
      <c r="G1120" s="9" t="n"/>
    </row>
    <row r="1121" ht="18.5" customHeight="1">
      <c r="A1121" s="8" t="inlineStr">
        <is>
          <t>9.27.2</t>
        </is>
      </c>
      <c r="B1121" s="17" t="inlineStr">
        <is>
          <t>30 mm thick shutters</t>
        </is>
      </c>
      <c r="C1121" s="9" t="n"/>
      <c r="D1121" s="9" t="n"/>
      <c r="E1121" s="9" t="n"/>
      <c r="F1121" s="9" t="n"/>
      <c r="G1121" s="9" t="n"/>
    </row>
    <row r="1122" ht="18.5" customHeight="1">
      <c r="A1122" s="8" t="inlineStr">
        <is>
          <t>9.27.2.1</t>
        </is>
      </c>
      <c r="B1122" s="17" t="inlineStr">
        <is>
          <t>with ISI marked M.S. pressed butt hinges bright finished of required size</t>
        </is>
      </c>
      <c r="C1122" s="9" t="n"/>
      <c r="D1122" s="9" t="n"/>
      <c r="E1122" s="9" t="n"/>
      <c r="F1122" s="9" t="n"/>
      <c r="G1122" s="9" t="n"/>
    </row>
    <row r="1123" ht="18.5" customHeight="1">
      <c r="A1123" s="18" t="inlineStr">
        <is>
          <t>9.27.2.1.2</t>
        </is>
      </c>
      <c r="B1123" s="19" t="inlineStr">
        <is>
          <t>Kiln seasoned and chemically treated hollock wood</t>
        </is>
      </c>
      <c r="C1123" s="20" t="n"/>
      <c r="D1123" s="20" t="n"/>
      <c r="E1123" s="20" t="n"/>
      <c r="F1123" s="20" t="n"/>
      <c r="G1123" s="20" t="n"/>
    </row>
    <row r="1124">
      <c r="A1124" s="21" t="inlineStr">
        <is>
          <t>Details of cost for 2.16 sqm   |   Source: CivilDAR_2019_Vol_1.pdf, page 480</t>
        </is>
      </c>
    </row>
    <row r="1125">
      <c r="A1125" s="5" t="inlineStr">
        <is>
          <t>Code</t>
        </is>
      </c>
      <c r="B1125" s="5" t="inlineStr">
        <is>
          <t>Description</t>
        </is>
      </c>
      <c r="C1125" s="5" t="inlineStr">
        <is>
          <t>Unit</t>
        </is>
      </c>
      <c r="D1125" s="5" t="inlineStr">
        <is>
          <t>Quantity</t>
        </is>
      </c>
      <c r="E1125" s="5" t="inlineStr">
        <is>
          <t>Rate (Rs.)</t>
        </is>
      </c>
      <c r="F1125" s="5" t="inlineStr">
        <is>
          <t>Amount (Rs.)</t>
        </is>
      </c>
      <c r="G1125" s="5" t="inlineStr">
        <is>
          <t>Note</t>
        </is>
      </c>
    </row>
    <row r="1126">
      <c r="A1126" s="22" t="inlineStr">
        <is>
          <t>2505</t>
        </is>
      </c>
      <c r="B1126" s="11" t="inlineStr">
        <is>
          <t>Hollock wood in planks</t>
        </is>
      </c>
      <c r="C1126" s="22" t="inlineStr">
        <is>
          <t>10 cudm</t>
        </is>
      </c>
      <c r="D1126" s="23" t="n">
        <v>4.4</v>
      </c>
      <c r="E1126" s="24" t="n">
        <v>390</v>
      </c>
      <c r="F1126" s="24">
        <f>D1126*E1126</f>
        <v/>
      </c>
      <c r="G1126" s="22" t="n"/>
    </row>
    <row r="1127">
      <c r="A1127" s="22" t="inlineStr">
        <is>
          <t>2204</t>
        </is>
      </c>
      <c r="B1127" s="11" t="inlineStr">
        <is>
          <t>Carriage of Timber</t>
        </is>
      </c>
      <c r="C1127" s="22" t="inlineStr">
        <is>
          <t>cum</t>
        </is>
      </c>
      <c r="D1127" s="23" t="n">
        <v>0.044</v>
      </c>
      <c r="E1127" s="24" t="n">
        <v>118.59</v>
      </c>
      <c r="F1127" s="24">
        <f>D1127*E1127</f>
        <v/>
      </c>
      <c r="G1127" s="22" t="n"/>
    </row>
    <row r="1128">
      <c r="A1128" s="22" t="inlineStr">
        <is>
          <t>2504</t>
        </is>
      </c>
      <c r="B1128" s="11" t="inlineStr">
        <is>
          <t>Kiln seasoning of timber</t>
        </is>
      </c>
      <c r="C1128" s="22" t="inlineStr">
        <is>
          <t>cum</t>
        </is>
      </c>
      <c r="D1128" s="23" t="n">
        <v>0.044</v>
      </c>
      <c r="E1128" s="24" t="n">
        <v>750</v>
      </c>
      <c r="F1128" s="24">
        <f>D1128*E1128</f>
        <v/>
      </c>
      <c r="G1128" s="22" t="n"/>
    </row>
    <row r="1129">
      <c r="A1129" s="22" t="inlineStr">
        <is>
          <t>9999</t>
        </is>
      </c>
      <c r="B1129" s="11" t="inlineStr">
        <is>
          <t>Chemical treatment</t>
        </is>
      </c>
      <c r="C1129" s="22" t="inlineStr">
        <is>
          <t>L.S.</t>
        </is>
      </c>
      <c r="D1129" s="23" t="n">
        <v>9.1</v>
      </c>
      <c r="E1129" s="24" t="n">
        <v>2</v>
      </c>
      <c r="F1129" s="24">
        <f>D1129*E1129</f>
        <v/>
      </c>
      <c r="G1129" s="22" t="n"/>
    </row>
    <row r="1130">
      <c r="A1130" s="22" t="inlineStr">
        <is>
          <t>7029</t>
        </is>
      </c>
      <c r="B1130" s="11" t="inlineStr">
        <is>
          <t>Galvanised wire mesh of average width of aperture 1.4 mm and nominal dia. Of wire 0.63 mm</t>
        </is>
      </c>
      <c r="C1130" s="22" t="inlineStr">
        <is>
          <t>sqm</t>
        </is>
      </c>
      <c r="D1130" s="23" t="n">
        <v>1.41</v>
      </c>
      <c r="E1130" s="24" t="n">
        <v>250</v>
      </c>
      <c r="F1130" s="24">
        <f>D1130*E1130</f>
        <v/>
      </c>
      <c r="G1130" s="22" t="n"/>
    </row>
    <row r="1131">
      <c r="A1131" s="22" t="inlineStr">
        <is>
          <t>0595</t>
        </is>
      </c>
      <c r="B1131" s="11" t="inlineStr">
        <is>
          <t>Bright finished or black enamelled mild steel butt hinges 100x58x1.90 mm</t>
        </is>
      </c>
      <c r="C1131" s="22" t="inlineStr">
        <is>
          <t>10 Nos</t>
        </is>
      </c>
      <c r="D1131" s="23" t="n">
        <v>0.6</v>
      </c>
      <c r="E1131" s="24" t="n">
        <v>80</v>
      </c>
      <c r="F1131" s="24">
        <f>D1131*E1131</f>
        <v/>
      </c>
      <c r="G1131" s="22" t="n"/>
    </row>
    <row r="1132">
      <c r="A1132" s="22" t="inlineStr">
        <is>
          <t>0597</t>
        </is>
      </c>
      <c r="B1132" s="11" t="inlineStr">
        <is>
          <t>Bright finished or black enamelled mild steel butt hinges50x37x1.50 mm</t>
        </is>
      </c>
      <c r="C1132" s="22" t="inlineStr">
        <is>
          <t>10 Nos</t>
        </is>
      </c>
      <c r="D1132" s="23" t="n">
        <v>0.2</v>
      </c>
      <c r="E1132" s="24" t="n">
        <v>49</v>
      </c>
      <c r="F1132" s="24">
        <f>D1132*E1132</f>
        <v/>
      </c>
      <c r="G1132" s="22" t="n"/>
    </row>
    <row r="1133">
      <c r="A1133" s="22" t="inlineStr">
        <is>
          <t>0637</t>
        </is>
      </c>
      <c r="B1133" s="11" t="inlineStr">
        <is>
          <t>Bright finished or black enamelled mild steel screws 40 mm</t>
        </is>
      </c>
      <c r="C1133" s="22" t="inlineStr">
        <is>
          <t>100 Nos</t>
        </is>
      </c>
      <c r="D1133" s="23" t="n">
        <v>0.48</v>
      </c>
      <c r="E1133" s="24" t="n">
        <v>60</v>
      </c>
      <c r="F1133" s="24">
        <f>D1133*E1133</f>
        <v/>
      </c>
      <c r="G1133" s="22" t="n"/>
    </row>
    <row r="1134">
      <c r="A1134" s="22" t="inlineStr">
        <is>
          <t>0640</t>
        </is>
      </c>
      <c r="B1134" s="11" t="inlineStr">
        <is>
          <t>Bright finished or black enamelled mild steel screws 20 mm</t>
        </is>
      </c>
      <c r="C1134" s="22" t="inlineStr">
        <is>
          <t>100 Nos</t>
        </is>
      </c>
      <c r="D1134" s="23" t="n">
        <v>0.08</v>
      </c>
      <c r="E1134" s="24" t="n">
        <v>30</v>
      </c>
      <c r="F1134" s="24">
        <f>D1134*E1134</f>
        <v/>
      </c>
      <c r="G1134" s="22" t="n"/>
    </row>
    <row r="1135">
      <c r="A1135" s="22" t="inlineStr">
        <is>
          <t>0111</t>
        </is>
      </c>
      <c r="B1135" s="11" t="inlineStr">
        <is>
          <t>Carpenter 1st class</t>
        </is>
      </c>
      <c r="C1135" s="22" t="inlineStr">
        <is>
          <t>day</t>
        </is>
      </c>
      <c r="D1135" s="23" t="n">
        <v>1.2</v>
      </c>
      <c r="E1135" s="24" t="n">
        <v>738</v>
      </c>
      <c r="F1135" s="24">
        <f>D1135*E1135</f>
        <v/>
      </c>
      <c r="G1135" s="22" t="n"/>
    </row>
    <row r="1136">
      <c r="A1136" s="22" t="inlineStr">
        <is>
          <t>0112</t>
        </is>
      </c>
      <c r="B1136" s="11" t="inlineStr">
        <is>
          <t>Carpenter 2nd class</t>
        </is>
      </c>
      <c r="C1136" s="22" t="inlineStr">
        <is>
          <t>day</t>
        </is>
      </c>
      <c r="D1136" s="23" t="n">
        <v>0.8</v>
      </c>
      <c r="E1136" s="24" t="n">
        <v>679</v>
      </c>
      <c r="F1136" s="24">
        <f>D1136*E1136</f>
        <v/>
      </c>
      <c r="G1136" s="22" t="n"/>
    </row>
    <row r="1137">
      <c r="A1137" s="22" t="inlineStr">
        <is>
          <t>0114</t>
        </is>
      </c>
      <c r="B1137" s="11" t="inlineStr">
        <is>
          <t>Beldar</t>
        </is>
      </c>
      <c r="C1137" s="22" t="inlineStr">
        <is>
          <t>day</t>
        </is>
      </c>
      <c r="D1137" s="23" t="n">
        <v>1</v>
      </c>
      <c r="E1137" s="24" t="n">
        <v>558</v>
      </c>
      <c r="F1137" s="24">
        <f>D1137*E1137</f>
        <v/>
      </c>
      <c r="G1137" s="22" t="n"/>
    </row>
    <row r="1138">
      <c r="A1138" s="22" t="inlineStr">
        <is>
          <t>0130</t>
        </is>
      </c>
      <c r="B1138" s="11" t="inlineStr">
        <is>
          <t>Mistry</t>
        </is>
      </c>
      <c r="C1138" s="22" t="inlineStr">
        <is>
          <t>day</t>
        </is>
      </c>
      <c r="D1138" s="23" t="n">
        <v>0.1</v>
      </c>
      <c r="E1138" s="24" t="n">
        <v>738</v>
      </c>
      <c r="F1138" s="24">
        <f>D1138*E1138</f>
        <v/>
      </c>
      <c r="G1138" s="22" t="n"/>
    </row>
    <row r="1139">
      <c r="A1139" s="22" t="inlineStr">
        <is>
          <t>9999</t>
        </is>
      </c>
      <c r="B1139" s="11" t="inlineStr">
        <is>
          <t>Sundries</t>
        </is>
      </c>
      <c r="C1139" s="22" t="inlineStr">
        <is>
          <t>L.S.</t>
        </is>
      </c>
      <c r="D1139" s="23" t="n">
        <v>33.8</v>
      </c>
      <c r="E1139" s="24" t="n">
        <v>2</v>
      </c>
      <c r="F1139" s="24">
        <f>D1139*E1139</f>
        <v/>
      </c>
      <c r="G1139" s="22" t="n"/>
    </row>
    <row r="1140">
      <c r="A1140" s="8" t="inlineStr">
        <is>
          <t>Calculated W - SUM of the Amount column above</t>
        </is>
      </c>
      <c r="B1140" s="9" t="n"/>
      <c r="C1140" s="9" t="n"/>
      <c r="D1140" s="9" t="n"/>
      <c r="E1140" s="9" t="n"/>
      <c r="F1140" s="25">
        <f>SUM(F1126:F1139)</f>
        <v/>
      </c>
      <c r="G1140" s="9" t="n"/>
    </row>
    <row r="1141">
      <c r="A1141" s="26" t="inlineStr">
        <is>
          <t>W as printed in the DAR</t>
        </is>
      </c>
      <c r="B1141" s="22" t="n"/>
      <c r="C1141" s="22" t="n"/>
      <c r="D1141" s="22" t="n"/>
      <c r="E1141" s="22" t="n"/>
      <c r="F1141" s="27" t="n">
        <v>4342.12</v>
      </c>
      <c r="G1141" s="22" t="n"/>
    </row>
    <row r="1142">
      <c r="A1142" s="26" t="inlineStr">
        <is>
          <t>Difference (calculated - printed)</t>
        </is>
      </c>
      <c r="B1142" s="22" t="n"/>
      <c r="C1142" s="22" t="n"/>
      <c r="D1142" s="22" t="n"/>
      <c r="E1142" s="22" t="n"/>
      <c r="F1142" s="27">
        <f>F1140-F1141</f>
        <v/>
      </c>
      <c r="G1142" s="22" t="n"/>
    </row>
    <row r="1143">
      <c r="A1143" s="29" t="inlineStr">
        <is>
          <t>SAY (Rs.) - final DAR rate as printed (fixed value, not computed)</t>
        </is>
      </c>
      <c r="B1143" s="30" t="n"/>
      <c r="C1143" s="30" t="n"/>
      <c r="D1143" s="30" t="n"/>
      <c r="E1143" s="30" t="n"/>
      <c r="F1143" s="31" t="n">
        <v>2689.6</v>
      </c>
      <c r="G1143" s="30" t="n"/>
    </row>
    <row r="1145" ht="33" customHeight="1">
      <c r="A1145" s="8" t="inlineStr">
        <is>
          <t>9.27</t>
        </is>
      </c>
      <c r="B1145" s="17" t="inlineStr">
        <is>
          <t>Providing and fixing wire gauge shutters using galvanized M.S. wire gauge of average width of aperture 1.4 mm in both directions with wire of dia 0.63 mm, for doors, windows and clerestory windows with hinges and necessary screws :</t>
        </is>
      </c>
      <c r="C1145" s="9" t="n"/>
      <c r="D1145" s="9" t="n"/>
      <c r="E1145" s="9" t="n"/>
      <c r="F1145" s="9" t="n"/>
      <c r="G1145" s="9" t="n"/>
    </row>
    <row r="1146" ht="18.5" customHeight="1">
      <c r="A1146" s="8" t="inlineStr">
        <is>
          <t>9.27.2</t>
        </is>
      </c>
      <c r="B1146" s="17" t="inlineStr">
        <is>
          <t>30 mm thick shutters</t>
        </is>
      </c>
      <c r="C1146" s="9" t="n"/>
      <c r="D1146" s="9" t="n"/>
      <c r="E1146" s="9" t="n"/>
      <c r="F1146" s="9" t="n"/>
      <c r="G1146" s="9" t="n"/>
    </row>
    <row r="1147" ht="18.5" customHeight="1">
      <c r="A1147" s="8" t="inlineStr">
        <is>
          <t>9.27.2.1</t>
        </is>
      </c>
      <c r="B1147" s="17" t="inlineStr">
        <is>
          <t>with ISI marked M.S. pressed butt hinges bright finished of required size</t>
        </is>
      </c>
      <c r="C1147" s="9" t="n"/>
      <c r="D1147" s="9" t="n"/>
      <c r="E1147" s="9" t="n"/>
      <c r="F1147" s="9" t="n"/>
      <c r="G1147" s="9" t="n"/>
    </row>
    <row r="1148" ht="18.5" customHeight="1">
      <c r="A1148" s="18" t="inlineStr">
        <is>
          <t>9.27.2.1.3</t>
        </is>
      </c>
      <c r="B1148" s="19" t="inlineStr">
        <is>
          <t>Kiln seasoned selected class of sheesham wood</t>
        </is>
      </c>
      <c r="C1148" s="20" t="n"/>
      <c r="D1148" s="20" t="n"/>
      <c r="E1148" s="20" t="n"/>
      <c r="F1148" s="20" t="n"/>
      <c r="G1148" s="20" t="n"/>
    </row>
    <row r="1149">
      <c r="A1149" s="21" t="inlineStr">
        <is>
          <t>Details of cost for 2.16 sqm   |   Source: CivilDAR_2019_Vol_1.pdf, page 481</t>
        </is>
      </c>
    </row>
    <row r="1150">
      <c r="A1150" s="5" t="inlineStr">
        <is>
          <t>Code</t>
        </is>
      </c>
      <c r="B1150" s="5" t="inlineStr">
        <is>
          <t>Description</t>
        </is>
      </c>
      <c r="C1150" s="5" t="inlineStr">
        <is>
          <t>Unit</t>
        </is>
      </c>
      <c r="D1150" s="5" t="inlineStr">
        <is>
          <t>Quantity</t>
        </is>
      </c>
      <c r="E1150" s="5" t="inlineStr">
        <is>
          <t>Rate (Rs.)</t>
        </is>
      </c>
      <c r="F1150" s="5" t="inlineStr">
        <is>
          <t>Amount (Rs.)</t>
        </is>
      </c>
      <c r="G1150" s="5" t="inlineStr">
        <is>
          <t>Note</t>
        </is>
      </c>
    </row>
    <row r="1151">
      <c r="A1151" s="22" t="inlineStr">
        <is>
          <t>1200</t>
        </is>
      </c>
      <c r="B1151" s="11" t="inlineStr">
        <is>
          <t>Kiln seasoned selected sheesum wood planks</t>
        </is>
      </c>
      <c r="C1151" s="22" t="inlineStr">
        <is>
          <t>10 cudm</t>
        </is>
      </c>
      <c r="D1151" s="23" t="n">
        <v>4.4</v>
      </c>
      <c r="E1151" s="24" t="n">
        <v>650</v>
      </c>
      <c r="F1151" s="24">
        <f>D1151*E1151</f>
        <v/>
      </c>
      <c r="G1151" s="22" t="n"/>
    </row>
    <row r="1152">
      <c r="A1152" s="22" t="inlineStr">
        <is>
          <t>2204</t>
        </is>
      </c>
      <c r="B1152" s="11" t="inlineStr">
        <is>
          <t>Carriage of Timber</t>
        </is>
      </c>
      <c r="C1152" s="22" t="inlineStr">
        <is>
          <t>cum</t>
        </is>
      </c>
      <c r="D1152" s="23" t="n">
        <v>0.044</v>
      </c>
      <c r="E1152" s="24" t="n">
        <v>118.59</v>
      </c>
      <c r="F1152" s="24">
        <f>D1152*E1152</f>
        <v/>
      </c>
      <c r="G1152" s="22" t="n"/>
    </row>
    <row r="1153">
      <c r="A1153" s="22" t="inlineStr">
        <is>
          <t>2504</t>
        </is>
      </c>
      <c r="B1153" s="11" t="inlineStr">
        <is>
          <t>Kiln seasoning of timber</t>
        </is>
      </c>
      <c r="C1153" s="22" t="inlineStr">
        <is>
          <t>cum</t>
        </is>
      </c>
      <c r="D1153" s="23" t="n">
        <v>0.044</v>
      </c>
      <c r="E1153" s="24" t="n">
        <v>750</v>
      </c>
      <c r="F1153" s="24">
        <f>D1153*E1153</f>
        <v/>
      </c>
      <c r="G1153" s="22" t="n"/>
    </row>
    <row r="1154">
      <c r="A1154" s="22" t="inlineStr">
        <is>
          <t>7029</t>
        </is>
      </c>
      <c r="B1154" s="11" t="inlineStr">
        <is>
          <t>Galvanised wire mesh of average width of aperture 1.4 mm and nominal dia. Of wire 0.63 mm</t>
        </is>
      </c>
      <c r="C1154" s="22" t="inlineStr">
        <is>
          <t>sqm</t>
        </is>
      </c>
      <c r="D1154" s="23" t="n">
        <v>1.41</v>
      </c>
      <c r="E1154" s="24" t="n">
        <v>250</v>
      </c>
      <c r="F1154" s="24">
        <f>D1154*E1154</f>
        <v/>
      </c>
      <c r="G1154" s="22" t="n"/>
    </row>
    <row r="1155">
      <c r="A1155" s="22" t="inlineStr">
        <is>
          <t>0595</t>
        </is>
      </c>
      <c r="B1155" s="11" t="inlineStr">
        <is>
          <t>Bright finished or black enamelled mild steel butt hinges 100x58x1.90 mm</t>
        </is>
      </c>
      <c r="C1155" s="22" t="inlineStr">
        <is>
          <t>10 Nos</t>
        </is>
      </c>
      <c r="D1155" s="23" t="n">
        <v>0.6</v>
      </c>
      <c r="E1155" s="24" t="n">
        <v>80</v>
      </c>
      <c r="F1155" s="24">
        <f>D1155*E1155</f>
        <v/>
      </c>
      <c r="G1155" s="22" t="n"/>
    </row>
    <row r="1156">
      <c r="A1156" s="22" t="inlineStr">
        <is>
          <t>0597</t>
        </is>
      </c>
      <c r="B1156" s="11" t="inlineStr">
        <is>
          <t>Bright finished or black enamelled mild steel butt hinges50x37x1.50 mm</t>
        </is>
      </c>
      <c r="C1156" s="22" t="inlineStr">
        <is>
          <t>10 Nos</t>
        </is>
      </c>
      <c r="D1156" s="23" t="n">
        <v>0.2</v>
      </c>
      <c r="E1156" s="24" t="n">
        <v>49</v>
      </c>
      <c r="F1156" s="24">
        <f>D1156*E1156</f>
        <v/>
      </c>
      <c r="G1156" s="22" t="n"/>
    </row>
    <row r="1157">
      <c r="A1157" s="22" t="inlineStr">
        <is>
          <t>0637</t>
        </is>
      </c>
      <c r="B1157" s="11" t="inlineStr">
        <is>
          <t>Bright finished or black enamelled mild steel screws 40 mm</t>
        </is>
      </c>
      <c r="C1157" s="22" t="inlineStr">
        <is>
          <t>100 Nos</t>
        </is>
      </c>
      <c r="D1157" s="23" t="n">
        <v>0.48</v>
      </c>
      <c r="E1157" s="24" t="n">
        <v>60</v>
      </c>
      <c r="F1157" s="24">
        <f>D1157*E1157</f>
        <v/>
      </c>
      <c r="G1157" s="22" t="n"/>
    </row>
    <row r="1158">
      <c r="A1158" s="22" t="inlineStr">
        <is>
          <t>0640</t>
        </is>
      </c>
      <c r="B1158" s="11" t="inlineStr">
        <is>
          <t>Bright finished or black enamelled mild steel screws 20 mm</t>
        </is>
      </c>
      <c r="C1158" s="22" t="inlineStr">
        <is>
          <t>100 Nos</t>
        </is>
      </c>
      <c r="D1158" s="23" t="n">
        <v>0.08</v>
      </c>
      <c r="E1158" s="24" t="n">
        <v>30</v>
      </c>
      <c r="F1158" s="24">
        <f>D1158*E1158</f>
        <v/>
      </c>
      <c r="G1158" s="22" t="n"/>
    </row>
    <row r="1159">
      <c r="A1159" s="22" t="inlineStr">
        <is>
          <t>0111</t>
        </is>
      </c>
      <c r="B1159" s="11" t="inlineStr">
        <is>
          <t>Carpenter 1st class</t>
        </is>
      </c>
      <c r="C1159" s="22" t="inlineStr">
        <is>
          <t>day</t>
        </is>
      </c>
      <c r="D1159" s="23" t="n">
        <v>1.2</v>
      </c>
      <c r="E1159" s="24" t="n">
        <v>738</v>
      </c>
      <c r="F1159" s="24">
        <f>D1159*E1159</f>
        <v/>
      </c>
      <c r="G1159" s="22" t="n"/>
    </row>
    <row r="1160">
      <c r="A1160" s="22" t="inlineStr">
        <is>
          <t>0112</t>
        </is>
      </c>
      <c r="B1160" s="11" t="inlineStr">
        <is>
          <t>Carpenter 2nd class</t>
        </is>
      </c>
      <c r="C1160" s="22" t="inlineStr">
        <is>
          <t>day</t>
        </is>
      </c>
      <c r="D1160" s="23" t="n">
        <v>0.8</v>
      </c>
      <c r="E1160" s="24" t="n">
        <v>679</v>
      </c>
      <c r="F1160" s="24">
        <f>D1160*E1160</f>
        <v/>
      </c>
      <c r="G1160" s="22" t="n"/>
    </row>
    <row r="1161">
      <c r="A1161" s="22" t="inlineStr">
        <is>
          <t>0114</t>
        </is>
      </c>
      <c r="B1161" s="11" t="inlineStr">
        <is>
          <t>Beldar</t>
        </is>
      </c>
      <c r="C1161" s="22" t="inlineStr">
        <is>
          <t>day</t>
        </is>
      </c>
      <c r="D1161" s="23" t="n">
        <v>1</v>
      </c>
      <c r="E1161" s="24" t="n">
        <v>558</v>
      </c>
      <c r="F1161" s="24">
        <f>D1161*E1161</f>
        <v/>
      </c>
      <c r="G1161" s="22" t="n"/>
    </row>
    <row r="1162">
      <c r="A1162" s="22" t="inlineStr">
        <is>
          <t>0130</t>
        </is>
      </c>
      <c r="B1162" s="11" t="inlineStr">
        <is>
          <t>Mistry</t>
        </is>
      </c>
      <c r="C1162" s="22" t="inlineStr">
        <is>
          <t>day</t>
        </is>
      </c>
      <c r="D1162" s="23" t="n">
        <v>0.1</v>
      </c>
      <c r="E1162" s="24" t="n">
        <v>738</v>
      </c>
      <c r="F1162" s="24">
        <f>D1162*E1162</f>
        <v/>
      </c>
      <c r="G1162" s="22" t="n"/>
    </row>
    <row r="1163">
      <c r="A1163" s="22" t="inlineStr">
        <is>
          <t>9999</t>
        </is>
      </c>
      <c r="B1163" s="11" t="inlineStr">
        <is>
          <t>Sundries</t>
        </is>
      </c>
      <c r="C1163" s="22" t="inlineStr">
        <is>
          <t>L.S.</t>
        </is>
      </c>
      <c r="D1163" s="23" t="n">
        <v>33.8</v>
      </c>
      <c r="E1163" s="24" t="n">
        <v>2</v>
      </c>
      <c r="F1163" s="24">
        <f>D1163*E1163</f>
        <v/>
      </c>
      <c r="G1163" s="22" t="n"/>
    </row>
    <row r="1164">
      <c r="A1164" s="8" t="inlineStr">
        <is>
          <t>Calculated W - SUM of the Amount column above</t>
        </is>
      </c>
      <c r="B1164" s="9" t="n"/>
      <c r="C1164" s="9" t="n"/>
      <c r="D1164" s="9" t="n"/>
      <c r="E1164" s="9" t="n"/>
      <c r="F1164" s="25">
        <f>SUM(F1151:F1163)</f>
        <v/>
      </c>
      <c r="G1164" s="9" t="n"/>
    </row>
    <row r="1165">
      <c r="A1165" s="26" t="inlineStr">
        <is>
          <t>W as printed in the DAR</t>
        </is>
      </c>
      <c r="B1165" s="22" t="n"/>
      <c r="C1165" s="22" t="n"/>
      <c r="D1165" s="22" t="n"/>
      <c r="E1165" s="22" t="n"/>
      <c r="F1165" s="27" t="n">
        <v>5467.92</v>
      </c>
      <c r="G1165" s="22" t="n"/>
    </row>
    <row r="1166">
      <c r="A1166" s="26" t="inlineStr">
        <is>
          <t>Difference (calculated - printed)</t>
        </is>
      </c>
      <c r="B1166" s="22" t="n"/>
      <c r="C1166" s="22" t="n"/>
      <c r="D1166" s="22" t="n"/>
      <c r="E1166" s="22" t="n"/>
      <c r="F1166" s="27">
        <f>F1164-F1165</f>
        <v/>
      </c>
      <c r="G1166" s="22" t="n"/>
    </row>
    <row r="1167">
      <c r="A1167" s="29" t="inlineStr">
        <is>
          <t>SAY (Rs.) - final DAR rate as printed (fixed value, not computed)</t>
        </is>
      </c>
      <c r="B1167" s="30" t="n"/>
      <c r="C1167" s="30" t="n"/>
      <c r="D1167" s="30" t="n"/>
      <c r="E1167" s="30" t="n"/>
      <c r="F1167" s="31" t="n">
        <v>3386.9</v>
      </c>
      <c r="G1167" s="30" t="n"/>
    </row>
    <row r="1169" ht="33" customHeight="1">
      <c r="A1169" s="8" t="inlineStr">
        <is>
          <t>9.27</t>
        </is>
      </c>
      <c r="B1169" s="17" t="inlineStr">
        <is>
          <t>Providing and fixing wire gauge shutters using galvanized M.S. wire gauge of average width of aperture 1.4 mm in both directions with wire of dia 0.63 mm, for doors, windows and clerestory windows with hinges and necessary screws :</t>
        </is>
      </c>
      <c r="C1169" s="9" t="n"/>
      <c r="D1169" s="9" t="n"/>
      <c r="E1169" s="9" t="n"/>
      <c r="F1169" s="9" t="n"/>
      <c r="G1169" s="9" t="n"/>
    </row>
    <row r="1170" ht="18.5" customHeight="1">
      <c r="A1170" s="8" t="inlineStr">
        <is>
          <t>9.27.2</t>
        </is>
      </c>
      <c r="B1170" s="17" t="inlineStr">
        <is>
          <t>30 mm thick shutters</t>
        </is>
      </c>
      <c r="C1170" s="9" t="n"/>
      <c r="D1170" s="9" t="n"/>
      <c r="E1170" s="9" t="n"/>
      <c r="F1170" s="9" t="n"/>
      <c r="G1170" s="9" t="n"/>
    </row>
    <row r="1171" ht="18.5" customHeight="1">
      <c r="A1171" s="8" t="inlineStr">
        <is>
          <t>9.27.2.2</t>
        </is>
      </c>
      <c r="B1171" s="17" t="inlineStr">
        <is>
          <t>With ISI marked stainless steel butt hinges of required size</t>
        </is>
      </c>
      <c r="C1171" s="9" t="n"/>
      <c r="D1171" s="9" t="n"/>
      <c r="E1171" s="9" t="n"/>
      <c r="F1171" s="9" t="n"/>
      <c r="G1171" s="9" t="n"/>
    </row>
    <row r="1172" ht="18.5" customHeight="1">
      <c r="A1172" s="18" t="inlineStr">
        <is>
          <t>9.27.2.2.1</t>
        </is>
      </c>
      <c r="B1172" s="19" t="inlineStr">
        <is>
          <t>Second class teak wood</t>
        </is>
      </c>
      <c r="C1172" s="20" t="n"/>
      <c r="D1172" s="20" t="n"/>
      <c r="E1172" s="20" t="n"/>
      <c r="F1172" s="20" t="n"/>
      <c r="G1172" s="20" t="n"/>
    </row>
    <row r="1173">
      <c r="A1173" s="21" t="inlineStr">
        <is>
          <t>Details of cost for 2.16 sqm   |   Source: CivilDAR_2019_Vol_1.pdf, page 482</t>
        </is>
      </c>
    </row>
    <row r="1174">
      <c r="A1174" s="5" t="inlineStr">
        <is>
          <t>Code</t>
        </is>
      </c>
      <c r="B1174" s="5" t="inlineStr">
        <is>
          <t>Description</t>
        </is>
      </c>
      <c r="C1174" s="5" t="inlineStr">
        <is>
          <t>Unit</t>
        </is>
      </c>
      <c r="D1174" s="5" t="inlineStr">
        <is>
          <t>Quantity</t>
        </is>
      </c>
      <c r="E1174" s="5" t="inlineStr">
        <is>
          <t>Rate (Rs.)</t>
        </is>
      </c>
      <c r="F1174" s="5" t="inlineStr">
        <is>
          <t>Amount (Rs.)</t>
        </is>
      </c>
      <c r="G1174" s="5" t="inlineStr">
        <is>
          <t>Note</t>
        </is>
      </c>
    </row>
    <row r="1175">
      <c r="A1175" s="22" t="inlineStr">
        <is>
          <t>1190</t>
        </is>
      </c>
      <c r="B1175" s="11" t="inlineStr">
        <is>
          <t>Second class teak wood in planks</t>
        </is>
      </c>
      <c r="C1175" s="22" t="inlineStr">
        <is>
          <t>10 cudm</t>
        </is>
      </c>
      <c r="D1175" s="23" t="n">
        <v>4.4</v>
      </c>
      <c r="E1175" s="24" t="n">
        <v>791</v>
      </c>
      <c r="F1175" s="24">
        <f>D1175*E1175</f>
        <v/>
      </c>
      <c r="G1175" s="22" t="n"/>
    </row>
    <row r="1176">
      <c r="A1176" s="22" t="inlineStr">
        <is>
          <t>2204</t>
        </is>
      </c>
      <c r="B1176" s="11" t="inlineStr">
        <is>
          <t>Carriage of Timber</t>
        </is>
      </c>
      <c r="C1176" s="22" t="inlineStr">
        <is>
          <t>cum</t>
        </is>
      </c>
      <c r="D1176" s="23" t="n">
        <v>0.044</v>
      </c>
      <c r="E1176" s="24" t="n">
        <v>118.59</v>
      </c>
      <c r="F1176" s="24">
        <f>D1176*E1176</f>
        <v/>
      </c>
      <c r="G1176" s="22" t="n"/>
    </row>
    <row r="1177">
      <c r="A1177" s="22" t="inlineStr">
        <is>
          <t>7029</t>
        </is>
      </c>
      <c r="B1177" s="11" t="inlineStr">
        <is>
          <t>Galvanised wire mesh of average width of aperture 1.4 mm and nominal dia. Of wire 0.63 mm</t>
        </is>
      </c>
      <c r="C1177" s="22" t="inlineStr">
        <is>
          <t>sqm</t>
        </is>
      </c>
      <c r="D1177" s="23" t="n">
        <v>1.41</v>
      </c>
      <c r="E1177" s="24" t="n">
        <v>250</v>
      </c>
      <c r="F1177" s="24">
        <f>D1177*E1177</f>
        <v/>
      </c>
      <c r="G1177" s="22" t="n"/>
    </row>
    <row r="1178">
      <c r="A1178" s="22" t="inlineStr">
        <is>
          <t>8220</t>
        </is>
      </c>
      <c r="B1178" s="11" t="inlineStr">
        <is>
          <t>Stainless steel butt hinges (heavy weight) 100x60x2.5 mm IS : 12817 marked</t>
        </is>
      </c>
      <c r="C1178" s="22" t="inlineStr">
        <is>
          <t>10 Nos</t>
        </is>
      </c>
      <c r="D1178" s="23" t="n">
        <v>0.6</v>
      </c>
      <c r="E1178" s="24" t="n">
        <v>255</v>
      </c>
      <c r="F1178" s="24">
        <f>D1178*E1178</f>
        <v/>
      </c>
      <c r="G1178" s="22" t="n"/>
    </row>
    <row r="1179">
      <c r="A1179" s="22" t="inlineStr">
        <is>
          <t>8218</t>
        </is>
      </c>
      <c r="B1179" s="11" t="inlineStr">
        <is>
          <t>Stainless steel butt hinges 50x37x 1.5 mm IS : 12817 marked</t>
        </is>
      </c>
      <c r="C1179" s="22" t="inlineStr">
        <is>
          <t>10 Nos</t>
        </is>
      </c>
      <c r="D1179" s="23" t="n">
        <v>0.2</v>
      </c>
      <c r="E1179" s="24" t="n">
        <v>135</v>
      </c>
      <c r="F1179" s="24">
        <f>D1179*E1179</f>
        <v/>
      </c>
      <c r="G1179" s="22" t="n"/>
    </row>
    <row r="1180">
      <c r="A1180" s="22" t="inlineStr">
        <is>
          <t>8211</t>
        </is>
      </c>
      <c r="B1180" s="11" t="inlineStr">
        <is>
          <t>Stainless steel screws 40 mm</t>
        </is>
      </c>
      <c r="C1180" s="22" t="inlineStr">
        <is>
          <t>100 Nos</t>
        </is>
      </c>
      <c r="D1180" s="23" t="n">
        <v>0.48</v>
      </c>
      <c r="E1180" s="24" t="n">
        <v>215</v>
      </c>
      <c r="F1180" s="24">
        <f>D1180*E1180</f>
        <v/>
      </c>
      <c r="G1180" s="22" t="n"/>
    </row>
    <row r="1181">
      <c r="A1181" s="22" t="inlineStr">
        <is>
          <t>8214</t>
        </is>
      </c>
      <c r="B1181" s="11" t="inlineStr">
        <is>
          <t>Stainless steel screws 20 mm</t>
        </is>
      </c>
      <c r="C1181" s="22" t="inlineStr">
        <is>
          <t>100 Nos</t>
        </is>
      </c>
      <c r="D1181" s="23" t="n">
        <v>0.08</v>
      </c>
      <c r="E1181" s="24" t="n">
        <v>125</v>
      </c>
      <c r="F1181" s="24">
        <f>D1181*E1181</f>
        <v/>
      </c>
      <c r="G1181" s="22" t="n"/>
    </row>
    <row r="1182">
      <c r="A1182" s="22" t="inlineStr">
        <is>
          <t>0111</t>
        </is>
      </c>
      <c r="B1182" s="11" t="inlineStr">
        <is>
          <t>Carpenter 1st class</t>
        </is>
      </c>
      <c r="C1182" s="22" t="inlineStr">
        <is>
          <t>day</t>
        </is>
      </c>
      <c r="D1182" s="23" t="n">
        <v>1.2</v>
      </c>
      <c r="E1182" s="24" t="n">
        <v>738</v>
      </c>
      <c r="F1182" s="24">
        <f>D1182*E1182</f>
        <v/>
      </c>
      <c r="G1182" s="22" t="n"/>
    </row>
    <row r="1183">
      <c r="A1183" s="22" t="inlineStr">
        <is>
          <t>0112</t>
        </is>
      </c>
      <c r="B1183" s="11" t="inlineStr">
        <is>
          <t>Carpenter 2nd class</t>
        </is>
      </c>
      <c r="C1183" s="22" t="inlineStr">
        <is>
          <t>day</t>
        </is>
      </c>
      <c r="D1183" s="23" t="n">
        <v>0.8</v>
      </c>
      <c r="E1183" s="24" t="n">
        <v>679</v>
      </c>
      <c r="F1183" s="24">
        <f>D1183*E1183</f>
        <v/>
      </c>
      <c r="G1183" s="22" t="n"/>
    </row>
    <row r="1184">
      <c r="A1184" s="22" t="inlineStr">
        <is>
          <t>0114</t>
        </is>
      </c>
      <c r="B1184" s="11" t="inlineStr">
        <is>
          <t>Beldar</t>
        </is>
      </c>
      <c r="C1184" s="22" t="inlineStr">
        <is>
          <t>day</t>
        </is>
      </c>
      <c r="D1184" s="23" t="n">
        <v>1</v>
      </c>
      <c r="E1184" s="24" t="n">
        <v>558</v>
      </c>
      <c r="F1184" s="24">
        <f>D1184*E1184</f>
        <v/>
      </c>
      <c r="G1184" s="22" t="n"/>
    </row>
    <row r="1185">
      <c r="A1185" s="22" t="inlineStr">
        <is>
          <t>0130</t>
        </is>
      </c>
      <c r="B1185" s="11" t="inlineStr">
        <is>
          <t>Mistry</t>
        </is>
      </c>
      <c r="C1185" s="22" t="inlineStr">
        <is>
          <t>day</t>
        </is>
      </c>
      <c r="D1185" s="23" t="n">
        <v>0.1</v>
      </c>
      <c r="E1185" s="24" t="n">
        <v>738</v>
      </c>
      <c r="F1185" s="24">
        <f>D1185*E1185</f>
        <v/>
      </c>
      <c r="G1185" s="22" t="n"/>
    </row>
    <row r="1186">
      <c r="A1186" s="22" t="inlineStr">
        <is>
          <t>9999</t>
        </is>
      </c>
      <c r="B1186" s="11" t="inlineStr">
        <is>
          <t>Sundries</t>
        </is>
      </c>
      <c r="C1186" s="22" t="inlineStr">
        <is>
          <t>L.S.</t>
        </is>
      </c>
      <c r="D1186" s="23" t="n">
        <v>33.8</v>
      </c>
      <c r="E1186" s="24" t="n">
        <v>2</v>
      </c>
      <c r="F1186" s="24">
        <f>D1186*E1186</f>
        <v/>
      </c>
      <c r="G1186" s="22" t="n"/>
    </row>
    <row r="1187">
      <c r="A1187" s="8" t="inlineStr">
        <is>
          <t>Calculated W - SUM of the Amount column above</t>
        </is>
      </c>
      <c r="B1187" s="9" t="n"/>
      <c r="C1187" s="9" t="n"/>
      <c r="D1187" s="9" t="n"/>
      <c r="E1187" s="9" t="n"/>
      <c r="F1187" s="25">
        <f>SUM(F1175:F1186)</f>
        <v/>
      </c>
      <c r="G1187" s="9" t="n"/>
    </row>
    <row r="1188">
      <c r="A1188" s="26" t="inlineStr">
        <is>
          <t>W as printed in the DAR</t>
        </is>
      </c>
      <c r="B1188" s="22" t="n"/>
      <c r="C1188" s="22" t="n"/>
      <c r="D1188" s="22" t="n"/>
      <c r="E1188" s="22" t="n"/>
      <c r="F1188" s="27" t="n">
        <v>6259.52</v>
      </c>
      <c r="G1188" s="22" t="n"/>
    </row>
    <row r="1189">
      <c r="A1189" s="26" t="inlineStr">
        <is>
          <t>Difference (calculated - printed)</t>
        </is>
      </c>
      <c r="B1189" s="22" t="n"/>
      <c r="C1189" s="22" t="n"/>
      <c r="D1189" s="22" t="n"/>
      <c r="E1189" s="22" t="n"/>
      <c r="F1189" s="27">
        <f>F1187-F1188</f>
        <v/>
      </c>
      <c r="G1189" s="22" t="n"/>
    </row>
    <row r="1190">
      <c r="A1190" s="29" t="inlineStr">
        <is>
          <t>SAY (Rs.) - final DAR rate as printed (fixed value, not computed)</t>
        </is>
      </c>
      <c r="B1190" s="30" t="n"/>
      <c r="C1190" s="30" t="n"/>
      <c r="D1190" s="30" t="n"/>
      <c r="E1190" s="30" t="n"/>
      <c r="F1190" s="31" t="n">
        <v>3877.25</v>
      </c>
      <c r="G1190" s="30" t="n"/>
    </row>
    <row r="1192" ht="33" customHeight="1">
      <c r="A1192" s="8" t="inlineStr">
        <is>
          <t>9.27</t>
        </is>
      </c>
      <c r="B1192" s="17" t="inlineStr">
        <is>
          <t>Providing and fixing wire gauge shutters using galvanized M.S. wire gauge of average width of aperture 1.4 mm in both directions with wire of dia 0.63 mm, for doors, windows and clerestory windows with hinges and necessary screws :</t>
        </is>
      </c>
      <c r="C1192" s="9" t="n"/>
      <c r="D1192" s="9" t="n"/>
      <c r="E1192" s="9" t="n"/>
      <c r="F1192" s="9" t="n"/>
      <c r="G1192" s="9" t="n"/>
    </row>
    <row r="1193" ht="18.5" customHeight="1">
      <c r="A1193" s="8" t="inlineStr">
        <is>
          <t>9.27.2</t>
        </is>
      </c>
      <c r="B1193" s="17" t="inlineStr">
        <is>
          <t>30 mm thick shutters</t>
        </is>
      </c>
      <c r="C1193" s="9" t="n"/>
      <c r="D1193" s="9" t="n"/>
      <c r="E1193" s="9" t="n"/>
      <c r="F1193" s="9" t="n"/>
      <c r="G1193" s="9" t="n"/>
    </row>
    <row r="1194" ht="18.5" customHeight="1">
      <c r="A1194" s="8" t="inlineStr">
        <is>
          <t>9.27.2.2</t>
        </is>
      </c>
      <c r="B1194" s="17" t="inlineStr">
        <is>
          <t>With ISI marked stainless steel butt hinges of required size</t>
        </is>
      </c>
      <c r="C1194" s="9" t="n"/>
      <c r="D1194" s="9" t="n"/>
      <c r="E1194" s="9" t="n"/>
      <c r="F1194" s="9" t="n"/>
      <c r="G1194" s="9" t="n"/>
    </row>
    <row r="1195" ht="18.5" customHeight="1">
      <c r="A1195" s="18" t="inlineStr">
        <is>
          <t>9.27.2.2.2</t>
        </is>
      </c>
      <c r="B1195" s="19" t="inlineStr">
        <is>
          <t>Kiln seasoned and chemically treated hollock wood</t>
        </is>
      </c>
      <c r="C1195" s="20" t="n"/>
      <c r="D1195" s="20" t="n"/>
      <c r="E1195" s="20" t="n"/>
      <c r="F1195" s="20" t="n"/>
      <c r="G1195" s="20" t="n"/>
    </row>
    <row r="1196">
      <c r="A1196" s="21" t="inlineStr">
        <is>
          <t>Details of cost for 2.16 sqm   |   Source: CivilDAR_2019_Vol_1.pdf, page 483</t>
        </is>
      </c>
    </row>
    <row r="1197">
      <c r="A1197" s="5" t="inlineStr">
        <is>
          <t>Code</t>
        </is>
      </c>
      <c r="B1197" s="5" t="inlineStr">
        <is>
          <t>Description</t>
        </is>
      </c>
      <c r="C1197" s="5" t="inlineStr">
        <is>
          <t>Unit</t>
        </is>
      </c>
      <c r="D1197" s="5" t="inlineStr">
        <is>
          <t>Quantity</t>
        </is>
      </c>
      <c r="E1197" s="5" t="inlineStr">
        <is>
          <t>Rate (Rs.)</t>
        </is>
      </c>
      <c r="F1197" s="5" t="inlineStr">
        <is>
          <t>Amount (Rs.)</t>
        </is>
      </c>
      <c r="G1197" s="5" t="inlineStr">
        <is>
          <t>Note</t>
        </is>
      </c>
    </row>
    <row r="1198">
      <c r="A1198" s="22" t="inlineStr">
        <is>
          <t>2505</t>
        </is>
      </c>
      <c r="B1198" s="11" t="inlineStr">
        <is>
          <t>Hollock wood in planks</t>
        </is>
      </c>
      <c r="C1198" s="22" t="inlineStr">
        <is>
          <t>10 cudm</t>
        </is>
      </c>
      <c r="D1198" s="23" t="n">
        <v>4.4</v>
      </c>
      <c r="E1198" s="24" t="n">
        <v>390</v>
      </c>
      <c r="F1198" s="24">
        <f>D1198*E1198</f>
        <v/>
      </c>
      <c r="G1198" s="22" t="n"/>
    </row>
    <row r="1199">
      <c r="A1199" s="22" t="inlineStr">
        <is>
          <t>2504</t>
        </is>
      </c>
      <c r="B1199" s="11" t="inlineStr">
        <is>
          <t>Kiln seasoning of timber</t>
        </is>
      </c>
      <c r="C1199" s="22" t="inlineStr">
        <is>
          <t>cum</t>
        </is>
      </c>
      <c r="D1199" s="23" t="n">
        <v>0.044</v>
      </c>
      <c r="E1199" s="24" t="n">
        <v>750</v>
      </c>
      <c r="F1199" s="24">
        <f>D1199*E1199</f>
        <v/>
      </c>
      <c r="G1199" s="22" t="n"/>
    </row>
    <row r="1200">
      <c r="A1200" s="22" t="inlineStr">
        <is>
          <t>9999</t>
        </is>
      </c>
      <c r="B1200" s="11" t="inlineStr">
        <is>
          <t>Chemical treatment</t>
        </is>
      </c>
      <c r="C1200" s="22" t="inlineStr">
        <is>
          <t>L.S.</t>
        </is>
      </c>
      <c r="D1200" s="23" t="n">
        <v>8.970000000000001</v>
      </c>
      <c r="E1200" s="24" t="n">
        <v>2</v>
      </c>
      <c r="F1200" s="24">
        <f>D1200*E1200</f>
        <v/>
      </c>
      <c r="G1200" s="22" t="n"/>
    </row>
    <row r="1201">
      <c r="A1201" s="22" t="inlineStr">
        <is>
          <t>2204</t>
        </is>
      </c>
      <c r="B1201" s="11" t="inlineStr">
        <is>
          <t>Carriage of Timber</t>
        </is>
      </c>
      <c r="C1201" s="22" t="inlineStr">
        <is>
          <t>cum</t>
        </is>
      </c>
      <c r="D1201" s="23" t="n">
        <v>0.044</v>
      </c>
      <c r="E1201" s="24" t="n">
        <v>118.59</v>
      </c>
      <c r="F1201" s="24">
        <f>D1201*E1201</f>
        <v/>
      </c>
      <c r="G1201" s="22" t="n"/>
    </row>
    <row r="1202">
      <c r="A1202" s="22" t="inlineStr">
        <is>
          <t>7029</t>
        </is>
      </c>
      <c r="B1202" s="11" t="inlineStr">
        <is>
          <t>Galvanised wire mesh of average width of aperture 1.4 mm and nominal dia. Of wire 0.63 mm</t>
        </is>
      </c>
      <c r="C1202" s="22" t="inlineStr">
        <is>
          <t>sqm</t>
        </is>
      </c>
      <c r="D1202" s="23" t="n">
        <v>1.41</v>
      </c>
      <c r="E1202" s="24" t="n">
        <v>250</v>
      </c>
      <c r="F1202" s="24">
        <f>D1202*E1202</f>
        <v/>
      </c>
      <c r="G1202" s="22" t="n"/>
    </row>
    <row r="1203">
      <c r="A1203" s="22" t="inlineStr">
        <is>
          <t>8220</t>
        </is>
      </c>
      <c r="B1203" s="11" t="inlineStr">
        <is>
          <t>Stainless steel butt hinges (heavy weight) 100x60x2.5 mm IS : 12817 marked</t>
        </is>
      </c>
      <c r="C1203" s="22" t="inlineStr">
        <is>
          <t>10 Nos</t>
        </is>
      </c>
      <c r="D1203" s="23" t="n">
        <v>0.6</v>
      </c>
      <c r="E1203" s="24" t="n">
        <v>255</v>
      </c>
      <c r="F1203" s="24">
        <f>D1203*E1203</f>
        <v/>
      </c>
      <c r="G1203" s="22" t="n"/>
    </row>
    <row r="1204">
      <c r="A1204" s="22" t="inlineStr">
        <is>
          <t>8218</t>
        </is>
      </c>
      <c r="B1204" s="11" t="inlineStr">
        <is>
          <t>Stainless steel butt hinges 50x37x 1.5 mm IS : 12817 marked</t>
        </is>
      </c>
      <c r="C1204" s="22" t="inlineStr">
        <is>
          <t>10 Nos</t>
        </is>
      </c>
      <c r="D1204" s="23" t="n">
        <v>0.2</v>
      </c>
      <c r="E1204" s="24" t="n">
        <v>135</v>
      </c>
      <c r="F1204" s="24">
        <f>D1204*E1204</f>
        <v/>
      </c>
      <c r="G1204" s="22" t="n"/>
    </row>
    <row r="1205">
      <c r="A1205" s="22" t="inlineStr">
        <is>
          <t>8211</t>
        </is>
      </c>
      <c r="B1205" s="11" t="inlineStr">
        <is>
          <t>Stainless steel screws 40 mm</t>
        </is>
      </c>
      <c r="C1205" s="22" t="inlineStr">
        <is>
          <t>100 Nos</t>
        </is>
      </c>
      <c r="D1205" s="23" t="n">
        <v>0.48</v>
      </c>
      <c r="E1205" s="24" t="n">
        <v>215</v>
      </c>
      <c r="F1205" s="24">
        <f>D1205*E1205</f>
        <v/>
      </c>
      <c r="G1205" s="22" t="n"/>
    </row>
    <row r="1206">
      <c r="A1206" s="22" t="inlineStr">
        <is>
          <t>8214</t>
        </is>
      </c>
      <c r="B1206" s="11" t="inlineStr">
        <is>
          <t>Stainless steel screws 20 mm</t>
        </is>
      </c>
      <c r="C1206" s="22" t="inlineStr">
        <is>
          <t>100 Nos</t>
        </is>
      </c>
      <c r="D1206" s="23" t="n">
        <v>0.08</v>
      </c>
      <c r="E1206" s="24" t="n">
        <v>125</v>
      </c>
      <c r="F1206" s="24">
        <f>D1206*E1206</f>
        <v/>
      </c>
      <c r="G1206" s="22" t="n"/>
    </row>
    <row r="1207">
      <c r="A1207" s="22" t="inlineStr">
        <is>
          <t>0111</t>
        </is>
      </c>
      <c r="B1207" s="11" t="inlineStr">
        <is>
          <t>Carpenter 1st class</t>
        </is>
      </c>
      <c r="C1207" s="22" t="inlineStr">
        <is>
          <t>day</t>
        </is>
      </c>
      <c r="D1207" s="23" t="n">
        <v>1.2</v>
      </c>
      <c r="E1207" s="24" t="n">
        <v>738</v>
      </c>
      <c r="F1207" s="24">
        <f>D1207*E1207</f>
        <v/>
      </c>
      <c r="G1207" s="22" t="n"/>
    </row>
    <row r="1208">
      <c r="A1208" s="22" t="inlineStr">
        <is>
          <t>0112</t>
        </is>
      </c>
      <c r="B1208" s="11" t="inlineStr">
        <is>
          <t>Carpenter 2nd class</t>
        </is>
      </c>
      <c r="C1208" s="22" t="inlineStr">
        <is>
          <t>day</t>
        </is>
      </c>
      <c r="D1208" s="23" t="n">
        <v>0.8</v>
      </c>
      <c r="E1208" s="24" t="n">
        <v>679</v>
      </c>
      <c r="F1208" s="24">
        <f>D1208*E1208</f>
        <v/>
      </c>
      <c r="G1208" s="22" t="n"/>
    </row>
    <row r="1209">
      <c r="A1209" s="22" t="inlineStr">
        <is>
          <t>0114</t>
        </is>
      </c>
      <c r="B1209" s="11" t="inlineStr">
        <is>
          <t>Beldar</t>
        </is>
      </c>
      <c r="C1209" s="22" t="inlineStr">
        <is>
          <t>day</t>
        </is>
      </c>
      <c r="D1209" s="23" t="n">
        <v>1</v>
      </c>
      <c r="E1209" s="24" t="n">
        <v>558</v>
      </c>
      <c r="F1209" s="24">
        <f>D1209*E1209</f>
        <v/>
      </c>
      <c r="G1209" s="22" t="n"/>
    </row>
    <row r="1210">
      <c r="A1210" s="22" t="inlineStr">
        <is>
          <t>0130</t>
        </is>
      </c>
      <c r="B1210" s="11" t="inlineStr">
        <is>
          <t>Mistry</t>
        </is>
      </c>
      <c r="C1210" s="22" t="inlineStr">
        <is>
          <t>day</t>
        </is>
      </c>
      <c r="D1210" s="23" t="n">
        <v>0.1</v>
      </c>
      <c r="E1210" s="24" t="n">
        <v>738</v>
      </c>
      <c r="F1210" s="24">
        <f>D1210*E1210</f>
        <v/>
      </c>
      <c r="G1210" s="22" t="n"/>
    </row>
    <row r="1211">
      <c r="A1211" s="22" t="inlineStr">
        <is>
          <t>9999</t>
        </is>
      </c>
      <c r="B1211" s="11" t="inlineStr">
        <is>
          <t>Sundries</t>
        </is>
      </c>
      <c r="C1211" s="22" t="inlineStr">
        <is>
          <t>L.S.</t>
        </is>
      </c>
      <c r="D1211" s="23" t="n">
        <v>33.8</v>
      </c>
      <c r="E1211" s="24" t="n">
        <v>2</v>
      </c>
      <c r="F1211" s="24">
        <f>D1211*E1211</f>
        <v/>
      </c>
      <c r="G1211" s="22" t="n"/>
    </row>
    <row r="1212">
      <c r="A1212" s="8" t="inlineStr">
        <is>
          <t>Calculated W - SUM of the Amount column above</t>
        </is>
      </c>
      <c r="B1212" s="9" t="n"/>
      <c r="C1212" s="9" t="n"/>
      <c r="D1212" s="9" t="n"/>
      <c r="E1212" s="9" t="n"/>
      <c r="F1212" s="25">
        <f>SUM(F1198:F1211)</f>
        <v/>
      </c>
      <c r="G1212" s="9" t="n"/>
    </row>
    <row r="1213">
      <c r="A1213" s="26" t="inlineStr">
        <is>
          <t>W as printed in the DAR</t>
        </is>
      </c>
      <c r="B1213" s="22" t="n"/>
      <c r="C1213" s="22" t="n"/>
      <c r="D1213" s="22" t="n"/>
      <c r="E1213" s="22" t="n"/>
      <c r="F1213" s="27" t="n">
        <v>4546.06</v>
      </c>
      <c r="G1213" s="22" t="n"/>
    </row>
    <row r="1214">
      <c r="A1214" s="26" t="inlineStr">
        <is>
          <t>Difference (calculated - printed)</t>
        </is>
      </c>
      <c r="B1214" s="22" t="n"/>
      <c r="C1214" s="22" t="n"/>
      <c r="D1214" s="22" t="n"/>
      <c r="E1214" s="22" t="n"/>
      <c r="F1214" s="27">
        <f>F1212-F1213</f>
        <v/>
      </c>
      <c r="G1214" s="22" t="n"/>
    </row>
    <row r="1215">
      <c r="A1215" s="29" t="inlineStr">
        <is>
          <t>SAY (Rs.) - final DAR rate as printed (fixed value, not computed)</t>
        </is>
      </c>
      <c r="B1215" s="30" t="n"/>
      <c r="C1215" s="30" t="n"/>
      <c r="D1215" s="30" t="n"/>
      <c r="E1215" s="30" t="n"/>
      <c r="F1215" s="31" t="n">
        <v>2815.9</v>
      </c>
      <c r="G1215" s="30" t="n"/>
    </row>
    <row r="1217" ht="33" customHeight="1">
      <c r="A1217" s="8" t="inlineStr">
        <is>
          <t>9.27</t>
        </is>
      </c>
      <c r="B1217" s="17" t="inlineStr">
        <is>
          <t>Providing and fixing wire gauge shutters using galvanized M.S. wire gauge of average width of aperture 1.4 mm in both directions with wire of dia 0.63 mm, for doors, windows and clerestory windows with hinges and necessary screws :</t>
        </is>
      </c>
      <c r="C1217" s="9" t="n"/>
      <c r="D1217" s="9" t="n"/>
      <c r="E1217" s="9" t="n"/>
      <c r="F1217" s="9" t="n"/>
      <c r="G1217" s="9" t="n"/>
    </row>
    <row r="1218" ht="18.5" customHeight="1">
      <c r="A1218" s="8" t="inlineStr">
        <is>
          <t>9.27.2</t>
        </is>
      </c>
      <c r="B1218" s="17" t="inlineStr">
        <is>
          <t>30 mm thick shutters</t>
        </is>
      </c>
      <c r="C1218" s="9" t="n"/>
      <c r="D1218" s="9" t="n"/>
      <c r="E1218" s="9" t="n"/>
      <c r="F1218" s="9" t="n"/>
      <c r="G1218" s="9" t="n"/>
    </row>
    <row r="1219" ht="18.5" customHeight="1">
      <c r="A1219" s="8" t="inlineStr">
        <is>
          <t>9.27.2.2</t>
        </is>
      </c>
      <c r="B1219" s="17" t="inlineStr">
        <is>
          <t>With ISI marked stainless steel butt hinges of required size</t>
        </is>
      </c>
      <c r="C1219" s="9" t="n"/>
      <c r="D1219" s="9" t="n"/>
      <c r="E1219" s="9" t="n"/>
      <c r="F1219" s="9" t="n"/>
      <c r="G1219" s="9" t="n"/>
    </row>
    <row r="1220" ht="18.5" customHeight="1">
      <c r="A1220" s="18" t="inlineStr">
        <is>
          <t>9.27.2.2.3</t>
        </is>
      </c>
      <c r="B1220" s="19" t="inlineStr">
        <is>
          <t>Kiln seasoned selected class of sheesham wood</t>
        </is>
      </c>
      <c r="C1220" s="20" t="n"/>
      <c r="D1220" s="20" t="n"/>
      <c r="E1220" s="20" t="n"/>
      <c r="F1220" s="20" t="n"/>
      <c r="G1220" s="20" t="n"/>
    </row>
    <row r="1221">
      <c r="A1221" s="21" t="inlineStr">
        <is>
          <t>Details of cost for 2.16 sqm   |   Source: CivilDAR_2019_Vol_1.pdf, page 484</t>
        </is>
      </c>
    </row>
    <row r="1222">
      <c r="A1222" s="5" t="inlineStr">
        <is>
          <t>Code</t>
        </is>
      </c>
      <c r="B1222" s="5" t="inlineStr">
        <is>
          <t>Description</t>
        </is>
      </c>
      <c r="C1222" s="5" t="inlineStr">
        <is>
          <t>Unit</t>
        </is>
      </c>
      <c r="D1222" s="5" t="inlineStr">
        <is>
          <t>Quantity</t>
        </is>
      </c>
      <c r="E1222" s="5" t="inlineStr">
        <is>
          <t>Rate (Rs.)</t>
        </is>
      </c>
      <c r="F1222" s="5" t="inlineStr">
        <is>
          <t>Amount (Rs.)</t>
        </is>
      </c>
      <c r="G1222" s="5" t="inlineStr">
        <is>
          <t>Note</t>
        </is>
      </c>
    </row>
    <row r="1223">
      <c r="A1223" s="22" t="inlineStr">
        <is>
          <t>1200</t>
        </is>
      </c>
      <c r="B1223" s="11" t="inlineStr">
        <is>
          <t>Kiln seasoned selected sheesum wood planks</t>
        </is>
      </c>
      <c r="C1223" s="22" t="inlineStr">
        <is>
          <t>10 cudm</t>
        </is>
      </c>
      <c r="D1223" s="23" t="n">
        <v>4.4</v>
      </c>
      <c r="E1223" s="24" t="n">
        <v>650</v>
      </c>
      <c r="F1223" s="24">
        <f>D1223*E1223</f>
        <v/>
      </c>
      <c r="G1223" s="22" t="n"/>
    </row>
    <row r="1224">
      <c r="A1224" s="22" t="inlineStr">
        <is>
          <t>2504</t>
        </is>
      </c>
      <c r="B1224" s="11" t="inlineStr">
        <is>
          <t>Kiln seasoning of timber</t>
        </is>
      </c>
      <c r="C1224" s="22" t="inlineStr">
        <is>
          <t>cum</t>
        </is>
      </c>
      <c r="D1224" s="23" t="n">
        <v>0.044</v>
      </c>
      <c r="E1224" s="24" t="n">
        <v>750</v>
      </c>
      <c r="F1224" s="24">
        <f>D1224*E1224</f>
        <v/>
      </c>
      <c r="G1224" s="22" t="n"/>
    </row>
    <row r="1225">
      <c r="A1225" s="22" t="inlineStr">
        <is>
          <t>2204</t>
        </is>
      </c>
      <c r="B1225" s="11" t="inlineStr">
        <is>
          <t>Carriage of Timber</t>
        </is>
      </c>
      <c r="C1225" s="22" t="inlineStr">
        <is>
          <t>cum</t>
        </is>
      </c>
      <c r="D1225" s="23" t="n">
        <v>0.044</v>
      </c>
      <c r="E1225" s="24" t="n">
        <v>118.59</v>
      </c>
      <c r="F1225" s="24">
        <f>D1225*E1225</f>
        <v/>
      </c>
      <c r="G1225" s="22" t="n"/>
    </row>
    <row r="1226">
      <c r="A1226" s="22" t="inlineStr">
        <is>
          <t>7029</t>
        </is>
      </c>
      <c r="B1226" s="11" t="inlineStr">
        <is>
          <t>Galvanised wire mesh of average width of aperture 1.4 mm and nominal dia. of wire 0.63 mm</t>
        </is>
      </c>
      <c r="C1226" s="22" t="inlineStr">
        <is>
          <t>sqm</t>
        </is>
      </c>
      <c r="D1226" s="23" t="n">
        <v>1.41</v>
      </c>
      <c r="E1226" s="24" t="n">
        <v>250</v>
      </c>
      <c r="F1226" s="24">
        <f>D1226*E1226</f>
        <v/>
      </c>
      <c r="G1226" s="22" t="n"/>
    </row>
    <row r="1227">
      <c r="A1227" s="22" t="inlineStr">
        <is>
          <t>8220</t>
        </is>
      </c>
      <c r="B1227" s="11" t="inlineStr">
        <is>
          <t>Stainless steel butt hinges (heavy weight) 100x60x2.5 mm IS : 12817 marked</t>
        </is>
      </c>
      <c r="C1227" s="22" t="inlineStr">
        <is>
          <t>10 Nos</t>
        </is>
      </c>
      <c r="D1227" s="23" t="n">
        <v>0.6</v>
      </c>
      <c r="E1227" s="24" t="n">
        <v>255</v>
      </c>
      <c r="F1227" s="24">
        <f>D1227*E1227</f>
        <v/>
      </c>
      <c r="G1227" s="22" t="n"/>
    </row>
    <row r="1228">
      <c r="A1228" s="22" t="inlineStr">
        <is>
          <t>8218</t>
        </is>
      </c>
      <c r="B1228" s="11" t="inlineStr">
        <is>
          <t>Stainless steel butt hinges 50x37x 1.5 mm IS : 12817 marked</t>
        </is>
      </c>
      <c r="C1228" s="22" t="inlineStr">
        <is>
          <t>10 Nos</t>
        </is>
      </c>
      <c r="D1228" s="23" t="n">
        <v>0.2</v>
      </c>
      <c r="E1228" s="24" t="n">
        <v>135</v>
      </c>
      <c r="F1228" s="24">
        <f>D1228*E1228</f>
        <v/>
      </c>
      <c r="G1228" s="22" t="n"/>
    </row>
    <row r="1229">
      <c r="A1229" s="22" t="inlineStr">
        <is>
          <t>8211</t>
        </is>
      </c>
      <c r="B1229" s="11" t="inlineStr">
        <is>
          <t>Stainless steel screws 40 mm</t>
        </is>
      </c>
      <c r="C1229" s="22" t="inlineStr">
        <is>
          <t>100 Nos</t>
        </is>
      </c>
      <c r="D1229" s="23" t="n">
        <v>0.48</v>
      </c>
      <c r="E1229" s="24" t="n">
        <v>215</v>
      </c>
      <c r="F1229" s="24">
        <f>D1229*E1229</f>
        <v/>
      </c>
      <c r="G1229" s="22" t="n"/>
    </row>
    <row r="1230">
      <c r="A1230" s="22" t="inlineStr">
        <is>
          <t>8214</t>
        </is>
      </c>
      <c r="B1230" s="11" t="inlineStr">
        <is>
          <t>Stainless steel screws 20 mm</t>
        </is>
      </c>
      <c r="C1230" s="22" t="inlineStr">
        <is>
          <t>100 Nos</t>
        </is>
      </c>
      <c r="D1230" s="23" t="n">
        <v>0.08</v>
      </c>
      <c r="E1230" s="24" t="n">
        <v>125</v>
      </c>
      <c r="F1230" s="24">
        <f>D1230*E1230</f>
        <v/>
      </c>
      <c r="G1230" s="22" t="n"/>
    </row>
    <row r="1231">
      <c r="A1231" s="22" t="inlineStr">
        <is>
          <t>0111</t>
        </is>
      </c>
      <c r="B1231" s="11" t="inlineStr">
        <is>
          <t>Carpenter 1st class</t>
        </is>
      </c>
      <c r="C1231" s="22" t="inlineStr">
        <is>
          <t>day</t>
        </is>
      </c>
      <c r="D1231" s="23" t="n">
        <v>1.2</v>
      </c>
      <c r="E1231" s="24" t="n">
        <v>738</v>
      </c>
      <c r="F1231" s="24">
        <f>D1231*E1231</f>
        <v/>
      </c>
      <c r="G1231" s="22" t="n"/>
    </row>
    <row r="1232">
      <c r="A1232" s="22" t="inlineStr">
        <is>
          <t>0112</t>
        </is>
      </c>
      <c r="B1232" s="11" t="inlineStr">
        <is>
          <t>Carpenter 2nd class</t>
        </is>
      </c>
      <c r="C1232" s="22" t="inlineStr">
        <is>
          <t>day</t>
        </is>
      </c>
      <c r="D1232" s="23" t="n">
        <v>0.8</v>
      </c>
      <c r="E1232" s="24" t="n">
        <v>679</v>
      </c>
      <c r="F1232" s="24">
        <f>D1232*E1232</f>
        <v/>
      </c>
      <c r="G1232" s="22" t="n"/>
    </row>
    <row r="1233">
      <c r="A1233" s="22" t="inlineStr">
        <is>
          <t>0114</t>
        </is>
      </c>
      <c r="B1233" s="11" t="inlineStr">
        <is>
          <t>Beldar</t>
        </is>
      </c>
      <c r="C1233" s="22" t="inlineStr">
        <is>
          <t>day</t>
        </is>
      </c>
      <c r="D1233" s="23" t="n">
        <v>1</v>
      </c>
      <c r="E1233" s="24" t="n">
        <v>558</v>
      </c>
      <c r="F1233" s="24">
        <f>D1233*E1233</f>
        <v/>
      </c>
      <c r="G1233" s="22" t="n"/>
    </row>
    <row r="1234">
      <c r="A1234" s="22" t="inlineStr">
        <is>
          <t>0130</t>
        </is>
      </c>
      <c r="B1234" s="11" t="inlineStr">
        <is>
          <t>Mistry</t>
        </is>
      </c>
      <c r="C1234" s="22" t="inlineStr">
        <is>
          <t>day</t>
        </is>
      </c>
      <c r="D1234" s="23" t="n">
        <v>0.1</v>
      </c>
      <c r="E1234" s="24" t="n">
        <v>738</v>
      </c>
      <c r="F1234" s="24">
        <f>D1234*E1234</f>
        <v/>
      </c>
      <c r="G1234" s="22" t="n"/>
    </row>
    <row r="1235">
      <c r="A1235" s="22" t="inlineStr">
        <is>
          <t>9999</t>
        </is>
      </c>
      <c r="B1235" s="11" t="inlineStr">
        <is>
          <t>Sundries</t>
        </is>
      </c>
      <c r="C1235" s="22" t="inlineStr">
        <is>
          <t>L.S.</t>
        </is>
      </c>
      <c r="D1235" s="23" t="n">
        <v>33.8</v>
      </c>
      <c r="E1235" s="24" t="n">
        <v>2</v>
      </c>
      <c r="F1235" s="24">
        <f>D1235*E1235</f>
        <v/>
      </c>
      <c r="G1235" s="22" t="n"/>
    </row>
    <row r="1236">
      <c r="A1236" s="8" t="inlineStr">
        <is>
          <t>Calculated W - SUM of the Amount column above</t>
        </is>
      </c>
      <c r="B1236" s="9" t="n"/>
      <c r="C1236" s="9" t="n"/>
      <c r="D1236" s="9" t="n"/>
      <c r="E1236" s="9" t="n"/>
      <c r="F1236" s="25">
        <f>SUM(F1223:F1235)</f>
        <v/>
      </c>
      <c r="G1236" s="9" t="n"/>
    </row>
    <row r="1237">
      <c r="A1237" s="26" t="inlineStr">
        <is>
          <t>W as printed in the DAR</t>
        </is>
      </c>
      <c r="B1237" s="22" t="n"/>
      <c r="C1237" s="22" t="n"/>
      <c r="D1237" s="22" t="n"/>
      <c r="E1237" s="22" t="n"/>
      <c r="F1237" s="27" t="n">
        <v>5672.12</v>
      </c>
      <c r="G1237" s="22" t="n"/>
    </row>
    <row r="1238">
      <c r="A1238" s="26" t="inlineStr">
        <is>
          <t>Difference (calculated - printed)</t>
        </is>
      </c>
      <c r="B1238" s="22" t="n"/>
      <c r="C1238" s="22" t="n"/>
      <c r="D1238" s="22" t="n"/>
      <c r="E1238" s="22" t="n"/>
      <c r="F1238" s="27">
        <f>F1236-F1237</f>
        <v/>
      </c>
      <c r="G1238" s="22" t="n"/>
    </row>
    <row r="1239">
      <c r="A1239" s="29" t="inlineStr">
        <is>
          <t>SAY (Rs.) - final DAR rate as printed (fixed value, not computed)</t>
        </is>
      </c>
      <c r="B1239" s="30" t="n"/>
      <c r="C1239" s="30" t="n"/>
      <c r="D1239" s="30" t="n"/>
      <c r="E1239" s="30" t="n"/>
      <c r="F1239" s="31" t="n">
        <v>3513.4</v>
      </c>
      <c r="G1239" s="30" t="n"/>
    </row>
    <row r="1241" ht="62" customHeight="1">
      <c r="A1241" s="8" t="inlineStr">
        <is>
          <t>9.31</t>
        </is>
      </c>
      <c r="B1241" s="17"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 in-charge: (Note:- Butt hinges and necessary screws shall be paid separately)</t>
        </is>
      </c>
      <c r="C1241" s="9" t="n"/>
      <c r="D1241" s="9" t="n"/>
      <c r="E1241" s="9" t="n"/>
      <c r="F1241" s="9" t="n"/>
      <c r="G1241" s="9" t="n"/>
    </row>
    <row r="1242" ht="18.5" customHeight="1">
      <c r="A1242" s="18" t="inlineStr">
        <is>
          <t>9.31.1</t>
        </is>
      </c>
      <c r="B1242" s="19" t="inlineStr">
        <is>
          <t>35 mm thick shutters</t>
        </is>
      </c>
      <c r="C1242" s="20" t="n"/>
      <c r="D1242" s="20" t="n"/>
      <c r="E1242" s="20" t="n"/>
      <c r="F1242" s="20" t="n"/>
      <c r="G1242" s="20" t="n"/>
    </row>
    <row r="1243">
      <c r="A1243" s="21" t="inlineStr">
        <is>
          <t>Details of cost for 2.38 sqm   |   Source: CivilDAR_2019_Vol_1.pdf, page 485</t>
        </is>
      </c>
    </row>
    <row r="1244">
      <c r="A1244" s="5" t="inlineStr">
        <is>
          <t>Code</t>
        </is>
      </c>
      <c r="B1244" s="5" t="inlineStr">
        <is>
          <t>Description</t>
        </is>
      </c>
      <c r="C1244" s="5" t="inlineStr">
        <is>
          <t>Unit</t>
        </is>
      </c>
      <c r="D1244" s="5" t="inlineStr">
        <is>
          <t>Quantity</t>
        </is>
      </c>
      <c r="E1244" s="5" t="inlineStr">
        <is>
          <t>Rate (Rs.)</t>
        </is>
      </c>
      <c r="F1244" s="5" t="inlineStr">
        <is>
          <t>Amount (Rs.)</t>
        </is>
      </c>
      <c r="G1244" s="5" t="inlineStr">
        <is>
          <t>Note</t>
        </is>
      </c>
    </row>
    <row r="1245">
      <c r="A1245" s="22" t="inlineStr">
        <is>
          <t>7154</t>
        </is>
      </c>
      <c r="B1245" s="11" t="inlineStr">
        <is>
          <t>Factory made 35 mm thick shutters with laminated veneer lumber styles rails as per TADS IS:1995 and panels of galvanised wire gauge with average width of aperture 1.4 mm on both directions with wire of dia 0.63 mm</t>
        </is>
      </c>
      <c r="C1245" s="22" t="inlineStr">
        <is>
          <t>sqm</t>
        </is>
      </c>
      <c r="D1245" s="23" t="n">
        <v>2.38</v>
      </c>
      <c r="E1245" s="24" t="n">
        <v>1620</v>
      </c>
      <c r="F1245" s="24">
        <f>D1245*E1245</f>
        <v/>
      </c>
      <c r="G1245" s="22" t="n"/>
    </row>
    <row r="1246">
      <c r="A1246" s="22" t="inlineStr">
        <is>
          <t>9977</t>
        </is>
      </c>
      <c r="B1246" s="11" t="inlineStr">
        <is>
          <t>Carriage of shutters</t>
        </is>
      </c>
      <c r="C1246" s="22" t="inlineStr">
        <is>
          <t>L.S.</t>
        </is>
      </c>
      <c r="D1246" s="23" t="n">
        <v>29.64</v>
      </c>
      <c r="E1246" s="24" t="n">
        <v>2</v>
      </c>
      <c r="F1246" s="24">
        <f>D1246*E1246</f>
        <v/>
      </c>
      <c r="G1246" s="22" t="n"/>
    </row>
    <row r="1247">
      <c r="A1247" s="22" t="inlineStr">
        <is>
          <t>0156</t>
        </is>
      </c>
      <c r="B1247" s="11" t="inlineStr">
        <is>
          <t>Carpenter (average)</t>
        </is>
      </c>
      <c r="C1247" s="22" t="inlineStr">
        <is>
          <t>day</t>
        </is>
      </c>
      <c r="D1247" s="23" t="n">
        <v>0.52</v>
      </c>
      <c r="E1247" s="24" t="n">
        <v>709</v>
      </c>
      <c r="F1247" s="24">
        <f>D1247*E1247</f>
        <v/>
      </c>
      <c r="G1247" s="22" t="n"/>
    </row>
    <row r="1248">
      <c r="A1248" s="22" t="inlineStr">
        <is>
          <t>0114</t>
        </is>
      </c>
      <c r="B1248" s="11" t="inlineStr">
        <is>
          <t>Beldar</t>
        </is>
      </c>
      <c r="C1248" s="22" t="inlineStr">
        <is>
          <t>day</t>
        </is>
      </c>
      <c r="D1248" s="23" t="n">
        <v>0.6</v>
      </c>
      <c r="E1248" s="24" t="n">
        <v>558</v>
      </c>
      <c r="F1248" s="24">
        <f>D1248*E1248</f>
        <v/>
      </c>
      <c r="G1248" s="22" t="n"/>
    </row>
    <row r="1249">
      <c r="A1249" s="22" t="inlineStr">
        <is>
          <t>9999</t>
        </is>
      </c>
      <c r="B1249" s="11" t="inlineStr">
        <is>
          <t>Sundries</t>
        </is>
      </c>
      <c r="C1249" s="22" t="inlineStr">
        <is>
          <t>L.S.</t>
        </is>
      </c>
      <c r="D1249" s="23" t="n">
        <v>35.88</v>
      </c>
      <c r="E1249" s="24" t="n">
        <v>2</v>
      </c>
      <c r="F1249" s="24">
        <f>D1249*E1249</f>
        <v/>
      </c>
      <c r="G1249" s="22" t="n"/>
    </row>
    <row r="1250">
      <c r="A1250" s="8" t="inlineStr">
        <is>
          <t>Calculated W - SUM of the Amount column above</t>
        </is>
      </c>
      <c r="B1250" s="9" t="n"/>
      <c r="C1250" s="9" t="n"/>
      <c r="D1250" s="9" t="n"/>
      <c r="E1250" s="9" t="n"/>
      <c r="F1250" s="25">
        <f>SUM(F1245:F1249)</f>
        <v/>
      </c>
      <c r="G1250" s="9" t="n"/>
    </row>
    <row r="1251">
      <c r="A1251" s="26" t="inlineStr">
        <is>
          <t>W as printed in the DAR</t>
        </is>
      </c>
      <c r="B1251" s="22" t="n"/>
      <c r="C1251" s="22" t="n"/>
      <c r="D1251" s="22" t="n"/>
      <c r="E1251" s="22" t="n"/>
      <c r="F1251" s="27" t="n">
        <v>4690.12</v>
      </c>
      <c r="G1251" s="22" t="n"/>
    </row>
    <row r="1252">
      <c r="A1252" s="26" t="inlineStr">
        <is>
          <t>Difference (calculated - printed)</t>
        </is>
      </c>
      <c r="B1252" s="22" t="n"/>
      <c r="C1252" s="22" t="n"/>
      <c r="D1252" s="22" t="n"/>
      <c r="E1252" s="22" t="n"/>
      <c r="F1252" s="27">
        <f>F1250-F1251</f>
        <v/>
      </c>
      <c r="G1252" s="22" t="n"/>
    </row>
    <row r="1253">
      <c r="A1253" s="29" t="inlineStr">
        <is>
          <t>SAY (Rs.) - final DAR rate as printed (fixed value, not computed)</t>
        </is>
      </c>
      <c r="B1253" s="30" t="n"/>
      <c r="C1253" s="30" t="n"/>
      <c r="D1253" s="30" t="n"/>
      <c r="E1253" s="30" t="n"/>
      <c r="F1253" s="31" t="n">
        <v>2636.6</v>
      </c>
      <c r="G1253" s="30" t="n"/>
    </row>
    <row r="1255" ht="62" customHeight="1">
      <c r="A1255" s="8" t="inlineStr">
        <is>
          <t>9.31</t>
        </is>
      </c>
      <c r="B1255" s="17"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 in-charge: (Note:- Butt hinges and necessary screws shall be paid separately)</t>
        </is>
      </c>
      <c r="C1255" s="9" t="n"/>
      <c r="D1255" s="9" t="n"/>
      <c r="E1255" s="9" t="n"/>
      <c r="F1255" s="9" t="n"/>
      <c r="G1255" s="9" t="n"/>
    </row>
    <row r="1256" ht="18.5" customHeight="1">
      <c r="A1256" s="18" t="inlineStr">
        <is>
          <t>9.31.2</t>
        </is>
      </c>
      <c r="B1256" s="19" t="inlineStr">
        <is>
          <t>30 mm thick shutters</t>
        </is>
      </c>
      <c r="C1256" s="20" t="n"/>
      <c r="D1256" s="20" t="n"/>
      <c r="E1256" s="20" t="n"/>
      <c r="F1256" s="20" t="n"/>
      <c r="G1256" s="20" t="n"/>
    </row>
    <row r="1257">
      <c r="A1257" s="21" t="inlineStr">
        <is>
          <t>Details of cost for 2.38 sqm   |   Source: CivilDAR_2019_Vol_1.pdf, page 485</t>
        </is>
      </c>
    </row>
    <row r="1258">
      <c r="A1258" s="5" t="inlineStr">
        <is>
          <t>Code</t>
        </is>
      </c>
      <c r="B1258" s="5" t="inlineStr">
        <is>
          <t>Description</t>
        </is>
      </c>
      <c r="C1258" s="5" t="inlineStr">
        <is>
          <t>Unit</t>
        </is>
      </c>
      <c r="D1258" s="5" t="inlineStr">
        <is>
          <t>Quantity</t>
        </is>
      </c>
      <c r="E1258" s="5" t="inlineStr">
        <is>
          <t>Rate (Rs.)</t>
        </is>
      </c>
      <c r="F1258" s="5" t="inlineStr">
        <is>
          <t>Amount (Rs.)</t>
        </is>
      </c>
      <c r="G1258" s="5" t="inlineStr">
        <is>
          <t>Note</t>
        </is>
      </c>
    </row>
    <row r="1259">
      <c r="A1259" s="22" t="inlineStr">
        <is>
          <t>7155</t>
        </is>
      </c>
      <c r="B1259" s="11" t="inlineStr">
        <is>
          <t>Factory made 30 mm thick shutters with laminated veneer lumber styles rails as per TADS IS:1995 and panels of galvanised wire gauge with average width of aperture 1.4 mm on both directions with wire of dia 0.63 mm</t>
        </is>
      </c>
      <c r="C1259" s="22" t="inlineStr">
        <is>
          <t>sqm</t>
        </is>
      </c>
      <c r="D1259" s="23" t="n">
        <v>2.38</v>
      </c>
      <c r="E1259" s="24" t="n">
        <v>1430</v>
      </c>
      <c r="F1259" s="24">
        <f>D1259*E1259</f>
        <v/>
      </c>
      <c r="G1259" s="22" t="n"/>
    </row>
    <row r="1260">
      <c r="A1260" s="22" t="inlineStr">
        <is>
          <t>9977</t>
        </is>
      </c>
      <c r="B1260" s="11" t="inlineStr">
        <is>
          <t>Carriage of shutters</t>
        </is>
      </c>
      <c r="C1260" s="22" t="inlineStr">
        <is>
          <t>L.S.</t>
        </is>
      </c>
      <c r="D1260" s="23" t="n">
        <v>29.64</v>
      </c>
      <c r="E1260" s="24" t="n">
        <v>2</v>
      </c>
      <c r="F1260" s="24">
        <f>D1260*E1260</f>
        <v/>
      </c>
      <c r="G1260" s="22" t="n"/>
    </row>
    <row r="1261">
      <c r="A1261" s="22" t="inlineStr">
        <is>
          <t>0156</t>
        </is>
      </c>
      <c r="B1261" s="11" t="inlineStr">
        <is>
          <t>Carpenter (average)</t>
        </is>
      </c>
      <c r="C1261" s="22" t="inlineStr">
        <is>
          <t>day</t>
        </is>
      </c>
      <c r="D1261" s="23" t="n">
        <v>0.52</v>
      </c>
      <c r="E1261" s="24" t="n">
        <v>709</v>
      </c>
      <c r="F1261" s="24">
        <f>D1261*E1261</f>
        <v/>
      </c>
      <c r="G1261" s="22" t="n"/>
    </row>
    <row r="1262">
      <c r="A1262" s="22" t="inlineStr">
        <is>
          <t>0114</t>
        </is>
      </c>
      <c r="B1262" s="11" t="inlineStr">
        <is>
          <t>Beldar</t>
        </is>
      </c>
      <c r="C1262" s="22" t="inlineStr">
        <is>
          <t>day</t>
        </is>
      </c>
      <c r="D1262" s="23" t="n">
        <v>0.6</v>
      </c>
      <c r="E1262" s="24" t="n">
        <v>558</v>
      </c>
      <c r="F1262" s="24">
        <f>D1262*E1262</f>
        <v/>
      </c>
      <c r="G1262" s="22" t="n"/>
    </row>
    <row r="1263">
      <c r="A1263" s="22" t="inlineStr">
        <is>
          <t>9999</t>
        </is>
      </c>
      <c r="B1263" s="11" t="inlineStr">
        <is>
          <t>Sundries</t>
        </is>
      </c>
      <c r="C1263" s="22" t="inlineStr">
        <is>
          <t>L.S.</t>
        </is>
      </c>
      <c r="D1263" s="23" t="n">
        <v>35.88</v>
      </c>
      <c r="E1263" s="24" t="n">
        <v>2</v>
      </c>
      <c r="F1263" s="24">
        <f>D1263*E1263</f>
        <v/>
      </c>
      <c r="G1263" s="22" t="n"/>
    </row>
    <row r="1264">
      <c r="A1264" s="8" t="inlineStr">
        <is>
          <t>Calculated W - SUM of the Amount column above</t>
        </is>
      </c>
      <c r="B1264" s="9" t="n"/>
      <c r="C1264" s="9" t="n"/>
      <c r="D1264" s="9" t="n"/>
      <c r="E1264" s="9" t="n"/>
      <c r="F1264" s="25">
        <f>SUM(F1259:F1263)</f>
        <v/>
      </c>
      <c r="G1264" s="9" t="n"/>
    </row>
    <row r="1265">
      <c r="A1265" s="26" t="inlineStr">
        <is>
          <t>W as printed in the DAR</t>
        </is>
      </c>
      <c r="B1265" s="22" t="n"/>
      <c r="C1265" s="22" t="n"/>
      <c r="D1265" s="22" t="n"/>
      <c r="E1265" s="22" t="n"/>
      <c r="F1265" s="27" t="n">
        <v>4237.92</v>
      </c>
      <c r="G1265" s="22" t="n"/>
    </row>
    <row r="1266">
      <c r="A1266" s="26" t="inlineStr">
        <is>
          <t>Difference (calculated - printed)</t>
        </is>
      </c>
      <c r="B1266" s="22" t="n"/>
      <c r="C1266" s="22" t="n"/>
      <c r="D1266" s="22" t="n"/>
      <c r="E1266" s="22" t="n"/>
      <c r="F1266" s="27">
        <f>F1264-F1265</f>
        <v/>
      </c>
      <c r="G1266" s="22" t="n"/>
    </row>
    <row r="1267">
      <c r="A1267" s="29" t="inlineStr">
        <is>
          <t>SAY (Rs.) - final DAR rate as printed (fixed value, not computed)</t>
        </is>
      </c>
      <c r="B1267" s="30" t="n"/>
      <c r="C1267" s="30" t="n"/>
      <c r="D1267" s="30" t="n"/>
      <c r="E1267" s="30" t="n"/>
      <c r="F1267" s="31" t="n">
        <v>2382.4</v>
      </c>
      <c r="G1267" s="30" t="n"/>
    </row>
    <row r="1269" ht="33" customHeight="1">
      <c r="A1269" s="8" t="inlineStr">
        <is>
          <t>9.40</t>
        </is>
      </c>
      <c r="B1269" s="17" t="inlineStr">
        <is>
          <t>Providing and fixing wooden moulded beading to door and window frames with iron screws, plugs and priming coat on unexposed surface etc. complete :</t>
        </is>
      </c>
      <c r="C1269" s="9" t="n"/>
      <c r="D1269" s="9" t="n"/>
      <c r="E1269" s="9" t="n"/>
      <c r="F1269" s="9" t="n"/>
      <c r="G1269" s="9" t="n"/>
    </row>
    <row r="1270" ht="18.5" customHeight="1">
      <c r="A1270" s="8" t="inlineStr">
        <is>
          <t>9.40.1</t>
        </is>
      </c>
      <c r="B1270" s="17" t="inlineStr">
        <is>
          <t>2nd class teak wood</t>
        </is>
      </c>
      <c r="C1270" s="9" t="n"/>
      <c r="D1270" s="9" t="n"/>
      <c r="E1270" s="9" t="n"/>
      <c r="F1270" s="9" t="n"/>
      <c r="G1270" s="9" t="n"/>
    </row>
    <row r="1271" ht="18.5" customHeight="1">
      <c r="A1271" s="18" t="inlineStr">
        <is>
          <t>9.40.1.1</t>
        </is>
      </c>
      <c r="B1271" s="19" t="inlineStr">
        <is>
          <t>50x12 mm</t>
        </is>
      </c>
      <c r="C1271" s="20" t="n"/>
      <c r="D1271" s="20" t="n"/>
      <c r="E1271" s="20" t="n"/>
      <c r="F1271" s="20" t="n"/>
      <c r="G1271" s="20" t="n"/>
    </row>
    <row r="1272">
      <c r="A1272" s="21" t="inlineStr">
        <is>
          <t>Details of cost for 5 metre   |   Source: CivilDAR_2019_Vol_1.pdf, page 486</t>
        </is>
      </c>
    </row>
    <row r="1273">
      <c r="A1273" s="5" t="inlineStr">
        <is>
          <t>Code</t>
        </is>
      </c>
      <c r="B1273" s="5" t="inlineStr">
        <is>
          <t>Description</t>
        </is>
      </c>
      <c r="C1273" s="5" t="inlineStr">
        <is>
          <t>Unit</t>
        </is>
      </c>
      <c r="D1273" s="5" t="inlineStr">
        <is>
          <t>Quantity</t>
        </is>
      </c>
      <c r="E1273" s="5" t="inlineStr">
        <is>
          <t>Rate (Rs.)</t>
        </is>
      </c>
      <c r="F1273" s="5" t="inlineStr">
        <is>
          <t>Amount (Rs.)</t>
        </is>
      </c>
      <c r="G1273" s="5" t="inlineStr">
        <is>
          <t>Note</t>
        </is>
      </c>
    </row>
    <row r="1274">
      <c r="A1274" s="22" t="inlineStr">
        <is>
          <t>1190</t>
        </is>
      </c>
      <c r="B1274" s="11" t="inlineStr">
        <is>
          <t>Second class teak wood in planks</t>
        </is>
      </c>
      <c r="C1274" s="22" t="inlineStr">
        <is>
          <t>10 cudm</t>
        </is>
      </c>
      <c r="D1274" s="23" t="n">
        <v>0.33</v>
      </c>
      <c r="E1274" s="24" t="n">
        <v>791</v>
      </c>
      <c r="F1274" s="24">
        <f>D1274*E1274</f>
        <v/>
      </c>
      <c r="G1274" s="22" t="n"/>
    </row>
    <row r="1275">
      <c r="A1275" s="22" t="inlineStr">
        <is>
          <t>2204</t>
        </is>
      </c>
      <c r="B1275" s="11" t="inlineStr">
        <is>
          <t>Carriage of Timber</t>
        </is>
      </c>
      <c r="C1275" s="22" t="inlineStr">
        <is>
          <t>cum</t>
        </is>
      </c>
      <c r="D1275" s="23" t="n">
        <v>0.0033</v>
      </c>
      <c r="E1275" s="24" t="n">
        <v>118.59</v>
      </c>
      <c r="F1275" s="24">
        <f>D1275*E1275</f>
        <v/>
      </c>
      <c r="G1275" s="22" t="n"/>
    </row>
    <row r="1276">
      <c r="A1276" s="22" t="inlineStr">
        <is>
          <t>0637</t>
        </is>
      </c>
      <c r="B1276" s="11" t="inlineStr">
        <is>
          <t>Bright finished or black enamelled mild steel screws 40 mm</t>
        </is>
      </c>
      <c r="C1276" s="22" t="inlineStr">
        <is>
          <t>100 Nos</t>
        </is>
      </c>
      <c r="D1276" s="23" t="n">
        <v>0.36</v>
      </c>
      <c r="E1276" s="24" t="n">
        <v>60</v>
      </c>
      <c r="F1276" s="24">
        <f>D1276*E1276</f>
        <v/>
      </c>
      <c r="G1276" s="22" t="n"/>
    </row>
    <row r="1277">
      <c r="A1277" s="22" t="inlineStr">
        <is>
          <t>13.50.1</t>
        </is>
      </c>
      <c r="B1277" s="11" t="inlineStr">
        <is>
          <t>Rate as per item 13.50.1 - Applying priming coat - With ready mixed pink or Grey primer of approved brand and manufacture on wood work...</t>
        </is>
      </c>
      <c r="C1277" s="22" t="inlineStr">
        <is>
          <t>sqm</t>
        </is>
      </c>
      <c r="D1277" s="23" t="n">
        <v>0.37</v>
      </c>
      <c r="E1277" s="24" t="n">
        <v>57.05</v>
      </c>
      <c r="F1277" s="24">
        <f>D1277*E1277</f>
        <v/>
      </c>
      <c r="G1277" s="22" t="n"/>
    </row>
    <row r="1278">
      <c r="A1278" s="22" t="inlineStr">
        <is>
          <t>0111</t>
        </is>
      </c>
      <c r="B1278" s="11" t="inlineStr">
        <is>
          <t>Carpenter 1st class</t>
        </is>
      </c>
      <c r="C1278" s="22" t="inlineStr">
        <is>
          <t>day</t>
        </is>
      </c>
      <c r="D1278" s="23" t="n">
        <v>0.53</v>
      </c>
      <c r="E1278" s="24" t="n">
        <v>738</v>
      </c>
      <c r="F1278" s="24">
        <f>D1278*E1278</f>
        <v/>
      </c>
      <c r="G1278" s="22" t="n"/>
    </row>
    <row r="1279">
      <c r="A1279" s="8" t="inlineStr">
        <is>
          <t>Calculated W - SUM of the Amount column above</t>
        </is>
      </c>
      <c r="B1279" s="9" t="n"/>
      <c r="C1279" s="9" t="n"/>
      <c r="D1279" s="9" t="n"/>
      <c r="E1279" s="9" t="n"/>
      <c r="F1279" s="25">
        <f>SUM(F1274:F1278)</f>
        <v/>
      </c>
      <c r="G1279" s="9" t="n"/>
    </row>
    <row r="1280">
      <c r="A1280" s="26" t="inlineStr">
        <is>
          <t>W as printed in the DAR</t>
        </is>
      </c>
      <c r="B1280" s="22" t="n"/>
      <c r="C1280" s="22" t="n"/>
      <c r="D1280" s="22" t="n"/>
      <c r="E1280" s="22" t="n"/>
      <c r="F1280" s="27" t="n">
        <v>695.27</v>
      </c>
      <c r="G1280" s="22" t="n"/>
    </row>
    <row r="1281">
      <c r="A1281" s="26" t="inlineStr">
        <is>
          <t>Difference (calculated - printed)</t>
        </is>
      </c>
      <c r="B1281" s="22" t="n"/>
      <c r="C1281" s="22" t="n"/>
      <c r="D1281" s="22" t="n"/>
      <c r="E1281" s="22" t="n"/>
      <c r="F1281" s="27">
        <f>F1279-F1280</f>
        <v/>
      </c>
      <c r="G1281" s="22" t="n"/>
    </row>
    <row r="1282">
      <c r="A1282" s="29" t="inlineStr">
        <is>
          <t>SAY (Rs.) - final DAR rate as printed (fixed value, not computed)</t>
        </is>
      </c>
      <c r="B1282" s="30" t="n"/>
      <c r="C1282" s="30" t="n"/>
      <c r="D1282" s="30" t="n"/>
      <c r="E1282" s="30" t="n"/>
      <c r="F1282" s="31" t="n">
        <v>184.6</v>
      </c>
      <c r="G1282" s="30" t="n"/>
    </row>
    <row r="1284" ht="33" customHeight="1">
      <c r="A1284" s="8" t="inlineStr">
        <is>
          <t>9.40</t>
        </is>
      </c>
      <c r="B1284" s="17" t="inlineStr">
        <is>
          <t>Providing and fixing wooden moulded beading to door and window frames with iron screws, plugs and priming coat on unexposed surface etc. complete :</t>
        </is>
      </c>
      <c r="C1284" s="9" t="n"/>
      <c r="D1284" s="9" t="n"/>
      <c r="E1284" s="9" t="n"/>
      <c r="F1284" s="9" t="n"/>
      <c r="G1284" s="9" t="n"/>
    </row>
    <row r="1285" ht="18.5" customHeight="1">
      <c r="A1285" s="8" t="inlineStr">
        <is>
          <t>9.40.1</t>
        </is>
      </c>
      <c r="B1285" s="17" t="inlineStr">
        <is>
          <t>2nd class teak wood</t>
        </is>
      </c>
      <c r="C1285" s="9" t="n"/>
      <c r="D1285" s="9" t="n"/>
      <c r="E1285" s="9" t="n"/>
      <c r="F1285" s="9" t="n"/>
      <c r="G1285" s="9" t="n"/>
    </row>
    <row r="1286" ht="18.5" customHeight="1">
      <c r="A1286" s="18" t="inlineStr">
        <is>
          <t>9.40.1.2</t>
        </is>
      </c>
      <c r="B1286" s="19" t="inlineStr">
        <is>
          <t>50 x 20 mm</t>
        </is>
      </c>
      <c r="C1286" s="20" t="n"/>
      <c r="D1286" s="20" t="n"/>
      <c r="E1286" s="20" t="n"/>
      <c r="F1286" s="20" t="n"/>
      <c r="G1286" s="20" t="n"/>
    </row>
    <row r="1287">
      <c r="A1287" s="21" t="inlineStr">
        <is>
          <t>Details of cost for 5 metre   |   Source: CivilDAR_2019_Vol_1.pdf, page 487</t>
        </is>
      </c>
    </row>
    <row r="1288">
      <c r="A1288" s="5" t="inlineStr">
        <is>
          <t>Code</t>
        </is>
      </c>
      <c r="B1288" s="5" t="inlineStr">
        <is>
          <t>Description</t>
        </is>
      </c>
      <c r="C1288" s="5" t="inlineStr">
        <is>
          <t>Unit</t>
        </is>
      </c>
      <c r="D1288" s="5" t="inlineStr">
        <is>
          <t>Quantity</t>
        </is>
      </c>
      <c r="E1288" s="5" t="inlineStr">
        <is>
          <t>Rate (Rs.)</t>
        </is>
      </c>
      <c r="F1288" s="5" t="inlineStr">
        <is>
          <t>Amount (Rs.)</t>
        </is>
      </c>
      <c r="G1288" s="5" t="inlineStr">
        <is>
          <t>Note</t>
        </is>
      </c>
    </row>
    <row r="1289">
      <c r="A1289" s="22" t="inlineStr">
        <is>
          <t>1190</t>
        </is>
      </c>
      <c r="B1289" s="11" t="inlineStr">
        <is>
          <t>Second class teak wood in planks</t>
        </is>
      </c>
      <c r="C1289" s="22" t="inlineStr">
        <is>
          <t>10 cudm</t>
        </is>
      </c>
      <c r="D1289" s="23" t="n">
        <v>0.55</v>
      </c>
      <c r="E1289" s="24" t="n">
        <v>791</v>
      </c>
      <c r="F1289" s="24">
        <f>D1289*E1289</f>
        <v/>
      </c>
      <c r="G1289" s="22" t="n"/>
    </row>
    <row r="1290">
      <c r="A1290" s="22" t="inlineStr">
        <is>
          <t>2204</t>
        </is>
      </c>
      <c r="B1290" s="11" t="inlineStr">
        <is>
          <t>Carriage of Timber</t>
        </is>
      </c>
      <c r="C1290" s="22" t="inlineStr">
        <is>
          <t>cum</t>
        </is>
      </c>
      <c r="D1290" s="23" t="n">
        <v>0.0055</v>
      </c>
      <c r="E1290" s="24" t="n">
        <v>118.59</v>
      </c>
      <c r="F1290" s="24">
        <f>D1290*E1290</f>
        <v/>
      </c>
      <c r="G1290" s="22" t="n"/>
    </row>
    <row r="1291">
      <c r="A1291" s="22" t="inlineStr">
        <is>
          <t>0637</t>
        </is>
      </c>
      <c r="B1291" s="11" t="inlineStr">
        <is>
          <t>Bright finished or black enamelled mild steel screws 40 mm</t>
        </is>
      </c>
      <c r="C1291" s="22" t="inlineStr">
        <is>
          <t>100 Nos</t>
        </is>
      </c>
      <c r="D1291" s="23" t="n">
        <v>0.36</v>
      </c>
      <c r="E1291" s="24" t="n">
        <v>60</v>
      </c>
      <c r="F1291" s="24">
        <f>D1291*E1291</f>
        <v/>
      </c>
      <c r="G1291" s="22" t="n"/>
    </row>
    <row r="1292">
      <c r="A1292" s="22" t="inlineStr">
        <is>
          <t>13.50.1</t>
        </is>
      </c>
      <c r="B1292" s="11" t="inlineStr">
        <is>
          <t>Rate as per item 13.50.1 - Applying priming coat - With ready mixed pink or Grey primer of approved brand and manufacture on wood work...</t>
        </is>
      </c>
      <c r="C1292" s="22" t="inlineStr">
        <is>
          <t>sqm</t>
        </is>
      </c>
      <c r="D1292" s="23" t="n">
        <v>0.45</v>
      </c>
      <c r="E1292" s="24" t="n">
        <v>57.05</v>
      </c>
      <c r="F1292" s="24">
        <f>D1292*E1292</f>
        <v/>
      </c>
      <c r="G1292" s="22" t="n"/>
    </row>
    <row r="1293">
      <c r="A1293" s="22" t="inlineStr">
        <is>
          <t>0111</t>
        </is>
      </c>
      <c r="B1293" s="11" t="inlineStr">
        <is>
          <t>Carpenter 1st class</t>
        </is>
      </c>
      <c r="C1293" s="22" t="inlineStr">
        <is>
          <t>day</t>
        </is>
      </c>
      <c r="D1293" s="23" t="n">
        <v>0.53</v>
      </c>
      <c r="E1293" s="24" t="n">
        <v>738</v>
      </c>
      <c r="F1293" s="24">
        <f>D1293*E1293</f>
        <v/>
      </c>
      <c r="G1293" s="22" t="n"/>
    </row>
    <row r="1294">
      <c r="A1294" s="8" t="inlineStr">
        <is>
          <t>Calculated W - SUM of the Amount column above</t>
        </is>
      </c>
      <c r="B1294" s="9" t="n"/>
      <c r="C1294" s="9" t="n"/>
      <c r="D1294" s="9" t="n"/>
      <c r="E1294" s="9" t="n"/>
      <c r="F1294" s="25">
        <f>SUM(F1289:F1293)</f>
        <v/>
      </c>
      <c r="G1294" s="9" t="n"/>
    </row>
    <row r="1295">
      <c r="A1295" s="26" t="inlineStr">
        <is>
          <t>W as printed in the DAR</t>
        </is>
      </c>
      <c r="B1295" s="22" t="n"/>
      <c r="C1295" s="22" t="n"/>
      <c r="D1295" s="22" t="n"/>
      <c r="E1295" s="22" t="n"/>
      <c r="F1295" s="27" t="n">
        <v>874.11</v>
      </c>
      <c r="G1295" s="22" t="n"/>
    </row>
    <row r="1296">
      <c r="A1296" s="26" t="inlineStr">
        <is>
          <t>Difference (calculated - printed)</t>
        </is>
      </c>
      <c r="B1296" s="22" t="n"/>
      <c r="C1296" s="22" t="n"/>
      <c r="D1296" s="22" t="n"/>
      <c r="E1296" s="22" t="n"/>
      <c r="F1296" s="27">
        <f>F1294-F1295</f>
        <v/>
      </c>
      <c r="G1296" s="22" t="n"/>
    </row>
    <row r="1297">
      <c r="A1297" s="29" t="inlineStr">
        <is>
          <t>SAY (Rs.) - final DAR rate as printed (fixed value, not computed)</t>
        </is>
      </c>
      <c r="B1297" s="30" t="n"/>
      <c r="C1297" s="30" t="n"/>
      <c r="D1297" s="30" t="n"/>
      <c r="E1297" s="30" t="n"/>
      <c r="F1297" s="31" t="n">
        <v>232.15</v>
      </c>
      <c r="G1297" s="30" t="n"/>
    </row>
    <row r="1299" ht="33" customHeight="1">
      <c r="A1299" s="8" t="inlineStr">
        <is>
          <t>9.40</t>
        </is>
      </c>
      <c r="B1299" s="17" t="inlineStr">
        <is>
          <t>Providing and fixing wooden moulded beading to door and window frames with iron screws, plugs and priming coat on unexposed surface etc. complete :</t>
        </is>
      </c>
      <c r="C1299" s="9" t="n"/>
      <c r="D1299" s="9" t="n"/>
      <c r="E1299" s="9" t="n"/>
      <c r="F1299" s="9" t="n"/>
      <c r="G1299" s="9" t="n"/>
    </row>
    <row r="1300" ht="18.5" customHeight="1">
      <c r="A1300" s="8" t="inlineStr">
        <is>
          <t>9.40.2</t>
        </is>
      </c>
      <c r="B1300" s="17" t="inlineStr">
        <is>
          <t>Kiln seasoned and chemically treated hollock wood</t>
        </is>
      </c>
      <c r="C1300" s="9" t="n"/>
      <c r="D1300" s="9" t="n"/>
      <c r="E1300" s="9" t="n"/>
      <c r="F1300" s="9" t="n"/>
      <c r="G1300" s="9" t="n"/>
    </row>
    <row r="1301" ht="18.5" customHeight="1">
      <c r="A1301" s="18" t="inlineStr">
        <is>
          <t>9.40.2.1</t>
        </is>
      </c>
      <c r="B1301" s="19" t="inlineStr">
        <is>
          <t>50x12 mm</t>
        </is>
      </c>
      <c r="C1301" s="20" t="n"/>
      <c r="D1301" s="20" t="n"/>
      <c r="E1301" s="20" t="n"/>
      <c r="F1301" s="20" t="n"/>
      <c r="G1301" s="20" t="n"/>
    </row>
    <row r="1302">
      <c r="A1302" s="21" t="inlineStr">
        <is>
          <t>Details of cost for 5 metre   |   Source: CivilDAR_2019_Vol_1.pdf, page 487</t>
        </is>
      </c>
    </row>
    <row r="1303">
      <c r="A1303" s="5" t="inlineStr">
        <is>
          <t>Code</t>
        </is>
      </c>
      <c r="B1303" s="5" t="inlineStr">
        <is>
          <t>Description</t>
        </is>
      </c>
      <c r="C1303" s="5" t="inlineStr">
        <is>
          <t>Unit</t>
        </is>
      </c>
      <c r="D1303" s="5" t="inlineStr">
        <is>
          <t>Quantity</t>
        </is>
      </c>
      <c r="E1303" s="5" t="inlineStr">
        <is>
          <t>Rate (Rs.)</t>
        </is>
      </c>
      <c r="F1303" s="5" t="inlineStr">
        <is>
          <t>Amount (Rs.)</t>
        </is>
      </c>
      <c r="G1303" s="5" t="inlineStr">
        <is>
          <t>Note</t>
        </is>
      </c>
    </row>
    <row r="1304">
      <c r="A1304" s="22" t="inlineStr">
        <is>
          <t>2505</t>
        </is>
      </c>
      <c r="B1304" s="11" t="inlineStr">
        <is>
          <t>Hollock wood in planks</t>
        </is>
      </c>
      <c r="C1304" s="22" t="inlineStr">
        <is>
          <t>10 cudm</t>
        </is>
      </c>
      <c r="D1304" s="23" t="n">
        <v>0.33</v>
      </c>
      <c r="E1304" s="24" t="n">
        <v>390</v>
      </c>
      <c r="F1304" s="24">
        <f>D1304*E1304</f>
        <v/>
      </c>
      <c r="G1304" s="22" t="n"/>
    </row>
    <row r="1305">
      <c r="A1305" s="22" t="inlineStr">
        <is>
          <t>2204</t>
        </is>
      </c>
      <c r="B1305" s="11" t="inlineStr">
        <is>
          <t>Carriage of Timber</t>
        </is>
      </c>
      <c r="C1305" s="22" t="inlineStr">
        <is>
          <t>cum</t>
        </is>
      </c>
      <c r="D1305" s="23" t="n">
        <v>0.0033</v>
      </c>
      <c r="E1305" s="24" t="n">
        <v>118.59</v>
      </c>
      <c r="F1305" s="24">
        <f>D1305*E1305</f>
        <v/>
      </c>
      <c r="G1305" s="22" t="n"/>
    </row>
    <row r="1306">
      <c r="A1306" s="22" t="inlineStr">
        <is>
          <t>0637</t>
        </is>
      </c>
      <c r="B1306" s="11" t="inlineStr">
        <is>
          <t>Bright finished or black enamelled mild steel screws 40 mm</t>
        </is>
      </c>
      <c r="C1306" s="22" t="inlineStr">
        <is>
          <t>100 Nos</t>
        </is>
      </c>
      <c r="D1306" s="23" t="n">
        <v>0.36</v>
      </c>
      <c r="E1306" s="24" t="n">
        <v>60</v>
      </c>
      <c r="F1306" s="24">
        <f>D1306*E1306</f>
        <v/>
      </c>
      <c r="G1306" s="22" t="n"/>
    </row>
    <row r="1307">
      <c r="A1307" s="22" t="inlineStr">
        <is>
          <t>13.50.1</t>
        </is>
      </c>
      <c r="B1307" s="11" t="inlineStr">
        <is>
          <t>Rate as per item 13.50.1 - Applying priming coat - With ready mixed pink or Grey primer of approved brand and manufacture on wood work...</t>
        </is>
      </c>
      <c r="C1307" s="22" t="inlineStr">
        <is>
          <t>sqm</t>
        </is>
      </c>
      <c r="D1307" s="23" t="n">
        <v>0.37</v>
      </c>
      <c r="E1307" s="24" t="n">
        <v>57.05</v>
      </c>
      <c r="F1307" s="24">
        <f>D1307*E1307</f>
        <v/>
      </c>
      <c r="G1307" s="22" t="n"/>
    </row>
    <row r="1308">
      <c r="A1308" s="22" t="inlineStr">
        <is>
          <t>0111</t>
        </is>
      </c>
      <c r="B1308" s="11" t="inlineStr">
        <is>
          <t>Carpenter 1st class</t>
        </is>
      </c>
      <c r="C1308" s="22" t="inlineStr">
        <is>
          <t>day</t>
        </is>
      </c>
      <c r="D1308" s="23" t="n">
        <v>0.53</v>
      </c>
      <c r="E1308" s="24" t="n">
        <v>738</v>
      </c>
      <c r="F1308" s="24">
        <f>D1308*E1308</f>
        <v/>
      </c>
      <c r="G1308" s="22" t="n"/>
    </row>
    <row r="1309">
      <c r="A1309" s="8" t="inlineStr">
        <is>
          <t>Calculated W - SUM of the Amount column above</t>
        </is>
      </c>
      <c r="B1309" s="9" t="n"/>
      <c r="C1309" s="9" t="n"/>
      <c r="D1309" s="9" t="n"/>
      <c r="E1309" s="9" t="n"/>
      <c r="F1309" s="25">
        <f>SUM(F1304:F1308)</f>
        <v/>
      </c>
      <c r="G1309" s="9" t="n"/>
    </row>
    <row r="1310">
      <c r="A1310" s="26" t="inlineStr">
        <is>
          <t>W as printed in the DAR</t>
        </is>
      </c>
      <c r="B1310" s="22" t="n"/>
      <c r="C1310" s="22" t="n"/>
      <c r="D1310" s="22" t="n"/>
      <c r="E1310" s="22" t="n"/>
      <c r="F1310" s="27" t="n">
        <v>562.9400000000001</v>
      </c>
      <c r="G1310" s="22" t="n"/>
    </row>
    <row r="1311">
      <c r="A1311" s="26" t="inlineStr">
        <is>
          <t>Difference (calculated - printed)</t>
        </is>
      </c>
      <c r="B1311" s="22" t="n"/>
      <c r="C1311" s="22" t="n"/>
      <c r="D1311" s="22" t="n"/>
      <c r="E1311" s="22" t="n"/>
      <c r="F1311" s="27">
        <f>F1309-F1310</f>
        <v/>
      </c>
      <c r="G1311" s="22" t="n"/>
    </row>
    <row r="1312">
      <c r="A1312" s="29" t="inlineStr">
        <is>
          <t>SAY (Rs.) - final DAR rate as printed (fixed value, not computed)</t>
        </is>
      </c>
      <c r="B1312" s="30" t="n"/>
      <c r="C1312" s="30" t="n"/>
      <c r="D1312" s="30" t="n"/>
      <c r="E1312" s="30" t="n"/>
      <c r="F1312" s="31" t="n">
        <v>149.2</v>
      </c>
      <c r="G1312" s="30" t="n"/>
    </row>
    <row r="1314" ht="33" customHeight="1">
      <c r="A1314" s="8" t="inlineStr">
        <is>
          <t>9.40</t>
        </is>
      </c>
      <c r="B1314" s="17" t="inlineStr">
        <is>
          <t>Providing and fixing wooden moulded beading to door and window frames with iron screws, plugs and priming coat on unexposed surface etc. complete :</t>
        </is>
      </c>
      <c r="C1314" s="9" t="n"/>
      <c r="D1314" s="9" t="n"/>
      <c r="E1314" s="9" t="n"/>
      <c r="F1314" s="9" t="n"/>
      <c r="G1314" s="9" t="n"/>
    </row>
    <row r="1315" ht="18.5" customHeight="1">
      <c r="A1315" s="8" t="inlineStr">
        <is>
          <t>9.40.2</t>
        </is>
      </c>
      <c r="B1315" s="17" t="inlineStr">
        <is>
          <t>Kiln seasoned and chemically treated hollock wood</t>
        </is>
      </c>
      <c r="C1315" s="9" t="n"/>
      <c r="D1315" s="9" t="n"/>
      <c r="E1315" s="9" t="n"/>
      <c r="F1315" s="9" t="n"/>
      <c r="G1315" s="9" t="n"/>
    </row>
    <row r="1316" ht="18.5" customHeight="1">
      <c r="A1316" s="18" t="inlineStr">
        <is>
          <t>9.40.2.2</t>
        </is>
      </c>
      <c r="B1316" s="19" t="inlineStr">
        <is>
          <t>50x20 mm</t>
        </is>
      </c>
      <c r="C1316" s="20" t="n"/>
      <c r="D1316" s="20" t="n"/>
      <c r="E1316" s="20" t="n"/>
      <c r="F1316" s="20" t="n"/>
      <c r="G1316" s="20" t="n"/>
    </row>
    <row r="1317">
      <c r="A1317" s="21" t="inlineStr">
        <is>
          <t>Details of cost for 5 metre   |   Source: CivilDAR_2019_Vol_1.pdf, page 488</t>
        </is>
      </c>
    </row>
    <row r="1318">
      <c r="A1318" s="5" t="inlineStr">
        <is>
          <t>Code</t>
        </is>
      </c>
      <c r="B1318" s="5" t="inlineStr">
        <is>
          <t>Description</t>
        </is>
      </c>
      <c r="C1318" s="5" t="inlineStr">
        <is>
          <t>Unit</t>
        </is>
      </c>
      <c r="D1318" s="5" t="inlineStr">
        <is>
          <t>Quantity</t>
        </is>
      </c>
      <c r="E1318" s="5" t="inlineStr">
        <is>
          <t>Rate (Rs.)</t>
        </is>
      </c>
      <c r="F1318" s="5" t="inlineStr">
        <is>
          <t>Amount (Rs.)</t>
        </is>
      </c>
      <c r="G1318" s="5" t="inlineStr">
        <is>
          <t>Note</t>
        </is>
      </c>
    </row>
    <row r="1319">
      <c r="A1319" s="22" t="inlineStr">
        <is>
          <t>2505</t>
        </is>
      </c>
      <c r="B1319" s="11" t="inlineStr">
        <is>
          <t>Hollock wood in planks</t>
        </is>
      </c>
      <c r="C1319" s="22" t="inlineStr">
        <is>
          <t>10 cudm</t>
        </is>
      </c>
      <c r="D1319" s="23" t="n">
        <v>0.55</v>
      </c>
      <c r="E1319" s="24" t="n">
        <v>390</v>
      </c>
      <c r="F1319" s="24">
        <f>D1319*E1319</f>
        <v/>
      </c>
      <c r="G1319" s="22" t="n"/>
    </row>
    <row r="1320">
      <c r="A1320" s="22" t="inlineStr">
        <is>
          <t>2204</t>
        </is>
      </c>
      <c r="B1320" s="11" t="inlineStr">
        <is>
          <t>Carriage of Timber</t>
        </is>
      </c>
      <c r="C1320" s="22" t="inlineStr">
        <is>
          <t>cum</t>
        </is>
      </c>
      <c r="D1320" s="23" t="n">
        <v>0.0055</v>
      </c>
      <c r="E1320" s="24" t="n">
        <v>118.59</v>
      </c>
      <c r="F1320" s="24">
        <f>D1320*E1320</f>
        <v/>
      </c>
      <c r="G1320" s="22" t="n"/>
    </row>
    <row r="1321">
      <c r="A1321" s="22" t="inlineStr">
        <is>
          <t>0637</t>
        </is>
      </c>
      <c r="B1321" s="11" t="inlineStr">
        <is>
          <t>Bright finished or black enamelled mild steel screws 40 mm</t>
        </is>
      </c>
      <c r="C1321" s="22" t="inlineStr">
        <is>
          <t>100 Nos</t>
        </is>
      </c>
      <c r="D1321" s="23" t="n">
        <v>0.36</v>
      </c>
      <c r="E1321" s="24" t="n">
        <v>60</v>
      </c>
      <c r="F1321" s="24">
        <f>D1321*E1321</f>
        <v/>
      </c>
      <c r="G1321" s="22" t="n"/>
    </row>
    <row r="1322">
      <c r="A1322" s="22" t="inlineStr">
        <is>
          <t>13.50.1</t>
        </is>
      </c>
      <c r="B1322" s="11" t="inlineStr">
        <is>
          <t>Rate as per item 13.50.1 - Applying priming coat - With ready mixed pink or Grey primer of approved brand and manufacture on wood work...</t>
        </is>
      </c>
      <c r="C1322" s="22" t="inlineStr">
        <is>
          <t>sqm</t>
        </is>
      </c>
      <c r="D1322" s="23" t="n">
        <v>0.45</v>
      </c>
      <c r="E1322" s="24" t="n">
        <v>57.05</v>
      </c>
      <c r="F1322" s="24">
        <f>D1322*E1322</f>
        <v/>
      </c>
      <c r="G1322" s="22" t="n"/>
    </row>
    <row r="1323">
      <c r="A1323" s="22" t="inlineStr">
        <is>
          <t>0111</t>
        </is>
      </c>
      <c r="B1323" s="11" t="inlineStr">
        <is>
          <t>Carpenter 1st class</t>
        </is>
      </c>
      <c r="C1323" s="22" t="inlineStr">
        <is>
          <t>day</t>
        </is>
      </c>
      <c r="D1323" s="23" t="n">
        <v>0.53</v>
      </c>
      <c r="E1323" s="24" t="n">
        <v>738</v>
      </c>
      <c r="F1323" s="24">
        <f>D1323*E1323</f>
        <v/>
      </c>
      <c r="G1323" s="22" t="n"/>
    </row>
    <row r="1324">
      <c r="A1324" s="8" t="inlineStr">
        <is>
          <t>Calculated W - SUM of the Amount column above</t>
        </is>
      </c>
      <c r="B1324" s="9" t="n"/>
      <c r="C1324" s="9" t="n"/>
      <c r="D1324" s="9" t="n"/>
      <c r="E1324" s="9" t="n"/>
      <c r="F1324" s="25">
        <f>SUM(F1319:F1323)</f>
        <v/>
      </c>
      <c r="G1324" s="9" t="n"/>
    </row>
    <row r="1325">
      <c r="A1325" s="26" t="inlineStr">
        <is>
          <t>W as printed in the DAR</t>
        </is>
      </c>
      <c r="B1325" s="22" t="n"/>
      <c r="C1325" s="22" t="n"/>
      <c r="D1325" s="22" t="n"/>
      <c r="E1325" s="22" t="n"/>
      <c r="F1325" s="27" t="n">
        <v>653.5599999999999</v>
      </c>
      <c r="G1325" s="22" t="n"/>
    </row>
    <row r="1326">
      <c r="A1326" s="26" t="inlineStr">
        <is>
          <t>Difference (calculated - printed)</t>
        </is>
      </c>
      <c r="B1326" s="22" t="n"/>
      <c r="C1326" s="22" t="n"/>
      <c r="D1326" s="22" t="n"/>
      <c r="E1326" s="22" t="n"/>
      <c r="F1326" s="27">
        <f>F1324-F1325</f>
        <v/>
      </c>
      <c r="G1326" s="22" t="n"/>
    </row>
    <row r="1327">
      <c r="A1327" s="29" t="inlineStr">
        <is>
          <t>SAY (Rs.) - final DAR rate as printed (fixed value, not computed)</t>
        </is>
      </c>
      <c r="B1327" s="30" t="n"/>
      <c r="C1327" s="30" t="n"/>
      <c r="D1327" s="30" t="n"/>
      <c r="E1327" s="30" t="n"/>
      <c r="F1327" s="31" t="n">
        <v>173.15</v>
      </c>
      <c r="G1327" s="30" t="n"/>
    </row>
    <row r="1329" ht="33" customHeight="1">
      <c r="A1329" s="8" t="inlineStr">
        <is>
          <t>9.41</t>
        </is>
      </c>
      <c r="B1329" s="17" t="inlineStr">
        <is>
          <t>Providing and fixing plain jaffri of 35x10 mm laths placed 35 mm apart (frames to be paid separately), including fixing 50x12 mm beading complete with :</t>
        </is>
      </c>
      <c r="C1329" s="9" t="n"/>
      <c r="D1329" s="9" t="n"/>
      <c r="E1329" s="9" t="n"/>
      <c r="F1329" s="9" t="n"/>
      <c r="G1329" s="9" t="n"/>
    </row>
    <row r="1330" ht="18.5" customHeight="1">
      <c r="A1330" s="18" t="inlineStr">
        <is>
          <t>9.41.1</t>
        </is>
      </c>
      <c r="B1330" s="19" t="inlineStr">
        <is>
          <t>Second class teak wood</t>
        </is>
      </c>
      <c r="C1330" s="20" t="n"/>
      <c r="D1330" s="20" t="n"/>
      <c r="E1330" s="20" t="n"/>
      <c r="F1330" s="20" t="n"/>
      <c r="G1330" s="20" t="n"/>
    </row>
    <row r="1331">
      <c r="A1331" s="21" t="inlineStr">
        <is>
          <t>Details of cost for 2.2 sqm   |   Source: CivilDAR_2019_Vol_1.pdf, page 489</t>
        </is>
      </c>
    </row>
    <row r="1332">
      <c r="A1332" s="5" t="inlineStr">
        <is>
          <t>Code</t>
        </is>
      </c>
      <c r="B1332" s="5" t="inlineStr">
        <is>
          <t>Description</t>
        </is>
      </c>
      <c r="C1332" s="5" t="inlineStr">
        <is>
          <t>Unit</t>
        </is>
      </c>
      <c r="D1332" s="5" t="inlineStr">
        <is>
          <t>Quantity</t>
        </is>
      </c>
      <c r="E1332" s="5" t="inlineStr">
        <is>
          <t>Rate (Rs.)</t>
        </is>
      </c>
      <c r="F1332" s="5" t="inlineStr">
        <is>
          <t>Amount (Rs.)</t>
        </is>
      </c>
      <c r="G1332" s="5" t="inlineStr">
        <is>
          <t>Note</t>
        </is>
      </c>
    </row>
    <row r="1333">
      <c r="A1333" s="22" t="inlineStr">
        <is>
          <t>1190</t>
        </is>
      </c>
      <c r="B1333" s="11" t="inlineStr">
        <is>
          <t>Second class teak wood in planks</t>
        </is>
      </c>
      <c r="C1333" s="22" t="inlineStr">
        <is>
          <t>10 cudm</t>
        </is>
      </c>
      <c r="D1333" s="23" t="n">
        <v>3.2</v>
      </c>
      <c r="E1333" s="24" t="n">
        <v>791</v>
      </c>
      <c r="F1333" s="24">
        <f>D1333*E1333</f>
        <v/>
      </c>
      <c r="G1333" s="22" t="n"/>
    </row>
    <row r="1334">
      <c r="A1334" s="22" t="inlineStr">
        <is>
          <t>2204</t>
        </is>
      </c>
      <c r="B1334" s="11" t="inlineStr">
        <is>
          <t>Carriage of Timber</t>
        </is>
      </c>
      <c r="C1334" s="22" t="inlineStr">
        <is>
          <t>cum</t>
        </is>
      </c>
      <c r="D1334" s="23" t="n">
        <v>0.032</v>
      </c>
      <c r="E1334" s="24" t="n">
        <v>118.59</v>
      </c>
      <c r="F1334" s="24">
        <f>D1334*E1334</f>
        <v/>
      </c>
      <c r="G1334" s="22" t="n"/>
    </row>
    <row r="1335">
      <c r="A1335" s="22" t="inlineStr">
        <is>
          <t>0111</t>
        </is>
      </c>
      <c r="B1335" s="11" t="inlineStr">
        <is>
          <t>Carpenter 1st class</t>
        </is>
      </c>
      <c r="C1335" s="22" t="inlineStr">
        <is>
          <t>day</t>
        </is>
      </c>
      <c r="D1335" s="23" t="n">
        <v>0.75</v>
      </c>
      <c r="E1335" s="24" t="n">
        <v>738</v>
      </c>
      <c r="F1335" s="24">
        <f>D1335*E1335</f>
        <v/>
      </c>
      <c r="G1335" s="22" t="n"/>
    </row>
    <row r="1336">
      <c r="A1336" s="22" t="inlineStr">
        <is>
          <t>0112</t>
        </is>
      </c>
      <c r="B1336" s="11" t="inlineStr">
        <is>
          <t>Carpenter 2nd class</t>
        </is>
      </c>
      <c r="C1336" s="22" t="inlineStr">
        <is>
          <t>day</t>
        </is>
      </c>
      <c r="D1336" s="23" t="n">
        <v>1</v>
      </c>
      <c r="E1336" s="24" t="n">
        <v>679</v>
      </c>
      <c r="F1336" s="24">
        <f>D1336*E1336</f>
        <v/>
      </c>
      <c r="G1336" s="22" t="n"/>
    </row>
    <row r="1337">
      <c r="A1337" s="22" t="inlineStr">
        <is>
          <t>0114</t>
        </is>
      </c>
      <c r="B1337" s="11" t="inlineStr">
        <is>
          <t>Beldar</t>
        </is>
      </c>
      <c r="C1337" s="22" t="inlineStr">
        <is>
          <t>day</t>
        </is>
      </c>
      <c r="D1337" s="23" t="n">
        <v>0.5</v>
      </c>
      <c r="E1337" s="24" t="n">
        <v>558</v>
      </c>
      <c r="F1337" s="24">
        <f>D1337*E1337</f>
        <v/>
      </c>
      <c r="G1337" s="22" t="n"/>
    </row>
    <row r="1338">
      <c r="A1338" s="22" t="inlineStr">
        <is>
          <t>0130</t>
        </is>
      </c>
      <c r="B1338" s="11" t="inlineStr">
        <is>
          <t>Mistry</t>
        </is>
      </c>
      <c r="C1338" s="22" t="inlineStr">
        <is>
          <t>day</t>
        </is>
      </c>
      <c r="D1338" s="23" t="n">
        <v>0.1</v>
      </c>
      <c r="E1338" s="24" t="n">
        <v>738</v>
      </c>
      <c r="F1338" s="24">
        <f>D1338*E1338</f>
        <v/>
      </c>
      <c r="G1338" s="22" t="n"/>
    </row>
    <row r="1339">
      <c r="A1339" s="22" t="inlineStr">
        <is>
          <t>9999</t>
        </is>
      </c>
      <c r="B1339" s="11" t="inlineStr">
        <is>
          <t>Sundries</t>
        </is>
      </c>
      <c r="C1339" s="22" t="inlineStr">
        <is>
          <t>L.S.</t>
        </is>
      </c>
      <c r="D1339" s="23" t="n">
        <v>33.8</v>
      </c>
      <c r="E1339" s="24" t="n">
        <v>2</v>
      </c>
      <c r="F1339" s="24">
        <f>D1339*E1339</f>
        <v/>
      </c>
      <c r="G1339" s="22" t="n"/>
    </row>
    <row r="1340">
      <c r="A1340" s="8" t="inlineStr">
        <is>
          <t>Calculated W - SUM of the Amount column above</t>
        </is>
      </c>
      <c r="B1340" s="9" t="n"/>
      <c r="C1340" s="9" t="n"/>
      <c r="D1340" s="9" t="n"/>
      <c r="E1340" s="9" t="n"/>
      <c r="F1340" s="25">
        <f>SUM(F1333:F1339)</f>
        <v/>
      </c>
      <c r="G1340" s="9" t="n"/>
    </row>
    <row r="1341">
      <c r="A1341" s="26" t="inlineStr">
        <is>
          <t>W as printed in the DAR</t>
        </is>
      </c>
      <c r="B1341" s="22" t="n"/>
      <c r="C1341" s="22" t="n"/>
      <c r="D1341" s="22" t="n"/>
      <c r="E1341" s="22" t="n"/>
      <c r="F1341" s="27" t="n">
        <v>4187.89</v>
      </c>
      <c r="G1341" s="22" t="n"/>
    </row>
    <row r="1342">
      <c r="A1342" s="26" t="inlineStr">
        <is>
          <t>Difference (calculated - printed)</t>
        </is>
      </c>
      <c r="B1342" s="22" t="n"/>
      <c r="C1342" s="22" t="n"/>
      <c r="D1342" s="22" t="n"/>
      <c r="E1342" s="22" t="n"/>
      <c r="F1342" s="27">
        <f>F1340-F1341</f>
        <v/>
      </c>
      <c r="G1342" s="22" t="n"/>
    </row>
    <row r="1343">
      <c r="A1343" s="29" t="inlineStr">
        <is>
          <t>SAY (Rs.) - final DAR rate as printed (fixed value, not computed)</t>
        </is>
      </c>
      <c r="B1343" s="30" t="n"/>
      <c r="C1343" s="30" t="n"/>
      <c r="D1343" s="30" t="n"/>
      <c r="E1343" s="30" t="n"/>
      <c r="F1343" s="31" t="n">
        <v>2546.9</v>
      </c>
      <c r="G1343" s="30" t="n"/>
    </row>
    <row r="1345" ht="76.5" customHeight="1">
      <c r="A1345" s="18" t="inlineStr">
        <is>
          <t>9.42</t>
        </is>
      </c>
      <c r="B1345" s="19" t="inlineStr">
        <is>
          <t>Providing and fixing 18 mm thick, 150 mm wide pelmet of flat pressed 3 layer or graded wood particle board medium density grade I,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is>
      </c>
      <c r="C1345" s="20" t="n"/>
      <c r="D1345" s="20" t="n"/>
      <c r="E1345" s="20" t="n"/>
      <c r="F1345" s="20" t="n"/>
      <c r="G1345" s="20" t="n"/>
    </row>
    <row r="1346">
      <c r="A1346" s="21" t="inlineStr">
        <is>
          <t>Details of cost for 2 m   |   Source: CivilDAR_2019_Vol_1.pdf, page 489</t>
        </is>
      </c>
    </row>
    <row r="1347">
      <c r="A1347" s="5" t="inlineStr">
        <is>
          <t>Code</t>
        </is>
      </c>
      <c r="B1347" s="5" t="inlineStr">
        <is>
          <t>Description</t>
        </is>
      </c>
      <c r="C1347" s="5" t="inlineStr">
        <is>
          <t>Unit</t>
        </is>
      </c>
      <c r="D1347" s="5" t="inlineStr">
        <is>
          <t>Quantity</t>
        </is>
      </c>
      <c r="E1347" s="5" t="inlineStr">
        <is>
          <t>Rate (Rs.)</t>
        </is>
      </c>
      <c r="F1347" s="5" t="inlineStr">
        <is>
          <t>Amount (Rs.)</t>
        </is>
      </c>
      <c r="G1347" s="5" t="inlineStr">
        <is>
          <t>Note</t>
        </is>
      </c>
    </row>
    <row r="1348">
      <c r="A1348" s="22" t="inlineStr">
        <is>
          <t>7055</t>
        </is>
      </c>
      <c r="B1348" s="11" t="inlineStr">
        <is>
          <t>Flat pressed 3 layer and graded particle board (medium density) Grade 1 conforming to IS : 3087 - 18 mm thick</t>
        </is>
      </c>
      <c r="C1348" s="22" t="inlineStr">
        <is>
          <t>sqm</t>
        </is>
      </c>
      <c r="D1348" s="23" t="n">
        <v>0.32</v>
      </c>
      <c r="E1348" s="24" t="n">
        <v>480</v>
      </c>
      <c r="F1348" s="24">
        <f>D1348*E1348</f>
        <v/>
      </c>
      <c r="G1348" s="22" t="n"/>
    </row>
    <row r="1349">
      <c r="A1349" s="22" t="inlineStr">
        <is>
          <t>2412</t>
        </is>
      </c>
      <c r="B1349" s="11" t="inlineStr">
        <is>
          <t>Ply wood 5 ply with commercial ply on both faces 6 mm thick</t>
        </is>
      </c>
      <c r="C1349" s="22" t="inlineStr">
        <is>
          <t>sqm</t>
        </is>
      </c>
      <c r="D1349" s="23" t="n">
        <v>0.27</v>
      </c>
      <c r="E1349" s="24" t="n">
        <v>300</v>
      </c>
      <c r="F1349" s="24">
        <f>D1349*E1349</f>
        <v/>
      </c>
      <c r="G1349" s="22" t="n"/>
    </row>
    <row r="1350">
      <c r="A1350" s="22" t="inlineStr">
        <is>
          <t>7034</t>
        </is>
      </c>
      <c r="B1350" s="11" t="inlineStr">
        <is>
          <t>Nickle plated M.S. pipe 20 mm dia.</t>
        </is>
      </c>
      <c r="C1350" s="22" t="inlineStr">
        <is>
          <t>metre</t>
        </is>
      </c>
      <c r="D1350" s="23" t="n">
        <v>1.65</v>
      </c>
      <c r="E1350" s="24" t="n">
        <v>72</v>
      </c>
      <c r="F1350" s="24">
        <f>D1350*E1350</f>
        <v/>
      </c>
      <c r="G1350" s="22" t="n"/>
    </row>
    <row r="1351">
      <c r="A1351" s="22" t="inlineStr">
        <is>
          <t>7035</t>
        </is>
      </c>
      <c r="B1351" s="11" t="inlineStr">
        <is>
          <t>Nickle plated M.S. Brackets for curtain rod 20 mm</t>
        </is>
      </c>
      <c r="C1351" s="22" t="inlineStr">
        <is>
          <t>each</t>
        </is>
      </c>
      <c r="D1351" s="23" t="n">
        <v>2</v>
      </c>
      <c r="E1351" s="24" t="n">
        <v>7</v>
      </c>
      <c r="F1351" s="24">
        <f>D1351*E1351</f>
        <v/>
      </c>
      <c r="G1351" s="22" t="n"/>
    </row>
    <row r="1352">
      <c r="A1352" s="22" t="inlineStr">
        <is>
          <t>9977</t>
        </is>
      </c>
      <c r="B1352" s="11" t="inlineStr">
        <is>
          <t>Carriage of material</t>
        </is>
      </c>
      <c r="C1352" s="22" t="inlineStr">
        <is>
          <t>L.S.</t>
        </is>
      </c>
      <c r="D1352" s="23" t="n">
        <v>0.52</v>
      </c>
      <c r="E1352" s="24" t="n">
        <v>2</v>
      </c>
      <c r="F1352" s="24">
        <f>D1352*E1352</f>
        <v/>
      </c>
      <c r="G1352" s="22" t="n"/>
    </row>
    <row r="1353">
      <c r="A1353" s="22" t="inlineStr">
        <is>
          <t>9999</t>
        </is>
      </c>
      <c r="B1353" s="11" t="inlineStr">
        <is>
          <t>M.S. flat 25x3mm and 10cm long over brackets</t>
        </is>
      </c>
      <c r="C1353" s="22" t="inlineStr">
        <is>
          <t>L.S.</t>
        </is>
      </c>
      <c r="D1353" s="23" t="n">
        <v>8.06</v>
      </c>
      <c r="E1353" s="24" t="n">
        <v>2</v>
      </c>
      <c r="F1353" s="24">
        <f>D1353*E1353</f>
        <v/>
      </c>
      <c r="G1353" s="22" t="n"/>
    </row>
    <row r="1354">
      <c r="A1354" s="22" t="inlineStr">
        <is>
          <t>2505</t>
        </is>
      </c>
      <c r="B1354" s="11" t="inlineStr">
        <is>
          <t>Hollock wood in planks</t>
        </is>
      </c>
      <c r="C1354" s="22" t="inlineStr">
        <is>
          <t>10 cudm</t>
        </is>
      </c>
      <c r="D1354" s="23" t="n">
        <v>0.032</v>
      </c>
      <c r="E1354" s="24" t="n">
        <v>390</v>
      </c>
      <c r="F1354" s="24">
        <f>D1354*E1354</f>
        <v/>
      </c>
      <c r="G1354" s="22" t="n"/>
    </row>
    <row r="1355">
      <c r="A1355" s="22" t="inlineStr">
        <is>
          <t>7048</t>
        </is>
      </c>
      <c r="B1355" s="11" t="inlineStr">
        <is>
          <t>Rawl plug 50 mm (designation 10 no.)</t>
        </is>
      </c>
      <c r="C1355" s="22" t="inlineStr">
        <is>
          <t>each</t>
        </is>
      </c>
      <c r="D1355" s="23" t="n">
        <v>2</v>
      </c>
      <c r="E1355" s="24" t="n">
        <v>25</v>
      </c>
      <c r="F1355" s="24">
        <f>D1355*E1355</f>
        <v/>
      </c>
      <c r="G1355" s="22" t="n"/>
    </row>
    <row r="1356">
      <c r="A1356" s="22" t="inlineStr">
        <is>
          <t>0112</t>
        </is>
      </c>
      <c r="B1356" s="11" t="inlineStr">
        <is>
          <t>Carpenter 2nd class</t>
        </is>
      </c>
      <c r="C1356" s="22" t="inlineStr">
        <is>
          <t>day</t>
        </is>
      </c>
      <c r="D1356" s="23" t="n">
        <v>0.18</v>
      </c>
      <c r="E1356" s="24" t="n">
        <v>679</v>
      </c>
      <c r="F1356" s="24">
        <f>D1356*E1356</f>
        <v/>
      </c>
      <c r="G1356" s="22" t="n"/>
    </row>
    <row r="1357">
      <c r="A1357" s="22" t="inlineStr">
        <is>
          <t>0114</t>
        </is>
      </c>
      <c r="B1357" s="11" t="inlineStr">
        <is>
          <t>Beldar</t>
        </is>
      </c>
      <c r="C1357" s="22" t="inlineStr">
        <is>
          <t>day</t>
        </is>
      </c>
      <c r="D1357" s="23" t="n">
        <v>0.18</v>
      </c>
      <c r="E1357" s="24" t="n">
        <v>558</v>
      </c>
      <c r="F1357" s="24">
        <f>D1357*E1357</f>
        <v/>
      </c>
      <c r="G1357" s="22" t="n"/>
    </row>
    <row r="1358">
      <c r="A1358" s="22" t="inlineStr">
        <is>
          <t>0130</t>
        </is>
      </c>
      <c r="B1358" s="11" t="inlineStr">
        <is>
          <t>Mistry</t>
        </is>
      </c>
      <c r="C1358" s="22" t="inlineStr">
        <is>
          <t>day</t>
        </is>
      </c>
      <c r="D1358" s="23" t="n">
        <v>0.11</v>
      </c>
      <c r="E1358" s="24" t="n">
        <v>738</v>
      </c>
      <c r="F1358" s="24">
        <f>D1358*E1358</f>
        <v/>
      </c>
      <c r="G1358" s="22" t="n"/>
    </row>
    <row r="1359">
      <c r="A1359" s="22" t="inlineStr">
        <is>
          <t>9999</t>
        </is>
      </c>
      <c r="B1359" s="11" t="inlineStr">
        <is>
          <t>Sundries</t>
        </is>
      </c>
      <c r="C1359" s="22" t="inlineStr">
        <is>
          <t>L.S.</t>
        </is>
      </c>
      <c r="D1359" s="23" t="n">
        <v>2.73</v>
      </c>
      <c r="E1359" s="24" t="n">
        <v>2</v>
      </c>
      <c r="F1359" s="24">
        <f>D1359*E1359</f>
        <v/>
      </c>
      <c r="G1359" s="22" t="n"/>
    </row>
    <row r="1360">
      <c r="A1360" s="8" t="inlineStr">
        <is>
          <t>Calculated W - SUM of the Amount column above</t>
        </is>
      </c>
      <c r="B1360" s="9" t="n"/>
      <c r="C1360" s="9" t="n"/>
      <c r="D1360" s="9" t="n"/>
      <c r="E1360" s="9" t="n"/>
      <c r="F1360" s="25">
        <f>SUM(F1348:F1359)</f>
        <v/>
      </c>
      <c r="G1360" s="9" t="n"/>
    </row>
    <row r="1361">
      <c r="A1361" s="26" t="inlineStr">
        <is>
          <t>W as printed in the DAR</t>
        </is>
      </c>
      <c r="B1361" s="22" t="n"/>
      <c r="C1361" s="22" t="n"/>
      <c r="D1361" s="22" t="n"/>
      <c r="E1361" s="22" t="n"/>
      <c r="F1361" s="27" t="n">
        <v>756.34</v>
      </c>
      <c r="G1361" s="22" t="n"/>
    </row>
    <row r="1362">
      <c r="A1362" s="26" t="inlineStr">
        <is>
          <t>Difference (calculated - printed)</t>
        </is>
      </c>
      <c r="B1362" s="22" t="n"/>
      <c r="C1362" s="22" t="n"/>
      <c r="D1362" s="22" t="n"/>
      <c r="E1362" s="22" t="n"/>
      <c r="F1362" s="27">
        <f>F1360-F1361</f>
        <v/>
      </c>
      <c r="G1362" s="22" t="n"/>
    </row>
    <row r="1363">
      <c r="A1363" s="29" t="inlineStr">
        <is>
          <t>SAY (Rs.) - final DAR rate as printed (fixed value, not computed)</t>
        </is>
      </c>
      <c r="B1363" s="30" t="n"/>
      <c r="C1363" s="30" t="n"/>
      <c r="D1363" s="30" t="n"/>
      <c r="E1363" s="30" t="n"/>
      <c r="F1363" s="31" t="n">
        <v>505.95</v>
      </c>
      <c r="G1363" s="30" t="n"/>
    </row>
    <row r="1365" ht="62" customHeight="1">
      <c r="A1365" s="18" t="inlineStr">
        <is>
          <t>9.43</t>
        </is>
      </c>
      <c r="B1365" s="19" t="inlineStr">
        <is>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is>
      </c>
      <c r="C1365" s="20" t="n"/>
      <c r="D1365" s="20" t="n"/>
      <c r="E1365" s="20" t="n"/>
      <c r="F1365" s="20" t="n"/>
      <c r="G1365" s="20" t="n"/>
    </row>
    <row r="1366">
      <c r="A1366" s="21" t="inlineStr">
        <is>
          <t>Details of cost for 2 m   |   Source: CivilDAR_2019_Vol_1.pdf, page 490</t>
        </is>
      </c>
    </row>
    <row r="1367">
      <c r="A1367" s="5" t="inlineStr">
        <is>
          <t>Code</t>
        </is>
      </c>
      <c r="B1367" s="5" t="inlineStr">
        <is>
          <t>Description</t>
        </is>
      </c>
      <c r="C1367" s="5" t="inlineStr">
        <is>
          <t>Unit</t>
        </is>
      </c>
      <c r="D1367" s="5" t="inlineStr">
        <is>
          <t>Quantity</t>
        </is>
      </c>
      <c r="E1367" s="5" t="inlineStr">
        <is>
          <t>Rate (Rs.)</t>
        </is>
      </c>
      <c r="F1367" s="5" t="inlineStr">
        <is>
          <t>Amount (Rs.)</t>
        </is>
      </c>
      <c r="G1367" s="5" t="inlineStr">
        <is>
          <t>Note</t>
        </is>
      </c>
    </row>
    <row r="1368">
      <c r="A1368" s="22" t="inlineStr">
        <is>
          <t>7556</t>
        </is>
      </c>
      <c r="B1368" s="11" t="inlineStr">
        <is>
          <t>Coir veneered board 18mm thick</t>
        </is>
      </c>
      <c r="C1368" s="22" t="inlineStr">
        <is>
          <t>sqm</t>
        </is>
      </c>
      <c r="D1368" s="23" t="n">
        <v>0.32</v>
      </c>
      <c r="E1368" s="24" t="n">
        <v>1000</v>
      </c>
      <c r="F1368" s="24">
        <f>D1368*E1368</f>
        <v/>
      </c>
      <c r="G1368" s="22" t="n"/>
    </row>
    <row r="1369">
      <c r="A1369" s="22" t="inlineStr">
        <is>
          <t>7553</t>
        </is>
      </c>
      <c r="B1369" s="11" t="inlineStr">
        <is>
          <t>Coir veneered board 6mm thick</t>
        </is>
      </c>
      <c r="C1369" s="22" t="inlineStr">
        <is>
          <t>sqm</t>
        </is>
      </c>
      <c r="D1369" s="23" t="n">
        <v>0.27</v>
      </c>
      <c r="E1369" s="24" t="n">
        <v>385</v>
      </c>
      <c r="F1369" s="24">
        <f>D1369*E1369</f>
        <v/>
      </c>
      <c r="G1369" s="22" t="n"/>
    </row>
    <row r="1370">
      <c r="A1370" s="22" t="inlineStr">
        <is>
          <t>7034</t>
        </is>
      </c>
      <c r="B1370" s="11" t="inlineStr">
        <is>
          <t>Nickle plated M.S. pipe 20 mm dia.</t>
        </is>
      </c>
      <c r="C1370" s="22" t="inlineStr">
        <is>
          <t>metre</t>
        </is>
      </c>
      <c r="D1370" s="23" t="n">
        <v>1.65</v>
      </c>
      <c r="E1370" s="24" t="n">
        <v>72</v>
      </c>
      <c r="F1370" s="24">
        <f>D1370*E1370</f>
        <v/>
      </c>
      <c r="G1370" s="22" t="n"/>
    </row>
    <row r="1371">
      <c r="A1371" s="22" t="inlineStr">
        <is>
          <t>7035</t>
        </is>
      </c>
      <c r="B1371" s="11" t="inlineStr">
        <is>
          <t>Nickle plated M.S. Brackets for curtain rod 20 mm</t>
        </is>
      </c>
      <c r="C1371" s="22" t="inlineStr">
        <is>
          <t>each</t>
        </is>
      </c>
      <c r="D1371" s="23" t="n">
        <v>2</v>
      </c>
      <c r="E1371" s="24" t="n">
        <v>7</v>
      </c>
      <c r="F1371" s="24">
        <f>D1371*E1371</f>
        <v/>
      </c>
      <c r="G1371" s="22" t="n"/>
    </row>
    <row r="1372">
      <c r="A1372" s="22" t="inlineStr">
        <is>
          <t>9977</t>
        </is>
      </c>
      <c r="B1372" s="11" t="inlineStr">
        <is>
          <t>Carriage of material</t>
        </is>
      </c>
      <c r="C1372" s="22" t="inlineStr">
        <is>
          <t>L.S.</t>
        </is>
      </c>
      <c r="D1372" s="23" t="n">
        <v>0.52</v>
      </c>
      <c r="E1372" s="24" t="n">
        <v>2</v>
      </c>
      <c r="F1372" s="24">
        <f>D1372*E1372</f>
        <v/>
      </c>
      <c r="G1372" s="22" t="n"/>
    </row>
    <row r="1373">
      <c r="A1373" s="22" t="inlineStr">
        <is>
          <t>9999</t>
        </is>
      </c>
      <c r="B1373" s="11" t="inlineStr">
        <is>
          <t>M.S. flat 25x3mm and 10cm long over brackets</t>
        </is>
      </c>
      <c r="C1373" s="22" t="inlineStr">
        <is>
          <t>L.S.</t>
        </is>
      </c>
      <c r="D1373" s="23" t="n">
        <v>8.06</v>
      </c>
      <c r="E1373" s="24" t="n">
        <v>2</v>
      </c>
      <c r="F1373" s="24">
        <f>D1373*E1373</f>
        <v/>
      </c>
      <c r="G1373" s="22" t="n"/>
    </row>
    <row r="1374">
      <c r="A1374" s="22" t="inlineStr">
        <is>
          <t>2505</t>
        </is>
      </c>
      <c r="B1374" s="11" t="inlineStr">
        <is>
          <t>Hollock wood in planks</t>
        </is>
      </c>
      <c r="C1374" s="22" t="inlineStr">
        <is>
          <t>10 cudm</t>
        </is>
      </c>
      <c r="D1374" s="23" t="n">
        <v>0.032</v>
      </c>
      <c r="E1374" s="24" t="n">
        <v>390</v>
      </c>
      <c r="F1374" s="24">
        <f>D1374*E1374</f>
        <v/>
      </c>
      <c r="G1374" s="22" t="n"/>
    </row>
    <row r="1375">
      <c r="A1375" s="22" t="inlineStr">
        <is>
          <t>7048</t>
        </is>
      </c>
      <c r="B1375" s="11" t="inlineStr">
        <is>
          <t>Rawl plug 50 mm (designation 10 no.)</t>
        </is>
      </c>
      <c r="C1375" s="22" t="inlineStr">
        <is>
          <t>each</t>
        </is>
      </c>
      <c r="D1375" s="23" t="n">
        <v>2</v>
      </c>
      <c r="E1375" s="24" t="n">
        <v>25</v>
      </c>
      <c r="F1375" s="24">
        <f>D1375*E1375</f>
        <v/>
      </c>
      <c r="G1375" s="22" t="n"/>
    </row>
    <row r="1376">
      <c r="A1376" s="22" t="inlineStr">
        <is>
          <t>0112</t>
        </is>
      </c>
      <c r="B1376" s="11" t="inlineStr">
        <is>
          <t>Carpenter 2nd class</t>
        </is>
      </c>
      <c r="C1376" s="22" t="inlineStr">
        <is>
          <t>day</t>
        </is>
      </c>
      <c r="D1376" s="23" t="n">
        <v>0.18</v>
      </c>
      <c r="E1376" s="24" t="n">
        <v>679</v>
      </c>
      <c r="F1376" s="24">
        <f>D1376*E1376</f>
        <v/>
      </c>
      <c r="G1376" s="22" t="n"/>
    </row>
    <row r="1377">
      <c r="A1377" s="22" t="inlineStr">
        <is>
          <t>0114</t>
        </is>
      </c>
      <c r="B1377" s="11" t="inlineStr">
        <is>
          <t>Beldar</t>
        </is>
      </c>
      <c r="C1377" s="22" t="inlineStr">
        <is>
          <t>day</t>
        </is>
      </c>
      <c r="D1377" s="23" t="n">
        <v>0.18</v>
      </c>
      <c r="E1377" s="24" t="n">
        <v>558</v>
      </c>
      <c r="F1377" s="24">
        <f>D1377*E1377</f>
        <v/>
      </c>
      <c r="G1377" s="22" t="n"/>
    </row>
    <row r="1378">
      <c r="A1378" s="22" t="inlineStr">
        <is>
          <t>0130</t>
        </is>
      </c>
      <c r="B1378" s="11" t="inlineStr">
        <is>
          <t>Mistry</t>
        </is>
      </c>
      <c r="C1378" s="22" t="inlineStr">
        <is>
          <t>day</t>
        </is>
      </c>
      <c r="D1378" s="23" t="n">
        <v>0.11</v>
      </c>
      <c r="E1378" s="24" t="n">
        <v>738</v>
      </c>
      <c r="F1378" s="24">
        <f>D1378*E1378</f>
        <v/>
      </c>
      <c r="G1378" s="22" t="n"/>
    </row>
    <row r="1379">
      <c r="A1379" s="22" t="inlineStr">
        <is>
          <t>9999</t>
        </is>
      </c>
      <c r="B1379" s="11" t="inlineStr">
        <is>
          <t>Sundries</t>
        </is>
      </c>
      <c r="C1379" s="22" t="inlineStr">
        <is>
          <t>L.S.</t>
        </is>
      </c>
      <c r="D1379" s="23" t="n">
        <v>2.73</v>
      </c>
      <c r="E1379" s="24" t="n">
        <v>2</v>
      </c>
      <c r="F1379" s="24">
        <f>D1379*E1379</f>
        <v/>
      </c>
      <c r="G1379" s="22" t="n"/>
    </row>
    <row r="1380">
      <c r="A1380" s="8" t="inlineStr">
        <is>
          <t>Calculated W - SUM of the Amount column above</t>
        </is>
      </c>
      <c r="B1380" s="9" t="n"/>
      <c r="C1380" s="9" t="n"/>
      <c r="D1380" s="9" t="n"/>
      <c r="E1380" s="9" t="n"/>
      <c r="F1380" s="25">
        <f>SUM(F1368:F1379)</f>
        <v/>
      </c>
      <c r="G1380" s="9" t="n"/>
    </row>
    <row r="1381">
      <c r="A1381" s="26" t="inlineStr">
        <is>
          <t>W as printed in the DAR</t>
        </is>
      </c>
      <c r="B1381" s="22" t="n"/>
      <c r="C1381" s="22" t="n"/>
      <c r="D1381" s="22" t="n"/>
      <c r="E1381" s="22" t="n"/>
      <c r="F1381" s="27" t="n">
        <v>945.6900000000001</v>
      </c>
      <c r="G1381" s="22" t="n"/>
    </row>
    <row r="1382">
      <c r="A1382" s="26" t="inlineStr">
        <is>
          <t>Difference (calculated - printed)</t>
        </is>
      </c>
      <c r="B1382" s="22" t="n"/>
      <c r="C1382" s="22" t="n"/>
      <c r="D1382" s="22" t="n"/>
      <c r="E1382" s="22" t="n"/>
      <c r="F1382" s="27">
        <f>F1380-F1381</f>
        <v/>
      </c>
      <c r="G1382" s="22" t="n"/>
    </row>
    <row r="1383">
      <c r="A1383" s="29" t="inlineStr">
        <is>
          <t>SAY (Rs.) - final DAR rate as printed (fixed value, not computed)</t>
        </is>
      </c>
      <c r="B1383" s="30" t="n"/>
      <c r="C1383" s="30" t="n"/>
      <c r="D1383" s="30" t="n"/>
      <c r="E1383" s="30" t="n"/>
      <c r="F1383" s="31" t="n">
        <v>632.65</v>
      </c>
      <c r="G1383" s="30" t="n"/>
    </row>
    <row r="1385" ht="18.5" customHeight="1">
      <c r="A1385" s="8" t="inlineStr">
        <is>
          <t>9.44</t>
        </is>
      </c>
      <c r="B1385" s="17" t="inlineStr">
        <is>
          <t>Extra for using veneered particle board conforming to IS 3097 Grade I, in item of pelmet 18mm thick 150mm wide.</t>
        </is>
      </c>
      <c r="C1385" s="9" t="n"/>
      <c r="D1385" s="9" t="n"/>
      <c r="E1385" s="9" t="n"/>
      <c r="F1385" s="9" t="n"/>
      <c r="G1385" s="9" t="n"/>
    </row>
    <row r="1386" ht="18.5" customHeight="1">
      <c r="A1386" s="18" t="inlineStr">
        <is>
          <t>9.44.1</t>
        </is>
      </c>
      <c r="B1386" s="19" t="inlineStr">
        <is>
          <t>Non decorative veneer on both sides</t>
        </is>
      </c>
      <c r="C1386" s="20" t="n"/>
      <c r="D1386" s="20" t="n"/>
      <c r="E1386" s="20" t="n"/>
      <c r="F1386" s="20" t="n"/>
      <c r="G1386" s="20" t="n"/>
    </row>
    <row r="1387">
      <c r="A1387" s="21" t="inlineStr">
        <is>
          <t>Details of cost for 2 m   |   Source: CivilDAR_2019_Vol_1.pdf, page 491</t>
        </is>
      </c>
    </row>
    <row r="1388">
      <c r="A1388" s="5" t="inlineStr">
        <is>
          <t>Code</t>
        </is>
      </c>
      <c r="B1388" s="5" t="inlineStr">
        <is>
          <t>Description</t>
        </is>
      </c>
      <c r="C1388" s="5" t="inlineStr">
        <is>
          <t>Unit</t>
        </is>
      </c>
      <c r="D1388" s="5" t="inlineStr">
        <is>
          <t>Quantity</t>
        </is>
      </c>
      <c r="E1388" s="5" t="inlineStr">
        <is>
          <t>Rate (Rs.)</t>
        </is>
      </c>
      <c r="F1388" s="5" t="inlineStr">
        <is>
          <t>Amount (Rs.)</t>
        </is>
      </c>
      <c r="G1388" s="5" t="inlineStr">
        <is>
          <t>Note</t>
        </is>
      </c>
    </row>
    <row r="1389">
      <c r="A1389" s="22" t="inlineStr">
        <is>
          <t>0347</t>
        </is>
      </c>
      <c r="B1389" s="11" t="inlineStr">
        <is>
          <t>Extra for veneered particle board with Commercial veneering on both sides</t>
        </is>
      </c>
      <c r="C1389" s="22" t="inlineStr">
        <is>
          <t>sqm</t>
        </is>
      </c>
      <c r="D1389" s="23" t="n">
        <v>0.32</v>
      </c>
      <c r="E1389" s="24" t="n">
        <v>155</v>
      </c>
      <c r="F1389" s="24">
        <f>D1389*E1389</f>
        <v/>
      </c>
      <c r="G1389" s="22" t="n"/>
    </row>
    <row r="1390">
      <c r="A1390" s="8" t="inlineStr">
        <is>
          <t>Calculated W - SUM of the Amount column above</t>
        </is>
      </c>
      <c r="B1390" s="9" t="n"/>
      <c r="C1390" s="9" t="n"/>
      <c r="D1390" s="9" t="n"/>
      <c r="E1390" s="9" t="n"/>
      <c r="F1390" s="25">
        <f>SUM(F1389:F1389)</f>
        <v/>
      </c>
      <c r="G1390" s="9" t="n"/>
    </row>
    <row r="1391">
      <c r="A1391" s="26" t="inlineStr">
        <is>
          <t>W as printed in the DAR</t>
        </is>
      </c>
      <c r="B1391" s="22" t="n"/>
      <c r="C1391" s="22" t="n"/>
      <c r="D1391" s="22" t="n"/>
      <c r="E1391" s="22" t="n"/>
      <c r="F1391" s="27" t="n">
        <v>49.6</v>
      </c>
      <c r="G1391" s="22" t="n"/>
    </row>
    <row r="1392">
      <c r="A1392" s="26" t="inlineStr">
        <is>
          <t>Difference (calculated - printed)</t>
        </is>
      </c>
      <c r="B1392" s="22" t="n"/>
      <c r="C1392" s="22" t="n"/>
      <c r="D1392" s="22" t="n"/>
      <c r="E1392" s="22" t="n"/>
      <c r="F1392" s="27">
        <f>F1390-F1391</f>
        <v/>
      </c>
      <c r="G1392" s="22" t="n"/>
    </row>
    <row r="1393">
      <c r="A1393" s="29" t="inlineStr">
        <is>
          <t>SAY (Rs.) - final DAR rate as printed (fixed value, not computed)</t>
        </is>
      </c>
      <c r="B1393" s="30" t="n"/>
      <c r="C1393" s="30" t="n"/>
      <c r="D1393" s="30" t="n"/>
      <c r="E1393" s="30" t="n"/>
      <c r="F1393" s="31" t="n">
        <v>33.2</v>
      </c>
      <c r="G1393" s="30" t="n"/>
    </row>
    <row r="1395" ht="18.5" customHeight="1">
      <c r="A1395" s="8" t="inlineStr">
        <is>
          <t>9.44</t>
        </is>
      </c>
      <c r="B1395" s="17" t="inlineStr">
        <is>
          <t>Extra for using veneered particle board conforming to IS 3097 Grade I, in item of pelmet 18mm thick 150mm wide.</t>
        </is>
      </c>
      <c r="C1395" s="9" t="n"/>
      <c r="D1395" s="9" t="n"/>
      <c r="E1395" s="9" t="n"/>
      <c r="F1395" s="9" t="n"/>
      <c r="G1395" s="9" t="n"/>
    </row>
    <row r="1396" ht="18.5" customHeight="1">
      <c r="A1396" s="18" t="inlineStr">
        <is>
          <t>9.44.2</t>
        </is>
      </c>
      <c r="B1396" s="19" t="inlineStr">
        <is>
          <t>Particle board with decorative veneering on both sides</t>
        </is>
      </c>
      <c r="C1396" s="20" t="n"/>
      <c r="D1396" s="20" t="n"/>
      <c r="E1396" s="20" t="n"/>
      <c r="F1396" s="20" t="n"/>
      <c r="G1396" s="20" t="n"/>
    </row>
    <row r="1397">
      <c r="A1397" s="21" t="inlineStr">
        <is>
          <t>Details of cost for 2 m   |   Source: CivilDAR_2019_Vol_1.pdf, page 492</t>
        </is>
      </c>
    </row>
    <row r="1398">
      <c r="A1398" s="5" t="inlineStr">
        <is>
          <t>Code</t>
        </is>
      </c>
      <c r="B1398" s="5" t="inlineStr">
        <is>
          <t>Description</t>
        </is>
      </c>
      <c r="C1398" s="5" t="inlineStr">
        <is>
          <t>Unit</t>
        </is>
      </c>
      <c r="D1398" s="5" t="inlineStr">
        <is>
          <t>Quantity</t>
        </is>
      </c>
      <c r="E1398" s="5" t="inlineStr">
        <is>
          <t>Rate (Rs.)</t>
        </is>
      </c>
      <c r="F1398" s="5" t="inlineStr">
        <is>
          <t>Amount (Rs.)</t>
        </is>
      </c>
      <c r="G1398" s="5" t="inlineStr">
        <is>
          <t>Note</t>
        </is>
      </c>
    </row>
    <row r="1399">
      <c r="A1399" s="22" t="inlineStr">
        <is>
          <t>0348</t>
        </is>
      </c>
      <c r="B1399" s="11" t="inlineStr">
        <is>
          <t>Extra for veneered particle board with Teak veneering on both sides</t>
        </is>
      </c>
      <c r="C1399" s="22" t="inlineStr">
        <is>
          <t>sqm</t>
        </is>
      </c>
      <c r="D1399" s="23" t="n">
        <v>0.32</v>
      </c>
      <c r="E1399" s="24" t="n">
        <v>500</v>
      </c>
      <c r="F1399" s="24">
        <f>D1399*E1399</f>
        <v/>
      </c>
      <c r="G1399" s="22" t="n"/>
    </row>
    <row r="1400">
      <c r="A1400" s="8" t="inlineStr">
        <is>
          <t>Calculated W - SUM of the Amount column above</t>
        </is>
      </c>
      <c r="B1400" s="9" t="n"/>
      <c r="C1400" s="9" t="n"/>
      <c r="D1400" s="9" t="n"/>
      <c r="E1400" s="9" t="n"/>
      <c r="F1400" s="25">
        <f>SUM(F1399:F1399)</f>
        <v/>
      </c>
      <c r="G1400" s="9" t="n"/>
    </row>
    <row r="1401">
      <c r="A1401" s="26" t="inlineStr">
        <is>
          <t>W as printed in the DAR</t>
        </is>
      </c>
      <c r="B1401" s="22" t="n"/>
      <c r="C1401" s="22" t="n"/>
      <c r="D1401" s="22" t="n"/>
      <c r="E1401" s="22" t="n"/>
      <c r="F1401" s="27" t="n">
        <v>160</v>
      </c>
      <c r="G1401" s="22" t="n"/>
    </row>
    <row r="1402">
      <c r="A1402" s="26" t="inlineStr">
        <is>
          <t>Difference (calculated - printed)</t>
        </is>
      </c>
      <c r="B1402" s="22" t="n"/>
      <c r="C1402" s="22" t="n"/>
      <c r="D1402" s="22" t="n"/>
      <c r="E1402" s="22" t="n"/>
      <c r="F1402" s="27">
        <f>F1400-F1401</f>
        <v/>
      </c>
      <c r="G1402" s="22" t="n"/>
    </row>
    <row r="1403">
      <c r="A1403" s="29" t="inlineStr">
        <is>
          <t>SAY (Rs.) - final DAR rate as printed (fixed value, not computed)</t>
        </is>
      </c>
      <c r="B1403" s="30" t="n"/>
      <c r="C1403" s="30" t="n"/>
      <c r="D1403" s="30" t="n"/>
      <c r="E1403" s="30" t="n"/>
      <c r="F1403" s="31" t="n">
        <v>107.05</v>
      </c>
      <c r="G1403" s="30" t="n"/>
    </row>
    <row r="1405" ht="18.5" customHeight="1">
      <c r="A1405" s="18" t="inlineStr">
        <is>
          <t>9.45</t>
        </is>
      </c>
      <c r="B1405" s="19" t="inlineStr">
        <is>
          <t>Providing and fixing teak wood lipping of size 25x3 mm in pelmet.</t>
        </is>
      </c>
      <c r="C1405" s="20" t="n"/>
      <c r="D1405" s="20" t="n"/>
      <c r="E1405" s="20" t="n"/>
      <c r="F1405" s="20" t="n"/>
      <c r="G1405" s="20" t="n"/>
    </row>
    <row r="1406">
      <c r="A1406" s="21" t="inlineStr">
        <is>
          <t>Details of cost for 10 metre   |   Source: CivilDAR_2019_Vol_1.pdf, page 492</t>
        </is>
      </c>
    </row>
    <row r="1407">
      <c r="A1407" s="5" t="inlineStr">
        <is>
          <t>Code</t>
        </is>
      </c>
      <c r="B1407" s="5" t="inlineStr">
        <is>
          <t>Description</t>
        </is>
      </c>
      <c r="C1407" s="5" t="inlineStr">
        <is>
          <t>Unit</t>
        </is>
      </c>
      <c r="D1407" s="5" t="inlineStr">
        <is>
          <t>Quantity</t>
        </is>
      </c>
      <c r="E1407" s="5" t="inlineStr">
        <is>
          <t>Rate (Rs.)</t>
        </is>
      </c>
      <c r="F1407" s="5" t="inlineStr">
        <is>
          <t>Amount (Rs.)</t>
        </is>
      </c>
      <c r="G1407" s="5" t="inlineStr">
        <is>
          <t>Note</t>
        </is>
      </c>
    </row>
    <row r="1408">
      <c r="A1408" s="22" t="inlineStr">
        <is>
          <t>7049</t>
        </is>
      </c>
      <c r="B1408" s="11" t="inlineStr">
        <is>
          <t>Teak wood lipping of size 25x3 mm in pelmets</t>
        </is>
      </c>
      <c r="C1408" s="22" t="inlineStr">
        <is>
          <t>metre</t>
        </is>
      </c>
      <c r="D1408" s="23" t="n">
        <v>10</v>
      </c>
      <c r="E1408" s="24" t="n">
        <v>14</v>
      </c>
      <c r="F1408" s="24">
        <f>D1408*E1408</f>
        <v/>
      </c>
      <c r="G1408" s="22" t="n"/>
    </row>
    <row r="1409">
      <c r="A1409" s="22" t="inlineStr">
        <is>
          <t>0112</t>
        </is>
      </c>
      <c r="B1409" s="11" t="inlineStr">
        <is>
          <t>Carpenter 2nd class</t>
        </is>
      </c>
      <c r="C1409" s="22" t="inlineStr">
        <is>
          <t>day</t>
        </is>
      </c>
      <c r="D1409" s="23" t="n">
        <v>0.25</v>
      </c>
      <c r="E1409" s="24" t="n">
        <v>679</v>
      </c>
      <c r="F1409" s="24">
        <f>D1409*E1409</f>
        <v/>
      </c>
      <c r="G1409" s="22" t="n"/>
    </row>
    <row r="1410">
      <c r="A1410" s="22" t="inlineStr">
        <is>
          <t>0114</t>
        </is>
      </c>
      <c r="B1410" s="11" t="inlineStr">
        <is>
          <t>Beldar</t>
        </is>
      </c>
      <c r="C1410" s="22" t="inlineStr">
        <is>
          <t>day</t>
        </is>
      </c>
      <c r="D1410" s="23" t="n">
        <v>0.25</v>
      </c>
      <c r="E1410" s="24" t="n">
        <v>558</v>
      </c>
      <c r="F1410" s="24">
        <f>D1410*E1410</f>
        <v/>
      </c>
      <c r="G1410" s="22" t="n"/>
    </row>
    <row r="1411">
      <c r="A1411" s="8" t="inlineStr">
        <is>
          <t>Calculated W - SUM of the Amount column above</t>
        </is>
      </c>
      <c r="B1411" s="9" t="n"/>
      <c r="C1411" s="9" t="n"/>
      <c r="D1411" s="9" t="n"/>
      <c r="E1411" s="9" t="n"/>
      <c r="F1411" s="25">
        <f>SUM(F1408:F1410)</f>
        <v/>
      </c>
      <c r="G1411" s="9" t="n"/>
    </row>
    <row r="1412">
      <c r="A1412" s="26" t="inlineStr">
        <is>
          <t>W as printed in the DAR</t>
        </is>
      </c>
      <c r="B1412" s="22" t="n"/>
      <c r="C1412" s="22" t="n"/>
      <c r="D1412" s="22" t="n"/>
      <c r="E1412" s="22" t="n"/>
      <c r="F1412" s="27" t="n">
        <v>449.25</v>
      </c>
      <c r="G1412" s="22" t="n"/>
    </row>
    <row r="1413">
      <c r="A1413" s="26" t="inlineStr">
        <is>
          <t>Difference (calculated - printed)</t>
        </is>
      </c>
      <c r="B1413" s="22" t="n"/>
      <c r="C1413" s="22" t="n"/>
      <c r="D1413" s="22" t="n"/>
      <c r="E1413" s="22" t="n"/>
      <c r="F1413" s="27">
        <f>F1411-F1412</f>
        <v/>
      </c>
      <c r="G1413" s="22" t="n"/>
    </row>
    <row r="1414">
      <c r="A1414" s="29" t="inlineStr">
        <is>
          <t>SAY (Rs.) - final DAR rate as printed (fixed value, not computed)</t>
        </is>
      </c>
      <c r="B1414" s="30" t="n"/>
      <c r="C1414" s="30" t="n"/>
      <c r="D1414" s="30" t="n"/>
      <c r="E1414" s="30" t="n"/>
      <c r="F1414" s="31" t="n">
        <v>60.1</v>
      </c>
      <c r="G1414" s="30" t="n"/>
    </row>
    <row r="1416" ht="18.5" customHeight="1">
      <c r="A1416" s="8" t="inlineStr">
        <is>
          <t>9.46</t>
        </is>
      </c>
      <c r="B1416" s="17" t="inlineStr">
        <is>
          <t>Providing and fixing chromium plated brass curtain rod having wall thickness of</t>
        </is>
      </c>
      <c r="C1416" s="9" t="n"/>
      <c r="D1416" s="9" t="n"/>
      <c r="E1416" s="9" t="n"/>
      <c r="F1416" s="9" t="n"/>
      <c r="G1416" s="9" t="n"/>
    </row>
    <row r="1417" ht="18.5" customHeight="1">
      <c r="A1417" s="18" t="inlineStr">
        <is>
          <t>9.46.1</t>
        </is>
      </c>
      <c r="B1417" s="19" t="inlineStr">
        <is>
          <t>12 mm dia</t>
        </is>
      </c>
      <c r="C1417" s="20" t="n"/>
      <c r="D1417" s="20" t="n"/>
      <c r="E1417" s="20" t="n"/>
      <c r="F1417" s="20" t="n"/>
      <c r="G1417" s="20" t="n"/>
    </row>
    <row r="1418">
      <c r="A1418" s="21" t="inlineStr">
        <is>
          <t>Details of cost for 2 metre   |   Source: CivilDAR_2019_Vol_1.pdf, page 493</t>
        </is>
      </c>
    </row>
    <row r="1419">
      <c r="A1419" s="5" t="inlineStr">
        <is>
          <t>Code</t>
        </is>
      </c>
      <c r="B1419" s="5" t="inlineStr">
        <is>
          <t>Description</t>
        </is>
      </c>
      <c r="C1419" s="5" t="inlineStr">
        <is>
          <t>Unit</t>
        </is>
      </c>
      <c r="D1419" s="5" t="inlineStr">
        <is>
          <t>Quantity</t>
        </is>
      </c>
      <c r="E1419" s="5" t="inlineStr">
        <is>
          <t>Rate (Rs.)</t>
        </is>
      </c>
      <c r="F1419" s="5" t="inlineStr">
        <is>
          <t>Amount (Rs.)</t>
        </is>
      </c>
      <c r="G1419" s="5" t="inlineStr">
        <is>
          <t>Note</t>
        </is>
      </c>
    </row>
    <row r="1420">
      <c r="A1420" s="22" t="inlineStr">
        <is>
          <t>0590</t>
        </is>
      </c>
      <c r="B1420" s="11" t="inlineStr">
        <is>
          <t>Chromium plated Brass curtain rod 12 mm dia 1.25mm thick</t>
        </is>
      </c>
      <c r="C1420" s="22" t="inlineStr">
        <is>
          <t>metre</t>
        </is>
      </c>
      <c r="D1420" s="23" t="n">
        <v>2</v>
      </c>
      <c r="E1420" s="24" t="n">
        <v>185</v>
      </c>
      <c r="F1420" s="24">
        <f>D1420*E1420</f>
        <v/>
      </c>
      <c r="G1420" s="22" t="n"/>
    </row>
    <row r="1421">
      <c r="A1421" s="22" t="inlineStr">
        <is>
          <t>7023</t>
        </is>
      </c>
      <c r="B1421" s="11" t="inlineStr">
        <is>
          <t>Chromium plated brackets ( curtain rods)</t>
        </is>
      </c>
      <c r="C1421" s="22" t="inlineStr">
        <is>
          <t>each</t>
        </is>
      </c>
      <c r="D1421" s="23" t="n">
        <v>2</v>
      </c>
      <c r="E1421" s="24" t="n">
        <v>7</v>
      </c>
      <c r="F1421" s="24">
        <f>D1421*E1421</f>
        <v/>
      </c>
      <c r="G1421" s="22" t="n"/>
    </row>
    <row r="1422">
      <c r="A1422" s="22" t="inlineStr">
        <is>
          <t>9999</t>
        </is>
      </c>
      <c r="B1422" s="11" t="inlineStr">
        <is>
          <t>C.P. brass screws</t>
        </is>
      </c>
      <c r="C1422" s="22" t="inlineStr">
        <is>
          <t>L.S.</t>
        </is>
      </c>
      <c r="D1422" s="23" t="n">
        <v>4.03</v>
      </c>
      <c r="E1422" s="24" t="n">
        <v>2</v>
      </c>
      <c r="F1422" s="24">
        <f>D1422*E1422</f>
        <v/>
      </c>
      <c r="G1422" s="22" t="n"/>
    </row>
    <row r="1423">
      <c r="A1423" s="22" t="inlineStr">
        <is>
          <t>9977</t>
        </is>
      </c>
      <c r="B1423" s="11" t="inlineStr">
        <is>
          <t>CARRIAGE</t>
        </is>
      </c>
      <c r="C1423" s="22" t="inlineStr">
        <is>
          <t>L.S.</t>
        </is>
      </c>
      <c r="D1423" s="23" t="n">
        <v>1.56</v>
      </c>
      <c r="E1423" s="24" t="n">
        <v>2</v>
      </c>
      <c r="F1423" s="24">
        <f>D1423*E1423</f>
        <v/>
      </c>
      <c r="G1423" s="22" t="n"/>
    </row>
    <row r="1424">
      <c r="A1424" s="22" t="inlineStr">
        <is>
          <t>0458</t>
        </is>
      </c>
      <c r="B1424" s="11" t="inlineStr">
        <is>
          <t>PVC cleeves for screws</t>
        </is>
      </c>
      <c r="C1424" s="22" t="inlineStr">
        <is>
          <t>each</t>
        </is>
      </c>
      <c r="D1424" s="23" t="n">
        <v>2</v>
      </c>
      <c r="E1424" s="24" t="n">
        <v>2</v>
      </c>
      <c r="F1424" s="24">
        <f>D1424*E1424</f>
        <v/>
      </c>
      <c r="G1424" s="22" t="n"/>
    </row>
    <row r="1425">
      <c r="A1425" s="22" t="inlineStr">
        <is>
          <t>9999</t>
        </is>
      </c>
      <c r="B1425" s="11" t="inlineStr">
        <is>
          <t>LABOUR</t>
        </is>
      </c>
      <c r="C1425" s="22" t="inlineStr">
        <is>
          <t>L.S.</t>
        </is>
      </c>
      <c r="D1425" s="23" t="n">
        <v>2.73</v>
      </c>
      <c r="E1425" s="24" t="n">
        <v>2</v>
      </c>
      <c r="F1425" s="24">
        <f>D1425*E1425</f>
        <v/>
      </c>
      <c r="G1425" s="22" t="n"/>
    </row>
    <row r="1426">
      <c r="A1426" s="22" t="inlineStr">
        <is>
          <t>9999</t>
        </is>
      </c>
      <c r="B1426" s="11" t="inlineStr">
        <is>
          <t>Sundries</t>
        </is>
      </c>
      <c r="C1426" s="22" t="inlineStr">
        <is>
          <t>L.S.</t>
        </is>
      </c>
      <c r="D1426" s="23" t="n">
        <v>1.56</v>
      </c>
      <c r="E1426" s="24" t="n">
        <v>2</v>
      </c>
      <c r="F1426" s="24">
        <f>D1426*E1426</f>
        <v/>
      </c>
      <c r="G1426" s="22" t="n"/>
    </row>
    <row r="1427">
      <c r="A1427" s="8" t="inlineStr">
        <is>
          <t>Calculated W - SUM of the Amount column above</t>
        </is>
      </c>
      <c r="B1427" s="9" t="n"/>
      <c r="C1427" s="9" t="n"/>
      <c r="D1427" s="9" t="n"/>
      <c r="E1427" s="9" t="n"/>
      <c r="F1427" s="25">
        <f>SUM(F1420:F1426)</f>
        <v/>
      </c>
      <c r="G1427" s="9" t="n"/>
    </row>
    <row r="1428">
      <c r="A1428" s="26" t="inlineStr">
        <is>
          <t>W as printed in the DAR</t>
        </is>
      </c>
      <c r="B1428" s="22" t="n"/>
      <c r="C1428" s="22" t="n"/>
      <c r="D1428" s="22" t="n"/>
      <c r="E1428" s="22" t="n"/>
      <c r="F1428" s="27" t="n">
        <v>407.76</v>
      </c>
      <c r="G1428" s="22" t="n"/>
    </row>
    <row r="1429">
      <c r="A1429" s="26" t="inlineStr">
        <is>
          <t>Difference (calculated - printed)</t>
        </is>
      </c>
      <c r="B1429" s="22" t="n"/>
      <c r="C1429" s="22" t="n"/>
      <c r="D1429" s="22" t="n"/>
      <c r="E1429" s="22" t="n"/>
      <c r="F1429" s="27">
        <f>F1427-F1428</f>
        <v/>
      </c>
      <c r="G1429" s="22" t="n"/>
    </row>
    <row r="1430">
      <c r="A1430" s="29" t="inlineStr">
        <is>
          <t>SAY (Rs.) - final DAR rate as printed (fixed value, not computed)</t>
        </is>
      </c>
      <c r="B1430" s="30" t="n"/>
      <c r="C1430" s="30" t="n"/>
      <c r="D1430" s="30" t="n"/>
      <c r="E1430" s="30" t="n"/>
      <c r="F1430" s="31" t="n">
        <v>272.8</v>
      </c>
      <c r="G1430" s="30" t="n"/>
    </row>
    <row r="1432" ht="18.5" customHeight="1">
      <c r="A1432" s="8" t="inlineStr">
        <is>
          <t>9.46</t>
        </is>
      </c>
      <c r="B1432" s="17" t="inlineStr">
        <is>
          <t>Providing and fixing chromium plated brass curtain rod having wall thickness of</t>
        </is>
      </c>
      <c r="C1432" s="9" t="n"/>
      <c r="D1432" s="9" t="n"/>
      <c r="E1432" s="9" t="n"/>
      <c r="F1432" s="9" t="n"/>
      <c r="G1432" s="9" t="n"/>
    </row>
    <row r="1433" ht="18.5" customHeight="1">
      <c r="A1433" s="18" t="inlineStr">
        <is>
          <t>9.46.2</t>
        </is>
      </c>
      <c r="B1433" s="19" t="inlineStr">
        <is>
          <t>20 mm dia</t>
        </is>
      </c>
      <c r="C1433" s="20" t="n"/>
      <c r="D1433" s="20" t="n"/>
      <c r="E1433" s="20" t="n"/>
      <c r="F1433" s="20" t="n"/>
      <c r="G1433" s="20" t="n"/>
    </row>
    <row r="1434">
      <c r="A1434" s="21" t="inlineStr">
        <is>
          <t>Details of cost for 2 metre   |   Source: CivilDAR_2019_Vol_1.pdf, page 493</t>
        </is>
      </c>
    </row>
    <row r="1435">
      <c r="A1435" s="5" t="inlineStr">
        <is>
          <t>Code</t>
        </is>
      </c>
      <c r="B1435" s="5" t="inlineStr">
        <is>
          <t>Description</t>
        </is>
      </c>
      <c r="C1435" s="5" t="inlineStr">
        <is>
          <t>Unit</t>
        </is>
      </c>
      <c r="D1435" s="5" t="inlineStr">
        <is>
          <t>Quantity</t>
        </is>
      </c>
      <c r="E1435" s="5" t="inlineStr">
        <is>
          <t>Rate (Rs.)</t>
        </is>
      </c>
      <c r="F1435" s="5" t="inlineStr">
        <is>
          <t>Amount (Rs.)</t>
        </is>
      </c>
      <c r="G1435" s="5" t="inlineStr">
        <is>
          <t>Note</t>
        </is>
      </c>
    </row>
    <row r="1436">
      <c r="A1436" s="22" t="inlineStr">
        <is>
          <t>0591</t>
        </is>
      </c>
      <c r="B1436" s="11" t="inlineStr">
        <is>
          <t>Chromium plated Brass curtain rod 20 mm dia 1.25mm thick</t>
        </is>
      </c>
      <c r="C1436" s="22" t="inlineStr">
        <is>
          <t>metre</t>
        </is>
      </c>
      <c r="D1436" s="23" t="n">
        <v>2</v>
      </c>
      <c r="E1436" s="24" t="n">
        <v>260</v>
      </c>
      <c r="F1436" s="24">
        <f>D1436*E1436</f>
        <v/>
      </c>
      <c r="G1436" s="22" t="n"/>
    </row>
    <row r="1437">
      <c r="A1437" s="22" t="inlineStr">
        <is>
          <t>7023</t>
        </is>
      </c>
      <c r="B1437" s="11" t="inlineStr">
        <is>
          <t>Chromium plated brackets ( curtain rods)</t>
        </is>
      </c>
      <c r="C1437" s="22" t="inlineStr">
        <is>
          <t>each</t>
        </is>
      </c>
      <c r="D1437" s="23" t="n">
        <v>2</v>
      </c>
      <c r="E1437" s="24" t="n">
        <v>7</v>
      </c>
      <c r="F1437" s="24">
        <f>D1437*E1437</f>
        <v/>
      </c>
      <c r="G1437" s="22" t="n"/>
    </row>
    <row r="1438">
      <c r="A1438" s="22" t="inlineStr">
        <is>
          <t>9999</t>
        </is>
      </c>
      <c r="B1438" s="11" t="inlineStr">
        <is>
          <t>C.P. brass screws</t>
        </is>
      </c>
      <c r="C1438" s="22" t="inlineStr">
        <is>
          <t>L.S.</t>
        </is>
      </c>
      <c r="D1438" s="23" t="n">
        <v>4.03</v>
      </c>
      <c r="E1438" s="24" t="n">
        <v>2</v>
      </c>
      <c r="F1438" s="24">
        <f>D1438*E1438</f>
        <v/>
      </c>
      <c r="G1438" s="22" t="n"/>
    </row>
    <row r="1439">
      <c r="A1439" s="22" t="inlineStr">
        <is>
          <t>9977</t>
        </is>
      </c>
      <c r="B1439" s="11" t="inlineStr">
        <is>
          <t>CARRIAGE</t>
        </is>
      </c>
      <c r="C1439" s="22" t="inlineStr">
        <is>
          <t>L.S.</t>
        </is>
      </c>
      <c r="D1439" s="23" t="n">
        <v>1.56</v>
      </c>
      <c r="E1439" s="24" t="n">
        <v>2</v>
      </c>
      <c r="F1439" s="24">
        <f>D1439*E1439</f>
        <v/>
      </c>
      <c r="G1439" s="22" t="n"/>
    </row>
    <row r="1440">
      <c r="A1440" s="22" t="inlineStr">
        <is>
          <t>0458</t>
        </is>
      </c>
      <c r="B1440" s="11" t="inlineStr">
        <is>
          <t>PVC cleeves for screws</t>
        </is>
      </c>
      <c r="C1440" s="22" t="inlineStr">
        <is>
          <t>each</t>
        </is>
      </c>
      <c r="D1440" s="23" t="n">
        <v>2</v>
      </c>
      <c r="E1440" s="24" t="n">
        <v>2</v>
      </c>
      <c r="F1440" s="24">
        <f>D1440*E1440</f>
        <v/>
      </c>
      <c r="G1440" s="22" t="n"/>
    </row>
    <row r="1441">
      <c r="A1441" s="22" t="inlineStr">
        <is>
          <t>9999</t>
        </is>
      </c>
      <c r="B1441" s="11" t="inlineStr">
        <is>
          <t>LABOUR</t>
        </is>
      </c>
      <c r="C1441" s="22" t="inlineStr">
        <is>
          <t>L.S.</t>
        </is>
      </c>
      <c r="D1441" s="23" t="n">
        <v>2.73</v>
      </c>
      <c r="E1441" s="24" t="n">
        <v>2</v>
      </c>
      <c r="F1441" s="24">
        <f>D1441*E1441</f>
        <v/>
      </c>
      <c r="G1441" s="22" t="n"/>
    </row>
    <row r="1442">
      <c r="A1442" s="22" t="inlineStr">
        <is>
          <t>9999</t>
        </is>
      </c>
      <c r="B1442" s="11" t="inlineStr">
        <is>
          <t>Sundries</t>
        </is>
      </c>
      <c r="C1442" s="22" t="inlineStr">
        <is>
          <t>L.S.</t>
        </is>
      </c>
      <c r="D1442" s="23" t="n">
        <v>1.56</v>
      </c>
      <c r="E1442" s="24" t="n">
        <v>2</v>
      </c>
      <c r="F1442" s="24">
        <f>D1442*E1442</f>
        <v/>
      </c>
      <c r="G1442" s="22" t="n"/>
    </row>
    <row r="1443">
      <c r="A1443" s="8" t="inlineStr">
        <is>
          <t>Calculated W - SUM of the Amount column above</t>
        </is>
      </c>
      <c r="B1443" s="9" t="n"/>
      <c r="C1443" s="9" t="n"/>
      <c r="D1443" s="9" t="n"/>
      <c r="E1443" s="9" t="n"/>
      <c r="F1443" s="25">
        <f>SUM(F1436:F1442)</f>
        <v/>
      </c>
      <c r="G1443" s="9" t="n"/>
    </row>
    <row r="1444">
      <c r="A1444" s="26" t="inlineStr">
        <is>
          <t>W as printed in the DAR</t>
        </is>
      </c>
      <c r="B1444" s="22" t="n"/>
      <c r="C1444" s="22" t="n"/>
      <c r="D1444" s="22" t="n"/>
      <c r="E1444" s="22" t="n"/>
      <c r="F1444" s="27" t="n">
        <v>557.76</v>
      </c>
      <c r="G1444" s="22" t="n"/>
    </row>
    <row r="1445">
      <c r="A1445" s="26" t="inlineStr">
        <is>
          <t>Difference (calculated - printed)</t>
        </is>
      </c>
      <c r="B1445" s="22" t="n"/>
      <c r="C1445" s="22" t="n"/>
      <c r="D1445" s="22" t="n"/>
      <c r="E1445" s="22" t="n"/>
      <c r="F1445" s="27">
        <f>F1443-F1444</f>
        <v/>
      </c>
      <c r="G1445" s="22" t="n"/>
    </row>
    <row r="1446">
      <c r="A1446" s="29" t="inlineStr">
        <is>
          <t>SAY (Rs.) - final DAR rate as printed (fixed value, not computed)</t>
        </is>
      </c>
      <c r="B1446" s="30" t="n"/>
      <c r="C1446" s="30" t="n"/>
      <c r="D1446" s="30" t="n"/>
      <c r="E1446" s="30" t="n"/>
      <c r="F1446" s="31" t="n">
        <v>373.15</v>
      </c>
      <c r="G1446" s="30" t="n"/>
    </row>
    <row r="1448" ht="18.5" customHeight="1">
      <c r="A1448" s="8" t="inlineStr">
        <is>
          <t>9.46</t>
        </is>
      </c>
      <c r="B1448" s="17" t="inlineStr">
        <is>
          <t>Providing and fixing chromium plated brass curtain rod having wall thickness of</t>
        </is>
      </c>
      <c r="C1448" s="9" t="n"/>
      <c r="D1448" s="9" t="n"/>
      <c r="E1448" s="9" t="n"/>
      <c r="F1448" s="9" t="n"/>
      <c r="G1448" s="9" t="n"/>
    </row>
    <row r="1449" ht="18.5" customHeight="1">
      <c r="A1449" s="18" t="inlineStr">
        <is>
          <t>9.46.3</t>
        </is>
      </c>
      <c r="B1449" s="19" t="inlineStr">
        <is>
          <t>25 mm dia</t>
        </is>
      </c>
      <c r="C1449" s="20" t="n"/>
      <c r="D1449" s="20" t="n"/>
      <c r="E1449" s="20" t="n"/>
      <c r="F1449" s="20" t="n"/>
      <c r="G1449" s="20" t="n"/>
    </row>
    <row r="1450">
      <c r="A1450" s="21" t="inlineStr">
        <is>
          <t>Details of cost for 2 metre   |   Source: CivilDAR_2019_Vol_1.pdf, page 494</t>
        </is>
      </c>
    </row>
    <row r="1451">
      <c r="A1451" s="5" t="inlineStr">
        <is>
          <t>Code</t>
        </is>
      </c>
      <c r="B1451" s="5" t="inlineStr">
        <is>
          <t>Description</t>
        </is>
      </c>
      <c r="C1451" s="5" t="inlineStr">
        <is>
          <t>Unit</t>
        </is>
      </c>
      <c r="D1451" s="5" t="inlineStr">
        <is>
          <t>Quantity</t>
        </is>
      </c>
      <c r="E1451" s="5" t="inlineStr">
        <is>
          <t>Rate (Rs.)</t>
        </is>
      </c>
      <c r="F1451" s="5" t="inlineStr">
        <is>
          <t>Amount (Rs.)</t>
        </is>
      </c>
      <c r="G1451" s="5" t="inlineStr">
        <is>
          <t>Note</t>
        </is>
      </c>
    </row>
    <row r="1452">
      <c r="A1452" s="22" t="inlineStr">
        <is>
          <t>0592</t>
        </is>
      </c>
      <c r="B1452" s="11" t="inlineStr">
        <is>
          <t>Chromium plated Brass curtain rod 25 mm dia 1.25mm thick</t>
        </is>
      </c>
      <c r="C1452" s="22" t="inlineStr">
        <is>
          <t>metre</t>
        </is>
      </c>
      <c r="D1452" s="23" t="n">
        <v>2</v>
      </c>
      <c r="E1452" s="24" t="n">
        <v>340</v>
      </c>
      <c r="F1452" s="24">
        <f>D1452*E1452</f>
        <v/>
      </c>
      <c r="G1452" s="22" t="n"/>
    </row>
    <row r="1453">
      <c r="A1453" s="22" t="inlineStr">
        <is>
          <t>7023</t>
        </is>
      </c>
      <c r="B1453" s="11" t="inlineStr">
        <is>
          <t>Chromium plated brackets ( curtain rods)</t>
        </is>
      </c>
      <c r="C1453" s="22" t="inlineStr">
        <is>
          <t>each</t>
        </is>
      </c>
      <c r="D1453" s="23" t="n">
        <v>2</v>
      </c>
      <c r="E1453" s="24" t="n">
        <v>7</v>
      </c>
      <c r="F1453" s="24">
        <f>D1453*E1453</f>
        <v/>
      </c>
      <c r="G1453" s="22" t="n"/>
    </row>
    <row r="1454">
      <c r="A1454" s="22" t="inlineStr">
        <is>
          <t>9999</t>
        </is>
      </c>
      <c r="B1454" s="11" t="inlineStr">
        <is>
          <t>C.P. brass screws</t>
        </is>
      </c>
      <c r="C1454" s="22" t="inlineStr">
        <is>
          <t>L.S.</t>
        </is>
      </c>
      <c r="D1454" s="23" t="n">
        <v>4.03</v>
      </c>
      <c r="E1454" s="24" t="n">
        <v>2</v>
      </c>
      <c r="F1454" s="24">
        <f>D1454*E1454</f>
        <v/>
      </c>
      <c r="G1454" s="22" t="n"/>
    </row>
    <row r="1455">
      <c r="A1455" s="22" t="inlineStr">
        <is>
          <t>9977</t>
        </is>
      </c>
      <c r="B1455" s="11" t="inlineStr">
        <is>
          <t>CARRIAGE</t>
        </is>
      </c>
      <c r="C1455" s="22" t="inlineStr">
        <is>
          <t>L.S.</t>
        </is>
      </c>
      <c r="D1455" s="23" t="n">
        <v>1.56</v>
      </c>
      <c r="E1455" s="24" t="n">
        <v>2</v>
      </c>
      <c r="F1455" s="24">
        <f>D1455*E1455</f>
        <v/>
      </c>
      <c r="G1455" s="22" t="n"/>
    </row>
    <row r="1456">
      <c r="A1456" s="22" t="inlineStr">
        <is>
          <t>0458</t>
        </is>
      </c>
      <c r="B1456" s="11" t="inlineStr">
        <is>
          <t>PVC cleeves for screws</t>
        </is>
      </c>
      <c r="C1456" s="22" t="inlineStr">
        <is>
          <t>each</t>
        </is>
      </c>
      <c r="D1456" s="23" t="n">
        <v>2</v>
      </c>
      <c r="E1456" s="24" t="n">
        <v>2</v>
      </c>
      <c r="F1456" s="24">
        <f>D1456*E1456</f>
        <v/>
      </c>
      <c r="G1456" s="22" t="n"/>
    </row>
    <row r="1457">
      <c r="A1457" s="22" t="inlineStr">
        <is>
          <t>9999</t>
        </is>
      </c>
      <c r="B1457" s="11" t="inlineStr">
        <is>
          <t>LABOUR</t>
        </is>
      </c>
      <c r="C1457" s="22" t="inlineStr">
        <is>
          <t>L.S.</t>
        </is>
      </c>
      <c r="D1457" s="23" t="n">
        <v>2.73</v>
      </c>
      <c r="E1457" s="24" t="n">
        <v>2</v>
      </c>
      <c r="F1457" s="24">
        <f>D1457*E1457</f>
        <v/>
      </c>
      <c r="G1457" s="22" t="n"/>
    </row>
    <row r="1458">
      <c r="A1458" s="22" t="inlineStr">
        <is>
          <t>9999</t>
        </is>
      </c>
      <c r="B1458" s="11" t="inlineStr">
        <is>
          <t>Sundries</t>
        </is>
      </c>
      <c r="C1458" s="22" t="inlineStr">
        <is>
          <t>L.S.</t>
        </is>
      </c>
      <c r="D1458" s="23" t="n">
        <v>1.56</v>
      </c>
      <c r="E1458" s="24" t="n">
        <v>2</v>
      </c>
      <c r="F1458" s="24">
        <f>D1458*E1458</f>
        <v/>
      </c>
      <c r="G1458" s="22" t="n"/>
    </row>
    <row r="1459">
      <c r="A1459" s="8" t="inlineStr">
        <is>
          <t>Calculated W - SUM of the Amount column above</t>
        </is>
      </c>
      <c r="B1459" s="9" t="n"/>
      <c r="C1459" s="9" t="n"/>
      <c r="D1459" s="9" t="n"/>
      <c r="E1459" s="9" t="n"/>
      <c r="F1459" s="25">
        <f>SUM(F1452:F1458)</f>
        <v/>
      </c>
      <c r="G1459" s="9" t="n"/>
    </row>
    <row r="1460">
      <c r="A1460" s="26" t="inlineStr">
        <is>
          <t>W as printed in the DAR</t>
        </is>
      </c>
      <c r="B1460" s="22" t="n"/>
      <c r="C1460" s="22" t="n"/>
      <c r="D1460" s="22" t="n"/>
      <c r="E1460" s="22" t="n"/>
      <c r="F1460" s="27" t="n">
        <v>717.76</v>
      </c>
      <c r="G1460" s="22" t="n"/>
    </row>
    <row r="1461">
      <c r="A1461" s="26" t="inlineStr">
        <is>
          <t>Difference (calculated - printed)</t>
        </is>
      </c>
      <c r="B1461" s="22" t="n"/>
      <c r="C1461" s="22" t="n"/>
      <c r="D1461" s="22" t="n"/>
      <c r="E1461" s="22" t="n"/>
      <c r="F1461" s="27">
        <f>F1459-F1460</f>
        <v/>
      </c>
      <c r="G1461" s="22" t="n"/>
    </row>
    <row r="1462">
      <c r="A1462" s="29" t="inlineStr">
        <is>
          <t>SAY (Rs.) - final DAR rate as printed (fixed value, not computed)</t>
        </is>
      </c>
      <c r="B1462" s="30" t="n"/>
      <c r="C1462" s="30" t="n"/>
      <c r="D1462" s="30" t="n"/>
      <c r="E1462" s="30" t="n"/>
      <c r="F1462" s="31" t="n">
        <v>480.15</v>
      </c>
      <c r="G1462" s="30" t="n"/>
    </row>
    <row r="1464" ht="18.5" customHeight="1">
      <c r="A1464" s="8" t="inlineStr">
        <is>
          <t>9.47</t>
        </is>
      </c>
      <c r="B1464" s="17" t="inlineStr">
        <is>
          <t>Providing and fixing nickel plated M.S. pipe curtain rods with nickel plated brackets :</t>
        </is>
      </c>
      <c r="C1464" s="9" t="n"/>
      <c r="D1464" s="9" t="n"/>
      <c r="E1464" s="9" t="n"/>
      <c r="F1464" s="9" t="n"/>
      <c r="G1464" s="9" t="n"/>
    </row>
    <row r="1465" ht="18.5" customHeight="1">
      <c r="A1465" s="18" t="inlineStr">
        <is>
          <t>9.47.1</t>
        </is>
      </c>
      <c r="B1465" s="19" t="inlineStr">
        <is>
          <t>20 mm dia (heavy type)</t>
        </is>
      </c>
      <c r="C1465" s="20" t="n"/>
      <c r="D1465" s="20" t="n"/>
      <c r="E1465" s="20" t="n"/>
      <c r="F1465" s="20" t="n"/>
      <c r="G1465" s="20" t="n"/>
    </row>
    <row r="1466">
      <c r="A1466" s="21" t="inlineStr">
        <is>
          <t>Details of cost for 2 metre   |   Source: CivilDAR_2019_Vol_1.pdf, page 495</t>
        </is>
      </c>
    </row>
    <row r="1467">
      <c r="A1467" s="5" t="inlineStr">
        <is>
          <t>Code</t>
        </is>
      </c>
      <c r="B1467" s="5" t="inlineStr">
        <is>
          <t>Description</t>
        </is>
      </c>
      <c r="C1467" s="5" t="inlineStr">
        <is>
          <t>Unit</t>
        </is>
      </c>
      <c r="D1467" s="5" t="inlineStr">
        <is>
          <t>Quantity</t>
        </is>
      </c>
      <c r="E1467" s="5" t="inlineStr">
        <is>
          <t>Rate (Rs.)</t>
        </is>
      </c>
      <c r="F1467" s="5" t="inlineStr">
        <is>
          <t>Amount (Rs.)</t>
        </is>
      </c>
      <c r="G1467" s="5" t="inlineStr">
        <is>
          <t>Note</t>
        </is>
      </c>
    </row>
    <row r="1468">
      <c r="A1468" s="22" t="inlineStr">
        <is>
          <t>7034</t>
        </is>
      </c>
      <c r="B1468" s="11" t="inlineStr">
        <is>
          <t>Nickle plated M.S. pipe 20 mm dia.</t>
        </is>
      </c>
      <c r="C1468" s="22" t="inlineStr">
        <is>
          <t>metre</t>
        </is>
      </c>
      <c r="D1468" s="23" t="n">
        <v>2</v>
      </c>
      <c r="E1468" s="24" t="n">
        <v>72</v>
      </c>
      <c r="F1468" s="24">
        <f>D1468*E1468</f>
        <v/>
      </c>
      <c r="G1468" s="22" t="n"/>
    </row>
    <row r="1469">
      <c r="A1469" s="22" t="inlineStr">
        <is>
          <t>7035</t>
        </is>
      </c>
      <c r="B1469" s="11" t="inlineStr">
        <is>
          <t>Nickle plated M.S. Brackets for curtain rod 20 mm</t>
        </is>
      </c>
      <c r="C1469" s="22" t="inlineStr">
        <is>
          <t>each</t>
        </is>
      </c>
      <c r="D1469" s="23" t="n">
        <v>2</v>
      </c>
      <c r="E1469" s="24" t="n">
        <v>7</v>
      </c>
      <c r="F1469" s="24">
        <f>D1469*E1469</f>
        <v/>
      </c>
      <c r="G1469" s="22" t="n"/>
    </row>
    <row r="1470">
      <c r="A1470" s="22" t="inlineStr">
        <is>
          <t>9999</t>
        </is>
      </c>
      <c r="B1470" s="11" t="inlineStr">
        <is>
          <t>Screws</t>
        </is>
      </c>
      <c r="C1470" s="22" t="inlineStr">
        <is>
          <t>L.S.</t>
        </is>
      </c>
      <c r="D1470" s="23" t="n">
        <v>4.03</v>
      </c>
      <c r="E1470" s="24" t="n">
        <v>2</v>
      </c>
      <c r="F1470" s="24">
        <f>D1470*E1470</f>
        <v/>
      </c>
      <c r="G1470" s="22" t="n"/>
    </row>
    <row r="1471">
      <c r="A1471" s="22" t="inlineStr">
        <is>
          <t>9999</t>
        </is>
      </c>
      <c r="B1471" s="11" t="inlineStr">
        <is>
          <t>CARRIAGE</t>
        </is>
      </c>
      <c r="C1471" s="22" t="inlineStr">
        <is>
          <t>L.S.</t>
        </is>
      </c>
      <c r="D1471" s="23" t="n">
        <v>1.56</v>
      </c>
      <c r="E1471" s="24" t="n">
        <v>2</v>
      </c>
      <c r="F1471" s="24">
        <f>D1471*E1471</f>
        <v/>
      </c>
      <c r="G1471" s="22" t="n"/>
    </row>
    <row r="1472">
      <c r="A1472" s="22" t="inlineStr">
        <is>
          <t>7048</t>
        </is>
      </c>
      <c r="B1472" s="11" t="inlineStr">
        <is>
          <t>Rawl plug 50 mm (designation 10 no.)</t>
        </is>
      </c>
      <c r="C1472" s="22" t="inlineStr">
        <is>
          <t>each</t>
        </is>
      </c>
      <c r="D1472" s="23" t="n">
        <v>2</v>
      </c>
      <c r="E1472" s="24" t="n">
        <v>25</v>
      </c>
      <c r="F1472" s="24">
        <f>D1472*E1472</f>
        <v/>
      </c>
      <c r="G1472" s="22" t="n"/>
    </row>
    <row r="1473">
      <c r="A1473" s="22" t="inlineStr">
        <is>
          <t>9999</t>
        </is>
      </c>
      <c r="B1473" s="11" t="inlineStr">
        <is>
          <t>Labour including fixing rawl plug</t>
        </is>
      </c>
      <c r="C1473" s="22" t="inlineStr">
        <is>
          <t>L.S.</t>
        </is>
      </c>
      <c r="D1473" s="23" t="n">
        <v>5.2</v>
      </c>
      <c r="E1473" s="24" t="n">
        <v>2</v>
      </c>
      <c r="F1473" s="24">
        <f>D1473*E1473</f>
        <v/>
      </c>
      <c r="G1473" s="22" t="n"/>
    </row>
    <row r="1474">
      <c r="A1474" s="22" t="inlineStr">
        <is>
          <t>9999</t>
        </is>
      </c>
      <c r="B1474" s="11" t="inlineStr">
        <is>
          <t>Sundries</t>
        </is>
      </c>
      <c r="C1474" s="22" t="inlineStr">
        <is>
          <t>L.S.</t>
        </is>
      </c>
      <c r="D1474" s="23" t="n">
        <v>1.56</v>
      </c>
      <c r="E1474" s="24" t="n">
        <v>2</v>
      </c>
      <c r="F1474" s="24">
        <f>D1474*E1474</f>
        <v/>
      </c>
      <c r="G1474" s="22" t="n"/>
    </row>
    <row r="1475">
      <c r="A1475" s="8" t="inlineStr">
        <is>
          <t>Calculated W - SUM of the Amount column above</t>
        </is>
      </c>
      <c r="B1475" s="9" t="n"/>
      <c r="C1475" s="9" t="n"/>
      <c r="D1475" s="9" t="n"/>
      <c r="E1475" s="9" t="n"/>
      <c r="F1475" s="25">
        <f>SUM(F1468:F1474)</f>
        <v/>
      </c>
      <c r="G1475" s="9" t="n"/>
    </row>
    <row r="1476">
      <c r="A1476" s="26" t="inlineStr">
        <is>
          <t>W as printed in the DAR</t>
        </is>
      </c>
      <c r="B1476" s="22" t="n"/>
      <c r="C1476" s="22" t="n"/>
      <c r="D1476" s="22" t="n"/>
      <c r="E1476" s="22" t="n"/>
      <c r="F1476" s="27" t="n">
        <v>232.7</v>
      </c>
      <c r="G1476" s="22" t="n"/>
    </row>
    <row r="1477">
      <c r="A1477" s="26" t="inlineStr">
        <is>
          <t>Difference (calculated - printed)</t>
        </is>
      </c>
      <c r="B1477" s="22" t="n"/>
      <c r="C1477" s="22" t="n"/>
      <c r="D1477" s="22" t="n"/>
      <c r="E1477" s="22" t="n"/>
      <c r="F1477" s="27">
        <f>F1475-F1476</f>
        <v/>
      </c>
      <c r="G1477" s="22" t="n"/>
    </row>
    <row r="1478">
      <c r="A1478" s="29" t="inlineStr">
        <is>
          <t>SAY (Rs.) - final DAR rate as printed (fixed value, not computed)</t>
        </is>
      </c>
      <c r="B1478" s="30" t="n"/>
      <c r="C1478" s="30" t="n"/>
      <c r="D1478" s="30" t="n"/>
      <c r="E1478" s="30" t="n"/>
      <c r="F1478" s="31" t="n">
        <v>155.65</v>
      </c>
      <c r="G1478" s="30" t="n"/>
    </row>
    <row r="1480" ht="18.5" customHeight="1">
      <c r="A1480" s="8" t="inlineStr">
        <is>
          <t>9.47</t>
        </is>
      </c>
      <c r="B1480" s="17" t="inlineStr">
        <is>
          <t>Providing and fixing nickel plated M.S. pipe curtain rods with nickel plated brackets :</t>
        </is>
      </c>
      <c r="C1480" s="9" t="n"/>
      <c r="D1480" s="9" t="n"/>
      <c r="E1480" s="9" t="n"/>
      <c r="F1480" s="9" t="n"/>
      <c r="G1480" s="9" t="n"/>
    </row>
    <row r="1481" ht="18.5" customHeight="1">
      <c r="A1481" s="18" t="inlineStr">
        <is>
          <t>9.47.2</t>
        </is>
      </c>
      <c r="B1481" s="19" t="inlineStr">
        <is>
          <t>25 mm dia (heavy type)</t>
        </is>
      </c>
      <c r="C1481" s="20" t="n"/>
      <c r="D1481" s="20" t="n"/>
      <c r="E1481" s="20" t="n"/>
      <c r="F1481" s="20" t="n"/>
      <c r="G1481" s="20" t="n"/>
    </row>
    <row r="1482">
      <c r="A1482" s="21" t="inlineStr">
        <is>
          <t>Details of cost for 2 metre   |   Source: CivilDAR_2019_Vol_1.pdf, page 495</t>
        </is>
      </c>
    </row>
    <row r="1483">
      <c r="A1483" s="5" t="inlineStr">
        <is>
          <t>Code</t>
        </is>
      </c>
      <c r="B1483" s="5" t="inlineStr">
        <is>
          <t>Description</t>
        </is>
      </c>
      <c r="C1483" s="5" t="inlineStr">
        <is>
          <t>Unit</t>
        </is>
      </c>
      <c r="D1483" s="5" t="inlineStr">
        <is>
          <t>Quantity</t>
        </is>
      </c>
      <c r="E1483" s="5" t="inlineStr">
        <is>
          <t>Rate (Rs.)</t>
        </is>
      </c>
      <c r="F1483" s="5" t="inlineStr">
        <is>
          <t>Amount (Rs.)</t>
        </is>
      </c>
      <c r="G1483" s="5" t="inlineStr">
        <is>
          <t>Note</t>
        </is>
      </c>
    </row>
    <row r="1484">
      <c r="A1484" s="22" t="inlineStr">
        <is>
          <t>7033</t>
        </is>
      </c>
      <c r="B1484" s="11" t="inlineStr">
        <is>
          <t>Nickel plated M.S. pipe 25mm dia</t>
        </is>
      </c>
      <c r="C1484" s="22" t="inlineStr">
        <is>
          <t>metre</t>
        </is>
      </c>
      <c r="D1484" s="23" t="n">
        <v>2</v>
      </c>
      <c r="E1484" s="24" t="n">
        <v>76</v>
      </c>
      <c r="F1484" s="24">
        <f>D1484*E1484</f>
        <v/>
      </c>
      <c r="G1484" s="22" t="n"/>
    </row>
    <row r="1485">
      <c r="A1485" s="22" t="inlineStr">
        <is>
          <t>7036</t>
        </is>
      </c>
      <c r="B1485" s="11" t="inlineStr">
        <is>
          <t>Nickle plated M.S. Brackets for curtain rod 25 mm</t>
        </is>
      </c>
      <c r="C1485" s="22" t="inlineStr">
        <is>
          <t>each</t>
        </is>
      </c>
      <c r="D1485" s="23" t="n">
        <v>2</v>
      </c>
      <c r="E1485" s="24" t="n">
        <v>8</v>
      </c>
      <c r="F1485" s="24">
        <f>D1485*E1485</f>
        <v/>
      </c>
      <c r="G1485" s="22" t="n"/>
    </row>
    <row r="1486">
      <c r="A1486" s="22" t="inlineStr">
        <is>
          <t>9999</t>
        </is>
      </c>
      <c r="B1486" s="11" t="inlineStr">
        <is>
          <t>Screws</t>
        </is>
      </c>
      <c r="C1486" s="22" t="inlineStr">
        <is>
          <t>L.S.</t>
        </is>
      </c>
      <c r="D1486" s="23" t="n">
        <v>4.03</v>
      </c>
      <c r="E1486" s="24" t="n">
        <v>2</v>
      </c>
      <c r="F1486" s="24">
        <f>D1486*E1486</f>
        <v/>
      </c>
      <c r="G1486" s="22" t="n"/>
    </row>
    <row r="1487">
      <c r="A1487" s="22" t="inlineStr">
        <is>
          <t>9999</t>
        </is>
      </c>
      <c r="B1487" s="11" t="inlineStr">
        <is>
          <t>CARRIAGE</t>
        </is>
      </c>
      <c r="C1487" s="22" t="inlineStr">
        <is>
          <t>L.S.</t>
        </is>
      </c>
      <c r="D1487" s="23" t="n">
        <v>1.56</v>
      </c>
      <c r="E1487" s="24" t="n">
        <v>2</v>
      </c>
      <c r="F1487" s="24">
        <f>D1487*E1487</f>
        <v/>
      </c>
      <c r="G1487" s="22" t="n"/>
    </row>
    <row r="1488">
      <c r="A1488" s="22" t="inlineStr">
        <is>
          <t>7048</t>
        </is>
      </c>
      <c r="B1488" s="11" t="inlineStr">
        <is>
          <t>Rawl plug 50 mm (designation 10 no.)</t>
        </is>
      </c>
      <c r="C1488" s="22" t="inlineStr">
        <is>
          <t>each</t>
        </is>
      </c>
      <c r="D1488" s="23" t="n">
        <v>2</v>
      </c>
      <c r="E1488" s="24" t="n">
        <v>25</v>
      </c>
      <c r="F1488" s="24">
        <f>D1488*E1488</f>
        <v/>
      </c>
      <c r="G1488" s="22" t="n"/>
    </row>
    <row r="1489">
      <c r="A1489" s="22" t="inlineStr">
        <is>
          <t>9999</t>
        </is>
      </c>
      <c r="B1489" s="11" t="inlineStr">
        <is>
          <t>Labour including fixing rawl plug</t>
        </is>
      </c>
      <c r="C1489" s="22" t="inlineStr">
        <is>
          <t>L.S.</t>
        </is>
      </c>
      <c r="D1489" s="23" t="n">
        <v>5.2</v>
      </c>
      <c r="E1489" s="24" t="n">
        <v>2</v>
      </c>
      <c r="F1489" s="24">
        <f>D1489*E1489</f>
        <v/>
      </c>
      <c r="G1489" s="22" t="n"/>
    </row>
    <row r="1490">
      <c r="A1490" s="22" t="inlineStr">
        <is>
          <t>9999</t>
        </is>
      </c>
      <c r="B1490" s="11" t="inlineStr">
        <is>
          <t>Sundries</t>
        </is>
      </c>
      <c r="C1490" s="22" t="inlineStr">
        <is>
          <t>L.S.</t>
        </is>
      </c>
      <c r="D1490" s="23" t="n">
        <v>1.56</v>
      </c>
      <c r="E1490" s="24" t="n">
        <v>2</v>
      </c>
      <c r="F1490" s="24">
        <f>D1490*E1490</f>
        <v/>
      </c>
      <c r="G1490" s="22" t="n"/>
    </row>
    <row r="1491">
      <c r="A1491" s="8" t="inlineStr">
        <is>
          <t>Calculated W - SUM of the Amount column above</t>
        </is>
      </c>
      <c r="B1491" s="9" t="n"/>
      <c r="C1491" s="9" t="n"/>
      <c r="D1491" s="9" t="n"/>
      <c r="E1491" s="9" t="n"/>
      <c r="F1491" s="25">
        <f>SUM(F1484:F1490)</f>
        <v/>
      </c>
      <c r="G1491" s="9" t="n"/>
    </row>
    <row r="1492">
      <c r="A1492" s="26" t="inlineStr">
        <is>
          <t>W as printed in the DAR</t>
        </is>
      </c>
      <c r="B1492" s="22" t="n"/>
      <c r="C1492" s="22" t="n"/>
      <c r="D1492" s="22" t="n"/>
      <c r="E1492" s="22" t="n"/>
      <c r="F1492" s="27" t="n">
        <v>242.7</v>
      </c>
      <c r="G1492" s="22" t="n"/>
    </row>
    <row r="1493">
      <c r="A1493" s="26" t="inlineStr">
        <is>
          <t>Difference (calculated - printed)</t>
        </is>
      </c>
      <c r="B1493" s="22" t="n"/>
      <c r="C1493" s="22" t="n"/>
      <c r="D1493" s="22" t="n"/>
      <c r="E1493" s="22" t="n"/>
      <c r="F1493" s="27">
        <f>F1491-F1492</f>
        <v/>
      </c>
      <c r="G1493" s="22" t="n"/>
    </row>
    <row r="1494">
      <c r="A1494" s="29" t="inlineStr">
        <is>
          <t>SAY (Rs.) - final DAR rate as printed (fixed value, not computed)</t>
        </is>
      </c>
      <c r="B1494" s="30" t="n"/>
      <c r="C1494" s="30" t="n"/>
      <c r="D1494" s="30" t="n"/>
      <c r="E1494" s="30" t="n"/>
      <c r="F1494" s="31" t="n">
        <v>162.35</v>
      </c>
      <c r="G1494" s="30" t="n"/>
    </row>
    <row r="1496" ht="33" customHeight="1">
      <c r="A1496" s="8" t="inlineStr">
        <is>
          <t>9.48</t>
        </is>
      </c>
      <c r="B1496" s="17" t="inlineStr">
        <is>
          <t>Providing and fixing M.S. grills of required pattern in frames of windows etc. with M.S. flats, square or round bars etc. including priming coat with approved steel primer all complete.</t>
        </is>
      </c>
      <c r="C1496" s="9" t="n"/>
      <c r="D1496" s="9" t="n"/>
      <c r="E1496" s="9" t="n"/>
      <c r="F1496" s="9" t="n"/>
      <c r="G1496" s="9" t="n"/>
    </row>
    <row r="1497" ht="18.5" customHeight="1">
      <c r="A1497" s="18" t="inlineStr">
        <is>
          <t>9.48.1</t>
        </is>
      </c>
      <c r="B1497" s="19" t="inlineStr">
        <is>
          <t>Fixed to steel windows by welding</t>
        </is>
      </c>
      <c r="C1497" s="20" t="n"/>
      <c r="D1497" s="20" t="n"/>
      <c r="E1497" s="20" t="n"/>
      <c r="F1497" s="20" t="n"/>
      <c r="G1497" s="20" t="n"/>
    </row>
    <row r="1498">
      <c r="A1498" s="21" t="inlineStr">
        <is>
          <t>Details of cost for 18.54 kg   |   Source: CivilDAR_2019_Vol_1.pdf, page 496</t>
        </is>
      </c>
    </row>
    <row r="1499">
      <c r="A1499" s="5" t="inlineStr">
        <is>
          <t>Code</t>
        </is>
      </c>
      <c r="B1499" s="5" t="inlineStr">
        <is>
          <t>Description</t>
        </is>
      </c>
      <c r="C1499" s="5" t="inlineStr">
        <is>
          <t>Unit</t>
        </is>
      </c>
      <c r="D1499" s="5" t="inlineStr">
        <is>
          <t>Quantity</t>
        </is>
      </c>
      <c r="E1499" s="5" t="inlineStr">
        <is>
          <t>Rate (Rs.)</t>
        </is>
      </c>
      <c r="F1499" s="5" t="inlineStr">
        <is>
          <t>Amount (Rs.)</t>
        </is>
      </c>
      <c r="G1499" s="5" t="inlineStr">
        <is>
          <t>Note</t>
        </is>
      </c>
    </row>
    <row r="1500">
      <c r="A1500" s="22" t="inlineStr">
        <is>
          <t>1003</t>
        </is>
      </c>
      <c r="B1500" s="11" t="inlineStr">
        <is>
          <t>Mild steel round bar above 12 mm dia</t>
        </is>
      </c>
      <c r="C1500" s="22" t="inlineStr">
        <is>
          <t>quintal</t>
        </is>
      </c>
      <c r="D1500" s="23" t="n">
        <v>0.165</v>
      </c>
      <c r="E1500" s="24" t="n">
        <v>4400</v>
      </c>
      <c r="F1500" s="24">
        <f>D1500*E1500</f>
        <v/>
      </c>
      <c r="G1500" s="22" t="n"/>
    </row>
    <row r="1501">
      <c r="A1501" s="22" t="inlineStr">
        <is>
          <t>1008</t>
        </is>
      </c>
      <c r="B1501" s="11" t="inlineStr">
        <is>
          <t>Flats upto 10 mm in thickness</t>
        </is>
      </c>
      <c r="C1501" s="22" t="inlineStr">
        <is>
          <t>quintal</t>
        </is>
      </c>
      <c r="D1501" s="23" t="n">
        <v>0.04</v>
      </c>
      <c r="E1501" s="24" t="n">
        <v>4500</v>
      </c>
      <c r="F1501" s="24">
        <f>D1501*E1501</f>
        <v/>
      </c>
      <c r="G1501" s="22" t="n"/>
    </row>
    <row r="1502">
      <c r="A1502" s="22" t="inlineStr">
        <is>
          <t>2205</t>
        </is>
      </c>
      <c r="B1502" s="11" t="inlineStr">
        <is>
          <t>Carriage of Steel</t>
        </is>
      </c>
      <c r="C1502" s="22" t="inlineStr">
        <is>
          <t>tonne</t>
        </is>
      </c>
      <c r="D1502" s="23" t="n">
        <v>0.02</v>
      </c>
      <c r="E1502" s="24" t="n">
        <v>92.23999999999999</v>
      </c>
      <c r="F1502" s="24">
        <f>D1502*E1502</f>
        <v/>
      </c>
      <c r="G1502" s="22" t="n"/>
    </row>
    <row r="1503">
      <c r="A1503" s="22" t="inlineStr">
        <is>
          <t>9999</t>
        </is>
      </c>
      <c r="B1503" s="11" t="inlineStr">
        <is>
          <t>Sundries</t>
        </is>
      </c>
      <c r="C1503" s="22" t="inlineStr">
        <is>
          <t>L.S.</t>
        </is>
      </c>
      <c r="D1503" s="23" t="n">
        <v>26.91</v>
      </c>
      <c r="E1503" s="24" t="n">
        <v>2</v>
      </c>
      <c r="F1503" s="24">
        <f>D1503*E1503</f>
        <v/>
      </c>
      <c r="G1503" s="22" t="n"/>
    </row>
    <row r="1504">
      <c r="A1504" s="22" t="inlineStr">
        <is>
          <t>9999</t>
        </is>
      </c>
      <c r="B1504" s="11" t="inlineStr">
        <is>
          <t>Welding charges</t>
        </is>
      </c>
      <c r="C1504" s="22" t="inlineStr">
        <is>
          <t>L.S.</t>
        </is>
      </c>
      <c r="D1504" s="23" t="n">
        <v>19.76</v>
      </c>
      <c r="E1504" s="24" t="n">
        <v>2</v>
      </c>
      <c r="F1504" s="24">
        <f>D1504*E1504</f>
        <v/>
      </c>
      <c r="G1504" s="22" t="n"/>
    </row>
    <row r="1505">
      <c r="A1505" s="22" t="inlineStr">
        <is>
          <t>13.50.3</t>
        </is>
      </c>
      <c r="B1505" s="11" t="inlineStr">
        <is>
          <t>Rate as per item 13.50.3 - Applying priming coat - With ready mixed red oxide zinc chromate primer of approved brand and manufacture o...</t>
        </is>
      </c>
      <c r="C1505" s="22" t="inlineStr">
        <is>
          <t>sqm</t>
        </is>
      </c>
      <c r="D1505" s="23" t="n">
        <v>1.08</v>
      </c>
      <c r="E1505" s="24" t="n">
        <v>50.7</v>
      </c>
      <c r="F1505" s="24">
        <f>D1505*E1505</f>
        <v/>
      </c>
      <c r="G1505" s="22" t="n"/>
    </row>
    <row r="1506">
      <c r="A1506" s="22" t="inlineStr">
        <is>
          <t>0102</t>
        </is>
      </c>
      <c r="B1506" s="11" t="inlineStr">
        <is>
          <t>Blacksmith 1st class</t>
        </is>
      </c>
      <c r="C1506" s="22" t="inlineStr">
        <is>
          <t>day</t>
        </is>
      </c>
      <c r="D1506" s="23" t="n">
        <v>0.86</v>
      </c>
      <c r="E1506" s="24" t="n">
        <v>738</v>
      </c>
      <c r="F1506" s="24">
        <f>D1506*E1506</f>
        <v/>
      </c>
      <c r="G1506" s="22" t="n"/>
    </row>
    <row r="1507">
      <c r="A1507" s="22" t="inlineStr">
        <is>
          <t>0114</t>
        </is>
      </c>
      <c r="B1507" s="11" t="inlineStr">
        <is>
          <t>Beldar</t>
        </is>
      </c>
      <c r="C1507" s="22" t="inlineStr">
        <is>
          <t>day</t>
        </is>
      </c>
      <c r="D1507" s="23" t="n">
        <v>1.1</v>
      </c>
      <c r="E1507" s="24" t="n">
        <v>558</v>
      </c>
      <c r="F1507" s="24">
        <f>D1507*E1507</f>
        <v/>
      </c>
      <c r="G1507" s="22" t="n"/>
    </row>
    <row r="1508">
      <c r="A1508" s="8" t="inlineStr">
        <is>
          <t>Calculated W - SUM of the Amount column above</t>
        </is>
      </c>
      <c r="B1508" s="9" t="n"/>
      <c r="C1508" s="9" t="n"/>
      <c r="D1508" s="9" t="n"/>
      <c r="E1508" s="9" t="n"/>
      <c r="F1508" s="25">
        <f>SUM(F1500:F1507)</f>
        <v/>
      </c>
      <c r="G1508" s="9" t="n"/>
    </row>
    <row r="1509">
      <c r="A1509" s="26" t="inlineStr">
        <is>
          <t>W as printed in the DAR</t>
        </is>
      </c>
      <c r="B1509" s="22" t="n"/>
      <c r="C1509" s="22" t="n"/>
      <c r="D1509" s="22" t="n"/>
      <c r="E1509" s="22" t="n"/>
      <c r="F1509" s="27" t="n">
        <v>2304.42</v>
      </c>
      <c r="G1509" s="22" t="n"/>
    </row>
    <row r="1510">
      <c r="A1510" s="26" t="inlineStr">
        <is>
          <t>Difference (calculated - printed)</t>
        </is>
      </c>
      <c r="B1510" s="22" t="n"/>
      <c r="C1510" s="22" t="n"/>
      <c r="D1510" s="22" t="n"/>
      <c r="E1510" s="22" t="n"/>
      <c r="F1510" s="27">
        <f>F1508-F1509</f>
        <v/>
      </c>
      <c r="G1510" s="22" t="n"/>
    </row>
    <row r="1511">
      <c r="A1511" s="29" t="inlineStr">
        <is>
          <t>SAY (Rs.) - final DAR rate as printed (fixed value, not computed)</t>
        </is>
      </c>
      <c r="B1511" s="30" t="n"/>
      <c r="C1511" s="30" t="n"/>
      <c r="D1511" s="30" t="n"/>
      <c r="E1511" s="30" t="n"/>
      <c r="F1511" s="31" t="n">
        <v>165.3</v>
      </c>
      <c r="G1511" s="30" t="n"/>
    </row>
    <row r="1513" ht="33" customHeight="1">
      <c r="A1513" s="8" t="inlineStr">
        <is>
          <t>9.48</t>
        </is>
      </c>
      <c r="B1513" s="17" t="inlineStr">
        <is>
          <t>Providing and fixing M.S. grills of required pattern in frames of windows etc. with M.S. flats, square or round bars etc. including priming coat with approved steel primer all complete.</t>
        </is>
      </c>
      <c r="C1513" s="9" t="n"/>
      <c r="D1513" s="9" t="n"/>
      <c r="E1513" s="9" t="n"/>
      <c r="F1513" s="9" t="n"/>
      <c r="G1513" s="9" t="n"/>
    </row>
    <row r="1514" ht="18.5" customHeight="1">
      <c r="A1514" s="18" t="inlineStr">
        <is>
          <t>9.48.2</t>
        </is>
      </c>
      <c r="B1514" s="19" t="inlineStr">
        <is>
          <t>Fixed to openings /wooden frames with rawl plugs screws etc.</t>
        </is>
      </c>
      <c r="C1514" s="20" t="n"/>
      <c r="D1514" s="20" t="n"/>
      <c r="E1514" s="20" t="n"/>
      <c r="F1514" s="20" t="n"/>
      <c r="G1514" s="20" t="n"/>
    </row>
    <row r="1515">
      <c r="A1515" s="21" t="inlineStr">
        <is>
          <t>Details of cost for 18.54 kg   |   Source: CivilDAR_2019_Vol_1.pdf, page 497</t>
        </is>
      </c>
    </row>
    <row r="1516">
      <c r="A1516" s="5" t="inlineStr">
        <is>
          <t>Code</t>
        </is>
      </c>
      <c r="B1516" s="5" t="inlineStr">
        <is>
          <t>Description</t>
        </is>
      </c>
      <c r="C1516" s="5" t="inlineStr">
        <is>
          <t>Unit</t>
        </is>
      </c>
      <c r="D1516" s="5" t="inlineStr">
        <is>
          <t>Quantity</t>
        </is>
      </c>
      <c r="E1516" s="5" t="inlineStr">
        <is>
          <t>Rate (Rs.)</t>
        </is>
      </c>
      <c r="F1516" s="5" t="inlineStr">
        <is>
          <t>Amount (Rs.)</t>
        </is>
      </c>
      <c r="G1516" s="5" t="inlineStr">
        <is>
          <t>Note</t>
        </is>
      </c>
    </row>
    <row r="1517">
      <c r="A1517" s="22" t="inlineStr">
        <is>
          <t>1003</t>
        </is>
      </c>
      <c r="B1517" s="11" t="inlineStr">
        <is>
          <t>Mild steel round bar above 12 mm dia</t>
        </is>
      </c>
      <c r="C1517" s="22" t="inlineStr">
        <is>
          <t>quintal</t>
        </is>
      </c>
      <c r="D1517" s="23" t="n">
        <v>0.165</v>
      </c>
      <c r="E1517" s="24" t="n">
        <v>4400</v>
      </c>
      <c r="F1517" s="24">
        <f>D1517*E1517</f>
        <v/>
      </c>
      <c r="G1517" s="22" t="n"/>
    </row>
    <row r="1518">
      <c r="A1518" s="22" t="inlineStr">
        <is>
          <t>1008</t>
        </is>
      </c>
      <c r="B1518" s="11" t="inlineStr">
        <is>
          <t>Flats upto 10 mm in thickness</t>
        </is>
      </c>
      <c r="C1518" s="22" t="inlineStr">
        <is>
          <t>quintal</t>
        </is>
      </c>
      <c r="D1518" s="23" t="n">
        <v>0.04</v>
      </c>
      <c r="E1518" s="24" t="n">
        <v>4500</v>
      </c>
      <c r="F1518" s="24">
        <f>D1518*E1518</f>
        <v/>
      </c>
      <c r="G1518" s="22" t="n"/>
    </row>
    <row r="1519">
      <c r="A1519" s="22" t="inlineStr">
        <is>
          <t>2205</t>
        </is>
      </c>
      <c r="B1519" s="11" t="inlineStr">
        <is>
          <t>Carriage of Steel</t>
        </is>
      </c>
      <c r="C1519" s="22" t="inlineStr">
        <is>
          <t>tonne</t>
        </is>
      </c>
      <c r="D1519" s="23" t="n">
        <v>0.02</v>
      </c>
      <c r="E1519" s="24" t="n">
        <v>92.23999999999999</v>
      </c>
      <c r="F1519" s="24">
        <f>D1519*E1519</f>
        <v/>
      </c>
      <c r="G1519" s="22" t="n"/>
    </row>
    <row r="1520">
      <c r="A1520" s="22" t="inlineStr">
        <is>
          <t>9999</t>
        </is>
      </c>
      <c r="B1520" s="11" t="inlineStr">
        <is>
          <t>Sundries</t>
        </is>
      </c>
      <c r="C1520" s="22" t="inlineStr">
        <is>
          <t>L.S.</t>
        </is>
      </c>
      <c r="D1520" s="23" t="n">
        <v>26.91</v>
      </c>
      <c r="E1520" s="24" t="n">
        <v>2</v>
      </c>
      <c r="F1520" s="24">
        <f>D1520*E1520</f>
        <v/>
      </c>
      <c r="G1520" s="22" t="n"/>
    </row>
    <row r="1521">
      <c r="A1521" s="22" t="inlineStr">
        <is>
          <t>9999</t>
        </is>
      </c>
      <c r="B1521" s="11" t="inlineStr">
        <is>
          <t>Welding charges</t>
        </is>
      </c>
      <c r="C1521" s="22" t="inlineStr">
        <is>
          <t>L.S.</t>
        </is>
      </c>
      <c r="D1521" s="23" t="n">
        <v>19.76</v>
      </c>
      <c r="E1521" s="24" t="n">
        <v>2</v>
      </c>
      <c r="F1521" s="24">
        <f>D1521*E1521</f>
        <v/>
      </c>
      <c r="G1521" s="22" t="n"/>
    </row>
    <row r="1522">
      <c r="A1522" s="22" t="inlineStr">
        <is>
          <t>13.50.3</t>
        </is>
      </c>
      <c r="B1522" s="11" t="inlineStr">
        <is>
          <t>Rate as per item 13.50.3 - Applying priming coat - With ready mixed red oxide zinc chromate primer of approved brand and manufacture o...</t>
        </is>
      </c>
      <c r="C1522" s="22" t="inlineStr">
        <is>
          <t>sqm</t>
        </is>
      </c>
      <c r="D1522" s="23" t="n">
        <v>1.08</v>
      </c>
      <c r="E1522" s="24" t="n">
        <v>50.7</v>
      </c>
      <c r="F1522" s="24">
        <f>D1522*E1522</f>
        <v/>
      </c>
      <c r="G1522" s="22" t="n"/>
    </row>
    <row r="1523">
      <c r="A1523" s="22" t="inlineStr">
        <is>
          <t>0102</t>
        </is>
      </c>
      <c r="B1523" s="11" t="inlineStr">
        <is>
          <t>Blacksmith 1st class</t>
        </is>
      </c>
      <c r="C1523" s="22" t="inlineStr">
        <is>
          <t>day</t>
        </is>
      </c>
      <c r="D1523" s="23" t="n">
        <v>0.86</v>
      </c>
      <c r="E1523" s="24" t="n">
        <v>738</v>
      </c>
      <c r="F1523" s="24">
        <f>D1523*E1523</f>
        <v/>
      </c>
      <c r="G1523" s="22" t="n"/>
    </row>
    <row r="1524">
      <c r="A1524" s="22" t="inlineStr">
        <is>
          <t>0114</t>
        </is>
      </c>
      <c r="B1524" s="11" t="inlineStr">
        <is>
          <t>Beldar</t>
        </is>
      </c>
      <c r="C1524" s="22" t="inlineStr">
        <is>
          <t>day</t>
        </is>
      </c>
      <c r="D1524" s="23" t="n">
        <v>1.1</v>
      </c>
      <c r="E1524" s="24" t="n">
        <v>558</v>
      </c>
      <c r="F1524" s="24">
        <f>D1524*E1524</f>
        <v/>
      </c>
      <c r="G1524" s="22" t="n"/>
    </row>
    <row r="1525">
      <c r="A1525" s="22" t="inlineStr">
        <is>
          <t>7048</t>
        </is>
      </c>
      <c r="B1525" s="11" t="inlineStr">
        <is>
          <t>Rawl plug 50 mm (designation 10 no.)</t>
        </is>
      </c>
      <c r="C1525" s="22" t="inlineStr">
        <is>
          <t>each</t>
        </is>
      </c>
      <c r="D1525" s="23" t="n">
        <v>8</v>
      </c>
      <c r="E1525" s="24" t="n">
        <v>25</v>
      </c>
      <c r="F1525" s="24">
        <f>D1525*E1525</f>
        <v/>
      </c>
      <c r="G1525" s="22" t="n"/>
    </row>
    <row r="1526">
      <c r="A1526" s="22" t="inlineStr">
        <is>
          <t>9999</t>
        </is>
      </c>
      <c r="B1526" s="11" t="inlineStr">
        <is>
          <t>Fixing of rawl plugs</t>
        </is>
      </c>
      <c r="C1526" s="22" t="inlineStr">
        <is>
          <t>L.S.</t>
        </is>
      </c>
      <c r="D1526" s="23" t="n">
        <v>26</v>
      </c>
      <c r="E1526" s="24" t="n">
        <v>2</v>
      </c>
      <c r="F1526" s="24">
        <f>D1526*E1526</f>
        <v/>
      </c>
      <c r="G1526" s="22" t="n"/>
    </row>
    <row r="1527">
      <c r="A1527" s="8" t="inlineStr">
        <is>
          <t>Calculated W - SUM of the Amount column above</t>
        </is>
      </c>
      <c r="B1527" s="9" t="n"/>
      <c r="C1527" s="9" t="n"/>
      <c r="D1527" s="9" t="n"/>
      <c r="E1527" s="9" t="n"/>
      <c r="F1527" s="25">
        <f>SUM(F1517:F1526)</f>
        <v/>
      </c>
      <c r="G1527" s="9" t="n"/>
    </row>
    <row r="1528">
      <c r="A1528" s="26" t="inlineStr">
        <is>
          <t>W as printed in the DAR</t>
        </is>
      </c>
      <c r="B1528" s="22" t="n"/>
      <c r="C1528" s="22" t="n"/>
      <c r="D1528" s="22" t="n"/>
      <c r="E1528" s="22" t="n"/>
      <c r="F1528" s="27" t="n">
        <v>2556.42</v>
      </c>
      <c r="G1528" s="22" t="n"/>
    </row>
    <row r="1529">
      <c r="A1529" s="26" t="inlineStr">
        <is>
          <t>Difference (calculated - printed)</t>
        </is>
      </c>
      <c r="B1529" s="22" t="n"/>
      <c r="C1529" s="22" t="n"/>
      <c r="D1529" s="22" t="n"/>
      <c r="E1529" s="22" t="n"/>
      <c r="F1529" s="27">
        <f>F1527-F1528</f>
        <v/>
      </c>
      <c r="G1529" s="22" t="n"/>
    </row>
    <row r="1530">
      <c r="A1530" s="29" t="inlineStr">
        <is>
          <t>SAY (Rs.) - final DAR rate as printed (fixed value, not computed)</t>
        </is>
      </c>
      <c r="B1530" s="30" t="n"/>
      <c r="C1530" s="30" t="n"/>
      <c r="D1530" s="30" t="n"/>
      <c r="E1530" s="30" t="n"/>
      <c r="F1530" s="31" t="n">
        <v>183.5</v>
      </c>
      <c r="G1530" s="30" t="n"/>
    </row>
    <row r="1532" ht="33" customHeight="1">
      <c r="A1532" s="18" t="inlineStr">
        <is>
          <t>9.49</t>
        </is>
      </c>
      <c r="B1532" s="19" t="inlineStr">
        <is>
          <t>Providing and fixing expanded metal 20x60 mm strands 3.25 mm wide and 1.6mm thick for windows etc. including 62 x19 mm beading of II nd class teak wood and priming coat with approved steel primer all complete.</t>
        </is>
      </c>
      <c r="C1532" s="20" t="n"/>
      <c r="D1532" s="20" t="n"/>
      <c r="E1532" s="20" t="n"/>
      <c r="F1532" s="20" t="n"/>
      <c r="G1532" s="20" t="n"/>
    </row>
    <row r="1533">
      <c r="A1533" s="21" t="inlineStr">
        <is>
          <t>Details of cost for 1.54 sqm   |   Source: CivilDAR_2019_Vol_1.pdf, page 498</t>
        </is>
      </c>
    </row>
    <row r="1534">
      <c r="A1534" s="5" t="inlineStr">
        <is>
          <t>Code</t>
        </is>
      </c>
      <c r="B1534" s="5" t="inlineStr">
        <is>
          <t>Description</t>
        </is>
      </c>
      <c r="C1534" s="5" t="inlineStr">
        <is>
          <t>Unit</t>
        </is>
      </c>
      <c r="D1534" s="5" t="inlineStr">
        <is>
          <t>Quantity</t>
        </is>
      </c>
      <c r="E1534" s="5" t="inlineStr">
        <is>
          <t>Rate (Rs.)</t>
        </is>
      </c>
      <c r="F1534" s="5" t="inlineStr">
        <is>
          <t>Amount (Rs.)</t>
        </is>
      </c>
      <c r="G1534" s="5" t="inlineStr">
        <is>
          <t>Note</t>
        </is>
      </c>
    </row>
    <row r="1535">
      <c r="A1535" s="22" t="inlineStr">
        <is>
          <t>1015</t>
        </is>
      </c>
      <c r="B1535" s="11" t="inlineStr">
        <is>
          <t>Mild steel expanded metal 20x60 mm strands</t>
        </is>
      </c>
      <c r="C1535" s="22" t="inlineStr">
        <is>
          <t>sqm</t>
        </is>
      </c>
      <c r="D1535" s="23" t="n">
        <v>1.69</v>
      </c>
      <c r="E1535" s="24" t="n">
        <v>280</v>
      </c>
      <c r="F1535" s="24">
        <f>D1535*E1535</f>
        <v/>
      </c>
      <c r="G1535" s="22" t="n"/>
    </row>
    <row r="1536">
      <c r="A1536" s="22" t="inlineStr">
        <is>
          <t>9977</t>
        </is>
      </c>
      <c r="B1536" s="11" t="inlineStr">
        <is>
          <t>Carriage</t>
        </is>
      </c>
      <c r="C1536" s="22" t="inlineStr">
        <is>
          <t>L.S.</t>
        </is>
      </c>
      <c r="D1536" s="23" t="n">
        <v>1.82</v>
      </c>
      <c r="E1536" s="24" t="n">
        <v>2</v>
      </c>
      <c r="F1536" s="24">
        <f>D1536*E1536</f>
        <v/>
      </c>
      <c r="G1536" s="22" t="n"/>
    </row>
    <row r="1537">
      <c r="A1537" s="22" t="inlineStr">
        <is>
          <t>13.50.3</t>
        </is>
      </c>
      <c r="B1537" s="11" t="inlineStr">
        <is>
          <t>Rate as per item 13.50.3 - Applying priming coat - With ready mixed red oxide zinc chromate primer of approved brand and manufacture o...</t>
        </is>
      </c>
      <c r="C1537" s="22" t="inlineStr">
        <is>
          <t>sqm</t>
        </is>
      </c>
      <c r="D1537" s="23" t="n">
        <v>1.54</v>
      </c>
      <c r="E1537" s="24" t="n">
        <v>50.7</v>
      </c>
      <c r="F1537" s="24">
        <f>D1537*E1537</f>
        <v/>
      </c>
      <c r="G1537" s="22" t="n"/>
    </row>
    <row r="1538">
      <c r="A1538" s="22" t="inlineStr">
        <is>
          <t>1190</t>
        </is>
      </c>
      <c r="B1538" s="11" t="inlineStr">
        <is>
          <t>Second class teak wood in planks</t>
        </is>
      </c>
      <c r="C1538" s="22" t="inlineStr">
        <is>
          <t>10 cudm</t>
        </is>
      </c>
      <c r="D1538" s="23" t="n">
        <v>0.6</v>
      </c>
      <c r="E1538" s="24" t="n">
        <v>791</v>
      </c>
      <c r="F1538" s="24">
        <f>D1538*E1538</f>
        <v/>
      </c>
      <c r="G1538" s="22" t="n"/>
    </row>
    <row r="1539">
      <c r="A1539" s="22" t="inlineStr">
        <is>
          <t>2204</t>
        </is>
      </c>
      <c r="B1539" s="11" t="inlineStr">
        <is>
          <t>Carriage of Timber</t>
        </is>
      </c>
      <c r="C1539" s="22" t="inlineStr">
        <is>
          <t>cum</t>
        </is>
      </c>
      <c r="D1539" s="23" t="n">
        <v>0.006</v>
      </c>
      <c r="E1539" s="24" t="n">
        <v>118.59</v>
      </c>
      <c r="F1539" s="24">
        <f>D1539*E1539</f>
        <v/>
      </c>
      <c r="G1539" s="22" t="n"/>
    </row>
    <row r="1540">
      <c r="A1540" s="22" t="inlineStr">
        <is>
          <t>0112</t>
        </is>
      </c>
      <c r="B1540" s="11" t="inlineStr">
        <is>
          <t>Carpenter 2nd class</t>
        </is>
      </c>
      <c r="C1540" s="22" t="inlineStr">
        <is>
          <t>day</t>
        </is>
      </c>
      <c r="D1540" s="23" t="n">
        <v>0.33</v>
      </c>
      <c r="E1540" s="24" t="n">
        <v>679</v>
      </c>
      <c r="F1540" s="24">
        <f>D1540*E1540</f>
        <v/>
      </c>
      <c r="G1540" s="22" t="n"/>
    </row>
    <row r="1541">
      <c r="A1541" s="22" t="inlineStr">
        <is>
          <t>0114</t>
        </is>
      </c>
      <c r="B1541" s="11" t="inlineStr">
        <is>
          <t>Beldar</t>
        </is>
      </c>
      <c r="C1541" s="22" t="inlineStr">
        <is>
          <t>day</t>
        </is>
      </c>
      <c r="D1541" s="23" t="n">
        <v>0.25</v>
      </c>
      <c r="E1541" s="24" t="n">
        <v>558</v>
      </c>
      <c r="F1541" s="24">
        <f>D1541*E1541</f>
        <v/>
      </c>
      <c r="G1541" s="22" t="n"/>
    </row>
    <row r="1542">
      <c r="A1542" s="22" t="inlineStr">
        <is>
          <t>9999</t>
        </is>
      </c>
      <c r="B1542" s="11" t="inlineStr">
        <is>
          <t>Sundries</t>
        </is>
      </c>
      <c r="C1542" s="22" t="inlineStr">
        <is>
          <t>L.S.</t>
        </is>
      </c>
      <c r="D1542" s="23" t="n">
        <v>26.91</v>
      </c>
      <c r="E1542" s="24" t="n">
        <v>2</v>
      </c>
      <c r="F1542" s="24">
        <f>D1542*E1542</f>
        <v/>
      </c>
      <c r="G1542" s="22" t="n"/>
    </row>
    <row r="1543">
      <c r="A1543" s="8" t="inlineStr">
        <is>
          <t>Calculated W - SUM of the Amount column above</t>
        </is>
      </c>
      <c r="B1543" s="9" t="n"/>
      <c r="C1543" s="9" t="n"/>
      <c r="D1543" s="9" t="n"/>
      <c r="E1543" s="9" t="n"/>
      <c r="F1543" s="25">
        <f>SUM(F1535:F1542)</f>
        <v/>
      </c>
      <c r="G1543" s="9" t="n"/>
    </row>
    <row r="1544">
      <c r="A1544" s="26" t="inlineStr">
        <is>
          <t>W as printed in the DAR</t>
        </is>
      </c>
      <c r="B1544" s="22" t="n"/>
      <c r="C1544" s="22" t="n"/>
      <c r="D1544" s="22" t="n"/>
      <c r="E1544" s="22" t="n"/>
      <c r="F1544" s="27" t="n">
        <v>1447.62</v>
      </c>
      <c r="G1544" s="22" t="n"/>
    </row>
    <row r="1545">
      <c r="A1545" s="26" t="inlineStr">
        <is>
          <t>Difference (calculated - printed)</t>
        </is>
      </c>
      <c r="B1545" s="22" t="n"/>
      <c r="C1545" s="22" t="n"/>
      <c r="D1545" s="22" t="n"/>
      <c r="E1545" s="22" t="n"/>
      <c r="F1545" s="27">
        <f>F1543-F1544</f>
        <v/>
      </c>
      <c r="G1545" s="22" t="n"/>
    </row>
    <row r="1546">
      <c r="A1546" s="29" t="inlineStr">
        <is>
          <t>SAY (Rs.) - final DAR rate as printed (fixed value, not computed)</t>
        </is>
      </c>
      <c r="B1546" s="30" t="n"/>
      <c r="C1546" s="30" t="n"/>
      <c r="D1546" s="30" t="n"/>
      <c r="E1546" s="30" t="n"/>
      <c r="F1546" s="31" t="n">
        <v>1240.55</v>
      </c>
      <c r="G1546" s="30" t="n"/>
    </row>
    <row r="1548" ht="33" customHeight="1">
      <c r="A1548" s="18" t="inlineStr">
        <is>
          <t>9.50</t>
        </is>
      </c>
      <c r="B1548" s="19" t="inlineStr">
        <is>
          <t>Providing and fixing hard drawn steel wire fabric 75x25 mm mesh of weight not less than 7.75 Kg per sqm to window frames etc. including 62x19 mm beading of second class teak wood and priming coat with approved steel primer all complete.</t>
        </is>
      </c>
      <c r="C1548" s="20" t="n"/>
      <c r="D1548" s="20" t="n"/>
      <c r="E1548" s="20" t="n"/>
      <c r="F1548" s="20" t="n"/>
      <c r="G1548" s="20" t="n"/>
    </row>
    <row r="1549">
      <c r="A1549" s="21" t="inlineStr">
        <is>
          <t>Details of cost for 1.54 sqm   |   Source: CivilDAR_2019_Vol_1.pdf, page 498</t>
        </is>
      </c>
    </row>
    <row r="1550">
      <c r="A1550" s="5" t="inlineStr">
        <is>
          <t>Code</t>
        </is>
      </c>
      <c r="B1550" s="5" t="inlineStr">
        <is>
          <t>Description</t>
        </is>
      </c>
      <c r="C1550" s="5" t="inlineStr">
        <is>
          <t>Unit</t>
        </is>
      </c>
      <c r="D1550" s="5" t="inlineStr">
        <is>
          <t>Quantity</t>
        </is>
      </c>
      <c r="E1550" s="5" t="inlineStr">
        <is>
          <t>Rate (Rs.)</t>
        </is>
      </c>
      <c r="F1550" s="5" t="inlineStr">
        <is>
          <t>Amount (Rs.)</t>
        </is>
      </c>
      <c r="G1550" s="5" t="inlineStr">
        <is>
          <t>Note</t>
        </is>
      </c>
    </row>
    <row r="1551">
      <c r="A1551" s="22" t="inlineStr">
        <is>
          <t>1021</t>
        </is>
      </c>
      <c r="B1551" s="11" t="inlineStr">
        <is>
          <t>Hard drawn steel wire fabric</t>
        </is>
      </c>
      <c r="C1551" s="22" t="inlineStr">
        <is>
          <t>sqm</t>
        </is>
      </c>
      <c r="D1551" s="23" t="n">
        <v>1.69</v>
      </c>
      <c r="E1551" s="24" t="n">
        <v>430</v>
      </c>
      <c r="F1551" s="24">
        <f>D1551*E1551</f>
        <v/>
      </c>
      <c r="G1551" s="22" t="n"/>
    </row>
    <row r="1552">
      <c r="A1552" s="22" t="inlineStr">
        <is>
          <t>9977</t>
        </is>
      </c>
      <c r="B1552" s="11" t="inlineStr">
        <is>
          <t>Carriage of wire fabric</t>
        </is>
      </c>
      <c r="C1552" s="22" t="inlineStr">
        <is>
          <t>L.S.</t>
        </is>
      </c>
      <c r="D1552" s="23" t="n">
        <v>1.82</v>
      </c>
      <c r="E1552" s="24" t="n">
        <v>2</v>
      </c>
      <c r="F1552" s="24">
        <f>D1552*E1552</f>
        <v/>
      </c>
      <c r="G1552" s="22" t="n"/>
    </row>
    <row r="1553">
      <c r="A1553" s="22" t="inlineStr">
        <is>
          <t>13.50.3</t>
        </is>
      </c>
      <c r="B1553" s="11" t="inlineStr">
        <is>
          <t>Rate as per item 13.50.3 - Applying priming coat - With ready mixed red oxide zinc chromate primer of approved brand and manufacture o...</t>
        </is>
      </c>
      <c r="C1553" s="22" t="inlineStr">
        <is>
          <t>sqm</t>
        </is>
      </c>
      <c r="D1553" s="23" t="n">
        <v>1.54</v>
      </c>
      <c r="E1553" s="24" t="n">
        <v>50.7</v>
      </c>
      <c r="F1553" s="24">
        <f>D1553*E1553</f>
        <v/>
      </c>
      <c r="G1553" s="22" t="n"/>
    </row>
    <row r="1554">
      <c r="A1554" s="22" t="inlineStr">
        <is>
          <t>1190</t>
        </is>
      </c>
      <c r="B1554" s="11" t="inlineStr">
        <is>
          <t>Second class teak wood in planks</t>
        </is>
      </c>
      <c r="C1554" s="22" t="inlineStr">
        <is>
          <t>10 cudm</t>
        </is>
      </c>
      <c r="D1554" s="23" t="n">
        <v>0.6</v>
      </c>
      <c r="E1554" s="24" t="n">
        <v>791</v>
      </c>
      <c r="F1554" s="24">
        <f>D1554*E1554</f>
        <v/>
      </c>
      <c r="G1554" s="22" t="n"/>
    </row>
    <row r="1555">
      <c r="A1555" s="22" t="inlineStr">
        <is>
          <t>2204</t>
        </is>
      </c>
      <c r="B1555" s="11" t="inlineStr">
        <is>
          <t>Carriage of Timber</t>
        </is>
      </c>
      <c r="C1555" s="22" t="inlineStr">
        <is>
          <t>cum</t>
        </is>
      </c>
      <c r="D1555" s="23" t="n">
        <v>0.006</v>
      </c>
      <c r="E1555" s="24" t="n">
        <v>118.59</v>
      </c>
      <c r="F1555" s="24">
        <f>D1555*E1555</f>
        <v/>
      </c>
      <c r="G1555" s="22" t="n"/>
    </row>
    <row r="1556">
      <c r="A1556" s="22" t="inlineStr">
        <is>
          <t>0112</t>
        </is>
      </c>
      <c r="B1556" s="11" t="inlineStr">
        <is>
          <t>Carpenter 2nd class</t>
        </is>
      </c>
      <c r="C1556" s="22" t="inlineStr">
        <is>
          <t>day</t>
        </is>
      </c>
      <c r="D1556" s="23" t="n">
        <v>0.33</v>
      </c>
      <c r="E1556" s="24" t="n">
        <v>679</v>
      </c>
      <c r="F1556" s="24">
        <f>D1556*E1556</f>
        <v/>
      </c>
      <c r="G1556" s="22" t="n"/>
    </row>
    <row r="1557">
      <c r="A1557" s="22" t="inlineStr">
        <is>
          <t>0114</t>
        </is>
      </c>
      <c r="B1557" s="11" t="inlineStr">
        <is>
          <t>Beldar</t>
        </is>
      </c>
      <c r="C1557" s="22" t="inlineStr">
        <is>
          <t>day</t>
        </is>
      </c>
      <c r="D1557" s="23" t="n">
        <v>0.25</v>
      </c>
      <c r="E1557" s="24" t="n">
        <v>558</v>
      </c>
      <c r="F1557" s="24">
        <f>D1557*E1557</f>
        <v/>
      </c>
      <c r="G1557" s="22" t="n"/>
    </row>
    <row r="1558">
      <c r="A1558" s="22" t="inlineStr">
        <is>
          <t>9999</t>
        </is>
      </c>
      <c r="B1558" s="11" t="inlineStr">
        <is>
          <t>Sundries</t>
        </is>
      </c>
      <c r="C1558" s="22" t="inlineStr">
        <is>
          <t>L.S.</t>
        </is>
      </c>
      <c r="D1558" s="23" t="n">
        <v>19.76</v>
      </c>
      <c r="E1558" s="24" t="n">
        <v>2</v>
      </c>
      <c r="F1558" s="24">
        <f>D1558*E1558</f>
        <v/>
      </c>
      <c r="G1558" s="22" t="n"/>
    </row>
    <row r="1559">
      <c r="A1559" s="8" t="inlineStr">
        <is>
          <t>Calculated W - SUM of the Amount column above</t>
        </is>
      </c>
      <c r="B1559" s="9" t="n"/>
      <c r="C1559" s="9" t="n"/>
      <c r="D1559" s="9" t="n"/>
      <c r="E1559" s="9" t="n"/>
      <c r="F1559" s="25">
        <f>SUM(F1551:F1558)</f>
        <v/>
      </c>
      <c r="G1559" s="9" t="n"/>
    </row>
    <row r="1560">
      <c r="A1560" s="26" t="inlineStr">
        <is>
          <t>W as printed in the DAR</t>
        </is>
      </c>
      <c r="B1560" s="22" t="n"/>
      <c r="C1560" s="22" t="n"/>
      <c r="D1560" s="22" t="n"/>
      <c r="E1560" s="22" t="n"/>
      <c r="F1560" s="27" t="n">
        <v>1686.82</v>
      </c>
      <c r="G1560" s="22" t="n"/>
    </row>
    <row r="1561">
      <c r="A1561" s="26" t="inlineStr">
        <is>
          <t>Difference (calculated - printed)</t>
        </is>
      </c>
      <c r="B1561" s="22" t="n"/>
      <c r="C1561" s="22" t="n"/>
      <c r="D1561" s="22" t="n"/>
      <c r="E1561" s="22" t="n"/>
      <c r="F1561" s="27">
        <f>F1559-F1560</f>
        <v/>
      </c>
      <c r="G1561" s="22" t="n"/>
    </row>
    <row r="1562">
      <c r="A1562" s="29" t="inlineStr">
        <is>
          <t>SAY (Rs.) - final DAR rate as printed (fixed value, not computed)</t>
        </is>
      </c>
      <c r="B1562" s="30" t="n"/>
      <c r="C1562" s="30" t="n"/>
      <c r="D1562" s="30" t="n"/>
      <c r="E1562" s="30" t="n"/>
      <c r="F1562" s="31" t="n">
        <v>1448.35</v>
      </c>
      <c r="G1562" s="30" t="n"/>
    </row>
    <row r="1564" ht="33" customHeight="1">
      <c r="A1564" s="8" t="inlineStr">
        <is>
          <t>9.51</t>
        </is>
      </c>
      <c r="B1564" s="17" t="inlineStr">
        <is>
          <t>Providing and fixing fly proof galvanized M.S. wire gauge to windows and clerestory windows using wire gauge with average width of aperture 1.4 mm in both directions with wire of dia 0.63 mm all complete.</t>
        </is>
      </c>
      <c r="C1564" s="9" t="n"/>
      <c r="D1564" s="9" t="n"/>
      <c r="E1564" s="9" t="n"/>
      <c r="F1564" s="9" t="n"/>
      <c r="G1564" s="9" t="n"/>
    </row>
    <row r="1565" ht="18.5" customHeight="1">
      <c r="A1565" s="18" t="inlineStr">
        <is>
          <t>9.51.1</t>
        </is>
      </c>
      <c r="B1565" s="19" t="inlineStr">
        <is>
          <t>With 2nd class teak wood beading 62X19 mm</t>
        </is>
      </c>
      <c r="C1565" s="20" t="n"/>
      <c r="D1565" s="20" t="n"/>
      <c r="E1565" s="20" t="n"/>
      <c r="F1565" s="20" t="n"/>
      <c r="G1565" s="20" t="n"/>
    </row>
    <row r="1566">
      <c r="A1566" s="21" t="inlineStr">
        <is>
          <t>Details of cost for 1.54 sqm   |   Source: CivilDAR_2019_Vol_1.pdf, page 499</t>
        </is>
      </c>
    </row>
    <row r="1567">
      <c r="A1567" s="5" t="inlineStr">
        <is>
          <t>Code</t>
        </is>
      </c>
      <c r="B1567" s="5" t="inlineStr">
        <is>
          <t>Description</t>
        </is>
      </c>
      <c r="C1567" s="5" t="inlineStr">
        <is>
          <t>Unit</t>
        </is>
      </c>
      <c r="D1567" s="5" t="inlineStr">
        <is>
          <t>Quantity</t>
        </is>
      </c>
      <c r="E1567" s="5" t="inlineStr">
        <is>
          <t>Rate (Rs.)</t>
        </is>
      </c>
      <c r="F1567" s="5" t="inlineStr">
        <is>
          <t>Amount (Rs.)</t>
        </is>
      </c>
      <c r="G1567" s="5" t="inlineStr">
        <is>
          <t>Note</t>
        </is>
      </c>
    </row>
    <row r="1568">
      <c r="A1568" s="22" t="inlineStr">
        <is>
          <t>7029</t>
        </is>
      </c>
      <c r="B1568" s="11" t="inlineStr">
        <is>
          <t>Galvanised wire mesh of average width of aperture 1.4 mm and nominal dia. of wire 0.63 mm</t>
        </is>
      </c>
      <c r="C1568" s="22" t="inlineStr">
        <is>
          <t>sqm</t>
        </is>
      </c>
      <c r="D1568" s="23" t="n">
        <v>1.69</v>
      </c>
      <c r="E1568" s="24" t="n">
        <v>250</v>
      </c>
      <c r="F1568" s="24">
        <f>D1568*E1568</f>
        <v/>
      </c>
      <c r="G1568" s="22" t="n"/>
    </row>
    <row r="1569">
      <c r="A1569" s="22" t="inlineStr">
        <is>
          <t>9977</t>
        </is>
      </c>
      <c r="B1569" s="11" t="inlineStr">
        <is>
          <t>Carriage of wire fabric</t>
        </is>
      </c>
      <c r="C1569" s="22" t="inlineStr">
        <is>
          <t>L.S.</t>
        </is>
      </c>
      <c r="D1569" s="23" t="n">
        <v>1.82</v>
      </c>
      <c r="E1569" s="24" t="n">
        <v>2</v>
      </c>
      <c r="F1569" s="24">
        <f>D1569*E1569</f>
        <v/>
      </c>
      <c r="G1569" s="22" t="n"/>
    </row>
    <row r="1570">
      <c r="A1570" s="22" t="inlineStr">
        <is>
          <t>1190</t>
        </is>
      </c>
      <c r="B1570" s="11" t="inlineStr">
        <is>
          <t>Second class teak wood in planks</t>
        </is>
      </c>
      <c r="C1570" s="22" t="inlineStr">
        <is>
          <t>10 cudm</t>
        </is>
      </c>
      <c r="D1570" s="23" t="n">
        <v>0.6</v>
      </c>
      <c r="E1570" s="24" t="n">
        <v>791</v>
      </c>
      <c r="F1570" s="24">
        <f>D1570*E1570</f>
        <v/>
      </c>
      <c r="G1570" s="22" t="n"/>
    </row>
    <row r="1571">
      <c r="A1571" s="22" t="inlineStr">
        <is>
          <t>2204</t>
        </is>
      </c>
      <c r="B1571" s="11" t="inlineStr">
        <is>
          <t>Carriage of Timber</t>
        </is>
      </c>
      <c r="C1571" s="22" t="inlineStr">
        <is>
          <t>cum</t>
        </is>
      </c>
      <c r="D1571" s="23" t="n">
        <v>0.006</v>
      </c>
      <c r="E1571" s="24" t="n">
        <v>118.59</v>
      </c>
      <c r="F1571" s="24">
        <f>D1571*E1571</f>
        <v/>
      </c>
      <c r="G1571" s="22" t="n"/>
    </row>
    <row r="1572">
      <c r="A1572" s="22" t="inlineStr">
        <is>
          <t>0112</t>
        </is>
      </c>
      <c r="B1572" s="11" t="inlineStr">
        <is>
          <t>Carpenter 2nd class</t>
        </is>
      </c>
      <c r="C1572" s="22" t="inlineStr">
        <is>
          <t>day</t>
        </is>
      </c>
      <c r="D1572" s="23" t="n">
        <v>0.33</v>
      </c>
      <c r="E1572" s="24" t="n">
        <v>679</v>
      </c>
      <c r="F1572" s="24">
        <f>D1572*E1572</f>
        <v/>
      </c>
      <c r="G1572" s="22" t="n"/>
    </row>
    <row r="1573">
      <c r="A1573" s="22" t="inlineStr">
        <is>
          <t>0114</t>
        </is>
      </c>
      <c r="B1573" s="11" t="inlineStr">
        <is>
          <t>Beldar</t>
        </is>
      </c>
      <c r="C1573" s="22" t="inlineStr">
        <is>
          <t>day</t>
        </is>
      </c>
      <c r="D1573" s="23" t="n">
        <v>0.25</v>
      </c>
      <c r="E1573" s="24" t="n">
        <v>558</v>
      </c>
      <c r="F1573" s="24">
        <f>D1573*E1573</f>
        <v/>
      </c>
      <c r="G1573" s="22" t="n"/>
    </row>
    <row r="1574">
      <c r="A1574" s="22" t="inlineStr">
        <is>
          <t>9999</t>
        </is>
      </c>
      <c r="B1574" s="11" t="inlineStr">
        <is>
          <t>Sundries</t>
        </is>
      </c>
      <c r="C1574" s="22" t="inlineStr">
        <is>
          <t>L.S.</t>
        </is>
      </c>
      <c r="D1574" s="23" t="n">
        <v>19.76</v>
      </c>
      <c r="E1574" s="24" t="n">
        <v>2</v>
      </c>
      <c r="F1574" s="24">
        <f>D1574*E1574</f>
        <v/>
      </c>
      <c r="G1574" s="22" t="n"/>
    </row>
    <row r="1575">
      <c r="A1575" s="8" t="inlineStr">
        <is>
          <t>Calculated W - SUM of the Amount column above</t>
        </is>
      </c>
      <c r="B1575" s="9" t="n"/>
      <c r="C1575" s="9" t="n"/>
      <c r="D1575" s="9" t="n"/>
      <c r="E1575" s="9" t="n"/>
      <c r="F1575" s="25">
        <f>SUM(F1568:F1574)</f>
        <v/>
      </c>
      <c r="G1575" s="9" t="n"/>
    </row>
    <row r="1576">
      <c r="A1576" s="26" t="inlineStr">
        <is>
          <t>W as printed in the DAR</t>
        </is>
      </c>
      <c r="B1576" s="22" t="n"/>
      <c r="C1576" s="22" t="n"/>
      <c r="D1576" s="22" t="n"/>
      <c r="E1576" s="22" t="n"/>
      <c r="F1576" s="27" t="n">
        <v>1304.54</v>
      </c>
      <c r="G1576" s="22" t="n"/>
    </row>
    <row r="1577">
      <c r="A1577" s="26" t="inlineStr">
        <is>
          <t>Difference (calculated - printed)</t>
        </is>
      </c>
      <c r="B1577" s="22" t="n"/>
      <c r="C1577" s="22" t="n"/>
      <c r="D1577" s="22" t="n"/>
      <c r="E1577" s="22" t="n"/>
      <c r="F1577" s="27">
        <f>F1575-F1576</f>
        <v/>
      </c>
      <c r="G1577" s="22" t="n"/>
    </row>
    <row r="1578">
      <c r="A1578" s="29" t="inlineStr">
        <is>
          <t>SAY (Rs.) - final DAR rate as printed (fixed value, not computed)</t>
        </is>
      </c>
      <c r="B1578" s="30" t="n"/>
      <c r="C1578" s="30" t="n"/>
      <c r="D1578" s="30" t="n"/>
      <c r="E1578" s="30" t="n"/>
      <c r="F1578" s="31" t="n">
        <v>1133.35</v>
      </c>
      <c r="G1578" s="30" t="n"/>
    </row>
    <row r="1580" ht="33" customHeight="1">
      <c r="A1580" s="8" t="inlineStr">
        <is>
          <t>9.51</t>
        </is>
      </c>
      <c r="B1580" s="17" t="inlineStr">
        <is>
          <t>Providing and fixing fly proof galvanized M.S. wire gauge to windows and clerestory windows using wire gauge with average width of aperture 1.4 mm in both directions with wire of dia 0.63 mm all complete.</t>
        </is>
      </c>
      <c r="C1580" s="9" t="n"/>
      <c r="D1580" s="9" t="n"/>
      <c r="E1580" s="9" t="n"/>
      <c r="F1580" s="9" t="n"/>
      <c r="G1580" s="9" t="n"/>
    </row>
    <row r="1581" ht="18.5" customHeight="1">
      <c r="A1581" s="18" t="inlineStr">
        <is>
          <t>9.51.2</t>
        </is>
      </c>
      <c r="B1581" s="19" t="inlineStr">
        <is>
          <t>With 12 mm mild steel U beading</t>
        </is>
      </c>
      <c r="C1581" s="20" t="n"/>
      <c r="D1581" s="20" t="n"/>
      <c r="E1581" s="20" t="n"/>
      <c r="F1581" s="20" t="n"/>
      <c r="G1581" s="20" t="n"/>
    </row>
    <row r="1582">
      <c r="A1582" s="21" t="inlineStr">
        <is>
          <t>Details of cost for 1.54 sqm   |   Source: CivilDAR_2019_Vol_1.pdf, page 500</t>
        </is>
      </c>
    </row>
    <row r="1583">
      <c r="A1583" s="5" t="inlineStr">
        <is>
          <t>Code</t>
        </is>
      </c>
      <c r="B1583" s="5" t="inlineStr">
        <is>
          <t>Description</t>
        </is>
      </c>
      <c r="C1583" s="5" t="inlineStr">
        <is>
          <t>Unit</t>
        </is>
      </c>
      <c r="D1583" s="5" t="inlineStr">
        <is>
          <t>Quantity</t>
        </is>
      </c>
      <c r="E1583" s="5" t="inlineStr">
        <is>
          <t>Rate (Rs.)</t>
        </is>
      </c>
      <c r="F1583" s="5" t="inlineStr">
        <is>
          <t>Amount (Rs.)</t>
        </is>
      </c>
      <c r="G1583" s="5" t="inlineStr">
        <is>
          <t>Note</t>
        </is>
      </c>
    </row>
    <row r="1584">
      <c r="A1584" s="22" t="inlineStr">
        <is>
          <t>7029</t>
        </is>
      </c>
      <c r="B1584" s="11" t="inlineStr">
        <is>
          <t>Galvanised wire mesh of average width of aperture 1.4 mm and nominal dia. Of wire 0.63 mm</t>
        </is>
      </c>
      <c r="C1584" s="22" t="inlineStr">
        <is>
          <t>sqm</t>
        </is>
      </c>
      <c r="D1584" s="23" t="n">
        <v>1.69</v>
      </c>
      <c r="E1584" s="24" t="n">
        <v>250</v>
      </c>
      <c r="F1584" s="24">
        <f>D1584*E1584</f>
        <v/>
      </c>
      <c r="G1584" s="22" t="n"/>
    </row>
    <row r="1585">
      <c r="A1585" s="22" t="inlineStr">
        <is>
          <t>9977</t>
        </is>
      </c>
      <c r="B1585" s="11" t="inlineStr">
        <is>
          <t>Carriage of wire fabric</t>
        </is>
      </c>
      <c r="C1585" s="22" t="inlineStr">
        <is>
          <t>L.S.</t>
        </is>
      </c>
      <c r="D1585" s="23" t="n">
        <v>1.82</v>
      </c>
      <c r="E1585" s="24" t="n">
        <v>2</v>
      </c>
      <c r="F1585" s="24">
        <f>D1585*E1585</f>
        <v/>
      </c>
      <c r="G1585" s="22" t="n"/>
    </row>
    <row r="1586">
      <c r="A1586" s="22" t="inlineStr">
        <is>
          <t>7349</t>
        </is>
      </c>
      <c r="B1586" s="11" t="inlineStr">
        <is>
          <t>12 mm M.S. 'U' beading</t>
        </is>
      </c>
      <c r="C1586" s="22" t="inlineStr">
        <is>
          <t>metre</t>
        </is>
      </c>
      <c r="D1586" s="23" t="n">
        <v>5</v>
      </c>
      <c r="E1586" s="24" t="n">
        <v>14</v>
      </c>
      <c r="F1586" s="24">
        <f>D1586*E1586</f>
        <v/>
      </c>
      <c r="G1586" s="22" t="n"/>
    </row>
    <row r="1587">
      <c r="A1587" s="22" t="inlineStr">
        <is>
          <t>0112</t>
        </is>
      </c>
      <c r="B1587" s="11" t="inlineStr">
        <is>
          <t>Carpenter 2nd class</t>
        </is>
      </c>
      <c r="C1587" s="22" t="inlineStr">
        <is>
          <t>day</t>
        </is>
      </c>
      <c r="D1587" s="23" t="n">
        <v>0.33</v>
      </c>
      <c r="E1587" s="24" t="n">
        <v>679</v>
      </c>
      <c r="F1587" s="24">
        <f>D1587*E1587</f>
        <v/>
      </c>
      <c r="G1587" s="22" t="n"/>
    </row>
    <row r="1588">
      <c r="A1588" s="22" t="inlineStr">
        <is>
          <t>0114</t>
        </is>
      </c>
      <c r="B1588" s="11" t="inlineStr">
        <is>
          <t>Beldar</t>
        </is>
      </c>
      <c r="C1588" s="22" t="inlineStr">
        <is>
          <t>day</t>
        </is>
      </c>
      <c r="D1588" s="23" t="n">
        <v>0.25</v>
      </c>
      <c r="E1588" s="24" t="n">
        <v>558</v>
      </c>
      <c r="F1588" s="24">
        <f>D1588*E1588</f>
        <v/>
      </c>
      <c r="G1588" s="22" t="n"/>
    </row>
    <row r="1589">
      <c r="A1589" s="22" t="inlineStr">
        <is>
          <t>9999</t>
        </is>
      </c>
      <c r="B1589" s="11" t="inlineStr">
        <is>
          <t>Sundries</t>
        </is>
      </c>
      <c r="C1589" s="22" t="inlineStr">
        <is>
          <t>L.S.</t>
        </is>
      </c>
      <c r="D1589" s="23" t="n">
        <v>19.76</v>
      </c>
      <c r="E1589" s="24" t="n">
        <v>2</v>
      </c>
      <c r="F1589" s="24">
        <f>D1589*E1589</f>
        <v/>
      </c>
      <c r="G1589" s="22" t="n"/>
    </row>
    <row r="1590">
      <c r="A1590" s="8" t="inlineStr">
        <is>
          <t>Calculated W - SUM of the Amount column above</t>
        </is>
      </c>
      <c r="B1590" s="9" t="n"/>
      <c r="C1590" s="9" t="n"/>
      <c r="D1590" s="9" t="n"/>
      <c r="E1590" s="9" t="n"/>
      <c r="F1590" s="25">
        <f>SUM(F1584:F1589)</f>
        <v/>
      </c>
      <c r="G1590" s="9" t="n"/>
    </row>
    <row r="1591">
      <c r="A1591" s="26" t="inlineStr">
        <is>
          <t>W as printed in the DAR</t>
        </is>
      </c>
      <c r="B1591" s="22" t="n"/>
      <c r="C1591" s="22" t="n"/>
      <c r="D1591" s="22" t="n"/>
      <c r="E1591" s="22" t="n"/>
      <c r="F1591" s="27" t="n">
        <v>899.23</v>
      </c>
      <c r="G1591" s="22" t="n"/>
    </row>
    <row r="1592">
      <c r="A1592" s="26" t="inlineStr">
        <is>
          <t>Difference (calculated - printed)</t>
        </is>
      </c>
      <c r="B1592" s="22" t="n"/>
      <c r="C1592" s="22" t="n"/>
      <c r="D1592" s="22" t="n"/>
      <c r="E1592" s="22" t="n"/>
      <c r="F1592" s="27">
        <f>F1590-F1591</f>
        <v/>
      </c>
      <c r="G1592" s="22" t="n"/>
    </row>
    <row r="1593">
      <c r="A1593" s="29" t="inlineStr">
        <is>
          <t>SAY (Rs.) - final DAR rate as printed (fixed value, not computed)</t>
        </is>
      </c>
      <c r="B1593" s="30" t="n"/>
      <c r="C1593" s="30" t="n"/>
      <c r="D1593" s="30" t="n"/>
      <c r="E1593" s="30" t="n"/>
      <c r="F1593" s="31" t="n">
        <v>781.25</v>
      </c>
      <c r="G1593" s="30" t="n"/>
    </row>
    <row r="1595" ht="18.5" customHeight="1">
      <c r="A1595" s="18" t="inlineStr">
        <is>
          <t>9.52</t>
        </is>
      </c>
      <c r="B1595" s="19" t="inlineStr">
        <is>
          <t>Deduct for fixing 75x25 mm hard drawn steel wire fabric of weight not less than</t>
        </is>
      </c>
      <c r="C1595" s="20" t="n"/>
      <c r="D1595" s="20" t="n"/>
      <c r="E1595" s="20" t="n"/>
      <c r="F1595" s="20" t="n"/>
      <c r="G1595" s="20" t="n"/>
    </row>
    <row r="1596">
      <c r="A1596" s="21" t="inlineStr">
        <is>
          <t>Details of cost for 1 sqm   |   Source: CivilDAR_2019_Vol_1.pdf, page 501</t>
        </is>
      </c>
    </row>
    <row r="1597">
      <c r="A1597" s="5" t="inlineStr">
        <is>
          <t>Code</t>
        </is>
      </c>
      <c r="B1597" s="5" t="inlineStr">
        <is>
          <t>Description</t>
        </is>
      </c>
      <c r="C1597" s="5" t="inlineStr">
        <is>
          <t>Unit</t>
        </is>
      </c>
      <c r="D1597" s="5" t="inlineStr">
        <is>
          <t>Quantity</t>
        </is>
      </c>
      <c r="E1597" s="5" t="inlineStr">
        <is>
          <t>Rate (Rs.)</t>
        </is>
      </c>
      <c r="F1597" s="5" t="inlineStr">
        <is>
          <t>Amount (Rs.)</t>
        </is>
      </c>
      <c r="G1597" s="5" t="inlineStr">
        <is>
          <t>Note</t>
        </is>
      </c>
    </row>
    <row r="1598">
      <c r="A1598" s="22" t="inlineStr">
        <is>
          <t>1021</t>
        </is>
      </c>
      <c r="B1598" s="11" t="inlineStr">
        <is>
          <t>Hard drawn steel wire fabric</t>
        </is>
      </c>
      <c r="C1598" s="22" t="inlineStr">
        <is>
          <t>sqm</t>
        </is>
      </c>
      <c r="D1598" s="23" t="n">
        <v>1</v>
      </c>
      <c r="E1598" s="24" t="n">
        <v>430</v>
      </c>
      <c r="F1598" s="24">
        <f>D1598*E1598</f>
        <v/>
      </c>
      <c r="G1598" s="22" t="n"/>
    </row>
    <row r="1599">
      <c r="A1599" s="22" t="inlineStr">
        <is>
          <t>2406</t>
        </is>
      </c>
      <c r="B1599" s="11" t="inlineStr">
        <is>
          <t>Float glass sheet of nominal thickness 4 mm (weight not less than 10kg/sqm).</t>
        </is>
      </c>
      <c r="C1599" s="22" t="inlineStr">
        <is>
          <t>sqm</t>
        </is>
      </c>
      <c r="D1599" s="23" t="n">
        <v>-1</v>
      </c>
      <c r="E1599" s="24" t="n">
        <v>300</v>
      </c>
      <c r="F1599" s="24">
        <f>D1599*E1599</f>
        <v/>
      </c>
      <c r="G1599" s="22" t="n"/>
    </row>
    <row r="1600">
      <c r="A1600" s="8" t="inlineStr">
        <is>
          <t>Calculated W - SUM of the Amount column above</t>
        </is>
      </c>
      <c r="B1600" s="9" t="n"/>
      <c r="C1600" s="9" t="n"/>
      <c r="D1600" s="9" t="n"/>
      <c r="E1600" s="9" t="n"/>
      <c r="F1600" s="25">
        <f>SUM(F1598:F1599)</f>
        <v/>
      </c>
      <c r="G1600" s="9" t="n"/>
    </row>
    <row r="1601">
      <c r="A1601" s="26" t="inlineStr">
        <is>
          <t>W as printed in the DAR</t>
        </is>
      </c>
      <c r="B1601" s="22" t="n"/>
      <c r="C1601" s="22" t="n"/>
      <c r="D1601" s="22" t="n"/>
      <c r="E1601" s="22" t="n"/>
      <c r="F1601" s="27" t="n">
        <v>130</v>
      </c>
      <c r="G1601" s="22" t="n"/>
    </row>
    <row r="1602">
      <c r="A1602" s="26" t="inlineStr">
        <is>
          <t>Difference (calculated - printed)</t>
        </is>
      </c>
      <c r="B1602" s="22" t="n"/>
      <c r="C1602" s="22" t="n"/>
      <c r="D1602" s="22" t="n"/>
      <c r="E1602" s="22" t="n"/>
      <c r="F1602" s="27">
        <f>F1600-F1601</f>
        <v/>
      </c>
      <c r="G1602" s="22" t="n"/>
    </row>
    <row r="1603">
      <c r="A1603" s="29" t="inlineStr">
        <is>
          <t>SAY (Rs.) - final DAR rate as printed (fixed value, not computed)</t>
        </is>
      </c>
      <c r="B1603" s="30" t="n"/>
      <c r="C1603" s="30" t="n"/>
      <c r="D1603" s="30" t="n"/>
      <c r="E1603" s="30" t="n"/>
      <c r="F1603" s="31" t="n">
        <v>173.95</v>
      </c>
      <c r="G1603" s="30" t="n"/>
    </row>
    <row r="1605" ht="47.5" customHeight="1">
      <c r="A1605" s="18" t="inlineStr">
        <is>
          <t>9.53</t>
        </is>
      </c>
      <c r="B1605" s="19" t="inlineStr">
        <is>
          <t>Providing 40x5 mm flat iron hold fast 40 cm long including fixing to frame with 10 mm diameter bolts, nuts and wooden plugs and embedding in cement concrete block 30x10x15cm 1:3:6 mix (1 cement : 3 coarse sand : 6 graded stone aggregate 20mm nominal size).</t>
        </is>
      </c>
      <c r="C1605" s="20" t="n"/>
      <c r="D1605" s="20" t="n"/>
      <c r="E1605" s="20" t="n"/>
      <c r="F1605" s="20" t="n"/>
      <c r="G1605" s="20" t="n"/>
    </row>
    <row r="1606">
      <c r="A1606" s="21" t="inlineStr">
        <is>
          <t>Details of cost for 1 no   |   Source: CivilDAR_2019_Vol_1.pdf, page 501</t>
        </is>
      </c>
    </row>
    <row r="1607">
      <c r="A1607" s="5" t="inlineStr">
        <is>
          <t>Code</t>
        </is>
      </c>
      <c r="B1607" s="5" t="inlineStr">
        <is>
          <t>Description</t>
        </is>
      </c>
      <c r="C1607" s="5" t="inlineStr">
        <is>
          <t>Unit</t>
        </is>
      </c>
      <c r="D1607" s="5" t="inlineStr">
        <is>
          <t>Quantity</t>
        </is>
      </c>
      <c r="E1607" s="5" t="inlineStr">
        <is>
          <t>Rate (Rs.)</t>
        </is>
      </c>
      <c r="F1607" s="5" t="inlineStr">
        <is>
          <t>Amount (Rs.)</t>
        </is>
      </c>
      <c r="G1607" s="5" t="inlineStr">
        <is>
          <t>Note</t>
        </is>
      </c>
    </row>
    <row r="1608">
      <c r="A1608" s="22" t="inlineStr">
        <is>
          <t>1008</t>
        </is>
      </c>
      <c r="B1608" s="11" t="inlineStr">
        <is>
          <t>Flats upto 10 mm in thickness</t>
        </is>
      </c>
      <c r="C1608" s="22" t="inlineStr">
        <is>
          <t>quintal</t>
        </is>
      </c>
      <c r="D1608" s="23" t="n">
        <v>0.0067</v>
      </c>
      <c r="E1608" s="24" t="n">
        <v>4500</v>
      </c>
      <c r="F1608" s="24">
        <f>D1608*E1608</f>
        <v/>
      </c>
      <c r="G1608" s="22" t="n"/>
    </row>
    <row r="1609">
      <c r="A1609" s="22" t="inlineStr">
        <is>
          <t>9977</t>
        </is>
      </c>
      <c r="B1609" s="11" t="inlineStr">
        <is>
          <t>Carriage of steel</t>
        </is>
      </c>
      <c r="C1609" s="22" t="inlineStr">
        <is>
          <t>L.S.</t>
        </is>
      </c>
      <c r="D1609" s="23" t="n">
        <v>1.82</v>
      </c>
      <c r="E1609" s="24" t="n">
        <v>2</v>
      </c>
      <c r="F1609" s="24">
        <f>D1609*E1609</f>
        <v/>
      </c>
      <c r="G1609" s="22" t="n"/>
    </row>
    <row r="1610">
      <c r="A1610" s="7" t="inlineStr">
        <is>
          <t>4.2.5</t>
        </is>
      </c>
      <c r="B1610" s="11" t="inlineStr">
        <is>
          <t>Rate as per item 4.2.5 - Providing and laying cement concrete in retaining walls, return walls, walls (any thickness) including atta...</t>
        </is>
      </c>
      <c r="C1610" s="22" t="inlineStr">
        <is>
          <t>cum</t>
        </is>
      </c>
      <c r="D1610" s="23" t="n">
        <v>0.005</v>
      </c>
      <c r="E1610" s="24" t="n">
        <v>8025</v>
      </c>
      <c r="F1610" s="24">
        <f>D1610*E1610</f>
        <v/>
      </c>
      <c r="G1610" s="22" t="n"/>
    </row>
    <row r="1611">
      <c r="A1611" s="22" t="inlineStr">
        <is>
          <t>9999</t>
        </is>
      </c>
      <c r="B1611" s="11" t="inlineStr">
        <is>
          <t>Bolts and nuts</t>
        </is>
      </c>
      <c r="C1611" s="22" t="inlineStr">
        <is>
          <t>L.S.</t>
        </is>
      </c>
      <c r="D1611" s="23" t="n">
        <v>5.46</v>
      </c>
      <c r="E1611" s="24" t="n">
        <v>2</v>
      </c>
      <c r="F1611" s="24">
        <f>D1611*E1611</f>
        <v/>
      </c>
      <c r="G1611" s="22" t="n"/>
    </row>
    <row r="1612">
      <c r="A1612" s="22" t="inlineStr">
        <is>
          <t>0103</t>
        </is>
      </c>
      <c r="B1612" s="11" t="inlineStr">
        <is>
          <t>Blacksmith 2nd class</t>
        </is>
      </c>
      <c r="C1612" s="22" t="inlineStr">
        <is>
          <t>day</t>
        </is>
      </c>
      <c r="D1612" s="23" t="n">
        <v>0.03</v>
      </c>
      <c r="E1612" s="24" t="n">
        <v>679</v>
      </c>
      <c r="F1612" s="24">
        <f>D1612*E1612</f>
        <v/>
      </c>
      <c r="G1612" s="22" t="n"/>
    </row>
    <row r="1613">
      <c r="A1613" s="22" t="inlineStr">
        <is>
          <t>0123</t>
        </is>
      </c>
      <c r="B1613" s="11" t="inlineStr">
        <is>
          <t>Mason (brick layer) 1st class</t>
        </is>
      </c>
      <c r="C1613" s="22" t="inlineStr">
        <is>
          <t>day</t>
        </is>
      </c>
      <c r="D1613" s="23" t="n">
        <v>0.03</v>
      </c>
      <c r="E1613" s="24" t="n">
        <v>738</v>
      </c>
      <c r="F1613" s="24">
        <f>D1613*E1613</f>
        <v/>
      </c>
      <c r="G1613" s="22" t="n"/>
    </row>
    <row r="1614">
      <c r="A1614" s="22" t="inlineStr">
        <is>
          <t>0114</t>
        </is>
      </c>
      <c r="B1614" s="11" t="inlineStr">
        <is>
          <t>Beldar</t>
        </is>
      </c>
      <c r="C1614" s="22" t="inlineStr">
        <is>
          <t>day</t>
        </is>
      </c>
      <c r="D1614" s="23" t="n">
        <v>0.03</v>
      </c>
      <c r="E1614" s="24" t="n">
        <v>558</v>
      </c>
      <c r="F1614" s="24">
        <f>D1614*E1614</f>
        <v/>
      </c>
      <c r="G1614" s="22" t="n"/>
    </row>
    <row r="1615">
      <c r="A1615" s="8" t="inlineStr">
        <is>
          <t>Calculated W - SUM of the Amount column above</t>
        </is>
      </c>
      <c r="B1615" s="9" t="n"/>
      <c r="C1615" s="9" t="n"/>
      <c r="D1615" s="9" t="n"/>
      <c r="E1615" s="9" t="n"/>
      <c r="F1615" s="25">
        <f>SUM(F1608:F1614)</f>
        <v/>
      </c>
      <c r="G1615" s="9" t="n"/>
    </row>
    <row r="1616">
      <c r="A1616" s="26" t="inlineStr">
        <is>
          <t>W as printed in the DAR</t>
        </is>
      </c>
      <c r="B1616" s="22" t="n"/>
      <c r="C1616" s="22" t="n"/>
      <c r="D1616" s="22" t="n"/>
      <c r="E1616" s="22" t="n"/>
      <c r="F1616" s="27" t="n">
        <v>144.09</v>
      </c>
      <c r="G1616" s="22" t="n"/>
    </row>
    <row r="1617">
      <c r="A1617" s="26" t="inlineStr">
        <is>
          <t>Difference (calculated - printed)</t>
        </is>
      </c>
      <c r="B1617" s="22" t="n"/>
      <c r="C1617" s="22" t="n"/>
      <c r="D1617" s="22" t="n"/>
      <c r="E1617" s="22" t="n"/>
      <c r="F1617" s="27">
        <f>F1615-F1616</f>
        <v/>
      </c>
      <c r="G1617" s="22" t="n"/>
    </row>
    <row r="1618">
      <c r="A1618" s="29" t="inlineStr">
        <is>
          <t>SAY (Rs.) - final DAR rate as printed (fixed value, not computed)</t>
        </is>
      </c>
      <c r="B1618" s="30" t="n"/>
      <c r="C1618" s="30" t="n"/>
      <c r="D1618" s="30" t="n"/>
      <c r="E1618" s="30" t="n"/>
      <c r="F1618" s="31" t="n">
        <v>179.2</v>
      </c>
      <c r="G1618" s="30" t="n"/>
    </row>
    <row r="1620" ht="33" customHeight="1">
      <c r="A1620" s="8" t="inlineStr">
        <is>
          <t>9.54</t>
        </is>
      </c>
      <c r="B1620" s="17" t="inlineStr">
        <is>
          <t>Providing beams including hoisting, fixing in position and applying wood preservative for the unexposed surfaces, etc. complete with :</t>
        </is>
      </c>
      <c r="C1620" s="9" t="n"/>
      <c r="D1620" s="9" t="n"/>
      <c r="E1620" s="9" t="n"/>
      <c r="F1620" s="9" t="n"/>
      <c r="G1620" s="9" t="n"/>
    </row>
    <row r="1621" ht="18.5" customHeight="1">
      <c r="A1621" s="18" t="inlineStr">
        <is>
          <t>9.54.1</t>
        </is>
      </c>
      <c r="B1621" s="19" t="inlineStr">
        <is>
          <t>Sal wood</t>
        </is>
      </c>
      <c r="C1621" s="20" t="n"/>
      <c r="D1621" s="20" t="n"/>
      <c r="E1621" s="20" t="n"/>
      <c r="F1621" s="20" t="n"/>
      <c r="G1621" s="20" t="n"/>
    </row>
    <row r="1622">
      <c r="A1622" s="21" t="inlineStr">
        <is>
          <t>Details of cost for 203 cudm   |   Source: CivilDAR_2019_Vol_1.pdf, page 502</t>
        </is>
      </c>
    </row>
    <row r="1623">
      <c r="A1623" s="5" t="inlineStr">
        <is>
          <t>Code</t>
        </is>
      </c>
      <c r="B1623" s="5" t="inlineStr">
        <is>
          <t>Description</t>
        </is>
      </c>
      <c r="C1623" s="5" t="inlineStr">
        <is>
          <t>Unit</t>
        </is>
      </c>
      <c r="D1623" s="5" t="inlineStr">
        <is>
          <t>Quantity</t>
        </is>
      </c>
      <c r="E1623" s="5" t="inlineStr">
        <is>
          <t>Rate (Rs.)</t>
        </is>
      </c>
      <c r="F1623" s="5" t="inlineStr">
        <is>
          <t>Amount (Rs.)</t>
        </is>
      </c>
      <c r="G1623" s="5" t="inlineStr">
        <is>
          <t>Note</t>
        </is>
      </c>
    </row>
    <row r="1624">
      <c r="A1624" s="22" t="inlineStr">
        <is>
          <t>1199</t>
        </is>
      </c>
      <c r="B1624" s="11" t="inlineStr">
        <is>
          <t>Sal wood in scantling</t>
        </is>
      </c>
      <c r="C1624" s="22" t="inlineStr">
        <is>
          <t>10 cudm</t>
        </is>
      </c>
      <c r="D1624" s="23" t="n">
        <v>20.71</v>
      </c>
      <c r="E1624" s="24" t="n">
        <v>600</v>
      </c>
      <c r="F1624" s="24">
        <f>D1624*E1624</f>
        <v/>
      </c>
      <c r="G1624" s="22" t="n"/>
    </row>
    <row r="1625">
      <c r="A1625" s="22" t="inlineStr">
        <is>
          <t>2204</t>
        </is>
      </c>
      <c r="B1625" s="11" t="inlineStr">
        <is>
          <t>Carriage of Timber</t>
        </is>
      </c>
      <c r="C1625" s="22" t="inlineStr">
        <is>
          <t>cum</t>
        </is>
      </c>
      <c r="D1625" s="23" t="n">
        <v>0.2071</v>
      </c>
      <c r="E1625" s="24" t="n">
        <v>118.59</v>
      </c>
      <c r="F1625" s="24">
        <f>D1625*E1625</f>
        <v/>
      </c>
      <c r="G1625" s="22" t="n"/>
    </row>
    <row r="1626">
      <c r="A1626" s="22" t="inlineStr">
        <is>
          <t>13.57.1</t>
        </is>
      </c>
      <c r="B1626" s="11" t="inlineStr">
        <is>
          <t>Rate as per item 13.57.1 - Painting with oil type wood preservative of approved brand and manufacture - New work (two or more coats)</t>
        </is>
      </c>
      <c r="C1626" s="22" t="inlineStr">
        <is>
          <t>sqm</t>
        </is>
      </c>
      <c r="D1626" s="23" t="n">
        <v>0.54</v>
      </c>
      <c r="E1626" s="24" t="n">
        <v>44.5</v>
      </c>
      <c r="F1626" s="24">
        <f>D1626*E1626</f>
        <v/>
      </c>
      <c r="G1626" s="22" t="n"/>
    </row>
    <row r="1627">
      <c r="A1627" s="22" t="inlineStr">
        <is>
          <t>0112</t>
        </is>
      </c>
      <c r="B1627" s="11" t="inlineStr">
        <is>
          <t>Carpenter 2nd class</t>
        </is>
      </c>
      <c r="C1627" s="22" t="inlineStr">
        <is>
          <t>day</t>
        </is>
      </c>
      <c r="D1627" s="23" t="n">
        <v>0.7</v>
      </c>
      <c r="E1627" s="24" t="n">
        <v>679</v>
      </c>
      <c r="F1627" s="24">
        <f>D1627*E1627</f>
        <v/>
      </c>
      <c r="G1627" s="22" t="n"/>
    </row>
    <row r="1628">
      <c r="A1628" s="22" t="inlineStr">
        <is>
          <t>0114</t>
        </is>
      </c>
      <c r="B1628" s="11" t="inlineStr">
        <is>
          <t>Beldar</t>
        </is>
      </c>
      <c r="C1628" s="22" t="inlineStr">
        <is>
          <t>day</t>
        </is>
      </c>
      <c r="D1628" s="23" t="n">
        <v>1.45</v>
      </c>
      <c r="E1628" s="24" t="n">
        <v>558</v>
      </c>
      <c r="F1628" s="24">
        <f>D1628*E1628</f>
        <v/>
      </c>
      <c r="G1628" s="22" t="n"/>
    </row>
    <row r="1629">
      <c r="A1629" s="22" t="inlineStr">
        <is>
          <t>0100</t>
        </is>
      </c>
      <c r="B1629" s="11" t="inlineStr">
        <is>
          <t>Bandhani</t>
        </is>
      </c>
      <c r="C1629" s="22" t="inlineStr">
        <is>
          <t>day</t>
        </is>
      </c>
      <c r="D1629" s="23" t="n">
        <v>0.7</v>
      </c>
      <c r="E1629" s="24" t="n">
        <v>617</v>
      </c>
      <c r="F1629" s="24">
        <f>D1629*E1629</f>
        <v/>
      </c>
      <c r="G1629" s="22" t="n"/>
    </row>
    <row r="1630">
      <c r="A1630" s="22" t="inlineStr">
        <is>
          <t>9999</t>
        </is>
      </c>
      <c r="B1630" s="11" t="inlineStr">
        <is>
          <t>Sundries</t>
        </is>
      </c>
      <c r="C1630" s="22" t="inlineStr">
        <is>
          <t>L.S.</t>
        </is>
      </c>
      <c r="D1630" s="23" t="n">
        <v>26.91</v>
      </c>
      <c r="E1630" s="24" t="n">
        <v>2</v>
      </c>
      <c r="F1630" s="24">
        <f>D1630*E1630</f>
        <v/>
      </c>
      <c r="G1630" s="22" t="n"/>
    </row>
    <row r="1631">
      <c r="A1631" s="8" t="inlineStr">
        <is>
          <t>Calculated W - SUM of the Amount column above</t>
        </is>
      </c>
      <c r="B1631" s="9" t="n"/>
      <c r="C1631" s="9" t="n"/>
      <c r="D1631" s="9" t="n"/>
      <c r="E1631" s="9" t="n"/>
      <c r="F1631" s="25">
        <f>SUM(F1624:F1630)</f>
        <v/>
      </c>
      <c r="G1631" s="9" t="n"/>
    </row>
    <row r="1632">
      <c r="A1632" s="26" t="inlineStr">
        <is>
          <t>W as printed in the DAR</t>
        </is>
      </c>
      <c r="B1632" s="22" t="n"/>
      <c r="C1632" s="22" t="n"/>
      <c r="D1632" s="22" t="n"/>
      <c r="E1632" s="22" t="n"/>
      <c r="F1632" s="27" t="n">
        <v>14244.71</v>
      </c>
      <c r="G1632" s="22" t="n"/>
    </row>
    <row r="1633">
      <c r="A1633" s="26" t="inlineStr">
        <is>
          <t>Difference (calculated - printed)</t>
        </is>
      </c>
      <c r="B1633" s="22" t="n"/>
      <c r="C1633" s="22" t="n"/>
      <c r="D1633" s="22" t="n"/>
      <c r="E1633" s="22" t="n"/>
      <c r="F1633" s="27">
        <f>F1631-F1632</f>
        <v/>
      </c>
      <c r="G1633" s="22" t="n"/>
    </row>
    <row r="1634">
      <c r="A1634" s="29" t="inlineStr">
        <is>
          <t>SAY (Rs.) - final DAR rate as printed (fixed value, not computed)</t>
        </is>
      </c>
      <c r="B1634" s="30" t="n"/>
      <c r="C1634" s="30" t="n"/>
      <c r="D1634" s="30" t="n"/>
      <c r="E1634" s="30" t="n"/>
      <c r="F1634" s="31" t="n">
        <v>93844.39999999999</v>
      </c>
      <c r="G1634" s="30" t="n"/>
    </row>
    <row r="1636" ht="33" customHeight="1">
      <c r="A1636" s="8" t="inlineStr">
        <is>
          <t>9.54</t>
        </is>
      </c>
      <c r="B1636" s="17" t="inlineStr">
        <is>
          <t>Providing beams including hoisting, fixing in position and applying wood preservative for the unexposed surfaces, etc. complete with :</t>
        </is>
      </c>
      <c r="C1636" s="9" t="n"/>
      <c r="D1636" s="9" t="n"/>
      <c r="E1636" s="9" t="n"/>
      <c r="F1636" s="9" t="n"/>
      <c r="G1636" s="9" t="n"/>
    </row>
    <row r="1637" ht="18.5" customHeight="1">
      <c r="A1637" s="18" t="inlineStr">
        <is>
          <t>9.54.2</t>
        </is>
      </c>
      <c r="B1637" s="19" t="inlineStr">
        <is>
          <t>Hollock wood</t>
        </is>
      </c>
      <c r="C1637" s="20" t="n"/>
      <c r="D1637" s="20" t="n"/>
      <c r="E1637" s="20" t="n"/>
      <c r="F1637" s="20" t="n"/>
      <c r="G1637" s="20" t="n"/>
    </row>
    <row r="1638">
      <c r="A1638" s="21" t="inlineStr">
        <is>
          <t>Details of cost for 203 cudm   |   Source: CivilDAR_2019_Vol_1.pdf, page 503</t>
        </is>
      </c>
    </row>
    <row r="1639">
      <c r="A1639" s="5" t="inlineStr">
        <is>
          <t>Code</t>
        </is>
      </c>
      <c r="B1639" s="5" t="inlineStr">
        <is>
          <t>Description</t>
        </is>
      </c>
      <c r="C1639" s="5" t="inlineStr">
        <is>
          <t>Unit</t>
        </is>
      </c>
      <c r="D1639" s="5" t="inlineStr">
        <is>
          <t>Quantity</t>
        </is>
      </c>
      <c r="E1639" s="5" t="inlineStr">
        <is>
          <t>Rate (Rs.)</t>
        </is>
      </c>
      <c r="F1639" s="5" t="inlineStr">
        <is>
          <t>Amount (Rs.)</t>
        </is>
      </c>
      <c r="G1639" s="5" t="inlineStr">
        <is>
          <t>Note</t>
        </is>
      </c>
    </row>
    <row r="1640">
      <c r="A1640" s="22" t="inlineStr">
        <is>
          <t>2466</t>
        </is>
      </c>
      <c r="B1640" s="11" t="inlineStr">
        <is>
          <t>Hollock wood in scantling</t>
        </is>
      </c>
      <c r="C1640" s="22" t="inlineStr">
        <is>
          <t>10 cudm</t>
        </is>
      </c>
      <c r="D1640" s="23" t="n">
        <v>20.71</v>
      </c>
      <c r="E1640" s="24" t="n">
        <v>350</v>
      </c>
      <c r="F1640" s="24">
        <f>D1640*E1640</f>
        <v/>
      </c>
      <c r="G1640" s="22" t="n"/>
    </row>
    <row r="1641">
      <c r="A1641" s="22" t="inlineStr">
        <is>
          <t>2204</t>
        </is>
      </c>
      <c r="B1641" s="11" t="inlineStr">
        <is>
          <t>Carriage of Timber</t>
        </is>
      </c>
      <c r="C1641" s="22" t="inlineStr">
        <is>
          <t>cum</t>
        </is>
      </c>
      <c r="D1641" s="23" t="n">
        <v>0.207</v>
      </c>
      <c r="E1641" s="24" t="n">
        <v>118.59</v>
      </c>
      <c r="F1641" s="24">
        <f>D1641*E1641</f>
        <v/>
      </c>
      <c r="G1641" s="22" t="n"/>
    </row>
    <row r="1642">
      <c r="A1642" s="22" t="inlineStr">
        <is>
          <t>13.57.1</t>
        </is>
      </c>
      <c r="B1642" s="11" t="inlineStr">
        <is>
          <t>Rate as per item 13.57.1 - Painting with oil type wood preservative of approved brand and manufacture - New work (two or more coats)</t>
        </is>
      </c>
      <c r="C1642" s="22" t="inlineStr">
        <is>
          <t>sqm</t>
        </is>
      </c>
      <c r="D1642" s="23" t="n">
        <v>0.54</v>
      </c>
      <c r="E1642" s="24" t="n">
        <v>44.5</v>
      </c>
      <c r="F1642" s="24">
        <f>D1642*E1642</f>
        <v/>
      </c>
      <c r="G1642" s="22" t="n"/>
    </row>
    <row r="1643">
      <c r="A1643" s="22" t="inlineStr">
        <is>
          <t>0112</t>
        </is>
      </c>
      <c r="B1643" s="11" t="inlineStr">
        <is>
          <t>Carpenter 2nd class</t>
        </is>
      </c>
      <c r="C1643" s="22" t="inlineStr">
        <is>
          <t>day</t>
        </is>
      </c>
      <c r="D1643" s="23" t="n">
        <v>0.7</v>
      </c>
      <c r="E1643" s="24" t="n">
        <v>679</v>
      </c>
      <c r="F1643" s="24">
        <f>D1643*E1643</f>
        <v/>
      </c>
      <c r="G1643" s="22" t="n"/>
    </row>
    <row r="1644">
      <c r="A1644" s="22" t="inlineStr">
        <is>
          <t>0114</t>
        </is>
      </c>
      <c r="B1644" s="11" t="inlineStr">
        <is>
          <t>Beldar</t>
        </is>
      </c>
      <c r="C1644" s="22" t="inlineStr">
        <is>
          <t>day</t>
        </is>
      </c>
      <c r="D1644" s="23" t="n">
        <v>1.45</v>
      </c>
      <c r="E1644" s="24" t="n">
        <v>558</v>
      </c>
      <c r="F1644" s="24">
        <f>D1644*E1644</f>
        <v/>
      </c>
      <c r="G1644" s="22" t="n"/>
    </row>
    <row r="1645">
      <c r="A1645" s="22" t="inlineStr">
        <is>
          <t>0100</t>
        </is>
      </c>
      <c r="B1645" s="11" t="inlineStr">
        <is>
          <t>Bandhani</t>
        </is>
      </c>
      <c r="C1645" s="22" t="inlineStr">
        <is>
          <t>day</t>
        </is>
      </c>
      <c r="D1645" s="23" t="n">
        <v>0.7</v>
      </c>
      <c r="E1645" s="24" t="n">
        <v>617</v>
      </c>
      <c r="F1645" s="24">
        <f>D1645*E1645</f>
        <v/>
      </c>
      <c r="G1645" s="22" t="n"/>
    </row>
    <row r="1646">
      <c r="A1646" s="22" t="inlineStr">
        <is>
          <t>9999</t>
        </is>
      </c>
      <c r="B1646" s="11" t="inlineStr">
        <is>
          <t>Sundries</t>
        </is>
      </c>
      <c r="C1646" s="22" t="inlineStr">
        <is>
          <t>L.S.</t>
        </is>
      </c>
      <c r="D1646" s="23" t="n">
        <v>26.91</v>
      </c>
      <c r="E1646" s="24" t="n">
        <v>2</v>
      </c>
      <c r="F1646" s="24">
        <f>D1646*E1646</f>
        <v/>
      </c>
      <c r="G1646" s="22" t="n"/>
    </row>
    <row r="1647">
      <c r="A1647" s="8" t="inlineStr">
        <is>
          <t>Calculated W - SUM of the Amount column above</t>
        </is>
      </c>
      <c r="B1647" s="9" t="n"/>
      <c r="C1647" s="9" t="n"/>
      <c r="D1647" s="9" t="n"/>
      <c r="E1647" s="9" t="n"/>
      <c r="F1647" s="25">
        <f>SUM(F1640:F1646)</f>
        <v/>
      </c>
      <c r="G1647" s="9" t="n"/>
    </row>
    <row r="1648">
      <c r="A1648" s="26" t="inlineStr">
        <is>
          <t>W as printed in the DAR</t>
        </is>
      </c>
      <c r="B1648" s="22" t="n"/>
      <c r="C1648" s="22" t="n"/>
      <c r="D1648" s="22" t="n"/>
      <c r="E1648" s="22" t="n"/>
      <c r="F1648" s="27" t="n">
        <v>9067.200000000001</v>
      </c>
      <c r="G1648" s="22" t="n"/>
    </row>
    <row r="1649">
      <c r="A1649" s="26" t="inlineStr">
        <is>
          <t>Difference (calculated - printed)</t>
        </is>
      </c>
      <c r="B1649" s="22" t="n"/>
      <c r="C1649" s="22" t="n"/>
      <c r="D1649" s="22" t="n"/>
      <c r="E1649" s="22" t="n"/>
      <c r="F1649" s="27">
        <f>F1647-F1648</f>
        <v/>
      </c>
      <c r="G1649" s="22" t="n"/>
    </row>
    <row r="1650">
      <c r="A1650" s="29" t="inlineStr">
        <is>
          <t>SAY (Rs.) - final DAR rate as printed (fixed value, not computed)</t>
        </is>
      </c>
      <c r="B1650" s="30" t="n"/>
      <c r="C1650" s="30" t="n"/>
      <c r="D1650" s="30" t="n"/>
      <c r="E1650" s="30" t="n"/>
      <c r="F1650" s="31" t="n">
        <v>59720.35</v>
      </c>
      <c r="G1650" s="30" t="n"/>
    </row>
    <row r="1652" ht="18.5" customHeight="1">
      <c r="A1652" s="8" t="inlineStr">
        <is>
          <t>9.55</t>
        </is>
      </c>
      <c r="B1652" s="17" t="inlineStr">
        <is>
          <t>Providing and fixing ISI marked M.S. pressed butt hinges bright finished with necessary screws etc. complete :</t>
        </is>
      </c>
      <c r="C1652" s="9" t="n"/>
      <c r="D1652" s="9" t="n"/>
      <c r="E1652" s="9" t="n"/>
      <c r="F1652" s="9" t="n"/>
      <c r="G1652" s="9" t="n"/>
    </row>
    <row r="1653" ht="18.5" customHeight="1">
      <c r="A1653" s="18" t="inlineStr">
        <is>
          <t>9.55.1</t>
        </is>
      </c>
      <c r="B1653" s="19" t="inlineStr">
        <is>
          <t>125x65x2.12 mm</t>
        </is>
      </c>
      <c r="C1653" s="20" t="n"/>
      <c r="D1653" s="20" t="n"/>
      <c r="E1653" s="20" t="n"/>
      <c r="F1653" s="20" t="n"/>
      <c r="G1653" s="20" t="n"/>
    </row>
    <row r="1654">
      <c r="A1654" s="21" t="inlineStr">
        <is>
          <t>Details of cost for 10 nos   |   Source: CivilDAR_2019_Vol_1.pdf, page 503</t>
        </is>
      </c>
    </row>
    <row r="1655">
      <c r="A1655" s="5" t="inlineStr">
        <is>
          <t>Code</t>
        </is>
      </c>
      <c r="B1655" s="5" t="inlineStr">
        <is>
          <t>Description</t>
        </is>
      </c>
      <c r="C1655" s="5" t="inlineStr">
        <is>
          <t>Unit</t>
        </is>
      </c>
      <c r="D1655" s="5" t="inlineStr">
        <is>
          <t>Quantity</t>
        </is>
      </c>
      <c r="E1655" s="5" t="inlineStr">
        <is>
          <t>Rate (Rs.)</t>
        </is>
      </c>
      <c r="F1655" s="5" t="inlineStr">
        <is>
          <t>Amount (Rs.)</t>
        </is>
      </c>
      <c r="G1655" s="5" t="inlineStr">
        <is>
          <t>Note</t>
        </is>
      </c>
    </row>
    <row r="1656">
      <c r="A1656" s="22" t="inlineStr">
        <is>
          <t>0594</t>
        </is>
      </c>
      <c r="B1656" s="11" t="inlineStr">
        <is>
          <t>Bright finished or black enamelled mild steel butt hinges 125x65x2.12 mm</t>
        </is>
      </c>
      <c r="C1656" s="22" t="inlineStr">
        <is>
          <t>10 Nos</t>
        </is>
      </c>
      <c r="D1656" s="23" t="n">
        <v>1</v>
      </c>
      <c r="E1656" s="24" t="n">
        <v>135</v>
      </c>
      <c r="F1656" s="24">
        <f>D1656*E1656</f>
        <v/>
      </c>
      <c r="G1656" s="22" t="n"/>
    </row>
    <row r="1657">
      <c r="A1657" s="22" t="inlineStr">
        <is>
          <t>0635</t>
        </is>
      </c>
      <c r="B1657" s="11" t="inlineStr">
        <is>
          <t>Bright finished or black enamelled mild steel screws 50 mm</t>
        </is>
      </c>
      <c r="C1657" s="22" t="inlineStr">
        <is>
          <t>100 Nos</t>
        </is>
      </c>
      <c r="D1657" s="23" t="n">
        <v>0.8</v>
      </c>
      <c r="E1657" s="24" t="n">
        <v>75</v>
      </c>
      <c r="F1657" s="24">
        <f>D1657*E1657</f>
        <v/>
      </c>
      <c r="G1657" s="22" t="n"/>
    </row>
    <row r="1658">
      <c r="A1658" s="22" t="inlineStr">
        <is>
          <t>9977</t>
        </is>
      </c>
      <c r="B1658" s="11" t="inlineStr">
        <is>
          <t>Carriage of materials</t>
        </is>
      </c>
      <c r="C1658" s="22" t="inlineStr">
        <is>
          <t>L.S.</t>
        </is>
      </c>
      <c r="D1658" s="23" t="n">
        <v>2.73</v>
      </c>
      <c r="E1658" s="24" t="n">
        <v>2</v>
      </c>
      <c r="F1658" s="24">
        <f>D1658*E1658</f>
        <v/>
      </c>
      <c r="G1658" s="22" t="n"/>
    </row>
    <row r="1659">
      <c r="A1659" s="22" t="inlineStr">
        <is>
          <t>0112</t>
        </is>
      </c>
      <c r="B1659" s="11" t="inlineStr">
        <is>
          <t>Carpenter 2nd class</t>
        </is>
      </c>
      <c r="C1659" s="22" t="inlineStr">
        <is>
          <t>day</t>
        </is>
      </c>
      <c r="D1659" s="23" t="n">
        <v>0.14</v>
      </c>
      <c r="E1659" s="24" t="n">
        <v>679</v>
      </c>
      <c r="F1659" s="24">
        <f>D1659*E1659</f>
        <v/>
      </c>
      <c r="G1659" s="22" t="n"/>
    </row>
    <row r="1660">
      <c r="A1660" s="22" t="inlineStr">
        <is>
          <t>0114</t>
        </is>
      </c>
      <c r="B1660" s="11" t="inlineStr">
        <is>
          <t>Beldar</t>
        </is>
      </c>
      <c r="C1660" s="22" t="inlineStr">
        <is>
          <t>day</t>
        </is>
      </c>
      <c r="D1660" s="23" t="n">
        <v>0.09</v>
      </c>
      <c r="E1660" s="24" t="n">
        <v>558</v>
      </c>
      <c r="F1660" s="24">
        <f>D1660*E1660</f>
        <v/>
      </c>
      <c r="G1660" s="22" t="n"/>
    </row>
    <row r="1661">
      <c r="A1661" s="8" t="inlineStr">
        <is>
          <t>Calculated W - SUM of the Amount column above</t>
        </is>
      </c>
      <c r="B1661" s="9" t="n"/>
      <c r="C1661" s="9" t="n"/>
      <c r="D1661" s="9" t="n"/>
      <c r="E1661" s="9" t="n"/>
      <c r="F1661" s="25">
        <f>SUM(F1656:F1660)</f>
        <v/>
      </c>
      <c r="G1661" s="9" t="n"/>
    </row>
    <row r="1662">
      <c r="A1662" s="26" t="inlineStr">
        <is>
          <t>W as printed in the DAR</t>
        </is>
      </c>
      <c r="B1662" s="22" t="n"/>
      <c r="C1662" s="22" t="n"/>
      <c r="D1662" s="22" t="n"/>
      <c r="E1662" s="22" t="n"/>
      <c r="F1662" s="27" t="n">
        <v>345.74</v>
      </c>
      <c r="G1662" s="22" t="n"/>
    </row>
    <row r="1663">
      <c r="A1663" s="26" t="inlineStr">
        <is>
          <t>Difference (calculated - printed)</t>
        </is>
      </c>
      <c r="B1663" s="22" t="n"/>
      <c r="C1663" s="22" t="n"/>
      <c r="D1663" s="22" t="n"/>
      <c r="E1663" s="22" t="n"/>
      <c r="F1663" s="27">
        <f>F1661-F1662</f>
        <v/>
      </c>
      <c r="G1663" s="22" t="n"/>
    </row>
    <row r="1664">
      <c r="A1664" s="29" t="inlineStr">
        <is>
          <t>SAY (Rs.) - final DAR rate as printed (fixed value, not computed)</t>
        </is>
      </c>
      <c r="B1664" s="30" t="n"/>
      <c r="C1664" s="30" t="n"/>
      <c r="D1664" s="30" t="n"/>
      <c r="E1664" s="30" t="n"/>
      <c r="F1664" s="31" t="n">
        <v>46.25</v>
      </c>
      <c r="G1664" s="30" t="n"/>
    </row>
    <row r="1666" ht="18.5" customHeight="1">
      <c r="A1666" s="8" t="inlineStr">
        <is>
          <t>9.55</t>
        </is>
      </c>
      <c r="B1666" s="17" t="inlineStr">
        <is>
          <t>Providing and fixing ISI marked M.S. pressed butt hinges bright finished with necessary screws etc. complete :</t>
        </is>
      </c>
      <c r="C1666" s="9" t="n"/>
      <c r="D1666" s="9" t="n"/>
      <c r="E1666" s="9" t="n"/>
      <c r="F1666" s="9" t="n"/>
      <c r="G1666" s="9" t="n"/>
    </row>
    <row r="1667" ht="18.5" customHeight="1">
      <c r="A1667" s="18" t="inlineStr">
        <is>
          <t>9.55.2</t>
        </is>
      </c>
      <c r="B1667" s="19" t="inlineStr">
        <is>
          <t>100x58x1.90 mm</t>
        </is>
      </c>
      <c r="C1667" s="20" t="n"/>
      <c r="D1667" s="20" t="n"/>
      <c r="E1667" s="20" t="n"/>
      <c r="F1667" s="20" t="n"/>
      <c r="G1667" s="20" t="n"/>
    </row>
    <row r="1668">
      <c r="A1668" s="21" t="inlineStr">
        <is>
          <t>Details of cost for 10 nos   |   Source: CivilDAR_2019_Vol_1.pdf, page 504</t>
        </is>
      </c>
    </row>
    <row r="1669">
      <c r="A1669" s="5" t="inlineStr">
        <is>
          <t>Code</t>
        </is>
      </c>
      <c r="B1669" s="5" t="inlineStr">
        <is>
          <t>Description</t>
        </is>
      </c>
      <c r="C1669" s="5" t="inlineStr">
        <is>
          <t>Unit</t>
        </is>
      </c>
      <c r="D1669" s="5" t="inlineStr">
        <is>
          <t>Quantity</t>
        </is>
      </c>
      <c r="E1669" s="5" t="inlineStr">
        <is>
          <t>Rate (Rs.)</t>
        </is>
      </c>
      <c r="F1669" s="5" t="inlineStr">
        <is>
          <t>Amount (Rs.)</t>
        </is>
      </c>
      <c r="G1669" s="5" t="inlineStr">
        <is>
          <t>Note</t>
        </is>
      </c>
    </row>
    <row r="1670">
      <c r="A1670" s="22" t="inlineStr">
        <is>
          <t>0595</t>
        </is>
      </c>
      <c r="B1670" s="11" t="inlineStr">
        <is>
          <t>Bright finished or black enamelled mild steel butt hinges 100x58x1.90 mm</t>
        </is>
      </c>
      <c r="C1670" s="22" t="inlineStr">
        <is>
          <t>10 Nos</t>
        </is>
      </c>
      <c r="D1670" s="23" t="n">
        <v>1</v>
      </c>
      <c r="E1670" s="24" t="n">
        <v>80</v>
      </c>
      <c r="F1670" s="24">
        <f>D1670*E1670</f>
        <v/>
      </c>
      <c r="G1670" s="22" t="n"/>
    </row>
    <row r="1671">
      <c r="A1671" s="22" t="inlineStr">
        <is>
          <t>0637</t>
        </is>
      </c>
      <c r="B1671" s="11" t="inlineStr">
        <is>
          <t>Bright finished or black enamelled mild steel screws 40 mm</t>
        </is>
      </c>
      <c r="C1671" s="22" t="inlineStr">
        <is>
          <t>100 Nos</t>
        </is>
      </c>
      <c r="D1671" s="23" t="n">
        <v>0.8</v>
      </c>
      <c r="E1671" s="24" t="n">
        <v>60</v>
      </c>
      <c r="F1671" s="24">
        <f>D1671*E1671</f>
        <v/>
      </c>
      <c r="G1671" s="22" t="n"/>
    </row>
    <row r="1672">
      <c r="A1672" s="22" t="inlineStr">
        <is>
          <t>9977</t>
        </is>
      </c>
      <c r="B1672" s="11" t="inlineStr">
        <is>
          <t>Carriage of materials</t>
        </is>
      </c>
      <c r="C1672" s="22" t="inlineStr">
        <is>
          <t>L.S.</t>
        </is>
      </c>
      <c r="D1672" s="23" t="n">
        <v>2.73</v>
      </c>
      <c r="E1672" s="24" t="n">
        <v>2</v>
      </c>
      <c r="F1672" s="24">
        <f>D1672*E1672</f>
        <v/>
      </c>
      <c r="G1672" s="22" t="n"/>
    </row>
    <row r="1673">
      <c r="A1673" s="22" t="inlineStr">
        <is>
          <t>0112</t>
        </is>
      </c>
      <c r="B1673" s="11" t="inlineStr">
        <is>
          <t>Carpenter 2nd class</t>
        </is>
      </c>
      <c r="C1673" s="22" t="inlineStr">
        <is>
          <t>day</t>
        </is>
      </c>
      <c r="D1673" s="23" t="n">
        <v>0.14</v>
      </c>
      <c r="E1673" s="24" t="n">
        <v>679</v>
      </c>
      <c r="F1673" s="24">
        <f>D1673*E1673</f>
        <v/>
      </c>
      <c r="G1673" s="22" t="n"/>
    </row>
    <row r="1674">
      <c r="A1674" s="22" t="inlineStr">
        <is>
          <t>0114</t>
        </is>
      </c>
      <c r="B1674" s="11" t="inlineStr">
        <is>
          <t>Beldar</t>
        </is>
      </c>
      <c r="C1674" s="22" t="inlineStr">
        <is>
          <t>day</t>
        </is>
      </c>
      <c r="D1674" s="23" t="n">
        <v>0.09</v>
      </c>
      <c r="E1674" s="24" t="n">
        <v>558</v>
      </c>
      <c r="F1674" s="24">
        <f>D1674*E1674</f>
        <v/>
      </c>
      <c r="G1674" s="22" t="n"/>
    </row>
    <row r="1675">
      <c r="A1675" s="8" t="inlineStr">
        <is>
          <t>Calculated W - SUM of the Amount column above</t>
        </is>
      </c>
      <c r="B1675" s="9" t="n"/>
      <c r="C1675" s="9" t="n"/>
      <c r="D1675" s="9" t="n"/>
      <c r="E1675" s="9" t="n"/>
      <c r="F1675" s="25">
        <f>SUM(F1670:F1674)</f>
        <v/>
      </c>
      <c r="G1675" s="9" t="n"/>
    </row>
    <row r="1676">
      <c r="A1676" s="26" t="inlineStr">
        <is>
          <t>W as printed in the DAR</t>
        </is>
      </c>
      <c r="B1676" s="22" t="n"/>
      <c r="C1676" s="22" t="n"/>
      <c r="D1676" s="22" t="n"/>
      <c r="E1676" s="22" t="n"/>
      <c r="F1676" s="27" t="n">
        <v>278.74</v>
      </c>
      <c r="G1676" s="22" t="n"/>
    </row>
    <row r="1677">
      <c r="A1677" s="26" t="inlineStr">
        <is>
          <t>Difference (calculated - printed)</t>
        </is>
      </c>
      <c r="B1677" s="22" t="n"/>
      <c r="C1677" s="22" t="n"/>
      <c r="D1677" s="22" t="n"/>
      <c r="E1677" s="22" t="n"/>
      <c r="F1677" s="27">
        <f>F1675-F1676</f>
        <v/>
      </c>
      <c r="G1677" s="22" t="n"/>
    </row>
    <row r="1678">
      <c r="A1678" s="29" t="inlineStr">
        <is>
          <t>SAY (Rs.) - final DAR rate as printed (fixed value, not computed)</t>
        </is>
      </c>
      <c r="B1678" s="30" t="n"/>
      <c r="C1678" s="30" t="n"/>
      <c r="D1678" s="30" t="n"/>
      <c r="E1678" s="30" t="n"/>
      <c r="F1678" s="31" t="n">
        <v>37.3</v>
      </c>
      <c r="G1678" s="30" t="n"/>
    </row>
    <row r="1680" ht="18.5" customHeight="1">
      <c r="A1680" s="8" t="inlineStr">
        <is>
          <t>9.55</t>
        </is>
      </c>
      <c r="B1680" s="17" t="inlineStr">
        <is>
          <t>Providing and fixing ISI marked M.S. pressed butt hinges bright finished with necessary screws etc. complete :</t>
        </is>
      </c>
      <c r="C1680" s="9" t="n"/>
      <c r="D1680" s="9" t="n"/>
      <c r="E1680" s="9" t="n"/>
      <c r="F1680" s="9" t="n"/>
      <c r="G1680" s="9" t="n"/>
    </row>
    <row r="1681" ht="18.5" customHeight="1">
      <c r="A1681" s="18" t="inlineStr">
        <is>
          <t>9.55.3</t>
        </is>
      </c>
      <c r="B1681" s="19" t="inlineStr">
        <is>
          <t>75x47x1.70 mm</t>
        </is>
      </c>
      <c r="C1681" s="20" t="n"/>
      <c r="D1681" s="20" t="n"/>
      <c r="E1681" s="20" t="n"/>
      <c r="F1681" s="20" t="n"/>
      <c r="G1681" s="20" t="n"/>
    </row>
    <row r="1682">
      <c r="A1682" s="21" t="inlineStr">
        <is>
          <t>Details of cost for 10 nos   |   Source: CivilDAR_2019_Vol_1.pdf, page 504</t>
        </is>
      </c>
    </row>
    <row r="1683">
      <c r="A1683" s="5" t="inlineStr">
        <is>
          <t>Code</t>
        </is>
      </c>
      <c r="B1683" s="5" t="inlineStr">
        <is>
          <t>Description</t>
        </is>
      </c>
      <c r="C1683" s="5" t="inlineStr">
        <is>
          <t>Unit</t>
        </is>
      </c>
      <c r="D1683" s="5" t="inlineStr">
        <is>
          <t>Quantity</t>
        </is>
      </c>
      <c r="E1683" s="5" t="inlineStr">
        <is>
          <t>Rate (Rs.)</t>
        </is>
      </c>
      <c r="F1683" s="5" t="inlineStr">
        <is>
          <t>Amount (Rs.)</t>
        </is>
      </c>
      <c r="G1683" s="5" t="inlineStr">
        <is>
          <t>Note</t>
        </is>
      </c>
    </row>
    <row r="1684">
      <c r="A1684" s="22" t="inlineStr">
        <is>
          <t>0596</t>
        </is>
      </c>
      <c r="B1684" s="11" t="inlineStr">
        <is>
          <t>Bright finished or black enamelled mild steel butt hinges75x47x1.70 mm</t>
        </is>
      </c>
      <c r="C1684" s="22" t="inlineStr">
        <is>
          <t>10 Nos</t>
        </is>
      </c>
      <c r="D1684" s="23" t="n">
        <v>1</v>
      </c>
      <c r="E1684" s="24" t="n">
        <v>56</v>
      </c>
      <c r="F1684" s="24">
        <f>D1684*E1684</f>
        <v/>
      </c>
      <c r="G1684" s="22" t="n"/>
    </row>
    <row r="1685">
      <c r="A1685" s="22" t="inlineStr">
        <is>
          <t>0638</t>
        </is>
      </c>
      <c r="B1685" s="11" t="inlineStr">
        <is>
          <t>Bright finished or black enamelled mild steel screws 30 mm</t>
        </is>
      </c>
      <c r="C1685" s="22" t="inlineStr">
        <is>
          <t>100 Nos</t>
        </is>
      </c>
      <c r="D1685" s="23" t="n">
        <v>0.6</v>
      </c>
      <c r="E1685" s="24" t="n">
        <v>45</v>
      </c>
      <c r="F1685" s="24">
        <f>D1685*E1685</f>
        <v/>
      </c>
      <c r="G1685" s="22" t="n"/>
    </row>
    <row r="1686">
      <c r="A1686" s="22" t="inlineStr">
        <is>
          <t>9977</t>
        </is>
      </c>
      <c r="B1686" s="11" t="inlineStr">
        <is>
          <t>Carriage of materials</t>
        </is>
      </c>
      <c r="C1686" s="22" t="inlineStr">
        <is>
          <t>L.S.</t>
        </is>
      </c>
      <c r="D1686" s="23" t="n">
        <v>1.82</v>
      </c>
      <c r="E1686" s="24" t="n">
        <v>2</v>
      </c>
      <c r="F1686" s="24">
        <f>D1686*E1686</f>
        <v/>
      </c>
      <c r="G1686" s="22" t="n"/>
    </row>
    <row r="1687">
      <c r="A1687" s="22" t="inlineStr">
        <is>
          <t>0112</t>
        </is>
      </c>
      <c r="B1687" s="11" t="inlineStr">
        <is>
          <t>Carpenter 2nd class</t>
        </is>
      </c>
      <c r="C1687" s="22" t="inlineStr">
        <is>
          <t>day</t>
        </is>
      </c>
      <c r="D1687" s="23" t="n">
        <v>0.14</v>
      </c>
      <c r="E1687" s="24" t="n">
        <v>679</v>
      </c>
      <c r="F1687" s="24">
        <f>D1687*E1687</f>
        <v/>
      </c>
      <c r="G1687" s="22" t="n"/>
    </row>
    <row r="1688">
      <c r="A1688" s="22" t="inlineStr">
        <is>
          <t>0114</t>
        </is>
      </c>
      <c r="B1688" s="11" t="inlineStr">
        <is>
          <t>Beldar</t>
        </is>
      </c>
      <c r="C1688" s="22" t="inlineStr">
        <is>
          <t>day</t>
        </is>
      </c>
      <c r="D1688" s="23" t="n">
        <v>0.09</v>
      </c>
      <c r="E1688" s="24" t="n">
        <v>558</v>
      </c>
      <c r="F1688" s="24">
        <f>D1688*E1688</f>
        <v/>
      </c>
      <c r="G1688" s="22" t="n"/>
    </row>
    <row r="1689">
      <c r="A1689" s="8" t="inlineStr">
        <is>
          <t>Calculated W - SUM of the Amount column above</t>
        </is>
      </c>
      <c r="B1689" s="9" t="n"/>
      <c r="C1689" s="9" t="n"/>
      <c r="D1689" s="9" t="n"/>
      <c r="E1689" s="9" t="n"/>
      <c r="F1689" s="25">
        <f>SUM(F1684:F1688)</f>
        <v/>
      </c>
      <c r="G1689" s="9" t="n"/>
    </row>
    <row r="1690">
      <c r="A1690" s="26" t="inlineStr">
        <is>
          <t>W as printed in the DAR</t>
        </is>
      </c>
      <c r="B1690" s="22" t="n"/>
      <c r="C1690" s="22" t="n"/>
      <c r="D1690" s="22" t="n"/>
      <c r="E1690" s="22" t="n"/>
      <c r="F1690" s="27" t="n">
        <v>231.92</v>
      </c>
      <c r="G1690" s="22" t="n"/>
    </row>
    <row r="1691">
      <c r="A1691" s="26" t="inlineStr">
        <is>
          <t>Difference (calculated - printed)</t>
        </is>
      </c>
      <c r="B1691" s="22" t="n"/>
      <c r="C1691" s="22" t="n"/>
      <c r="D1691" s="22" t="n"/>
      <c r="E1691" s="22" t="n"/>
      <c r="F1691" s="27">
        <f>F1689-F1690</f>
        <v/>
      </c>
      <c r="G1691" s="22" t="n"/>
    </row>
    <row r="1692">
      <c r="A1692" s="29" t="inlineStr">
        <is>
          <t>SAY (Rs.) - final DAR rate as printed (fixed value, not computed)</t>
        </is>
      </c>
      <c r="B1692" s="30" t="n"/>
      <c r="C1692" s="30" t="n"/>
      <c r="D1692" s="30" t="n"/>
      <c r="E1692" s="30" t="n"/>
      <c r="F1692" s="31" t="n">
        <v>31.05</v>
      </c>
      <c r="G1692" s="30" t="n"/>
    </row>
    <row r="1694" ht="18.5" customHeight="1">
      <c r="A1694" s="8" t="inlineStr">
        <is>
          <t>9.55</t>
        </is>
      </c>
      <c r="B1694" s="17" t="inlineStr">
        <is>
          <t>Providing and fixing ISI marked M.S. pressed butt hinges bright finished with necessary screws etc. complete :</t>
        </is>
      </c>
      <c r="C1694" s="9" t="n"/>
      <c r="D1694" s="9" t="n"/>
      <c r="E1694" s="9" t="n"/>
      <c r="F1694" s="9" t="n"/>
      <c r="G1694" s="9" t="n"/>
    </row>
    <row r="1695" ht="18.5" customHeight="1">
      <c r="A1695" s="18" t="inlineStr">
        <is>
          <t>9.55.4</t>
        </is>
      </c>
      <c r="B1695" s="19" t="inlineStr">
        <is>
          <t>50x37x1.50 mm</t>
        </is>
      </c>
      <c r="C1695" s="20" t="n"/>
      <c r="D1695" s="20" t="n"/>
      <c r="E1695" s="20" t="n"/>
      <c r="F1695" s="20" t="n"/>
      <c r="G1695" s="20" t="n"/>
    </row>
    <row r="1696">
      <c r="A1696" s="21" t="inlineStr">
        <is>
          <t>Details of cost for 10 nos   |   Source: CivilDAR_2019_Vol_1.pdf, page 505</t>
        </is>
      </c>
    </row>
    <row r="1697">
      <c r="A1697" s="5" t="inlineStr">
        <is>
          <t>Code</t>
        </is>
      </c>
      <c r="B1697" s="5" t="inlineStr">
        <is>
          <t>Description</t>
        </is>
      </c>
      <c r="C1697" s="5" t="inlineStr">
        <is>
          <t>Unit</t>
        </is>
      </c>
      <c r="D1697" s="5" t="inlineStr">
        <is>
          <t>Quantity</t>
        </is>
      </c>
      <c r="E1697" s="5" t="inlineStr">
        <is>
          <t>Rate (Rs.)</t>
        </is>
      </c>
      <c r="F1697" s="5" t="inlineStr">
        <is>
          <t>Amount (Rs.)</t>
        </is>
      </c>
      <c r="G1697" s="5" t="inlineStr">
        <is>
          <t>Note</t>
        </is>
      </c>
    </row>
    <row r="1698">
      <c r="A1698" s="22" t="inlineStr">
        <is>
          <t>0597</t>
        </is>
      </c>
      <c r="B1698" s="11" t="inlineStr">
        <is>
          <t>Bright finished or black enamelled mild steel butt hinges50x37x1.50 mm</t>
        </is>
      </c>
      <c r="C1698" s="22" t="inlineStr">
        <is>
          <t>10 Nos</t>
        </is>
      </c>
      <c r="D1698" s="23" t="n">
        <v>1</v>
      </c>
      <c r="E1698" s="24" t="n">
        <v>49</v>
      </c>
      <c r="F1698" s="24">
        <f>D1698*E1698</f>
        <v/>
      </c>
      <c r="G1698" s="22" t="n"/>
    </row>
    <row r="1699">
      <c r="A1699" s="22" t="inlineStr">
        <is>
          <t>0640</t>
        </is>
      </c>
      <c r="B1699" s="11" t="inlineStr">
        <is>
          <t>Bright finished or black enamelled mild steel screws 20 mm</t>
        </is>
      </c>
      <c r="C1699" s="22" t="inlineStr">
        <is>
          <t>100 Nos</t>
        </is>
      </c>
      <c r="D1699" s="23" t="n">
        <v>0.4</v>
      </c>
      <c r="E1699" s="24" t="n">
        <v>30</v>
      </c>
      <c r="F1699" s="24">
        <f>D1699*E1699</f>
        <v/>
      </c>
      <c r="G1699" s="22" t="n"/>
    </row>
    <row r="1700">
      <c r="A1700" s="22" t="inlineStr">
        <is>
          <t>9977</t>
        </is>
      </c>
      <c r="B1700" s="11" t="inlineStr">
        <is>
          <t>Carriage of materials</t>
        </is>
      </c>
      <c r="C1700" s="22" t="inlineStr">
        <is>
          <t>L.S.</t>
        </is>
      </c>
      <c r="D1700" s="23" t="n">
        <v>0.91</v>
      </c>
      <c r="E1700" s="24" t="n">
        <v>2</v>
      </c>
      <c r="F1700" s="24">
        <f>D1700*E1700</f>
        <v/>
      </c>
      <c r="G1700" s="22" t="n"/>
    </row>
    <row r="1701">
      <c r="A1701" s="22" t="inlineStr">
        <is>
          <t>0112</t>
        </is>
      </c>
      <c r="B1701" s="11" t="inlineStr">
        <is>
          <t>Carpenter 2nd class</t>
        </is>
      </c>
      <c r="C1701" s="22" t="inlineStr">
        <is>
          <t>day</t>
        </is>
      </c>
      <c r="D1701" s="23" t="n">
        <v>0.08</v>
      </c>
      <c r="E1701" s="24" t="n">
        <v>679</v>
      </c>
      <c r="F1701" s="24">
        <f>D1701*E1701</f>
        <v/>
      </c>
      <c r="G1701" s="22" t="n"/>
    </row>
    <row r="1702">
      <c r="A1702" s="8" t="inlineStr">
        <is>
          <t>Calculated W - SUM of the Amount column above</t>
        </is>
      </c>
      <c r="B1702" s="9" t="n"/>
      <c r="C1702" s="9" t="n"/>
      <c r="D1702" s="9" t="n"/>
      <c r="E1702" s="9" t="n"/>
      <c r="F1702" s="25">
        <f>SUM(F1698:F1701)</f>
        <v/>
      </c>
      <c r="G1702" s="9" t="n"/>
    </row>
    <row r="1703">
      <c r="A1703" s="26" t="inlineStr">
        <is>
          <t>W as printed in the DAR</t>
        </is>
      </c>
      <c r="B1703" s="22" t="n"/>
      <c r="C1703" s="22" t="n"/>
      <c r="D1703" s="22" t="n"/>
      <c r="E1703" s="22" t="n"/>
      <c r="F1703" s="27" t="n">
        <v>117.14</v>
      </c>
      <c r="G1703" s="22" t="n"/>
    </row>
    <row r="1704">
      <c r="A1704" s="26" t="inlineStr">
        <is>
          <t>Difference (calculated - printed)</t>
        </is>
      </c>
      <c r="B1704" s="22" t="n"/>
      <c r="C1704" s="22" t="n"/>
      <c r="D1704" s="22" t="n"/>
      <c r="E1704" s="22" t="n"/>
      <c r="F1704" s="27">
        <f>F1702-F1703</f>
        <v/>
      </c>
      <c r="G1704" s="22" t="n"/>
    </row>
    <row r="1705">
      <c r="A1705" s="29" t="inlineStr">
        <is>
          <t>SAY (Rs.) - final DAR rate as printed (fixed value, not computed)</t>
        </is>
      </c>
      <c r="B1705" s="30" t="n"/>
      <c r="C1705" s="30" t="n"/>
      <c r="D1705" s="30" t="n"/>
      <c r="E1705" s="30" t="n"/>
      <c r="F1705" s="31" t="n">
        <v>15.65</v>
      </c>
      <c r="G1705" s="30" t="n"/>
    </row>
    <row r="1707" ht="18.5" customHeight="1">
      <c r="A1707" s="8" t="inlineStr">
        <is>
          <t>9.56</t>
        </is>
      </c>
      <c r="B1707" s="17" t="inlineStr">
        <is>
          <t>Providing and fixing ISI marked, IS : 1341, M.S. heavy weight butt hinges with necessary screws etc. complete :</t>
        </is>
      </c>
      <c r="C1707" s="9" t="n"/>
      <c r="D1707" s="9" t="n"/>
      <c r="E1707" s="9" t="n"/>
      <c r="F1707" s="9" t="n"/>
      <c r="G1707" s="9" t="n"/>
    </row>
    <row r="1708" ht="18.5" customHeight="1">
      <c r="A1708" s="18" t="inlineStr">
        <is>
          <t>9.56.1</t>
        </is>
      </c>
      <c r="B1708" s="19" t="inlineStr">
        <is>
          <t>125x90x4.00 mm</t>
        </is>
      </c>
      <c r="C1708" s="20" t="n"/>
      <c r="D1708" s="20" t="n"/>
      <c r="E1708" s="20" t="n"/>
      <c r="F1708" s="20" t="n"/>
      <c r="G1708" s="20" t="n"/>
    </row>
    <row r="1709">
      <c r="A1709" s="21" t="inlineStr">
        <is>
          <t>Details of cost for 10 nos   |   Source: CivilDAR_2019_Vol_1.pdf, page 505</t>
        </is>
      </c>
    </row>
    <row r="1710">
      <c r="A1710" s="5" t="inlineStr">
        <is>
          <t>Code</t>
        </is>
      </c>
      <c r="B1710" s="5" t="inlineStr">
        <is>
          <t>Description</t>
        </is>
      </c>
      <c r="C1710" s="5" t="inlineStr">
        <is>
          <t>Unit</t>
        </is>
      </c>
      <c r="D1710" s="5" t="inlineStr">
        <is>
          <t>Quantity</t>
        </is>
      </c>
      <c r="E1710" s="5" t="inlineStr">
        <is>
          <t>Rate (Rs.)</t>
        </is>
      </c>
      <c r="F1710" s="5" t="inlineStr">
        <is>
          <t>Amount (Rs.)</t>
        </is>
      </c>
      <c r="G1710" s="5" t="inlineStr">
        <is>
          <t>Note</t>
        </is>
      </c>
    </row>
    <row r="1711">
      <c r="A1711" s="22" t="inlineStr">
        <is>
          <t>8222</t>
        </is>
      </c>
      <c r="B1711" s="11" t="inlineStr">
        <is>
          <t>M.S. heavy weight but hinges 125x90x4.0mm IS : 1341 marked.</t>
        </is>
      </c>
      <c r="C1711" s="22" t="inlineStr">
        <is>
          <t>10 Nos</t>
        </is>
      </c>
      <c r="D1711" s="23" t="n">
        <v>1</v>
      </c>
      <c r="E1711" s="24" t="n">
        <v>210</v>
      </c>
      <c r="F1711" s="24">
        <f>D1711*E1711</f>
        <v/>
      </c>
      <c r="G1711" s="22" t="n"/>
    </row>
    <row r="1712">
      <c r="A1712" s="22" t="inlineStr">
        <is>
          <t>0635</t>
        </is>
      </c>
      <c r="B1712" s="11" t="inlineStr">
        <is>
          <t>Bright finished or black enamelled mild steel screws 50 mm</t>
        </is>
      </c>
      <c r="C1712" s="22" t="inlineStr">
        <is>
          <t>100 Nos</t>
        </is>
      </c>
      <c r="D1712" s="23" t="n">
        <v>0.8</v>
      </c>
      <c r="E1712" s="24" t="n">
        <v>75</v>
      </c>
      <c r="F1712" s="24">
        <f>D1712*E1712</f>
        <v/>
      </c>
      <c r="G1712" s="22" t="n"/>
    </row>
    <row r="1713">
      <c r="A1713" s="22" t="inlineStr">
        <is>
          <t>9977</t>
        </is>
      </c>
      <c r="B1713" s="11" t="inlineStr">
        <is>
          <t>Carriage of materials</t>
        </is>
      </c>
      <c r="C1713" s="22" t="inlineStr">
        <is>
          <t>L.S.</t>
        </is>
      </c>
      <c r="D1713" s="23" t="n">
        <v>2.73</v>
      </c>
      <c r="E1713" s="24" t="n">
        <v>2</v>
      </c>
      <c r="F1713" s="24">
        <f>D1713*E1713</f>
        <v/>
      </c>
      <c r="G1713" s="22" t="n"/>
    </row>
    <row r="1714">
      <c r="A1714" s="22" t="inlineStr">
        <is>
          <t>0112</t>
        </is>
      </c>
      <c r="B1714" s="11" t="inlineStr">
        <is>
          <t>Carpenter 2nd class</t>
        </is>
      </c>
      <c r="C1714" s="22" t="inlineStr">
        <is>
          <t>day</t>
        </is>
      </c>
      <c r="D1714" s="23" t="n">
        <v>0.14</v>
      </c>
      <c r="E1714" s="24" t="n">
        <v>679</v>
      </c>
      <c r="F1714" s="24">
        <f>D1714*E1714</f>
        <v/>
      </c>
      <c r="G1714" s="22" t="n"/>
    </row>
    <row r="1715">
      <c r="A1715" s="22" t="inlineStr">
        <is>
          <t>0114</t>
        </is>
      </c>
      <c r="B1715" s="11" t="inlineStr">
        <is>
          <t>Beldar</t>
        </is>
      </c>
      <c r="C1715" s="22" t="inlineStr">
        <is>
          <t>day</t>
        </is>
      </c>
      <c r="D1715" s="23" t="n">
        <v>0.09</v>
      </c>
      <c r="E1715" s="24" t="n">
        <v>558</v>
      </c>
      <c r="F1715" s="24">
        <f>D1715*E1715</f>
        <v/>
      </c>
      <c r="G1715" s="22" t="n"/>
    </row>
    <row r="1716">
      <c r="A1716" s="8" t="inlineStr">
        <is>
          <t>Calculated W - SUM of the Amount column above</t>
        </is>
      </c>
      <c r="B1716" s="9" t="n"/>
      <c r="C1716" s="9" t="n"/>
      <c r="D1716" s="9" t="n"/>
      <c r="E1716" s="9" t="n"/>
      <c r="F1716" s="25">
        <f>SUM(F1711:F1715)</f>
        <v/>
      </c>
      <c r="G1716" s="9" t="n"/>
    </row>
    <row r="1717">
      <c r="A1717" s="26" t="inlineStr">
        <is>
          <t>W as printed in the DAR</t>
        </is>
      </c>
      <c r="B1717" s="22" t="n"/>
      <c r="C1717" s="22" t="n"/>
      <c r="D1717" s="22" t="n"/>
      <c r="E1717" s="22" t="n"/>
      <c r="F1717" s="27" t="n">
        <v>420.74</v>
      </c>
      <c r="G1717" s="22" t="n"/>
    </row>
    <row r="1718">
      <c r="A1718" s="26" t="inlineStr">
        <is>
          <t>Difference (calculated - printed)</t>
        </is>
      </c>
      <c r="B1718" s="22" t="n"/>
      <c r="C1718" s="22" t="n"/>
      <c r="D1718" s="22" t="n"/>
      <c r="E1718" s="22" t="n"/>
      <c r="F1718" s="27">
        <f>F1716-F1717</f>
        <v/>
      </c>
      <c r="G1718" s="22" t="n"/>
    </row>
    <row r="1719">
      <c r="A1719" s="29" t="inlineStr">
        <is>
          <t>SAY (Rs.) - final DAR rate as printed (fixed value, not computed)</t>
        </is>
      </c>
      <c r="B1719" s="30" t="n"/>
      <c r="C1719" s="30" t="n"/>
      <c r="D1719" s="30" t="n"/>
      <c r="E1719" s="30" t="n"/>
      <c r="F1719" s="31" t="n">
        <v>56.3</v>
      </c>
      <c r="G1719" s="30" t="n"/>
    </row>
    <row r="1721" ht="18.5" customHeight="1">
      <c r="A1721" s="8" t="inlineStr">
        <is>
          <t>9.56</t>
        </is>
      </c>
      <c r="B1721" s="17" t="inlineStr">
        <is>
          <t>Providing and fixing ISI marked, IS : 1341, M.S. heavy weight butt hinges with necessary screws etc. complete :</t>
        </is>
      </c>
      <c r="C1721" s="9" t="n"/>
      <c r="D1721" s="9" t="n"/>
      <c r="E1721" s="9" t="n"/>
      <c r="F1721" s="9" t="n"/>
      <c r="G1721" s="9" t="n"/>
    </row>
    <row r="1722" ht="18.5" customHeight="1">
      <c r="A1722" s="18" t="inlineStr">
        <is>
          <t>9.56.2</t>
        </is>
      </c>
      <c r="B1722" s="19" t="inlineStr">
        <is>
          <t>100x75x3.50 mm</t>
        </is>
      </c>
      <c r="C1722" s="20" t="n"/>
      <c r="D1722" s="20" t="n"/>
      <c r="E1722" s="20" t="n"/>
      <c r="F1722" s="20" t="n"/>
      <c r="G1722" s="20" t="n"/>
    </row>
    <row r="1723">
      <c r="A1723" s="21" t="inlineStr">
        <is>
          <t>Details of cost for 10 nos   |   Source: CivilDAR_2019_Vol_1.pdf, page 506</t>
        </is>
      </c>
    </row>
    <row r="1724">
      <c r="A1724" s="5" t="inlineStr">
        <is>
          <t>Code</t>
        </is>
      </c>
      <c r="B1724" s="5" t="inlineStr">
        <is>
          <t>Description</t>
        </is>
      </c>
      <c r="C1724" s="5" t="inlineStr">
        <is>
          <t>Unit</t>
        </is>
      </c>
      <c r="D1724" s="5" t="inlineStr">
        <is>
          <t>Quantity</t>
        </is>
      </c>
      <c r="E1724" s="5" t="inlineStr">
        <is>
          <t>Rate (Rs.)</t>
        </is>
      </c>
      <c r="F1724" s="5" t="inlineStr">
        <is>
          <t>Amount (Rs.)</t>
        </is>
      </c>
      <c r="G1724" s="5" t="inlineStr">
        <is>
          <t>Note</t>
        </is>
      </c>
    </row>
    <row r="1725">
      <c r="A1725" s="22" t="inlineStr">
        <is>
          <t>8223</t>
        </is>
      </c>
      <c r="B1725" s="11" t="inlineStr">
        <is>
          <t>M.S. heavy weight butt hinges 100x75x3.5 mm IS: 1341 marked</t>
        </is>
      </c>
      <c r="C1725" s="22" t="inlineStr">
        <is>
          <t>10 Nos</t>
        </is>
      </c>
      <c r="D1725" s="23" t="n">
        <v>1</v>
      </c>
      <c r="E1725" s="24" t="n">
        <v>160</v>
      </c>
      <c r="F1725" s="24">
        <f>D1725*E1725</f>
        <v/>
      </c>
      <c r="G1725" s="22" t="n"/>
    </row>
    <row r="1726">
      <c r="A1726" s="22" t="inlineStr">
        <is>
          <t>0637</t>
        </is>
      </c>
      <c r="B1726" s="11" t="inlineStr">
        <is>
          <t>Bright finished or black enamelled mild steel screws 40 mm</t>
        </is>
      </c>
      <c r="C1726" s="22" t="inlineStr">
        <is>
          <t>100 Nos</t>
        </is>
      </c>
      <c r="D1726" s="23" t="n">
        <v>0.8</v>
      </c>
      <c r="E1726" s="24" t="n">
        <v>60</v>
      </c>
      <c r="F1726" s="24">
        <f>D1726*E1726</f>
        <v/>
      </c>
      <c r="G1726" s="22" t="n"/>
    </row>
    <row r="1727">
      <c r="A1727" s="22" t="inlineStr">
        <is>
          <t>9977</t>
        </is>
      </c>
      <c r="B1727" s="11" t="inlineStr">
        <is>
          <t>Carriage of materials</t>
        </is>
      </c>
      <c r="C1727" s="22" t="inlineStr">
        <is>
          <t>L.S.</t>
        </is>
      </c>
      <c r="D1727" s="23" t="n">
        <v>2.73</v>
      </c>
      <c r="E1727" s="24" t="n">
        <v>2</v>
      </c>
      <c r="F1727" s="24">
        <f>D1727*E1727</f>
        <v/>
      </c>
      <c r="G1727" s="22" t="n"/>
    </row>
    <row r="1728">
      <c r="A1728" s="22" t="inlineStr">
        <is>
          <t>0112</t>
        </is>
      </c>
      <c r="B1728" s="11" t="inlineStr">
        <is>
          <t>Carpenter 2nd class</t>
        </is>
      </c>
      <c r="C1728" s="22" t="inlineStr">
        <is>
          <t>day</t>
        </is>
      </c>
      <c r="D1728" s="23" t="n">
        <v>0.14</v>
      </c>
      <c r="E1728" s="24" t="n">
        <v>679</v>
      </c>
      <c r="F1728" s="24">
        <f>D1728*E1728</f>
        <v/>
      </c>
      <c r="G1728" s="22" t="n"/>
    </row>
    <row r="1729">
      <c r="A1729" s="22" t="inlineStr">
        <is>
          <t>0114</t>
        </is>
      </c>
      <c r="B1729" s="11" t="inlineStr">
        <is>
          <t>Beldar</t>
        </is>
      </c>
      <c r="C1729" s="22" t="inlineStr">
        <is>
          <t>day</t>
        </is>
      </c>
      <c r="D1729" s="23" t="n">
        <v>0.09</v>
      </c>
      <c r="E1729" s="24" t="n">
        <v>558</v>
      </c>
      <c r="F1729" s="24">
        <f>D1729*E1729</f>
        <v/>
      </c>
      <c r="G1729" s="22" t="n"/>
    </row>
    <row r="1730">
      <c r="A1730" s="8" t="inlineStr">
        <is>
          <t>Calculated W - SUM of the Amount column above</t>
        </is>
      </c>
      <c r="B1730" s="9" t="n"/>
      <c r="C1730" s="9" t="n"/>
      <c r="D1730" s="9" t="n"/>
      <c r="E1730" s="9" t="n"/>
      <c r="F1730" s="25">
        <f>SUM(F1725:F1729)</f>
        <v/>
      </c>
      <c r="G1730" s="9" t="n"/>
    </row>
    <row r="1731">
      <c r="A1731" s="26" t="inlineStr">
        <is>
          <t>W as printed in the DAR</t>
        </is>
      </c>
      <c r="B1731" s="22" t="n"/>
      <c r="C1731" s="22" t="n"/>
      <c r="D1731" s="22" t="n"/>
      <c r="E1731" s="22" t="n"/>
      <c r="F1731" s="27" t="n">
        <v>358.74</v>
      </c>
      <c r="G1731" s="22" t="n"/>
    </row>
    <row r="1732">
      <c r="A1732" s="26" t="inlineStr">
        <is>
          <t>Difference (calculated - printed)</t>
        </is>
      </c>
      <c r="B1732" s="22" t="n"/>
      <c r="C1732" s="22" t="n"/>
      <c r="D1732" s="22" t="n"/>
      <c r="E1732" s="22" t="n"/>
      <c r="F1732" s="27">
        <f>F1730-F1731</f>
        <v/>
      </c>
      <c r="G1732" s="22" t="n"/>
    </row>
    <row r="1733">
      <c r="A1733" s="29" t="inlineStr">
        <is>
          <t>SAY (Rs.) - final DAR rate as printed (fixed value, not computed)</t>
        </is>
      </c>
      <c r="B1733" s="30" t="n"/>
      <c r="C1733" s="30" t="n"/>
      <c r="D1733" s="30" t="n"/>
      <c r="E1733" s="30" t="n"/>
      <c r="F1733" s="31" t="n">
        <v>48</v>
      </c>
      <c r="G1733" s="30" t="n"/>
    </row>
    <row r="1735" ht="18.5" customHeight="1">
      <c r="A1735" s="8" t="inlineStr">
        <is>
          <t>9.56</t>
        </is>
      </c>
      <c r="B1735" s="17" t="inlineStr">
        <is>
          <t>Providing and fixing ISI marked, IS : 1341, M.S. heavy weight butt hinges with necessary screws etc. complete :</t>
        </is>
      </c>
      <c r="C1735" s="9" t="n"/>
      <c r="D1735" s="9" t="n"/>
      <c r="E1735" s="9" t="n"/>
      <c r="F1735" s="9" t="n"/>
      <c r="G1735" s="9" t="n"/>
    </row>
    <row r="1736" ht="18.5" customHeight="1">
      <c r="A1736" s="18" t="inlineStr">
        <is>
          <t>9.56.3</t>
        </is>
      </c>
      <c r="B1736" s="19" t="inlineStr">
        <is>
          <t>75x60x3.10 mm</t>
        </is>
      </c>
      <c r="C1736" s="20" t="n"/>
      <c r="D1736" s="20" t="n"/>
      <c r="E1736" s="20" t="n"/>
      <c r="F1736" s="20" t="n"/>
      <c r="G1736" s="20" t="n"/>
    </row>
    <row r="1737">
      <c r="A1737" s="21" t="inlineStr">
        <is>
          <t>Details of cost for 10 nos   |   Source: CivilDAR_2019_Vol_1.pdf, page 506</t>
        </is>
      </c>
    </row>
    <row r="1738">
      <c r="A1738" s="5" t="inlineStr">
        <is>
          <t>Code</t>
        </is>
      </c>
      <c r="B1738" s="5" t="inlineStr">
        <is>
          <t>Description</t>
        </is>
      </c>
      <c r="C1738" s="5" t="inlineStr">
        <is>
          <t>Unit</t>
        </is>
      </c>
      <c r="D1738" s="5" t="inlineStr">
        <is>
          <t>Quantity</t>
        </is>
      </c>
      <c r="E1738" s="5" t="inlineStr">
        <is>
          <t>Rate (Rs.)</t>
        </is>
      </c>
      <c r="F1738" s="5" t="inlineStr">
        <is>
          <t>Amount (Rs.)</t>
        </is>
      </c>
      <c r="G1738" s="5" t="inlineStr">
        <is>
          <t>Note</t>
        </is>
      </c>
    </row>
    <row r="1739">
      <c r="A1739" s="22" t="inlineStr">
        <is>
          <t>8224</t>
        </is>
      </c>
      <c r="B1739" s="11" t="inlineStr">
        <is>
          <t>M.S. heavy weight butt hinges 75x60x3.1 mm IS: 1341 marked</t>
        </is>
      </c>
      <c r="C1739" s="22" t="inlineStr">
        <is>
          <t>10 Nos</t>
        </is>
      </c>
      <c r="D1739" s="23" t="n">
        <v>1</v>
      </c>
      <c r="E1739" s="24" t="n">
        <v>95</v>
      </c>
      <c r="F1739" s="24">
        <f>D1739*E1739</f>
        <v/>
      </c>
      <c r="G1739" s="22" t="n"/>
    </row>
    <row r="1740">
      <c r="A1740" s="22" t="inlineStr">
        <is>
          <t>0638</t>
        </is>
      </c>
      <c r="B1740" s="11" t="inlineStr">
        <is>
          <t>Bright finished or black enamelled mild steel screws 30 mm</t>
        </is>
      </c>
      <c r="C1740" s="22" t="inlineStr">
        <is>
          <t>100 Nos</t>
        </is>
      </c>
      <c r="D1740" s="23" t="n">
        <v>0.6</v>
      </c>
      <c r="E1740" s="24" t="n">
        <v>45</v>
      </c>
      <c r="F1740" s="24">
        <f>D1740*E1740</f>
        <v/>
      </c>
      <c r="G1740" s="22" t="n"/>
    </row>
    <row r="1741">
      <c r="A1741" s="22" t="inlineStr">
        <is>
          <t>9977</t>
        </is>
      </c>
      <c r="B1741" s="11" t="inlineStr">
        <is>
          <t>Carriage of materials</t>
        </is>
      </c>
      <c r="C1741" s="22" t="inlineStr">
        <is>
          <t>L.S.</t>
        </is>
      </c>
      <c r="D1741" s="23" t="n">
        <v>1.82</v>
      </c>
      <c r="E1741" s="24" t="n">
        <v>2</v>
      </c>
      <c r="F1741" s="24">
        <f>D1741*E1741</f>
        <v/>
      </c>
      <c r="G1741" s="22" t="n"/>
    </row>
    <row r="1742">
      <c r="A1742" s="22" t="inlineStr">
        <is>
          <t>0112</t>
        </is>
      </c>
      <c r="B1742" s="11" t="inlineStr">
        <is>
          <t>Carpenter 2nd class</t>
        </is>
      </c>
      <c r="C1742" s="22" t="inlineStr">
        <is>
          <t>day</t>
        </is>
      </c>
      <c r="D1742" s="23" t="n">
        <v>0.14</v>
      </c>
      <c r="E1742" s="24" t="n">
        <v>679</v>
      </c>
      <c r="F1742" s="24">
        <f>D1742*E1742</f>
        <v/>
      </c>
      <c r="G1742" s="22" t="n"/>
    </row>
    <row r="1743">
      <c r="A1743" s="22" t="inlineStr">
        <is>
          <t>0114</t>
        </is>
      </c>
      <c r="B1743" s="11" t="inlineStr">
        <is>
          <t>Beldar</t>
        </is>
      </c>
      <c r="C1743" s="22" t="inlineStr">
        <is>
          <t>day</t>
        </is>
      </c>
      <c r="D1743" s="23" t="n">
        <v>0.09</v>
      </c>
      <c r="E1743" s="24" t="n">
        <v>558</v>
      </c>
      <c r="F1743" s="24">
        <f>D1743*E1743</f>
        <v/>
      </c>
      <c r="G1743" s="22" t="n"/>
    </row>
    <row r="1744">
      <c r="A1744" s="8" t="inlineStr">
        <is>
          <t>Calculated W - SUM of the Amount column above</t>
        </is>
      </c>
      <c r="B1744" s="9" t="n"/>
      <c r="C1744" s="9" t="n"/>
      <c r="D1744" s="9" t="n"/>
      <c r="E1744" s="9" t="n"/>
      <c r="F1744" s="25">
        <f>SUM(F1739:F1743)</f>
        <v/>
      </c>
      <c r="G1744" s="9" t="n"/>
    </row>
    <row r="1745">
      <c r="A1745" s="26" t="inlineStr">
        <is>
          <t>W as printed in the DAR</t>
        </is>
      </c>
      <c r="B1745" s="22" t="n"/>
      <c r="C1745" s="22" t="n"/>
      <c r="D1745" s="22" t="n"/>
      <c r="E1745" s="22" t="n"/>
      <c r="F1745" s="27" t="n">
        <v>270.92</v>
      </c>
      <c r="G1745" s="22" t="n"/>
    </row>
    <row r="1746">
      <c r="A1746" s="26" t="inlineStr">
        <is>
          <t>Difference (calculated - printed)</t>
        </is>
      </c>
      <c r="B1746" s="22" t="n"/>
      <c r="C1746" s="22" t="n"/>
      <c r="D1746" s="22" t="n"/>
      <c r="E1746" s="22" t="n"/>
      <c r="F1746" s="27">
        <f>F1744-F1745</f>
        <v/>
      </c>
      <c r="G1746" s="22" t="n"/>
    </row>
    <row r="1747">
      <c r="A1747" s="29" t="inlineStr">
        <is>
          <t>SAY (Rs.) - final DAR rate as printed (fixed value, not computed)</t>
        </is>
      </c>
      <c r="B1747" s="30" t="n"/>
      <c r="C1747" s="30" t="n"/>
      <c r="D1747" s="30" t="n"/>
      <c r="E1747" s="30" t="n"/>
      <c r="F1747" s="31" t="n">
        <v>36.25</v>
      </c>
      <c r="G1747" s="30" t="n"/>
    </row>
    <row r="1749" ht="18.5" customHeight="1">
      <c r="A1749" s="8" t="inlineStr">
        <is>
          <t>9.56</t>
        </is>
      </c>
      <c r="B1749" s="17" t="inlineStr">
        <is>
          <t>Providing and fixing ISI marked, IS : 1341, M.S. heavy weight butt hinges with necessary screws etc. complete :</t>
        </is>
      </c>
      <c r="C1749" s="9" t="n"/>
      <c r="D1749" s="9" t="n"/>
      <c r="E1749" s="9" t="n"/>
      <c r="F1749" s="9" t="n"/>
      <c r="G1749" s="9" t="n"/>
    </row>
    <row r="1750" ht="18.5" customHeight="1">
      <c r="A1750" s="18" t="inlineStr">
        <is>
          <t>9.56.4</t>
        </is>
      </c>
      <c r="B1750" s="19" t="inlineStr">
        <is>
          <t>50x40x2.50 mm</t>
        </is>
      </c>
      <c r="C1750" s="20" t="n"/>
      <c r="D1750" s="20" t="n"/>
      <c r="E1750" s="20" t="n"/>
      <c r="F1750" s="20" t="n"/>
      <c r="G1750" s="20" t="n"/>
    </row>
    <row r="1751">
      <c r="A1751" s="21" t="inlineStr">
        <is>
          <t>Details of cost for 10 nos   |   Source: CivilDAR_2019_Vol_1.pdf, page 507</t>
        </is>
      </c>
    </row>
    <row r="1752">
      <c r="A1752" s="5" t="inlineStr">
        <is>
          <t>Code</t>
        </is>
      </c>
      <c r="B1752" s="5" t="inlineStr">
        <is>
          <t>Description</t>
        </is>
      </c>
      <c r="C1752" s="5" t="inlineStr">
        <is>
          <t>Unit</t>
        </is>
      </c>
      <c r="D1752" s="5" t="inlineStr">
        <is>
          <t>Quantity</t>
        </is>
      </c>
      <c r="E1752" s="5" t="inlineStr">
        <is>
          <t>Rate (Rs.)</t>
        </is>
      </c>
      <c r="F1752" s="5" t="inlineStr">
        <is>
          <t>Amount (Rs.)</t>
        </is>
      </c>
      <c r="G1752" s="5" t="inlineStr">
        <is>
          <t>Note</t>
        </is>
      </c>
    </row>
    <row r="1753">
      <c r="A1753" s="22" t="inlineStr">
        <is>
          <t>8225</t>
        </is>
      </c>
      <c r="B1753" s="11" t="inlineStr">
        <is>
          <t>M.S. heavy weight butt hinges 50x40x2.5 mm IS : 1341 marked</t>
        </is>
      </c>
      <c r="C1753" s="22" t="inlineStr">
        <is>
          <t>10 Nos</t>
        </is>
      </c>
      <c r="D1753" s="23" t="n">
        <v>1</v>
      </c>
      <c r="E1753" s="24" t="n">
        <v>80</v>
      </c>
      <c r="F1753" s="24">
        <f>D1753*E1753</f>
        <v/>
      </c>
      <c r="G1753" s="22" t="n"/>
    </row>
    <row r="1754">
      <c r="A1754" s="22" t="inlineStr">
        <is>
          <t>0640</t>
        </is>
      </c>
      <c r="B1754" s="11" t="inlineStr">
        <is>
          <t>Bright finished or black enamelled mild steel screws 20 mm</t>
        </is>
      </c>
      <c r="C1754" s="22" t="inlineStr">
        <is>
          <t>100 Nos</t>
        </is>
      </c>
      <c r="D1754" s="23" t="n">
        <v>0.4</v>
      </c>
      <c r="E1754" s="24" t="n">
        <v>30</v>
      </c>
      <c r="F1754" s="24">
        <f>D1754*E1754</f>
        <v/>
      </c>
      <c r="G1754" s="22" t="n"/>
    </row>
    <row r="1755">
      <c r="A1755" s="22" t="inlineStr">
        <is>
          <t>9977</t>
        </is>
      </c>
      <c r="B1755" s="11" t="inlineStr">
        <is>
          <t>Carriage of materials</t>
        </is>
      </c>
      <c r="C1755" s="22" t="inlineStr">
        <is>
          <t>L.S.</t>
        </is>
      </c>
      <c r="D1755" s="23" t="n">
        <v>0.91</v>
      </c>
      <c r="E1755" s="24" t="n">
        <v>2</v>
      </c>
      <c r="F1755" s="24">
        <f>D1755*E1755</f>
        <v/>
      </c>
      <c r="G1755" s="22" t="n"/>
    </row>
    <row r="1756">
      <c r="A1756" s="22" t="inlineStr">
        <is>
          <t>0112</t>
        </is>
      </c>
      <c r="B1756" s="11" t="inlineStr">
        <is>
          <t>Carpenter 2nd class</t>
        </is>
      </c>
      <c r="C1756" s="22" t="inlineStr">
        <is>
          <t>day</t>
        </is>
      </c>
      <c r="D1756" s="23" t="n">
        <v>0.08</v>
      </c>
      <c r="E1756" s="24" t="n">
        <v>679</v>
      </c>
      <c r="F1756" s="24">
        <f>D1756*E1756</f>
        <v/>
      </c>
      <c r="G1756" s="22" t="n"/>
    </row>
    <row r="1757">
      <c r="A1757" s="8" t="inlineStr">
        <is>
          <t>Calculated W - SUM of the Amount column above</t>
        </is>
      </c>
      <c r="B1757" s="9" t="n"/>
      <c r="C1757" s="9" t="n"/>
      <c r="D1757" s="9" t="n"/>
      <c r="E1757" s="9" t="n"/>
      <c r="F1757" s="25">
        <f>SUM(F1753:F1756)</f>
        <v/>
      </c>
      <c r="G1757" s="9" t="n"/>
    </row>
    <row r="1758">
      <c r="A1758" s="26" t="inlineStr">
        <is>
          <t>W as printed in the DAR</t>
        </is>
      </c>
      <c r="B1758" s="22" t="n"/>
      <c r="C1758" s="22" t="n"/>
      <c r="D1758" s="22" t="n"/>
      <c r="E1758" s="22" t="n"/>
      <c r="F1758" s="27" t="n">
        <v>148.14</v>
      </c>
      <c r="G1758" s="22" t="n"/>
    </row>
    <row r="1759">
      <c r="A1759" s="26" t="inlineStr">
        <is>
          <t>Difference (calculated - printed)</t>
        </is>
      </c>
      <c r="B1759" s="22" t="n"/>
      <c r="C1759" s="22" t="n"/>
      <c r="D1759" s="22" t="n"/>
      <c r="E1759" s="22" t="n"/>
      <c r="F1759" s="27">
        <f>F1757-F1758</f>
        <v/>
      </c>
      <c r="G1759" s="22" t="n"/>
    </row>
    <row r="1760">
      <c r="A1760" s="29" t="inlineStr">
        <is>
          <t>SAY (Rs.) - final DAR rate as printed (fixed value, not computed)</t>
        </is>
      </c>
      <c r="B1760" s="30" t="n"/>
      <c r="C1760" s="30" t="n"/>
      <c r="D1760" s="30" t="n"/>
      <c r="E1760" s="30" t="n"/>
      <c r="F1760" s="31" t="n">
        <v>19.8</v>
      </c>
      <c r="G1760" s="30" t="n"/>
    </row>
    <row r="1762" ht="18.5" customHeight="1">
      <c r="A1762" s="8" t="inlineStr">
        <is>
          <t>9.57</t>
        </is>
      </c>
      <c r="B1762" s="17" t="inlineStr">
        <is>
          <t>Providing and fixing ISI marked oxidised M.S. pressed butt hinges with necessary screws etc. complete.</t>
        </is>
      </c>
      <c r="C1762" s="9" t="n"/>
      <c r="D1762" s="9" t="n"/>
      <c r="E1762" s="9" t="n"/>
      <c r="F1762" s="9" t="n"/>
      <c r="G1762" s="9" t="n"/>
    </row>
    <row r="1763" ht="18.5" customHeight="1">
      <c r="A1763" s="18" t="inlineStr">
        <is>
          <t>9.57.1</t>
        </is>
      </c>
      <c r="B1763" s="19" t="inlineStr">
        <is>
          <t>125x65x2.12 mm</t>
        </is>
      </c>
      <c r="C1763" s="20" t="n"/>
      <c r="D1763" s="20" t="n"/>
      <c r="E1763" s="20" t="n"/>
      <c r="F1763" s="20" t="n"/>
      <c r="G1763" s="20" t="n"/>
    </row>
    <row r="1764">
      <c r="A1764" s="21" t="inlineStr">
        <is>
          <t>Details of cost for 10 nos   |   Source: CivilDAR_2019_Vol_1.pdf, page 508</t>
        </is>
      </c>
    </row>
    <row r="1765">
      <c r="A1765" s="5" t="inlineStr">
        <is>
          <t>Code</t>
        </is>
      </c>
      <c r="B1765" s="5" t="inlineStr">
        <is>
          <t>Description</t>
        </is>
      </c>
      <c r="C1765" s="5" t="inlineStr">
        <is>
          <t>Unit</t>
        </is>
      </c>
      <c r="D1765" s="5" t="inlineStr">
        <is>
          <t>Quantity</t>
        </is>
      </c>
      <c r="E1765" s="5" t="inlineStr">
        <is>
          <t>Rate (Rs.)</t>
        </is>
      </c>
      <c r="F1765" s="5" t="inlineStr">
        <is>
          <t>Amount (Rs.)</t>
        </is>
      </c>
      <c r="G1765" s="5" t="inlineStr">
        <is>
          <t>Note</t>
        </is>
      </c>
    </row>
    <row r="1766">
      <c r="A1766" s="22" t="inlineStr">
        <is>
          <t>0642</t>
        </is>
      </c>
      <c r="B1766" s="11" t="inlineStr">
        <is>
          <t>Oxidised mild steel butt hinges 125x65x2.12 mm</t>
        </is>
      </c>
      <c r="C1766" s="22" t="inlineStr">
        <is>
          <t>10 Nos</t>
        </is>
      </c>
      <c r="D1766" s="23" t="n">
        <v>1</v>
      </c>
      <c r="E1766" s="24" t="n">
        <v>130</v>
      </c>
      <c r="F1766" s="24">
        <f>D1766*E1766</f>
        <v/>
      </c>
      <c r="G1766" s="22" t="n"/>
    </row>
    <row r="1767">
      <c r="A1767" s="22" t="inlineStr">
        <is>
          <t>0682</t>
        </is>
      </c>
      <c r="B1767" s="11" t="inlineStr">
        <is>
          <t>Oxidised mild steel screws 50 mm</t>
        </is>
      </c>
      <c r="C1767" s="22" t="inlineStr">
        <is>
          <t>100 Nos</t>
        </is>
      </c>
      <c r="D1767" s="23" t="n">
        <v>0.8</v>
      </c>
      <c r="E1767" s="24" t="n">
        <v>76</v>
      </c>
      <c r="F1767" s="24">
        <f>D1767*E1767</f>
        <v/>
      </c>
      <c r="G1767" s="22" t="n"/>
    </row>
    <row r="1768">
      <c r="A1768" s="22" t="inlineStr">
        <is>
          <t>9977</t>
        </is>
      </c>
      <c r="B1768" s="11" t="inlineStr">
        <is>
          <t>Carriage of materials</t>
        </is>
      </c>
      <c r="C1768" s="22" t="inlineStr">
        <is>
          <t>L.S.</t>
        </is>
      </c>
      <c r="D1768" s="23" t="n">
        <v>3.64</v>
      </c>
      <c r="E1768" s="24" t="n">
        <v>2</v>
      </c>
      <c r="F1768" s="24">
        <f>D1768*E1768</f>
        <v/>
      </c>
      <c r="G1768" s="22" t="n"/>
    </row>
    <row r="1769">
      <c r="A1769" s="22" t="inlineStr">
        <is>
          <t>0112</t>
        </is>
      </c>
      <c r="B1769" s="11" t="inlineStr">
        <is>
          <t>Carpenter 2nd class</t>
        </is>
      </c>
      <c r="C1769" s="22" t="inlineStr">
        <is>
          <t>day</t>
        </is>
      </c>
      <c r="D1769" s="23" t="n">
        <v>0.14</v>
      </c>
      <c r="E1769" s="24" t="n">
        <v>679</v>
      </c>
      <c r="F1769" s="24">
        <f>D1769*E1769</f>
        <v/>
      </c>
      <c r="G1769" s="22" t="n"/>
    </row>
    <row r="1770">
      <c r="A1770" s="22" t="inlineStr">
        <is>
          <t>0114</t>
        </is>
      </c>
      <c r="B1770" s="11" t="inlineStr">
        <is>
          <t>Beldar</t>
        </is>
      </c>
      <c r="C1770" s="22" t="inlineStr">
        <is>
          <t>day</t>
        </is>
      </c>
      <c r="D1770" s="23" t="n">
        <v>0.09</v>
      </c>
      <c r="E1770" s="24" t="n">
        <v>558</v>
      </c>
      <c r="F1770" s="24">
        <f>D1770*E1770</f>
        <v/>
      </c>
      <c r="G1770" s="22" t="n"/>
    </row>
    <row r="1771">
      <c r="A1771" s="8" t="inlineStr">
        <is>
          <t>Calculated W - SUM of the Amount column above</t>
        </is>
      </c>
      <c r="B1771" s="9" t="n"/>
      <c r="C1771" s="9" t="n"/>
      <c r="D1771" s="9" t="n"/>
      <c r="E1771" s="9" t="n"/>
      <c r="F1771" s="25">
        <f>SUM(F1766:F1770)</f>
        <v/>
      </c>
      <c r="G1771" s="9" t="n"/>
    </row>
    <row r="1772">
      <c r="A1772" s="26" t="inlineStr">
        <is>
          <t>W as printed in the DAR</t>
        </is>
      </c>
      <c r="B1772" s="22" t="n"/>
      <c r="C1772" s="22" t="n"/>
      <c r="D1772" s="22" t="n"/>
      <c r="E1772" s="22" t="n"/>
      <c r="F1772" s="27" t="n">
        <v>343.36</v>
      </c>
      <c r="G1772" s="22" t="n"/>
    </row>
    <row r="1773">
      <c r="A1773" s="26" t="inlineStr">
        <is>
          <t>Difference (calculated - printed)</t>
        </is>
      </c>
      <c r="B1773" s="22" t="n"/>
      <c r="C1773" s="22" t="n"/>
      <c r="D1773" s="22" t="n"/>
      <c r="E1773" s="22" t="n"/>
      <c r="F1773" s="27">
        <f>F1771-F1772</f>
        <v/>
      </c>
      <c r="G1773" s="22" t="n"/>
    </row>
    <row r="1774">
      <c r="A1774" s="29" t="inlineStr">
        <is>
          <t>SAY (Rs.) - final DAR rate as printed (fixed value, not computed)</t>
        </is>
      </c>
      <c r="B1774" s="30" t="n"/>
      <c r="C1774" s="30" t="n"/>
      <c r="D1774" s="30" t="n"/>
      <c r="E1774" s="30" t="n"/>
      <c r="F1774" s="31" t="n">
        <v>45.95</v>
      </c>
      <c r="G1774" s="30" t="n"/>
    </row>
    <row r="1776" ht="18.5" customHeight="1">
      <c r="A1776" s="8" t="inlineStr">
        <is>
          <t>9.57</t>
        </is>
      </c>
      <c r="B1776" s="17" t="inlineStr">
        <is>
          <t>Providing and fixing ISI marked oxidised M.S. pressed butt hinges with necessary screws etc. complete.</t>
        </is>
      </c>
      <c r="C1776" s="9" t="n"/>
      <c r="D1776" s="9" t="n"/>
      <c r="E1776" s="9" t="n"/>
      <c r="F1776" s="9" t="n"/>
      <c r="G1776" s="9" t="n"/>
    </row>
    <row r="1777" ht="18.5" customHeight="1">
      <c r="A1777" s="18" t="inlineStr">
        <is>
          <t>9.57.2</t>
        </is>
      </c>
      <c r="B1777" s="19" t="inlineStr">
        <is>
          <t>100x58x1.90 mm</t>
        </is>
      </c>
      <c r="C1777" s="20" t="n"/>
      <c r="D1777" s="20" t="n"/>
      <c r="E1777" s="20" t="n"/>
      <c r="F1777" s="20" t="n"/>
      <c r="G1777" s="20" t="n"/>
    </row>
    <row r="1778">
      <c r="A1778" s="21" t="inlineStr">
        <is>
          <t>Details of cost for 10 nos   |   Source: CivilDAR_2019_Vol_1.pdf, page 508</t>
        </is>
      </c>
    </row>
    <row r="1779">
      <c r="A1779" s="5" t="inlineStr">
        <is>
          <t>Code</t>
        </is>
      </c>
      <c r="B1779" s="5" t="inlineStr">
        <is>
          <t>Description</t>
        </is>
      </c>
      <c r="C1779" s="5" t="inlineStr">
        <is>
          <t>Unit</t>
        </is>
      </c>
      <c r="D1779" s="5" t="inlineStr">
        <is>
          <t>Quantity</t>
        </is>
      </c>
      <c r="E1779" s="5" t="inlineStr">
        <is>
          <t>Rate (Rs.)</t>
        </is>
      </c>
      <c r="F1779" s="5" t="inlineStr">
        <is>
          <t>Amount (Rs.)</t>
        </is>
      </c>
      <c r="G1779" s="5" t="inlineStr">
        <is>
          <t>Note</t>
        </is>
      </c>
    </row>
    <row r="1780">
      <c r="A1780" s="22" t="inlineStr">
        <is>
          <t>0643</t>
        </is>
      </c>
      <c r="B1780" s="11" t="inlineStr">
        <is>
          <t>Oxidised mild steel butt hinges 100x58x1.90 mm</t>
        </is>
      </c>
      <c r="C1780" s="22" t="inlineStr">
        <is>
          <t>10 Nos</t>
        </is>
      </c>
      <c r="D1780" s="23" t="n">
        <v>1</v>
      </c>
      <c r="E1780" s="24" t="n">
        <v>85</v>
      </c>
      <c r="F1780" s="24">
        <f>D1780*E1780</f>
        <v/>
      </c>
      <c r="G1780" s="22" t="n"/>
    </row>
    <row r="1781">
      <c r="A1781" s="22" t="inlineStr">
        <is>
          <t>0683</t>
        </is>
      </c>
      <c r="B1781" s="11" t="inlineStr">
        <is>
          <t>Oxidised mild steel screws 40 mm</t>
        </is>
      </c>
      <c r="C1781" s="22" t="inlineStr">
        <is>
          <t>100 Nos</t>
        </is>
      </c>
      <c r="D1781" s="23" t="n">
        <v>0.8</v>
      </c>
      <c r="E1781" s="24" t="n">
        <v>62</v>
      </c>
      <c r="F1781" s="24">
        <f>D1781*E1781</f>
        <v/>
      </c>
      <c r="G1781" s="22" t="n"/>
    </row>
    <row r="1782">
      <c r="A1782" s="22" t="inlineStr">
        <is>
          <t>9977</t>
        </is>
      </c>
      <c r="B1782" s="11" t="inlineStr">
        <is>
          <t>Carriage of materials</t>
        </is>
      </c>
      <c r="C1782" s="22" t="inlineStr">
        <is>
          <t>L.S.</t>
        </is>
      </c>
      <c r="D1782" s="23" t="n">
        <v>2.73</v>
      </c>
      <c r="E1782" s="24" t="n">
        <v>2</v>
      </c>
      <c r="F1782" s="24">
        <f>D1782*E1782</f>
        <v/>
      </c>
      <c r="G1782" s="22" t="n"/>
    </row>
    <row r="1783">
      <c r="A1783" s="22" t="inlineStr">
        <is>
          <t>0112</t>
        </is>
      </c>
      <c r="B1783" s="11" t="inlineStr">
        <is>
          <t>Carpenter 2nd class</t>
        </is>
      </c>
      <c r="C1783" s="22" t="inlineStr">
        <is>
          <t>day</t>
        </is>
      </c>
      <c r="D1783" s="23" t="n">
        <v>0.14</v>
      </c>
      <c r="E1783" s="24" t="n">
        <v>679</v>
      </c>
      <c r="F1783" s="24">
        <f>D1783*E1783</f>
        <v/>
      </c>
      <c r="G1783" s="22" t="n"/>
    </row>
    <row r="1784">
      <c r="A1784" s="22" t="inlineStr">
        <is>
          <t>0114</t>
        </is>
      </c>
      <c r="B1784" s="11" t="inlineStr">
        <is>
          <t>Beldar</t>
        </is>
      </c>
      <c r="C1784" s="22" t="inlineStr">
        <is>
          <t>day</t>
        </is>
      </c>
      <c r="D1784" s="23" t="n">
        <v>0.09</v>
      </c>
      <c r="E1784" s="24" t="n">
        <v>558</v>
      </c>
      <c r="F1784" s="24">
        <f>D1784*E1784</f>
        <v/>
      </c>
      <c r="G1784" s="22" t="n"/>
    </row>
    <row r="1785">
      <c r="A1785" s="8" t="inlineStr">
        <is>
          <t>Calculated W - SUM of the Amount column above</t>
        </is>
      </c>
      <c r="B1785" s="9" t="n"/>
      <c r="C1785" s="9" t="n"/>
      <c r="D1785" s="9" t="n"/>
      <c r="E1785" s="9" t="n"/>
      <c r="F1785" s="25">
        <f>SUM(F1780:F1784)</f>
        <v/>
      </c>
      <c r="G1785" s="9" t="n"/>
    </row>
    <row r="1786">
      <c r="A1786" s="26" t="inlineStr">
        <is>
          <t>W as printed in the DAR</t>
        </is>
      </c>
      <c r="B1786" s="22" t="n"/>
      <c r="C1786" s="22" t="n"/>
      <c r="D1786" s="22" t="n"/>
      <c r="E1786" s="22" t="n"/>
      <c r="F1786" s="27" t="n">
        <v>285.34</v>
      </c>
      <c r="G1786" s="22" t="n"/>
    </row>
    <row r="1787">
      <c r="A1787" s="26" t="inlineStr">
        <is>
          <t>Difference (calculated - printed)</t>
        </is>
      </c>
      <c r="B1787" s="22" t="n"/>
      <c r="C1787" s="22" t="n"/>
      <c r="D1787" s="22" t="n"/>
      <c r="E1787" s="22" t="n"/>
      <c r="F1787" s="27">
        <f>F1785-F1786</f>
        <v/>
      </c>
      <c r="G1787" s="22" t="n"/>
    </row>
    <row r="1788">
      <c r="A1788" s="29" t="inlineStr">
        <is>
          <t>SAY (Rs.) - final DAR rate as printed (fixed value, not computed)</t>
        </is>
      </c>
      <c r="B1788" s="30" t="n"/>
      <c r="C1788" s="30" t="n"/>
      <c r="D1788" s="30" t="n"/>
      <c r="E1788" s="30" t="n"/>
      <c r="F1788" s="31" t="n">
        <v>38.2</v>
      </c>
      <c r="G1788" s="30" t="n"/>
    </row>
    <row r="1790" ht="18.5" customHeight="1">
      <c r="A1790" s="8" t="inlineStr">
        <is>
          <t>9.57</t>
        </is>
      </c>
      <c r="B1790" s="17" t="inlineStr">
        <is>
          <t>Providing and fixing ISI marked oxidised M.S. pressed butt hinges with necessary screws etc. complete.</t>
        </is>
      </c>
      <c r="C1790" s="9" t="n"/>
      <c r="D1790" s="9" t="n"/>
      <c r="E1790" s="9" t="n"/>
      <c r="F1790" s="9" t="n"/>
      <c r="G1790" s="9" t="n"/>
    </row>
    <row r="1791" ht="18.5" customHeight="1">
      <c r="A1791" s="18" t="inlineStr">
        <is>
          <t>9.57.3</t>
        </is>
      </c>
      <c r="B1791" s="19" t="inlineStr">
        <is>
          <t>75x47x1.70 mm</t>
        </is>
      </c>
      <c r="C1791" s="20" t="n"/>
      <c r="D1791" s="20" t="n"/>
      <c r="E1791" s="20" t="n"/>
      <c r="F1791" s="20" t="n"/>
      <c r="G1791" s="20" t="n"/>
    </row>
    <row r="1792">
      <c r="A1792" s="21" t="inlineStr">
        <is>
          <t>Details of cost for 10 nos   |   Source: CivilDAR_2019_Vol_1.pdf, page 509</t>
        </is>
      </c>
    </row>
    <row r="1793">
      <c r="A1793" s="5" t="inlineStr">
        <is>
          <t>Code</t>
        </is>
      </c>
      <c r="B1793" s="5" t="inlineStr">
        <is>
          <t>Description</t>
        </is>
      </c>
      <c r="C1793" s="5" t="inlineStr">
        <is>
          <t>Unit</t>
        </is>
      </c>
      <c r="D1793" s="5" t="inlineStr">
        <is>
          <t>Quantity</t>
        </is>
      </c>
      <c r="E1793" s="5" t="inlineStr">
        <is>
          <t>Rate (Rs.)</t>
        </is>
      </c>
      <c r="F1793" s="5" t="inlineStr">
        <is>
          <t>Amount (Rs.)</t>
        </is>
      </c>
      <c r="G1793" s="5" t="inlineStr">
        <is>
          <t>Note</t>
        </is>
      </c>
    </row>
    <row r="1794">
      <c r="A1794" s="22" t="inlineStr">
        <is>
          <t>0644</t>
        </is>
      </c>
      <c r="B1794" s="11" t="inlineStr">
        <is>
          <t>Oxidised mild steel butt hinges 75x47x1.70 mm</t>
        </is>
      </c>
      <c r="C1794" s="22" t="inlineStr">
        <is>
          <t>10 Nos</t>
        </is>
      </c>
      <c r="D1794" s="23" t="n">
        <v>1</v>
      </c>
      <c r="E1794" s="24" t="n">
        <v>63</v>
      </c>
      <c r="F1794" s="24">
        <f>D1794*E1794</f>
        <v/>
      </c>
      <c r="G1794" s="22" t="n"/>
    </row>
    <row r="1795">
      <c r="A1795" s="22" t="inlineStr">
        <is>
          <t>0684</t>
        </is>
      </c>
      <c r="B1795" s="11" t="inlineStr">
        <is>
          <t>Oxidised mild steel screws 30 mm</t>
        </is>
      </c>
      <c r="C1795" s="22" t="inlineStr">
        <is>
          <t>100 Nos</t>
        </is>
      </c>
      <c r="D1795" s="23" t="n">
        <v>0.6</v>
      </c>
      <c r="E1795" s="24" t="n">
        <v>49</v>
      </c>
      <c r="F1795" s="24">
        <f>D1795*E1795</f>
        <v/>
      </c>
      <c r="G1795" s="22" t="n"/>
    </row>
    <row r="1796">
      <c r="A1796" s="22" t="inlineStr">
        <is>
          <t>9977</t>
        </is>
      </c>
      <c r="B1796" s="11" t="inlineStr">
        <is>
          <t>Carriage of materials</t>
        </is>
      </c>
      <c r="C1796" s="22" t="inlineStr">
        <is>
          <t>L.S.</t>
        </is>
      </c>
      <c r="D1796" s="23" t="n">
        <v>1.82</v>
      </c>
      <c r="E1796" s="24" t="n">
        <v>2</v>
      </c>
      <c r="F1796" s="24">
        <f>D1796*E1796</f>
        <v/>
      </c>
      <c r="G1796" s="22" t="n"/>
    </row>
    <row r="1797">
      <c r="A1797" s="22" t="inlineStr">
        <is>
          <t>0112</t>
        </is>
      </c>
      <c r="B1797" s="11" t="inlineStr">
        <is>
          <t>Carpenter 2nd class</t>
        </is>
      </c>
      <c r="C1797" s="22" t="inlineStr">
        <is>
          <t>day</t>
        </is>
      </c>
      <c r="D1797" s="23" t="n">
        <v>0.14</v>
      </c>
      <c r="E1797" s="24" t="n">
        <v>679</v>
      </c>
      <c r="F1797" s="24">
        <f>D1797*E1797</f>
        <v/>
      </c>
      <c r="G1797" s="22" t="n"/>
    </row>
    <row r="1798">
      <c r="A1798" s="22" t="inlineStr">
        <is>
          <t>0114</t>
        </is>
      </c>
      <c r="B1798" s="11" t="inlineStr">
        <is>
          <t>Beldar</t>
        </is>
      </c>
      <c r="C1798" s="22" t="inlineStr">
        <is>
          <t>day</t>
        </is>
      </c>
      <c r="D1798" s="23" t="n">
        <v>0.09</v>
      </c>
      <c r="E1798" s="24" t="n">
        <v>558</v>
      </c>
      <c r="F1798" s="24">
        <f>D1798*E1798</f>
        <v/>
      </c>
      <c r="G1798" s="22" t="n"/>
    </row>
    <row r="1799">
      <c r="A1799" s="8" t="inlineStr">
        <is>
          <t>Calculated W - SUM of the Amount column above</t>
        </is>
      </c>
      <c r="B1799" s="9" t="n"/>
      <c r="C1799" s="9" t="n"/>
      <c r="D1799" s="9" t="n"/>
      <c r="E1799" s="9" t="n"/>
      <c r="F1799" s="25">
        <f>SUM(F1794:F1798)</f>
        <v/>
      </c>
      <c r="G1799" s="9" t="n"/>
    </row>
    <row r="1800">
      <c r="A1800" s="26" t="inlineStr">
        <is>
          <t>W as printed in the DAR</t>
        </is>
      </c>
      <c r="B1800" s="22" t="n"/>
      <c r="C1800" s="22" t="n"/>
      <c r="D1800" s="22" t="n"/>
      <c r="E1800" s="22" t="n"/>
      <c r="F1800" s="27" t="n">
        <v>241.32</v>
      </c>
      <c r="G1800" s="22" t="n"/>
    </row>
    <row r="1801">
      <c r="A1801" s="26" t="inlineStr">
        <is>
          <t>Difference (calculated - printed)</t>
        </is>
      </c>
      <c r="B1801" s="22" t="n"/>
      <c r="C1801" s="22" t="n"/>
      <c r="D1801" s="22" t="n"/>
      <c r="E1801" s="22" t="n"/>
      <c r="F1801" s="27">
        <f>F1799-F1800</f>
        <v/>
      </c>
      <c r="G1801" s="22" t="n"/>
    </row>
    <row r="1802">
      <c r="A1802" s="29" t="inlineStr">
        <is>
          <t>SAY (Rs.) - final DAR rate as printed (fixed value, not computed)</t>
        </is>
      </c>
      <c r="B1802" s="30" t="n"/>
      <c r="C1802" s="30" t="n"/>
      <c r="D1802" s="30" t="n"/>
      <c r="E1802" s="30" t="n"/>
      <c r="F1802" s="31" t="n">
        <v>32.3</v>
      </c>
      <c r="G1802" s="30" t="n"/>
    </row>
    <row r="1804" ht="18.5" customHeight="1">
      <c r="A1804" s="8" t="inlineStr">
        <is>
          <t>9.57</t>
        </is>
      </c>
      <c r="B1804" s="17" t="inlineStr">
        <is>
          <t>Providing and fixing ISI marked oxidised M.S. pressed butt hinges with necessary screws etc. complete.</t>
        </is>
      </c>
      <c r="C1804" s="9" t="n"/>
      <c r="D1804" s="9" t="n"/>
      <c r="E1804" s="9" t="n"/>
      <c r="F1804" s="9" t="n"/>
      <c r="G1804" s="9" t="n"/>
    </row>
    <row r="1805" ht="18.5" customHeight="1">
      <c r="A1805" s="18" t="inlineStr">
        <is>
          <t>9.57.4</t>
        </is>
      </c>
      <c r="B1805" s="19" t="inlineStr">
        <is>
          <t>50x37x1.50 mm</t>
        </is>
      </c>
      <c r="C1805" s="20" t="n"/>
      <c r="D1805" s="20" t="n"/>
      <c r="E1805" s="20" t="n"/>
      <c r="F1805" s="20" t="n"/>
      <c r="G1805" s="20" t="n"/>
    </row>
    <row r="1806">
      <c r="A1806" s="21" t="inlineStr">
        <is>
          <t>Details of cost for 10 nos   |   Source: CivilDAR_2019_Vol_1.pdf, page 509</t>
        </is>
      </c>
    </row>
    <row r="1807">
      <c r="A1807" s="5" t="inlineStr">
        <is>
          <t>Code</t>
        </is>
      </c>
      <c r="B1807" s="5" t="inlineStr">
        <is>
          <t>Description</t>
        </is>
      </c>
      <c r="C1807" s="5" t="inlineStr">
        <is>
          <t>Unit</t>
        </is>
      </c>
      <c r="D1807" s="5" t="inlineStr">
        <is>
          <t>Quantity</t>
        </is>
      </c>
      <c r="E1807" s="5" t="inlineStr">
        <is>
          <t>Rate (Rs.)</t>
        </is>
      </c>
      <c r="F1807" s="5" t="inlineStr">
        <is>
          <t>Amount (Rs.)</t>
        </is>
      </c>
      <c r="G1807" s="5" t="inlineStr">
        <is>
          <t>Note</t>
        </is>
      </c>
    </row>
    <row r="1808">
      <c r="A1808" s="22" t="inlineStr">
        <is>
          <t>0645</t>
        </is>
      </c>
      <c r="B1808" s="11" t="inlineStr">
        <is>
          <t>Oxidised mild steel butt hinges 50x37x1.50 mm</t>
        </is>
      </c>
      <c r="C1808" s="22" t="inlineStr">
        <is>
          <t>10 Nos</t>
        </is>
      </c>
      <c r="D1808" s="23" t="n">
        <v>1</v>
      </c>
      <c r="E1808" s="24" t="n">
        <v>53</v>
      </c>
      <c r="F1808" s="24">
        <f>D1808*E1808</f>
        <v/>
      </c>
      <c r="G1808" s="22" t="n"/>
    </row>
    <row r="1809">
      <c r="A1809" s="22" t="inlineStr">
        <is>
          <t>0686</t>
        </is>
      </c>
      <c r="B1809" s="11" t="inlineStr">
        <is>
          <t>Oxidised mild steel screws 20 mm</t>
        </is>
      </c>
      <c r="C1809" s="22" t="inlineStr">
        <is>
          <t>100 Nos</t>
        </is>
      </c>
      <c r="D1809" s="23" t="n">
        <v>0.4</v>
      </c>
      <c r="E1809" s="24" t="n">
        <v>32</v>
      </c>
      <c r="F1809" s="24">
        <f>D1809*E1809</f>
        <v/>
      </c>
      <c r="G1809" s="22" t="n"/>
    </row>
    <row r="1810">
      <c r="A1810" s="22" t="inlineStr">
        <is>
          <t>9977</t>
        </is>
      </c>
      <c r="B1810" s="11" t="inlineStr">
        <is>
          <t>Carriage of materials</t>
        </is>
      </c>
      <c r="C1810" s="22" t="inlineStr">
        <is>
          <t>L.S.</t>
        </is>
      </c>
      <c r="D1810" s="23" t="n">
        <v>0.91</v>
      </c>
      <c r="E1810" s="24" t="n">
        <v>2</v>
      </c>
      <c r="F1810" s="24">
        <f>D1810*E1810</f>
        <v/>
      </c>
      <c r="G1810" s="22" t="n"/>
    </row>
    <row r="1811">
      <c r="A1811" s="22" t="inlineStr">
        <is>
          <t>0112</t>
        </is>
      </c>
      <c r="B1811" s="11" t="inlineStr">
        <is>
          <t>Carpenter 2nd class</t>
        </is>
      </c>
      <c r="C1811" s="22" t="inlineStr">
        <is>
          <t>day</t>
        </is>
      </c>
      <c r="D1811" s="23" t="n">
        <v>0.08</v>
      </c>
      <c r="E1811" s="24" t="n">
        <v>679</v>
      </c>
      <c r="F1811" s="24">
        <f>D1811*E1811</f>
        <v/>
      </c>
      <c r="G1811" s="22" t="n"/>
    </row>
    <row r="1812">
      <c r="A1812" s="8" t="inlineStr">
        <is>
          <t>Calculated W - SUM of the Amount column above</t>
        </is>
      </c>
      <c r="B1812" s="9" t="n"/>
      <c r="C1812" s="9" t="n"/>
      <c r="D1812" s="9" t="n"/>
      <c r="E1812" s="9" t="n"/>
      <c r="F1812" s="25">
        <f>SUM(F1808:F1811)</f>
        <v/>
      </c>
      <c r="G1812" s="9" t="n"/>
    </row>
    <row r="1813">
      <c r="A1813" s="26" t="inlineStr">
        <is>
          <t>W as printed in the DAR</t>
        </is>
      </c>
      <c r="B1813" s="22" t="n"/>
      <c r="C1813" s="22" t="n"/>
      <c r="D1813" s="22" t="n"/>
      <c r="E1813" s="22" t="n"/>
      <c r="F1813" s="27" t="n">
        <v>121.94</v>
      </c>
      <c r="G1813" s="22" t="n"/>
    </row>
    <row r="1814">
      <c r="A1814" s="26" t="inlineStr">
        <is>
          <t>Difference (calculated - printed)</t>
        </is>
      </c>
      <c r="B1814" s="22" t="n"/>
      <c r="C1814" s="22" t="n"/>
      <c r="D1814" s="22" t="n"/>
      <c r="E1814" s="22" t="n"/>
      <c r="F1814" s="27">
        <f>F1812-F1813</f>
        <v/>
      </c>
      <c r="G1814" s="22" t="n"/>
    </row>
    <row r="1815">
      <c r="A1815" s="29" t="inlineStr">
        <is>
          <t>SAY (Rs.) - final DAR rate as printed (fixed value, not computed)</t>
        </is>
      </c>
      <c r="B1815" s="30" t="n"/>
      <c r="C1815" s="30" t="n"/>
      <c r="D1815" s="30" t="n"/>
      <c r="E1815" s="30" t="n"/>
      <c r="F1815" s="31" t="n">
        <v>16.3</v>
      </c>
      <c r="G1815" s="30" t="n"/>
    </row>
    <row r="1817" ht="18.5" customHeight="1">
      <c r="A1817" s="8" t="inlineStr">
        <is>
          <t>9.58</t>
        </is>
      </c>
      <c r="B1817" s="17" t="inlineStr">
        <is>
          <t>Providing and fixing ISI marked oxidised M.S. pressed Parliamentary hinges with necessary screws etc. complete :</t>
        </is>
      </c>
      <c r="C1817" s="9" t="n"/>
      <c r="D1817" s="9" t="n"/>
      <c r="E1817" s="9" t="n"/>
      <c r="F1817" s="9" t="n"/>
      <c r="G1817" s="9" t="n"/>
    </row>
    <row r="1818" ht="18.5" customHeight="1">
      <c r="A1818" s="18" t="inlineStr">
        <is>
          <t>9.58.1</t>
        </is>
      </c>
      <c r="B1818" s="19" t="inlineStr">
        <is>
          <t>150x125x27x2.80 mm</t>
        </is>
      </c>
      <c r="C1818" s="20" t="n"/>
      <c r="D1818" s="20" t="n"/>
      <c r="E1818" s="20" t="n"/>
      <c r="F1818" s="20" t="n"/>
      <c r="G1818" s="20" t="n"/>
    </row>
    <row r="1819">
      <c r="A1819" s="21" t="inlineStr">
        <is>
          <t>Details of cost for 10 nos   |   Source: CivilDAR_2019_Vol_1.pdf, page 510</t>
        </is>
      </c>
    </row>
    <row r="1820">
      <c r="A1820" s="5" t="inlineStr">
        <is>
          <t>Code</t>
        </is>
      </c>
      <c r="B1820" s="5" t="inlineStr">
        <is>
          <t>Description</t>
        </is>
      </c>
      <c r="C1820" s="5" t="inlineStr">
        <is>
          <t>Unit</t>
        </is>
      </c>
      <c r="D1820" s="5" t="inlineStr">
        <is>
          <t>Quantity</t>
        </is>
      </c>
      <c r="E1820" s="5" t="inlineStr">
        <is>
          <t>Rate (Rs.)</t>
        </is>
      </c>
      <c r="F1820" s="5" t="inlineStr">
        <is>
          <t>Amount (Rs.)</t>
        </is>
      </c>
      <c r="G1820" s="5" t="inlineStr">
        <is>
          <t>Note</t>
        </is>
      </c>
    </row>
    <row r="1821">
      <c r="A1821" s="22" t="inlineStr">
        <is>
          <t>0646</t>
        </is>
      </c>
      <c r="B1821" s="11" t="inlineStr">
        <is>
          <t>Oxidised mild steel parliamentary hinges 150x125x27x2.8 mm</t>
        </is>
      </c>
      <c r="C1821" s="22" t="inlineStr">
        <is>
          <t>10 Nos</t>
        </is>
      </c>
      <c r="D1821" s="23" t="n">
        <v>1</v>
      </c>
      <c r="E1821" s="24" t="n">
        <v>334</v>
      </c>
      <c r="F1821" s="24">
        <f>D1821*E1821</f>
        <v/>
      </c>
      <c r="G1821" s="22" t="n"/>
    </row>
    <row r="1822">
      <c r="A1822" s="22" t="inlineStr">
        <is>
          <t>0683</t>
        </is>
      </c>
      <c r="B1822" s="11" t="inlineStr">
        <is>
          <t>Oxidised mild steel screws 40 mm</t>
        </is>
      </c>
      <c r="C1822" s="22" t="inlineStr">
        <is>
          <t>100 Nos</t>
        </is>
      </c>
      <c r="D1822" s="23" t="n">
        <v>0.8</v>
      </c>
      <c r="E1822" s="24" t="n">
        <v>62</v>
      </c>
      <c r="F1822" s="24">
        <f>D1822*E1822</f>
        <v/>
      </c>
      <c r="G1822" s="22" t="n"/>
    </row>
    <row r="1823">
      <c r="A1823" s="22" t="inlineStr">
        <is>
          <t>9977</t>
        </is>
      </c>
      <c r="B1823" s="11" t="inlineStr">
        <is>
          <t>Carriage of materials</t>
        </is>
      </c>
      <c r="C1823" s="22" t="inlineStr">
        <is>
          <t>L.S.</t>
        </is>
      </c>
      <c r="D1823" s="23" t="n">
        <v>2.73</v>
      </c>
      <c r="E1823" s="24" t="n">
        <v>2</v>
      </c>
      <c r="F1823" s="24">
        <f>D1823*E1823</f>
        <v/>
      </c>
      <c r="G1823" s="22" t="n"/>
    </row>
    <row r="1824">
      <c r="A1824" s="22" t="inlineStr">
        <is>
          <t>0112</t>
        </is>
      </c>
      <c r="B1824" s="11" t="inlineStr">
        <is>
          <t>Carpenter 2nd class</t>
        </is>
      </c>
      <c r="C1824" s="22" t="inlineStr">
        <is>
          <t>day</t>
        </is>
      </c>
      <c r="D1824" s="23" t="n">
        <v>0.14</v>
      </c>
      <c r="E1824" s="24" t="n">
        <v>679</v>
      </c>
      <c r="F1824" s="24">
        <f>D1824*E1824</f>
        <v/>
      </c>
      <c r="G1824" s="22" t="n"/>
    </row>
    <row r="1825">
      <c r="A1825" s="22" t="inlineStr">
        <is>
          <t>0114</t>
        </is>
      </c>
      <c r="B1825" s="11" t="inlineStr">
        <is>
          <t>Beldar</t>
        </is>
      </c>
      <c r="C1825" s="22" t="inlineStr">
        <is>
          <t>day</t>
        </is>
      </c>
      <c r="D1825" s="23" t="n">
        <v>0.14</v>
      </c>
      <c r="E1825" s="24" t="n">
        <v>558</v>
      </c>
      <c r="F1825" s="24">
        <f>D1825*E1825</f>
        <v/>
      </c>
      <c r="G1825" s="22" t="n"/>
    </row>
    <row r="1826">
      <c r="A1826" s="8" t="inlineStr">
        <is>
          <t>Calculated W - SUM of the Amount column above</t>
        </is>
      </c>
      <c r="B1826" s="9" t="n"/>
      <c r="C1826" s="9" t="n"/>
      <c r="D1826" s="9" t="n"/>
      <c r="E1826" s="9" t="n"/>
      <c r="F1826" s="25">
        <f>SUM(F1821:F1825)</f>
        <v/>
      </c>
      <c r="G1826" s="9" t="n"/>
    </row>
    <row r="1827">
      <c r="A1827" s="26" t="inlineStr">
        <is>
          <t>W as printed in the DAR</t>
        </is>
      </c>
      <c r="B1827" s="22" t="n"/>
      <c r="C1827" s="22" t="n"/>
      <c r="D1827" s="22" t="n"/>
      <c r="E1827" s="22" t="n"/>
      <c r="F1827" s="27" t="n">
        <v>562.24</v>
      </c>
      <c r="G1827" s="22" t="n"/>
    </row>
    <row r="1828">
      <c r="A1828" s="26" t="inlineStr">
        <is>
          <t>Difference (calculated - printed)</t>
        </is>
      </c>
      <c r="B1828" s="22" t="n"/>
      <c r="C1828" s="22" t="n"/>
      <c r="D1828" s="22" t="n"/>
      <c r="E1828" s="22" t="n"/>
      <c r="F1828" s="27">
        <f>F1826-F1827</f>
        <v/>
      </c>
      <c r="G1828" s="22" t="n"/>
    </row>
    <row r="1829">
      <c r="A1829" s="29" t="inlineStr">
        <is>
          <t>SAY (Rs.) - final DAR rate as printed (fixed value, not computed)</t>
        </is>
      </c>
      <c r="B1829" s="30" t="n"/>
      <c r="C1829" s="30" t="n"/>
      <c r="D1829" s="30" t="n"/>
      <c r="E1829" s="30" t="n"/>
      <c r="F1829" s="31" t="n">
        <v>75.2</v>
      </c>
      <c r="G1829" s="30" t="n"/>
    </row>
    <row r="1831" ht="18.5" customHeight="1">
      <c r="A1831" s="8" t="inlineStr">
        <is>
          <t>9.58</t>
        </is>
      </c>
      <c r="B1831" s="17" t="inlineStr">
        <is>
          <t>Providing and fixing ISI marked oxidised M.S. pressed Parliamentary hinges with necessary screws etc. complete :</t>
        </is>
      </c>
      <c r="C1831" s="9" t="n"/>
      <c r="D1831" s="9" t="n"/>
      <c r="E1831" s="9" t="n"/>
      <c r="F1831" s="9" t="n"/>
      <c r="G1831" s="9" t="n"/>
    </row>
    <row r="1832" ht="18.5" customHeight="1">
      <c r="A1832" s="18" t="inlineStr">
        <is>
          <t>9.58.2</t>
        </is>
      </c>
      <c r="B1832" s="19" t="inlineStr">
        <is>
          <t>125x125x27x2.80 mm</t>
        </is>
      </c>
      <c r="C1832" s="20" t="n"/>
      <c r="D1832" s="20" t="n"/>
      <c r="E1832" s="20" t="n"/>
      <c r="F1832" s="20" t="n"/>
      <c r="G1832" s="20" t="n"/>
    </row>
    <row r="1833">
      <c r="A1833" s="21" t="inlineStr">
        <is>
          <t>Details of cost for 10 nos   |   Source: CivilDAR_2019_Vol_1.pdf, page 510</t>
        </is>
      </c>
    </row>
    <row r="1834">
      <c r="A1834" s="5" t="inlineStr">
        <is>
          <t>Code</t>
        </is>
      </c>
      <c r="B1834" s="5" t="inlineStr">
        <is>
          <t>Description</t>
        </is>
      </c>
      <c r="C1834" s="5" t="inlineStr">
        <is>
          <t>Unit</t>
        </is>
      </c>
      <c r="D1834" s="5" t="inlineStr">
        <is>
          <t>Quantity</t>
        </is>
      </c>
      <c r="E1834" s="5" t="inlineStr">
        <is>
          <t>Rate (Rs.)</t>
        </is>
      </c>
      <c r="F1834" s="5" t="inlineStr">
        <is>
          <t>Amount (Rs.)</t>
        </is>
      </c>
      <c r="G1834" s="5" t="inlineStr">
        <is>
          <t>Note</t>
        </is>
      </c>
    </row>
    <row r="1835">
      <c r="A1835" s="22" t="inlineStr">
        <is>
          <t>0647</t>
        </is>
      </c>
      <c r="B1835" s="11" t="inlineStr">
        <is>
          <t>Oxidised mild steel parliamentary hinges 125x125x27x2.8 mm</t>
        </is>
      </c>
      <c r="C1835" s="22" t="inlineStr">
        <is>
          <t>10 Nos</t>
        </is>
      </c>
      <c r="D1835" s="23" t="n">
        <v>1</v>
      </c>
      <c r="E1835" s="24" t="n">
        <v>309</v>
      </c>
      <c r="F1835" s="24">
        <f>D1835*E1835</f>
        <v/>
      </c>
      <c r="G1835" s="22" t="n"/>
    </row>
    <row r="1836">
      <c r="A1836" s="22" t="inlineStr">
        <is>
          <t>0683</t>
        </is>
      </c>
      <c r="B1836" s="11" t="inlineStr">
        <is>
          <t>Oxidised mild steel screws 40 mm</t>
        </is>
      </c>
      <c r="C1836" s="22" t="inlineStr">
        <is>
          <t>100 Nos</t>
        </is>
      </c>
      <c r="D1836" s="23" t="n">
        <v>0.8</v>
      </c>
      <c r="E1836" s="24" t="n">
        <v>62</v>
      </c>
      <c r="F1836" s="24">
        <f>D1836*E1836</f>
        <v/>
      </c>
      <c r="G1836" s="22" t="n"/>
    </row>
    <row r="1837">
      <c r="A1837" s="22" t="inlineStr">
        <is>
          <t>9977</t>
        </is>
      </c>
      <c r="B1837" s="11" t="inlineStr">
        <is>
          <t>Carriage of materials</t>
        </is>
      </c>
      <c r="C1837" s="22" t="inlineStr">
        <is>
          <t>L.S.</t>
        </is>
      </c>
      <c r="D1837" s="23" t="n">
        <v>2.73</v>
      </c>
      <c r="E1837" s="24" t="n">
        <v>2</v>
      </c>
      <c r="F1837" s="24">
        <f>D1837*E1837</f>
        <v/>
      </c>
      <c r="G1837" s="22" t="n"/>
    </row>
    <row r="1838">
      <c r="A1838" s="22" t="inlineStr">
        <is>
          <t>0112</t>
        </is>
      </c>
      <c r="B1838" s="11" t="inlineStr">
        <is>
          <t>Carpenter 2nd class</t>
        </is>
      </c>
      <c r="C1838" s="22" t="inlineStr">
        <is>
          <t>day</t>
        </is>
      </c>
      <c r="D1838" s="23" t="n">
        <v>0.14</v>
      </c>
      <c r="E1838" s="24" t="n">
        <v>679</v>
      </c>
      <c r="F1838" s="24">
        <f>D1838*E1838</f>
        <v/>
      </c>
      <c r="G1838" s="22" t="n"/>
    </row>
    <row r="1839">
      <c r="A1839" s="22" t="inlineStr">
        <is>
          <t>0114</t>
        </is>
      </c>
      <c r="B1839" s="11" t="inlineStr">
        <is>
          <t>Beldar</t>
        </is>
      </c>
      <c r="C1839" s="22" t="inlineStr">
        <is>
          <t>day</t>
        </is>
      </c>
      <c r="D1839" s="23" t="n">
        <v>0.14</v>
      </c>
      <c r="E1839" s="24" t="n">
        <v>558</v>
      </c>
      <c r="F1839" s="24">
        <f>D1839*E1839</f>
        <v/>
      </c>
      <c r="G1839" s="22" t="n"/>
    </row>
    <row r="1840">
      <c r="A1840" s="8" t="inlineStr">
        <is>
          <t>Calculated W - SUM of the Amount column above</t>
        </is>
      </c>
      <c r="B1840" s="9" t="n"/>
      <c r="C1840" s="9" t="n"/>
      <c r="D1840" s="9" t="n"/>
      <c r="E1840" s="9" t="n"/>
      <c r="F1840" s="25">
        <f>SUM(F1835:F1839)</f>
        <v/>
      </c>
      <c r="G1840" s="9" t="n"/>
    </row>
    <row r="1841">
      <c r="A1841" s="26" t="inlineStr">
        <is>
          <t>W as printed in the DAR</t>
        </is>
      </c>
      <c r="B1841" s="22" t="n"/>
      <c r="C1841" s="22" t="n"/>
      <c r="D1841" s="22" t="n"/>
      <c r="E1841" s="22" t="n"/>
      <c r="F1841" s="27" t="n">
        <v>537.24</v>
      </c>
      <c r="G1841" s="22" t="n"/>
    </row>
    <row r="1842">
      <c r="A1842" s="26" t="inlineStr">
        <is>
          <t>Difference (calculated - printed)</t>
        </is>
      </c>
      <c r="B1842" s="22" t="n"/>
      <c r="C1842" s="22" t="n"/>
      <c r="D1842" s="22" t="n"/>
      <c r="E1842" s="22" t="n"/>
      <c r="F1842" s="27">
        <f>F1840-F1841</f>
        <v/>
      </c>
      <c r="G1842" s="22" t="n"/>
    </row>
    <row r="1843">
      <c r="A1843" s="29" t="inlineStr">
        <is>
          <t>SAY (Rs.) - final DAR rate as printed (fixed value, not computed)</t>
        </is>
      </c>
      <c r="B1843" s="30" t="n"/>
      <c r="C1843" s="30" t="n"/>
      <c r="D1843" s="30" t="n"/>
      <c r="E1843" s="30" t="n"/>
      <c r="F1843" s="31" t="n">
        <v>71.90000000000001</v>
      </c>
      <c r="G1843" s="30" t="n"/>
    </row>
    <row r="1845" ht="18.5" customHeight="1">
      <c r="A1845" s="8" t="inlineStr">
        <is>
          <t>9.58</t>
        </is>
      </c>
      <c r="B1845" s="17" t="inlineStr">
        <is>
          <t>Providing and fixing ISI marked oxidised M.S. pressed Parliamentary hinges with necessary screws etc. complete :</t>
        </is>
      </c>
      <c r="C1845" s="9" t="n"/>
      <c r="D1845" s="9" t="n"/>
      <c r="E1845" s="9" t="n"/>
      <c r="F1845" s="9" t="n"/>
      <c r="G1845" s="9" t="n"/>
    </row>
    <row r="1846" ht="18.5" customHeight="1">
      <c r="A1846" s="18" t="inlineStr">
        <is>
          <t>9.58.3</t>
        </is>
      </c>
      <c r="B1846" s="19" t="inlineStr">
        <is>
          <t>100x125x27x2.80 mm</t>
        </is>
      </c>
      <c r="C1846" s="20" t="n"/>
      <c r="D1846" s="20" t="n"/>
      <c r="E1846" s="20" t="n"/>
      <c r="F1846" s="20" t="n"/>
      <c r="G1846" s="20" t="n"/>
    </row>
    <row r="1847">
      <c r="A1847" s="21" t="inlineStr">
        <is>
          <t>Details of cost for 10 nos   |   Source: CivilDAR_2019_Vol_1.pdf, page 511</t>
        </is>
      </c>
    </row>
    <row r="1848">
      <c r="A1848" s="5" t="inlineStr">
        <is>
          <t>Code</t>
        </is>
      </c>
      <c r="B1848" s="5" t="inlineStr">
        <is>
          <t>Description</t>
        </is>
      </c>
      <c r="C1848" s="5" t="inlineStr">
        <is>
          <t>Unit</t>
        </is>
      </c>
      <c r="D1848" s="5" t="inlineStr">
        <is>
          <t>Quantity</t>
        </is>
      </c>
      <c r="E1848" s="5" t="inlineStr">
        <is>
          <t>Rate (Rs.)</t>
        </is>
      </c>
      <c r="F1848" s="5" t="inlineStr">
        <is>
          <t>Amount (Rs.)</t>
        </is>
      </c>
      <c r="G1848" s="5" t="inlineStr">
        <is>
          <t>Note</t>
        </is>
      </c>
    </row>
    <row r="1849">
      <c r="A1849" s="22" t="inlineStr">
        <is>
          <t>0648</t>
        </is>
      </c>
      <c r="B1849" s="11" t="inlineStr">
        <is>
          <t>Oxidised mild steel parliamentary hinges 100x125x27x2.8 mm</t>
        </is>
      </c>
      <c r="C1849" s="22" t="inlineStr">
        <is>
          <t>10 Nos</t>
        </is>
      </c>
      <c r="D1849" s="23" t="n">
        <v>1</v>
      </c>
      <c r="E1849" s="24" t="n">
        <v>231</v>
      </c>
      <c r="F1849" s="24">
        <f>D1849*E1849</f>
        <v/>
      </c>
      <c r="G1849" s="22" t="n"/>
    </row>
    <row r="1850">
      <c r="A1850" s="22" t="inlineStr">
        <is>
          <t>0683</t>
        </is>
      </c>
      <c r="B1850" s="11" t="inlineStr">
        <is>
          <t>Oxidised mild steel screws 40 mm</t>
        </is>
      </c>
      <c r="C1850" s="22" t="inlineStr">
        <is>
          <t>100 Nos</t>
        </is>
      </c>
      <c r="D1850" s="23" t="n">
        <v>0.8</v>
      </c>
      <c r="E1850" s="24" t="n">
        <v>62</v>
      </c>
      <c r="F1850" s="24">
        <f>D1850*E1850</f>
        <v/>
      </c>
      <c r="G1850" s="22" t="n"/>
    </row>
    <row r="1851">
      <c r="A1851" s="22" t="inlineStr">
        <is>
          <t>9977</t>
        </is>
      </c>
      <c r="B1851" s="11" t="inlineStr">
        <is>
          <t>Carriage of materials</t>
        </is>
      </c>
      <c r="C1851" s="22" t="inlineStr">
        <is>
          <t>L.S.</t>
        </is>
      </c>
      <c r="D1851" s="23" t="n">
        <v>2.73</v>
      </c>
      <c r="E1851" s="24" t="n">
        <v>2</v>
      </c>
      <c r="F1851" s="24">
        <f>D1851*E1851</f>
        <v/>
      </c>
      <c r="G1851" s="22" t="n"/>
    </row>
    <row r="1852">
      <c r="A1852" s="22" t="inlineStr">
        <is>
          <t>0112</t>
        </is>
      </c>
      <c r="B1852" s="11" t="inlineStr">
        <is>
          <t>Carpenter 2nd class</t>
        </is>
      </c>
      <c r="C1852" s="22" t="inlineStr">
        <is>
          <t>day</t>
        </is>
      </c>
      <c r="D1852" s="23" t="n">
        <v>0.14</v>
      </c>
      <c r="E1852" s="24" t="n">
        <v>679</v>
      </c>
      <c r="F1852" s="24">
        <f>D1852*E1852</f>
        <v/>
      </c>
      <c r="G1852" s="22" t="n"/>
    </row>
    <row r="1853">
      <c r="A1853" s="22" t="inlineStr">
        <is>
          <t>0114</t>
        </is>
      </c>
      <c r="B1853" s="11" t="inlineStr">
        <is>
          <t>Beldar</t>
        </is>
      </c>
      <c r="C1853" s="22" t="inlineStr">
        <is>
          <t>day</t>
        </is>
      </c>
      <c r="D1853" s="23" t="n">
        <v>0.14</v>
      </c>
      <c r="E1853" s="24" t="n">
        <v>558</v>
      </c>
      <c r="F1853" s="24">
        <f>D1853*E1853</f>
        <v/>
      </c>
      <c r="G1853" s="22" t="n"/>
    </row>
    <row r="1854">
      <c r="A1854" s="8" t="inlineStr">
        <is>
          <t>Calculated W - SUM of the Amount column above</t>
        </is>
      </c>
      <c r="B1854" s="9" t="n"/>
      <c r="C1854" s="9" t="n"/>
      <c r="D1854" s="9" t="n"/>
      <c r="E1854" s="9" t="n"/>
      <c r="F1854" s="25">
        <f>SUM(F1849:F1853)</f>
        <v/>
      </c>
      <c r="G1854" s="9" t="n"/>
    </row>
    <row r="1855">
      <c r="A1855" s="26" t="inlineStr">
        <is>
          <t>W as printed in the DAR</t>
        </is>
      </c>
      <c r="B1855" s="22" t="n"/>
      <c r="C1855" s="22" t="n"/>
      <c r="D1855" s="22" t="n"/>
      <c r="E1855" s="22" t="n"/>
      <c r="F1855" s="27" t="n">
        <v>459.24</v>
      </c>
      <c r="G1855" s="22" t="n"/>
    </row>
    <row r="1856">
      <c r="A1856" s="26" t="inlineStr">
        <is>
          <t>Difference (calculated - printed)</t>
        </is>
      </c>
      <c r="B1856" s="22" t="n"/>
      <c r="C1856" s="22" t="n"/>
      <c r="D1856" s="22" t="n"/>
      <c r="E1856" s="22" t="n"/>
      <c r="F1856" s="27">
        <f>F1854-F1855</f>
        <v/>
      </c>
      <c r="G1856" s="22" t="n"/>
    </row>
    <row r="1857">
      <c r="A1857" s="29" t="inlineStr">
        <is>
          <t>SAY (Rs.) - final DAR rate as printed (fixed value, not computed)</t>
        </is>
      </c>
      <c r="B1857" s="30" t="n"/>
      <c r="C1857" s="30" t="n"/>
      <c r="D1857" s="30" t="n"/>
      <c r="E1857" s="30" t="n"/>
      <c r="F1857" s="31" t="n">
        <v>61.45</v>
      </c>
      <c r="G1857" s="30" t="n"/>
    </row>
    <row r="1859" ht="18.5" customHeight="1">
      <c r="A1859" s="8" t="inlineStr">
        <is>
          <t>9.58</t>
        </is>
      </c>
      <c r="B1859" s="17" t="inlineStr">
        <is>
          <t>Providing and fixing ISI marked oxidised M.S. pressed Parliamentary hinges with necessary screws etc. complete :</t>
        </is>
      </c>
      <c r="C1859" s="9" t="n"/>
      <c r="D1859" s="9" t="n"/>
      <c r="E1859" s="9" t="n"/>
      <c r="F1859" s="9" t="n"/>
      <c r="G1859" s="9" t="n"/>
    </row>
    <row r="1860" ht="18.5" customHeight="1">
      <c r="A1860" s="18" t="inlineStr">
        <is>
          <t>9.58.4</t>
        </is>
      </c>
      <c r="B1860" s="19" t="inlineStr">
        <is>
          <t>75x100x20x2.24 mm</t>
        </is>
      </c>
      <c r="C1860" s="20" t="n"/>
      <c r="D1860" s="20" t="n"/>
      <c r="E1860" s="20" t="n"/>
      <c r="F1860" s="20" t="n"/>
      <c r="G1860" s="20" t="n"/>
    </row>
    <row r="1861">
      <c r="A1861" s="21" t="inlineStr">
        <is>
          <t>Details of cost for 10 nos   |   Source: CivilDAR_2019_Vol_1.pdf, page 511</t>
        </is>
      </c>
    </row>
    <row r="1862">
      <c r="A1862" s="5" t="inlineStr">
        <is>
          <t>Code</t>
        </is>
      </c>
      <c r="B1862" s="5" t="inlineStr">
        <is>
          <t>Description</t>
        </is>
      </c>
      <c r="C1862" s="5" t="inlineStr">
        <is>
          <t>Unit</t>
        </is>
      </c>
      <c r="D1862" s="5" t="inlineStr">
        <is>
          <t>Quantity</t>
        </is>
      </c>
      <c r="E1862" s="5" t="inlineStr">
        <is>
          <t>Rate (Rs.)</t>
        </is>
      </c>
      <c r="F1862" s="5" t="inlineStr">
        <is>
          <t>Amount (Rs.)</t>
        </is>
      </c>
      <c r="G1862" s="5" t="inlineStr">
        <is>
          <t>Note</t>
        </is>
      </c>
    </row>
    <row r="1863">
      <c r="A1863" s="22" t="inlineStr">
        <is>
          <t>0649</t>
        </is>
      </c>
      <c r="B1863" s="11" t="inlineStr">
        <is>
          <t>Oxidised mild steel parliamentary hinges 75x100x20x2.24 mm</t>
        </is>
      </c>
      <c r="C1863" s="22" t="inlineStr">
        <is>
          <t>10 Nos</t>
        </is>
      </c>
      <c r="D1863" s="23" t="n">
        <v>1</v>
      </c>
      <c r="E1863" s="24" t="n">
        <v>196</v>
      </c>
      <c r="F1863" s="24">
        <f>D1863*E1863</f>
        <v/>
      </c>
      <c r="G1863" s="22" t="n"/>
    </row>
    <row r="1864">
      <c r="A1864" s="22" t="inlineStr">
        <is>
          <t>0684</t>
        </is>
      </c>
      <c r="B1864" s="11" t="inlineStr">
        <is>
          <t>Oxidised mild steel screws 30 mm</t>
        </is>
      </c>
      <c r="C1864" s="22" t="inlineStr">
        <is>
          <t>100 Nos</t>
        </is>
      </c>
      <c r="D1864" s="23" t="n">
        <v>0.6</v>
      </c>
      <c r="E1864" s="24" t="n">
        <v>49</v>
      </c>
      <c r="F1864" s="24">
        <f>D1864*E1864</f>
        <v/>
      </c>
      <c r="G1864" s="22" t="n"/>
    </row>
    <row r="1865">
      <c r="A1865" s="22" t="inlineStr">
        <is>
          <t>9977</t>
        </is>
      </c>
      <c r="B1865" s="11" t="inlineStr">
        <is>
          <t>Carriage of materials</t>
        </is>
      </c>
      <c r="C1865" s="22" t="inlineStr">
        <is>
          <t>L.S.</t>
        </is>
      </c>
      <c r="D1865" s="23" t="n">
        <v>2.73</v>
      </c>
      <c r="E1865" s="24" t="n">
        <v>2</v>
      </c>
      <c r="F1865" s="24">
        <f>D1865*E1865</f>
        <v/>
      </c>
      <c r="G1865" s="22" t="n"/>
    </row>
    <row r="1866">
      <c r="A1866" s="22" t="inlineStr">
        <is>
          <t>0112</t>
        </is>
      </c>
      <c r="B1866" s="11" t="inlineStr">
        <is>
          <t>Carpenter 2nd class</t>
        </is>
      </c>
      <c r="C1866" s="22" t="inlineStr">
        <is>
          <t>day</t>
        </is>
      </c>
      <c r="D1866" s="23" t="n">
        <v>0.14</v>
      </c>
      <c r="E1866" s="24" t="n">
        <v>679</v>
      </c>
      <c r="F1866" s="24">
        <f>D1866*E1866</f>
        <v/>
      </c>
      <c r="G1866" s="22" t="n"/>
    </row>
    <row r="1867">
      <c r="A1867" s="22" t="inlineStr">
        <is>
          <t>0114</t>
        </is>
      </c>
      <c r="B1867" s="11" t="inlineStr">
        <is>
          <t>Beldar</t>
        </is>
      </c>
      <c r="C1867" s="22" t="inlineStr">
        <is>
          <t>day</t>
        </is>
      </c>
      <c r="D1867" s="23" t="n">
        <v>0.14</v>
      </c>
      <c r="E1867" s="24" t="n">
        <v>558</v>
      </c>
      <c r="F1867" s="24">
        <f>D1867*E1867</f>
        <v/>
      </c>
      <c r="G1867" s="22" t="n"/>
    </row>
    <row r="1868">
      <c r="A1868" s="8" t="inlineStr">
        <is>
          <t>Calculated W - SUM of the Amount column above</t>
        </is>
      </c>
      <c r="B1868" s="9" t="n"/>
      <c r="C1868" s="9" t="n"/>
      <c r="D1868" s="9" t="n"/>
      <c r="E1868" s="9" t="n"/>
      <c r="F1868" s="25">
        <f>SUM(F1863:F1867)</f>
        <v/>
      </c>
      <c r="G1868" s="9" t="n"/>
    </row>
    <row r="1869">
      <c r="A1869" s="26" t="inlineStr">
        <is>
          <t>W as printed in the DAR</t>
        </is>
      </c>
      <c r="B1869" s="22" t="n"/>
      <c r="C1869" s="22" t="n"/>
      <c r="D1869" s="22" t="n"/>
      <c r="E1869" s="22" t="n"/>
      <c r="F1869" s="27" t="n">
        <v>404.04</v>
      </c>
      <c r="G1869" s="22" t="n"/>
    </row>
    <row r="1870">
      <c r="A1870" s="26" t="inlineStr">
        <is>
          <t>Difference (calculated - printed)</t>
        </is>
      </c>
      <c r="B1870" s="22" t="n"/>
      <c r="C1870" s="22" t="n"/>
      <c r="D1870" s="22" t="n"/>
      <c r="E1870" s="22" t="n"/>
      <c r="F1870" s="27">
        <f>F1868-F1869</f>
        <v/>
      </c>
      <c r="G1870" s="22" t="n"/>
    </row>
    <row r="1871">
      <c r="A1871" s="29" t="inlineStr">
        <is>
          <t>SAY (Rs.) - final DAR rate as printed (fixed value, not computed)</t>
        </is>
      </c>
      <c r="B1871" s="30" t="n"/>
      <c r="C1871" s="30" t="n"/>
      <c r="D1871" s="30" t="n"/>
      <c r="E1871" s="30" t="n"/>
      <c r="F1871" s="31" t="n">
        <v>54.05</v>
      </c>
      <c r="G1871" s="30" t="n"/>
    </row>
    <row r="1873" ht="18.5" customHeight="1">
      <c r="A1873" s="8" t="inlineStr">
        <is>
          <t>9.59</t>
        </is>
      </c>
      <c r="B1873" s="17" t="inlineStr">
        <is>
          <t>Providing and fixing ISI marked oxidised M.S. single acting spring hinges with necessary screws etc. complete :</t>
        </is>
      </c>
      <c r="C1873" s="9" t="n"/>
      <c r="D1873" s="9" t="n"/>
      <c r="E1873" s="9" t="n"/>
      <c r="F1873" s="9" t="n"/>
      <c r="G1873" s="9" t="n"/>
    </row>
    <row r="1874" ht="18.5" customHeight="1">
      <c r="A1874" s="18" t="inlineStr">
        <is>
          <t>9.59.1</t>
        </is>
      </c>
      <c r="B1874" s="19" t="inlineStr">
        <is>
          <t>150 mm</t>
        </is>
      </c>
      <c r="C1874" s="20" t="n"/>
      <c r="D1874" s="20" t="n"/>
      <c r="E1874" s="20" t="n"/>
      <c r="F1874" s="20" t="n"/>
      <c r="G1874" s="20" t="n"/>
    </row>
    <row r="1875">
      <c r="A1875" s="21" t="inlineStr">
        <is>
          <t>Details of cost for 10 nos   |   Source: CivilDAR_2019_Vol_1.pdf, page 512</t>
        </is>
      </c>
    </row>
    <row r="1876">
      <c r="A1876" s="5" t="inlineStr">
        <is>
          <t>Code</t>
        </is>
      </c>
      <c r="B1876" s="5" t="inlineStr">
        <is>
          <t>Description</t>
        </is>
      </c>
      <c r="C1876" s="5" t="inlineStr">
        <is>
          <t>Unit</t>
        </is>
      </c>
      <c r="D1876" s="5" t="inlineStr">
        <is>
          <t>Quantity</t>
        </is>
      </c>
      <c r="E1876" s="5" t="inlineStr">
        <is>
          <t>Rate (Rs.)</t>
        </is>
      </c>
      <c r="F1876" s="5" t="inlineStr">
        <is>
          <t>Amount (Rs.)</t>
        </is>
      </c>
      <c r="G1876" s="5" t="inlineStr">
        <is>
          <t>Note</t>
        </is>
      </c>
    </row>
    <row r="1877">
      <c r="A1877" s="22" t="inlineStr">
        <is>
          <t>0650</t>
        </is>
      </c>
      <c r="B1877" s="11" t="inlineStr">
        <is>
          <t>Oxidised mild steel single acting spring hinges 150 mm</t>
        </is>
      </c>
      <c r="C1877" s="22" t="inlineStr">
        <is>
          <t>each</t>
        </is>
      </c>
      <c r="D1877" s="23" t="n">
        <v>10</v>
      </c>
      <c r="E1877" s="24" t="n">
        <v>138</v>
      </c>
      <c r="F1877" s="24">
        <f>D1877*E1877</f>
        <v/>
      </c>
      <c r="G1877" s="22" t="n"/>
    </row>
    <row r="1878">
      <c r="A1878" s="22" t="inlineStr">
        <is>
          <t>0682</t>
        </is>
      </c>
      <c r="B1878" s="11" t="inlineStr">
        <is>
          <t>Oxidised mild steel screws 50 mm</t>
        </is>
      </c>
      <c r="C1878" s="22" t="inlineStr">
        <is>
          <t>100 Nos</t>
        </is>
      </c>
      <c r="D1878" s="23" t="n">
        <v>0.8</v>
      </c>
      <c r="E1878" s="24" t="n">
        <v>76</v>
      </c>
      <c r="F1878" s="24">
        <f>D1878*E1878</f>
        <v/>
      </c>
      <c r="G1878" s="22" t="n"/>
    </row>
    <row r="1879">
      <c r="A1879" s="22" t="inlineStr">
        <is>
          <t>9977</t>
        </is>
      </c>
      <c r="B1879" s="11" t="inlineStr">
        <is>
          <t>Carriage of materials</t>
        </is>
      </c>
      <c r="C1879" s="22" t="inlineStr">
        <is>
          <t>L.S.</t>
        </is>
      </c>
      <c r="D1879" s="23" t="n">
        <v>2.73</v>
      </c>
      <c r="E1879" s="24" t="n">
        <v>2</v>
      </c>
      <c r="F1879" s="24">
        <f>D1879*E1879</f>
        <v/>
      </c>
      <c r="G1879" s="22" t="n"/>
    </row>
    <row r="1880">
      <c r="A1880" s="22" t="inlineStr">
        <is>
          <t>0112</t>
        </is>
      </c>
      <c r="B1880" s="11" t="inlineStr">
        <is>
          <t>Carpenter 2nd class</t>
        </is>
      </c>
      <c r="C1880" s="22" t="inlineStr">
        <is>
          <t>day</t>
        </is>
      </c>
      <c r="D1880" s="23" t="n">
        <v>0.4</v>
      </c>
      <c r="E1880" s="24" t="n">
        <v>679</v>
      </c>
      <c r="F1880" s="24">
        <f>D1880*E1880</f>
        <v/>
      </c>
      <c r="G1880" s="22" t="n"/>
    </row>
    <row r="1881">
      <c r="A1881" s="22" t="inlineStr">
        <is>
          <t>0114</t>
        </is>
      </c>
      <c r="B1881" s="11" t="inlineStr">
        <is>
          <t>Beldar</t>
        </is>
      </c>
      <c r="C1881" s="22" t="inlineStr">
        <is>
          <t>day</t>
        </is>
      </c>
      <c r="D1881" s="23" t="n">
        <v>0.2</v>
      </c>
      <c r="E1881" s="24" t="n">
        <v>558</v>
      </c>
      <c r="F1881" s="24">
        <f>D1881*E1881</f>
        <v/>
      </c>
      <c r="G1881" s="22" t="n"/>
    </row>
    <row r="1882">
      <c r="A1882" s="8" t="inlineStr">
        <is>
          <t>Calculated W - SUM of the Amount column above</t>
        </is>
      </c>
      <c r="B1882" s="9" t="n"/>
      <c r="C1882" s="9" t="n"/>
      <c r="D1882" s="9" t="n"/>
      <c r="E1882" s="9" t="n"/>
      <c r="F1882" s="25">
        <f>SUM(F1877:F1881)</f>
        <v/>
      </c>
      <c r="G1882" s="9" t="n"/>
    </row>
    <row r="1883">
      <c r="A1883" s="26" t="inlineStr">
        <is>
          <t>W as printed in the DAR</t>
        </is>
      </c>
      <c r="B1883" s="22" t="n"/>
      <c r="C1883" s="22" t="n"/>
      <c r="D1883" s="22" t="n"/>
      <c r="E1883" s="22" t="n"/>
      <c r="F1883" s="27" t="n">
        <v>1829.46</v>
      </c>
      <c r="G1883" s="22" t="n"/>
    </row>
    <row r="1884">
      <c r="A1884" s="26" t="inlineStr">
        <is>
          <t>Difference (calculated - printed)</t>
        </is>
      </c>
      <c r="B1884" s="22" t="n"/>
      <c r="C1884" s="22" t="n"/>
      <c r="D1884" s="22" t="n"/>
      <c r="E1884" s="22" t="n"/>
      <c r="F1884" s="27">
        <f>F1882-F1883</f>
        <v/>
      </c>
      <c r="G1884" s="22" t="n"/>
    </row>
    <row r="1885">
      <c r="A1885" s="29" t="inlineStr">
        <is>
          <t>SAY (Rs.) - final DAR rate as printed (fixed value, not computed)</t>
        </is>
      </c>
      <c r="B1885" s="30" t="n"/>
      <c r="C1885" s="30" t="n"/>
      <c r="D1885" s="30" t="n"/>
      <c r="E1885" s="30" t="n"/>
      <c r="F1885" s="31" t="n">
        <v>244.75</v>
      </c>
      <c r="G1885" s="30" t="n"/>
    </row>
    <row r="1887" ht="18.5" customHeight="1">
      <c r="A1887" s="8" t="inlineStr">
        <is>
          <t>9.59</t>
        </is>
      </c>
      <c r="B1887" s="17" t="inlineStr">
        <is>
          <t>Providing and fixing ISI marked oxidised M.S. single acting spring hinges with necessary screws etc. complete :</t>
        </is>
      </c>
      <c r="C1887" s="9" t="n"/>
      <c r="D1887" s="9" t="n"/>
      <c r="E1887" s="9" t="n"/>
      <c r="F1887" s="9" t="n"/>
      <c r="G1887" s="9" t="n"/>
    </row>
    <row r="1888" ht="18.5" customHeight="1">
      <c r="A1888" s="18" t="inlineStr">
        <is>
          <t>9.59.2</t>
        </is>
      </c>
      <c r="B1888" s="19" t="inlineStr">
        <is>
          <t>125 mm</t>
        </is>
      </c>
      <c r="C1888" s="20" t="n"/>
      <c r="D1888" s="20" t="n"/>
      <c r="E1888" s="20" t="n"/>
      <c r="F1888" s="20" t="n"/>
      <c r="G1888" s="20" t="n"/>
    </row>
    <row r="1889">
      <c r="A1889" s="21" t="inlineStr">
        <is>
          <t>Details of cost for 10 nos   |   Source: CivilDAR_2019_Vol_1.pdf, page 512</t>
        </is>
      </c>
    </row>
    <row r="1890">
      <c r="A1890" s="5" t="inlineStr">
        <is>
          <t>Code</t>
        </is>
      </c>
      <c r="B1890" s="5" t="inlineStr">
        <is>
          <t>Description</t>
        </is>
      </c>
      <c r="C1890" s="5" t="inlineStr">
        <is>
          <t>Unit</t>
        </is>
      </c>
      <c r="D1890" s="5" t="inlineStr">
        <is>
          <t>Quantity</t>
        </is>
      </c>
      <c r="E1890" s="5" t="inlineStr">
        <is>
          <t>Rate (Rs.)</t>
        </is>
      </c>
      <c r="F1890" s="5" t="inlineStr">
        <is>
          <t>Amount (Rs.)</t>
        </is>
      </c>
      <c r="G1890" s="5" t="inlineStr">
        <is>
          <t>Note</t>
        </is>
      </c>
    </row>
    <row r="1891">
      <c r="A1891" s="22" t="inlineStr">
        <is>
          <t>0651</t>
        </is>
      </c>
      <c r="B1891" s="11" t="inlineStr">
        <is>
          <t>Oxidised mild steel single acting spring hinges 125 mm</t>
        </is>
      </c>
      <c r="C1891" s="22" t="inlineStr">
        <is>
          <t>each</t>
        </is>
      </c>
      <c r="D1891" s="23" t="n">
        <v>10</v>
      </c>
      <c r="E1891" s="24" t="n">
        <v>118</v>
      </c>
      <c r="F1891" s="24">
        <f>D1891*E1891</f>
        <v/>
      </c>
      <c r="G1891" s="22" t="n"/>
    </row>
    <row r="1892">
      <c r="A1892" s="22" t="inlineStr">
        <is>
          <t>0682</t>
        </is>
      </c>
      <c r="B1892" s="11" t="inlineStr">
        <is>
          <t>Oxidised mild steel screws 50 mm</t>
        </is>
      </c>
      <c r="C1892" s="22" t="inlineStr">
        <is>
          <t>100 Nos</t>
        </is>
      </c>
      <c r="D1892" s="23" t="n">
        <v>0.8</v>
      </c>
      <c r="E1892" s="24" t="n">
        <v>76</v>
      </c>
      <c r="F1892" s="24">
        <f>D1892*E1892</f>
        <v/>
      </c>
      <c r="G1892" s="22" t="n"/>
    </row>
    <row r="1893">
      <c r="A1893" s="22" t="inlineStr">
        <is>
          <t>9977</t>
        </is>
      </c>
      <c r="B1893" s="11" t="inlineStr">
        <is>
          <t>Carriage of materials</t>
        </is>
      </c>
      <c r="C1893" s="22" t="inlineStr">
        <is>
          <t>L.S.</t>
        </is>
      </c>
      <c r="D1893" s="23" t="n">
        <v>2.73</v>
      </c>
      <c r="E1893" s="24" t="n">
        <v>2</v>
      </c>
      <c r="F1893" s="24">
        <f>D1893*E1893</f>
        <v/>
      </c>
      <c r="G1893" s="22" t="n"/>
    </row>
    <row r="1894">
      <c r="A1894" s="22" t="inlineStr">
        <is>
          <t>0112</t>
        </is>
      </c>
      <c r="B1894" s="11" t="inlineStr">
        <is>
          <t>Carpenter 2nd class</t>
        </is>
      </c>
      <c r="C1894" s="22" t="inlineStr">
        <is>
          <t>day</t>
        </is>
      </c>
      <c r="D1894" s="23" t="n">
        <v>0.4</v>
      </c>
      <c r="E1894" s="24" t="n">
        <v>679</v>
      </c>
      <c r="F1894" s="24">
        <f>D1894*E1894</f>
        <v/>
      </c>
      <c r="G1894" s="22" t="n"/>
    </row>
    <row r="1895">
      <c r="A1895" s="22" t="inlineStr">
        <is>
          <t>0114</t>
        </is>
      </c>
      <c r="B1895" s="11" t="inlineStr">
        <is>
          <t>Beldar</t>
        </is>
      </c>
      <c r="C1895" s="22" t="inlineStr">
        <is>
          <t>day</t>
        </is>
      </c>
      <c r="D1895" s="23" t="n">
        <v>0.2</v>
      </c>
      <c r="E1895" s="24" t="n">
        <v>558</v>
      </c>
      <c r="F1895" s="24">
        <f>D1895*E1895</f>
        <v/>
      </c>
      <c r="G1895" s="22" t="n"/>
    </row>
    <row r="1896">
      <c r="A1896" s="8" t="inlineStr">
        <is>
          <t>Calculated W - SUM of the Amount column above</t>
        </is>
      </c>
      <c r="B1896" s="9" t="n"/>
      <c r="C1896" s="9" t="n"/>
      <c r="D1896" s="9" t="n"/>
      <c r="E1896" s="9" t="n"/>
      <c r="F1896" s="25">
        <f>SUM(F1891:F1895)</f>
        <v/>
      </c>
      <c r="G1896" s="9" t="n"/>
    </row>
    <row r="1897">
      <c r="A1897" s="26" t="inlineStr">
        <is>
          <t>W as printed in the DAR</t>
        </is>
      </c>
      <c r="B1897" s="22" t="n"/>
      <c r="C1897" s="22" t="n"/>
      <c r="D1897" s="22" t="n"/>
      <c r="E1897" s="22" t="n"/>
      <c r="F1897" s="27" t="n">
        <v>1629.46</v>
      </c>
      <c r="G1897" s="22" t="n"/>
    </row>
    <row r="1898">
      <c r="A1898" s="26" t="inlineStr">
        <is>
          <t>Difference (calculated - printed)</t>
        </is>
      </c>
      <c r="B1898" s="22" t="n"/>
      <c r="C1898" s="22" t="n"/>
      <c r="D1898" s="22" t="n"/>
      <c r="E1898" s="22" t="n"/>
      <c r="F1898" s="27">
        <f>F1896-F1897</f>
        <v/>
      </c>
      <c r="G1898" s="22" t="n"/>
    </row>
    <row r="1899">
      <c r="A1899" s="29" t="inlineStr">
        <is>
          <t>SAY (Rs.) - final DAR rate as printed (fixed value, not computed)</t>
        </is>
      </c>
      <c r="B1899" s="30" t="n"/>
      <c r="C1899" s="30" t="n"/>
      <c r="D1899" s="30" t="n"/>
      <c r="E1899" s="30" t="n"/>
      <c r="F1899" s="31" t="n">
        <v>218</v>
      </c>
      <c r="G1899" s="30" t="n"/>
    </row>
    <row r="1901" ht="18.5" customHeight="1">
      <c r="A1901" s="8" t="inlineStr">
        <is>
          <t>9.59</t>
        </is>
      </c>
      <c r="B1901" s="17" t="inlineStr">
        <is>
          <t>Providing and fixing ISI marked oxidised M.S. single acting spring hinges with necessary screws etc. complete :</t>
        </is>
      </c>
      <c r="C1901" s="9" t="n"/>
      <c r="D1901" s="9" t="n"/>
      <c r="E1901" s="9" t="n"/>
      <c r="F1901" s="9" t="n"/>
      <c r="G1901" s="9" t="n"/>
    </row>
    <row r="1902" ht="18.5" customHeight="1">
      <c r="A1902" s="18" t="inlineStr">
        <is>
          <t>9.59.3</t>
        </is>
      </c>
      <c r="B1902" s="19" t="inlineStr">
        <is>
          <t>100 mm</t>
        </is>
      </c>
      <c r="C1902" s="20" t="n"/>
      <c r="D1902" s="20" t="n"/>
      <c r="E1902" s="20" t="n"/>
      <c r="F1902" s="20" t="n"/>
      <c r="G1902" s="20" t="n"/>
    </row>
    <row r="1903">
      <c r="A1903" s="21" t="inlineStr">
        <is>
          <t>Details of cost for 10 nos   |   Source: CivilDAR_2019_Vol_1.pdf, page 513</t>
        </is>
      </c>
    </row>
    <row r="1904">
      <c r="A1904" s="5" t="inlineStr">
        <is>
          <t>Code</t>
        </is>
      </c>
      <c r="B1904" s="5" t="inlineStr">
        <is>
          <t>Description</t>
        </is>
      </c>
      <c r="C1904" s="5" t="inlineStr">
        <is>
          <t>Unit</t>
        </is>
      </c>
      <c r="D1904" s="5" t="inlineStr">
        <is>
          <t>Quantity</t>
        </is>
      </c>
      <c r="E1904" s="5" t="inlineStr">
        <is>
          <t>Rate (Rs.)</t>
        </is>
      </c>
      <c r="F1904" s="5" t="inlineStr">
        <is>
          <t>Amount (Rs.)</t>
        </is>
      </c>
      <c r="G1904" s="5" t="inlineStr">
        <is>
          <t>Note</t>
        </is>
      </c>
    </row>
    <row r="1905">
      <c r="A1905" s="22" t="inlineStr">
        <is>
          <t>0652</t>
        </is>
      </c>
      <c r="B1905" s="11" t="inlineStr">
        <is>
          <t>Oxidised mild steel single acting spring hinges 100 mm</t>
        </is>
      </c>
      <c r="C1905" s="22" t="inlineStr">
        <is>
          <t>each</t>
        </is>
      </c>
      <c r="D1905" s="23" t="n">
        <v>10</v>
      </c>
      <c r="E1905" s="24" t="n">
        <v>98</v>
      </c>
      <c r="F1905" s="24">
        <f>D1905*E1905</f>
        <v/>
      </c>
      <c r="G1905" s="22" t="n"/>
    </row>
    <row r="1906">
      <c r="A1906" s="22" t="inlineStr">
        <is>
          <t>0683</t>
        </is>
      </c>
      <c r="B1906" s="11" t="inlineStr">
        <is>
          <t>Oxidised mild steel screws 40 mm</t>
        </is>
      </c>
      <c r="C1906" s="22" t="inlineStr">
        <is>
          <t>100 Nos</t>
        </is>
      </c>
      <c r="D1906" s="23" t="n">
        <v>0.8</v>
      </c>
      <c r="E1906" s="24" t="n">
        <v>62</v>
      </c>
      <c r="F1906" s="24">
        <f>D1906*E1906</f>
        <v/>
      </c>
      <c r="G1906" s="22" t="n"/>
    </row>
    <row r="1907">
      <c r="A1907" s="22" t="inlineStr">
        <is>
          <t>9977</t>
        </is>
      </c>
      <c r="B1907" s="11" t="inlineStr">
        <is>
          <t>Carriage of materials</t>
        </is>
      </c>
      <c r="C1907" s="22" t="inlineStr">
        <is>
          <t>L.S.</t>
        </is>
      </c>
      <c r="D1907" s="23" t="n">
        <v>2.73</v>
      </c>
      <c r="E1907" s="24" t="n">
        <v>2</v>
      </c>
      <c r="F1907" s="24">
        <f>D1907*E1907</f>
        <v/>
      </c>
      <c r="G1907" s="22" t="n"/>
    </row>
    <row r="1908">
      <c r="A1908" s="22" t="inlineStr">
        <is>
          <t>0112</t>
        </is>
      </c>
      <c r="B1908" s="11" t="inlineStr">
        <is>
          <t>Carpenter 2nd class</t>
        </is>
      </c>
      <c r="C1908" s="22" t="inlineStr">
        <is>
          <t>day</t>
        </is>
      </c>
      <c r="D1908" s="23" t="n">
        <v>0.4</v>
      </c>
      <c r="E1908" s="24" t="n">
        <v>679</v>
      </c>
      <c r="F1908" s="24">
        <f>D1908*E1908</f>
        <v/>
      </c>
      <c r="G1908" s="22" t="n"/>
    </row>
    <row r="1909">
      <c r="A1909" s="22" t="inlineStr">
        <is>
          <t>0114</t>
        </is>
      </c>
      <c r="B1909" s="11" t="inlineStr">
        <is>
          <t>Beldar</t>
        </is>
      </c>
      <c r="C1909" s="22" t="inlineStr">
        <is>
          <t>day</t>
        </is>
      </c>
      <c r="D1909" s="23" t="n">
        <v>0.2</v>
      </c>
      <c r="E1909" s="24" t="n">
        <v>558</v>
      </c>
      <c r="F1909" s="24">
        <f>D1909*E1909</f>
        <v/>
      </c>
      <c r="G1909" s="22" t="n"/>
    </row>
    <row r="1910">
      <c r="A1910" s="8" t="inlineStr">
        <is>
          <t>Calculated W - SUM of the Amount column above</t>
        </is>
      </c>
      <c r="B1910" s="9" t="n"/>
      <c r="C1910" s="9" t="n"/>
      <c r="D1910" s="9" t="n"/>
      <c r="E1910" s="9" t="n"/>
      <c r="F1910" s="25">
        <f>SUM(F1905:F1909)</f>
        <v/>
      </c>
      <c r="G1910" s="9" t="n"/>
    </row>
    <row r="1911">
      <c r="A1911" s="26" t="inlineStr">
        <is>
          <t>W as printed in the DAR</t>
        </is>
      </c>
      <c r="B1911" s="22" t="n"/>
      <c r="C1911" s="22" t="n"/>
      <c r="D1911" s="22" t="n"/>
      <c r="E1911" s="22" t="n"/>
      <c r="F1911" s="27" t="n">
        <v>1418.26</v>
      </c>
      <c r="G1911" s="22" t="n"/>
    </row>
    <row r="1912">
      <c r="A1912" s="26" t="inlineStr">
        <is>
          <t>Difference (calculated - printed)</t>
        </is>
      </c>
      <c r="B1912" s="22" t="n"/>
      <c r="C1912" s="22" t="n"/>
      <c r="D1912" s="22" t="n"/>
      <c r="E1912" s="22" t="n"/>
      <c r="F1912" s="27">
        <f>F1910-F1911</f>
        <v/>
      </c>
      <c r="G1912" s="22" t="n"/>
    </row>
    <row r="1913">
      <c r="A1913" s="29" t="inlineStr">
        <is>
          <t>SAY (Rs.) - final DAR rate as printed (fixed value, not computed)</t>
        </is>
      </c>
      <c r="B1913" s="30" t="n"/>
      <c r="C1913" s="30" t="n"/>
      <c r="D1913" s="30" t="n"/>
      <c r="E1913" s="30" t="n"/>
      <c r="F1913" s="31" t="n">
        <v>189.75</v>
      </c>
      <c r="G1913" s="30" t="n"/>
    </row>
    <row r="1915" ht="18.5" customHeight="1">
      <c r="A1915" s="8" t="inlineStr">
        <is>
          <t>9.60</t>
        </is>
      </c>
      <c r="B1915" s="17" t="inlineStr">
        <is>
          <t>Providing and fixing oxidised M.S. double acting spring hinges with necessary screws etc. complete.</t>
        </is>
      </c>
      <c r="C1915" s="9" t="n"/>
      <c r="D1915" s="9" t="n"/>
      <c r="E1915" s="9" t="n"/>
      <c r="F1915" s="9" t="n"/>
      <c r="G1915" s="9" t="n"/>
    </row>
    <row r="1916" ht="18.5" customHeight="1">
      <c r="A1916" s="18" t="inlineStr">
        <is>
          <t>9.60.1</t>
        </is>
      </c>
      <c r="B1916" s="19" t="inlineStr">
        <is>
          <t>150 mm</t>
        </is>
      </c>
      <c r="C1916" s="20" t="n"/>
      <c r="D1916" s="20" t="n"/>
      <c r="E1916" s="20" t="n"/>
      <c r="F1916" s="20" t="n"/>
      <c r="G1916" s="20" t="n"/>
    </row>
    <row r="1917">
      <c r="A1917" s="21" t="inlineStr">
        <is>
          <t>Details of cost for 10 nos   |   Source: CivilDAR_2019_Vol_1.pdf, page 513</t>
        </is>
      </c>
    </row>
    <row r="1918">
      <c r="A1918" s="5" t="inlineStr">
        <is>
          <t>Code</t>
        </is>
      </c>
      <c r="B1918" s="5" t="inlineStr">
        <is>
          <t>Description</t>
        </is>
      </c>
      <c r="C1918" s="5" t="inlineStr">
        <is>
          <t>Unit</t>
        </is>
      </c>
      <c r="D1918" s="5" t="inlineStr">
        <is>
          <t>Quantity</t>
        </is>
      </c>
      <c r="E1918" s="5" t="inlineStr">
        <is>
          <t>Rate (Rs.)</t>
        </is>
      </c>
      <c r="F1918" s="5" t="inlineStr">
        <is>
          <t>Amount (Rs.)</t>
        </is>
      </c>
      <c r="G1918" s="5" t="inlineStr">
        <is>
          <t>Note</t>
        </is>
      </c>
    </row>
    <row r="1919">
      <c r="A1919" s="22" t="inlineStr">
        <is>
          <t>0653</t>
        </is>
      </c>
      <c r="B1919" s="11" t="inlineStr">
        <is>
          <t>Oxidised mild steel double acting spring hinges 150 mm</t>
        </is>
      </c>
      <c r="C1919" s="22" t="inlineStr">
        <is>
          <t>each</t>
        </is>
      </c>
      <c r="D1919" s="23" t="n">
        <v>10</v>
      </c>
      <c r="E1919" s="24" t="n">
        <v>157</v>
      </c>
      <c r="F1919" s="24">
        <f>D1919*E1919</f>
        <v/>
      </c>
      <c r="G1919" s="22" t="n"/>
    </row>
    <row r="1920">
      <c r="A1920" s="22" t="inlineStr">
        <is>
          <t>0682</t>
        </is>
      </c>
      <c r="B1920" s="11" t="inlineStr">
        <is>
          <t>Oxidised mild steel screws 50 mm</t>
        </is>
      </c>
      <c r="C1920" s="22" t="inlineStr">
        <is>
          <t>100 Nos</t>
        </is>
      </c>
      <c r="D1920" s="23" t="n">
        <v>0.8</v>
      </c>
      <c r="E1920" s="24" t="n">
        <v>76</v>
      </c>
      <c r="F1920" s="24">
        <f>D1920*E1920</f>
        <v/>
      </c>
      <c r="G1920" s="22" t="n"/>
    </row>
    <row r="1921">
      <c r="A1921" s="22" t="inlineStr">
        <is>
          <t>9977</t>
        </is>
      </c>
      <c r="B1921" s="11" t="inlineStr">
        <is>
          <t>Carriage of materials</t>
        </is>
      </c>
      <c r="C1921" s="22" t="inlineStr">
        <is>
          <t>L.S.</t>
        </is>
      </c>
      <c r="D1921" s="23" t="n">
        <v>2.73</v>
      </c>
      <c r="E1921" s="24" t="n">
        <v>2</v>
      </c>
      <c r="F1921" s="24">
        <f>D1921*E1921</f>
        <v/>
      </c>
      <c r="G1921" s="22" t="n"/>
    </row>
    <row r="1922">
      <c r="A1922" s="22" t="inlineStr">
        <is>
          <t>0112</t>
        </is>
      </c>
      <c r="B1922" s="11" t="inlineStr">
        <is>
          <t>Carpenter 2nd class</t>
        </is>
      </c>
      <c r="C1922" s="22" t="inlineStr">
        <is>
          <t>day</t>
        </is>
      </c>
      <c r="D1922" s="23" t="n">
        <v>0.4</v>
      </c>
      <c r="E1922" s="24" t="n">
        <v>679</v>
      </c>
      <c r="F1922" s="24">
        <f>D1922*E1922</f>
        <v/>
      </c>
      <c r="G1922" s="22" t="n"/>
    </row>
    <row r="1923">
      <c r="A1923" s="22" t="inlineStr">
        <is>
          <t>0114</t>
        </is>
      </c>
      <c r="B1923" s="11" t="inlineStr">
        <is>
          <t>Beldar</t>
        </is>
      </c>
      <c r="C1923" s="22" t="inlineStr">
        <is>
          <t>day</t>
        </is>
      </c>
      <c r="D1923" s="23" t="n">
        <v>0.2</v>
      </c>
      <c r="E1923" s="24" t="n">
        <v>558</v>
      </c>
      <c r="F1923" s="24">
        <f>D1923*E1923</f>
        <v/>
      </c>
      <c r="G1923" s="22" t="n"/>
    </row>
    <row r="1924">
      <c r="A1924" s="8" t="inlineStr">
        <is>
          <t>Calculated W - SUM of the Amount column above</t>
        </is>
      </c>
      <c r="B1924" s="9" t="n"/>
      <c r="C1924" s="9" t="n"/>
      <c r="D1924" s="9" t="n"/>
      <c r="E1924" s="9" t="n"/>
      <c r="F1924" s="25">
        <f>SUM(F1919:F1923)</f>
        <v/>
      </c>
      <c r="G1924" s="9" t="n"/>
    </row>
    <row r="1925">
      <c r="A1925" s="26" t="inlineStr">
        <is>
          <t>W as printed in the DAR</t>
        </is>
      </c>
      <c r="B1925" s="22" t="n"/>
      <c r="C1925" s="22" t="n"/>
      <c r="D1925" s="22" t="n"/>
      <c r="E1925" s="22" t="n"/>
      <c r="F1925" s="27" t="n">
        <v>2019.46</v>
      </c>
      <c r="G1925" s="22" t="n"/>
    </row>
    <row r="1926">
      <c r="A1926" s="26" t="inlineStr">
        <is>
          <t>Difference (calculated - printed)</t>
        </is>
      </c>
      <c r="B1926" s="22" t="n"/>
      <c r="C1926" s="22" t="n"/>
      <c r="D1926" s="22" t="n"/>
      <c r="E1926" s="22" t="n"/>
      <c r="F1926" s="27">
        <f>F1924-F1925</f>
        <v/>
      </c>
      <c r="G1926" s="22" t="n"/>
    </row>
    <row r="1927">
      <c r="A1927" s="29" t="inlineStr">
        <is>
          <t>SAY (Rs.) - final DAR rate as printed (fixed value, not computed)</t>
        </is>
      </c>
      <c r="B1927" s="30" t="n"/>
      <c r="C1927" s="30" t="n"/>
      <c r="D1927" s="30" t="n"/>
      <c r="E1927" s="30" t="n"/>
      <c r="F1927" s="31" t="n">
        <v>270.2</v>
      </c>
      <c r="G1927" s="30" t="n"/>
    </row>
    <row r="1929" ht="18.5" customHeight="1">
      <c r="A1929" s="8" t="inlineStr">
        <is>
          <t>9.60</t>
        </is>
      </c>
      <c r="B1929" s="17" t="inlineStr">
        <is>
          <t>Providing and fixing oxidised M.S. double acting spring hinges with necessary screws etc. complete.</t>
        </is>
      </c>
      <c r="C1929" s="9" t="n"/>
      <c r="D1929" s="9" t="n"/>
      <c r="E1929" s="9" t="n"/>
      <c r="F1929" s="9" t="n"/>
      <c r="G1929" s="9" t="n"/>
    </row>
    <row r="1930" ht="18.5" customHeight="1">
      <c r="A1930" s="18" t="inlineStr">
        <is>
          <t>9.60.2</t>
        </is>
      </c>
      <c r="B1930" s="19" t="inlineStr">
        <is>
          <t>125 mm</t>
        </is>
      </c>
      <c r="C1930" s="20" t="n"/>
      <c r="D1930" s="20" t="n"/>
      <c r="E1930" s="20" t="n"/>
      <c r="F1930" s="20" t="n"/>
      <c r="G1930" s="20" t="n"/>
    </row>
    <row r="1931">
      <c r="A1931" s="21" t="inlineStr">
        <is>
          <t>Details of cost for 10 nos   |   Source: CivilDAR_2019_Vol_1.pdf, page 514</t>
        </is>
      </c>
    </row>
    <row r="1932">
      <c r="A1932" s="5" t="inlineStr">
        <is>
          <t>Code</t>
        </is>
      </c>
      <c r="B1932" s="5" t="inlineStr">
        <is>
          <t>Description</t>
        </is>
      </c>
      <c r="C1932" s="5" t="inlineStr">
        <is>
          <t>Unit</t>
        </is>
      </c>
      <c r="D1932" s="5" t="inlineStr">
        <is>
          <t>Quantity</t>
        </is>
      </c>
      <c r="E1932" s="5" t="inlineStr">
        <is>
          <t>Rate (Rs.)</t>
        </is>
      </c>
      <c r="F1932" s="5" t="inlineStr">
        <is>
          <t>Amount (Rs.)</t>
        </is>
      </c>
      <c r="G1932" s="5" t="inlineStr">
        <is>
          <t>Note</t>
        </is>
      </c>
    </row>
    <row r="1933">
      <c r="A1933" s="22" t="inlineStr">
        <is>
          <t>0654</t>
        </is>
      </c>
      <c r="B1933" s="11" t="inlineStr">
        <is>
          <t>Oxidised mild steel double acting spring hinges 125 mm</t>
        </is>
      </c>
      <c r="C1933" s="22" t="inlineStr">
        <is>
          <t>each</t>
        </is>
      </c>
      <c r="D1933" s="23" t="n">
        <v>10</v>
      </c>
      <c r="E1933" s="24" t="n">
        <v>135</v>
      </c>
      <c r="F1933" s="24">
        <f>D1933*E1933</f>
        <v/>
      </c>
      <c r="G1933" s="22" t="n"/>
    </row>
    <row r="1934">
      <c r="A1934" s="22" t="inlineStr">
        <is>
          <t>0682</t>
        </is>
      </c>
      <c r="B1934" s="11" t="inlineStr">
        <is>
          <t>Oxidised mild steel screws 50 mm</t>
        </is>
      </c>
      <c r="C1934" s="22" t="inlineStr">
        <is>
          <t>100 Nos</t>
        </is>
      </c>
      <c r="D1934" s="23" t="n">
        <v>0.8</v>
      </c>
      <c r="E1934" s="24" t="n">
        <v>76</v>
      </c>
      <c r="F1934" s="24">
        <f>D1934*E1934</f>
        <v/>
      </c>
      <c r="G1934" s="22" t="n"/>
    </row>
    <row r="1935">
      <c r="A1935" s="22" t="inlineStr">
        <is>
          <t>9977</t>
        </is>
      </c>
      <c r="B1935" s="11" t="inlineStr">
        <is>
          <t>Carriage of materials</t>
        </is>
      </c>
      <c r="C1935" s="22" t="inlineStr">
        <is>
          <t>L.S.</t>
        </is>
      </c>
      <c r="D1935" s="23" t="n">
        <v>2.73</v>
      </c>
      <c r="E1935" s="24" t="n">
        <v>2</v>
      </c>
      <c r="F1935" s="24">
        <f>D1935*E1935</f>
        <v/>
      </c>
      <c r="G1935" s="22" t="n"/>
    </row>
    <row r="1936">
      <c r="A1936" s="22" t="inlineStr">
        <is>
          <t>0112</t>
        </is>
      </c>
      <c r="B1936" s="11" t="inlineStr">
        <is>
          <t>Carpenter 2nd class</t>
        </is>
      </c>
      <c r="C1936" s="22" t="inlineStr">
        <is>
          <t>day</t>
        </is>
      </c>
      <c r="D1936" s="23" t="n">
        <v>0.4</v>
      </c>
      <c r="E1936" s="24" t="n">
        <v>679</v>
      </c>
      <c r="F1936" s="24">
        <f>D1936*E1936</f>
        <v/>
      </c>
      <c r="G1936" s="22" t="n"/>
    </row>
    <row r="1937">
      <c r="A1937" s="22" t="inlineStr">
        <is>
          <t>0114</t>
        </is>
      </c>
      <c r="B1937" s="11" t="inlineStr">
        <is>
          <t>Beldar</t>
        </is>
      </c>
      <c r="C1937" s="22" t="inlineStr">
        <is>
          <t>day</t>
        </is>
      </c>
      <c r="D1937" s="23" t="n">
        <v>0.2</v>
      </c>
      <c r="E1937" s="24" t="n">
        <v>558</v>
      </c>
      <c r="F1937" s="24">
        <f>D1937*E1937</f>
        <v/>
      </c>
      <c r="G1937" s="34" t="inlineStr">
        <is>
          <t>DAR prints 73.60; Quantity x Rate = 111.60</t>
        </is>
      </c>
    </row>
    <row r="1938">
      <c r="A1938" s="8" t="inlineStr">
        <is>
          <t>Calculated W - SUM of the Amount column above</t>
        </is>
      </c>
      <c r="B1938" s="9" t="n"/>
      <c r="C1938" s="9" t="n"/>
      <c r="D1938" s="9" t="n"/>
      <c r="E1938" s="9" t="n"/>
      <c r="F1938" s="25">
        <f>SUM(F1933:F1937)</f>
        <v/>
      </c>
      <c r="G1938" s="9" t="n"/>
    </row>
    <row r="1939">
      <c r="A1939" s="26" t="inlineStr">
        <is>
          <t>W as printed in the DAR</t>
        </is>
      </c>
      <c r="B1939" s="22" t="n"/>
      <c r="C1939" s="22" t="n"/>
      <c r="D1939" s="22" t="n"/>
      <c r="E1939" s="22" t="n"/>
      <c r="F1939" s="27" t="n">
        <v>1761.46</v>
      </c>
      <c r="G1939" s="22" t="n"/>
    </row>
    <row r="1940">
      <c r="A1940" s="26" t="inlineStr">
        <is>
          <t>Difference (calculated - printed)</t>
        </is>
      </c>
      <c r="B1940" s="22" t="n"/>
      <c r="C1940" s="22" t="n"/>
      <c r="D1940" s="22" t="n"/>
      <c r="E1940" s="22" t="n"/>
      <c r="F1940" s="27">
        <f>F1938-F1939</f>
        <v/>
      </c>
      <c r="G1940" s="28" t="inlineStr">
        <is>
          <t>DAR's own arithmetic slip(s) - see Cover errata</t>
        </is>
      </c>
    </row>
    <row r="1941">
      <c r="A1941" s="29" t="inlineStr">
        <is>
          <t>SAY (Rs.) - final DAR rate as printed (fixed value, not computed)</t>
        </is>
      </c>
      <c r="B1941" s="30" t="n"/>
      <c r="C1941" s="30" t="n"/>
      <c r="D1941" s="30" t="n"/>
      <c r="E1941" s="30" t="n"/>
      <c r="F1941" s="31" t="n">
        <v>235.65</v>
      </c>
      <c r="G1941" s="30" t="n"/>
    </row>
    <row r="1943" ht="18.5" customHeight="1">
      <c r="A1943" s="8" t="inlineStr">
        <is>
          <t>9.60</t>
        </is>
      </c>
      <c r="B1943" s="17" t="inlineStr">
        <is>
          <t>Providing and fixing oxidised M.S. double acting spring hinges with necessary screws etc. complete.</t>
        </is>
      </c>
      <c r="C1943" s="9" t="n"/>
      <c r="D1943" s="9" t="n"/>
      <c r="E1943" s="9" t="n"/>
      <c r="F1943" s="9" t="n"/>
      <c r="G1943" s="9" t="n"/>
    </row>
    <row r="1944" ht="18.5" customHeight="1">
      <c r="A1944" s="18" t="inlineStr">
        <is>
          <t>9.60.3</t>
        </is>
      </c>
      <c r="B1944" s="19" t="inlineStr">
        <is>
          <t>100 mm</t>
        </is>
      </c>
      <c r="C1944" s="20" t="n"/>
      <c r="D1944" s="20" t="n"/>
      <c r="E1944" s="20" t="n"/>
      <c r="F1944" s="20" t="n"/>
      <c r="G1944" s="20" t="n"/>
    </row>
    <row r="1945">
      <c r="A1945" s="21" t="inlineStr">
        <is>
          <t>Details of cost for 10 nos   |   Source: CivilDAR_2019_Vol_1.pdf, page 514</t>
        </is>
      </c>
    </row>
    <row r="1946">
      <c r="A1946" s="5" t="inlineStr">
        <is>
          <t>Code</t>
        </is>
      </c>
      <c r="B1946" s="5" t="inlineStr">
        <is>
          <t>Description</t>
        </is>
      </c>
      <c r="C1946" s="5" t="inlineStr">
        <is>
          <t>Unit</t>
        </is>
      </c>
      <c r="D1946" s="5" t="inlineStr">
        <is>
          <t>Quantity</t>
        </is>
      </c>
      <c r="E1946" s="5" t="inlineStr">
        <is>
          <t>Rate (Rs.)</t>
        </is>
      </c>
      <c r="F1946" s="5" t="inlineStr">
        <is>
          <t>Amount (Rs.)</t>
        </is>
      </c>
      <c r="G1946" s="5" t="inlineStr">
        <is>
          <t>Note</t>
        </is>
      </c>
    </row>
    <row r="1947">
      <c r="A1947" s="22" t="inlineStr">
        <is>
          <t>0655</t>
        </is>
      </c>
      <c r="B1947" s="11" t="inlineStr">
        <is>
          <t>Oxidised mild steel double acting spring hinges 100 mm</t>
        </is>
      </c>
      <c r="C1947" s="22" t="inlineStr">
        <is>
          <t>each</t>
        </is>
      </c>
      <c r="D1947" s="23" t="n">
        <v>10</v>
      </c>
      <c r="E1947" s="24" t="n">
        <v>118</v>
      </c>
      <c r="F1947" s="24">
        <f>D1947*E1947</f>
        <v/>
      </c>
      <c r="G1947" s="22" t="n"/>
    </row>
    <row r="1948">
      <c r="A1948" s="22" t="inlineStr">
        <is>
          <t>0683</t>
        </is>
      </c>
      <c r="B1948" s="11" t="inlineStr">
        <is>
          <t>Oxidised mild steel screws 40 mm</t>
        </is>
      </c>
      <c r="C1948" s="22" t="inlineStr">
        <is>
          <t>100 Nos</t>
        </is>
      </c>
      <c r="D1948" s="23" t="n">
        <v>0.8</v>
      </c>
      <c r="E1948" s="24" t="n">
        <v>62</v>
      </c>
      <c r="F1948" s="24">
        <f>D1948*E1948</f>
        <v/>
      </c>
      <c r="G1948" s="22" t="n"/>
    </row>
    <row r="1949">
      <c r="A1949" s="22" t="inlineStr">
        <is>
          <t>9977</t>
        </is>
      </c>
      <c r="B1949" s="11" t="inlineStr">
        <is>
          <t>Carriage of materials</t>
        </is>
      </c>
      <c r="C1949" s="22" t="inlineStr">
        <is>
          <t>L.S.</t>
        </is>
      </c>
      <c r="D1949" s="23" t="n">
        <v>2.73</v>
      </c>
      <c r="E1949" s="24" t="n">
        <v>2</v>
      </c>
      <c r="F1949" s="24">
        <f>D1949*E1949</f>
        <v/>
      </c>
      <c r="G1949" s="22" t="n"/>
    </row>
    <row r="1950">
      <c r="A1950" s="22" t="inlineStr">
        <is>
          <t>0112</t>
        </is>
      </c>
      <c r="B1950" s="11" t="inlineStr">
        <is>
          <t>Carpenter 2nd class</t>
        </is>
      </c>
      <c r="C1950" s="22" t="inlineStr">
        <is>
          <t>day</t>
        </is>
      </c>
      <c r="D1950" s="23" t="n">
        <v>0.4</v>
      </c>
      <c r="E1950" s="24" t="n">
        <v>679</v>
      </c>
      <c r="F1950" s="24">
        <f>D1950*E1950</f>
        <v/>
      </c>
      <c r="G1950" s="22" t="n"/>
    </row>
    <row r="1951">
      <c r="A1951" s="22" t="inlineStr">
        <is>
          <t>0114</t>
        </is>
      </c>
      <c r="B1951" s="11" t="inlineStr">
        <is>
          <t>Beldar</t>
        </is>
      </c>
      <c r="C1951" s="22" t="inlineStr">
        <is>
          <t>day</t>
        </is>
      </c>
      <c r="D1951" s="23" t="n">
        <v>0.2</v>
      </c>
      <c r="E1951" s="24" t="n">
        <v>558</v>
      </c>
      <c r="F1951" s="24">
        <f>D1951*E1951</f>
        <v/>
      </c>
      <c r="G1951" s="22" t="n"/>
    </row>
    <row r="1952">
      <c r="A1952" s="8" t="inlineStr">
        <is>
          <t>Calculated W - SUM of the Amount column above</t>
        </is>
      </c>
      <c r="B1952" s="9" t="n"/>
      <c r="C1952" s="9" t="n"/>
      <c r="D1952" s="9" t="n"/>
      <c r="E1952" s="9" t="n"/>
      <c r="F1952" s="25">
        <f>SUM(F1947:F1951)</f>
        <v/>
      </c>
      <c r="G1952" s="9" t="n"/>
    </row>
    <row r="1953">
      <c r="A1953" s="26" t="inlineStr">
        <is>
          <t>W as printed in the DAR</t>
        </is>
      </c>
      <c r="B1953" s="22" t="n"/>
      <c r="C1953" s="22" t="n"/>
      <c r="D1953" s="22" t="n"/>
      <c r="E1953" s="22" t="n"/>
      <c r="F1953" s="27" t="n">
        <v>1618.26</v>
      </c>
      <c r="G1953" s="22" t="n"/>
    </row>
    <row r="1954">
      <c r="A1954" s="26" t="inlineStr">
        <is>
          <t>Difference (calculated - printed)</t>
        </is>
      </c>
      <c r="B1954" s="22" t="n"/>
      <c r="C1954" s="22" t="n"/>
      <c r="D1954" s="22" t="n"/>
      <c r="E1954" s="22" t="n"/>
      <c r="F1954" s="27">
        <f>F1952-F1953</f>
        <v/>
      </c>
      <c r="G1954" s="22" t="n"/>
    </row>
    <row r="1955">
      <c r="A1955" s="29" t="inlineStr">
        <is>
          <t>SAY (Rs.) - final DAR rate as printed (fixed value, not computed)</t>
        </is>
      </c>
      <c r="B1955" s="30" t="n"/>
      <c r="C1955" s="30" t="n"/>
      <c r="D1955" s="30" t="n"/>
      <c r="E1955" s="30" t="n"/>
      <c r="F1955" s="31" t="n">
        <v>216.5</v>
      </c>
      <c r="G1955" s="30" t="n"/>
    </row>
    <row r="1957" ht="33" customHeight="1">
      <c r="A1957" s="8" t="inlineStr">
        <is>
          <t>9.61</t>
        </is>
      </c>
      <c r="B1957" s="17" t="inlineStr">
        <is>
          <t>Providing M.S. Piano hinges ISI marked IS : 3818 finished with nickel plating and fixing with necessary screws etc., complete.</t>
        </is>
      </c>
      <c r="C1957" s="9" t="n"/>
      <c r="D1957" s="9" t="n"/>
      <c r="E1957" s="9" t="n"/>
      <c r="F1957" s="9" t="n"/>
      <c r="G1957" s="9" t="n"/>
    </row>
    <row r="1958" ht="18.5" customHeight="1">
      <c r="A1958" s="18" t="inlineStr">
        <is>
          <t>9.61.1</t>
        </is>
      </c>
      <c r="B1958" s="19" t="inlineStr">
        <is>
          <t>Overall width 35 mm</t>
        </is>
      </c>
      <c r="C1958" s="20" t="n"/>
      <c r="D1958" s="20" t="n"/>
      <c r="E1958" s="20" t="n"/>
      <c r="F1958" s="20" t="n"/>
      <c r="G1958" s="20" t="n"/>
    </row>
    <row r="1959">
      <c r="A1959" s="21" t="inlineStr">
        <is>
          <t>Details of cost for 1 metre   |   Source: CivilDAR_2019_Vol_1.pdf, page 515</t>
        </is>
      </c>
    </row>
    <row r="1960">
      <c r="A1960" s="5" t="inlineStr">
        <is>
          <t>Code</t>
        </is>
      </c>
      <c r="B1960" s="5" t="inlineStr">
        <is>
          <t>Description</t>
        </is>
      </c>
      <c r="C1960" s="5" t="inlineStr">
        <is>
          <t>Unit</t>
        </is>
      </c>
      <c r="D1960" s="5" t="inlineStr">
        <is>
          <t>Quantity</t>
        </is>
      </c>
      <c r="E1960" s="5" t="inlineStr">
        <is>
          <t>Rate (Rs.)</t>
        </is>
      </c>
      <c r="F1960" s="5" t="inlineStr">
        <is>
          <t>Amount (Rs.)</t>
        </is>
      </c>
      <c r="G1960" s="5" t="inlineStr">
        <is>
          <t>Note</t>
        </is>
      </c>
    </row>
    <row r="1961">
      <c r="A1961" s="22" t="inlineStr">
        <is>
          <t>0656</t>
        </is>
      </c>
      <c r="B1961" s="11" t="inlineStr">
        <is>
          <t>Nickel plated mild steel piono hinges 1 mm thick 35 mm wide</t>
        </is>
      </c>
      <c r="C1961" s="22" t="inlineStr">
        <is>
          <t>metre</t>
        </is>
      </c>
      <c r="D1961" s="23" t="n">
        <v>1</v>
      </c>
      <c r="E1961" s="24" t="n">
        <v>44</v>
      </c>
      <c r="F1961" s="24">
        <f>D1961*E1961</f>
        <v/>
      </c>
      <c r="G1961" s="22" t="n"/>
    </row>
    <row r="1962">
      <c r="A1962" s="22" t="inlineStr">
        <is>
          <t>0686</t>
        </is>
      </c>
      <c r="B1962" s="11" t="inlineStr">
        <is>
          <t>Oxidised mild steel screws 20 mm</t>
        </is>
      </c>
      <c r="C1962" s="22" t="inlineStr">
        <is>
          <t>100 Nos</t>
        </is>
      </c>
      <c r="D1962" s="23" t="n">
        <v>0.3</v>
      </c>
      <c r="E1962" s="24" t="n">
        <v>32</v>
      </c>
      <c r="F1962" s="24">
        <f>D1962*E1962</f>
        <v/>
      </c>
      <c r="G1962" s="22" t="n"/>
    </row>
    <row r="1963">
      <c r="A1963" s="22" t="inlineStr">
        <is>
          <t>9977</t>
        </is>
      </c>
      <c r="B1963" s="11" t="inlineStr">
        <is>
          <t>Carriage of materials</t>
        </is>
      </c>
      <c r="C1963" s="22" t="inlineStr">
        <is>
          <t>L.S.</t>
        </is>
      </c>
      <c r="D1963" s="23" t="n">
        <v>1.82</v>
      </c>
      <c r="E1963" s="24" t="n">
        <v>2</v>
      </c>
      <c r="F1963" s="24">
        <f>D1963*E1963</f>
        <v/>
      </c>
      <c r="G1963" s="22" t="n"/>
    </row>
    <row r="1964">
      <c r="A1964" s="22" t="inlineStr">
        <is>
          <t>0112</t>
        </is>
      </c>
      <c r="B1964" s="11" t="inlineStr">
        <is>
          <t>Carpenter 2nd class</t>
        </is>
      </c>
      <c r="C1964" s="22" t="inlineStr">
        <is>
          <t>day</t>
        </is>
      </c>
      <c r="D1964" s="23" t="n">
        <v>0.14</v>
      </c>
      <c r="E1964" s="24" t="n">
        <v>679</v>
      </c>
      <c r="F1964" s="24">
        <f>D1964*E1964</f>
        <v/>
      </c>
      <c r="G1964" s="22" t="n"/>
    </row>
    <row r="1965">
      <c r="A1965" s="22" t="inlineStr">
        <is>
          <t>0114</t>
        </is>
      </c>
      <c r="B1965" s="11" t="inlineStr">
        <is>
          <t>Beldar</t>
        </is>
      </c>
      <c r="C1965" s="22" t="inlineStr">
        <is>
          <t>day</t>
        </is>
      </c>
      <c r="D1965" s="23" t="n">
        <v>0.09</v>
      </c>
      <c r="E1965" s="24" t="n">
        <v>558</v>
      </c>
      <c r="F1965" s="24">
        <f>D1965*E1965</f>
        <v/>
      </c>
      <c r="G1965" s="22" t="n"/>
    </row>
    <row r="1966">
      <c r="A1966" s="8" t="inlineStr">
        <is>
          <t>Calculated W - SUM of the Amount column above</t>
        </is>
      </c>
      <c r="B1966" s="9" t="n"/>
      <c r="C1966" s="9" t="n"/>
      <c r="D1966" s="9" t="n"/>
      <c r="E1966" s="9" t="n"/>
      <c r="F1966" s="25">
        <f>SUM(F1961:F1965)</f>
        <v/>
      </c>
      <c r="G1966" s="9" t="n"/>
    </row>
    <row r="1967">
      <c r="A1967" s="26" t="inlineStr">
        <is>
          <t>W as printed in the DAR</t>
        </is>
      </c>
      <c r="B1967" s="22" t="n"/>
      <c r="C1967" s="22" t="n"/>
      <c r="D1967" s="22" t="n"/>
      <c r="E1967" s="22" t="n"/>
      <c r="F1967" s="27" t="n">
        <v>202.52</v>
      </c>
      <c r="G1967" s="22" t="n"/>
    </row>
    <row r="1968">
      <c r="A1968" s="26" t="inlineStr">
        <is>
          <t>Difference (calculated - printed)</t>
        </is>
      </c>
      <c r="B1968" s="22" t="n"/>
      <c r="C1968" s="22" t="n"/>
      <c r="D1968" s="22" t="n"/>
      <c r="E1968" s="22" t="n"/>
      <c r="F1968" s="27">
        <f>F1966-F1967</f>
        <v/>
      </c>
      <c r="G1968" s="22" t="n"/>
    </row>
    <row r="1969">
      <c r="A1969" s="29" t="inlineStr">
        <is>
          <t>SAY (Rs.) - final DAR rate as printed (fixed value, not computed)</t>
        </is>
      </c>
      <c r="B1969" s="30" t="n"/>
      <c r="C1969" s="30" t="n"/>
      <c r="D1969" s="30" t="n"/>
      <c r="E1969" s="30" t="n"/>
      <c r="F1969" s="31" t="n">
        <v>270.95</v>
      </c>
      <c r="G1969" s="30" t="n"/>
    </row>
    <row r="1971" ht="33" customHeight="1">
      <c r="A1971" s="8" t="inlineStr">
        <is>
          <t>9.61</t>
        </is>
      </c>
      <c r="B1971" s="17" t="inlineStr">
        <is>
          <t>Providing M.S. Piano hinges ISI marked IS : 3818 finished with nickel plating and fixing with necessary screws etc., complete.</t>
        </is>
      </c>
      <c r="C1971" s="9" t="n"/>
      <c r="D1971" s="9" t="n"/>
      <c r="E1971" s="9" t="n"/>
      <c r="F1971" s="9" t="n"/>
      <c r="G1971" s="9" t="n"/>
    </row>
    <row r="1972" ht="18.5" customHeight="1">
      <c r="A1972" s="18" t="inlineStr">
        <is>
          <t>9.61.2</t>
        </is>
      </c>
      <c r="B1972" s="19" t="inlineStr">
        <is>
          <t>Overall width 50 mm</t>
        </is>
      </c>
      <c r="C1972" s="20" t="n"/>
      <c r="D1972" s="20" t="n"/>
      <c r="E1972" s="20" t="n"/>
      <c r="F1972" s="20" t="n"/>
      <c r="G1972" s="20" t="n"/>
    </row>
    <row r="1973">
      <c r="A1973" s="21" t="inlineStr">
        <is>
          <t>Details of cost for 1 metre   |   Source: CivilDAR_2019_Vol_1.pdf, page 515</t>
        </is>
      </c>
    </row>
    <row r="1974">
      <c r="A1974" s="5" t="inlineStr">
        <is>
          <t>Code</t>
        </is>
      </c>
      <c r="B1974" s="5" t="inlineStr">
        <is>
          <t>Description</t>
        </is>
      </c>
      <c r="C1974" s="5" t="inlineStr">
        <is>
          <t>Unit</t>
        </is>
      </c>
      <c r="D1974" s="5" t="inlineStr">
        <is>
          <t>Quantity</t>
        </is>
      </c>
      <c r="E1974" s="5" t="inlineStr">
        <is>
          <t>Rate (Rs.)</t>
        </is>
      </c>
      <c r="F1974" s="5" t="inlineStr">
        <is>
          <t>Amount (Rs.)</t>
        </is>
      </c>
      <c r="G1974" s="5" t="inlineStr">
        <is>
          <t>Note</t>
        </is>
      </c>
    </row>
    <row r="1975">
      <c r="A1975" s="22" t="inlineStr">
        <is>
          <t>7485</t>
        </is>
      </c>
      <c r="B1975" s="11" t="inlineStr">
        <is>
          <t>Oxidised M. S. hinges finished with nickel plating 50 mm (Over all width)</t>
        </is>
      </c>
      <c r="C1975" s="22" t="inlineStr">
        <is>
          <t>metre</t>
        </is>
      </c>
      <c r="D1975" s="23" t="n">
        <v>1</v>
      </c>
      <c r="E1975" s="24" t="n">
        <v>40</v>
      </c>
      <c r="F1975" s="24">
        <f>D1975*E1975</f>
        <v/>
      </c>
      <c r="G1975" s="22" t="n"/>
    </row>
    <row r="1976">
      <c r="A1976" s="22" t="inlineStr">
        <is>
          <t>0686</t>
        </is>
      </c>
      <c r="B1976" s="11" t="inlineStr">
        <is>
          <t>Oxidised mild steel screws 20 mm</t>
        </is>
      </c>
      <c r="C1976" s="22" t="inlineStr">
        <is>
          <t>100 Nos</t>
        </is>
      </c>
      <c r="D1976" s="23" t="n">
        <v>0.3</v>
      </c>
      <c r="E1976" s="24" t="n">
        <v>32</v>
      </c>
      <c r="F1976" s="24">
        <f>D1976*E1976</f>
        <v/>
      </c>
      <c r="G1976" s="22" t="n"/>
    </row>
    <row r="1977">
      <c r="A1977" s="22" t="inlineStr">
        <is>
          <t>9977</t>
        </is>
      </c>
      <c r="B1977" s="11" t="inlineStr">
        <is>
          <t>Carriage of materials</t>
        </is>
      </c>
      <c r="C1977" s="22" t="inlineStr">
        <is>
          <t>L.S.</t>
        </is>
      </c>
      <c r="D1977" s="23" t="n">
        <v>1.82</v>
      </c>
      <c r="E1977" s="24" t="n">
        <v>2</v>
      </c>
      <c r="F1977" s="24">
        <f>D1977*E1977</f>
        <v/>
      </c>
      <c r="G1977" s="22" t="n"/>
    </row>
    <row r="1978">
      <c r="A1978" s="22" t="inlineStr">
        <is>
          <t>0112</t>
        </is>
      </c>
      <c r="B1978" s="11" t="inlineStr">
        <is>
          <t>Carpenter 2nd class</t>
        </is>
      </c>
      <c r="C1978" s="22" t="inlineStr">
        <is>
          <t>day</t>
        </is>
      </c>
      <c r="D1978" s="23" t="n">
        <v>0.14</v>
      </c>
      <c r="E1978" s="24" t="n">
        <v>679</v>
      </c>
      <c r="F1978" s="24">
        <f>D1978*E1978</f>
        <v/>
      </c>
      <c r="G1978" s="22" t="n"/>
    </row>
    <row r="1979">
      <c r="A1979" s="22" t="inlineStr">
        <is>
          <t>0114</t>
        </is>
      </c>
      <c r="B1979" s="11" t="inlineStr">
        <is>
          <t>Beldar</t>
        </is>
      </c>
      <c r="C1979" s="22" t="inlineStr">
        <is>
          <t>day</t>
        </is>
      </c>
      <c r="D1979" s="23" t="n">
        <v>0.09</v>
      </c>
      <c r="E1979" s="24" t="n">
        <v>558</v>
      </c>
      <c r="F1979" s="24">
        <f>D1979*E1979</f>
        <v/>
      </c>
      <c r="G1979" s="22" t="n"/>
    </row>
    <row r="1980">
      <c r="A1980" s="8" t="inlineStr">
        <is>
          <t>Calculated W - SUM of the Amount column above</t>
        </is>
      </c>
      <c r="B1980" s="9" t="n"/>
      <c r="C1980" s="9" t="n"/>
      <c r="D1980" s="9" t="n"/>
      <c r="E1980" s="9" t="n"/>
      <c r="F1980" s="25">
        <f>SUM(F1975:F1979)</f>
        <v/>
      </c>
      <c r="G1980" s="9" t="n"/>
    </row>
    <row r="1981">
      <c r="A1981" s="26" t="inlineStr">
        <is>
          <t>W as printed in the DAR</t>
        </is>
      </c>
      <c r="B1981" s="22" t="n"/>
      <c r="C1981" s="22" t="n"/>
      <c r="D1981" s="22" t="n"/>
      <c r="E1981" s="22" t="n"/>
      <c r="F1981" s="27" t="n">
        <v>198.52</v>
      </c>
      <c r="G1981" s="22" t="n"/>
    </row>
    <row r="1982">
      <c r="A1982" s="26" t="inlineStr">
        <is>
          <t>Difference (calculated - printed)</t>
        </is>
      </c>
      <c r="B1982" s="22" t="n"/>
      <c r="C1982" s="22" t="n"/>
      <c r="D1982" s="22" t="n"/>
      <c r="E1982" s="22" t="n"/>
      <c r="F1982" s="27">
        <f>F1980-F1981</f>
        <v/>
      </c>
      <c r="G1982" s="22" t="n"/>
    </row>
    <row r="1983">
      <c r="A1983" s="29" t="inlineStr">
        <is>
          <t>SAY (Rs.) - final DAR rate as printed (fixed value, not computed)</t>
        </is>
      </c>
      <c r="B1983" s="30" t="n"/>
      <c r="C1983" s="30" t="n"/>
      <c r="D1983" s="30" t="n"/>
      <c r="E1983" s="30" t="n"/>
      <c r="F1983" s="31" t="n">
        <v>265.6</v>
      </c>
      <c r="G1983" s="30" t="n"/>
    </row>
    <row r="1985" ht="33" customHeight="1">
      <c r="A1985" s="8" t="inlineStr">
        <is>
          <t>9.61</t>
        </is>
      </c>
      <c r="B1985" s="17" t="inlineStr">
        <is>
          <t>Providing M.S. Piano hinges ISI marked IS : 3818 finished with nickel plating and fixing with necessary screws etc., complete.</t>
        </is>
      </c>
      <c r="C1985" s="9" t="n"/>
      <c r="D1985" s="9" t="n"/>
      <c r="E1985" s="9" t="n"/>
      <c r="F1985" s="9" t="n"/>
      <c r="G1985" s="9" t="n"/>
    </row>
    <row r="1986" ht="18.5" customHeight="1">
      <c r="A1986" s="18" t="inlineStr">
        <is>
          <t>9.61.3</t>
        </is>
      </c>
      <c r="B1986" s="19" t="inlineStr">
        <is>
          <t>Overall width 65 mm</t>
        </is>
      </c>
      <c r="C1986" s="20" t="n"/>
      <c r="D1986" s="20" t="n"/>
      <c r="E1986" s="20" t="n"/>
      <c r="F1986" s="20" t="n"/>
      <c r="G1986" s="20" t="n"/>
    </row>
    <row r="1987">
      <c r="A1987" s="21" t="inlineStr">
        <is>
          <t>Details of cost for 1 metre   |   Source: CivilDAR_2019_Vol_1.pdf, page 516</t>
        </is>
      </c>
    </row>
    <row r="1988">
      <c r="A1988" s="5" t="inlineStr">
        <is>
          <t>Code</t>
        </is>
      </c>
      <c r="B1988" s="5" t="inlineStr">
        <is>
          <t>Description</t>
        </is>
      </c>
      <c r="C1988" s="5" t="inlineStr">
        <is>
          <t>Unit</t>
        </is>
      </c>
      <c r="D1988" s="5" t="inlineStr">
        <is>
          <t>Quantity</t>
        </is>
      </c>
      <c r="E1988" s="5" t="inlineStr">
        <is>
          <t>Rate (Rs.)</t>
        </is>
      </c>
      <c r="F1988" s="5" t="inlineStr">
        <is>
          <t>Amount (Rs.)</t>
        </is>
      </c>
      <c r="G1988" s="5" t="inlineStr">
        <is>
          <t>Note</t>
        </is>
      </c>
    </row>
    <row r="1989">
      <c r="A1989" s="22" t="inlineStr">
        <is>
          <t>7486</t>
        </is>
      </c>
      <c r="B1989" s="11" t="inlineStr">
        <is>
          <t>Oxidised M. S. hinges finished with nickel plating 65 mm (Over all width)</t>
        </is>
      </c>
      <c r="C1989" s="22" t="inlineStr">
        <is>
          <t>metre</t>
        </is>
      </c>
      <c r="D1989" s="23" t="n">
        <v>1</v>
      </c>
      <c r="E1989" s="24" t="n">
        <v>52</v>
      </c>
      <c r="F1989" s="24">
        <f>D1989*E1989</f>
        <v/>
      </c>
      <c r="G1989" s="22" t="n"/>
    </row>
    <row r="1990">
      <c r="A1990" s="22" t="inlineStr">
        <is>
          <t>0686</t>
        </is>
      </c>
      <c r="B1990" s="11" t="inlineStr">
        <is>
          <t>Oxidised mild steel screws 20 mm</t>
        </is>
      </c>
      <c r="C1990" s="22" t="inlineStr">
        <is>
          <t>100 Nos</t>
        </is>
      </c>
      <c r="D1990" s="23" t="n">
        <v>0.3</v>
      </c>
      <c r="E1990" s="24" t="n">
        <v>32</v>
      </c>
      <c r="F1990" s="24">
        <f>D1990*E1990</f>
        <v/>
      </c>
      <c r="G1990" s="22" t="n"/>
    </row>
    <row r="1991">
      <c r="A1991" s="22" t="inlineStr">
        <is>
          <t>9977</t>
        </is>
      </c>
      <c r="B1991" s="11" t="inlineStr">
        <is>
          <t>Carriage of materials</t>
        </is>
      </c>
      <c r="C1991" s="22" t="inlineStr">
        <is>
          <t>L.S.</t>
        </is>
      </c>
      <c r="D1991" s="23" t="n">
        <v>1.82</v>
      </c>
      <c r="E1991" s="24" t="n">
        <v>2</v>
      </c>
      <c r="F1991" s="24">
        <f>D1991*E1991</f>
        <v/>
      </c>
      <c r="G1991" s="22" t="n"/>
    </row>
    <row r="1992">
      <c r="A1992" s="22" t="inlineStr">
        <is>
          <t>0112</t>
        </is>
      </c>
      <c r="B1992" s="11" t="inlineStr">
        <is>
          <t>Carpenter 2nd class</t>
        </is>
      </c>
      <c r="C1992" s="22" t="inlineStr">
        <is>
          <t>day</t>
        </is>
      </c>
      <c r="D1992" s="23" t="n">
        <v>0.14</v>
      </c>
      <c r="E1992" s="24" t="n">
        <v>679</v>
      </c>
      <c r="F1992" s="24">
        <f>D1992*E1992</f>
        <v/>
      </c>
      <c r="G1992" s="22" t="n"/>
    </row>
    <row r="1993">
      <c r="A1993" s="22" t="inlineStr">
        <is>
          <t>0114</t>
        </is>
      </c>
      <c r="B1993" s="11" t="inlineStr">
        <is>
          <t>Beldar</t>
        </is>
      </c>
      <c r="C1993" s="22" t="inlineStr">
        <is>
          <t>day</t>
        </is>
      </c>
      <c r="D1993" s="23" t="n">
        <v>0.09</v>
      </c>
      <c r="E1993" s="24" t="n">
        <v>558</v>
      </c>
      <c r="F1993" s="24">
        <f>D1993*E1993</f>
        <v/>
      </c>
      <c r="G1993" s="22" t="n"/>
    </row>
    <row r="1994">
      <c r="A1994" s="8" t="inlineStr">
        <is>
          <t>Calculated W - SUM of the Amount column above</t>
        </is>
      </c>
      <c r="B1994" s="9" t="n"/>
      <c r="C1994" s="9" t="n"/>
      <c r="D1994" s="9" t="n"/>
      <c r="E1994" s="9" t="n"/>
      <c r="F1994" s="25">
        <f>SUM(F1989:F1993)</f>
        <v/>
      </c>
      <c r="G1994" s="9" t="n"/>
    </row>
    <row r="1995">
      <c r="A1995" s="26" t="inlineStr">
        <is>
          <t>W as printed in the DAR</t>
        </is>
      </c>
      <c r="B1995" s="22" t="n"/>
      <c r="C1995" s="22" t="n"/>
      <c r="D1995" s="22" t="n"/>
      <c r="E1995" s="22" t="n"/>
      <c r="F1995" s="27" t="n">
        <v>210.52</v>
      </c>
      <c r="G1995" s="22" t="n"/>
    </row>
    <row r="1996">
      <c r="A1996" s="26" t="inlineStr">
        <is>
          <t>Difference (calculated - printed)</t>
        </is>
      </c>
      <c r="B1996" s="22" t="n"/>
      <c r="C1996" s="22" t="n"/>
      <c r="D1996" s="22" t="n"/>
      <c r="E1996" s="22" t="n"/>
      <c r="F1996" s="27">
        <f>F1994-F1995</f>
        <v/>
      </c>
      <c r="G1996" s="22" t="n"/>
    </row>
    <row r="1997">
      <c r="A1997" s="29" t="inlineStr">
        <is>
          <t>SAY (Rs.) - final DAR rate as printed (fixed value, not computed)</t>
        </is>
      </c>
      <c r="B1997" s="30" t="n"/>
      <c r="C1997" s="30" t="n"/>
      <c r="D1997" s="30" t="n"/>
      <c r="E1997" s="30" t="n"/>
      <c r="F1997" s="31" t="n">
        <v>281.65</v>
      </c>
      <c r="G1997" s="30" t="n"/>
    </row>
    <row r="1999" ht="18.5" customHeight="1">
      <c r="A1999" s="8" t="inlineStr">
        <is>
          <t>9.62</t>
        </is>
      </c>
      <c r="B1999" s="17" t="inlineStr">
        <is>
          <t>Providing and fixing ISI marked oxidised M.S. sliding door bolts with nuts and screws etc. complete :</t>
        </is>
      </c>
      <c r="C1999" s="9" t="n"/>
      <c r="D1999" s="9" t="n"/>
      <c r="E1999" s="9" t="n"/>
      <c r="F1999" s="9" t="n"/>
      <c r="G1999" s="9" t="n"/>
    </row>
    <row r="2000" ht="18.5" customHeight="1">
      <c r="A2000" s="18" t="inlineStr">
        <is>
          <t>9.62.1</t>
        </is>
      </c>
      <c r="B2000" s="19" t="inlineStr">
        <is>
          <t>300x16 mm</t>
        </is>
      </c>
      <c r="C2000" s="20" t="n"/>
      <c r="D2000" s="20" t="n"/>
      <c r="E2000" s="20" t="n"/>
      <c r="F2000" s="20" t="n"/>
      <c r="G2000" s="20" t="n"/>
    </row>
    <row r="2001">
      <c r="A2001" s="21" t="inlineStr">
        <is>
          <t>Details of cost for 10 nos   |   Source: CivilDAR_2019_Vol_1.pdf, page 516</t>
        </is>
      </c>
    </row>
    <row r="2002">
      <c r="A2002" s="5" t="inlineStr">
        <is>
          <t>Code</t>
        </is>
      </c>
      <c r="B2002" s="5" t="inlineStr">
        <is>
          <t>Description</t>
        </is>
      </c>
      <c r="C2002" s="5" t="inlineStr">
        <is>
          <t>Unit</t>
        </is>
      </c>
      <c r="D2002" s="5" t="inlineStr">
        <is>
          <t>Quantity</t>
        </is>
      </c>
      <c r="E2002" s="5" t="inlineStr">
        <is>
          <t>Rate (Rs.)</t>
        </is>
      </c>
      <c r="F2002" s="5" t="inlineStr">
        <is>
          <t>Amount (Rs.)</t>
        </is>
      </c>
      <c r="G2002" s="5" t="inlineStr">
        <is>
          <t>Note</t>
        </is>
      </c>
    </row>
    <row r="2003">
      <c r="A2003" s="22" t="inlineStr">
        <is>
          <t>0660</t>
        </is>
      </c>
      <c r="B2003" s="11" t="inlineStr">
        <is>
          <t>Oxidised mild steel sliding door bolt 300x16 mm</t>
        </is>
      </c>
      <c r="C2003" s="22" t="inlineStr">
        <is>
          <t>each</t>
        </is>
      </c>
      <c r="D2003" s="23" t="n">
        <v>10</v>
      </c>
      <c r="E2003" s="24" t="n">
        <v>93</v>
      </c>
      <c r="F2003" s="24">
        <f>D2003*E2003</f>
        <v/>
      </c>
      <c r="G2003" s="22" t="n"/>
    </row>
    <row r="2004">
      <c r="A2004" s="22" t="inlineStr">
        <is>
          <t>7040</t>
        </is>
      </c>
      <c r="B2004" s="11" t="inlineStr">
        <is>
          <t>Oxidised mild steel screws 35 mm</t>
        </is>
      </c>
      <c r="C2004" s="22" t="inlineStr">
        <is>
          <t>100 Nos</t>
        </is>
      </c>
      <c r="D2004" s="23" t="n">
        <v>1.2</v>
      </c>
      <c r="E2004" s="24" t="n">
        <v>48</v>
      </c>
      <c r="F2004" s="24">
        <f>D2004*E2004</f>
        <v/>
      </c>
      <c r="G2004" s="22" t="n"/>
    </row>
    <row r="2005">
      <c r="A2005" s="22" t="inlineStr">
        <is>
          <t>0641</t>
        </is>
      </c>
      <c r="B2005" s="11" t="inlineStr">
        <is>
          <t>Bright finished or black enamelled mild steel bolts and nuts 50x6 mm</t>
        </is>
      </c>
      <c r="C2005" s="22" t="inlineStr">
        <is>
          <t>each</t>
        </is>
      </c>
      <c r="D2005" s="23" t="n">
        <v>40</v>
      </c>
      <c r="E2005" s="24" t="n">
        <v>5</v>
      </c>
      <c r="F2005" s="24">
        <f>D2005*E2005</f>
        <v/>
      </c>
      <c r="G2005" s="22" t="n"/>
    </row>
    <row r="2006">
      <c r="A2006" s="22" t="inlineStr">
        <is>
          <t>9988</t>
        </is>
      </c>
      <c r="B2006" s="11" t="inlineStr">
        <is>
          <t>Carriage of materials &amp; sundries</t>
        </is>
      </c>
      <c r="C2006" s="22" t="inlineStr">
        <is>
          <t>L.S.</t>
        </is>
      </c>
      <c r="D2006" s="23" t="n">
        <v>6.37</v>
      </c>
      <c r="E2006" s="24" t="n">
        <v>2</v>
      </c>
      <c r="F2006" s="24">
        <f>D2006*E2006</f>
        <v/>
      </c>
      <c r="G2006" s="22" t="n"/>
    </row>
    <row r="2007">
      <c r="A2007" s="22" t="inlineStr">
        <is>
          <t>0112</t>
        </is>
      </c>
      <c r="B2007" s="11" t="inlineStr">
        <is>
          <t>Carpenter 2nd class</t>
        </is>
      </c>
      <c r="C2007" s="22" t="inlineStr">
        <is>
          <t>day</t>
        </is>
      </c>
      <c r="D2007" s="23" t="n">
        <v>0.25</v>
      </c>
      <c r="E2007" s="24" t="n">
        <v>679</v>
      </c>
      <c r="F2007" s="24">
        <f>D2007*E2007</f>
        <v/>
      </c>
      <c r="G2007" s="22" t="n"/>
    </row>
    <row r="2008">
      <c r="A2008" s="8" t="inlineStr">
        <is>
          <t>Calculated W - SUM of the Amount column above</t>
        </is>
      </c>
      <c r="B2008" s="9" t="n"/>
      <c r="C2008" s="9" t="n"/>
      <c r="D2008" s="9" t="n"/>
      <c r="E2008" s="9" t="n"/>
      <c r="F2008" s="25">
        <f>SUM(F2003:F2007)</f>
        <v/>
      </c>
      <c r="G2008" s="9" t="n"/>
    </row>
    <row r="2009">
      <c r="A2009" s="26" t="inlineStr">
        <is>
          <t>W as printed in the DAR</t>
        </is>
      </c>
      <c r="B2009" s="22" t="n"/>
      <c r="C2009" s="22" t="n"/>
      <c r="D2009" s="22" t="n"/>
      <c r="E2009" s="22" t="n"/>
      <c r="F2009" s="27" t="n">
        <v>1370.09</v>
      </c>
      <c r="G2009" s="22" t="n"/>
    </row>
    <row r="2010">
      <c r="A2010" s="26" t="inlineStr">
        <is>
          <t>Difference (calculated - printed)</t>
        </is>
      </c>
      <c r="B2010" s="22" t="n"/>
      <c r="C2010" s="22" t="n"/>
      <c r="D2010" s="22" t="n"/>
      <c r="E2010" s="22" t="n"/>
      <c r="F2010" s="27">
        <f>F2008-F2009</f>
        <v/>
      </c>
      <c r="G2010" s="22" t="n"/>
    </row>
    <row r="2011">
      <c r="A2011" s="29" t="inlineStr">
        <is>
          <t>SAY (Rs.) - final DAR rate as printed (fixed value, not computed)</t>
        </is>
      </c>
      <c r="B2011" s="30" t="n"/>
      <c r="C2011" s="30" t="n"/>
      <c r="D2011" s="30" t="n"/>
      <c r="E2011" s="30" t="n"/>
      <c r="F2011" s="31" t="n">
        <v>183.3</v>
      </c>
      <c r="G2011" s="30" t="n"/>
    </row>
    <row r="2013" ht="18.5" customHeight="1">
      <c r="A2013" s="8" t="inlineStr">
        <is>
          <t>9.62</t>
        </is>
      </c>
      <c r="B2013" s="17" t="inlineStr">
        <is>
          <t>Providing and fixing ISI marked oxidised M.S. sliding door bolts with nuts and screws etc. complete :</t>
        </is>
      </c>
      <c r="C2013" s="9" t="n"/>
      <c r="D2013" s="9" t="n"/>
      <c r="E2013" s="9" t="n"/>
      <c r="F2013" s="9" t="n"/>
      <c r="G2013" s="9" t="n"/>
    </row>
    <row r="2014" ht="18.5" customHeight="1">
      <c r="A2014" s="18" t="inlineStr">
        <is>
          <t>9.62.2</t>
        </is>
      </c>
      <c r="B2014" s="19" t="inlineStr">
        <is>
          <t>250x16 mm</t>
        </is>
      </c>
      <c r="C2014" s="20" t="n"/>
      <c r="D2014" s="20" t="n"/>
      <c r="E2014" s="20" t="n"/>
      <c r="F2014" s="20" t="n"/>
      <c r="G2014" s="20" t="n"/>
    </row>
    <row r="2015">
      <c r="A2015" s="21" t="inlineStr">
        <is>
          <t>Details of cost for 10 nos   |   Source: CivilDAR_2019_Vol_1.pdf, page 517</t>
        </is>
      </c>
    </row>
    <row r="2016">
      <c r="A2016" s="5" t="inlineStr">
        <is>
          <t>Code</t>
        </is>
      </c>
      <c r="B2016" s="5" t="inlineStr">
        <is>
          <t>Description</t>
        </is>
      </c>
      <c r="C2016" s="5" t="inlineStr">
        <is>
          <t>Unit</t>
        </is>
      </c>
      <c r="D2016" s="5" t="inlineStr">
        <is>
          <t>Quantity</t>
        </is>
      </c>
      <c r="E2016" s="5" t="inlineStr">
        <is>
          <t>Rate (Rs.)</t>
        </is>
      </c>
      <c r="F2016" s="5" t="inlineStr">
        <is>
          <t>Amount (Rs.)</t>
        </is>
      </c>
      <c r="G2016" s="5" t="inlineStr">
        <is>
          <t>Note</t>
        </is>
      </c>
    </row>
    <row r="2017">
      <c r="A2017" s="22" t="inlineStr">
        <is>
          <t>0661</t>
        </is>
      </c>
      <c r="B2017" s="11" t="inlineStr">
        <is>
          <t>Oxidised mild steel sliding door bolt 250x16 mm</t>
        </is>
      </c>
      <c r="C2017" s="22" t="inlineStr">
        <is>
          <t>each</t>
        </is>
      </c>
      <c r="D2017" s="23" t="n">
        <v>10</v>
      </c>
      <c r="E2017" s="24" t="n">
        <v>84</v>
      </c>
      <c r="F2017" s="24">
        <f>D2017*E2017</f>
        <v/>
      </c>
      <c r="G2017" s="22" t="n"/>
    </row>
    <row r="2018">
      <c r="A2018" s="22" t="inlineStr">
        <is>
          <t>7040</t>
        </is>
      </c>
      <c r="B2018" s="11" t="inlineStr">
        <is>
          <t>Oxidised mild steel screws 35 mm</t>
        </is>
      </c>
      <c r="C2018" s="22" t="inlineStr">
        <is>
          <t>100 Nos</t>
        </is>
      </c>
      <c r="D2018" s="23" t="n">
        <v>1</v>
      </c>
      <c r="E2018" s="24" t="n">
        <v>48</v>
      </c>
      <c r="F2018" s="24">
        <f>D2018*E2018</f>
        <v/>
      </c>
      <c r="G2018" s="22" t="n"/>
    </row>
    <row r="2019">
      <c r="A2019" s="22" t="inlineStr">
        <is>
          <t>0641</t>
        </is>
      </c>
      <c r="B2019" s="11" t="inlineStr">
        <is>
          <t>Bright finished or black enamelled mild steel bolts and nuts 50x6 mm</t>
        </is>
      </c>
      <c r="C2019" s="22" t="inlineStr">
        <is>
          <t>each</t>
        </is>
      </c>
      <c r="D2019" s="23" t="n">
        <v>40</v>
      </c>
      <c r="E2019" s="24" t="n">
        <v>5</v>
      </c>
      <c r="F2019" s="24">
        <f>D2019*E2019</f>
        <v/>
      </c>
      <c r="G2019" s="22" t="n"/>
    </row>
    <row r="2020">
      <c r="A2020" s="22" t="inlineStr">
        <is>
          <t>9988</t>
        </is>
      </c>
      <c r="B2020" s="11" t="inlineStr">
        <is>
          <t>Carriage of materials &amp; sundries</t>
        </is>
      </c>
      <c r="C2020" s="22" t="inlineStr">
        <is>
          <t>L.S.</t>
        </is>
      </c>
      <c r="D2020" s="23" t="n">
        <v>6.37</v>
      </c>
      <c r="E2020" s="24" t="n">
        <v>2</v>
      </c>
      <c r="F2020" s="24">
        <f>D2020*E2020</f>
        <v/>
      </c>
      <c r="G2020" s="22" t="n"/>
    </row>
    <row r="2021">
      <c r="A2021" s="22" t="inlineStr">
        <is>
          <t>0112</t>
        </is>
      </c>
      <c r="B2021" s="11" t="inlineStr">
        <is>
          <t>Carpenter 2nd class</t>
        </is>
      </c>
      <c r="C2021" s="22" t="inlineStr">
        <is>
          <t>Day</t>
        </is>
      </c>
      <c r="D2021" s="23" t="n">
        <v>0.25</v>
      </c>
      <c r="E2021" s="24" t="n">
        <v>679</v>
      </c>
      <c r="F2021" s="24">
        <f>D2021*E2021</f>
        <v/>
      </c>
      <c r="G2021" s="22" t="n"/>
    </row>
    <row r="2022">
      <c r="A2022" s="8" t="inlineStr">
        <is>
          <t>Calculated W - SUM of the Amount column above</t>
        </is>
      </c>
      <c r="B2022" s="9" t="n"/>
      <c r="C2022" s="9" t="n"/>
      <c r="D2022" s="9" t="n"/>
      <c r="E2022" s="9" t="n"/>
      <c r="F2022" s="25">
        <f>SUM(F2017:F2021)</f>
        <v/>
      </c>
      <c r="G2022" s="9" t="n"/>
    </row>
    <row r="2023">
      <c r="A2023" s="26" t="inlineStr">
        <is>
          <t>W as printed in the DAR</t>
        </is>
      </c>
      <c r="B2023" s="22" t="n"/>
      <c r="C2023" s="22" t="n"/>
      <c r="D2023" s="22" t="n"/>
      <c r="E2023" s="22" t="n"/>
      <c r="F2023" s="27" t="n">
        <v>1270.49</v>
      </c>
      <c r="G2023" s="22" t="n"/>
    </row>
    <row r="2024">
      <c r="A2024" s="26" t="inlineStr">
        <is>
          <t>Difference (calculated - printed)</t>
        </is>
      </c>
      <c r="B2024" s="22" t="n"/>
      <c r="C2024" s="22" t="n"/>
      <c r="D2024" s="22" t="n"/>
      <c r="E2024" s="22" t="n"/>
      <c r="F2024" s="27">
        <f>F2022-F2023</f>
        <v/>
      </c>
      <c r="G2024" s="22" t="n"/>
    </row>
    <row r="2025">
      <c r="A2025" s="29" t="inlineStr">
        <is>
          <t>SAY (Rs.) - final DAR rate as printed (fixed value, not computed)</t>
        </is>
      </c>
      <c r="B2025" s="30" t="n"/>
      <c r="C2025" s="30" t="n"/>
      <c r="D2025" s="30" t="n"/>
      <c r="E2025" s="30" t="n"/>
      <c r="F2025" s="31" t="n">
        <v>170</v>
      </c>
      <c r="G2025" s="30" t="n"/>
    </row>
    <row r="2027" ht="18.5" customHeight="1">
      <c r="A2027" s="8" t="inlineStr">
        <is>
          <t>9.63</t>
        </is>
      </c>
      <c r="B2027" s="17" t="inlineStr">
        <is>
          <t>Providing and fixing ISI marked oxidised M.S. tower bolt black finish, (Barrel type) with necessary screws etc. complete :</t>
        </is>
      </c>
      <c r="C2027" s="9" t="n"/>
      <c r="D2027" s="9" t="n"/>
      <c r="E2027" s="9" t="n"/>
      <c r="F2027" s="9" t="n"/>
      <c r="G2027" s="9" t="n"/>
    </row>
    <row r="2028" ht="18.5" customHeight="1">
      <c r="A2028" s="18" t="inlineStr">
        <is>
          <t>9.63.1</t>
        </is>
      </c>
      <c r="B2028" s="19" t="inlineStr">
        <is>
          <t>250x10 mm</t>
        </is>
      </c>
      <c r="C2028" s="20" t="n"/>
      <c r="D2028" s="20" t="n"/>
      <c r="E2028" s="20" t="n"/>
      <c r="F2028" s="20" t="n"/>
      <c r="G2028" s="20" t="n"/>
    </row>
    <row r="2029">
      <c r="A2029" s="21" t="inlineStr">
        <is>
          <t>Details of cost for 10 nos   |   Source: CivilDAR_2019_Vol_1.pdf, page 517</t>
        </is>
      </c>
    </row>
    <row r="2030">
      <c r="A2030" s="5" t="inlineStr">
        <is>
          <t>Code</t>
        </is>
      </c>
      <c r="B2030" s="5" t="inlineStr">
        <is>
          <t>Description</t>
        </is>
      </c>
      <c r="C2030" s="5" t="inlineStr">
        <is>
          <t>Unit</t>
        </is>
      </c>
      <c r="D2030" s="5" t="inlineStr">
        <is>
          <t>Quantity</t>
        </is>
      </c>
      <c r="E2030" s="5" t="inlineStr">
        <is>
          <t>Rate (Rs.)</t>
        </is>
      </c>
      <c r="F2030" s="5" t="inlineStr">
        <is>
          <t>Amount (Rs.)</t>
        </is>
      </c>
      <c r="G2030" s="5" t="inlineStr">
        <is>
          <t>Note</t>
        </is>
      </c>
    </row>
    <row r="2031">
      <c r="A2031" s="22" t="inlineStr">
        <is>
          <t>0664</t>
        </is>
      </c>
      <c r="B2031" s="11" t="inlineStr">
        <is>
          <t>Oxidised mild steel tower bolt (barrel type) 250x10 mm</t>
        </is>
      </c>
      <c r="C2031" s="22" t="inlineStr">
        <is>
          <t>each</t>
        </is>
      </c>
      <c r="D2031" s="23" t="n">
        <v>10</v>
      </c>
      <c r="E2031" s="24" t="n">
        <v>43</v>
      </c>
      <c r="F2031" s="24">
        <f>D2031*E2031</f>
        <v/>
      </c>
      <c r="G2031" s="22" t="n"/>
    </row>
    <row r="2032">
      <c r="A2032" s="22" t="inlineStr">
        <is>
          <t>0684</t>
        </is>
      </c>
      <c r="B2032" s="11" t="inlineStr">
        <is>
          <t>Oxidised mild steel screws 30 mm</t>
        </is>
      </c>
      <c r="C2032" s="22" t="inlineStr">
        <is>
          <t>100 Nos</t>
        </is>
      </c>
      <c r="D2032" s="23" t="n">
        <v>1</v>
      </c>
      <c r="E2032" s="24" t="n">
        <v>49</v>
      </c>
      <c r="F2032" s="24">
        <f>D2032*E2032</f>
        <v/>
      </c>
      <c r="G2032" s="22" t="n"/>
    </row>
    <row r="2033">
      <c r="A2033" s="22" t="inlineStr">
        <is>
          <t>9977</t>
        </is>
      </c>
      <c r="B2033" s="11" t="inlineStr">
        <is>
          <t>Carriage of material</t>
        </is>
      </c>
      <c r="C2033" s="22" t="inlineStr">
        <is>
          <t>L.S.</t>
        </is>
      </c>
      <c r="D2033" s="23" t="n">
        <v>3.64</v>
      </c>
      <c r="E2033" s="24" t="n">
        <v>2</v>
      </c>
      <c r="F2033" s="24">
        <f>D2033*E2033</f>
        <v/>
      </c>
      <c r="G2033" s="22" t="n"/>
    </row>
    <row r="2034">
      <c r="A2034" s="22" t="inlineStr">
        <is>
          <t>0112</t>
        </is>
      </c>
      <c r="B2034" s="11" t="inlineStr">
        <is>
          <t>Carpenter 2nd class</t>
        </is>
      </c>
      <c r="C2034" s="22" t="inlineStr">
        <is>
          <t>day</t>
        </is>
      </c>
      <c r="D2034" s="23" t="n">
        <v>0.1</v>
      </c>
      <c r="E2034" s="24" t="n">
        <v>679</v>
      </c>
      <c r="F2034" s="24">
        <f>D2034*E2034</f>
        <v/>
      </c>
      <c r="G2034" s="22" t="n"/>
    </row>
    <row r="2035">
      <c r="A2035" s="8" t="inlineStr">
        <is>
          <t>Calculated W - SUM of the Amount column above</t>
        </is>
      </c>
      <c r="B2035" s="9" t="n"/>
      <c r="C2035" s="9" t="n"/>
      <c r="D2035" s="9" t="n"/>
      <c r="E2035" s="9" t="n"/>
      <c r="F2035" s="25">
        <f>SUM(F2031:F2034)</f>
        <v/>
      </c>
      <c r="G2035" s="9" t="n"/>
    </row>
    <row r="2036">
      <c r="A2036" s="26" t="inlineStr">
        <is>
          <t>W as printed in the DAR</t>
        </is>
      </c>
      <c r="B2036" s="22" t="n"/>
      <c r="C2036" s="22" t="n"/>
      <c r="D2036" s="22" t="n"/>
      <c r="E2036" s="22" t="n"/>
      <c r="F2036" s="27" t="n">
        <v>554.1799999999999</v>
      </c>
      <c r="G2036" s="22" t="n"/>
    </row>
    <row r="2037">
      <c r="A2037" s="26" t="inlineStr">
        <is>
          <t>Difference (calculated - printed)</t>
        </is>
      </c>
      <c r="B2037" s="22" t="n"/>
      <c r="C2037" s="22" t="n"/>
      <c r="D2037" s="22" t="n"/>
      <c r="E2037" s="22" t="n"/>
      <c r="F2037" s="27">
        <f>F2035-F2036</f>
        <v/>
      </c>
      <c r="G2037" s="22" t="n"/>
    </row>
    <row r="2038">
      <c r="A2038" s="29" t="inlineStr">
        <is>
          <t>SAY (Rs.) - final DAR rate as printed (fixed value, not computed)</t>
        </is>
      </c>
      <c r="B2038" s="30" t="n"/>
      <c r="C2038" s="30" t="n"/>
      <c r="D2038" s="30" t="n"/>
      <c r="E2038" s="30" t="n"/>
      <c r="F2038" s="31" t="n">
        <v>74.15000000000001</v>
      </c>
      <c r="G2038" s="30" t="n"/>
    </row>
    <row r="2040" ht="18.5" customHeight="1">
      <c r="A2040" s="8" t="inlineStr">
        <is>
          <t>9.63</t>
        </is>
      </c>
      <c r="B2040" s="17" t="inlineStr">
        <is>
          <t>Providing and fixing ISI marked oxidised M.S. tower bolt black finish, (Barrel type) with necessary screws etc. complete :</t>
        </is>
      </c>
      <c r="C2040" s="9" t="n"/>
      <c r="D2040" s="9" t="n"/>
      <c r="E2040" s="9" t="n"/>
      <c r="F2040" s="9" t="n"/>
      <c r="G2040" s="9" t="n"/>
    </row>
    <row r="2041" ht="18.5" customHeight="1">
      <c r="A2041" s="18" t="inlineStr">
        <is>
          <t>9.63.2</t>
        </is>
      </c>
      <c r="B2041" s="19" t="inlineStr">
        <is>
          <t>200x10 mm</t>
        </is>
      </c>
      <c r="C2041" s="20" t="n"/>
      <c r="D2041" s="20" t="n"/>
      <c r="E2041" s="20" t="n"/>
      <c r="F2041" s="20" t="n"/>
      <c r="G2041" s="20" t="n"/>
    </row>
    <row r="2042">
      <c r="A2042" s="21" t="inlineStr">
        <is>
          <t>Details of cost for 10 nos   |   Source: CivilDAR_2019_Vol_1.pdf, page 518</t>
        </is>
      </c>
    </row>
    <row r="2043">
      <c r="A2043" s="5" t="inlineStr">
        <is>
          <t>Code</t>
        </is>
      </c>
      <c r="B2043" s="5" t="inlineStr">
        <is>
          <t>Description</t>
        </is>
      </c>
      <c r="C2043" s="5" t="inlineStr">
        <is>
          <t>Unit</t>
        </is>
      </c>
      <c r="D2043" s="5" t="inlineStr">
        <is>
          <t>Quantity</t>
        </is>
      </c>
      <c r="E2043" s="5" t="inlineStr">
        <is>
          <t>Rate (Rs.)</t>
        </is>
      </c>
      <c r="F2043" s="5" t="inlineStr">
        <is>
          <t>Amount (Rs.)</t>
        </is>
      </c>
      <c r="G2043" s="5" t="inlineStr">
        <is>
          <t>Note</t>
        </is>
      </c>
    </row>
    <row r="2044">
      <c r="A2044" s="22" t="inlineStr">
        <is>
          <t>0665</t>
        </is>
      </c>
      <c r="B2044" s="11" t="inlineStr">
        <is>
          <t>Oxidised mild steel tower bolt (barrel type) 200x10 mm</t>
        </is>
      </c>
      <c r="C2044" s="22" t="inlineStr">
        <is>
          <t>each</t>
        </is>
      </c>
      <c r="D2044" s="23" t="n">
        <v>10</v>
      </c>
      <c r="E2044" s="24" t="n">
        <v>34</v>
      </c>
      <c r="F2044" s="24">
        <f>D2044*E2044</f>
        <v/>
      </c>
      <c r="G2044" s="22" t="n"/>
    </row>
    <row r="2045">
      <c r="A2045" s="22" t="inlineStr">
        <is>
          <t>0684</t>
        </is>
      </c>
      <c r="B2045" s="11" t="inlineStr">
        <is>
          <t>Oxidised mild steel screws 30 mm</t>
        </is>
      </c>
      <c r="C2045" s="22" t="inlineStr">
        <is>
          <t>100 Nos</t>
        </is>
      </c>
      <c r="D2045" s="23" t="n">
        <v>0.8</v>
      </c>
      <c r="E2045" s="24" t="n">
        <v>49</v>
      </c>
      <c r="F2045" s="24">
        <f>D2045*E2045</f>
        <v/>
      </c>
      <c r="G2045" s="22" t="n"/>
    </row>
    <row r="2046">
      <c r="A2046" s="22" t="inlineStr">
        <is>
          <t>9977</t>
        </is>
      </c>
      <c r="B2046" s="11" t="inlineStr">
        <is>
          <t>Carriage of material</t>
        </is>
      </c>
      <c r="C2046" s="22" t="inlineStr">
        <is>
          <t>L.S.</t>
        </is>
      </c>
      <c r="D2046" s="23" t="n">
        <v>2.73</v>
      </c>
      <c r="E2046" s="24" t="n">
        <v>2</v>
      </c>
      <c r="F2046" s="24">
        <f>D2046*E2046</f>
        <v/>
      </c>
      <c r="G2046" s="22" t="n"/>
    </row>
    <row r="2047">
      <c r="A2047" s="22" t="inlineStr">
        <is>
          <t>0112</t>
        </is>
      </c>
      <c r="B2047" s="11" t="inlineStr">
        <is>
          <t>Carpenter 2nd class</t>
        </is>
      </c>
      <c r="C2047" s="22" t="inlineStr">
        <is>
          <t>day</t>
        </is>
      </c>
      <c r="D2047" s="23" t="n">
        <v>0.1</v>
      </c>
      <c r="E2047" s="24" t="n">
        <v>679</v>
      </c>
      <c r="F2047" s="24">
        <f>D2047*E2047</f>
        <v/>
      </c>
      <c r="G2047" s="22" t="n"/>
    </row>
    <row r="2048">
      <c r="A2048" s="8" t="inlineStr">
        <is>
          <t>Calculated W - SUM of the Amount column above</t>
        </is>
      </c>
      <c r="B2048" s="9" t="n"/>
      <c r="C2048" s="9" t="n"/>
      <c r="D2048" s="9" t="n"/>
      <c r="E2048" s="9" t="n"/>
      <c r="F2048" s="25">
        <f>SUM(F2044:F2047)</f>
        <v/>
      </c>
      <c r="G2048" s="9" t="n"/>
    </row>
    <row r="2049">
      <c r="A2049" s="26" t="inlineStr">
        <is>
          <t>W as printed in the DAR</t>
        </is>
      </c>
      <c r="B2049" s="22" t="n"/>
      <c r="C2049" s="22" t="n"/>
      <c r="D2049" s="22" t="n"/>
      <c r="E2049" s="22" t="n"/>
      <c r="F2049" s="27" t="n">
        <v>452.56</v>
      </c>
      <c r="G2049" s="22" t="n"/>
    </row>
    <row r="2050">
      <c r="A2050" s="26" t="inlineStr">
        <is>
          <t>Difference (calculated - printed)</t>
        </is>
      </c>
      <c r="B2050" s="22" t="n"/>
      <c r="C2050" s="22" t="n"/>
      <c r="D2050" s="22" t="n"/>
      <c r="E2050" s="22" t="n"/>
      <c r="F2050" s="27">
        <f>F2048-F2049</f>
        <v/>
      </c>
      <c r="G2050" s="22" t="n"/>
    </row>
    <row r="2051">
      <c r="A2051" s="29" t="inlineStr">
        <is>
          <t>SAY (Rs.) - final DAR rate as printed (fixed value, not computed)</t>
        </is>
      </c>
      <c r="B2051" s="30" t="n"/>
      <c r="C2051" s="30" t="n"/>
      <c r="D2051" s="30" t="n"/>
      <c r="E2051" s="30" t="n"/>
      <c r="F2051" s="31" t="n">
        <v>60.55</v>
      </c>
      <c r="G2051" s="30" t="n"/>
    </row>
    <row r="2053" ht="18.5" customHeight="1">
      <c r="A2053" s="8" t="inlineStr">
        <is>
          <t>9.63</t>
        </is>
      </c>
      <c r="B2053" s="17" t="inlineStr">
        <is>
          <t>Providing and fixing ISI marked oxidised M.S. tower bolt black finish, (Barrel type) with necessary screws etc. complete :</t>
        </is>
      </c>
      <c r="C2053" s="9" t="n"/>
      <c r="D2053" s="9" t="n"/>
      <c r="E2053" s="9" t="n"/>
      <c r="F2053" s="9" t="n"/>
      <c r="G2053" s="9" t="n"/>
    </row>
    <row r="2054" ht="18.5" customHeight="1">
      <c r="A2054" s="18" t="inlineStr">
        <is>
          <t>9.63.3</t>
        </is>
      </c>
      <c r="B2054" s="19" t="inlineStr">
        <is>
          <t>150x10 mm</t>
        </is>
      </c>
      <c r="C2054" s="20" t="n"/>
      <c r="D2054" s="20" t="n"/>
      <c r="E2054" s="20" t="n"/>
      <c r="F2054" s="20" t="n"/>
      <c r="G2054" s="20" t="n"/>
    </row>
    <row r="2055">
      <c r="A2055" s="21" t="inlineStr">
        <is>
          <t>Details of cost for 10 nos   |   Source: CivilDAR_2019_Vol_1.pdf, page 518</t>
        </is>
      </c>
    </row>
    <row r="2056">
      <c r="A2056" s="5" t="inlineStr">
        <is>
          <t>Code</t>
        </is>
      </c>
      <c r="B2056" s="5" t="inlineStr">
        <is>
          <t>Description</t>
        </is>
      </c>
      <c r="C2056" s="5" t="inlineStr">
        <is>
          <t>Unit</t>
        </is>
      </c>
      <c r="D2056" s="5" t="inlineStr">
        <is>
          <t>Quantity</t>
        </is>
      </c>
      <c r="E2056" s="5" t="inlineStr">
        <is>
          <t>Rate (Rs.)</t>
        </is>
      </c>
      <c r="F2056" s="5" t="inlineStr">
        <is>
          <t>Amount (Rs.)</t>
        </is>
      </c>
      <c r="G2056" s="5" t="inlineStr">
        <is>
          <t>Note</t>
        </is>
      </c>
    </row>
    <row r="2057">
      <c r="A2057" s="22" t="inlineStr">
        <is>
          <t>0666</t>
        </is>
      </c>
      <c r="B2057" s="11" t="inlineStr">
        <is>
          <t>Oxidised mild steel tower bolt (barrel type) 150x10 mm</t>
        </is>
      </c>
      <c r="C2057" s="22" t="inlineStr">
        <is>
          <t>each</t>
        </is>
      </c>
      <c r="D2057" s="23" t="n">
        <v>10</v>
      </c>
      <c r="E2057" s="24" t="n">
        <v>29</v>
      </c>
      <c r="F2057" s="24">
        <f>D2057*E2057</f>
        <v/>
      </c>
      <c r="G2057" s="22" t="n"/>
    </row>
    <row r="2058">
      <c r="A2058" s="22" t="inlineStr">
        <is>
          <t>0684</t>
        </is>
      </c>
      <c r="B2058" s="11" t="inlineStr">
        <is>
          <t>Oxidised mild steel screws 30 mm</t>
        </is>
      </c>
      <c r="C2058" s="22" t="inlineStr">
        <is>
          <t>100 Nos</t>
        </is>
      </c>
      <c r="D2058" s="23" t="n">
        <v>0.6</v>
      </c>
      <c r="E2058" s="24" t="n">
        <v>49</v>
      </c>
      <c r="F2058" s="24">
        <f>D2058*E2058</f>
        <v/>
      </c>
      <c r="G2058" s="22" t="n"/>
    </row>
    <row r="2059">
      <c r="A2059" s="22" t="inlineStr">
        <is>
          <t>9977</t>
        </is>
      </c>
      <c r="B2059" s="11" t="inlineStr">
        <is>
          <t>Carriage of material</t>
        </is>
      </c>
      <c r="C2059" s="22" t="inlineStr">
        <is>
          <t>L.S.</t>
        </is>
      </c>
      <c r="D2059" s="23" t="n">
        <v>2.73</v>
      </c>
      <c r="E2059" s="24" t="n">
        <v>2</v>
      </c>
      <c r="F2059" s="24">
        <f>D2059*E2059</f>
        <v/>
      </c>
      <c r="G2059" s="22" t="n"/>
    </row>
    <row r="2060">
      <c r="A2060" s="22" t="inlineStr">
        <is>
          <t>0112</t>
        </is>
      </c>
      <c r="B2060" s="11" t="inlineStr">
        <is>
          <t>Carpenter 2nd class</t>
        </is>
      </c>
      <c r="C2060" s="22" t="inlineStr">
        <is>
          <t>day</t>
        </is>
      </c>
      <c r="D2060" s="23" t="n">
        <v>0.1</v>
      </c>
      <c r="E2060" s="24" t="n">
        <v>679</v>
      </c>
      <c r="F2060" s="24">
        <f>D2060*E2060</f>
        <v/>
      </c>
      <c r="G2060" s="22" t="n"/>
    </row>
    <row r="2061">
      <c r="A2061" s="8" t="inlineStr">
        <is>
          <t>Calculated W - SUM of the Amount column above</t>
        </is>
      </c>
      <c r="B2061" s="9" t="n"/>
      <c r="C2061" s="9" t="n"/>
      <c r="D2061" s="9" t="n"/>
      <c r="E2061" s="9" t="n"/>
      <c r="F2061" s="25">
        <f>SUM(F2057:F2060)</f>
        <v/>
      </c>
      <c r="G2061" s="9" t="n"/>
    </row>
    <row r="2062">
      <c r="A2062" s="26" t="inlineStr">
        <is>
          <t>W as printed in the DAR</t>
        </is>
      </c>
      <c r="B2062" s="22" t="n"/>
      <c r="C2062" s="22" t="n"/>
      <c r="D2062" s="22" t="n"/>
      <c r="E2062" s="22" t="n"/>
      <c r="F2062" s="27" t="n">
        <v>392.76</v>
      </c>
      <c r="G2062" s="22" t="n"/>
    </row>
    <row r="2063">
      <c r="A2063" s="26" t="inlineStr">
        <is>
          <t>Difference (calculated - printed)</t>
        </is>
      </c>
      <c r="B2063" s="22" t="n"/>
      <c r="C2063" s="22" t="n"/>
      <c r="D2063" s="22" t="n"/>
      <c r="E2063" s="22" t="n"/>
      <c r="F2063" s="27">
        <f>F2061-F2062</f>
        <v/>
      </c>
      <c r="G2063" s="22" t="n"/>
    </row>
    <row r="2064">
      <c r="A2064" s="29" t="inlineStr">
        <is>
          <t>SAY (Rs.) - final DAR rate as printed (fixed value, not computed)</t>
        </is>
      </c>
      <c r="B2064" s="30" t="n"/>
      <c r="C2064" s="30" t="n"/>
      <c r="D2064" s="30" t="n"/>
      <c r="E2064" s="30" t="n"/>
      <c r="F2064" s="31" t="n">
        <v>52.55</v>
      </c>
      <c r="G2064" s="30" t="n"/>
    </row>
    <row r="2066" ht="18.5" customHeight="1">
      <c r="A2066" s="8" t="inlineStr">
        <is>
          <t>9.63</t>
        </is>
      </c>
      <c r="B2066" s="17" t="inlineStr">
        <is>
          <t>Providing and fixing ISI marked oxidised M.S. tower bolt black finish, (Barrel type) with necessary screws etc. complete :</t>
        </is>
      </c>
      <c r="C2066" s="9" t="n"/>
      <c r="D2066" s="9" t="n"/>
      <c r="E2066" s="9" t="n"/>
      <c r="F2066" s="9" t="n"/>
      <c r="G2066" s="9" t="n"/>
    </row>
    <row r="2067" ht="18.5" customHeight="1">
      <c r="A2067" s="18" t="inlineStr">
        <is>
          <t>9.63.4</t>
        </is>
      </c>
      <c r="B2067" s="19" t="inlineStr">
        <is>
          <t>100x10 mm</t>
        </is>
      </c>
      <c r="C2067" s="20" t="n"/>
      <c r="D2067" s="20" t="n"/>
      <c r="E2067" s="20" t="n"/>
      <c r="F2067" s="20" t="n"/>
      <c r="G2067" s="20" t="n"/>
    </row>
    <row r="2068">
      <c r="A2068" s="21" t="inlineStr">
        <is>
          <t>Details of cost for 10 nos   |   Source: CivilDAR_2019_Vol_1.pdf, page 519</t>
        </is>
      </c>
    </row>
    <row r="2069">
      <c r="A2069" s="5" t="inlineStr">
        <is>
          <t>Code</t>
        </is>
      </c>
      <c r="B2069" s="5" t="inlineStr">
        <is>
          <t>Description</t>
        </is>
      </c>
      <c r="C2069" s="5" t="inlineStr">
        <is>
          <t>Unit</t>
        </is>
      </c>
      <c r="D2069" s="5" t="inlineStr">
        <is>
          <t>Quantity</t>
        </is>
      </c>
      <c r="E2069" s="5" t="inlineStr">
        <is>
          <t>Rate (Rs.)</t>
        </is>
      </c>
      <c r="F2069" s="5" t="inlineStr">
        <is>
          <t>Amount (Rs.)</t>
        </is>
      </c>
      <c r="G2069" s="5" t="inlineStr">
        <is>
          <t>Note</t>
        </is>
      </c>
    </row>
    <row r="2070">
      <c r="A2070" s="22" t="inlineStr">
        <is>
          <t>0667</t>
        </is>
      </c>
      <c r="B2070" s="11" t="inlineStr">
        <is>
          <t>Oxidised mild steel tower bolt (barrel type) 100x10 mm</t>
        </is>
      </c>
      <c r="C2070" s="22" t="inlineStr">
        <is>
          <t>each</t>
        </is>
      </c>
      <c r="D2070" s="23" t="n">
        <v>10</v>
      </c>
      <c r="E2070" s="24" t="n">
        <v>20</v>
      </c>
      <c r="F2070" s="24">
        <f>D2070*E2070</f>
        <v/>
      </c>
      <c r="G2070" s="22" t="n"/>
    </row>
    <row r="2071">
      <c r="A2071" s="22" t="inlineStr">
        <is>
          <t>0684</t>
        </is>
      </c>
      <c r="B2071" s="11" t="inlineStr">
        <is>
          <t>Oxidised mild steel screws 30 mm</t>
        </is>
      </c>
      <c r="C2071" s="22" t="inlineStr">
        <is>
          <t>100 Nos</t>
        </is>
      </c>
      <c r="D2071" s="23" t="n">
        <v>0.6</v>
      </c>
      <c r="E2071" s="24" t="n">
        <v>49</v>
      </c>
      <c r="F2071" s="24">
        <f>D2071*E2071</f>
        <v/>
      </c>
      <c r="G2071" s="22" t="n"/>
    </row>
    <row r="2072">
      <c r="A2072" s="22" t="inlineStr">
        <is>
          <t>9977</t>
        </is>
      </c>
      <c r="B2072" s="11" t="inlineStr">
        <is>
          <t>Carriage of material</t>
        </is>
      </c>
      <c r="C2072" s="22" t="inlineStr">
        <is>
          <t>L.S.</t>
        </is>
      </c>
      <c r="D2072" s="23" t="n">
        <v>2.73</v>
      </c>
      <c r="E2072" s="24" t="n">
        <v>2</v>
      </c>
      <c r="F2072" s="24">
        <f>D2072*E2072</f>
        <v/>
      </c>
      <c r="G2072" s="22" t="n"/>
    </row>
    <row r="2073">
      <c r="A2073" s="22" t="inlineStr">
        <is>
          <t>0112</t>
        </is>
      </c>
      <c r="B2073" s="11" t="inlineStr">
        <is>
          <t>Carpenter 2nd class</t>
        </is>
      </c>
      <c r="C2073" s="22" t="inlineStr">
        <is>
          <t>day</t>
        </is>
      </c>
      <c r="D2073" s="23" t="n">
        <v>0.08</v>
      </c>
      <c r="E2073" s="24" t="n">
        <v>679</v>
      </c>
      <c r="F2073" s="24">
        <f>D2073*E2073</f>
        <v/>
      </c>
      <c r="G2073" s="22" t="n"/>
    </row>
    <row r="2074">
      <c r="A2074" s="8" t="inlineStr">
        <is>
          <t>Calculated W - SUM of the Amount column above</t>
        </is>
      </c>
      <c r="B2074" s="9" t="n"/>
      <c r="C2074" s="9" t="n"/>
      <c r="D2074" s="9" t="n"/>
      <c r="E2074" s="9" t="n"/>
      <c r="F2074" s="25">
        <f>SUM(F2070:F2073)</f>
        <v/>
      </c>
      <c r="G2074" s="9" t="n"/>
    </row>
    <row r="2075">
      <c r="A2075" s="26" t="inlineStr">
        <is>
          <t>W as printed in the DAR</t>
        </is>
      </c>
      <c r="B2075" s="22" t="n"/>
      <c r="C2075" s="22" t="n"/>
      <c r="D2075" s="22" t="n"/>
      <c r="E2075" s="22" t="n"/>
      <c r="F2075" s="27" t="n">
        <v>289.18</v>
      </c>
      <c r="G2075" s="22" t="n"/>
    </row>
    <row r="2076">
      <c r="A2076" s="26" t="inlineStr">
        <is>
          <t>Difference (calculated - printed)</t>
        </is>
      </c>
      <c r="B2076" s="22" t="n"/>
      <c r="C2076" s="22" t="n"/>
      <c r="D2076" s="22" t="n"/>
      <c r="E2076" s="22" t="n"/>
      <c r="F2076" s="27">
        <f>F2074-F2075</f>
        <v/>
      </c>
      <c r="G2076" s="22" t="n"/>
    </row>
    <row r="2077">
      <c r="A2077" s="29" t="inlineStr">
        <is>
          <t>SAY (Rs.) - final DAR rate as printed (fixed value, not computed)</t>
        </is>
      </c>
      <c r="B2077" s="30" t="n"/>
      <c r="C2077" s="30" t="n"/>
      <c r="D2077" s="30" t="n"/>
      <c r="E2077" s="30" t="n"/>
      <c r="F2077" s="31" t="n">
        <v>38.7</v>
      </c>
      <c r="G2077" s="30" t="n"/>
    </row>
    <row r="2079" ht="33" customHeight="1">
      <c r="A2079" s="18" t="inlineStr">
        <is>
          <t>9.64</t>
        </is>
      </c>
      <c r="B2079" s="19" t="inlineStr">
        <is>
          <t>Providing and fixing ISI marked 85x42 mm oxidised M.S. pull bolt lock conforming to IS : 7534 with necessary screws bolts, nut and washers etc. complete.</t>
        </is>
      </c>
      <c r="C2079" s="20" t="n"/>
      <c r="D2079" s="20" t="n"/>
      <c r="E2079" s="20" t="n"/>
      <c r="F2079" s="20" t="n"/>
      <c r="G2079" s="20" t="n"/>
    </row>
    <row r="2080">
      <c r="A2080" s="21" t="inlineStr">
        <is>
          <t>Details of cost for 10 nos   |   Source: CivilDAR_2019_Vol_1.pdf, page 519</t>
        </is>
      </c>
    </row>
    <row r="2081">
      <c r="A2081" s="5" t="inlineStr">
        <is>
          <t>Code</t>
        </is>
      </c>
      <c r="B2081" s="5" t="inlineStr">
        <is>
          <t>Description</t>
        </is>
      </c>
      <c r="C2081" s="5" t="inlineStr">
        <is>
          <t>Unit</t>
        </is>
      </c>
      <c r="D2081" s="5" t="inlineStr">
        <is>
          <t>Quantity</t>
        </is>
      </c>
      <c r="E2081" s="5" t="inlineStr">
        <is>
          <t>Rate (Rs.)</t>
        </is>
      </c>
      <c r="F2081" s="5" t="inlineStr">
        <is>
          <t>Amount (Rs.)</t>
        </is>
      </c>
      <c r="G2081" s="5" t="inlineStr">
        <is>
          <t>Note</t>
        </is>
      </c>
    </row>
    <row r="2082">
      <c r="A2082" s="22" t="inlineStr">
        <is>
          <t>2449</t>
        </is>
      </c>
      <c r="B2082" s="11" t="inlineStr">
        <is>
          <t>Oxidised mild steel pull bolt lock (locking bolt) of size 85 mm x 42 mm with screws,bolts,nuts and washers complete</t>
        </is>
      </c>
      <c r="C2082" s="22" t="inlineStr">
        <is>
          <t>each</t>
        </is>
      </c>
      <c r="D2082" s="23" t="n">
        <v>10</v>
      </c>
      <c r="E2082" s="24" t="n">
        <v>60</v>
      </c>
      <c r="F2082" s="24">
        <f>D2082*E2082</f>
        <v/>
      </c>
      <c r="G2082" s="22" t="n"/>
    </row>
    <row r="2083">
      <c r="A2083" s="22" t="inlineStr">
        <is>
          <t>9988</t>
        </is>
      </c>
      <c r="B2083" s="11" t="inlineStr">
        <is>
          <t>Carriage of materials &amp; sundries</t>
        </is>
      </c>
      <c r="C2083" s="22" t="inlineStr">
        <is>
          <t>L.S.</t>
        </is>
      </c>
      <c r="D2083" s="23" t="n">
        <v>6.37</v>
      </c>
      <c r="E2083" s="24" t="n">
        <v>2</v>
      </c>
      <c r="F2083" s="24">
        <f>D2083*E2083</f>
        <v/>
      </c>
      <c r="G2083" s="22" t="n"/>
    </row>
    <row r="2084">
      <c r="A2084" s="22" t="inlineStr">
        <is>
          <t>0112</t>
        </is>
      </c>
      <c r="B2084" s="11" t="inlineStr">
        <is>
          <t>Carpenter 2nd class</t>
        </is>
      </c>
      <c r="C2084" s="22" t="inlineStr">
        <is>
          <t>day</t>
        </is>
      </c>
      <c r="D2084" s="23" t="n">
        <v>0.25</v>
      </c>
      <c r="E2084" s="24" t="n">
        <v>679</v>
      </c>
      <c r="F2084" s="24">
        <f>D2084*E2084</f>
        <v/>
      </c>
      <c r="G2084" s="22" t="n"/>
    </row>
    <row r="2085">
      <c r="A2085" s="8" t="inlineStr">
        <is>
          <t>Calculated W - SUM of the Amount column above</t>
        </is>
      </c>
      <c r="B2085" s="9" t="n"/>
      <c r="C2085" s="9" t="n"/>
      <c r="D2085" s="9" t="n"/>
      <c r="E2085" s="9" t="n"/>
      <c r="F2085" s="25">
        <f>SUM(F2082:F2084)</f>
        <v/>
      </c>
      <c r="G2085" s="9" t="n"/>
    </row>
    <row r="2086">
      <c r="A2086" s="26" t="inlineStr">
        <is>
          <t>W as printed in the DAR</t>
        </is>
      </c>
      <c r="B2086" s="22" t="n"/>
      <c r="C2086" s="22" t="n"/>
      <c r="D2086" s="22" t="n"/>
      <c r="E2086" s="22" t="n"/>
      <c r="F2086" s="27" t="n">
        <v>782.49</v>
      </c>
      <c r="G2086" s="22" t="n"/>
    </row>
    <row r="2087">
      <c r="A2087" s="26" t="inlineStr">
        <is>
          <t>Difference (calculated - printed)</t>
        </is>
      </c>
      <c r="B2087" s="22" t="n"/>
      <c r="C2087" s="22" t="n"/>
      <c r="D2087" s="22" t="n"/>
      <c r="E2087" s="22" t="n"/>
      <c r="F2087" s="27">
        <f>F2085-F2086</f>
        <v/>
      </c>
      <c r="G2087" s="22" t="n"/>
    </row>
    <row r="2088">
      <c r="A2088" s="29" t="inlineStr">
        <is>
          <t>SAY (Rs.) - final DAR rate as printed (fixed value, not computed)</t>
        </is>
      </c>
      <c r="B2088" s="30" t="n"/>
      <c r="C2088" s="30" t="n"/>
      <c r="D2088" s="30" t="n"/>
      <c r="E2088" s="30" t="n"/>
      <c r="F2088" s="31" t="n">
        <v>104.7</v>
      </c>
      <c r="G2088" s="30" t="n"/>
    </row>
    <row r="2090" ht="18.5" customHeight="1">
      <c r="A2090" s="8" t="inlineStr">
        <is>
          <t>9.65</t>
        </is>
      </c>
      <c r="B2090" s="17" t="inlineStr">
        <is>
          <t>Providing and fixing ISi marked oxidised M.S. door latches conforming to IS:5930 with screws etc. complete :</t>
        </is>
      </c>
      <c r="C2090" s="9" t="n"/>
      <c r="D2090" s="9" t="n"/>
      <c r="E2090" s="9" t="n"/>
      <c r="F2090" s="9" t="n"/>
      <c r="G2090" s="9" t="n"/>
    </row>
    <row r="2091" ht="18.5" customHeight="1">
      <c r="A2091" s="18" t="inlineStr">
        <is>
          <t>9.65.1</t>
        </is>
      </c>
      <c r="B2091" s="19" t="inlineStr">
        <is>
          <t>300x20x6 mm</t>
        </is>
      </c>
      <c r="C2091" s="20" t="n"/>
      <c r="D2091" s="20" t="n"/>
      <c r="E2091" s="20" t="n"/>
      <c r="F2091" s="20" t="n"/>
      <c r="G2091" s="20" t="n"/>
    </row>
    <row r="2092">
      <c r="A2092" s="21" t="inlineStr">
        <is>
          <t>Details of cost for 10 nos   |   Source: CivilDAR_2019_Vol_1.pdf, page 520</t>
        </is>
      </c>
    </row>
    <row r="2093">
      <c r="A2093" s="5" t="inlineStr">
        <is>
          <t>Code</t>
        </is>
      </c>
      <c r="B2093" s="5" t="inlineStr">
        <is>
          <t>Description</t>
        </is>
      </c>
      <c r="C2093" s="5" t="inlineStr">
        <is>
          <t>Unit</t>
        </is>
      </c>
      <c r="D2093" s="5" t="inlineStr">
        <is>
          <t>Quantity</t>
        </is>
      </c>
      <c r="E2093" s="5" t="inlineStr">
        <is>
          <t>Rate (Rs.)</t>
        </is>
      </c>
      <c r="F2093" s="5" t="inlineStr">
        <is>
          <t>Amount (Rs.)</t>
        </is>
      </c>
      <c r="G2093" s="5" t="inlineStr">
        <is>
          <t>Note</t>
        </is>
      </c>
    </row>
    <row r="2094">
      <c r="A2094" s="22" t="inlineStr">
        <is>
          <t>0662</t>
        </is>
      </c>
      <c r="B2094" s="11" t="inlineStr">
        <is>
          <t>Oxidised mild steel door latch 300x20x6 mm</t>
        </is>
      </c>
      <c r="C2094" s="22" t="inlineStr">
        <is>
          <t>each</t>
        </is>
      </c>
      <c r="D2094" s="23" t="n">
        <v>10</v>
      </c>
      <c r="E2094" s="24" t="n">
        <v>49</v>
      </c>
      <c r="F2094" s="24">
        <f>D2094*E2094</f>
        <v/>
      </c>
      <c r="G2094" s="22" t="n"/>
    </row>
    <row r="2095">
      <c r="A2095" s="22" t="inlineStr">
        <is>
          <t>0685</t>
        </is>
      </c>
      <c r="B2095" s="11" t="inlineStr">
        <is>
          <t>Oxidised mild steel screws 25 mm</t>
        </is>
      </c>
      <c r="C2095" s="22" t="inlineStr">
        <is>
          <t>100 Nos</t>
        </is>
      </c>
      <c r="D2095" s="23" t="n">
        <v>0.9</v>
      </c>
      <c r="E2095" s="24" t="n">
        <v>36</v>
      </c>
      <c r="F2095" s="24">
        <f>D2095*E2095</f>
        <v/>
      </c>
      <c r="G2095" s="22" t="n"/>
    </row>
    <row r="2096">
      <c r="A2096" s="22" t="inlineStr">
        <is>
          <t>9977</t>
        </is>
      </c>
      <c r="B2096" s="11" t="inlineStr">
        <is>
          <t>Carriage of materials</t>
        </is>
      </c>
      <c r="C2096" s="22" t="inlineStr">
        <is>
          <t>L.S.</t>
        </is>
      </c>
      <c r="D2096" s="23" t="n">
        <v>3.64</v>
      </c>
      <c r="E2096" s="24" t="n">
        <v>2</v>
      </c>
      <c r="F2096" s="24">
        <f>D2096*E2096</f>
        <v/>
      </c>
      <c r="G2096" s="22" t="n"/>
    </row>
    <row r="2097">
      <c r="A2097" s="22" t="inlineStr">
        <is>
          <t>0112</t>
        </is>
      </c>
      <c r="B2097" s="11" t="inlineStr">
        <is>
          <t>Carpenter 2nd class</t>
        </is>
      </c>
      <c r="C2097" s="22" t="inlineStr">
        <is>
          <t>day</t>
        </is>
      </c>
      <c r="D2097" s="23" t="n">
        <v>0.12</v>
      </c>
      <c r="E2097" s="24" t="n">
        <v>679</v>
      </c>
      <c r="F2097" s="24">
        <f>D2097*E2097</f>
        <v/>
      </c>
      <c r="G2097" s="22" t="n"/>
    </row>
    <row r="2098">
      <c r="A2098" s="8" t="inlineStr">
        <is>
          <t>Calculated W - SUM of the Amount column above</t>
        </is>
      </c>
      <c r="B2098" s="9" t="n"/>
      <c r="C2098" s="9" t="n"/>
      <c r="D2098" s="9" t="n"/>
      <c r="E2098" s="9" t="n"/>
      <c r="F2098" s="25">
        <f>SUM(F2094:F2097)</f>
        <v/>
      </c>
      <c r="G2098" s="9" t="n"/>
    </row>
    <row r="2099">
      <c r="A2099" s="26" t="inlineStr">
        <is>
          <t>W as printed in the DAR</t>
        </is>
      </c>
      <c r="B2099" s="22" t="n"/>
      <c r="C2099" s="22" t="n"/>
      <c r="D2099" s="22" t="n"/>
      <c r="E2099" s="22" t="n"/>
      <c r="F2099" s="27" t="n">
        <v>611.16</v>
      </c>
      <c r="G2099" s="22" t="n"/>
    </row>
    <row r="2100">
      <c r="A2100" s="26" t="inlineStr">
        <is>
          <t>Difference (calculated - printed)</t>
        </is>
      </c>
      <c r="B2100" s="22" t="n"/>
      <c r="C2100" s="22" t="n"/>
      <c r="D2100" s="22" t="n"/>
      <c r="E2100" s="22" t="n"/>
      <c r="F2100" s="27">
        <f>F2098-F2099</f>
        <v/>
      </c>
      <c r="G2100" s="22" t="n"/>
    </row>
    <row r="2101">
      <c r="A2101" s="29" t="inlineStr">
        <is>
          <t>SAY (Rs.) - final DAR rate as printed (fixed value, not computed)</t>
        </is>
      </c>
      <c r="B2101" s="30" t="n"/>
      <c r="C2101" s="30" t="n"/>
      <c r="D2101" s="30" t="n"/>
      <c r="E2101" s="30" t="n"/>
      <c r="F2101" s="31" t="n">
        <v>81.75</v>
      </c>
      <c r="G2101" s="30" t="n"/>
    </row>
    <row r="2103" ht="18.5" customHeight="1">
      <c r="A2103" s="8" t="inlineStr">
        <is>
          <t>9.65</t>
        </is>
      </c>
      <c r="B2103" s="17" t="inlineStr">
        <is>
          <t>Providing and fixing ISi marked oxidised M.S. door latches conforming to IS:5930 with screws etc. complete :</t>
        </is>
      </c>
      <c r="C2103" s="9" t="n"/>
      <c r="D2103" s="9" t="n"/>
      <c r="E2103" s="9" t="n"/>
      <c r="F2103" s="9" t="n"/>
      <c r="G2103" s="9" t="n"/>
    </row>
    <row r="2104" ht="18.5" customHeight="1">
      <c r="A2104" s="18" t="inlineStr">
        <is>
          <t>9.65.2</t>
        </is>
      </c>
      <c r="B2104" s="19" t="inlineStr">
        <is>
          <t>250x20x6 mm</t>
        </is>
      </c>
      <c r="C2104" s="20" t="n"/>
      <c r="D2104" s="20" t="n"/>
      <c r="E2104" s="20" t="n"/>
      <c r="F2104" s="20" t="n"/>
      <c r="G2104" s="20" t="n"/>
    </row>
    <row r="2105">
      <c r="A2105" s="21" t="inlineStr">
        <is>
          <t>Details of cost for 10 nos   |   Source: CivilDAR_2019_Vol_1.pdf, page 520</t>
        </is>
      </c>
    </row>
    <row r="2106">
      <c r="A2106" s="5" t="inlineStr">
        <is>
          <t>Code</t>
        </is>
      </c>
      <c r="B2106" s="5" t="inlineStr">
        <is>
          <t>Description</t>
        </is>
      </c>
      <c r="C2106" s="5" t="inlineStr">
        <is>
          <t>Unit</t>
        </is>
      </c>
      <c r="D2106" s="5" t="inlineStr">
        <is>
          <t>Quantity</t>
        </is>
      </c>
      <c r="E2106" s="5" t="inlineStr">
        <is>
          <t>Rate (Rs.)</t>
        </is>
      </c>
      <c r="F2106" s="5" t="inlineStr">
        <is>
          <t>Amount (Rs.)</t>
        </is>
      </c>
      <c r="G2106" s="5" t="inlineStr">
        <is>
          <t>Note</t>
        </is>
      </c>
    </row>
    <row r="2107">
      <c r="A2107" s="22" t="inlineStr">
        <is>
          <t>0663</t>
        </is>
      </c>
      <c r="B2107" s="11" t="inlineStr">
        <is>
          <t>Oxidised mild steel door latch 250x20x6 mm</t>
        </is>
      </c>
      <c r="C2107" s="22" t="inlineStr">
        <is>
          <t>each</t>
        </is>
      </c>
      <c r="D2107" s="23" t="n">
        <v>10</v>
      </c>
      <c r="E2107" s="24" t="n">
        <v>39</v>
      </c>
      <c r="F2107" s="24">
        <f>D2107*E2107</f>
        <v/>
      </c>
      <c r="G2107" s="22" t="n"/>
    </row>
    <row r="2108">
      <c r="A2108" s="22" t="inlineStr">
        <is>
          <t>0685</t>
        </is>
      </c>
      <c r="B2108" s="11" t="inlineStr">
        <is>
          <t>Oxidised mild steel screws 25 mm</t>
        </is>
      </c>
      <c r="C2108" s="22" t="inlineStr">
        <is>
          <t>100 Nos</t>
        </is>
      </c>
      <c r="D2108" s="23" t="n">
        <v>0.9</v>
      </c>
      <c r="E2108" s="24" t="n">
        <v>36</v>
      </c>
      <c r="F2108" s="24">
        <f>D2108*E2108</f>
        <v/>
      </c>
      <c r="G2108" s="22" t="n"/>
    </row>
    <row r="2109">
      <c r="A2109" s="22" t="inlineStr">
        <is>
          <t>9977</t>
        </is>
      </c>
      <c r="B2109" s="11" t="inlineStr">
        <is>
          <t>Carriage of materials</t>
        </is>
      </c>
      <c r="C2109" s="22" t="inlineStr">
        <is>
          <t>L.S.</t>
        </is>
      </c>
      <c r="D2109" s="23" t="n">
        <v>3.64</v>
      </c>
      <c r="E2109" s="24" t="n">
        <v>2</v>
      </c>
      <c r="F2109" s="24">
        <f>D2109*E2109</f>
        <v/>
      </c>
      <c r="G2109" s="22" t="n"/>
    </row>
    <row r="2110">
      <c r="A2110" s="22" t="inlineStr">
        <is>
          <t>0112</t>
        </is>
      </c>
      <c r="B2110" s="11" t="inlineStr">
        <is>
          <t>Carpenter 2nd class</t>
        </is>
      </c>
      <c r="C2110" s="22" t="inlineStr">
        <is>
          <t>day</t>
        </is>
      </c>
      <c r="D2110" s="23" t="n">
        <v>0.12</v>
      </c>
      <c r="E2110" s="24" t="n">
        <v>679</v>
      </c>
      <c r="F2110" s="24">
        <f>D2110*E2110</f>
        <v/>
      </c>
      <c r="G2110" s="22" t="n"/>
    </row>
    <row r="2111">
      <c r="A2111" s="8" t="inlineStr">
        <is>
          <t>Calculated W - SUM of the Amount column above</t>
        </is>
      </c>
      <c r="B2111" s="9" t="n"/>
      <c r="C2111" s="9" t="n"/>
      <c r="D2111" s="9" t="n"/>
      <c r="E2111" s="9" t="n"/>
      <c r="F2111" s="25">
        <f>SUM(F2107:F2110)</f>
        <v/>
      </c>
      <c r="G2111" s="9" t="n"/>
    </row>
    <row r="2112">
      <c r="A2112" s="26" t="inlineStr">
        <is>
          <t>W as printed in the DAR</t>
        </is>
      </c>
      <c r="B2112" s="22" t="n"/>
      <c r="C2112" s="22" t="n"/>
      <c r="D2112" s="22" t="n"/>
      <c r="E2112" s="22" t="n"/>
      <c r="F2112" s="27" t="n">
        <v>511.16</v>
      </c>
      <c r="G2112" s="22" t="n"/>
    </row>
    <row r="2113">
      <c r="A2113" s="26" t="inlineStr">
        <is>
          <t>Difference (calculated - printed)</t>
        </is>
      </c>
      <c r="B2113" s="22" t="n"/>
      <c r="C2113" s="22" t="n"/>
      <c r="D2113" s="22" t="n"/>
      <c r="E2113" s="22" t="n"/>
      <c r="F2113" s="27">
        <f>F2111-F2112</f>
        <v/>
      </c>
      <c r="G2113" s="22" t="n"/>
    </row>
    <row r="2114">
      <c r="A2114" s="29" t="inlineStr">
        <is>
          <t>SAY (Rs.) - final DAR rate as printed (fixed value, not computed)</t>
        </is>
      </c>
      <c r="B2114" s="30" t="n"/>
      <c r="C2114" s="30" t="n"/>
      <c r="D2114" s="30" t="n"/>
      <c r="E2114" s="30" t="n"/>
      <c r="F2114" s="31" t="n">
        <v>68.40000000000001</v>
      </c>
      <c r="G2114" s="30" t="n"/>
    </row>
    <row r="2116" ht="18.5" customHeight="1">
      <c r="A2116" s="8" t="inlineStr">
        <is>
          <t>9.66</t>
        </is>
      </c>
      <c r="B2116" s="17" t="inlineStr">
        <is>
          <t>Providing and fixing ISI marked oxidised M.S. handles conforming to IS:4992 with necessary screws etc. complete :</t>
        </is>
      </c>
      <c r="C2116" s="9" t="n"/>
      <c r="D2116" s="9" t="n"/>
      <c r="E2116" s="9" t="n"/>
      <c r="F2116" s="9" t="n"/>
      <c r="G2116" s="9" t="n"/>
    </row>
    <row r="2117" ht="18.5" customHeight="1">
      <c r="A2117" s="18" t="inlineStr">
        <is>
          <t>9.66.1</t>
        </is>
      </c>
      <c r="B2117" s="19" t="inlineStr">
        <is>
          <t>125 mm</t>
        </is>
      </c>
      <c r="C2117" s="20" t="n"/>
      <c r="D2117" s="20" t="n"/>
      <c r="E2117" s="20" t="n"/>
      <c r="F2117" s="20" t="n"/>
      <c r="G2117" s="20" t="n"/>
    </row>
    <row r="2118">
      <c r="A2118" s="21" t="inlineStr">
        <is>
          <t>Details of cost for 10 nos   |   Source: CivilDAR_2019_Vol_1.pdf, page 521</t>
        </is>
      </c>
    </row>
    <row r="2119">
      <c r="A2119" s="5" t="inlineStr">
        <is>
          <t>Code</t>
        </is>
      </c>
      <c r="B2119" s="5" t="inlineStr">
        <is>
          <t>Description</t>
        </is>
      </c>
      <c r="C2119" s="5" t="inlineStr">
        <is>
          <t>Unit</t>
        </is>
      </c>
      <c r="D2119" s="5" t="inlineStr">
        <is>
          <t>Quantity</t>
        </is>
      </c>
      <c r="E2119" s="5" t="inlineStr">
        <is>
          <t>Rate (Rs.)</t>
        </is>
      </c>
      <c r="F2119" s="5" t="inlineStr">
        <is>
          <t>Amount (Rs.)</t>
        </is>
      </c>
      <c r="G2119" s="5" t="inlineStr">
        <is>
          <t>Note</t>
        </is>
      </c>
    </row>
    <row r="2120">
      <c r="A2120" s="22" t="inlineStr">
        <is>
          <t>0668</t>
        </is>
      </c>
      <c r="B2120" s="11" t="inlineStr">
        <is>
          <t>Oxidised mild steel handles 125 mm</t>
        </is>
      </c>
      <c r="C2120" s="22" t="inlineStr">
        <is>
          <t>each</t>
        </is>
      </c>
      <c r="D2120" s="23" t="n">
        <v>10</v>
      </c>
      <c r="E2120" s="24" t="n">
        <v>20</v>
      </c>
      <c r="F2120" s="24">
        <f>D2120*E2120</f>
        <v/>
      </c>
      <c r="G2120" s="22" t="n"/>
    </row>
    <row r="2121">
      <c r="A2121" s="22" t="inlineStr">
        <is>
          <t>0685</t>
        </is>
      </c>
      <c r="B2121" s="11" t="inlineStr">
        <is>
          <t>Oxidised mild steel screws 25 mm</t>
        </is>
      </c>
      <c r="C2121" s="22" t="inlineStr">
        <is>
          <t>100 Nos</t>
        </is>
      </c>
      <c r="D2121" s="23" t="n">
        <v>0.4</v>
      </c>
      <c r="E2121" s="24" t="n">
        <v>36</v>
      </c>
      <c r="F2121" s="24">
        <f>D2121*E2121</f>
        <v/>
      </c>
      <c r="G2121" s="22" t="n"/>
    </row>
    <row r="2122">
      <c r="A2122" s="22" t="inlineStr">
        <is>
          <t>9977</t>
        </is>
      </c>
      <c r="B2122" s="11" t="inlineStr">
        <is>
          <t>Carriage of materials</t>
        </is>
      </c>
      <c r="C2122" s="22" t="inlineStr">
        <is>
          <t>L.S.</t>
        </is>
      </c>
      <c r="D2122" s="23" t="n">
        <v>2.73</v>
      </c>
      <c r="E2122" s="24" t="n">
        <v>2</v>
      </c>
      <c r="F2122" s="24">
        <f>D2122*E2122</f>
        <v/>
      </c>
      <c r="G2122" s="22" t="n"/>
    </row>
    <row r="2123">
      <c r="A2123" s="22" t="inlineStr">
        <is>
          <t>0112</t>
        </is>
      </c>
      <c r="B2123" s="11" t="inlineStr">
        <is>
          <t>Carpenter 2nd class</t>
        </is>
      </c>
      <c r="C2123" s="22" t="inlineStr">
        <is>
          <t>day</t>
        </is>
      </c>
      <c r="D2123" s="23" t="n">
        <v>0.06</v>
      </c>
      <c r="E2123" s="24" t="n">
        <v>679</v>
      </c>
      <c r="F2123" s="24">
        <f>D2123*E2123</f>
        <v/>
      </c>
      <c r="G2123" s="22" t="n"/>
    </row>
    <row r="2124">
      <c r="A2124" s="8" t="inlineStr">
        <is>
          <t>Calculated W - SUM of the Amount column above</t>
        </is>
      </c>
      <c r="B2124" s="9" t="n"/>
      <c r="C2124" s="9" t="n"/>
      <c r="D2124" s="9" t="n"/>
      <c r="E2124" s="9" t="n"/>
      <c r="F2124" s="25">
        <f>SUM(F2120:F2123)</f>
        <v/>
      </c>
      <c r="G2124" s="9" t="n"/>
    </row>
    <row r="2125">
      <c r="A2125" s="26" t="inlineStr">
        <is>
          <t>W as printed in the DAR</t>
        </is>
      </c>
      <c r="B2125" s="22" t="n"/>
      <c r="C2125" s="22" t="n"/>
      <c r="D2125" s="22" t="n"/>
      <c r="E2125" s="22" t="n"/>
      <c r="F2125" s="27" t="n">
        <v>260.6</v>
      </c>
      <c r="G2125" s="22" t="n"/>
    </row>
    <row r="2126">
      <c r="A2126" s="26" t="inlineStr">
        <is>
          <t>Difference (calculated - printed)</t>
        </is>
      </c>
      <c r="B2126" s="22" t="n"/>
      <c r="C2126" s="22" t="n"/>
      <c r="D2126" s="22" t="n"/>
      <c r="E2126" s="22" t="n"/>
      <c r="F2126" s="27">
        <f>F2124-F2125</f>
        <v/>
      </c>
      <c r="G2126" s="22" t="n"/>
    </row>
    <row r="2127">
      <c r="A2127" s="29" t="inlineStr">
        <is>
          <t>SAY (Rs.) - final DAR rate as printed (fixed value, not computed)</t>
        </is>
      </c>
      <c r="B2127" s="30" t="n"/>
      <c r="C2127" s="30" t="n"/>
      <c r="D2127" s="30" t="n"/>
      <c r="E2127" s="30" t="n"/>
      <c r="F2127" s="31" t="n">
        <v>34.85</v>
      </c>
      <c r="G2127" s="30" t="n"/>
    </row>
    <row r="2129" ht="18.5" customHeight="1">
      <c r="A2129" s="8" t="inlineStr">
        <is>
          <t>9.66</t>
        </is>
      </c>
      <c r="B2129" s="17" t="inlineStr">
        <is>
          <t>Providing and fixing ISI marked oxidised M.S. handles conforming to IS:4992 with necessary screws etc. complete :</t>
        </is>
      </c>
      <c r="C2129" s="9" t="n"/>
      <c r="D2129" s="9" t="n"/>
      <c r="E2129" s="9" t="n"/>
      <c r="F2129" s="9" t="n"/>
      <c r="G2129" s="9" t="n"/>
    </row>
    <row r="2130" ht="18.5" customHeight="1">
      <c r="A2130" s="18" t="inlineStr">
        <is>
          <t>9.66.2</t>
        </is>
      </c>
      <c r="B2130" s="19" t="inlineStr">
        <is>
          <t>100 mm</t>
        </is>
      </c>
      <c r="C2130" s="20" t="n"/>
      <c r="D2130" s="20" t="n"/>
      <c r="E2130" s="20" t="n"/>
      <c r="F2130" s="20" t="n"/>
      <c r="G2130" s="20" t="n"/>
    </row>
    <row r="2131">
      <c r="A2131" s="21" t="inlineStr">
        <is>
          <t>Details of cost for 10 nos   |   Source: CivilDAR_2019_Vol_1.pdf, page 521</t>
        </is>
      </c>
    </row>
    <row r="2132">
      <c r="A2132" s="5" t="inlineStr">
        <is>
          <t>Code</t>
        </is>
      </c>
      <c r="B2132" s="5" t="inlineStr">
        <is>
          <t>Description</t>
        </is>
      </c>
      <c r="C2132" s="5" t="inlineStr">
        <is>
          <t>Unit</t>
        </is>
      </c>
      <c r="D2132" s="5" t="inlineStr">
        <is>
          <t>Quantity</t>
        </is>
      </c>
      <c r="E2132" s="5" t="inlineStr">
        <is>
          <t>Rate (Rs.)</t>
        </is>
      </c>
      <c r="F2132" s="5" t="inlineStr">
        <is>
          <t>Amount (Rs.)</t>
        </is>
      </c>
      <c r="G2132" s="5" t="inlineStr">
        <is>
          <t>Note</t>
        </is>
      </c>
    </row>
    <row r="2133">
      <c r="A2133" s="22" t="inlineStr">
        <is>
          <t>0669</t>
        </is>
      </c>
      <c r="B2133" s="11" t="inlineStr">
        <is>
          <t>Oxidised mild steel handles 100 mm</t>
        </is>
      </c>
      <c r="C2133" s="22" t="inlineStr">
        <is>
          <t>each</t>
        </is>
      </c>
      <c r="D2133" s="23" t="n">
        <v>10</v>
      </c>
      <c r="E2133" s="24" t="n">
        <v>15</v>
      </c>
      <c r="F2133" s="24">
        <f>D2133*E2133</f>
        <v/>
      </c>
      <c r="G2133" s="22" t="n"/>
    </row>
    <row r="2134">
      <c r="A2134" s="22" t="inlineStr">
        <is>
          <t>0685</t>
        </is>
      </c>
      <c r="B2134" s="11" t="inlineStr">
        <is>
          <t>Oxidised mild steel screws 25 mm</t>
        </is>
      </c>
      <c r="C2134" s="22" t="inlineStr">
        <is>
          <t>100 Nos</t>
        </is>
      </c>
      <c r="D2134" s="23" t="n">
        <v>0.4</v>
      </c>
      <c r="E2134" s="24" t="n">
        <v>36</v>
      </c>
      <c r="F2134" s="24">
        <f>D2134*E2134</f>
        <v/>
      </c>
      <c r="G2134" s="22" t="n"/>
    </row>
    <row r="2135">
      <c r="A2135" s="22" t="inlineStr">
        <is>
          <t>9977</t>
        </is>
      </c>
      <c r="B2135" s="11" t="inlineStr">
        <is>
          <t>Carriage of materials</t>
        </is>
      </c>
      <c r="C2135" s="22" t="inlineStr">
        <is>
          <t>L.S.</t>
        </is>
      </c>
      <c r="D2135" s="23" t="n">
        <v>1.82</v>
      </c>
      <c r="E2135" s="24" t="n">
        <v>2</v>
      </c>
      <c r="F2135" s="24">
        <f>D2135*E2135</f>
        <v/>
      </c>
      <c r="G2135" s="22" t="n"/>
    </row>
    <row r="2136">
      <c r="A2136" s="22" t="inlineStr">
        <is>
          <t>0112</t>
        </is>
      </c>
      <c r="B2136" s="11" t="inlineStr">
        <is>
          <t>Carpenter 2nd class</t>
        </is>
      </c>
      <c r="C2136" s="22" t="inlineStr">
        <is>
          <t>day</t>
        </is>
      </c>
      <c r="D2136" s="23" t="n">
        <v>0.06</v>
      </c>
      <c r="E2136" s="24" t="n">
        <v>679</v>
      </c>
      <c r="F2136" s="24">
        <f>D2136*E2136</f>
        <v/>
      </c>
      <c r="G2136" s="22" t="n"/>
    </row>
    <row r="2137">
      <c r="A2137" s="8" t="inlineStr">
        <is>
          <t>Calculated W - SUM of the Amount column above</t>
        </is>
      </c>
      <c r="B2137" s="9" t="n"/>
      <c r="C2137" s="9" t="n"/>
      <c r="D2137" s="9" t="n"/>
      <c r="E2137" s="9" t="n"/>
      <c r="F2137" s="25">
        <f>SUM(F2133:F2136)</f>
        <v/>
      </c>
      <c r="G2137" s="9" t="n"/>
    </row>
    <row r="2138">
      <c r="A2138" s="26" t="inlineStr">
        <is>
          <t>W as printed in the DAR</t>
        </is>
      </c>
      <c r="B2138" s="22" t="n"/>
      <c r="C2138" s="22" t="n"/>
      <c r="D2138" s="22" t="n"/>
      <c r="E2138" s="22" t="n"/>
      <c r="F2138" s="27" t="n">
        <v>208.78</v>
      </c>
      <c r="G2138" s="22" t="n"/>
    </row>
    <row r="2139">
      <c r="A2139" s="26" t="inlineStr">
        <is>
          <t>Difference (calculated - printed)</t>
        </is>
      </c>
      <c r="B2139" s="22" t="n"/>
      <c r="C2139" s="22" t="n"/>
      <c r="D2139" s="22" t="n"/>
      <c r="E2139" s="22" t="n"/>
      <c r="F2139" s="27">
        <f>F2137-F2138</f>
        <v/>
      </c>
      <c r="G2139" s="22" t="n"/>
    </row>
    <row r="2140">
      <c r="A2140" s="29" t="inlineStr">
        <is>
          <t>SAY (Rs.) - final DAR rate as printed (fixed value, not computed)</t>
        </is>
      </c>
      <c r="B2140" s="30" t="n"/>
      <c r="C2140" s="30" t="n"/>
      <c r="D2140" s="30" t="n"/>
      <c r="E2140" s="30" t="n"/>
      <c r="F2140" s="31" t="n">
        <v>27.95</v>
      </c>
      <c r="G2140" s="30" t="n"/>
    </row>
    <row r="2142" ht="18.5" customHeight="1">
      <c r="A2142" s="8" t="inlineStr">
        <is>
          <t>9.66</t>
        </is>
      </c>
      <c r="B2142" s="17" t="inlineStr">
        <is>
          <t>Providing and fixing ISI marked oxidised M.S. handles conforming to IS:4992 with necessary screws etc. complete :</t>
        </is>
      </c>
      <c r="C2142" s="9" t="n"/>
      <c r="D2142" s="9" t="n"/>
      <c r="E2142" s="9" t="n"/>
      <c r="F2142" s="9" t="n"/>
      <c r="G2142" s="9" t="n"/>
    </row>
    <row r="2143" ht="18.5" customHeight="1">
      <c r="A2143" s="18" t="inlineStr">
        <is>
          <t>9.66.3</t>
        </is>
      </c>
      <c r="B2143" s="19" t="inlineStr">
        <is>
          <t>75 mm</t>
        </is>
      </c>
      <c r="C2143" s="20" t="n"/>
      <c r="D2143" s="20" t="n"/>
      <c r="E2143" s="20" t="n"/>
      <c r="F2143" s="20" t="n"/>
      <c r="G2143" s="20" t="n"/>
    </row>
    <row r="2144">
      <c r="A2144" s="21" t="inlineStr">
        <is>
          <t>Details of cost for 10 nos   |   Source: CivilDAR_2019_Vol_1.pdf, page 522</t>
        </is>
      </c>
    </row>
    <row r="2145">
      <c r="A2145" s="5" t="inlineStr">
        <is>
          <t>Code</t>
        </is>
      </c>
      <c r="B2145" s="5" t="inlineStr">
        <is>
          <t>Description</t>
        </is>
      </c>
      <c r="C2145" s="5" t="inlineStr">
        <is>
          <t>Unit</t>
        </is>
      </c>
      <c r="D2145" s="5" t="inlineStr">
        <is>
          <t>Quantity</t>
        </is>
      </c>
      <c r="E2145" s="5" t="inlineStr">
        <is>
          <t>Rate (Rs.)</t>
        </is>
      </c>
      <c r="F2145" s="5" t="inlineStr">
        <is>
          <t>Amount (Rs.)</t>
        </is>
      </c>
      <c r="G2145" s="5" t="inlineStr">
        <is>
          <t>Note</t>
        </is>
      </c>
    </row>
    <row r="2146">
      <c r="A2146" s="22" t="inlineStr">
        <is>
          <t>0670</t>
        </is>
      </c>
      <c r="B2146" s="11" t="inlineStr">
        <is>
          <t>Oxidised mild steel handles75 mm</t>
        </is>
      </c>
      <c r="C2146" s="22" t="inlineStr">
        <is>
          <t>each</t>
        </is>
      </c>
      <c r="D2146" s="23" t="n">
        <v>10</v>
      </c>
      <c r="E2146" s="24" t="n">
        <v>12</v>
      </c>
      <c r="F2146" s="24">
        <f>D2146*E2146</f>
        <v/>
      </c>
      <c r="G2146" s="22" t="n"/>
    </row>
    <row r="2147">
      <c r="A2147" s="22" t="inlineStr">
        <is>
          <t>0685</t>
        </is>
      </c>
      <c r="B2147" s="11" t="inlineStr">
        <is>
          <t>Oxidised mild steel screws 25 mm</t>
        </is>
      </c>
      <c r="C2147" s="22" t="inlineStr">
        <is>
          <t>100 Nos</t>
        </is>
      </c>
      <c r="D2147" s="23" t="n">
        <v>0.4</v>
      </c>
      <c r="E2147" s="24" t="n">
        <v>36</v>
      </c>
      <c r="F2147" s="24">
        <f>D2147*E2147</f>
        <v/>
      </c>
      <c r="G2147" s="22" t="n"/>
    </row>
    <row r="2148">
      <c r="A2148" s="22" t="inlineStr">
        <is>
          <t>9977</t>
        </is>
      </c>
      <c r="B2148" s="11" t="inlineStr">
        <is>
          <t>Carriage of materials</t>
        </is>
      </c>
      <c r="C2148" s="22" t="inlineStr">
        <is>
          <t>L.S.</t>
        </is>
      </c>
      <c r="D2148" s="23" t="n">
        <v>1.82</v>
      </c>
      <c r="E2148" s="24" t="n">
        <v>2</v>
      </c>
      <c r="F2148" s="24">
        <f>D2148*E2148</f>
        <v/>
      </c>
      <c r="G2148" s="22" t="n"/>
    </row>
    <row r="2149">
      <c r="A2149" s="22" t="inlineStr">
        <is>
          <t>0112</t>
        </is>
      </c>
      <c r="B2149" s="11" t="inlineStr">
        <is>
          <t>Carpenter 2nd class</t>
        </is>
      </c>
      <c r="C2149" s="22" t="inlineStr">
        <is>
          <t>day</t>
        </is>
      </c>
      <c r="D2149" s="23" t="n">
        <v>0.06</v>
      </c>
      <c r="E2149" s="24" t="n">
        <v>679</v>
      </c>
      <c r="F2149" s="24">
        <f>D2149*E2149</f>
        <v/>
      </c>
      <c r="G2149" s="22" t="n"/>
    </row>
    <row r="2150">
      <c r="A2150" s="8" t="inlineStr">
        <is>
          <t>Calculated W - SUM of the Amount column above</t>
        </is>
      </c>
      <c r="B2150" s="9" t="n"/>
      <c r="C2150" s="9" t="n"/>
      <c r="D2150" s="9" t="n"/>
      <c r="E2150" s="9" t="n"/>
      <c r="F2150" s="25">
        <f>SUM(F2146:F2149)</f>
        <v/>
      </c>
      <c r="G2150" s="9" t="n"/>
    </row>
    <row r="2151">
      <c r="A2151" s="26" t="inlineStr">
        <is>
          <t>W as printed in the DAR</t>
        </is>
      </c>
      <c r="B2151" s="22" t="n"/>
      <c r="C2151" s="22" t="n"/>
      <c r="D2151" s="22" t="n"/>
      <c r="E2151" s="22" t="n"/>
      <c r="F2151" s="27" t="n">
        <v>178.78</v>
      </c>
      <c r="G2151" s="22" t="n"/>
    </row>
    <row r="2152">
      <c r="A2152" s="26" t="inlineStr">
        <is>
          <t>Difference (calculated - printed)</t>
        </is>
      </c>
      <c r="B2152" s="22" t="n"/>
      <c r="C2152" s="22" t="n"/>
      <c r="D2152" s="22" t="n"/>
      <c r="E2152" s="22" t="n"/>
      <c r="F2152" s="27">
        <f>F2150-F2151</f>
        <v/>
      </c>
      <c r="G2152" s="22" t="n"/>
    </row>
    <row r="2153">
      <c r="A2153" s="29" t="inlineStr">
        <is>
          <t>SAY (Rs.) - final DAR rate as printed (fixed value, not computed)</t>
        </is>
      </c>
      <c r="B2153" s="30" t="n"/>
      <c r="C2153" s="30" t="n"/>
      <c r="D2153" s="30" t="n"/>
      <c r="E2153" s="30" t="n"/>
      <c r="F2153" s="31" t="n">
        <v>23.9</v>
      </c>
      <c r="G2153" s="30" t="n"/>
    </row>
    <row r="2155" ht="18.5" customHeight="1">
      <c r="A2155" s="8" t="inlineStr">
        <is>
          <t>9.67</t>
        </is>
      </c>
      <c r="B2155" s="17" t="inlineStr">
        <is>
          <t>Providing and fixing oxidised M.S. hasp and staple (safety type) conforming to IS : 363 with necessary screws etc. complete :</t>
        </is>
      </c>
      <c r="C2155" s="9" t="n"/>
      <c r="D2155" s="9" t="n"/>
      <c r="E2155" s="9" t="n"/>
      <c r="F2155" s="9" t="n"/>
      <c r="G2155" s="9" t="n"/>
    </row>
    <row r="2156" ht="18.5" customHeight="1">
      <c r="A2156" s="18" t="inlineStr">
        <is>
          <t>9.67.1</t>
        </is>
      </c>
      <c r="B2156" s="19" t="inlineStr">
        <is>
          <t>150 mm</t>
        </is>
      </c>
      <c r="C2156" s="20" t="n"/>
      <c r="D2156" s="20" t="n"/>
      <c r="E2156" s="20" t="n"/>
      <c r="F2156" s="20" t="n"/>
      <c r="G2156" s="20" t="n"/>
    </row>
    <row r="2157">
      <c r="A2157" s="21" t="inlineStr">
        <is>
          <t>Details of cost for 10 nos   |   Source: CivilDAR_2019_Vol_1.pdf, page 522</t>
        </is>
      </c>
    </row>
    <row r="2158">
      <c r="A2158" s="5" t="inlineStr">
        <is>
          <t>Code</t>
        </is>
      </c>
      <c r="B2158" s="5" t="inlineStr">
        <is>
          <t>Description</t>
        </is>
      </c>
      <c r="C2158" s="5" t="inlineStr">
        <is>
          <t>Unit</t>
        </is>
      </c>
      <c r="D2158" s="5" t="inlineStr">
        <is>
          <t>Quantity</t>
        </is>
      </c>
      <c r="E2158" s="5" t="inlineStr">
        <is>
          <t>Rate (Rs.)</t>
        </is>
      </c>
      <c r="F2158" s="5" t="inlineStr">
        <is>
          <t>Amount (Rs.)</t>
        </is>
      </c>
      <c r="G2158" s="5" t="inlineStr">
        <is>
          <t>Note</t>
        </is>
      </c>
    </row>
    <row r="2159">
      <c r="A2159" s="22" t="inlineStr">
        <is>
          <t>0679</t>
        </is>
      </c>
      <c r="B2159" s="11" t="inlineStr">
        <is>
          <t>Oxidised mild steel hasps and staples (safety type) 150 mm</t>
        </is>
      </c>
      <c r="C2159" s="22" t="inlineStr">
        <is>
          <t>10 Nos</t>
        </is>
      </c>
      <c r="D2159" s="23" t="n">
        <v>1</v>
      </c>
      <c r="E2159" s="24" t="n">
        <v>128</v>
      </c>
      <c r="F2159" s="24">
        <f>D2159*E2159</f>
        <v/>
      </c>
      <c r="G2159" s="22" t="n"/>
    </row>
    <row r="2160">
      <c r="A2160" s="22" t="inlineStr">
        <is>
          <t>0685</t>
        </is>
      </c>
      <c r="B2160" s="11" t="inlineStr">
        <is>
          <t>Oxidised mild steel screws 25 mm</t>
        </is>
      </c>
      <c r="C2160" s="22" t="inlineStr">
        <is>
          <t>100 Nos</t>
        </is>
      </c>
      <c r="D2160" s="23" t="n">
        <v>0.8</v>
      </c>
      <c r="E2160" s="24" t="n">
        <v>36</v>
      </c>
      <c r="F2160" s="24">
        <f>D2160*E2160</f>
        <v/>
      </c>
      <c r="G2160" s="22" t="n"/>
    </row>
    <row r="2161">
      <c r="A2161" s="22" t="inlineStr">
        <is>
          <t>9977</t>
        </is>
      </c>
      <c r="B2161" s="11" t="inlineStr">
        <is>
          <t>Carriage of materials</t>
        </is>
      </c>
      <c r="C2161" s="22" t="inlineStr">
        <is>
          <t>L.S.</t>
        </is>
      </c>
      <c r="D2161" s="23" t="n">
        <v>1.82</v>
      </c>
      <c r="E2161" s="24" t="n">
        <v>2</v>
      </c>
      <c r="F2161" s="24">
        <f>D2161*E2161</f>
        <v/>
      </c>
      <c r="G2161" s="22" t="n"/>
    </row>
    <row r="2162">
      <c r="A2162" s="22" t="inlineStr">
        <is>
          <t>0112</t>
        </is>
      </c>
      <c r="B2162" s="11" t="inlineStr">
        <is>
          <t>Carpenter 2nd class</t>
        </is>
      </c>
      <c r="C2162" s="22" t="inlineStr">
        <is>
          <t>day</t>
        </is>
      </c>
      <c r="D2162" s="23" t="n">
        <v>0.08</v>
      </c>
      <c r="E2162" s="24" t="n">
        <v>679</v>
      </c>
      <c r="F2162" s="24">
        <f>D2162*E2162</f>
        <v/>
      </c>
      <c r="G2162" s="22" t="n"/>
    </row>
    <row r="2163">
      <c r="A2163" s="8" t="inlineStr">
        <is>
          <t>Calculated W - SUM of the Amount column above</t>
        </is>
      </c>
      <c r="B2163" s="9" t="n"/>
      <c r="C2163" s="9" t="n"/>
      <c r="D2163" s="9" t="n"/>
      <c r="E2163" s="9" t="n"/>
      <c r="F2163" s="25">
        <f>SUM(F2159:F2162)</f>
        <v/>
      </c>
      <c r="G2163" s="9" t="n"/>
    </row>
    <row r="2164">
      <c r="A2164" s="26" t="inlineStr">
        <is>
          <t>W as printed in the DAR</t>
        </is>
      </c>
      <c r="B2164" s="22" t="n"/>
      <c r="C2164" s="22" t="n"/>
      <c r="D2164" s="22" t="n"/>
      <c r="E2164" s="22" t="n"/>
      <c r="F2164" s="27" t="n">
        <v>214.76</v>
      </c>
      <c r="G2164" s="22" t="n"/>
    </row>
    <row r="2165">
      <c r="A2165" s="26" t="inlineStr">
        <is>
          <t>Difference (calculated - printed)</t>
        </is>
      </c>
      <c r="B2165" s="22" t="n"/>
      <c r="C2165" s="22" t="n"/>
      <c r="D2165" s="22" t="n"/>
      <c r="E2165" s="22" t="n"/>
      <c r="F2165" s="27">
        <f>F2163-F2164</f>
        <v/>
      </c>
      <c r="G2165" s="22" t="n"/>
    </row>
    <row r="2166">
      <c r="A2166" s="29" t="inlineStr">
        <is>
          <t>SAY (Rs.) - final DAR rate as printed (fixed value, not computed)</t>
        </is>
      </c>
      <c r="B2166" s="30" t="n"/>
      <c r="C2166" s="30" t="n"/>
      <c r="D2166" s="30" t="n"/>
      <c r="E2166" s="30" t="n"/>
      <c r="F2166" s="31" t="n">
        <v>28.75</v>
      </c>
      <c r="G2166" s="30" t="n"/>
    </row>
    <row r="2168" ht="18.5" customHeight="1">
      <c r="A2168" s="8" t="inlineStr">
        <is>
          <t>9.67</t>
        </is>
      </c>
      <c r="B2168" s="17" t="inlineStr">
        <is>
          <t>Providing and fixing oxidised M.S. hasp and staple (safety type) conforming to IS : 363 with necessary screws etc. complete :</t>
        </is>
      </c>
      <c r="C2168" s="9" t="n"/>
      <c r="D2168" s="9" t="n"/>
      <c r="E2168" s="9" t="n"/>
      <c r="F2168" s="9" t="n"/>
      <c r="G2168" s="9" t="n"/>
    </row>
    <row r="2169" ht="18.5" customHeight="1">
      <c r="A2169" s="18" t="inlineStr">
        <is>
          <t>9.67.2</t>
        </is>
      </c>
      <c r="B2169" s="19" t="inlineStr">
        <is>
          <t>115 mm</t>
        </is>
      </c>
      <c r="C2169" s="20" t="n"/>
      <c r="D2169" s="20" t="n"/>
      <c r="E2169" s="20" t="n"/>
      <c r="F2169" s="20" t="n"/>
      <c r="G2169" s="20" t="n"/>
    </row>
    <row r="2170">
      <c r="A2170" s="21" t="inlineStr">
        <is>
          <t>Details of cost for 10 nos   |   Source: CivilDAR_2019_Vol_1.pdf, page 523</t>
        </is>
      </c>
    </row>
    <row r="2171">
      <c r="A2171" s="5" t="inlineStr">
        <is>
          <t>Code</t>
        </is>
      </c>
      <c r="B2171" s="5" t="inlineStr">
        <is>
          <t>Description</t>
        </is>
      </c>
      <c r="C2171" s="5" t="inlineStr">
        <is>
          <t>Unit</t>
        </is>
      </c>
      <c r="D2171" s="5" t="inlineStr">
        <is>
          <t>Quantity</t>
        </is>
      </c>
      <c r="E2171" s="5" t="inlineStr">
        <is>
          <t>Rate (Rs.)</t>
        </is>
      </c>
      <c r="F2171" s="5" t="inlineStr">
        <is>
          <t>Amount (Rs.)</t>
        </is>
      </c>
      <c r="G2171" s="5" t="inlineStr">
        <is>
          <t>Note</t>
        </is>
      </c>
    </row>
    <row r="2172">
      <c r="A2172" s="22" t="inlineStr">
        <is>
          <t>0680</t>
        </is>
      </c>
      <c r="B2172" s="11" t="inlineStr">
        <is>
          <t>Oxidised mild steel hasps and staples (safety type) 115 mm</t>
        </is>
      </c>
      <c r="C2172" s="22" t="inlineStr">
        <is>
          <t>10 Nos</t>
        </is>
      </c>
      <c r="D2172" s="23" t="n">
        <v>1</v>
      </c>
      <c r="E2172" s="24" t="n">
        <v>108</v>
      </c>
      <c r="F2172" s="24">
        <f>D2172*E2172</f>
        <v/>
      </c>
      <c r="G2172" s="22" t="n"/>
    </row>
    <row r="2173">
      <c r="A2173" s="22" t="inlineStr">
        <is>
          <t>0685</t>
        </is>
      </c>
      <c r="B2173" s="11" t="inlineStr">
        <is>
          <t>Oxidised mild steel screws 25 mm</t>
        </is>
      </c>
      <c r="C2173" s="22" t="inlineStr">
        <is>
          <t>100 Nos</t>
        </is>
      </c>
      <c r="D2173" s="23" t="n">
        <v>0.7</v>
      </c>
      <c r="E2173" s="24" t="n">
        <v>36</v>
      </c>
      <c r="F2173" s="24">
        <f>D2173*E2173</f>
        <v/>
      </c>
      <c r="G2173" s="22" t="n"/>
    </row>
    <row r="2174">
      <c r="A2174" s="22" t="inlineStr">
        <is>
          <t>9977</t>
        </is>
      </c>
      <c r="B2174" s="11" t="inlineStr">
        <is>
          <t>Carriage of materials</t>
        </is>
      </c>
      <c r="C2174" s="22" t="inlineStr">
        <is>
          <t>L.S.</t>
        </is>
      </c>
      <c r="D2174" s="23" t="n">
        <v>1.82</v>
      </c>
      <c r="E2174" s="24" t="n">
        <v>2</v>
      </c>
      <c r="F2174" s="24">
        <f>D2174*E2174</f>
        <v/>
      </c>
      <c r="G2174" s="22" t="n"/>
    </row>
    <row r="2175">
      <c r="A2175" s="22" t="inlineStr">
        <is>
          <t>0112</t>
        </is>
      </c>
      <c r="B2175" s="11" t="inlineStr">
        <is>
          <t>Carpenter 2nd class</t>
        </is>
      </c>
      <c r="C2175" s="22" t="inlineStr">
        <is>
          <t>day</t>
        </is>
      </c>
      <c r="D2175" s="23" t="n">
        <v>0.08</v>
      </c>
      <c r="E2175" s="24" t="n">
        <v>679</v>
      </c>
      <c r="F2175" s="24">
        <f>D2175*E2175</f>
        <v/>
      </c>
      <c r="G2175" s="22" t="n"/>
    </row>
    <row r="2176">
      <c r="A2176" s="8" t="inlineStr">
        <is>
          <t>Calculated W - SUM of the Amount column above</t>
        </is>
      </c>
      <c r="B2176" s="9" t="n"/>
      <c r="C2176" s="9" t="n"/>
      <c r="D2176" s="9" t="n"/>
      <c r="E2176" s="9" t="n"/>
      <c r="F2176" s="25">
        <f>SUM(F2172:F2175)</f>
        <v/>
      </c>
      <c r="G2176" s="9" t="n"/>
    </row>
    <row r="2177">
      <c r="A2177" s="26" t="inlineStr">
        <is>
          <t>W as printed in the DAR</t>
        </is>
      </c>
      <c r="B2177" s="22" t="n"/>
      <c r="C2177" s="22" t="n"/>
      <c r="D2177" s="22" t="n"/>
      <c r="E2177" s="22" t="n"/>
      <c r="F2177" s="27" t="n">
        <v>191.16</v>
      </c>
      <c r="G2177" s="22" t="n"/>
    </row>
    <row r="2178">
      <c r="A2178" s="26" t="inlineStr">
        <is>
          <t>Difference (calculated - printed)</t>
        </is>
      </c>
      <c r="B2178" s="22" t="n"/>
      <c r="C2178" s="22" t="n"/>
      <c r="D2178" s="22" t="n"/>
      <c r="E2178" s="22" t="n"/>
      <c r="F2178" s="27">
        <f>F2176-F2177</f>
        <v/>
      </c>
      <c r="G2178" s="22" t="n"/>
    </row>
    <row r="2179">
      <c r="A2179" s="29" t="inlineStr">
        <is>
          <t>SAY (Rs.) - final DAR rate as printed (fixed value, not computed)</t>
        </is>
      </c>
      <c r="B2179" s="30" t="n"/>
      <c r="C2179" s="30" t="n"/>
      <c r="D2179" s="30" t="n"/>
      <c r="E2179" s="30" t="n"/>
      <c r="F2179" s="31" t="n">
        <v>25.6</v>
      </c>
      <c r="G2179" s="30" t="n"/>
    </row>
    <row r="2181" ht="18.5" customHeight="1">
      <c r="A2181" s="8" t="inlineStr">
        <is>
          <t>9.67</t>
        </is>
      </c>
      <c r="B2181" s="17" t="inlineStr">
        <is>
          <t>Providing and fixing oxidised M.S. hasp and staple (safety type) conforming to IS : 363 with necessary screws etc. complete :</t>
        </is>
      </c>
      <c r="C2181" s="9" t="n"/>
      <c r="D2181" s="9" t="n"/>
      <c r="E2181" s="9" t="n"/>
      <c r="F2181" s="9" t="n"/>
      <c r="G2181" s="9" t="n"/>
    </row>
    <row r="2182" ht="18.5" customHeight="1">
      <c r="A2182" s="18" t="inlineStr">
        <is>
          <t>9.67.3</t>
        </is>
      </c>
      <c r="B2182" s="19" t="inlineStr">
        <is>
          <t>90 mm</t>
        </is>
      </c>
      <c r="C2182" s="20" t="n"/>
      <c r="D2182" s="20" t="n"/>
      <c r="E2182" s="20" t="n"/>
      <c r="F2182" s="20" t="n"/>
      <c r="G2182" s="20" t="n"/>
    </row>
    <row r="2183">
      <c r="A2183" s="21" t="inlineStr">
        <is>
          <t>Details of cost for 10 nos   |   Source: CivilDAR_2019_Vol_1.pdf, page 523</t>
        </is>
      </c>
    </row>
    <row r="2184">
      <c r="A2184" s="5" t="inlineStr">
        <is>
          <t>Code</t>
        </is>
      </c>
      <c r="B2184" s="5" t="inlineStr">
        <is>
          <t>Description</t>
        </is>
      </c>
      <c r="C2184" s="5" t="inlineStr">
        <is>
          <t>Unit</t>
        </is>
      </c>
      <c r="D2184" s="5" t="inlineStr">
        <is>
          <t>Quantity</t>
        </is>
      </c>
      <c r="E2184" s="5" t="inlineStr">
        <is>
          <t>Rate (Rs.)</t>
        </is>
      </c>
      <c r="F2184" s="5" t="inlineStr">
        <is>
          <t>Amount (Rs.)</t>
        </is>
      </c>
      <c r="G2184" s="5" t="inlineStr">
        <is>
          <t>Note</t>
        </is>
      </c>
    </row>
    <row r="2185">
      <c r="A2185" s="22" t="inlineStr">
        <is>
          <t>0681</t>
        </is>
      </c>
      <c r="B2185" s="11" t="inlineStr">
        <is>
          <t>Oxidised mild steel hasps and staples (safety type) 90 mm</t>
        </is>
      </c>
      <c r="C2185" s="22" t="inlineStr">
        <is>
          <t>10 Nos</t>
        </is>
      </c>
      <c r="D2185" s="23" t="n">
        <v>1</v>
      </c>
      <c r="E2185" s="24" t="n">
        <v>79</v>
      </c>
      <c r="F2185" s="24">
        <f>D2185*E2185</f>
        <v/>
      </c>
      <c r="G2185" s="22" t="n"/>
    </row>
    <row r="2186">
      <c r="A2186" s="22" t="inlineStr">
        <is>
          <t>0685</t>
        </is>
      </c>
      <c r="B2186" s="11" t="inlineStr">
        <is>
          <t>Oxidised mild steel screws 25 mm</t>
        </is>
      </c>
      <c r="C2186" s="22" t="inlineStr">
        <is>
          <t>100 Nos</t>
        </is>
      </c>
      <c r="D2186" s="23" t="n">
        <v>0.7</v>
      </c>
      <c r="E2186" s="24" t="n">
        <v>36</v>
      </c>
      <c r="F2186" s="24">
        <f>D2186*E2186</f>
        <v/>
      </c>
      <c r="G2186" s="22" t="n"/>
    </row>
    <row r="2187">
      <c r="A2187" s="22" t="inlineStr">
        <is>
          <t>9977</t>
        </is>
      </c>
      <c r="B2187" s="11" t="inlineStr">
        <is>
          <t>Carriage of materials</t>
        </is>
      </c>
      <c r="C2187" s="22" t="inlineStr">
        <is>
          <t>L.S.</t>
        </is>
      </c>
      <c r="D2187" s="23" t="n">
        <v>1.82</v>
      </c>
      <c r="E2187" s="24" t="n">
        <v>2</v>
      </c>
      <c r="F2187" s="24">
        <f>D2187*E2187</f>
        <v/>
      </c>
      <c r="G2187" s="22" t="n"/>
    </row>
    <row r="2188">
      <c r="A2188" s="22" t="inlineStr">
        <is>
          <t>0112</t>
        </is>
      </c>
      <c r="B2188" s="11" t="inlineStr">
        <is>
          <t>Carpenter 2nd class</t>
        </is>
      </c>
      <c r="C2188" s="22" t="inlineStr">
        <is>
          <t>day</t>
        </is>
      </c>
      <c r="D2188" s="23" t="n">
        <v>0.08</v>
      </c>
      <c r="E2188" s="24" t="n">
        <v>679</v>
      </c>
      <c r="F2188" s="24">
        <f>D2188*E2188</f>
        <v/>
      </c>
      <c r="G2188" s="22" t="n"/>
    </row>
    <row r="2189">
      <c r="A2189" s="8" t="inlineStr">
        <is>
          <t>Calculated W - SUM of the Amount column above</t>
        </is>
      </c>
      <c r="B2189" s="9" t="n"/>
      <c r="C2189" s="9" t="n"/>
      <c r="D2189" s="9" t="n"/>
      <c r="E2189" s="9" t="n"/>
      <c r="F2189" s="25">
        <f>SUM(F2185:F2188)</f>
        <v/>
      </c>
      <c r="G2189" s="9" t="n"/>
    </row>
    <row r="2190">
      <c r="A2190" s="26" t="inlineStr">
        <is>
          <t>W as printed in the DAR</t>
        </is>
      </c>
      <c r="B2190" s="22" t="n"/>
      <c r="C2190" s="22" t="n"/>
      <c r="D2190" s="22" t="n"/>
      <c r="E2190" s="22" t="n"/>
      <c r="F2190" s="27" t="n">
        <v>162.16</v>
      </c>
      <c r="G2190" s="22" t="n"/>
    </row>
    <row r="2191">
      <c r="A2191" s="26" t="inlineStr">
        <is>
          <t>Difference (calculated - printed)</t>
        </is>
      </c>
      <c r="B2191" s="22" t="n"/>
      <c r="C2191" s="22" t="n"/>
      <c r="D2191" s="22" t="n"/>
      <c r="E2191" s="22" t="n"/>
      <c r="F2191" s="27">
        <f>F2189-F2190</f>
        <v/>
      </c>
      <c r="G2191" s="22" t="n"/>
    </row>
    <row r="2192">
      <c r="A2192" s="29" t="inlineStr">
        <is>
          <t>SAY (Rs.) - final DAR rate as printed (fixed value, not computed)</t>
        </is>
      </c>
      <c r="B2192" s="30" t="n"/>
      <c r="C2192" s="30" t="n"/>
      <c r="D2192" s="30" t="n"/>
      <c r="E2192" s="30" t="n"/>
      <c r="F2192" s="31" t="n">
        <v>21.7</v>
      </c>
      <c r="G2192" s="30" t="n"/>
    </row>
    <row r="2194" ht="18.5" customHeight="1">
      <c r="A2194" s="8" t="inlineStr">
        <is>
          <t>9.68</t>
        </is>
      </c>
      <c r="B2194" s="17" t="inlineStr">
        <is>
          <t>Providing and fixing oxidised M.S. casement stays (straight peg type) with necessary screws etc. complete.</t>
        </is>
      </c>
      <c r="C2194" s="9" t="n"/>
      <c r="D2194" s="9" t="n"/>
      <c r="E2194" s="9" t="n"/>
      <c r="F2194" s="9" t="n"/>
      <c r="G2194" s="9" t="n"/>
    </row>
    <row r="2195" ht="18.5" customHeight="1">
      <c r="A2195" s="18" t="inlineStr">
        <is>
          <t>9.68.1</t>
        </is>
      </c>
      <c r="B2195" s="19" t="inlineStr">
        <is>
          <t>300 mm weighing not less than 200 gms</t>
        </is>
      </c>
      <c r="C2195" s="20" t="n"/>
      <c r="D2195" s="20" t="n"/>
      <c r="E2195" s="20" t="n"/>
      <c r="F2195" s="20" t="n"/>
      <c r="G2195" s="20" t="n"/>
    </row>
    <row r="2196">
      <c r="A2196" s="21" t="inlineStr">
        <is>
          <t>Details of cost for 10 nos   |   Source: CivilDAR_2019_Vol_1.pdf, page 524</t>
        </is>
      </c>
    </row>
    <row r="2197">
      <c r="A2197" s="5" t="inlineStr">
        <is>
          <t>Code</t>
        </is>
      </c>
      <c r="B2197" s="5" t="inlineStr">
        <is>
          <t>Description</t>
        </is>
      </c>
      <c r="C2197" s="5" t="inlineStr">
        <is>
          <t>Unit</t>
        </is>
      </c>
      <c r="D2197" s="5" t="inlineStr">
        <is>
          <t>Quantity</t>
        </is>
      </c>
      <c r="E2197" s="5" t="inlineStr">
        <is>
          <t>Rate (Rs.)</t>
        </is>
      </c>
      <c r="F2197" s="5" t="inlineStr">
        <is>
          <t>Amount (Rs.)</t>
        </is>
      </c>
      <c r="G2197" s="5" t="inlineStr">
        <is>
          <t>Note</t>
        </is>
      </c>
    </row>
    <row r="2198">
      <c r="A2198" s="22" t="inlineStr">
        <is>
          <t>7063</t>
        </is>
      </c>
      <c r="B2198" s="11" t="inlineStr">
        <is>
          <t>Oxidised M.S.casement stay (straight peg type) 300 mm not less than 0.33 kg</t>
        </is>
      </c>
      <c r="C2198" s="22" t="inlineStr">
        <is>
          <t>each</t>
        </is>
      </c>
      <c r="D2198" s="23" t="n">
        <v>10</v>
      </c>
      <c r="E2198" s="24" t="n">
        <v>35</v>
      </c>
      <c r="F2198" s="24">
        <f>D2198*E2198</f>
        <v/>
      </c>
      <c r="G2198" s="22" t="n"/>
    </row>
    <row r="2199">
      <c r="A2199" s="22" t="inlineStr">
        <is>
          <t>0684</t>
        </is>
      </c>
      <c r="B2199" s="11" t="inlineStr">
        <is>
          <t>Oxidised mild steel screws 30 mm</t>
        </is>
      </c>
      <c r="C2199" s="22" t="inlineStr">
        <is>
          <t>100 Nos</t>
        </is>
      </c>
      <c r="D2199" s="23" t="n">
        <v>0.4</v>
      </c>
      <c r="E2199" s="24" t="n">
        <v>49</v>
      </c>
      <c r="F2199" s="24">
        <f>D2199*E2199</f>
        <v/>
      </c>
      <c r="G2199" s="22" t="n"/>
    </row>
    <row r="2200">
      <c r="A2200" s="22" t="inlineStr">
        <is>
          <t>9977</t>
        </is>
      </c>
      <c r="B2200" s="11" t="inlineStr">
        <is>
          <t>Carriage of materials</t>
        </is>
      </c>
      <c r="C2200" s="22" t="inlineStr">
        <is>
          <t>L.S.</t>
        </is>
      </c>
      <c r="D2200" s="23" t="n">
        <v>0.91</v>
      </c>
      <c r="E2200" s="24" t="n">
        <v>2</v>
      </c>
      <c r="F2200" s="24">
        <f>D2200*E2200</f>
        <v/>
      </c>
      <c r="G2200" s="22" t="n"/>
    </row>
    <row r="2201">
      <c r="A2201" s="22" t="inlineStr">
        <is>
          <t>0112</t>
        </is>
      </c>
      <c r="B2201" s="11" t="inlineStr">
        <is>
          <t>Carpenter 2nd class</t>
        </is>
      </c>
      <c r="C2201" s="22" t="inlineStr">
        <is>
          <t>day</t>
        </is>
      </c>
      <c r="D2201" s="23" t="n">
        <v>0.1</v>
      </c>
      <c r="E2201" s="24" t="n">
        <v>679</v>
      </c>
      <c r="F2201" s="24">
        <f>D2201*E2201</f>
        <v/>
      </c>
      <c r="G2201" s="22" t="n"/>
    </row>
    <row r="2202">
      <c r="A2202" s="8" t="inlineStr">
        <is>
          <t>Calculated W - SUM of the Amount column above</t>
        </is>
      </c>
      <c r="B2202" s="9" t="n"/>
      <c r="C2202" s="9" t="n"/>
      <c r="D2202" s="9" t="n"/>
      <c r="E2202" s="9" t="n"/>
      <c r="F2202" s="25">
        <f>SUM(F2198:F2201)</f>
        <v/>
      </c>
      <c r="G2202" s="9" t="n"/>
    </row>
    <row r="2203">
      <c r="A2203" s="26" t="inlineStr">
        <is>
          <t>W as printed in the DAR</t>
        </is>
      </c>
      <c r="B2203" s="22" t="n"/>
      <c r="C2203" s="22" t="n"/>
      <c r="D2203" s="22" t="n"/>
      <c r="E2203" s="22" t="n"/>
      <c r="F2203" s="27" t="n">
        <v>439.32</v>
      </c>
      <c r="G2203" s="22" t="n"/>
    </row>
    <row r="2204">
      <c r="A2204" s="26" t="inlineStr">
        <is>
          <t>Difference (calculated - printed)</t>
        </is>
      </c>
      <c r="B2204" s="22" t="n"/>
      <c r="C2204" s="22" t="n"/>
      <c r="D2204" s="22" t="n"/>
      <c r="E2204" s="22" t="n"/>
      <c r="F2204" s="27">
        <f>F2202-F2203</f>
        <v/>
      </c>
      <c r="G2204" s="22" t="n"/>
    </row>
    <row r="2205">
      <c r="A2205" s="29" t="inlineStr">
        <is>
          <t>SAY (Rs.) - final DAR rate as printed (fixed value, not computed)</t>
        </is>
      </c>
      <c r="B2205" s="30" t="n"/>
      <c r="C2205" s="30" t="n"/>
      <c r="D2205" s="30" t="n"/>
      <c r="E2205" s="30" t="n"/>
      <c r="F2205" s="31" t="n">
        <v>58.8</v>
      </c>
      <c r="G2205" s="30" t="n"/>
    </row>
    <row r="2207" ht="18.5" customHeight="1">
      <c r="A2207" s="8" t="inlineStr">
        <is>
          <t>9.68</t>
        </is>
      </c>
      <c r="B2207" s="17" t="inlineStr">
        <is>
          <t>Providing and fixing oxidised M.S. casement stays (straight peg type) with necessary screws etc. complete.</t>
        </is>
      </c>
      <c r="C2207" s="9" t="n"/>
      <c r="D2207" s="9" t="n"/>
      <c r="E2207" s="9" t="n"/>
      <c r="F2207" s="9" t="n"/>
      <c r="G2207" s="9" t="n"/>
    </row>
    <row r="2208" ht="18.5" customHeight="1">
      <c r="A2208" s="18" t="inlineStr">
        <is>
          <t>9.68.2</t>
        </is>
      </c>
      <c r="B2208" s="19" t="inlineStr">
        <is>
          <t>250 mm weighing not less than 150 gms</t>
        </is>
      </c>
      <c r="C2208" s="20" t="n"/>
      <c r="D2208" s="20" t="n"/>
      <c r="E2208" s="20" t="n"/>
      <c r="F2208" s="20" t="n"/>
      <c r="G2208" s="20" t="n"/>
    </row>
    <row r="2209">
      <c r="A2209" s="21" t="inlineStr">
        <is>
          <t>Details of cost for 10 nos   |   Source: CivilDAR_2019_Vol_1.pdf, page 524</t>
        </is>
      </c>
    </row>
    <row r="2210">
      <c r="A2210" s="5" t="inlineStr">
        <is>
          <t>Code</t>
        </is>
      </c>
      <c r="B2210" s="5" t="inlineStr">
        <is>
          <t>Description</t>
        </is>
      </c>
      <c r="C2210" s="5" t="inlineStr">
        <is>
          <t>Unit</t>
        </is>
      </c>
      <c r="D2210" s="5" t="inlineStr">
        <is>
          <t>Quantity</t>
        </is>
      </c>
      <c r="E2210" s="5" t="inlineStr">
        <is>
          <t>Rate (Rs.)</t>
        </is>
      </c>
      <c r="F2210" s="5" t="inlineStr">
        <is>
          <t>Amount (Rs.)</t>
        </is>
      </c>
      <c r="G2210" s="5" t="inlineStr">
        <is>
          <t>Note</t>
        </is>
      </c>
    </row>
    <row r="2211">
      <c r="A2211" s="22" t="inlineStr">
        <is>
          <t>7064</t>
        </is>
      </c>
      <c r="B2211" s="11" t="inlineStr">
        <is>
          <t>Oxidised M.S.casement stay (straight peg type) 250 mm not less than 0.28 kg</t>
        </is>
      </c>
      <c r="C2211" s="22" t="inlineStr">
        <is>
          <t>each</t>
        </is>
      </c>
      <c r="D2211" s="23" t="n">
        <v>10</v>
      </c>
      <c r="E2211" s="24" t="n">
        <v>30</v>
      </c>
      <c r="F2211" s="24">
        <f>D2211*E2211</f>
        <v/>
      </c>
      <c r="G2211" s="22" t="n"/>
    </row>
    <row r="2212">
      <c r="A2212" s="22" t="inlineStr">
        <is>
          <t>0685</t>
        </is>
      </c>
      <c r="B2212" s="11" t="inlineStr">
        <is>
          <t>Oxidised mild steel screws 25 mm</t>
        </is>
      </c>
      <c r="C2212" s="22" t="inlineStr">
        <is>
          <t>100 Nos</t>
        </is>
      </c>
      <c r="D2212" s="23" t="n">
        <v>0.4</v>
      </c>
      <c r="E2212" s="24" t="n">
        <v>36</v>
      </c>
      <c r="F2212" s="24">
        <f>D2212*E2212</f>
        <v/>
      </c>
      <c r="G2212" s="22" t="n"/>
    </row>
    <row r="2213">
      <c r="A2213" s="22" t="inlineStr">
        <is>
          <t>9977</t>
        </is>
      </c>
      <c r="B2213" s="11" t="inlineStr">
        <is>
          <t>Carriage of materials</t>
        </is>
      </c>
      <c r="C2213" s="22" t="inlineStr">
        <is>
          <t>L.S.</t>
        </is>
      </c>
      <c r="D2213" s="23" t="n">
        <v>0.91</v>
      </c>
      <c r="E2213" s="24" t="n">
        <v>2</v>
      </c>
      <c r="F2213" s="24">
        <f>D2213*E2213</f>
        <v/>
      </c>
      <c r="G2213" s="22" t="n"/>
    </row>
    <row r="2214">
      <c r="A2214" s="22" t="inlineStr">
        <is>
          <t>0112</t>
        </is>
      </c>
      <c r="B2214" s="11" t="inlineStr">
        <is>
          <t>Carpenter 2nd class</t>
        </is>
      </c>
      <c r="C2214" s="22" t="inlineStr">
        <is>
          <t>day</t>
        </is>
      </c>
      <c r="D2214" s="23" t="n">
        <v>0.1</v>
      </c>
      <c r="E2214" s="24" t="n">
        <v>679</v>
      </c>
      <c r="F2214" s="24">
        <f>D2214*E2214</f>
        <v/>
      </c>
      <c r="G2214" s="22" t="n"/>
    </row>
    <row r="2215">
      <c r="A2215" s="8" t="inlineStr">
        <is>
          <t>Calculated W - SUM of the Amount column above</t>
        </is>
      </c>
      <c r="B2215" s="9" t="n"/>
      <c r="C2215" s="9" t="n"/>
      <c r="D2215" s="9" t="n"/>
      <c r="E2215" s="9" t="n"/>
      <c r="F2215" s="25">
        <f>SUM(F2211:F2214)</f>
        <v/>
      </c>
      <c r="G2215" s="9" t="n"/>
    </row>
    <row r="2216">
      <c r="A2216" s="26" t="inlineStr">
        <is>
          <t>W as printed in the DAR</t>
        </is>
      </c>
      <c r="B2216" s="22" t="n"/>
      <c r="C2216" s="22" t="n"/>
      <c r="D2216" s="22" t="n"/>
      <c r="E2216" s="22" t="n"/>
      <c r="F2216" s="27" t="n">
        <v>384.12</v>
      </c>
      <c r="G2216" s="22" t="n"/>
    </row>
    <row r="2217">
      <c r="A2217" s="26" t="inlineStr">
        <is>
          <t>Difference (calculated - printed)</t>
        </is>
      </c>
      <c r="B2217" s="22" t="n"/>
      <c r="C2217" s="22" t="n"/>
      <c r="D2217" s="22" t="n"/>
      <c r="E2217" s="22" t="n"/>
      <c r="F2217" s="27">
        <f>F2215-F2216</f>
        <v/>
      </c>
      <c r="G2217" s="22" t="n"/>
    </row>
    <row r="2218">
      <c r="A2218" s="29" t="inlineStr">
        <is>
          <t>SAY (Rs.) - final DAR rate as printed (fixed value, not computed)</t>
        </is>
      </c>
      <c r="B2218" s="30" t="n"/>
      <c r="C2218" s="30" t="n"/>
      <c r="D2218" s="30" t="n"/>
      <c r="E2218" s="30" t="n"/>
      <c r="F2218" s="31" t="n">
        <v>51.4</v>
      </c>
      <c r="G2218" s="30" t="n"/>
    </row>
    <row r="2220" ht="18.5" customHeight="1">
      <c r="A2220" s="8" t="inlineStr">
        <is>
          <t>9.68</t>
        </is>
      </c>
      <c r="B2220" s="17" t="inlineStr">
        <is>
          <t>Providing and fixing oxidised M.S. casement stays (straight peg type) with necessary screws etc. complete.</t>
        </is>
      </c>
      <c r="C2220" s="9" t="n"/>
      <c r="D2220" s="9" t="n"/>
      <c r="E2220" s="9" t="n"/>
      <c r="F2220" s="9" t="n"/>
      <c r="G2220" s="9" t="n"/>
    </row>
    <row r="2221" ht="18.5" customHeight="1">
      <c r="A2221" s="18" t="inlineStr">
        <is>
          <t>9.68.3</t>
        </is>
      </c>
      <c r="B2221" s="19" t="inlineStr">
        <is>
          <t>200 mm weighing not less than 120 gms</t>
        </is>
      </c>
      <c r="C2221" s="20" t="n"/>
      <c r="D2221" s="20" t="n"/>
      <c r="E2221" s="20" t="n"/>
      <c r="F2221" s="20" t="n"/>
      <c r="G2221" s="20" t="n"/>
    </row>
    <row r="2222">
      <c r="A2222" s="21" t="inlineStr">
        <is>
          <t>Details of cost for 10 nos   |   Source: CivilDAR_2019_Vol_1.pdf, page 525</t>
        </is>
      </c>
    </row>
    <row r="2223">
      <c r="A2223" s="5" t="inlineStr">
        <is>
          <t>Code</t>
        </is>
      </c>
      <c r="B2223" s="5" t="inlineStr">
        <is>
          <t>Description</t>
        </is>
      </c>
      <c r="C2223" s="5" t="inlineStr">
        <is>
          <t>Unit</t>
        </is>
      </c>
      <c r="D2223" s="5" t="inlineStr">
        <is>
          <t>Quantity</t>
        </is>
      </c>
      <c r="E2223" s="5" t="inlineStr">
        <is>
          <t>Rate (Rs.)</t>
        </is>
      </c>
      <c r="F2223" s="5" t="inlineStr">
        <is>
          <t>Amount (Rs.)</t>
        </is>
      </c>
      <c r="G2223" s="5" t="inlineStr">
        <is>
          <t>Note</t>
        </is>
      </c>
    </row>
    <row r="2224">
      <c r="A2224" s="22" t="inlineStr">
        <is>
          <t>7065</t>
        </is>
      </c>
      <c r="B2224" s="11" t="inlineStr">
        <is>
          <t>Oxidised M.S.casement stay (straight peg type) 200 mm not less than 0.24 kg</t>
        </is>
      </c>
      <c r="C2224" s="22" t="inlineStr">
        <is>
          <t>each</t>
        </is>
      </c>
      <c r="D2224" s="23" t="n">
        <v>10</v>
      </c>
      <c r="E2224" s="24" t="n">
        <v>25</v>
      </c>
      <c r="F2224" s="24">
        <f>D2224*E2224</f>
        <v/>
      </c>
      <c r="G2224" s="22" t="n"/>
    </row>
    <row r="2225">
      <c r="A2225" s="22" t="inlineStr">
        <is>
          <t>0685</t>
        </is>
      </c>
      <c r="B2225" s="11" t="inlineStr">
        <is>
          <t>Oxidised mild steel screws 25 mm</t>
        </is>
      </c>
      <c r="C2225" s="22" t="inlineStr">
        <is>
          <t>100 Nos</t>
        </is>
      </c>
      <c r="D2225" s="23" t="n">
        <v>0.4</v>
      </c>
      <c r="E2225" s="24" t="n">
        <v>36</v>
      </c>
      <c r="F2225" s="24">
        <f>D2225*E2225</f>
        <v/>
      </c>
      <c r="G2225" s="22" t="n"/>
    </row>
    <row r="2226">
      <c r="A2226" s="22" t="inlineStr">
        <is>
          <t>9977</t>
        </is>
      </c>
      <c r="B2226" s="11" t="inlineStr">
        <is>
          <t>Carriage of materials</t>
        </is>
      </c>
      <c r="C2226" s="22" t="inlineStr">
        <is>
          <t>L.S.</t>
        </is>
      </c>
      <c r="D2226" s="23" t="n">
        <v>0.91</v>
      </c>
      <c r="E2226" s="24" t="n">
        <v>2</v>
      </c>
      <c r="F2226" s="24">
        <f>D2226*E2226</f>
        <v/>
      </c>
      <c r="G2226" s="22" t="n"/>
    </row>
    <row r="2227">
      <c r="A2227" s="22" t="inlineStr">
        <is>
          <t>0112</t>
        </is>
      </c>
      <c r="B2227" s="11" t="inlineStr">
        <is>
          <t>Carpenter 2nd class</t>
        </is>
      </c>
      <c r="C2227" s="22" t="inlineStr">
        <is>
          <t>day</t>
        </is>
      </c>
      <c r="D2227" s="23" t="n">
        <v>0.1</v>
      </c>
      <c r="E2227" s="24" t="n">
        <v>679</v>
      </c>
      <c r="F2227" s="24">
        <f>D2227*E2227</f>
        <v/>
      </c>
      <c r="G2227" s="22" t="n"/>
    </row>
    <row r="2228">
      <c r="A2228" s="8" t="inlineStr">
        <is>
          <t>Calculated W - SUM of the Amount column above</t>
        </is>
      </c>
      <c r="B2228" s="9" t="n"/>
      <c r="C2228" s="9" t="n"/>
      <c r="D2228" s="9" t="n"/>
      <c r="E2228" s="9" t="n"/>
      <c r="F2228" s="25">
        <f>SUM(F2224:F2227)</f>
        <v/>
      </c>
      <c r="G2228" s="9" t="n"/>
    </row>
    <row r="2229">
      <c r="A2229" s="26" t="inlineStr">
        <is>
          <t>W as printed in the DAR</t>
        </is>
      </c>
      <c r="B2229" s="22" t="n"/>
      <c r="C2229" s="22" t="n"/>
      <c r="D2229" s="22" t="n"/>
      <c r="E2229" s="22" t="n"/>
      <c r="F2229" s="27" t="n">
        <v>334.12</v>
      </c>
      <c r="G2229" s="22" t="n"/>
    </row>
    <row r="2230">
      <c r="A2230" s="26" t="inlineStr">
        <is>
          <t>Difference (calculated - printed)</t>
        </is>
      </c>
      <c r="B2230" s="22" t="n"/>
      <c r="C2230" s="22" t="n"/>
      <c r="D2230" s="22" t="n"/>
      <c r="E2230" s="22" t="n"/>
      <c r="F2230" s="27">
        <f>F2228-F2229</f>
        <v/>
      </c>
      <c r="G2230" s="22" t="n"/>
    </row>
    <row r="2231">
      <c r="A2231" s="29" t="inlineStr">
        <is>
          <t>SAY (Rs.) - final DAR rate as printed (fixed value, not computed)</t>
        </is>
      </c>
      <c r="B2231" s="30" t="n"/>
      <c r="C2231" s="30" t="n"/>
      <c r="D2231" s="30" t="n"/>
      <c r="E2231" s="30" t="n"/>
      <c r="F2231" s="31" t="n">
        <v>44.7</v>
      </c>
      <c r="G2231" s="30" t="n"/>
    </row>
    <row r="2233" ht="18.5" customHeight="1">
      <c r="A2233" s="18" t="inlineStr">
        <is>
          <t>9.69</t>
        </is>
      </c>
      <c r="B2233" s="19" t="inlineStr">
        <is>
          <t>Providing and fixing oxidised M.S. Safety chain with necessary fixtures for doors, (weighting not less than 450 gms)</t>
        </is>
      </c>
      <c r="C2233" s="20" t="n"/>
      <c r="D2233" s="20" t="n"/>
      <c r="E2233" s="20" t="n"/>
      <c r="F2233" s="20" t="n"/>
      <c r="G2233" s="20" t="n"/>
    </row>
    <row r="2234">
      <c r="A2234" s="21" t="inlineStr">
        <is>
          <t>Details of cost for 10 nos   |   Source: CivilDAR_2019_Vol_1.pdf, page 525</t>
        </is>
      </c>
    </row>
    <row r="2235">
      <c r="A2235" s="5" t="inlineStr">
        <is>
          <t>Code</t>
        </is>
      </c>
      <c r="B2235" s="5" t="inlineStr">
        <is>
          <t>Description</t>
        </is>
      </c>
      <c r="C2235" s="5" t="inlineStr">
        <is>
          <t>Unit</t>
        </is>
      </c>
      <c r="D2235" s="5" t="inlineStr">
        <is>
          <t>Quantity</t>
        </is>
      </c>
      <c r="E2235" s="5" t="inlineStr">
        <is>
          <t>Rate (Rs.)</t>
        </is>
      </c>
      <c r="F2235" s="5" t="inlineStr">
        <is>
          <t>Amount (Rs.)</t>
        </is>
      </c>
      <c r="G2235" s="5" t="inlineStr">
        <is>
          <t>Note</t>
        </is>
      </c>
    </row>
    <row r="2236">
      <c r="A2236" s="22" t="inlineStr">
        <is>
          <t>7184</t>
        </is>
      </c>
      <c r="B2236" s="11" t="inlineStr">
        <is>
          <t>Oxidised M.S. safety chain (weighing not less than 450 gms) for door</t>
        </is>
      </c>
      <c r="C2236" s="22" t="inlineStr">
        <is>
          <t>each</t>
        </is>
      </c>
      <c r="D2236" s="23" t="n">
        <v>10</v>
      </c>
      <c r="E2236" s="24" t="n">
        <v>57</v>
      </c>
      <c r="F2236" s="24">
        <f>D2236*E2236</f>
        <v/>
      </c>
      <c r="G2236" s="22" t="n"/>
    </row>
    <row r="2237">
      <c r="A2237" s="22" t="inlineStr">
        <is>
          <t>0685</t>
        </is>
      </c>
      <c r="B2237" s="11" t="inlineStr">
        <is>
          <t>Oxidised mild steel screws 25 mm</t>
        </is>
      </c>
      <c r="C2237" s="22" t="inlineStr">
        <is>
          <t>100 Nos</t>
        </is>
      </c>
      <c r="D2237" s="23" t="n">
        <v>0.6</v>
      </c>
      <c r="E2237" s="24" t="n">
        <v>36</v>
      </c>
      <c r="F2237" s="24">
        <f>D2237*E2237</f>
        <v/>
      </c>
      <c r="G2237" s="22" t="n"/>
    </row>
    <row r="2238">
      <c r="A2238" s="22" t="inlineStr">
        <is>
          <t>9977</t>
        </is>
      </c>
      <c r="B2238" s="11" t="inlineStr">
        <is>
          <t>Carriage of materials</t>
        </is>
      </c>
      <c r="C2238" s="22" t="inlineStr">
        <is>
          <t>L.S.</t>
        </is>
      </c>
      <c r="D2238" s="23" t="n">
        <v>0.91</v>
      </c>
      <c r="E2238" s="24" t="n">
        <v>2</v>
      </c>
      <c r="F2238" s="24">
        <f>D2238*E2238</f>
        <v/>
      </c>
      <c r="G2238" s="22" t="n"/>
    </row>
    <row r="2239">
      <c r="A2239" s="22" t="inlineStr">
        <is>
          <t>0112</t>
        </is>
      </c>
      <c r="B2239" s="11" t="inlineStr">
        <is>
          <t>Carpenter 2nd class</t>
        </is>
      </c>
      <c r="C2239" s="22" t="inlineStr">
        <is>
          <t>day</t>
        </is>
      </c>
      <c r="D2239" s="23" t="n">
        <v>0.1</v>
      </c>
      <c r="E2239" s="24" t="n">
        <v>679</v>
      </c>
      <c r="F2239" s="24">
        <f>D2239*E2239</f>
        <v/>
      </c>
      <c r="G2239" s="22" t="n"/>
    </row>
    <row r="2240">
      <c r="A2240" s="8" t="inlineStr">
        <is>
          <t>Calculated W - SUM of the Amount column above</t>
        </is>
      </c>
      <c r="B2240" s="9" t="n"/>
      <c r="C2240" s="9" t="n"/>
      <c r="D2240" s="9" t="n"/>
      <c r="E2240" s="9" t="n"/>
      <c r="F2240" s="25">
        <f>SUM(F2236:F2239)</f>
        <v/>
      </c>
      <c r="G2240" s="9" t="n"/>
    </row>
    <row r="2241">
      <c r="A2241" s="26" t="inlineStr">
        <is>
          <t>W as printed in the DAR</t>
        </is>
      </c>
      <c r="B2241" s="22" t="n"/>
      <c r="C2241" s="22" t="n"/>
      <c r="D2241" s="22" t="n"/>
      <c r="E2241" s="22" t="n"/>
      <c r="F2241" s="27" t="n">
        <v>661.3200000000001</v>
      </c>
      <c r="G2241" s="22" t="n"/>
    </row>
    <row r="2242">
      <c r="A2242" s="26" t="inlineStr">
        <is>
          <t>Difference (calculated - printed)</t>
        </is>
      </c>
      <c r="B2242" s="22" t="n"/>
      <c r="C2242" s="22" t="n"/>
      <c r="D2242" s="22" t="n"/>
      <c r="E2242" s="22" t="n"/>
      <c r="F2242" s="27">
        <f>F2240-F2241</f>
        <v/>
      </c>
      <c r="G2242" s="22" t="n"/>
    </row>
    <row r="2243">
      <c r="A2243" s="29" t="inlineStr">
        <is>
          <t>SAY (Rs.) - final DAR rate as printed (fixed value, not computed)</t>
        </is>
      </c>
      <c r="B2243" s="30" t="n"/>
      <c r="C2243" s="30" t="n"/>
      <c r="D2243" s="30" t="n"/>
      <c r="E2243" s="30" t="n"/>
      <c r="F2243" s="31" t="n">
        <v>88.5</v>
      </c>
      <c r="G2243" s="30" t="n"/>
    </row>
    <row r="2245" ht="18.5" customHeight="1">
      <c r="A2245" s="8" t="inlineStr">
        <is>
          <t>9.70</t>
        </is>
      </c>
      <c r="B2245" s="17" t="inlineStr">
        <is>
          <t>Providing and fixing IS : 12817 marked stainless steel butt hinges with stainless steel screws etc. complete :</t>
        </is>
      </c>
      <c r="C2245" s="9" t="n"/>
      <c r="D2245" s="9" t="n"/>
      <c r="E2245" s="9" t="n"/>
      <c r="F2245" s="9" t="n"/>
      <c r="G2245" s="9" t="n"/>
    </row>
    <row r="2246" ht="18.5" customHeight="1">
      <c r="A2246" s="18" t="inlineStr">
        <is>
          <t>9.70.1</t>
        </is>
      </c>
      <c r="B2246" s="19" t="inlineStr">
        <is>
          <t>125x64x1.90 mm</t>
        </is>
      </c>
      <c r="C2246" s="20" t="n"/>
      <c r="D2246" s="20" t="n"/>
      <c r="E2246" s="20" t="n"/>
      <c r="F2246" s="20" t="n"/>
      <c r="G2246" s="20" t="n"/>
    </row>
    <row r="2247">
      <c r="A2247" s="21" t="inlineStr">
        <is>
          <t>Details of cost for 10 nos   |   Source: CivilDAR_2019_Vol_1.pdf, page 526</t>
        </is>
      </c>
    </row>
    <row r="2248">
      <c r="A2248" s="5" t="inlineStr">
        <is>
          <t>Code</t>
        </is>
      </c>
      <c r="B2248" s="5" t="inlineStr">
        <is>
          <t>Description</t>
        </is>
      </c>
      <c r="C2248" s="5" t="inlineStr">
        <is>
          <t>Unit</t>
        </is>
      </c>
      <c r="D2248" s="5" t="inlineStr">
        <is>
          <t>Quantity</t>
        </is>
      </c>
      <c r="E2248" s="5" t="inlineStr">
        <is>
          <t>Rate (Rs.)</t>
        </is>
      </c>
      <c r="F2248" s="5" t="inlineStr">
        <is>
          <t>Amount (Rs.)</t>
        </is>
      </c>
      <c r="G2248" s="5" t="inlineStr">
        <is>
          <t>Note</t>
        </is>
      </c>
    </row>
    <row r="2249">
      <c r="A2249" s="22" t="inlineStr">
        <is>
          <t>8215</t>
        </is>
      </c>
      <c r="B2249" s="11" t="inlineStr">
        <is>
          <t>Stainless steel butt hinges 125x64x 1.9 mm IS : 12817 marked</t>
        </is>
      </c>
      <c r="C2249" s="22" t="inlineStr">
        <is>
          <t>10 Nos</t>
        </is>
      </c>
      <c r="D2249" s="23" t="n">
        <v>1</v>
      </c>
      <c r="E2249" s="24" t="n">
        <v>265</v>
      </c>
      <c r="F2249" s="24">
        <f>D2249*E2249</f>
        <v/>
      </c>
      <c r="G2249" s="22" t="n"/>
    </row>
    <row r="2250">
      <c r="A2250" s="22" t="inlineStr">
        <is>
          <t>8210</t>
        </is>
      </c>
      <c r="B2250" s="11" t="inlineStr">
        <is>
          <t>Stainless steel screws 50 mm</t>
        </is>
      </c>
      <c r="C2250" s="22" t="inlineStr">
        <is>
          <t>100 Nos</t>
        </is>
      </c>
      <c r="D2250" s="23" t="n">
        <v>0.8</v>
      </c>
      <c r="E2250" s="24" t="n">
        <v>270</v>
      </c>
      <c r="F2250" s="24">
        <f>D2250*E2250</f>
        <v/>
      </c>
      <c r="G2250" s="22" t="n"/>
    </row>
    <row r="2251">
      <c r="A2251" s="22" t="inlineStr">
        <is>
          <t>9977</t>
        </is>
      </c>
      <c r="B2251" s="11" t="inlineStr">
        <is>
          <t>Carriage of materials</t>
        </is>
      </c>
      <c r="C2251" s="22" t="inlineStr">
        <is>
          <t>L.S.</t>
        </is>
      </c>
      <c r="D2251" s="23" t="n">
        <v>2.73</v>
      </c>
      <c r="E2251" s="24" t="n">
        <v>2</v>
      </c>
      <c r="F2251" s="24">
        <f>D2251*E2251</f>
        <v/>
      </c>
      <c r="G2251" s="22" t="n"/>
    </row>
    <row r="2252">
      <c r="A2252" s="22" t="inlineStr">
        <is>
          <t>0112</t>
        </is>
      </c>
      <c r="B2252" s="11" t="inlineStr">
        <is>
          <t>Carpenter 2nd class</t>
        </is>
      </c>
      <c r="C2252" s="22" t="inlineStr">
        <is>
          <t>day</t>
        </is>
      </c>
      <c r="D2252" s="23" t="n">
        <v>0.14</v>
      </c>
      <c r="E2252" s="24" t="n">
        <v>679</v>
      </c>
      <c r="F2252" s="24">
        <f>D2252*E2252</f>
        <v/>
      </c>
      <c r="G2252" s="22" t="n"/>
    </row>
    <row r="2253">
      <c r="A2253" s="22" t="inlineStr">
        <is>
          <t>0114</t>
        </is>
      </c>
      <c r="B2253" s="11" t="inlineStr">
        <is>
          <t>Beldar</t>
        </is>
      </c>
      <c r="C2253" s="22" t="inlineStr">
        <is>
          <t>day</t>
        </is>
      </c>
      <c r="D2253" s="23" t="n">
        <v>0.09</v>
      </c>
      <c r="E2253" s="24" t="n">
        <v>558</v>
      </c>
      <c r="F2253" s="24">
        <f>D2253*E2253</f>
        <v/>
      </c>
      <c r="G2253" s="22" t="n"/>
    </row>
    <row r="2254">
      <c r="A2254" s="8" t="inlineStr">
        <is>
          <t>Calculated W - SUM of the Amount column above</t>
        </is>
      </c>
      <c r="B2254" s="9" t="n"/>
      <c r="C2254" s="9" t="n"/>
      <c r="D2254" s="9" t="n"/>
      <c r="E2254" s="9" t="n"/>
      <c r="F2254" s="25">
        <f>SUM(F2249:F2253)</f>
        <v/>
      </c>
      <c r="G2254" s="9" t="n"/>
    </row>
    <row r="2255">
      <c r="A2255" s="26" t="inlineStr">
        <is>
          <t>W as printed in the DAR</t>
        </is>
      </c>
      <c r="B2255" s="22" t="n"/>
      <c r="C2255" s="22" t="n"/>
      <c r="D2255" s="22" t="n"/>
      <c r="E2255" s="22" t="n"/>
      <c r="F2255" s="27" t="n">
        <v>631.74</v>
      </c>
      <c r="G2255" s="22" t="n"/>
    </row>
    <row r="2256">
      <c r="A2256" s="26" t="inlineStr">
        <is>
          <t>Difference (calculated - printed)</t>
        </is>
      </c>
      <c r="B2256" s="22" t="n"/>
      <c r="C2256" s="22" t="n"/>
      <c r="D2256" s="22" t="n"/>
      <c r="E2256" s="22" t="n"/>
      <c r="F2256" s="27">
        <f>F2254-F2255</f>
        <v/>
      </c>
      <c r="G2256" s="22" t="n"/>
    </row>
    <row r="2257">
      <c r="A2257" s="29" t="inlineStr">
        <is>
          <t>SAY (Rs.) - final DAR rate as printed (fixed value, not computed)</t>
        </is>
      </c>
      <c r="B2257" s="30" t="n"/>
      <c r="C2257" s="30" t="n"/>
      <c r="D2257" s="30" t="n"/>
      <c r="E2257" s="30" t="n"/>
      <c r="F2257" s="31" t="n">
        <v>84.5</v>
      </c>
      <c r="G2257" s="30" t="n"/>
    </row>
    <row r="2259" ht="18.5" customHeight="1">
      <c r="A2259" s="8" t="inlineStr">
        <is>
          <t>9.70</t>
        </is>
      </c>
      <c r="B2259" s="17" t="inlineStr">
        <is>
          <t>Providing and fixing IS : 12817 marked stainless steel butt hinges with stainless steel screws etc. complete :</t>
        </is>
      </c>
      <c r="C2259" s="9" t="n"/>
      <c r="D2259" s="9" t="n"/>
      <c r="E2259" s="9" t="n"/>
      <c r="F2259" s="9" t="n"/>
      <c r="G2259" s="9" t="n"/>
    </row>
    <row r="2260" ht="18.5" customHeight="1">
      <c r="A2260" s="18" t="inlineStr">
        <is>
          <t>9.70.2</t>
        </is>
      </c>
      <c r="B2260" s="19" t="inlineStr">
        <is>
          <t>100X58X1.90 mm</t>
        </is>
      </c>
      <c r="C2260" s="20" t="n"/>
      <c r="D2260" s="20" t="n"/>
      <c r="E2260" s="20" t="n"/>
      <c r="F2260" s="20" t="n"/>
      <c r="G2260" s="20" t="n"/>
    </row>
    <row r="2261">
      <c r="A2261" s="21" t="inlineStr">
        <is>
          <t>Details of cost for 10 nos   |   Source: CivilDAR_2019_Vol_1.pdf, page 526</t>
        </is>
      </c>
    </row>
    <row r="2262">
      <c r="A2262" s="5" t="inlineStr">
        <is>
          <t>Code</t>
        </is>
      </c>
      <c r="B2262" s="5" t="inlineStr">
        <is>
          <t>Description</t>
        </is>
      </c>
      <c r="C2262" s="5" t="inlineStr">
        <is>
          <t>Unit</t>
        </is>
      </c>
      <c r="D2262" s="5" t="inlineStr">
        <is>
          <t>Quantity</t>
        </is>
      </c>
      <c r="E2262" s="5" t="inlineStr">
        <is>
          <t>Rate (Rs.)</t>
        </is>
      </c>
      <c r="F2262" s="5" t="inlineStr">
        <is>
          <t>Amount (Rs.)</t>
        </is>
      </c>
      <c r="G2262" s="5" t="inlineStr">
        <is>
          <t>Note</t>
        </is>
      </c>
    </row>
    <row r="2263">
      <c r="A2263" s="22" t="inlineStr">
        <is>
          <t>8216</t>
        </is>
      </c>
      <c r="B2263" s="11" t="inlineStr">
        <is>
          <t>Stainless steel butt hinges 100x58x1.9 mm IS : 12817 marked</t>
        </is>
      </c>
      <c r="C2263" s="22" t="inlineStr">
        <is>
          <t>10 Nos</t>
        </is>
      </c>
      <c r="D2263" s="23" t="n">
        <v>1</v>
      </c>
      <c r="E2263" s="24" t="n">
        <v>235</v>
      </c>
      <c r="F2263" s="24">
        <f>D2263*E2263</f>
        <v/>
      </c>
      <c r="G2263" s="22" t="n"/>
    </row>
    <row r="2264">
      <c r="A2264" s="22" t="inlineStr">
        <is>
          <t>8211</t>
        </is>
      </c>
      <c r="B2264" s="11" t="inlineStr">
        <is>
          <t>Stainless steel screws 40 mm</t>
        </is>
      </c>
      <c r="C2264" s="22" t="inlineStr">
        <is>
          <t>100 Nos</t>
        </is>
      </c>
      <c r="D2264" s="23" t="n">
        <v>0.8</v>
      </c>
      <c r="E2264" s="24" t="n">
        <v>215</v>
      </c>
      <c r="F2264" s="24">
        <f>D2264*E2264</f>
        <v/>
      </c>
      <c r="G2264" s="22" t="n"/>
    </row>
    <row r="2265">
      <c r="A2265" s="22" t="inlineStr">
        <is>
          <t>9977</t>
        </is>
      </c>
      <c r="B2265" s="11" t="inlineStr">
        <is>
          <t>Carriage of materials</t>
        </is>
      </c>
      <c r="C2265" s="22" t="inlineStr">
        <is>
          <t>L.S.</t>
        </is>
      </c>
      <c r="D2265" s="23" t="n">
        <v>2.73</v>
      </c>
      <c r="E2265" s="24" t="n">
        <v>2</v>
      </c>
      <c r="F2265" s="24">
        <f>D2265*E2265</f>
        <v/>
      </c>
      <c r="G2265" s="22" t="n"/>
    </row>
    <row r="2266">
      <c r="A2266" s="22" t="inlineStr">
        <is>
          <t>0112</t>
        </is>
      </c>
      <c r="B2266" s="11" t="inlineStr">
        <is>
          <t>Carpenter 2nd class</t>
        </is>
      </c>
      <c r="C2266" s="22" t="inlineStr">
        <is>
          <t>day</t>
        </is>
      </c>
      <c r="D2266" s="23" t="n">
        <v>0.14</v>
      </c>
      <c r="E2266" s="24" t="n">
        <v>679</v>
      </c>
      <c r="F2266" s="24">
        <f>D2266*E2266</f>
        <v/>
      </c>
      <c r="G2266" s="22" t="n"/>
    </row>
    <row r="2267">
      <c r="A2267" s="22" t="inlineStr">
        <is>
          <t>0114</t>
        </is>
      </c>
      <c r="B2267" s="11" t="inlineStr">
        <is>
          <t>Beldar</t>
        </is>
      </c>
      <c r="C2267" s="22" t="inlineStr">
        <is>
          <t>day</t>
        </is>
      </c>
      <c r="D2267" s="23" t="n">
        <v>0.09</v>
      </c>
      <c r="E2267" s="24" t="n">
        <v>558</v>
      </c>
      <c r="F2267" s="24">
        <f>D2267*E2267</f>
        <v/>
      </c>
      <c r="G2267" s="22" t="n"/>
    </row>
    <row r="2268">
      <c r="A2268" s="8" t="inlineStr">
        <is>
          <t>Calculated W - SUM of the Amount column above</t>
        </is>
      </c>
      <c r="B2268" s="9" t="n"/>
      <c r="C2268" s="9" t="n"/>
      <c r="D2268" s="9" t="n"/>
      <c r="E2268" s="9" t="n"/>
      <c r="F2268" s="25">
        <f>SUM(F2263:F2267)</f>
        <v/>
      </c>
      <c r="G2268" s="9" t="n"/>
    </row>
    <row r="2269">
      <c r="A2269" s="26" t="inlineStr">
        <is>
          <t>W as printed in the DAR</t>
        </is>
      </c>
      <c r="B2269" s="22" t="n"/>
      <c r="C2269" s="22" t="n"/>
      <c r="D2269" s="22" t="n"/>
      <c r="E2269" s="22" t="n"/>
      <c r="F2269" s="27" t="n">
        <v>557.74</v>
      </c>
      <c r="G2269" s="22" t="n"/>
    </row>
    <row r="2270">
      <c r="A2270" s="26" t="inlineStr">
        <is>
          <t>Difference (calculated - printed)</t>
        </is>
      </c>
      <c r="B2270" s="22" t="n"/>
      <c r="C2270" s="22" t="n"/>
      <c r="D2270" s="22" t="n"/>
      <c r="E2270" s="22" t="n"/>
      <c r="F2270" s="27">
        <f>F2268-F2269</f>
        <v/>
      </c>
      <c r="G2270" s="22" t="n"/>
    </row>
    <row r="2271">
      <c r="A2271" s="29" t="inlineStr">
        <is>
          <t>SAY (Rs.) - final DAR rate as printed (fixed value, not computed)</t>
        </is>
      </c>
      <c r="B2271" s="30" t="n"/>
      <c r="C2271" s="30" t="n"/>
      <c r="D2271" s="30" t="n"/>
      <c r="E2271" s="30" t="n"/>
      <c r="F2271" s="31" t="n">
        <v>74.59999999999999</v>
      </c>
      <c r="G2271" s="30" t="n"/>
    </row>
    <row r="2273" ht="18.5" customHeight="1">
      <c r="A2273" s="8" t="inlineStr">
        <is>
          <t>9.70</t>
        </is>
      </c>
      <c r="B2273" s="17" t="inlineStr">
        <is>
          <t>Providing and fixing IS : 12817 marked stainless steel butt hinges with stainless steel screws etc. complete :</t>
        </is>
      </c>
      <c r="C2273" s="9" t="n"/>
      <c r="D2273" s="9" t="n"/>
      <c r="E2273" s="9" t="n"/>
      <c r="F2273" s="9" t="n"/>
      <c r="G2273" s="9" t="n"/>
    </row>
    <row r="2274" ht="18.5" customHeight="1">
      <c r="A2274" s="18" t="inlineStr">
        <is>
          <t>9.70.3</t>
        </is>
      </c>
      <c r="B2274" s="19" t="inlineStr">
        <is>
          <t>75x47x1.80 mm</t>
        </is>
      </c>
      <c r="C2274" s="20" t="n"/>
      <c r="D2274" s="20" t="n"/>
      <c r="E2274" s="20" t="n"/>
      <c r="F2274" s="20" t="n"/>
      <c r="G2274" s="20" t="n"/>
    </row>
    <row r="2275">
      <c r="A2275" s="21" t="inlineStr">
        <is>
          <t>Details of cost for 10 nos   |   Source: CivilDAR_2019_Vol_1.pdf, page 527</t>
        </is>
      </c>
    </row>
    <row r="2276">
      <c r="A2276" s="5" t="inlineStr">
        <is>
          <t>Code</t>
        </is>
      </c>
      <c r="B2276" s="5" t="inlineStr">
        <is>
          <t>Description</t>
        </is>
      </c>
      <c r="C2276" s="5" t="inlineStr">
        <is>
          <t>Unit</t>
        </is>
      </c>
      <c r="D2276" s="5" t="inlineStr">
        <is>
          <t>Quantity</t>
        </is>
      </c>
      <c r="E2276" s="5" t="inlineStr">
        <is>
          <t>Rate (Rs.)</t>
        </is>
      </c>
      <c r="F2276" s="5" t="inlineStr">
        <is>
          <t>Amount (Rs.)</t>
        </is>
      </c>
      <c r="G2276" s="5" t="inlineStr">
        <is>
          <t>Note</t>
        </is>
      </c>
    </row>
    <row r="2277">
      <c r="A2277" s="22" t="inlineStr">
        <is>
          <t>8217</t>
        </is>
      </c>
      <c r="B2277" s="11" t="inlineStr">
        <is>
          <t>Stainless steel butt hinges 75x47x1.8 mm IS : 12817 marked</t>
        </is>
      </c>
      <c r="C2277" s="22" t="inlineStr">
        <is>
          <t>10 Nos</t>
        </is>
      </c>
      <c r="D2277" s="23" t="n">
        <v>1</v>
      </c>
      <c r="E2277" s="24" t="n">
        <v>160</v>
      </c>
      <c r="F2277" s="24">
        <f>D2277*E2277</f>
        <v/>
      </c>
      <c r="G2277" s="22" t="n"/>
    </row>
    <row r="2278">
      <c r="A2278" s="22" t="inlineStr">
        <is>
          <t>8212</t>
        </is>
      </c>
      <c r="B2278" s="11" t="inlineStr">
        <is>
          <t>Stainless steel screws 30 mm</t>
        </is>
      </c>
      <c r="C2278" s="22" t="inlineStr">
        <is>
          <t>100 Nos</t>
        </is>
      </c>
      <c r="D2278" s="23" t="n">
        <v>0.6</v>
      </c>
      <c r="E2278" s="24" t="n">
        <v>190</v>
      </c>
      <c r="F2278" s="24">
        <f>D2278*E2278</f>
        <v/>
      </c>
      <c r="G2278" s="22" t="n"/>
    </row>
    <row r="2279">
      <c r="A2279" s="22" t="inlineStr">
        <is>
          <t>9977</t>
        </is>
      </c>
      <c r="B2279" s="11" t="inlineStr">
        <is>
          <t>Carriage of materials</t>
        </is>
      </c>
      <c r="C2279" s="22" t="inlineStr">
        <is>
          <t>L.S.</t>
        </is>
      </c>
      <c r="D2279" s="23" t="n">
        <v>1.82</v>
      </c>
      <c r="E2279" s="24" t="n">
        <v>2</v>
      </c>
      <c r="F2279" s="24">
        <f>D2279*E2279</f>
        <v/>
      </c>
      <c r="G2279" s="22" t="n"/>
    </row>
    <row r="2280">
      <c r="A2280" s="22" t="inlineStr">
        <is>
          <t>0112</t>
        </is>
      </c>
      <c r="B2280" s="11" t="inlineStr">
        <is>
          <t>Carpenter 2nd class</t>
        </is>
      </c>
      <c r="C2280" s="22" t="inlineStr">
        <is>
          <t>day</t>
        </is>
      </c>
      <c r="D2280" s="23" t="n">
        <v>0.14</v>
      </c>
      <c r="E2280" s="24" t="n">
        <v>679</v>
      </c>
      <c r="F2280" s="24">
        <f>D2280*E2280</f>
        <v/>
      </c>
      <c r="G2280" s="22" t="n"/>
    </row>
    <row r="2281">
      <c r="A2281" s="22" t="inlineStr">
        <is>
          <t>0114</t>
        </is>
      </c>
      <c r="B2281" s="11" t="inlineStr">
        <is>
          <t>Beldar</t>
        </is>
      </c>
      <c r="C2281" s="22" t="inlineStr">
        <is>
          <t>day</t>
        </is>
      </c>
      <c r="D2281" s="23" t="n">
        <v>0.09</v>
      </c>
      <c r="E2281" s="24" t="n">
        <v>558</v>
      </c>
      <c r="F2281" s="24">
        <f>D2281*E2281</f>
        <v/>
      </c>
      <c r="G2281" s="22" t="n"/>
    </row>
    <row r="2282">
      <c r="A2282" s="8" t="inlineStr">
        <is>
          <t>Calculated W - SUM of the Amount column above</t>
        </is>
      </c>
      <c r="B2282" s="9" t="n"/>
      <c r="C2282" s="9" t="n"/>
      <c r="D2282" s="9" t="n"/>
      <c r="E2282" s="9" t="n"/>
      <c r="F2282" s="25">
        <f>SUM(F2277:F2281)</f>
        <v/>
      </c>
      <c r="G2282" s="9" t="n"/>
    </row>
    <row r="2283">
      <c r="A2283" s="26" t="inlineStr">
        <is>
          <t>W as printed in the DAR</t>
        </is>
      </c>
      <c r="B2283" s="22" t="n"/>
      <c r="C2283" s="22" t="n"/>
      <c r="D2283" s="22" t="n"/>
      <c r="E2283" s="22" t="n"/>
      <c r="F2283" s="27" t="n">
        <v>422.92</v>
      </c>
      <c r="G2283" s="22" t="n"/>
    </row>
    <row r="2284">
      <c r="A2284" s="26" t="inlineStr">
        <is>
          <t>Difference (calculated - printed)</t>
        </is>
      </c>
      <c r="B2284" s="22" t="n"/>
      <c r="C2284" s="22" t="n"/>
      <c r="D2284" s="22" t="n"/>
      <c r="E2284" s="22" t="n"/>
      <c r="F2284" s="27">
        <f>F2282-F2283</f>
        <v/>
      </c>
      <c r="G2284" s="22" t="n"/>
    </row>
    <row r="2285">
      <c r="A2285" s="29" t="inlineStr">
        <is>
          <t>SAY (Rs.) - final DAR rate as printed (fixed value, not computed)</t>
        </is>
      </c>
      <c r="B2285" s="30" t="n"/>
      <c r="C2285" s="30" t="n"/>
      <c r="D2285" s="30" t="n"/>
      <c r="E2285" s="30" t="n"/>
      <c r="F2285" s="31" t="n">
        <v>56.6</v>
      </c>
      <c r="G2285" s="30" t="n"/>
    </row>
    <row r="2287" ht="18.5" customHeight="1">
      <c r="A2287" s="8" t="inlineStr">
        <is>
          <t>9.70</t>
        </is>
      </c>
      <c r="B2287" s="17" t="inlineStr">
        <is>
          <t>Providing and fixing IS : 12817 marked stainless steel butt hinges with stainless steel screws etc. complete :</t>
        </is>
      </c>
      <c r="C2287" s="9" t="n"/>
      <c r="D2287" s="9" t="n"/>
      <c r="E2287" s="9" t="n"/>
      <c r="F2287" s="9" t="n"/>
      <c r="G2287" s="9" t="n"/>
    </row>
    <row r="2288" ht="18.5" customHeight="1">
      <c r="A2288" s="18" t="inlineStr">
        <is>
          <t>9.70.4</t>
        </is>
      </c>
      <c r="B2288" s="19" t="inlineStr">
        <is>
          <t>50x37x1.50 mm</t>
        </is>
      </c>
      <c r="C2288" s="20" t="n"/>
      <c r="D2288" s="20" t="n"/>
      <c r="E2288" s="20" t="n"/>
      <c r="F2288" s="20" t="n"/>
      <c r="G2288" s="20" t="n"/>
    </row>
    <row r="2289">
      <c r="A2289" s="21" t="inlineStr">
        <is>
          <t>Details of cost for 10 nos   |   Source: CivilDAR_2019_Vol_1.pdf, page 527</t>
        </is>
      </c>
    </row>
    <row r="2290">
      <c r="A2290" s="5" t="inlineStr">
        <is>
          <t>Code</t>
        </is>
      </c>
      <c r="B2290" s="5" t="inlineStr">
        <is>
          <t>Description</t>
        </is>
      </c>
      <c r="C2290" s="5" t="inlineStr">
        <is>
          <t>Unit</t>
        </is>
      </c>
      <c r="D2290" s="5" t="inlineStr">
        <is>
          <t>Quantity</t>
        </is>
      </c>
      <c r="E2290" s="5" t="inlineStr">
        <is>
          <t>Rate (Rs.)</t>
        </is>
      </c>
      <c r="F2290" s="5" t="inlineStr">
        <is>
          <t>Amount (Rs.)</t>
        </is>
      </c>
      <c r="G2290" s="5" t="inlineStr">
        <is>
          <t>Note</t>
        </is>
      </c>
    </row>
    <row r="2291">
      <c r="A2291" s="22" t="inlineStr">
        <is>
          <t>8218</t>
        </is>
      </c>
      <c r="B2291" s="11" t="inlineStr">
        <is>
          <t>Stainless steel butt hinges 50x37x1.5 mm IS : 12817 marked</t>
        </is>
      </c>
      <c r="C2291" s="22" t="inlineStr">
        <is>
          <t>10 Nos</t>
        </is>
      </c>
      <c r="D2291" s="23" t="n">
        <v>1</v>
      </c>
      <c r="E2291" s="24" t="n">
        <v>135</v>
      </c>
      <c r="F2291" s="24">
        <f>D2291*E2291</f>
        <v/>
      </c>
      <c r="G2291" s="22" t="n"/>
    </row>
    <row r="2292">
      <c r="A2292" s="22" t="inlineStr">
        <is>
          <t>8214</t>
        </is>
      </c>
      <c r="B2292" s="11" t="inlineStr">
        <is>
          <t>Stainless steel screws 20 mm</t>
        </is>
      </c>
      <c r="C2292" s="22" t="inlineStr">
        <is>
          <t>100 Nos</t>
        </is>
      </c>
      <c r="D2292" s="23" t="n">
        <v>0.4</v>
      </c>
      <c r="E2292" s="24" t="n">
        <v>125</v>
      </c>
      <c r="F2292" s="24">
        <f>D2292*E2292</f>
        <v/>
      </c>
      <c r="G2292" s="22" t="n"/>
    </row>
    <row r="2293">
      <c r="A2293" s="22" t="inlineStr">
        <is>
          <t>9977</t>
        </is>
      </c>
      <c r="B2293" s="11" t="inlineStr">
        <is>
          <t>Carriage of materials</t>
        </is>
      </c>
      <c r="C2293" s="22" t="inlineStr">
        <is>
          <t>L.S.</t>
        </is>
      </c>
      <c r="D2293" s="23" t="n">
        <v>0.91</v>
      </c>
      <c r="E2293" s="24" t="n">
        <v>2</v>
      </c>
      <c r="F2293" s="24">
        <f>D2293*E2293</f>
        <v/>
      </c>
      <c r="G2293" s="22" t="n"/>
    </row>
    <row r="2294">
      <c r="A2294" s="22" t="inlineStr">
        <is>
          <t>0112</t>
        </is>
      </c>
      <c r="B2294" s="11" t="inlineStr">
        <is>
          <t>Carpenter 2nd class</t>
        </is>
      </c>
      <c r="C2294" s="22" t="inlineStr">
        <is>
          <t>day</t>
        </is>
      </c>
      <c r="D2294" s="23" t="n">
        <v>0.08</v>
      </c>
      <c r="E2294" s="24" t="n">
        <v>679</v>
      </c>
      <c r="F2294" s="24">
        <f>D2294*E2294</f>
        <v/>
      </c>
      <c r="G2294" s="22" t="n"/>
    </row>
    <row r="2295">
      <c r="A2295" s="8" t="inlineStr">
        <is>
          <t>Calculated W - SUM of the Amount column above</t>
        </is>
      </c>
      <c r="B2295" s="9" t="n"/>
      <c r="C2295" s="9" t="n"/>
      <c r="D2295" s="9" t="n"/>
      <c r="E2295" s="9" t="n"/>
      <c r="F2295" s="25">
        <f>SUM(F2291:F2294)</f>
        <v/>
      </c>
      <c r="G2295" s="9" t="n"/>
    </row>
    <row r="2296">
      <c r="A2296" s="26" t="inlineStr">
        <is>
          <t>W as printed in the DAR</t>
        </is>
      </c>
      <c r="B2296" s="22" t="n"/>
      <c r="C2296" s="22" t="n"/>
      <c r="D2296" s="22" t="n"/>
      <c r="E2296" s="22" t="n"/>
      <c r="F2296" s="27" t="n">
        <v>241.14</v>
      </c>
      <c r="G2296" s="22" t="n"/>
    </row>
    <row r="2297">
      <c r="A2297" s="26" t="inlineStr">
        <is>
          <t>Difference (calculated - printed)</t>
        </is>
      </c>
      <c r="B2297" s="22" t="n"/>
      <c r="C2297" s="22" t="n"/>
      <c r="D2297" s="22" t="n"/>
      <c r="E2297" s="22" t="n"/>
      <c r="F2297" s="27">
        <f>F2295-F2296</f>
        <v/>
      </c>
      <c r="G2297" s="22" t="n"/>
    </row>
    <row r="2298">
      <c r="A2298" s="29" t="inlineStr">
        <is>
          <t>SAY (Rs.) - final DAR rate as printed (fixed value, not computed)</t>
        </is>
      </c>
      <c r="B2298" s="30" t="n"/>
      <c r="C2298" s="30" t="n"/>
      <c r="D2298" s="30" t="n"/>
      <c r="E2298" s="30" t="n"/>
      <c r="F2298" s="31" t="n">
        <v>32.25</v>
      </c>
      <c r="G2298" s="30" t="n"/>
    </row>
    <row r="2300" ht="18.5" customHeight="1">
      <c r="A2300" s="8" t="inlineStr">
        <is>
          <t>9.71</t>
        </is>
      </c>
      <c r="B2300" s="17" t="inlineStr">
        <is>
          <t>Providing and fixing IS : 12817 marked stainless steel butt hinges (heavy weight) with stainless steel screws etc. complete :</t>
        </is>
      </c>
      <c r="C2300" s="9" t="n"/>
      <c r="D2300" s="9" t="n"/>
      <c r="E2300" s="9" t="n"/>
      <c r="F2300" s="9" t="n"/>
      <c r="G2300" s="9" t="n"/>
    </row>
    <row r="2301" ht="18.5" customHeight="1">
      <c r="A2301" s="18" t="inlineStr">
        <is>
          <t>9.71.1</t>
        </is>
      </c>
      <c r="B2301" s="19" t="inlineStr">
        <is>
          <t>125x64x2.50 mm</t>
        </is>
      </c>
      <c r="C2301" s="20" t="n"/>
      <c r="D2301" s="20" t="n"/>
      <c r="E2301" s="20" t="n"/>
      <c r="F2301" s="20" t="n"/>
      <c r="G2301" s="20" t="n"/>
    </row>
    <row r="2302">
      <c r="A2302" s="21" t="inlineStr">
        <is>
          <t>Details of cost for 10 nos   |   Source: CivilDAR_2019_Vol_1.pdf, page 528</t>
        </is>
      </c>
    </row>
    <row r="2303">
      <c r="A2303" s="5" t="inlineStr">
        <is>
          <t>Code</t>
        </is>
      </c>
      <c r="B2303" s="5" t="inlineStr">
        <is>
          <t>Description</t>
        </is>
      </c>
      <c r="C2303" s="5" t="inlineStr">
        <is>
          <t>Unit</t>
        </is>
      </c>
      <c r="D2303" s="5" t="inlineStr">
        <is>
          <t>Quantity</t>
        </is>
      </c>
      <c r="E2303" s="5" t="inlineStr">
        <is>
          <t>Rate (Rs.)</t>
        </is>
      </c>
      <c r="F2303" s="5" t="inlineStr">
        <is>
          <t>Amount (Rs.)</t>
        </is>
      </c>
      <c r="G2303" s="5" t="inlineStr">
        <is>
          <t>Note</t>
        </is>
      </c>
    </row>
    <row r="2304">
      <c r="A2304" s="22" t="inlineStr">
        <is>
          <t>8219</t>
        </is>
      </c>
      <c r="B2304" s="11" t="inlineStr">
        <is>
          <t>Stainless steel butt hinges (heavy weight) 125x64x2.5 mm IS : 12817 marked</t>
        </is>
      </c>
      <c r="C2304" s="22" t="inlineStr">
        <is>
          <t>10 Nos</t>
        </is>
      </c>
      <c r="D2304" s="23" t="n">
        <v>1</v>
      </c>
      <c r="E2304" s="24" t="n">
        <v>350</v>
      </c>
      <c r="F2304" s="24">
        <f>D2304*E2304</f>
        <v/>
      </c>
      <c r="G2304" s="22" t="n"/>
    </row>
    <row r="2305">
      <c r="A2305" s="22" t="inlineStr">
        <is>
          <t>8210</t>
        </is>
      </c>
      <c r="B2305" s="11" t="inlineStr">
        <is>
          <t>Stainless steel screws 50 mm</t>
        </is>
      </c>
      <c r="C2305" s="22" t="inlineStr">
        <is>
          <t>100 Nos</t>
        </is>
      </c>
      <c r="D2305" s="23" t="n">
        <v>0.8</v>
      </c>
      <c r="E2305" s="24" t="n">
        <v>270</v>
      </c>
      <c r="F2305" s="24">
        <f>D2305*E2305</f>
        <v/>
      </c>
      <c r="G2305" s="22" t="n"/>
    </row>
    <row r="2306">
      <c r="A2306" s="22" t="inlineStr">
        <is>
          <t>9977</t>
        </is>
      </c>
      <c r="B2306" s="11" t="inlineStr">
        <is>
          <t>Carriage of materials</t>
        </is>
      </c>
      <c r="C2306" s="22" t="inlineStr">
        <is>
          <t>L.S.</t>
        </is>
      </c>
      <c r="D2306" s="23" t="n">
        <v>2.73</v>
      </c>
      <c r="E2306" s="24" t="n">
        <v>2</v>
      </c>
      <c r="F2306" s="24">
        <f>D2306*E2306</f>
        <v/>
      </c>
      <c r="G2306" s="22" t="n"/>
    </row>
    <row r="2307">
      <c r="A2307" s="22" t="inlineStr">
        <is>
          <t>0112</t>
        </is>
      </c>
      <c r="B2307" s="11" t="inlineStr">
        <is>
          <t>Carpenter 2nd class</t>
        </is>
      </c>
      <c r="C2307" s="22" t="inlineStr">
        <is>
          <t>day</t>
        </is>
      </c>
      <c r="D2307" s="23" t="n">
        <v>0.14</v>
      </c>
      <c r="E2307" s="24" t="n">
        <v>679</v>
      </c>
      <c r="F2307" s="24">
        <f>D2307*E2307</f>
        <v/>
      </c>
      <c r="G2307" s="22" t="n"/>
    </row>
    <row r="2308">
      <c r="A2308" s="22" t="inlineStr">
        <is>
          <t>0114</t>
        </is>
      </c>
      <c r="B2308" s="11" t="inlineStr">
        <is>
          <t>Beldar</t>
        </is>
      </c>
      <c r="C2308" s="22" t="inlineStr">
        <is>
          <t>day</t>
        </is>
      </c>
      <c r="D2308" s="23" t="n">
        <v>0.09</v>
      </c>
      <c r="E2308" s="24" t="n">
        <v>558</v>
      </c>
      <c r="F2308" s="24">
        <f>D2308*E2308</f>
        <v/>
      </c>
      <c r="G2308" s="22" t="n"/>
    </row>
    <row r="2309">
      <c r="A2309" s="8" t="inlineStr">
        <is>
          <t>Calculated W - SUM of the Amount column above</t>
        </is>
      </c>
      <c r="B2309" s="9" t="n"/>
      <c r="C2309" s="9" t="n"/>
      <c r="D2309" s="9" t="n"/>
      <c r="E2309" s="9" t="n"/>
      <c r="F2309" s="25">
        <f>SUM(F2304:F2308)</f>
        <v/>
      </c>
      <c r="G2309" s="9" t="n"/>
    </row>
    <row r="2310">
      <c r="A2310" s="26" t="inlineStr">
        <is>
          <t>W as printed in the DAR</t>
        </is>
      </c>
      <c r="B2310" s="22" t="n"/>
      <c r="C2310" s="22" t="n"/>
      <c r="D2310" s="22" t="n"/>
      <c r="E2310" s="22" t="n"/>
      <c r="F2310" s="27" t="n">
        <v>716.74</v>
      </c>
      <c r="G2310" s="22" t="n"/>
    </row>
    <row r="2311">
      <c r="A2311" s="26" t="inlineStr">
        <is>
          <t>Difference (calculated - printed)</t>
        </is>
      </c>
      <c r="B2311" s="22" t="n"/>
      <c r="C2311" s="22" t="n"/>
      <c r="D2311" s="22" t="n"/>
      <c r="E2311" s="22" t="n"/>
      <c r="F2311" s="27">
        <f>F2309-F2310</f>
        <v/>
      </c>
      <c r="G2311" s="22" t="n"/>
    </row>
    <row r="2312">
      <c r="A2312" s="29" t="inlineStr">
        <is>
          <t>SAY (Rs.) - final DAR rate as printed (fixed value, not computed)</t>
        </is>
      </c>
      <c r="B2312" s="30" t="n"/>
      <c r="C2312" s="30" t="n"/>
      <c r="D2312" s="30" t="n"/>
      <c r="E2312" s="30" t="n"/>
      <c r="F2312" s="31" t="n">
        <v>95.90000000000001</v>
      </c>
      <c r="G2312" s="30" t="n"/>
    </row>
    <row r="2314" ht="18.5" customHeight="1">
      <c r="A2314" s="8" t="inlineStr">
        <is>
          <t>9.71</t>
        </is>
      </c>
      <c r="B2314" s="17" t="inlineStr">
        <is>
          <t>Providing and fixing IS : 12817 marked stainless steel butt hinges (heavy weight) with stainless steel screws etc. complete :</t>
        </is>
      </c>
      <c r="C2314" s="9" t="n"/>
      <c r="D2314" s="9" t="n"/>
      <c r="E2314" s="9" t="n"/>
      <c r="F2314" s="9" t="n"/>
      <c r="G2314" s="9" t="n"/>
    </row>
    <row r="2315" ht="18.5" customHeight="1">
      <c r="A2315" s="18" t="inlineStr">
        <is>
          <t>9.71.2</t>
        </is>
      </c>
      <c r="B2315" s="19" t="inlineStr">
        <is>
          <t>100x60x2.50 mm</t>
        </is>
      </c>
      <c r="C2315" s="20" t="n"/>
      <c r="D2315" s="20" t="n"/>
      <c r="E2315" s="20" t="n"/>
      <c r="F2315" s="20" t="n"/>
      <c r="G2315" s="20" t="n"/>
    </row>
    <row r="2316">
      <c r="A2316" s="21" t="inlineStr">
        <is>
          <t>Details of cost for 10 nos   |   Source: CivilDAR_2019_Vol_1.pdf, page 528</t>
        </is>
      </c>
    </row>
    <row r="2317">
      <c r="A2317" s="5" t="inlineStr">
        <is>
          <t>Code</t>
        </is>
      </c>
      <c r="B2317" s="5" t="inlineStr">
        <is>
          <t>Description</t>
        </is>
      </c>
      <c r="C2317" s="5" t="inlineStr">
        <is>
          <t>Unit</t>
        </is>
      </c>
      <c r="D2317" s="5" t="inlineStr">
        <is>
          <t>Quantity</t>
        </is>
      </c>
      <c r="E2317" s="5" t="inlineStr">
        <is>
          <t>Rate (Rs.)</t>
        </is>
      </c>
      <c r="F2317" s="5" t="inlineStr">
        <is>
          <t>Amount (Rs.)</t>
        </is>
      </c>
      <c r="G2317" s="5" t="inlineStr">
        <is>
          <t>Note</t>
        </is>
      </c>
    </row>
    <row r="2318">
      <c r="A2318" s="22" t="inlineStr">
        <is>
          <t>8220</t>
        </is>
      </c>
      <c r="B2318" s="11" t="inlineStr">
        <is>
          <t>Stainless steel butt hinges (heavy weight) 100x60x2.5 mm IS : 12817 marked</t>
        </is>
      </c>
      <c r="C2318" s="22" t="inlineStr">
        <is>
          <t>10 Nos</t>
        </is>
      </c>
      <c r="D2318" s="23" t="n">
        <v>1</v>
      </c>
      <c r="E2318" s="24" t="n">
        <v>255</v>
      </c>
      <c r="F2318" s="24">
        <f>D2318*E2318</f>
        <v/>
      </c>
      <c r="G2318" s="22" t="n"/>
    </row>
    <row r="2319">
      <c r="A2319" s="22" t="inlineStr">
        <is>
          <t>8211</t>
        </is>
      </c>
      <c r="B2319" s="11" t="inlineStr">
        <is>
          <t>Stainless steel screws 40 mm</t>
        </is>
      </c>
      <c r="C2319" s="22" t="inlineStr">
        <is>
          <t>100 Nos</t>
        </is>
      </c>
      <c r="D2319" s="23" t="n">
        <v>0.8</v>
      </c>
      <c r="E2319" s="24" t="n">
        <v>215</v>
      </c>
      <c r="F2319" s="24">
        <f>D2319*E2319</f>
        <v/>
      </c>
      <c r="G2319" s="22" t="n"/>
    </row>
    <row r="2320">
      <c r="A2320" s="22" t="inlineStr">
        <is>
          <t>9977</t>
        </is>
      </c>
      <c r="B2320" s="11" t="inlineStr">
        <is>
          <t>Carriage of materials</t>
        </is>
      </c>
      <c r="C2320" s="22" t="inlineStr">
        <is>
          <t>L.S.</t>
        </is>
      </c>
      <c r="D2320" s="23" t="n">
        <v>2.73</v>
      </c>
      <c r="E2320" s="24" t="n">
        <v>2</v>
      </c>
      <c r="F2320" s="24">
        <f>D2320*E2320</f>
        <v/>
      </c>
      <c r="G2320" s="22" t="n"/>
    </row>
    <row r="2321">
      <c r="A2321" s="22" t="inlineStr">
        <is>
          <t>0112</t>
        </is>
      </c>
      <c r="B2321" s="11" t="inlineStr">
        <is>
          <t>Carpenter 2nd class</t>
        </is>
      </c>
      <c r="C2321" s="22" t="inlineStr">
        <is>
          <t>day</t>
        </is>
      </c>
      <c r="D2321" s="23" t="n">
        <v>0.14</v>
      </c>
      <c r="E2321" s="24" t="n">
        <v>679</v>
      </c>
      <c r="F2321" s="24">
        <f>D2321*E2321</f>
        <v/>
      </c>
      <c r="G2321" s="22" t="n"/>
    </row>
    <row r="2322">
      <c r="A2322" s="22" t="inlineStr">
        <is>
          <t>0114</t>
        </is>
      </c>
      <c r="B2322" s="11" t="inlineStr">
        <is>
          <t>Beldar</t>
        </is>
      </c>
      <c r="C2322" s="22" t="inlineStr">
        <is>
          <t>day</t>
        </is>
      </c>
      <c r="D2322" s="23" t="n">
        <v>0.09</v>
      </c>
      <c r="E2322" s="24" t="n">
        <v>558</v>
      </c>
      <c r="F2322" s="24">
        <f>D2322*E2322</f>
        <v/>
      </c>
      <c r="G2322" s="22" t="n"/>
    </row>
    <row r="2323">
      <c r="A2323" s="8" t="inlineStr">
        <is>
          <t>Calculated W - SUM of the Amount column above</t>
        </is>
      </c>
      <c r="B2323" s="9" t="n"/>
      <c r="C2323" s="9" t="n"/>
      <c r="D2323" s="9" t="n"/>
      <c r="E2323" s="9" t="n"/>
      <c r="F2323" s="25">
        <f>SUM(F2318:F2322)</f>
        <v/>
      </c>
      <c r="G2323" s="9" t="n"/>
    </row>
    <row r="2324">
      <c r="A2324" s="26" t="inlineStr">
        <is>
          <t>W as printed in the DAR</t>
        </is>
      </c>
      <c r="B2324" s="22" t="n"/>
      <c r="C2324" s="22" t="n"/>
      <c r="D2324" s="22" t="n"/>
      <c r="E2324" s="22" t="n"/>
      <c r="F2324" s="27" t="n">
        <v>577.74</v>
      </c>
      <c r="G2324" s="22" t="n"/>
    </row>
    <row r="2325">
      <c r="A2325" s="26" t="inlineStr">
        <is>
          <t>Difference (calculated - printed)</t>
        </is>
      </c>
      <c r="B2325" s="22" t="n"/>
      <c r="C2325" s="22" t="n"/>
      <c r="D2325" s="22" t="n"/>
      <c r="E2325" s="22" t="n"/>
      <c r="F2325" s="27">
        <f>F2323-F2324</f>
        <v/>
      </c>
      <c r="G2325" s="22" t="n"/>
    </row>
    <row r="2326">
      <c r="A2326" s="29" t="inlineStr">
        <is>
          <t>SAY (Rs.) - final DAR rate as printed (fixed value, not computed)</t>
        </is>
      </c>
      <c r="B2326" s="30" t="n"/>
      <c r="C2326" s="30" t="n"/>
      <c r="D2326" s="30" t="n"/>
      <c r="E2326" s="30" t="n"/>
      <c r="F2326" s="31" t="n">
        <v>77.3</v>
      </c>
      <c r="G2326" s="30" t="n"/>
    </row>
    <row r="2328" ht="18.5" customHeight="1">
      <c r="A2328" s="8" t="inlineStr">
        <is>
          <t>9.71</t>
        </is>
      </c>
      <c r="B2328" s="17" t="inlineStr">
        <is>
          <t>Providing and fixing IS : 12817 marked stainless steel butt hinges (heavy weight) with stainless steel screws etc. complete :</t>
        </is>
      </c>
      <c r="C2328" s="9" t="n"/>
      <c r="D2328" s="9" t="n"/>
      <c r="E2328" s="9" t="n"/>
      <c r="F2328" s="9" t="n"/>
      <c r="G2328" s="9" t="n"/>
    </row>
    <row r="2329" ht="18.5" customHeight="1">
      <c r="A2329" s="18" t="inlineStr">
        <is>
          <t>9.71.3</t>
        </is>
      </c>
      <c r="B2329" s="19" t="inlineStr">
        <is>
          <t>75x50x2.50 mm</t>
        </is>
      </c>
      <c r="C2329" s="20" t="n"/>
      <c r="D2329" s="20" t="n"/>
      <c r="E2329" s="20" t="n"/>
      <c r="F2329" s="20" t="n"/>
      <c r="G2329" s="20" t="n"/>
    </row>
    <row r="2330">
      <c r="A2330" s="21" t="inlineStr">
        <is>
          <t>Details of cost for 10 nos   |   Source: CivilDAR_2019_Vol_1.pdf, page 529</t>
        </is>
      </c>
    </row>
    <row r="2331">
      <c r="A2331" s="5" t="inlineStr">
        <is>
          <t>Code</t>
        </is>
      </c>
      <c r="B2331" s="5" t="inlineStr">
        <is>
          <t>Description</t>
        </is>
      </c>
      <c r="C2331" s="5" t="inlineStr">
        <is>
          <t>Unit</t>
        </is>
      </c>
      <c r="D2331" s="5" t="inlineStr">
        <is>
          <t>Quantity</t>
        </is>
      </c>
      <c r="E2331" s="5" t="inlineStr">
        <is>
          <t>Rate (Rs.)</t>
        </is>
      </c>
      <c r="F2331" s="5" t="inlineStr">
        <is>
          <t>Amount (Rs.)</t>
        </is>
      </c>
      <c r="G2331" s="5" t="inlineStr">
        <is>
          <t>Note</t>
        </is>
      </c>
    </row>
    <row r="2332">
      <c r="A2332" s="22" t="inlineStr">
        <is>
          <t>8221</t>
        </is>
      </c>
      <c r="B2332" s="11" t="inlineStr">
        <is>
          <t>Stainless steel butt hinges (heavy weight) 75x50x2.5 mm IS : 12817 marked</t>
        </is>
      </c>
      <c r="C2332" s="22" t="inlineStr">
        <is>
          <t>10 Nos</t>
        </is>
      </c>
      <c r="D2332" s="23" t="n">
        <v>1</v>
      </c>
      <c r="E2332" s="24" t="n">
        <v>205</v>
      </c>
      <c r="F2332" s="24">
        <f>D2332*E2332</f>
        <v/>
      </c>
      <c r="G2332" s="22" t="n"/>
    </row>
    <row r="2333">
      <c r="A2333" s="22" t="inlineStr">
        <is>
          <t>8212</t>
        </is>
      </c>
      <c r="B2333" s="11" t="inlineStr">
        <is>
          <t>Stainless steel screws 30 mm</t>
        </is>
      </c>
      <c r="C2333" s="22" t="inlineStr">
        <is>
          <t>100 Nos</t>
        </is>
      </c>
      <c r="D2333" s="23" t="n">
        <v>0.6</v>
      </c>
      <c r="E2333" s="24" t="n">
        <v>190</v>
      </c>
      <c r="F2333" s="24">
        <f>D2333*E2333</f>
        <v/>
      </c>
      <c r="G2333" s="22" t="n"/>
    </row>
    <row r="2334">
      <c r="A2334" s="22" t="inlineStr">
        <is>
          <t>9977</t>
        </is>
      </c>
      <c r="B2334" s="11" t="inlineStr">
        <is>
          <t>Carriage of materials</t>
        </is>
      </c>
      <c r="C2334" s="22" t="inlineStr">
        <is>
          <t>L.S.</t>
        </is>
      </c>
      <c r="D2334" s="23" t="n">
        <v>1.82</v>
      </c>
      <c r="E2334" s="24" t="n">
        <v>2</v>
      </c>
      <c r="F2334" s="24">
        <f>D2334*E2334</f>
        <v/>
      </c>
      <c r="G2334" s="22" t="n"/>
    </row>
    <row r="2335">
      <c r="A2335" s="22" t="inlineStr">
        <is>
          <t>0112</t>
        </is>
      </c>
      <c r="B2335" s="11" t="inlineStr">
        <is>
          <t>Carpenter 2nd class</t>
        </is>
      </c>
      <c r="C2335" s="22" t="inlineStr">
        <is>
          <t>day</t>
        </is>
      </c>
      <c r="D2335" s="23" t="n">
        <v>0.14</v>
      </c>
      <c r="E2335" s="24" t="n">
        <v>679</v>
      </c>
      <c r="F2335" s="24">
        <f>D2335*E2335</f>
        <v/>
      </c>
      <c r="G2335" s="22" t="n"/>
    </row>
    <row r="2336">
      <c r="A2336" s="22" t="inlineStr">
        <is>
          <t>0114</t>
        </is>
      </c>
      <c r="B2336" s="11" t="inlineStr">
        <is>
          <t>Beldar</t>
        </is>
      </c>
      <c r="C2336" s="22" t="inlineStr">
        <is>
          <t>day</t>
        </is>
      </c>
      <c r="D2336" s="23" t="n">
        <v>0.09</v>
      </c>
      <c r="E2336" s="24" t="n">
        <v>558</v>
      </c>
      <c r="F2336" s="24">
        <f>D2336*E2336</f>
        <v/>
      </c>
      <c r="G2336" s="22" t="n"/>
    </row>
    <row r="2337">
      <c r="A2337" s="8" t="inlineStr">
        <is>
          <t>Calculated W - SUM of the Amount column above</t>
        </is>
      </c>
      <c r="B2337" s="9" t="n"/>
      <c r="C2337" s="9" t="n"/>
      <c r="D2337" s="9" t="n"/>
      <c r="E2337" s="9" t="n"/>
      <c r="F2337" s="25">
        <f>SUM(F2332:F2336)</f>
        <v/>
      </c>
      <c r="G2337" s="9" t="n"/>
    </row>
    <row r="2338">
      <c r="A2338" s="26" t="inlineStr">
        <is>
          <t>W as printed in the DAR</t>
        </is>
      </c>
      <c r="B2338" s="22" t="n"/>
      <c r="C2338" s="22" t="n"/>
      <c r="D2338" s="22" t="n"/>
      <c r="E2338" s="22" t="n"/>
      <c r="F2338" s="27" t="n">
        <v>467.92</v>
      </c>
      <c r="G2338" s="22" t="n"/>
    </row>
    <row r="2339">
      <c r="A2339" s="26" t="inlineStr">
        <is>
          <t>Difference (calculated - printed)</t>
        </is>
      </c>
      <c r="B2339" s="22" t="n"/>
      <c r="C2339" s="22" t="n"/>
      <c r="D2339" s="22" t="n"/>
      <c r="E2339" s="22" t="n"/>
      <c r="F2339" s="27">
        <f>F2337-F2338</f>
        <v/>
      </c>
      <c r="G2339" s="22" t="n"/>
    </row>
    <row r="2340">
      <c r="A2340" s="29" t="inlineStr">
        <is>
          <t>SAY (Rs.) - final DAR rate as printed (fixed value, not computed)</t>
        </is>
      </c>
      <c r="B2340" s="30" t="n"/>
      <c r="C2340" s="30" t="n"/>
      <c r="D2340" s="30" t="n"/>
      <c r="E2340" s="30" t="n"/>
      <c r="F2340" s="31" t="n">
        <v>62.6</v>
      </c>
      <c r="G2340" s="30" t="n"/>
    </row>
    <row r="2342" ht="18.5" customHeight="1">
      <c r="A2342" s="8" t="inlineStr">
        <is>
          <t>9.72</t>
        </is>
      </c>
      <c r="B2342" s="17" t="inlineStr">
        <is>
          <t>Providing and fixing bright finished brass butt hinges with necessary screws etc. complete :</t>
        </is>
      </c>
      <c r="C2342" s="9" t="n"/>
      <c r="D2342" s="9" t="n"/>
      <c r="E2342" s="9" t="n"/>
      <c r="F2342" s="9" t="n"/>
      <c r="G2342" s="9" t="n"/>
    </row>
    <row r="2343" ht="18.5" customHeight="1">
      <c r="A2343" s="18" t="inlineStr">
        <is>
          <t>9.72.1</t>
        </is>
      </c>
      <c r="B2343" s="19" t="inlineStr">
        <is>
          <t>125x85x5.5 mm (heavy type)</t>
        </is>
      </c>
      <c r="C2343" s="20" t="n"/>
      <c r="D2343" s="20" t="n"/>
      <c r="E2343" s="20" t="n"/>
      <c r="F2343" s="20" t="n"/>
      <c r="G2343" s="20" t="n"/>
    </row>
    <row r="2344">
      <c r="A2344" s="21" t="inlineStr">
        <is>
          <t>Details of cost for 10 nos   |   Source: CivilDAR_2019_Vol_1.pdf, page 529</t>
        </is>
      </c>
    </row>
    <row r="2345">
      <c r="A2345" s="5" t="inlineStr">
        <is>
          <t>Code</t>
        </is>
      </c>
      <c r="B2345" s="5" t="inlineStr">
        <is>
          <t>Description</t>
        </is>
      </c>
      <c r="C2345" s="5" t="inlineStr">
        <is>
          <t>Unit</t>
        </is>
      </c>
      <c r="D2345" s="5" t="inlineStr">
        <is>
          <t>Quantity</t>
        </is>
      </c>
      <c r="E2345" s="5" t="inlineStr">
        <is>
          <t>Rate (Rs.)</t>
        </is>
      </c>
      <c r="F2345" s="5" t="inlineStr">
        <is>
          <t>Amount (Rs.)</t>
        </is>
      </c>
      <c r="G2345" s="5" t="inlineStr">
        <is>
          <t>Note</t>
        </is>
      </c>
    </row>
    <row r="2346">
      <c r="A2346" s="22" t="inlineStr">
        <is>
          <t>0382</t>
        </is>
      </c>
      <c r="B2346" s="11" t="inlineStr">
        <is>
          <t>Brass butt hinges (heavy type) : 125x85x5.5 mm (0.70kg)</t>
        </is>
      </c>
      <c r="C2346" s="22" t="inlineStr">
        <is>
          <t>10 Nos</t>
        </is>
      </c>
      <c r="D2346" s="23" t="n">
        <v>1</v>
      </c>
      <c r="E2346" s="24" t="n">
        <v>1309</v>
      </c>
      <c r="F2346" s="24">
        <f>D2346*E2346</f>
        <v/>
      </c>
      <c r="G2346" s="22" t="n"/>
    </row>
    <row r="2347">
      <c r="A2347" s="22" t="inlineStr">
        <is>
          <t>0449</t>
        </is>
      </c>
      <c r="B2347" s="11" t="inlineStr">
        <is>
          <t>Brass screws 50 mm</t>
        </is>
      </c>
      <c r="C2347" s="22" t="inlineStr">
        <is>
          <t>100 Nos</t>
        </is>
      </c>
      <c r="D2347" s="23" t="n">
        <v>1</v>
      </c>
      <c r="E2347" s="24" t="n">
        <v>220</v>
      </c>
      <c r="F2347" s="24">
        <f>D2347*E2347</f>
        <v/>
      </c>
      <c r="G2347" s="22" t="n"/>
    </row>
    <row r="2348">
      <c r="A2348" s="22" t="inlineStr">
        <is>
          <t>9977</t>
        </is>
      </c>
      <c r="B2348" s="11" t="inlineStr">
        <is>
          <t>Carriage of material</t>
        </is>
      </c>
      <c r="C2348" s="22" t="inlineStr">
        <is>
          <t>L.S.</t>
        </is>
      </c>
      <c r="D2348" s="23" t="n">
        <v>3.64</v>
      </c>
      <c r="E2348" s="24" t="n">
        <v>2</v>
      </c>
      <c r="F2348" s="24">
        <f>D2348*E2348</f>
        <v/>
      </c>
      <c r="G2348" s="22" t="n"/>
    </row>
    <row r="2349">
      <c r="A2349" s="22" t="inlineStr">
        <is>
          <t>0111</t>
        </is>
      </c>
      <c r="B2349" s="11" t="inlineStr">
        <is>
          <t>Carpenter 1st class</t>
        </is>
      </c>
      <c r="C2349" s="22" t="inlineStr">
        <is>
          <t>day</t>
        </is>
      </c>
      <c r="D2349" s="23" t="n">
        <v>0.14</v>
      </c>
      <c r="E2349" s="24" t="n">
        <v>738</v>
      </c>
      <c r="F2349" s="24">
        <f>D2349*E2349</f>
        <v/>
      </c>
      <c r="G2349" s="22" t="n"/>
    </row>
    <row r="2350">
      <c r="A2350" s="22" t="inlineStr">
        <is>
          <t>0114</t>
        </is>
      </c>
      <c r="B2350" s="11" t="inlineStr">
        <is>
          <t>Beldar</t>
        </is>
      </c>
      <c r="C2350" s="22" t="inlineStr">
        <is>
          <t>day</t>
        </is>
      </c>
      <c r="D2350" s="23" t="n">
        <v>0.1</v>
      </c>
      <c r="E2350" s="24" t="n">
        <v>558</v>
      </c>
      <c r="F2350" s="24">
        <f>D2350*E2350</f>
        <v/>
      </c>
      <c r="G2350" s="22" t="n"/>
    </row>
    <row r="2351">
      <c r="A2351" s="8" t="inlineStr">
        <is>
          <t>Calculated W - SUM of the Amount column above</t>
        </is>
      </c>
      <c r="B2351" s="9" t="n"/>
      <c r="C2351" s="9" t="n"/>
      <c r="D2351" s="9" t="n"/>
      <c r="E2351" s="9" t="n"/>
      <c r="F2351" s="25">
        <f>SUM(F2346:F2350)</f>
        <v/>
      </c>
      <c r="G2351" s="9" t="n"/>
    </row>
    <row r="2352">
      <c r="A2352" s="26" t="inlineStr">
        <is>
          <t>W as printed in the DAR</t>
        </is>
      </c>
      <c r="B2352" s="22" t="n"/>
      <c r="C2352" s="22" t="n"/>
      <c r="D2352" s="22" t="n"/>
      <c r="E2352" s="22" t="n"/>
      <c r="F2352" s="27" t="n">
        <v>1695.4</v>
      </c>
      <c r="G2352" s="22" t="n"/>
    </row>
    <row r="2353">
      <c r="A2353" s="26" t="inlineStr">
        <is>
          <t>Difference (calculated - printed)</t>
        </is>
      </c>
      <c r="B2353" s="22" t="n"/>
      <c r="C2353" s="22" t="n"/>
      <c r="D2353" s="22" t="n"/>
      <c r="E2353" s="22" t="n"/>
      <c r="F2353" s="27">
        <f>F2351-F2352</f>
        <v/>
      </c>
      <c r="G2353" s="22" t="n"/>
    </row>
    <row r="2354">
      <c r="A2354" s="29" t="inlineStr">
        <is>
          <t>SAY (Rs.) - final DAR rate as printed (fixed value, not computed)</t>
        </is>
      </c>
      <c r="B2354" s="30" t="n"/>
      <c r="C2354" s="30" t="n"/>
      <c r="D2354" s="30" t="n"/>
      <c r="E2354" s="30" t="n"/>
      <c r="F2354" s="31" t="n">
        <v>226.85</v>
      </c>
      <c r="G2354" s="30" t="n"/>
    </row>
    <row r="2356" ht="18.5" customHeight="1">
      <c r="A2356" s="8" t="inlineStr">
        <is>
          <t>9.72</t>
        </is>
      </c>
      <c r="B2356" s="17" t="inlineStr">
        <is>
          <t>Providing and fixing bright finished brass butt hinges with necessary screws etc. complete :</t>
        </is>
      </c>
      <c r="C2356" s="9" t="n"/>
      <c r="D2356" s="9" t="n"/>
      <c r="E2356" s="9" t="n"/>
      <c r="F2356" s="9" t="n"/>
      <c r="G2356" s="9" t="n"/>
    </row>
    <row r="2357" ht="18.5" customHeight="1">
      <c r="A2357" s="18" t="inlineStr">
        <is>
          <t>9.72.2</t>
        </is>
      </c>
      <c r="B2357" s="19" t="inlineStr">
        <is>
          <t>125x70x4 mm (ordinary type)</t>
        </is>
      </c>
      <c r="C2357" s="20" t="n"/>
      <c r="D2357" s="20" t="n"/>
      <c r="E2357" s="20" t="n"/>
      <c r="F2357" s="20" t="n"/>
      <c r="G2357" s="20" t="n"/>
    </row>
    <row r="2358">
      <c r="A2358" s="21" t="inlineStr">
        <is>
          <t>Details of cost for 10 nos   |   Source: CivilDAR_2019_Vol_1.pdf, page 530</t>
        </is>
      </c>
    </row>
    <row r="2359">
      <c r="A2359" s="5" t="inlineStr">
        <is>
          <t>Code</t>
        </is>
      </c>
      <c r="B2359" s="5" t="inlineStr">
        <is>
          <t>Description</t>
        </is>
      </c>
      <c r="C2359" s="5" t="inlineStr">
        <is>
          <t>Unit</t>
        </is>
      </c>
      <c r="D2359" s="5" t="inlineStr">
        <is>
          <t>Quantity</t>
        </is>
      </c>
      <c r="E2359" s="5" t="inlineStr">
        <is>
          <t>Rate (Rs.)</t>
        </is>
      </c>
      <c r="F2359" s="5" t="inlineStr">
        <is>
          <t>Amount (Rs.)</t>
        </is>
      </c>
      <c r="G2359" s="5" t="inlineStr">
        <is>
          <t>Note</t>
        </is>
      </c>
    </row>
    <row r="2360">
      <c r="A2360" s="22" t="inlineStr">
        <is>
          <t>0378</t>
        </is>
      </c>
      <c r="B2360" s="11" t="inlineStr">
        <is>
          <t>Brass butt hinges (light/ordinary type) : 125x70x4 mm</t>
        </is>
      </c>
      <c r="C2360" s="22" t="inlineStr">
        <is>
          <t>10 Nos</t>
        </is>
      </c>
      <c r="D2360" s="23" t="n">
        <v>1</v>
      </c>
      <c r="E2360" s="24" t="n">
        <v>775</v>
      </c>
      <c r="F2360" s="24">
        <f>D2360*E2360</f>
        <v/>
      </c>
      <c r="G2360" s="22" t="n"/>
    </row>
    <row r="2361">
      <c r="A2361" s="22" t="inlineStr">
        <is>
          <t>0449</t>
        </is>
      </c>
      <c r="B2361" s="11" t="inlineStr">
        <is>
          <t>Brass screws 50 mm</t>
        </is>
      </c>
      <c r="C2361" s="22" t="inlineStr">
        <is>
          <t>100 Nos</t>
        </is>
      </c>
      <c r="D2361" s="23" t="n">
        <v>1</v>
      </c>
      <c r="E2361" s="24" t="n">
        <v>220</v>
      </c>
      <c r="F2361" s="24">
        <f>D2361*E2361</f>
        <v/>
      </c>
      <c r="G2361" s="22" t="n"/>
    </row>
    <row r="2362">
      <c r="A2362" s="22" t="inlineStr">
        <is>
          <t>9977</t>
        </is>
      </c>
      <c r="B2362" s="11" t="inlineStr">
        <is>
          <t>Carriage of material</t>
        </is>
      </c>
      <c r="C2362" s="22" t="inlineStr">
        <is>
          <t>L.S.</t>
        </is>
      </c>
      <c r="D2362" s="23" t="n">
        <v>3.64</v>
      </c>
      <c r="E2362" s="24" t="n">
        <v>2</v>
      </c>
      <c r="F2362" s="24">
        <f>D2362*E2362</f>
        <v/>
      </c>
      <c r="G2362" s="22" t="n"/>
    </row>
    <row r="2363">
      <c r="A2363" s="22" t="inlineStr">
        <is>
          <t>0111</t>
        </is>
      </c>
      <c r="B2363" s="11" t="inlineStr">
        <is>
          <t>Carpenter 1st class</t>
        </is>
      </c>
      <c r="C2363" s="22" t="inlineStr">
        <is>
          <t>day</t>
        </is>
      </c>
      <c r="D2363" s="23" t="n">
        <v>0.14</v>
      </c>
      <c r="E2363" s="24" t="n">
        <v>738</v>
      </c>
      <c r="F2363" s="24">
        <f>D2363*E2363</f>
        <v/>
      </c>
      <c r="G2363" s="22" t="n"/>
    </row>
    <row r="2364">
      <c r="A2364" s="22" t="inlineStr">
        <is>
          <t>0114</t>
        </is>
      </c>
      <c r="B2364" s="11" t="inlineStr">
        <is>
          <t>Beldar</t>
        </is>
      </c>
      <c r="C2364" s="22" t="inlineStr">
        <is>
          <t>day</t>
        </is>
      </c>
      <c r="D2364" s="23" t="n">
        <v>0.1</v>
      </c>
      <c r="E2364" s="24" t="n">
        <v>558</v>
      </c>
      <c r="F2364" s="24">
        <f>D2364*E2364</f>
        <v/>
      </c>
      <c r="G2364" s="22" t="n"/>
    </row>
    <row r="2365">
      <c r="A2365" s="8" t="inlineStr">
        <is>
          <t>Calculated W - SUM of the Amount column above</t>
        </is>
      </c>
      <c r="B2365" s="9" t="n"/>
      <c r="C2365" s="9" t="n"/>
      <c r="D2365" s="9" t="n"/>
      <c r="E2365" s="9" t="n"/>
      <c r="F2365" s="25">
        <f>SUM(F2360:F2364)</f>
        <v/>
      </c>
      <c r="G2365" s="9" t="n"/>
    </row>
    <row r="2366">
      <c r="A2366" s="26" t="inlineStr">
        <is>
          <t>W as printed in the DAR</t>
        </is>
      </c>
      <c r="B2366" s="22" t="n"/>
      <c r="C2366" s="22" t="n"/>
      <c r="D2366" s="22" t="n"/>
      <c r="E2366" s="22" t="n"/>
      <c r="F2366" s="27" t="n">
        <v>1161.4</v>
      </c>
      <c r="G2366" s="22" t="n"/>
    </row>
    <row r="2367">
      <c r="A2367" s="26" t="inlineStr">
        <is>
          <t>Difference (calculated - printed)</t>
        </is>
      </c>
      <c r="B2367" s="22" t="n"/>
      <c r="C2367" s="22" t="n"/>
      <c r="D2367" s="22" t="n"/>
      <c r="E2367" s="22" t="n"/>
      <c r="F2367" s="27">
        <f>F2365-F2366</f>
        <v/>
      </c>
      <c r="G2367" s="22" t="n"/>
    </row>
    <row r="2368">
      <c r="A2368" s="29" t="inlineStr">
        <is>
          <t>SAY (Rs.) - final DAR rate as printed (fixed value, not computed)</t>
        </is>
      </c>
      <c r="B2368" s="30" t="n"/>
      <c r="C2368" s="30" t="n"/>
      <c r="D2368" s="30" t="n"/>
      <c r="E2368" s="30" t="n"/>
      <c r="F2368" s="31" t="n">
        <v>155.4</v>
      </c>
      <c r="G2368" s="30" t="n"/>
    </row>
    <row r="2370" ht="18.5" customHeight="1">
      <c r="A2370" s="8" t="inlineStr">
        <is>
          <t>9.72</t>
        </is>
      </c>
      <c r="B2370" s="17" t="inlineStr">
        <is>
          <t>Providing and fixing bright finished brass butt hinges with necessary screws etc. complete :</t>
        </is>
      </c>
      <c r="C2370" s="9" t="n"/>
      <c r="D2370" s="9" t="n"/>
      <c r="E2370" s="9" t="n"/>
      <c r="F2370" s="9" t="n"/>
      <c r="G2370" s="9" t="n"/>
    </row>
    <row r="2371" ht="18.5" customHeight="1">
      <c r="A2371" s="18" t="inlineStr">
        <is>
          <t>9.72.3</t>
        </is>
      </c>
      <c r="B2371" s="19" t="inlineStr">
        <is>
          <t>100x85x5.5 mm (heavy type)</t>
        </is>
      </c>
      <c r="C2371" s="20" t="n"/>
      <c r="D2371" s="20" t="n"/>
      <c r="E2371" s="20" t="n"/>
      <c r="F2371" s="20" t="n"/>
      <c r="G2371" s="20" t="n"/>
    </row>
    <row r="2372">
      <c r="A2372" s="21" t="inlineStr">
        <is>
          <t>Details of cost for 10 nos   |   Source: CivilDAR_2019_Vol_1.pdf, page 530</t>
        </is>
      </c>
    </row>
    <row r="2373">
      <c r="A2373" s="5" t="inlineStr">
        <is>
          <t>Code</t>
        </is>
      </c>
      <c r="B2373" s="5" t="inlineStr">
        <is>
          <t>Description</t>
        </is>
      </c>
      <c r="C2373" s="5" t="inlineStr">
        <is>
          <t>Unit</t>
        </is>
      </c>
      <c r="D2373" s="5" t="inlineStr">
        <is>
          <t>Quantity</t>
        </is>
      </c>
      <c r="E2373" s="5" t="inlineStr">
        <is>
          <t>Rate (Rs.)</t>
        </is>
      </c>
      <c r="F2373" s="5" t="inlineStr">
        <is>
          <t>Amount (Rs.)</t>
        </is>
      </c>
      <c r="G2373" s="5" t="inlineStr">
        <is>
          <t>Note</t>
        </is>
      </c>
    </row>
    <row r="2374">
      <c r="A2374" s="22" t="inlineStr">
        <is>
          <t>0383</t>
        </is>
      </c>
      <c r="B2374" s="11" t="inlineStr">
        <is>
          <t>Brass butt hinges (heavy type) : 100x85x5.5 mm (0.56 kg)</t>
        </is>
      </c>
      <c r="C2374" s="22" t="inlineStr">
        <is>
          <t>10 Nos</t>
        </is>
      </c>
      <c r="D2374" s="23" t="n">
        <v>1</v>
      </c>
      <c r="E2374" s="24" t="n">
        <v>997</v>
      </c>
      <c r="F2374" s="24">
        <f>D2374*E2374</f>
        <v/>
      </c>
      <c r="G2374" s="22" t="n"/>
    </row>
    <row r="2375">
      <c r="A2375" s="22" t="inlineStr">
        <is>
          <t>0450</t>
        </is>
      </c>
      <c r="B2375" s="11" t="inlineStr">
        <is>
          <t>Brass screws 40 mm</t>
        </is>
      </c>
      <c r="C2375" s="22" t="inlineStr">
        <is>
          <t>100 Nos</t>
        </is>
      </c>
      <c r="D2375" s="23" t="n">
        <v>0.8</v>
      </c>
      <c r="E2375" s="24" t="n">
        <v>170</v>
      </c>
      <c r="F2375" s="24">
        <f>D2375*E2375</f>
        <v/>
      </c>
      <c r="G2375" s="22" t="n"/>
    </row>
    <row r="2376">
      <c r="A2376" s="22" t="inlineStr">
        <is>
          <t>9977</t>
        </is>
      </c>
      <c r="B2376" s="11" t="inlineStr">
        <is>
          <t>Carriage of material</t>
        </is>
      </c>
      <c r="C2376" s="22" t="inlineStr">
        <is>
          <t>L.S.</t>
        </is>
      </c>
      <c r="D2376" s="23" t="n">
        <v>2.73</v>
      </c>
      <c r="E2376" s="24" t="n">
        <v>2</v>
      </c>
      <c r="F2376" s="24">
        <f>D2376*E2376</f>
        <v/>
      </c>
      <c r="G2376" s="22" t="n"/>
    </row>
    <row r="2377">
      <c r="A2377" s="22" t="inlineStr">
        <is>
          <t>0111</t>
        </is>
      </c>
      <c r="B2377" s="11" t="inlineStr">
        <is>
          <t>Carpenter 1st class</t>
        </is>
      </c>
      <c r="C2377" s="22" t="inlineStr">
        <is>
          <t>day</t>
        </is>
      </c>
      <c r="D2377" s="23" t="n">
        <v>0.14</v>
      </c>
      <c r="E2377" s="24" t="n">
        <v>738</v>
      </c>
      <c r="F2377" s="24">
        <f>D2377*E2377</f>
        <v/>
      </c>
      <c r="G2377" s="22" t="n"/>
    </row>
    <row r="2378">
      <c r="A2378" s="22" t="inlineStr">
        <is>
          <t>0114</t>
        </is>
      </c>
      <c r="B2378" s="11" t="inlineStr">
        <is>
          <t>Beldar</t>
        </is>
      </c>
      <c r="C2378" s="22" t="inlineStr">
        <is>
          <t>day</t>
        </is>
      </c>
      <c r="D2378" s="23" t="n">
        <v>0.1</v>
      </c>
      <c r="E2378" s="24" t="n">
        <v>558</v>
      </c>
      <c r="F2378" s="24">
        <f>D2378*E2378</f>
        <v/>
      </c>
      <c r="G2378" s="22" t="n"/>
    </row>
    <row r="2379">
      <c r="A2379" s="8" t="inlineStr">
        <is>
          <t>Calculated W - SUM of the Amount column above</t>
        </is>
      </c>
      <c r="B2379" s="9" t="n"/>
      <c r="C2379" s="9" t="n"/>
      <c r="D2379" s="9" t="n"/>
      <c r="E2379" s="9" t="n"/>
      <c r="F2379" s="25">
        <f>SUM(F2374:F2378)</f>
        <v/>
      </c>
      <c r="G2379" s="9" t="n"/>
    </row>
    <row r="2380">
      <c r="A2380" s="26" t="inlineStr">
        <is>
          <t>W as printed in the DAR</t>
        </is>
      </c>
      <c r="B2380" s="22" t="n"/>
      <c r="C2380" s="22" t="n"/>
      <c r="D2380" s="22" t="n"/>
      <c r="E2380" s="22" t="n"/>
      <c r="F2380" s="27" t="n">
        <v>1297.58</v>
      </c>
      <c r="G2380" s="22" t="n"/>
    </row>
    <row r="2381">
      <c r="A2381" s="26" t="inlineStr">
        <is>
          <t>Difference (calculated - printed)</t>
        </is>
      </c>
      <c r="B2381" s="22" t="n"/>
      <c r="C2381" s="22" t="n"/>
      <c r="D2381" s="22" t="n"/>
      <c r="E2381" s="22" t="n"/>
      <c r="F2381" s="27">
        <f>F2379-F2380</f>
        <v/>
      </c>
      <c r="G2381" s="22" t="n"/>
    </row>
    <row r="2382">
      <c r="A2382" s="29" t="inlineStr">
        <is>
          <t>SAY (Rs.) - final DAR rate as printed (fixed value, not computed)</t>
        </is>
      </c>
      <c r="B2382" s="30" t="n"/>
      <c r="C2382" s="30" t="n"/>
      <c r="D2382" s="30" t="n"/>
      <c r="E2382" s="30" t="n"/>
      <c r="F2382" s="31" t="n">
        <v>173.6</v>
      </c>
      <c r="G2382" s="30" t="n"/>
    </row>
    <row r="2384" ht="18.5" customHeight="1">
      <c r="A2384" s="8" t="inlineStr">
        <is>
          <t>9.72</t>
        </is>
      </c>
      <c r="B2384" s="17" t="inlineStr">
        <is>
          <t>Providing and fixing bright finished brass butt hinges with necessary screws etc. complete :</t>
        </is>
      </c>
      <c r="C2384" s="9" t="n"/>
      <c r="D2384" s="9" t="n"/>
      <c r="E2384" s="9" t="n"/>
      <c r="F2384" s="9" t="n"/>
      <c r="G2384" s="9" t="n"/>
    </row>
    <row r="2385" ht="18.5" customHeight="1">
      <c r="A2385" s="18" t="inlineStr">
        <is>
          <t>9.72.4</t>
        </is>
      </c>
      <c r="B2385" s="19" t="inlineStr">
        <is>
          <t>100x70x4 mm (ordinary type)</t>
        </is>
      </c>
      <c r="C2385" s="20" t="n"/>
      <c r="D2385" s="20" t="n"/>
      <c r="E2385" s="20" t="n"/>
      <c r="F2385" s="20" t="n"/>
      <c r="G2385" s="20" t="n"/>
    </row>
    <row r="2386">
      <c r="A2386" s="21" t="inlineStr">
        <is>
          <t>Details of cost for 10 nos   |   Source: CivilDAR_2019_Vol_1.pdf, page 531</t>
        </is>
      </c>
    </row>
    <row r="2387">
      <c r="A2387" s="5" t="inlineStr">
        <is>
          <t>Code</t>
        </is>
      </c>
      <c r="B2387" s="5" t="inlineStr">
        <is>
          <t>Description</t>
        </is>
      </c>
      <c r="C2387" s="5" t="inlineStr">
        <is>
          <t>Unit</t>
        </is>
      </c>
      <c r="D2387" s="5" t="inlineStr">
        <is>
          <t>Quantity</t>
        </is>
      </c>
      <c r="E2387" s="5" t="inlineStr">
        <is>
          <t>Rate (Rs.)</t>
        </is>
      </c>
      <c r="F2387" s="5" t="inlineStr">
        <is>
          <t>Amount (Rs.)</t>
        </is>
      </c>
      <c r="G2387" s="5" t="inlineStr">
        <is>
          <t>Note</t>
        </is>
      </c>
    </row>
    <row r="2388">
      <c r="A2388" s="22" t="inlineStr">
        <is>
          <t>0379</t>
        </is>
      </c>
      <c r="B2388" s="11" t="inlineStr">
        <is>
          <t>Brass butt hinges (light/ordinary type) : 100x70x4 mm</t>
        </is>
      </c>
      <c r="C2388" s="22" t="inlineStr">
        <is>
          <t>10 Nos</t>
        </is>
      </c>
      <c r="D2388" s="23" t="n">
        <v>1</v>
      </c>
      <c r="E2388" s="24" t="n">
        <v>625</v>
      </c>
      <c r="F2388" s="24">
        <f>D2388*E2388</f>
        <v/>
      </c>
      <c r="G2388" s="22" t="n"/>
    </row>
    <row r="2389">
      <c r="A2389" s="22" t="inlineStr">
        <is>
          <t>0450</t>
        </is>
      </c>
      <c r="B2389" s="11" t="inlineStr">
        <is>
          <t>Brass screws 40 mm</t>
        </is>
      </c>
      <c r="C2389" s="22" t="inlineStr">
        <is>
          <t>100 Nos</t>
        </is>
      </c>
      <c r="D2389" s="23" t="n">
        <v>0.8</v>
      </c>
      <c r="E2389" s="24" t="n">
        <v>170</v>
      </c>
      <c r="F2389" s="24">
        <f>D2389*E2389</f>
        <v/>
      </c>
      <c r="G2389" s="22" t="n"/>
    </row>
    <row r="2390">
      <c r="A2390" s="22" t="inlineStr">
        <is>
          <t>9977</t>
        </is>
      </c>
      <c r="B2390" s="11" t="inlineStr">
        <is>
          <t>Carriage of material</t>
        </is>
      </c>
      <c r="C2390" s="22" t="inlineStr">
        <is>
          <t>L.S.</t>
        </is>
      </c>
      <c r="D2390" s="23" t="n">
        <v>2.73</v>
      </c>
      <c r="E2390" s="24" t="n">
        <v>2</v>
      </c>
      <c r="F2390" s="24">
        <f>D2390*E2390</f>
        <v/>
      </c>
      <c r="G2390" s="22" t="n"/>
    </row>
    <row r="2391">
      <c r="A2391" s="22" t="inlineStr">
        <is>
          <t>0111</t>
        </is>
      </c>
      <c r="B2391" s="11" t="inlineStr">
        <is>
          <t>Carpenter 1st class</t>
        </is>
      </c>
      <c r="C2391" s="22" t="inlineStr">
        <is>
          <t>day</t>
        </is>
      </c>
      <c r="D2391" s="23" t="n">
        <v>0.14</v>
      </c>
      <c r="E2391" s="24" t="n">
        <v>738</v>
      </c>
      <c r="F2391" s="24">
        <f>D2391*E2391</f>
        <v/>
      </c>
      <c r="G2391" s="22" t="n"/>
    </row>
    <row r="2392">
      <c r="A2392" s="22" t="inlineStr">
        <is>
          <t>0114</t>
        </is>
      </c>
      <c r="B2392" s="11" t="inlineStr">
        <is>
          <t>Beldar</t>
        </is>
      </c>
      <c r="C2392" s="22" t="inlineStr">
        <is>
          <t>day</t>
        </is>
      </c>
      <c r="D2392" s="23" t="n">
        <v>0.1</v>
      </c>
      <c r="E2392" s="24" t="n">
        <v>558</v>
      </c>
      <c r="F2392" s="24">
        <f>D2392*E2392</f>
        <v/>
      </c>
      <c r="G2392" s="22" t="n"/>
    </row>
    <row r="2393">
      <c r="A2393" s="8" t="inlineStr">
        <is>
          <t>Calculated W - SUM of the Amount column above</t>
        </is>
      </c>
      <c r="B2393" s="9" t="n"/>
      <c r="C2393" s="9" t="n"/>
      <c r="D2393" s="9" t="n"/>
      <c r="E2393" s="9" t="n"/>
      <c r="F2393" s="25">
        <f>SUM(F2388:F2392)</f>
        <v/>
      </c>
      <c r="G2393" s="9" t="n"/>
    </row>
    <row r="2394">
      <c r="A2394" s="26" t="inlineStr">
        <is>
          <t>W as printed in the DAR</t>
        </is>
      </c>
      <c r="B2394" s="22" t="n"/>
      <c r="C2394" s="22" t="n"/>
      <c r="D2394" s="22" t="n"/>
      <c r="E2394" s="22" t="n"/>
      <c r="F2394" s="27" t="n">
        <v>925.58</v>
      </c>
      <c r="G2394" s="22" t="n"/>
    </row>
    <row r="2395">
      <c r="A2395" s="26" t="inlineStr">
        <is>
          <t>Difference (calculated - printed)</t>
        </is>
      </c>
      <c r="B2395" s="22" t="n"/>
      <c r="C2395" s="22" t="n"/>
      <c r="D2395" s="22" t="n"/>
      <c r="E2395" s="22" t="n"/>
      <c r="F2395" s="27">
        <f>F2393-F2394</f>
        <v/>
      </c>
      <c r="G2395" s="22" t="n"/>
    </row>
    <row r="2396">
      <c r="A2396" s="29" t="inlineStr">
        <is>
          <t>SAY (Rs.) - final DAR rate as printed (fixed value, not computed)</t>
        </is>
      </c>
      <c r="B2396" s="30" t="n"/>
      <c r="C2396" s="30" t="n"/>
      <c r="D2396" s="30" t="n"/>
      <c r="E2396" s="30" t="n"/>
      <c r="F2396" s="31" t="n">
        <v>123.85</v>
      </c>
      <c r="G2396" s="30" t="n"/>
    </row>
    <row r="2398" ht="18.5" customHeight="1">
      <c r="A2398" s="8" t="inlineStr">
        <is>
          <t>9.72</t>
        </is>
      </c>
      <c r="B2398" s="17" t="inlineStr">
        <is>
          <t>Providing and fixing bright finished brass butt hinges with necessary screws etc. complete :</t>
        </is>
      </c>
      <c r="C2398" s="9" t="n"/>
      <c r="D2398" s="9" t="n"/>
      <c r="E2398" s="9" t="n"/>
      <c r="F2398" s="9" t="n"/>
      <c r="G2398" s="9" t="n"/>
    </row>
    <row r="2399" ht="18.5" customHeight="1">
      <c r="A2399" s="18" t="inlineStr">
        <is>
          <t>9.72.5</t>
        </is>
      </c>
      <c r="B2399" s="19" t="inlineStr">
        <is>
          <t>75x65x4 mm (heavy type)</t>
        </is>
      </c>
      <c r="C2399" s="20" t="n"/>
      <c r="D2399" s="20" t="n"/>
      <c r="E2399" s="20" t="n"/>
      <c r="F2399" s="20" t="n"/>
      <c r="G2399" s="20" t="n"/>
    </row>
    <row r="2400">
      <c r="A2400" s="21" t="inlineStr">
        <is>
          <t>Details of cost for 10 nos   |   Source: CivilDAR_2019_Vol_1.pdf, page 531</t>
        </is>
      </c>
    </row>
    <row r="2401">
      <c r="A2401" s="5" t="inlineStr">
        <is>
          <t>Code</t>
        </is>
      </c>
      <c r="B2401" s="5" t="inlineStr">
        <is>
          <t>Description</t>
        </is>
      </c>
      <c r="C2401" s="5" t="inlineStr">
        <is>
          <t>Unit</t>
        </is>
      </c>
      <c r="D2401" s="5" t="inlineStr">
        <is>
          <t>Quantity</t>
        </is>
      </c>
      <c r="E2401" s="5" t="inlineStr">
        <is>
          <t>Rate (Rs.)</t>
        </is>
      </c>
      <c r="F2401" s="5" t="inlineStr">
        <is>
          <t>Amount (Rs.)</t>
        </is>
      </c>
      <c r="G2401" s="5" t="inlineStr">
        <is>
          <t>Note</t>
        </is>
      </c>
    </row>
    <row r="2402">
      <c r="A2402" s="22" t="inlineStr">
        <is>
          <t>0384</t>
        </is>
      </c>
      <c r="B2402" s="11" t="inlineStr">
        <is>
          <t>Brass butt hinges (heavy type) : 75x65x4.0 mm(0.20 kg)</t>
        </is>
      </c>
      <c r="C2402" s="22" t="inlineStr">
        <is>
          <t>10 Nos</t>
        </is>
      </c>
      <c r="D2402" s="23" t="n">
        <v>1</v>
      </c>
      <c r="E2402" s="24" t="n">
        <v>838</v>
      </c>
      <c r="F2402" s="24">
        <f>D2402*E2402</f>
        <v/>
      </c>
      <c r="G2402" s="22" t="n"/>
    </row>
    <row r="2403">
      <c r="A2403" s="22" t="inlineStr">
        <is>
          <t>0451</t>
        </is>
      </c>
      <c r="B2403" s="11" t="inlineStr">
        <is>
          <t>Brass screws 30 mm</t>
        </is>
      </c>
      <c r="C2403" s="22" t="inlineStr">
        <is>
          <t>100 Nos</t>
        </is>
      </c>
      <c r="D2403" s="23" t="n">
        <v>0.6</v>
      </c>
      <c r="E2403" s="24" t="n">
        <v>140</v>
      </c>
      <c r="F2403" s="24">
        <f>D2403*E2403</f>
        <v/>
      </c>
      <c r="G2403" s="22" t="n"/>
    </row>
    <row r="2404">
      <c r="A2404" s="22" t="inlineStr">
        <is>
          <t>9977</t>
        </is>
      </c>
      <c r="B2404" s="11" t="inlineStr">
        <is>
          <t>Carriage of material</t>
        </is>
      </c>
      <c r="C2404" s="22" t="inlineStr">
        <is>
          <t>L.S.</t>
        </is>
      </c>
      <c r="D2404" s="23" t="n">
        <v>2.73</v>
      </c>
      <c r="E2404" s="24" t="n">
        <v>2</v>
      </c>
      <c r="F2404" s="24">
        <f>D2404*E2404</f>
        <v/>
      </c>
      <c r="G2404" s="22" t="n"/>
    </row>
    <row r="2405">
      <c r="A2405" s="22" t="inlineStr">
        <is>
          <t>0111</t>
        </is>
      </c>
      <c r="B2405" s="11" t="inlineStr">
        <is>
          <t>Carpenter 1st class</t>
        </is>
      </c>
      <c r="C2405" s="22" t="inlineStr">
        <is>
          <t>day</t>
        </is>
      </c>
      <c r="D2405" s="23" t="n">
        <v>0.14</v>
      </c>
      <c r="E2405" s="24" t="n">
        <v>738</v>
      </c>
      <c r="F2405" s="24">
        <f>D2405*E2405</f>
        <v/>
      </c>
      <c r="G2405" s="22" t="n"/>
    </row>
    <row r="2406">
      <c r="A2406" s="22" t="inlineStr">
        <is>
          <t>0114</t>
        </is>
      </c>
      <c r="B2406" s="11" t="inlineStr">
        <is>
          <t>Beldar</t>
        </is>
      </c>
      <c r="C2406" s="22" t="inlineStr">
        <is>
          <t>day</t>
        </is>
      </c>
      <c r="D2406" s="23" t="n">
        <v>0.1</v>
      </c>
      <c r="E2406" s="24" t="n">
        <v>558</v>
      </c>
      <c r="F2406" s="24">
        <f>D2406*E2406</f>
        <v/>
      </c>
      <c r="G2406" s="22" t="n"/>
    </row>
    <row r="2407">
      <c r="A2407" s="8" t="inlineStr">
        <is>
          <t>Calculated W - SUM of the Amount column above</t>
        </is>
      </c>
      <c r="B2407" s="9" t="n"/>
      <c r="C2407" s="9" t="n"/>
      <c r="D2407" s="9" t="n"/>
      <c r="E2407" s="9" t="n"/>
      <c r="F2407" s="25">
        <f>SUM(F2402:F2406)</f>
        <v/>
      </c>
      <c r="G2407" s="9" t="n"/>
    </row>
    <row r="2408">
      <c r="A2408" s="26" t="inlineStr">
        <is>
          <t>W as printed in the DAR</t>
        </is>
      </c>
      <c r="B2408" s="22" t="n"/>
      <c r="C2408" s="22" t="n"/>
      <c r="D2408" s="22" t="n"/>
      <c r="E2408" s="22" t="n"/>
      <c r="F2408" s="27" t="n">
        <v>1086.58</v>
      </c>
      <c r="G2408" s="22" t="n"/>
    </row>
    <row r="2409">
      <c r="A2409" s="26" t="inlineStr">
        <is>
          <t>Difference (calculated - printed)</t>
        </is>
      </c>
      <c r="B2409" s="22" t="n"/>
      <c r="C2409" s="22" t="n"/>
      <c r="D2409" s="22" t="n"/>
      <c r="E2409" s="22" t="n"/>
      <c r="F2409" s="27">
        <f>F2407-F2408</f>
        <v/>
      </c>
      <c r="G2409" s="22" t="n"/>
    </row>
    <row r="2410">
      <c r="A2410" s="29" t="inlineStr">
        <is>
          <t>SAY (Rs.) - final DAR rate as printed (fixed value, not computed)</t>
        </is>
      </c>
      <c r="B2410" s="30" t="n"/>
      <c r="C2410" s="30" t="n"/>
      <c r="D2410" s="30" t="n"/>
      <c r="E2410" s="30" t="n"/>
      <c r="F2410" s="31" t="n">
        <v>145.4</v>
      </c>
      <c r="G2410" s="30" t="n"/>
    </row>
    <row r="2412" ht="18.5" customHeight="1">
      <c r="A2412" s="8" t="inlineStr">
        <is>
          <t>9.72</t>
        </is>
      </c>
      <c r="B2412" s="17" t="inlineStr">
        <is>
          <t>Providing and fixing bright finished brass butt hinges with necessary screws etc. complete :</t>
        </is>
      </c>
      <c r="C2412" s="9" t="n"/>
      <c r="D2412" s="9" t="n"/>
      <c r="E2412" s="9" t="n"/>
      <c r="F2412" s="9" t="n"/>
      <c r="G2412" s="9" t="n"/>
    </row>
    <row r="2413" ht="18.5" customHeight="1">
      <c r="A2413" s="18" t="inlineStr">
        <is>
          <t>9.72.6</t>
        </is>
      </c>
      <c r="B2413" s="19" t="inlineStr">
        <is>
          <t>75x40x2.5 mm (ordinary type)</t>
        </is>
      </c>
      <c r="C2413" s="20" t="n"/>
      <c r="D2413" s="20" t="n"/>
      <c r="E2413" s="20" t="n"/>
      <c r="F2413" s="20" t="n"/>
      <c r="G2413" s="20" t="n"/>
    </row>
    <row r="2414">
      <c r="A2414" s="21" t="inlineStr">
        <is>
          <t>Details of cost for 10 nos   |   Source: CivilDAR_2019_Vol_1.pdf, page 532</t>
        </is>
      </c>
    </row>
    <row r="2415">
      <c r="A2415" s="5" t="inlineStr">
        <is>
          <t>Code</t>
        </is>
      </c>
      <c r="B2415" s="5" t="inlineStr">
        <is>
          <t>Description</t>
        </is>
      </c>
      <c r="C2415" s="5" t="inlineStr">
        <is>
          <t>Unit</t>
        </is>
      </c>
      <c r="D2415" s="5" t="inlineStr">
        <is>
          <t>Quantity</t>
        </is>
      </c>
      <c r="E2415" s="5" t="inlineStr">
        <is>
          <t>Rate (Rs.)</t>
        </is>
      </c>
      <c r="F2415" s="5" t="inlineStr">
        <is>
          <t>Amount (Rs.)</t>
        </is>
      </c>
      <c r="G2415" s="5" t="inlineStr">
        <is>
          <t>Note</t>
        </is>
      </c>
    </row>
    <row r="2416">
      <c r="A2416" s="22" t="inlineStr">
        <is>
          <t>0380</t>
        </is>
      </c>
      <c r="B2416" s="11" t="inlineStr">
        <is>
          <t>Brass butt hinges (light/ordinary type) : 75x40x2.5 mm</t>
        </is>
      </c>
      <c r="C2416" s="22" t="inlineStr">
        <is>
          <t>10 Nos</t>
        </is>
      </c>
      <c r="D2416" s="23" t="n">
        <v>1</v>
      </c>
      <c r="E2416" s="24" t="n">
        <v>380</v>
      </c>
      <c r="F2416" s="24">
        <f>D2416*E2416</f>
        <v/>
      </c>
      <c r="G2416" s="22" t="n"/>
    </row>
    <row r="2417">
      <c r="A2417" s="22" t="inlineStr">
        <is>
          <t>0451</t>
        </is>
      </c>
      <c r="B2417" s="11" t="inlineStr">
        <is>
          <t>Brass screws 30 mm</t>
        </is>
      </c>
      <c r="C2417" s="22" t="inlineStr">
        <is>
          <t>100 Nos</t>
        </is>
      </c>
      <c r="D2417" s="23" t="n">
        <v>0.6</v>
      </c>
      <c r="E2417" s="24" t="n">
        <v>140</v>
      </c>
      <c r="F2417" s="24">
        <f>D2417*E2417</f>
        <v/>
      </c>
      <c r="G2417" s="22" t="n"/>
    </row>
    <row r="2418">
      <c r="A2418" s="22" t="inlineStr">
        <is>
          <t>9977</t>
        </is>
      </c>
      <c r="B2418" s="11" t="inlineStr">
        <is>
          <t>Carriage of material</t>
        </is>
      </c>
      <c r="C2418" s="22" t="inlineStr">
        <is>
          <t>L.S.</t>
        </is>
      </c>
      <c r="D2418" s="23" t="n">
        <v>2.73</v>
      </c>
      <c r="E2418" s="24" t="n">
        <v>2</v>
      </c>
      <c r="F2418" s="24">
        <f>D2418*E2418</f>
        <v/>
      </c>
      <c r="G2418" s="22" t="n"/>
    </row>
    <row r="2419">
      <c r="A2419" s="22" t="inlineStr">
        <is>
          <t>0111</t>
        </is>
      </c>
      <c r="B2419" s="11" t="inlineStr">
        <is>
          <t>Carpenter 1st class</t>
        </is>
      </c>
      <c r="C2419" s="22" t="inlineStr">
        <is>
          <t>day</t>
        </is>
      </c>
      <c r="D2419" s="23" t="n">
        <v>0.14</v>
      </c>
      <c r="E2419" s="24" t="n">
        <v>738</v>
      </c>
      <c r="F2419" s="24">
        <f>D2419*E2419</f>
        <v/>
      </c>
      <c r="G2419" s="22" t="n"/>
    </row>
    <row r="2420">
      <c r="A2420" s="22" t="inlineStr">
        <is>
          <t>0114</t>
        </is>
      </c>
      <c r="B2420" s="11" t="inlineStr">
        <is>
          <t>Beldar</t>
        </is>
      </c>
      <c r="C2420" s="22" t="inlineStr">
        <is>
          <t>day</t>
        </is>
      </c>
      <c r="D2420" s="23" t="n">
        <v>0.1</v>
      </c>
      <c r="E2420" s="24" t="n">
        <v>558</v>
      </c>
      <c r="F2420" s="24">
        <f>D2420*E2420</f>
        <v/>
      </c>
      <c r="G2420" s="22" t="n"/>
    </row>
    <row r="2421">
      <c r="A2421" s="8" t="inlineStr">
        <is>
          <t>Calculated W - SUM of the Amount column above</t>
        </is>
      </c>
      <c r="B2421" s="9" t="n"/>
      <c r="C2421" s="9" t="n"/>
      <c r="D2421" s="9" t="n"/>
      <c r="E2421" s="9" t="n"/>
      <c r="F2421" s="25">
        <f>SUM(F2416:F2420)</f>
        <v/>
      </c>
      <c r="G2421" s="9" t="n"/>
    </row>
    <row r="2422">
      <c r="A2422" s="26" t="inlineStr">
        <is>
          <t>W as printed in the DAR</t>
        </is>
      </c>
      <c r="B2422" s="22" t="n"/>
      <c r="C2422" s="22" t="n"/>
      <c r="D2422" s="22" t="n"/>
      <c r="E2422" s="22" t="n"/>
      <c r="F2422" s="27" t="n">
        <v>628.58</v>
      </c>
      <c r="G2422" s="22" t="n"/>
    </row>
    <row r="2423">
      <c r="A2423" s="26" t="inlineStr">
        <is>
          <t>Difference (calculated - printed)</t>
        </is>
      </c>
      <c r="B2423" s="22" t="n"/>
      <c r="C2423" s="22" t="n"/>
      <c r="D2423" s="22" t="n"/>
      <c r="E2423" s="22" t="n"/>
      <c r="F2423" s="27">
        <f>F2421-F2422</f>
        <v/>
      </c>
      <c r="G2423" s="22" t="n"/>
    </row>
    <row r="2424">
      <c r="A2424" s="29" t="inlineStr">
        <is>
          <t>SAY (Rs.) - final DAR rate as printed (fixed value, not computed)</t>
        </is>
      </c>
      <c r="B2424" s="30" t="n"/>
      <c r="C2424" s="30" t="n"/>
      <c r="D2424" s="30" t="n"/>
      <c r="E2424" s="30" t="n"/>
      <c r="F2424" s="31" t="n">
        <v>84.09999999999999</v>
      </c>
      <c r="G2424" s="30" t="n"/>
    </row>
    <row r="2426" ht="18.5" customHeight="1">
      <c r="A2426" s="8" t="inlineStr">
        <is>
          <t>9.72</t>
        </is>
      </c>
      <c r="B2426" s="17" t="inlineStr">
        <is>
          <t>Providing and fixing bright finished brass butt hinges with necessary screws etc. complete :</t>
        </is>
      </c>
      <c r="C2426" s="9" t="n"/>
      <c r="D2426" s="9" t="n"/>
      <c r="E2426" s="9" t="n"/>
      <c r="F2426" s="9" t="n"/>
      <c r="G2426" s="9" t="n"/>
    </row>
    <row r="2427" ht="18.5" customHeight="1">
      <c r="A2427" s="18" t="inlineStr">
        <is>
          <t>9.72.7</t>
        </is>
      </c>
      <c r="B2427" s="19" t="inlineStr">
        <is>
          <t>50x40x2.5 mm (ordinary type)</t>
        </is>
      </c>
      <c r="C2427" s="20" t="n"/>
      <c r="D2427" s="20" t="n"/>
      <c r="E2427" s="20" t="n"/>
      <c r="F2427" s="20" t="n"/>
      <c r="G2427" s="20" t="n"/>
    </row>
    <row r="2428">
      <c r="A2428" s="21" t="inlineStr">
        <is>
          <t>Details of cost for 10 nos   |   Source: CivilDAR_2019_Vol_1.pdf, page 532</t>
        </is>
      </c>
    </row>
    <row r="2429">
      <c r="A2429" s="5" t="inlineStr">
        <is>
          <t>Code</t>
        </is>
      </c>
      <c r="B2429" s="5" t="inlineStr">
        <is>
          <t>Description</t>
        </is>
      </c>
      <c r="C2429" s="5" t="inlineStr">
        <is>
          <t>Unit</t>
        </is>
      </c>
      <c r="D2429" s="5" t="inlineStr">
        <is>
          <t>Quantity</t>
        </is>
      </c>
      <c r="E2429" s="5" t="inlineStr">
        <is>
          <t>Rate (Rs.)</t>
        </is>
      </c>
      <c r="F2429" s="5" t="inlineStr">
        <is>
          <t>Amount (Rs.)</t>
        </is>
      </c>
      <c r="G2429" s="5" t="inlineStr">
        <is>
          <t>Note</t>
        </is>
      </c>
    </row>
    <row r="2430">
      <c r="A2430" s="22" t="inlineStr">
        <is>
          <t>0381</t>
        </is>
      </c>
      <c r="B2430" s="11" t="inlineStr">
        <is>
          <t>Brass butt hinges (light/ordinary type) : 50x40x2.5 mm</t>
        </is>
      </c>
      <c r="C2430" s="22" t="inlineStr">
        <is>
          <t>10 Nos</t>
        </is>
      </c>
      <c r="D2430" s="23" t="n">
        <v>1</v>
      </c>
      <c r="E2430" s="24" t="n">
        <v>155</v>
      </c>
      <c r="F2430" s="24">
        <f>D2430*E2430</f>
        <v/>
      </c>
      <c r="G2430" s="22" t="n"/>
    </row>
    <row r="2431">
      <c r="A2431" s="22" t="inlineStr">
        <is>
          <t>0453</t>
        </is>
      </c>
      <c r="B2431" s="11" t="inlineStr">
        <is>
          <t>Brass screws 20 mm</t>
        </is>
      </c>
      <c r="C2431" s="22" t="inlineStr">
        <is>
          <t>100 Nos</t>
        </is>
      </c>
      <c r="D2431" s="23" t="n">
        <v>0.4</v>
      </c>
      <c r="E2431" s="24" t="n">
        <v>95</v>
      </c>
      <c r="F2431" s="24">
        <f>D2431*E2431</f>
        <v/>
      </c>
      <c r="G2431" s="22" t="n"/>
    </row>
    <row r="2432">
      <c r="A2432" s="22" t="inlineStr">
        <is>
          <t>9977</t>
        </is>
      </c>
      <c r="B2432" s="11" t="inlineStr">
        <is>
          <t>Carriage of material</t>
        </is>
      </c>
      <c r="C2432" s="22" t="inlineStr">
        <is>
          <t>L.S.</t>
        </is>
      </c>
      <c r="D2432" s="23" t="n">
        <v>1.82</v>
      </c>
      <c r="E2432" s="24" t="n">
        <v>2</v>
      </c>
      <c r="F2432" s="24">
        <f>D2432*E2432</f>
        <v/>
      </c>
      <c r="G2432" s="22" t="n"/>
    </row>
    <row r="2433">
      <c r="A2433" s="22" t="inlineStr">
        <is>
          <t>0111</t>
        </is>
      </c>
      <c r="B2433" s="11" t="inlineStr">
        <is>
          <t>Carpenter 1st class</t>
        </is>
      </c>
      <c r="C2433" s="22" t="inlineStr">
        <is>
          <t>day</t>
        </is>
      </c>
      <c r="D2433" s="23" t="n">
        <v>0.08</v>
      </c>
      <c r="E2433" s="24" t="n">
        <v>738</v>
      </c>
      <c r="F2433" s="24">
        <f>D2433*E2433</f>
        <v/>
      </c>
      <c r="G2433" s="22" t="n"/>
    </row>
    <row r="2434">
      <c r="A2434" s="8" t="inlineStr">
        <is>
          <t>Calculated W - SUM of the Amount column above</t>
        </is>
      </c>
      <c r="B2434" s="9" t="n"/>
      <c r="C2434" s="9" t="n"/>
      <c r="D2434" s="9" t="n"/>
      <c r="E2434" s="9" t="n"/>
      <c r="F2434" s="25">
        <f>SUM(F2430:F2433)</f>
        <v/>
      </c>
      <c r="G2434" s="9" t="n"/>
    </row>
    <row r="2435">
      <c r="A2435" s="26" t="inlineStr">
        <is>
          <t>W as printed in the DAR</t>
        </is>
      </c>
      <c r="B2435" s="22" t="n"/>
      <c r="C2435" s="22" t="n"/>
      <c r="D2435" s="22" t="n"/>
      <c r="E2435" s="22" t="n"/>
      <c r="F2435" s="27" t="n">
        <v>255.68</v>
      </c>
      <c r="G2435" s="22" t="n"/>
    </row>
    <row r="2436">
      <c r="A2436" s="26" t="inlineStr">
        <is>
          <t>Difference (calculated - printed)</t>
        </is>
      </c>
      <c r="B2436" s="22" t="n"/>
      <c r="C2436" s="22" t="n"/>
      <c r="D2436" s="22" t="n"/>
      <c r="E2436" s="22" t="n"/>
      <c r="F2436" s="27">
        <f>F2434-F2435</f>
        <v/>
      </c>
      <c r="G2436" s="22" t="n"/>
    </row>
    <row r="2437">
      <c r="A2437" s="29" t="inlineStr">
        <is>
          <t>SAY (Rs.) - final DAR rate as printed (fixed value, not computed)</t>
        </is>
      </c>
      <c r="B2437" s="30" t="n"/>
      <c r="C2437" s="30" t="n"/>
      <c r="D2437" s="30" t="n"/>
      <c r="E2437" s="30" t="n"/>
      <c r="F2437" s="31" t="n">
        <v>34.2</v>
      </c>
      <c r="G2437" s="30" t="n"/>
    </row>
    <row r="2439" ht="18.5" customHeight="1">
      <c r="A2439" s="8" t="inlineStr">
        <is>
          <t>9.73</t>
        </is>
      </c>
      <c r="B2439" s="17" t="inlineStr">
        <is>
          <t>Providing and fixing bright finished brass parliamentary hinges with necessary screws etc. complete :</t>
        </is>
      </c>
      <c r="C2439" s="9" t="n"/>
      <c r="D2439" s="9" t="n"/>
      <c r="E2439" s="9" t="n"/>
      <c r="F2439" s="9" t="n"/>
      <c r="G2439" s="9" t="n"/>
    </row>
    <row r="2440" ht="18.5" customHeight="1">
      <c r="A2440" s="18" t="inlineStr">
        <is>
          <t>9.73.1</t>
        </is>
      </c>
      <c r="B2440" s="19" t="inlineStr">
        <is>
          <t>150x125x27x5 mm</t>
        </is>
      </c>
      <c r="C2440" s="20" t="n"/>
      <c r="D2440" s="20" t="n"/>
      <c r="E2440" s="20" t="n"/>
      <c r="F2440" s="20" t="n"/>
      <c r="G2440" s="20" t="n"/>
    </row>
    <row r="2441">
      <c r="A2441" s="21" t="inlineStr">
        <is>
          <t>Details of cost for 10 nos   |   Source: CivilDAR_2019_Vol_1.pdf, page 533</t>
        </is>
      </c>
    </row>
    <row r="2442">
      <c r="A2442" s="5" t="inlineStr">
        <is>
          <t>Code</t>
        </is>
      </c>
      <c r="B2442" s="5" t="inlineStr">
        <is>
          <t>Description</t>
        </is>
      </c>
      <c r="C2442" s="5" t="inlineStr">
        <is>
          <t>Unit</t>
        </is>
      </c>
      <c r="D2442" s="5" t="inlineStr">
        <is>
          <t>Quantity</t>
        </is>
      </c>
      <c r="E2442" s="5" t="inlineStr">
        <is>
          <t>Rate (Rs.)</t>
        </is>
      </c>
      <c r="F2442" s="5" t="inlineStr">
        <is>
          <t>Amount (Rs.)</t>
        </is>
      </c>
      <c r="G2442" s="5" t="inlineStr">
        <is>
          <t>Note</t>
        </is>
      </c>
    </row>
    <row r="2443">
      <c r="A2443" s="22" t="inlineStr">
        <is>
          <t>0385</t>
        </is>
      </c>
      <c r="B2443" s="11" t="inlineStr">
        <is>
          <t>Brass parliamentary hinges 150x125x27x5 mm</t>
        </is>
      </c>
      <c r="C2443" s="22" t="inlineStr">
        <is>
          <t>10 Nos</t>
        </is>
      </c>
      <c r="D2443" s="23" t="n">
        <v>1</v>
      </c>
      <c r="E2443" s="24" t="n">
        <v>2610</v>
      </c>
      <c r="F2443" s="24">
        <f>D2443*E2443</f>
        <v/>
      </c>
      <c r="G2443" s="22" t="n"/>
    </row>
    <row r="2444">
      <c r="A2444" s="22" t="inlineStr">
        <is>
          <t>0450</t>
        </is>
      </c>
      <c r="B2444" s="11" t="inlineStr">
        <is>
          <t>Brass screws 40 mm</t>
        </is>
      </c>
      <c r="C2444" s="22" t="inlineStr">
        <is>
          <t>100 Nos</t>
        </is>
      </c>
      <c r="D2444" s="23" t="n">
        <v>0.8</v>
      </c>
      <c r="E2444" s="24" t="n">
        <v>170</v>
      </c>
      <c r="F2444" s="24">
        <f>D2444*E2444</f>
        <v/>
      </c>
      <c r="G2444" s="22" t="n"/>
    </row>
    <row r="2445">
      <c r="A2445" s="22" t="inlineStr">
        <is>
          <t>9977</t>
        </is>
      </c>
      <c r="B2445" s="11" t="inlineStr">
        <is>
          <t>Carriage of materials</t>
        </is>
      </c>
      <c r="C2445" s="22" t="inlineStr">
        <is>
          <t>L.S.</t>
        </is>
      </c>
      <c r="D2445" s="23" t="n">
        <v>2.73</v>
      </c>
      <c r="E2445" s="24" t="n">
        <v>2</v>
      </c>
      <c r="F2445" s="24">
        <f>D2445*E2445</f>
        <v/>
      </c>
      <c r="G2445" s="22" t="n"/>
    </row>
    <row r="2446">
      <c r="A2446" s="22" t="inlineStr">
        <is>
          <t>0111</t>
        </is>
      </c>
      <c r="B2446" s="11" t="inlineStr">
        <is>
          <t>Carpenter 1st class</t>
        </is>
      </c>
      <c r="C2446" s="22" t="inlineStr">
        <is>
          <t>day</t>
        </is>
      </c>
      <c r="D2446" s="23" t="n">
        <v>0.14</v>
      </c>
      <c r="E2446" s="24" t="n">
        <v>738</v>
      </c>
      <c r="F2446" s="24">
        <f>D2446*E2446</f>
        <v/>
      </c>
      <c r="G2446" s="22" t="n"/>
    </row>
    <row r="2447">
      <c r="A2447" s="22" t="inlineStr">
        <is>
          <t>0114</t>
        </is>
      </c>
      <c r="B2447" s="11" t="inlineStr">
        <is>
          <t>Beldar</t>
        </is>
      </c>
      <c r="C2447" s="22" t="inlineStr">
        <is>
          <t>day</t>
        </is>
      </c>
      <c r="D2447" s="23" t="n">
        <v>0.14</v>
      </c>
      <c r="E2447" s="24" t="n">
        <v>558</v>
      </c>
      <c r="F2447" s="24">
        <f>D2447*E2447</f>
        <v/>
      </c>
      <c r="G2447" s="22" t="n"/>
    </row>
    <row r="2448">
      <c r="A2448" s="8" t="inlineStr">
        <is>
          <t>Calculated W - SUM of the Amount column above</t>
        </is>
      </c>
      <c r="B2448" s="9" t="n"/>
      <c r="C2448" s="9" t="n"/>
      <c r="D2448" s="9" t="n"/>
      <c r="E2448" s="9" t="n"/>
      <c r="F2448" s="25">
        <f>SUM(F2443:F2447)</f>
        <v/>
      </c>
      <c r="G2448" s="9" t="n"/>
    </row>
    <row r="2449">
      <c r="A2449" s="26" t="inlineStr">
        <is>
          <t>W as printed in the DAR</t>
        </is>
      </c>
      <c r="B2449" s="22" t="n"/>
      <c r="C2449" s="22" t="n"/>
      <c r="D2449" s="22" t="n"/>
      <c r="E2449" s="22" t="n"/>
      <c r="F2449" s="27" t="n">
        <v>2932.9</v>
      </c>
      <c r="G2449" s="22" t="n"/>
    </row>
    <row r="2450">
      <c r="A2450" s="26" t="inlineStr">
        <is>
          <t>Difference (calculated - printed)</t>
        </is>
      </c>
      <c r="B2450" s="22" t="n"/>
      <c r="C2450" s="22" t="n"/>
      <c r="D2450" s="22" t="n"/>
      <c r="E2450" s="22" t="n"/>
      <c r="F2450" s="27">
        <f>F2448-F2449</f>
        <v/>
      </c>
      <c r="G2450" s="22" t="n"/>
    </row>
    <row r="2451">
      <c r="A2451" s="29" t="inlineStr">
        <is>
          <t>SAY (Rs.) - final DAR rate as printed (fixed value, not computed)</t>
        </is>
      </c>
      <c r="B2451" s="30" t="n"/>
      <c r="C2451" s="30" t="n"/>
      <c r="D2451" s="30" t="n"/>
      <c r="E2451" s="30" t="n"/>
      <c r="F2451" s="31" t="n">
        <v>392.4</v>
      </c>
      <c r="G2451" s="30" t="n"/>
    </row>
    <row r="2453" ht="18.5" customHeight="1">
      <c r="A2453" s="8" t="inlineStr">
        <is>
          <t>9.73</t>
        </is>
      </c>
      <c r="B2453" s="17" t="inlineStr">
        <is>
          <t>Providing and fixing bright finished brass parliamentary hinges with necessary screws etc. complete :</t>
        </is>
      </c>
      <c r="C2453" s="9" t="n"/>
      <c r="D2453" s="9" t="n"/>
      <c r="E2453" s="9" t="n"/>
      <c r="F2453" s="9" t="n"/>
      <c r="G2453" s="9" t="n"/>
    </row>
    <row r="2454" ht="18.5" customHeight="1">
      <c r="A2454" s="18" t="inlineStr">
        <is>
          <t>9.73.2</t>
        </is>
      </c>
      <c r="B2454" s="19" t="inlineStr">
        <is>
          <t>125x125x27x5 mm</t>
        </is>
      </c>
      <c r="C2454" s="20" t="n"/>
      <c r="D2454" s="20" t="n"/>
      <c r="E2454" s="20" t="n"/>
      <c r="F2454" s="20" t="n"/>
      <c r="G2454" s="20" t="n"/>
    </row>
    <row r="2455">
      <c r="A2455" s="21" t="inlineStr">
        <is>
          <t>Details of cost for 10 nos   |   Source: CivilDAR_2019_Vol_1.pdf, page 533</t>
        </is>
      </c>
    </row>
    <row r="2456">
      <c r="A2456" s="5" t="inlineStr">
        <is>
          <t>Code</t>
        </is>
      </c>
      <c r="B2456" s="5" t="inlineStr">
        <is>
          <t>Description</t>
        </is>
      </c>
      <c r="C2456" s="5" t="inlineStr">
        <is>
          <t>Unit</t>
        </is>
      </c>
      <c r="D2456" s="5" t="inlineStr">
        <is>
          <t>Quantity</t>
        </is>
      </c>
      <c r="E2456" s="5" t="inlineStr">
        <is>
          <t>Rate (Rs.)</t>
        </is>
      </c>
      <c r="F2456" s="5" t="inlineStr">
        <is>
          <t>Amount (Rs.)</t>
        </is>
      </c>
      <c r="G2456" s="5" t="inlineStr">
        <is>
          <t>Note</t>
        </is>
      </c>
    </row>
    <row r="2457">
      <c r="A2457" s="22" t="inlineStr">
        <is>
          <t>0386</t>
        </is>
      </c>
      <c r="B2457" s="11" t="inlineStr">
        <is>
          <t>Brass parliamentary hinges 125x125x27x5 mm</t>
        </is>
      </c>
      <c r="C2457" s="22" t="inlineStr">
        <is>
          <t>10 Nos</t>
        </is>
      </c>
      <c r="D2457" s="23" t="n">
        <v>1</v>
      </c>
      <c r="E2457" s="24" t="n">
        <v>2300</v>
      </c>
      <c r="F2457" s="24">
        <f>D2457*E2457</f>
        <v/>
      </c>
      <c r="G2457" s="22" t="n"/>
    </row>
    <row r="2458">
      <c r="A2458" s="22" t="inlineStr">
        <is>
          <t>0450</t>
        </is>
      </c>
      <c r="B2458" s="11" t="inlineStr">
        <is>
          <t>Brass screws 40 mm</t>
        </is>
      </c>
      <c r="C2458" s="22" t="inlineStr">
        <is>
          <t>100 Nos</t>
        </is>
      </c>
      <c r="D2458" s="23" t="n">
        <v>0.8</v>
      </c>
      <c r="E2458" s="24" t="n">
        <v>170</v>
      </c>
      <c r="F2458" s="24">
        <f>D2458*E2458</f>
        <v/>
      </c>
      <c r="G2458" s="22" t="n"/>
    </row>
    <row r="2459">
      <c r="A2459" s="22" t="inlineStr">
        <is>
          <t>9977</t>
        </is>
      </c>
      <c r="B2459" s="11" t="inlineStr">
        <is>
          <t>Carriage of materials</t>
        </is>
      </c>
      <c r="C2459" s="22" t="inlineStr">
        <is>
          <t>L.S.</t>
        </is>
      </c>
      <c r="D2459" s="23" t="n">
        <v>2.73</v>
      </c>
      <c r="E2459" s="24" t="n">
        <v>2</v>
      </c>
      <c r="F2459" s="24">
        <f>D2459*E2459</f>
        <v/>
      </c>
      <c r="G2459" s="22" t="n"/>
    </row>
    <row r="2460">
      <c r="A2460" s="22" t="inlineStr">
        <is>
          <t>0111</t>
        </is>
      </c>
      <c r="B2460" s="11" t="inlineStr">
        <is>
          <t>Carpenter 1st class</t>
        </is>
      </c>
      <c r="C2460" s="22" t="inlineStr">
        <is>
          <t>day</t>
        </is>
      </c>
      <c r="D2460" s="23" t="n">
        <v>0.14</v>
      </c>
      <c r="E2460" s="24" t="n">
        <v>738</v>
      </c>
      <c r="F2460" s="24">
        <f>D2460*E2460</f>
        <v/>
      </c>
      <c r="G2460" s="22" t="n"/>
    </row>
    <row r="2461">
      <c r="A2461" s="22" t="inlineStr">
        <is>
          <t>0114</t>
        </is>
      </c>
      <c r="B2461" s="11" t="inlineStr">
        <is>
          <t>Beldar</t>
        </is>
      </c>
      <c r="C2461" s="22" t="inlineStr">
        <is>
          <t>day</t>
        </is>
      </c>
      <c r="D2461" s="23" t="n">
        <v>0.14</v>
      </c>
      <c r="E2461" s="24" t="n">
        <v>558</v>
      </c>
      <c r="F2461" s="24">
        <f>D2461*E2461</f>
        <v/>
      </c>
      <c r="G2461" s="22" t="n"/>
    </row>
    <row r="2462">
      <c r="A2462" s="8" t="inlineStr">
        <is>
          <t>Calculated W - SUM of the Amount column above</t>
        </is>
      </c>
      <c r="B2462" s="9" t="n"/>
      <c r="C2462" s="9" t="n"/>
      <c r="D2462" s="9" t="n"/>
      <c r="E2462" s="9" t="n"/>
      <c r="F2462" s="25">
        <f>SUM(F2457:F2461)</f>
        <v/>
      </c>
      <c r="G2462" s="9" t="n"/>
    </row>
    <row r="2463">
      <c r="A2463" s="26" t="inlineStr">
        <is>
          <t>W as printed in the DAR</t>
        </is>
      </c>
      <c r="B2463" s="22" t="n"/>
      <c r="C2463" s="22" t="n"/>
      <c r="D2463" s="22" t="n"/>
      <c r="E2463" s="22" t="n"/>
      <c r="F2463" s="27" t="n">
        <v>2622.9</v>
      </c>
      <c r="G2463" s="22" t="n"/>
    </row>
    <row r="2464">
      <c r="A2464" s="26" t="inlineStr">
        <is>
          <t>Difference (calculated - printed)</t>
        </is>
      </c>
      <c r="B2464" s="22" t="n"/>
      <c r="C2464" s="22" t="n"/>
      <c r="D2464" s="22" t="n"/>
      <c r="E2464" s="22" t="n"/>
      <c r="F2464" s="27">
        <f>F2462-F2463</f>
        <v/>
      </c>
      <c r="G2464" s="22" t="n"/>
    </row>
    <row r="2465">
      <c r="A2465" s="29" t="inlineStr">
        <is>
          <t>SAY (Rs.) - final DAR rate as printed (fixed value, not computed)</t>
        </is>
      </c>
      <c r="B2465" s="30" t="n"/>
      <c r="C2465" s="30" t="n"/>
      <c r="D2465" s="30" t="n"/>
      <c r="E2465" s="30" t="n"/>
      <c r="F2465" s="31" t="n">
        <v>350.95</v>
      </c>
      <c r="G2465" s="30" t="n"/>
    </row>
    <row r="2467" ht="18.5" customHeight="1">
      <c r="A2467" s="8" t="inlineStr">
        <is>
          <t>9.73</t>
        </is>
      </c>
      <c r="B2467" s="17" t="inlineStr">
        <is>
          <t>Providing and fixing bright finished brass parliamentary hinges with necessary screws etc. complete :</t>
        </is>
      </c>
      <c r="C2467" s="9" t="n"/>
      <c r="D2467" s="9" t="n"/>
      <c r="E2467" s="9" t="n"/>
      <c r="F2467" s="9" t="n"/>
      <c r="G2467" s="9" t="n"/>
    </row>
    <row r="2468" ht="18.5" customHeight="1">
      <c r="A2468" s="18" t="inlineStr">
        <is>
          <t>9.73.3</t>
        </is>
      </c>
      <c r="B2468" s="19" t="inlineStr">
        <is>
          <t>100x125x27x5 mm</t>
        </is>
      </c>
      <c r="C2468" s="20" t="n"/>
      <c r="D2468" s="20" t="n"/>
      <c r="E2468" s="20" t="n"/>
      <c r="F2468" s="20" t="n"/>
      <c r="G2468" s="20" t="n"/>
    </row>
    <row r="2469">
      <c r="A2469" s="21" t="inlineStr">
        <is>
          <t>Details of cost for 10 nos   |   Source: CivilDAR_2019_Vol_1.pdf, page 534</t>
        </is>
      </c>
    </row>
    <row r="2470">
      <c r="A2470" s="5" t="inlineStr">
        <is>
          <t>Code</t>
        </is>
      </c>
      <c r="B2470" s="5" t="inlineStr">
        <is>
          <t>Description</t>
        </is>
      </c>
      <c r="C2470" s="5" t="inlineStr">
        <is>
          <t>Unit</t>
        </is>
      </c>
      <c r="D2470" s="5" t="inlineStr">
        <is>
          <t>Quantity</t>
        </is>
      </c>
      <c r="E2470" s="5" t="inlineStr">
        <is>
          <t>Rate (Rs.)</t>
        </is>
      </c>
      <c r="F2470" s="5" t="inlineStr">
        <is>
          <t>Amount (Rs.)</t>
        </is>
      </c>
      <c r="G2470" s="5" t="inlineStr">
        <is>
          <t>Note</t>
        </is>
      </c>
    </row>
    <row r="2471">
      <c r="A2471" s="22" t="inlineStr">
        <is>
          <t>0387</t>
        </is>
      </c>
      <c r="B2471" s="11" t="inlineStr">
        <is>
          <t>Brass parliamentary hinges 100x125x27x5 mm</t>
        </is>
      </c>
      <c r="C2471" s="22" t="inlineStr">
        <is>
          <t>10 Nos</t>
        </is>
      </c>
      <c r="D2471" s="23" t="n">
        <v>1</v>
      </c>
      <c r="E2471" s="24" t="n">
        <v>2090</v>
      </c>
      <c r="F2471" s="24">
        <f>D2471*E2471</f>
        <v/>
      </c>
      <c r="G2471" s="22" t="n"/>
    </row>
    <row r="2472">
      <c r="A2472" s="22" t="inlineStr">
        <is>
          <t>0450</t>
        </is>
      </c>
      <c r="B2472" s="11" t="inlineStr">
        <is>
          <t>Brass screws 40 mm</t>
        </is>
      </c>
      <c r="C2472" s="22" t="inlineStr">
        <is>
          <t>100 Nos</t>
        </is>
      </c>
      <c r="D2472" s="23" t="n">
        <v>0.8</v>
      </c>
      <c r="E2472" s="24" t="n">
        <v>170</v>
      </c>
      <c r="F2472" s="24">
        <f>D2472*E2472</f>
        <v/>
      </c>
      <c r="G2472" s="22" t="n"/>
    </row>
    <row r="2473">
      <c r="A2473" s="22" t="inlineStr">
        <is>
          <t>9977</t>
        </is>
      </c>
      <c r="B2473" s="11" t="inlineStr">
        <is>
          <t>Carriage of materials</t>
        </is>
      </c>
      <c r="C2473" s="22" t="inlineStr">
        <is>
          <t>L.S.</t>
        </is>
      </c>
      <c r="D2473" s="23" t="n">
        <v>2.73</v>
      </c>
      <c r="E2473" s="24" t="n">
        <v>2</v>
      </c>
      <c r="F2473" s="24">
        <f>D2473*E2473</f>
        <v/>
      </c>
      <c r="G2473" s="22" t="n"/>
    </row>
    <row r="2474">
      <c r="A2474" s="22" t="inlineStr">
        <is>
          <t>0111</t>
        </is>
      </c>
      <c r="B2474" s="11" t="inlineStr">
        <is>
          <t>Carpenter 1st class</t>
        </is>
      </c>
      <c r="C2474" s="22" t="inlineStr">
        <is>
          <t>day</t>
        </is>
      </c>
      <c r="D2474" s="23" t="n">
        <v>0.14</v>
      </c>
      <c r="E2474" s="24" t="n">
        <v>738</v>
      </c>
      <c r="F2474" s="24">
        <f>D2474*E2474</f>
        <v/>
      </c>
      <c r="G2474" s="22" t="n"/>
    </row>
    <row r="2475">
      <c r="A2475" s="22" t="inlineStr">
        <is>
          <t>0114</t>
        </is>
      </c>
      <c r="B2475" s="11" t="inlineStr">
        <is>
          <t>Beldar</t>
        </is>
      </c>
      <c r="C2475" s="22" t="inlineStr">
        <is>
          <t>day</t>
        </is>
      </c>
      <c r="D2475" s="23" t="n">
        <v>0.14</v>
      </c>
      <c r="E2475" s="24" t="n">
        <v>558</v>
      </c>
      <c r="F2475" s="24">
        <f>D2475*E2475</f>
        <v/>
      </c>
      <c r="G2475" s="22" t="n"/>
    </row>
    <row r="2476">
      <c r="A2476" s="8" t="inlineStr">
        <is>
          <t>Calculated W - SUM of the Amount column above</t>
        </is>
      </c>
      <c r="B2476" s="9" t="n"/>
      <c r="C2476" s="9" t="n"/>
      <c r="D2476" s="9" t="n"/>
      <c r="E2476" s="9" t="n"/>
      <c r="F2476" s="25">
        <f>SUM(F2471:F2475)</f>
        <v/>
      </c>
      <c r="G2476" s="9" t="n"/>
    </row>
    <row r="2477">
      <c r="A2477" s="26" t="inlineStr">
        <is>
          <t>W as printed in the DAR</t>
        </is>
      </c>
      <c r="B2477" s="22" t="n"/>
      <c r="C2477" s="22" t="n"/>
      <c r="D2477" s="22" t="n"/>
      <c r="E2477" s="22" t="n"/>
      <c r="F2477" s="27" t="n">
        <v>2412.9</v>
      </c>
      <c r="G2477" s="22" t="n"/>
    </row>
    <row r="2478">
      <c r="A2478" s="26" t="inlineStr">
        <is>
          <t>Difference (calculated - printed)</t>
        </is>
      </c>
      <c r="B2478" s="22" t="n"/>
      <c r="C2478" s="22" t="n"/>
      <c r="D2478" s="22" t="n"/>
      <c r="E2478" s="22" t="n"/>
      <c r="F2478" s="27">
        <f>F2476-F2477</f>
        <v/>
      </c>
      <c r="G2478" s="22" t="n"/>
    </row>
    <row r="2479">
      <c r="A2479" s="29" t="inlineStr">
        <is>
          <t>SAY (Rs.) - final DAR rate as printed (fixed value, not computed)</t>
        </is>
      </c>
      <c r="B2479" s="30" t="n"/>
      <c r="C2479" s="30" t="n"/>
      <c r="D2479" s="30" t="n"/>
      <c r="E2479" s="30" t="n"/>
      <c r="F2479" s="31" t="n">
        <v>322.85</v>
      </c>
      <c r="G2479" s="30" t="n"/>
    </row>
    <row r="2481" ht="18.5" customHeight="1">
      <c r="A2481" s="8" t="inlineStr">
        <is>
          <t>9.73</t>
        </is>
      </c>
      <c r="B2481" s="17" t="inlineStr">
        <is>
          <t>Providing and fixing bright finished brass parliamentary hinges with necessary screws etc. complete :</t>
        </is>
      </c>
      <c r="C2481" s="9" t="n"/>
      <c r="D2481" s="9" t="n"/>
      <c r="E2481" s="9" t="n"/>
      <c r="F2481" s="9" t="n"/>
      <c r="G2481" s="9" t="n"/>
    </row>
    <row r="2482" ht="18.5" customHeight="1">
      <c r="A2482" s="18" t="inlineStr">
        <is>
          <t>9.73.4</t>
        </is>
      </c>
      <c r="B2482" s="19" t="inlineStr">
        <is>
          <t>75x100x20x3.2 mm</t>
        </is>
      </c>
      <c r="C2482" s="20" t="n"/>
      <c r="D2482" s="20" t="n"/>
      <c r="E2482" s="20" t="n"/>
      <c r="F2482" s="20" t="n"/>
      <c r="G2482" s="20" t="n"/>
    </row>
    <row r="2483">
      <c r="A2483" s="21" t="inlineStr">
        <is>
          <t>Details of cost for 10 nos   |   Source: CivilDAR_2019_Vol_1.pdf, page 534</t>
        </is>
      </c>
    </row>
    <row r="2484">
      <c r="A2484" s="5" t="inlineStr">
        <is>
          <t>Code</t>
        </is>
      </c>
      <c r="B2484" s="5" t="inlineStr">
        <is>
          <t>Description</t>
        </is>
      </c>
      <c r="C2484" s="5" t="inlineStr">
        <is>
          <t>Unit</t>
        </is>
      </c>
      <c r="D2484" s="5" t="inlineStr">
        <is>
          <t>Quantity</t>
        </is>
      </c>
      <c r="E2484" s="5" t="inlineStr">
        <is>
          <t>Rate (Rs.)</t>
        </is>
      </c>
      <c r="F2484" s="5" t="inlineStr">
        <is>
          <t>Amount (Rs.)</t>
        </is>
      </c>
      <c r="G2484" s="5" t="inlineStr">
        <is>
          <t>Note</t>
        </is>
      </c>
    </row>
    <row r="2485">
      <c r="A2485" s="22" t="inlineStr">
        <is>
          <t>0388</t>
        </is>
      </c>
      <c r="B2485" s="11" t="inlineStr">
        <is>
          <t>Brass parliamentary hinges 75x100x20x3.2 mm</t>
        </is>
      </c>
      <c r="C2485" s="22" t="inlineStr">
        <is>
          <t>10 Nos</t>
        </is>
      </c>
      <c r="D2485" s="23" t="n">
        <v>1</v>
      </c>
      <c r="E2485" s="24" t="n">
        <v>1870</v>
      </c>
      <c r="F2485" s="24">
        <f>D2485*E2485</f>
        <v/>
      </c>
      <c r="G2485" s="22" t="n"/>
    </row>
    <row r="2486">
      <c r="A2486" s="22" t="inlineStr">
        <is>
          <t>0451</t>
        </is>
      </c>
      <c r="B2486" s="11" t="inlineStr">
        <is>
          <t>Brass screws 30 mm</t>
        </is>
      </c>
      <c r="C2486" s="22" t="inlineStr">
        <is>
          <t>100 Nos</t>
        </is>
      </c>
      <c r="D2486" s="23" t="n">
        <v>0.6</v>
      </c>
      <c r="E2486" s="24" t="n">
        <v>140</v>
      </c>
      <c r="F2486" s="24">
        <f>D2486*E2486</f>
        <v/>
      </c>
      <c r="G2486" s="22" t="n"/>
    </row>
    <row r="2487">
      <c r="A2487" s="22" t="inlineStr">
        <is>
          <t>9977</t>
        </is>
      </c>
      <c r="B2487" s="11" t="inlineStr">
        <is>
          <t>Carriage of materials</t>
        </is>
      </c>
      <c r="C2487" s="22" t="inlineStr">
        <is>
          <t>L.S.</t>
        </is>
      </c>
      <c r="D2487" s="23" t="n">
        <v>2.73</v>
      </c>
      <c r="E2487" s="24" t="n">
        <v>2</v>
      </c>
      <c r="F2487" s="24">
        <f>D2487*E2487</f>
        <v/>
      </c>
      <c r="G2487" s="22" t="n"/>
    </row>
    <row r="2488">
      <c r="A2488" s="22" t="inlineStr">
        <is>
          <t>0111</t>
        </is>
      </c>
      <c r="B2488" s="11" t="inlineStr">
        <is>
          <t>Carpenter 1st class</t>
        </is>
      </c>
      <c r="C2488" s="22" t="inlineStr">
        <is>
          <t>day</t>
        </is>
      </c>
      <c r="D2488" s="23" t="n">
        <v>0.14</v>
      </c>
      <c r="E2488" s="24" t="n">
        <v>738</v>
      </c>
      <c r="F2488" s="24">
        <f>D2488*E2488</f>
        <v/>
      </c>
      <c r="G2488" s="22" t="n"/>
    </row>
    <row r="2489">
      <c r="A2489" s="22" t="inlineStr">
        <is>
          <t>0114</t>
        </is>
      </c>
      <c r="B2489" s="11" t="inlineStr">
        <is>
          <t>Beldar</t>
        </is>
      </c>
      <c r="C2489" s="22" t="inlineStr">
        <is>
          <t>day</t>
        </is>
      </c>
      <c r="D2489" s="23" t="n">
        <v>0.14</v>
      </c>
      <c r="E2489" s="24" t="n">
        <v>558</v>
      </c>
      <c r="F2489" s="24">
        <f>D2489*E2489</f>
        <v/>
      </c>
      <c r="G2489" s="22" t="n"/>
    </row>
    <row r="2490">
      <c r="A2490" s="8" t="inlineStr">
        <is>
          <t>Calculated W - SUM of the Amount column above</t>
        </is>
      </c>
      <c r="B2490" s="9" t="n"/>
      <c r="C2490" s="9" t="n"/>
      <c r="D2490" s="9" t="n"/>
      <c r="E2490" s="9" t="n"/>
      <c r="F2490" s="25">
        <f>SUM(F2485:F2489)</f>
        <v/>
      </c>
      <c r="G2490" s="9" t="n"/>
    </row>
    <row r="2491">
      <c r="A2491" s="26" t="inlineStr">
        <is>
          <t>W as printed in the DAR</t>
        </is>
      </c>
      <c r="B2491" s="22" t="n"/>
      <c r="C2491" s="22" t="n"/>
      <c r="D2491" s="22" t="n"/>
      <c r="E2491" s="22" t="n"/>
      <c r="F2491" s="27" t="n">
        <v>2140.9</v>
      </c>
      <c r="G2491" s="22" t="n"/>
    </row>
    <row r="2492">
      <c r="A2492" s="26" t="inlineStr">
        <is>
          <t>Difference (calculated - printed)</t>
        </is>
      </c>
      <c r="B2492" s="22" t="n"/>
      <c r="C2492" s="22" t="n"/>
      <c r="D2492" s="22" t="n"/>
      <c r="E2492" s="22" t="n"/>
      <c r="F2492" s="27">
        <f>F2490-F2491</f>
        <v/>
      </c>
      <c r="G2492" s="22" t="n"/>
    </row>
    <row r="2493">
      <c r="A2493" s="29" t="inlineStr">
        <is>
          <t>SAY (Rs.) - final DAR rate as printed (fixed value, not computed)</t>
        </is>
      </c>
      <c r="B2493" s="30" t="n"/>
      <c r="C2493" s="30" t="n"/>
      <c r="D2493" s="30" t="n"/>
      <c r="E2493" s="30" t="n"/>
      <c r="F2493" s="31" t="n">
        <v>286.45</v>
      </c>
      <c r="G2493" s="30" t="n"/>
    </row>
    <row r="2495" ht="18.5" customHeight="1">
      <c r="A2495" s="8" t="inlineStr">
        <is>
          <t>9.74</t>
        </is>
      </c>
      <c r="B2495" s="17" t="inlineStr">
        <is>
          <t>Providing and fixing bright finished brass tower bolts (barrel type) with necessary screws etc. complete :</t>
        </is>
      </c>
      <c r="C2495" s="9" t="n"/>
      <c r="D2495" s="9" t="n"/>
      <c r="E2495" s="9" t="n"/>
      <c r="F2495" s="9" t="n"/>
      <c r="G2495" s="9" t="n"/>
    </row>
    <row r="2496" ht="18.5" customHeight="1">
      <c r="A2496" s="18" t="inlineStr">
        <is>
          <t>9.74.1</t>
        </is>
      </c>
      <c r="B2496" s="19" t="inlineStr">
        <is>
          <t>250x10 mm</t>
        </is>
      </c>
      <c r="C2496" s="20" t="n"/>
      <c r="D2496" s="20" t="n"/>
      <c r="E2496" s="20" t="n"/>
      <c r="F2496" s="20" t="n"/>
      <c r="G2496" s="20" t="n"/>
    </row>
    <row r="2497">
      <c r="A2497" s="21" t="inlineStr">
        <is>
          <t>Details of cost for 10 nos   |   Source: CivilDAR_2019_Vol_1.pdf, page 535</t>
        </is>
      </c>
    </row>
    <row r="2498">
      <c r="A2498" s="5" t="inlineStr">
        <is>
          <t>Code</t>
        </is>
      </c>
      <c r="B2498" s="5" t="inlineStr">
        <is>
          <t>Description</t>
        </is>
      </c>
      <c r="C2498" s="5" t="inlineStr">
        <is>
          <t>Unit</t>
        </is>
      </c>
      <c r="D2498" s="5" t="inlineStr">
        <is>
          <t>Quantity</t>
        </is>
      </c>
      <c r="E2498" s="5" t="inlineStr">
        <is>
          <t>Rate (Rs.)</t>
        </is>
      </c>
      <c r="F2498" s="5" t="inlineStr">
        <is>
          <t>Amount (Rs.)</t>
        </is>
      </c>
      <c r="G2498" s="5" t="inlineStr">
        <is>
          <t>Note</t>
        </is>
      </c>
    </row>
    <row r="2499">
      <c r="A2499" s="22" t="inlineStr">
        <is>
          <t>0400</t>
        </is>
      </c>
      <c r="B2499" s="11" t="inlineStr">
        <is>
          <t>Brass tower bolt (barrel type) 250x10 mm</t>
        </is>
      </c>
      <c r="C2499" s="22" t="inlineStr">
        <is>
          <t>each</t>
        </is>
      </c>
      <c r="D2499" s="23" t="n">
        <v>10</v>
      </c>
      <c r="E2499" s="24" t="n">
        <v>257</v>
      </c>
      <c r="F2499" s="24">
        <f>D2499*E2499</f>
        <v/>
      </c>
      <c r="G2499" s="22" t="n"/>
    </row>
    <row r="2500">
      <c r="A2500" s="22" t="inlineStr">
        <is>
          <t>0451</t>
        </is>
      </c>
      <c r="B2500" s="11" t="inlineStr">
        <is>
          <t>Brass screws 30 mm</t>
        </is>
      </c>
      <c r="C2500" s="22" t="inlineStr">
        <is>
          <t>100 Nos</t>
        </is>
      </c>
      <c r="D2500" s="23" t="n">
        <v>1</v>
      </c>
      <c r="E2500" s="24" t="n">
        <v>140</v>
      </c>
      <c r="F2500" s="24">
        <f>D2500*E2500</f>
        <v/>
      </c>
      <c r="G2500" s="22" t="n"/>
    </row>
    <row r="2501">
      <c r="A2501" s="22" t="inlineStr">
        <is>
          <t>9977</t>
        </is>
      </c>
      <c r="B2501" s="11" t="inlineStr">
        <is>
          <t>Carriage of materials</t>
        </is>
      </c>
      <c r="C2501" s="22" t="inlineStr">
        <is>
          <t>L.S.</t>
        </is>
      </c>
      <c r="D2501" s="23" t="n">
        <v>4.55</v>
      </c>
      <c r="E2501" s="24" t="n">
        <v>2</v>
      </c>
      <c r="F2501" s="24">
        <f>D2501*E2501</f>
        <v/>
      </c>
      <c r="G2501" s="22" t="n"/>
    </row>
    <row r="2502">
      <c r="A2502" s="22" t="inlineStr">
        <is>
          <t>0111</t>
        </is>
      </c>
      <c r="B2502" s="11" t="inlineStr">
        <is>
          <t>Carpenter 1st class</t>
        </is>
      </c>
      <c r="C2502" s="22" t="inlineStr">
        <is>
          <t>day</t>
        </is>
      </c>
      <c r="D2502" s="23" t="n">
        <v>0.1</v>
      </c>
      <c r="E2502" s="24" t="n">
        <v>738</v>
      </c>
      <c r="F2502" s="24">
        <f>D2502*E2502</f>
        <v/>
      </c>
      <c r="G2502" s="22" t="n"/>
    </row>
    <row r="2503">
      <c r="A2503" s="8" t="inlineStr">
        <is>
          <t>Calculated W - SUM of the Amount column above</t>
        </is>
      </c>
      <c r="B2503" s="9" t="n"/>
      <c r="C2503" s="9" t="n"/>
      <c r="D2503" s="9" t="n"/>
      <c r="E2503" s="9" t="n"/>
      <c r="F2503" s="25">
        <f>SUM(F2499:F2502)</f>
        <v/>
      </c>
      <c r="G2503" s="9" t="n"/>
    </row>
    <row r="2504">
      <c r="A2504" s="26" t="inlineStr">
        <is>
          <t>W as printed in the DAR</t>
        </is>
      </c>
      <c r="B2504" s="22" t="n"/>
      <c r="C2504" s="22" t="n"/>
      <c r="D2504" s="22" t="n"/>
      <c r="E2504" s="22" t="n"/>
      <c r="F2504" s="27" t="n">
        <v>2792.9</v>
      </c>
      <c r="G2504" s="22" t="n"/>
    </row>
    <row r="2505">
      <c r="A2505" s="26" t="inlineStr">
        <is>
          <t>Difference (calculated - printed)</t>
        </is>
      </c>
      <c r="B2505" s="22" t="n"/>
      <c r="C2505" s="22" t="n"/>
      <c r="D2505" s="22" t="n"/>
      <c r="E2505" s="22" t="n"/>
      <c r="F2505" s="27">
        <f>F2503-F2504</f>
        <v/>
      </c>
      <c r="G2505" s="22" t="n"/>
    </row>
    <row r="2506">
      <c r="A2506" s="29" t="inlineStr">
        <is>
          <t>SAY (Rs.) - final DAR rate as printed (fixed value, not computed)</t>
        </is>
      </c>
      <c r="B2506" s="30" t="n"/>
      <c r="C2506" s="30" t="n"/>
      <c r="D2506" s="30" t="n"/>
      <c r="E2506" s="30" t="n"/>
      <c r="F2506" s="31" t="n">
        <v>373.65</v>
      </c>
      <c r="G2506" s="30" t="n"/>
    </row>
    <row r="2508" ht="18.5" customHeight="1">
      <c r="A2508" s="8" t="inlineStr">
        <is>
          <t>9.74</t>
        </is>
      </c>
      <c r="B2508" s="17" t="inlineStr">
        <is>
          <t>Providing and fixing bright finished brass tower bolts (barrel type) with necessary screws etc. complete :</t>
        </is>
      </c>
      <c r="C2508" s="9" t="n"/>
      <c r="D2508" s="9" t="n"/>
      <c r="E2508" s="9" t="n"/>
      <c r="F2508" s="9" t="n"/>
      <c r="G2508" s="9" t="n"/>
    </row>
    <row r="2509" ht="18.5" customHeight="1">
      <c r="A2509" s="18" t="inlineStr">
        <is>
          <t>9.74.2</t>
        </is>
      </c>
      <c r="B2509" s="19" t="inlineStr">
        <is>
          <t>200x10 mm</t>
        </is>
      </c>
      <c r="C2509" s="20" t="n"/>
      <c r="D2509" s="20" t="n"/>
      <c r="E2509" s="20" t="n"/>
      <c r="F2509" s="20" t="n"/>
      <c r="G2509" s="20" t="n"/>
    </row>
    <row r="2510">
      <c r="A2510" s="21" t="inlineStr">
        <is>
          <t>Details of cost for 10 nos   |   Source: CivilDAR_2019_Vol_1.pdf, page 535</t>
        </is>
      </c>
    </row>
    <row r="2511">
      <c r="A2511" s="5" t="inlineStr">
        <is>
          <t>Code</t>
        </is>
      </c>
      <c r="B2511" s="5" t="inlineStr">
        <is>
          <t>Description</t>
        </is>
      </c>
      <c r="C2511" s="5" t="inlineStr">
        <is>
          <t>Unit</t>
        </is>
      </c>
      <c r="D2511" s="5" t="inlineStr">
        <is>
          <t>Quantity</t>
        </is>
      </c>
      <c r="E2511" s="5" t="inlineStr">
        <is>
          <t>Rate (Rs.)</t>
        </is>
      </c>
      <c r="F2511" s="5" t="inlineStr">
        <is>
          <t>Amount (Rs.)</t>
        </is>
      </c>
      <c r="G2511" s="5" t="inlineStr">
        <is>
          <t>Note</t>
        </is>
      </c>
    </row>
    <row r="2512">
      <c r="A2512" s="22" t="inlineStr">
        <is>
          <t>0401</t>
        </is>
      </c>
      <c r="B2512" s="11" t="inlineStr">
        <is>
          <t>Brass tower bolt (barrel type) 200x10 mm</t>
        </is>
      </c>
      <c r="C2512" s="22" t="inlineStr">
        <is>
          <t>each</t>
        </is>
      </c>
      <c r="D2512" s="23" t="n">
        <v>10</v>
      </c>
      <c r="E2512" s="24" t="n">
        <v>205</v>
      </c>
      <c r="F2512" s="24">
        <f>D2512*E2512</f>
        <v/>
      </c>
      <c r="G2512" s="22" t="n"/>
    </row>
    <row r="2513">
      <c r="A2513" s="22" t="inlineStr">
        <is>
          <t>0451</t>
        </is>
      </c>
      <c r="B2513" s="11" t="inlineStr">
        <is>
          <t>Brass screws 30 mm</t>
        </is>
      </c>
      <c r="C2513" s="22" t="inlineStr">
        <is>
          <t>100 Nos</t>
        </is>
      </c>
      <c r="D2513" s="23" t="n">
        <v>0.8</v>
      </c>
      <c r="E2513" s="24" t="n">
        <v>140</v>
      </c>
      <c r="F2513" s="24">
        <f>D2513*E2513</f>
        <v/>
      </c>
      <c r="G2513" s="22" t="n"/>
    </row>
    <row r="2514">
      <c r="A2514" s="22" t="inlineStr">
        <is>
          <t>9977</t>
        </is>
      </c>
      <c r="B2514" s="11" t="inlineStr">
        <is>
          <t>Carriage of materials</t>
        </is>
      </c>
      <c r="C2514" s="22" t="inlineStr">
        <is>
          <t>L.S.</t>
        </is>
      </c>
      <c r="D2514" s="23" t="n">
        <v>2.73</v>
      </c>
      <c r="E2514" s="24" t="n">
        <v>2</v>
      </c>
      <c r="F2514" s="24">
        <f>D2514*E2514</f>
        <v/>
      </c>
      <c r="G2514" s="22" t="n"/>
    </row>
    <row r="2515">
      <c r="A2515" s="22" t="inlineStr">
        <is>
          <t>0111</t>
        </is>
      </c>
      <c r="B2515" s="11" t="inlineStr">
        <is>
          <t>Carpenter 1st class</t>
        </is>
      </c>
      <c r="C2515" s="22" t="inlineStr">
        <is>
          <t>day</t>
        </is>
      </c>
      <c r="D2515" s="23" t="n">
        <v>0.1</v>
      </c>
      <c r="E2515" s="24" t="n">
        <v>738</v>
      </c>
      <c r="F2515" s="24">
        <f>D2515*E2515</f>
        <v/>
      </c>
      <c r="G2515" s="22" t="n"/>
    </row>
    <row r="2516">
      <c r="A2516" s="8" t="inlineStr">
        <is>
          <t>Calculated W - SUM of the Amount column above</t>
        </is>
      </c>
      <c r="B2516" s="9" t="n"/>
      <c r="C2516" s="9" t="n"/>
      <c r="D2516" s="9" t="n"/>
      <c r="E2516" s="9" t="n"/>
      <c r="F2516" s="25">
        <f>SUM(F2512:F2515)</f>
        <v/>
      </c>
      <c r="G2516" s="9" t="n"/>
    </row>
    <row r="2517">
      <c r="A2517" s="26" t="inlineStr">
        <is>
          <t>W as printed in the DAR</t>
        </is>
      </c>
      <c r="B2517" s="22" t="n"/>
      <c r="C2517" s="22" t="n"/>
      <c r="D2517" s="22" t="n"/>
      <c r="E2517" s="22" t="n"/>
      <c r="F2517" s="27" t="n">
        <v>2241.26</v>
      </c>
      <c r="G2517" s="22" t="n"/>
    </row>
    <row r="2518">
      <c r="A2518" s="26" t="inlineStr">
        <is>
          <t>Difference (calculated - printed)</t>
        </is>
      </c>
      <c r="B2518" s="22" t="n"/>
      <c r="C2518" s="22" t="n"/>
      <c r="D2518" s="22" t="n"/>
      <c r="E2518" s="22" t="n"/>
      <c r="F2518" s="27">
        <f>F2516-F2517</f>
        <v/>
      </c>
      <c r="G2518" s="22" t="n"/>
    </row>
    <row r="2519">
      <c r="A2519" s="29" t="inlineStr">
        <is>
          <t>SAY (Rs.) - final DAR rate as printed (fixed value, not computed)</t>
        </is>
      </c>
      <c r="B2519" s="30" t="n"/>
      <c r="C2519" s="30" t="n"/>
      <c r="D2519" s="30" t="n"/>
      <c r="E2519" s="30" t="n"/>
      <c r="F2519" s="31" t="n">
        <v>299.85</v>
      </c>
      <c r="G2519" s="30" t="n"/>
    </row>
    <row r="2521" ht="18.5" customHeight="1">
      <c r="A2521" s="8" t="inlineStr">
        <is>
          <t>9.74</t>
        </is>
      </c>
      <c r="B2521" s="17" t="inlineStr">
        <is>
          <t>Providing and fixing bright finished brass tower bolts (barrel type) with necessary screws etc. complete :</t>
        </is>
      </c>
      <c r="C2521" s="9" t="n"/>
      <c r="D2521" s="9" t="n"/>
      <c r="E2521" s="9" t="n"/>
      <c r="F2521" s="9" t="n"/>
      <c r="G2521" s="9" t="n"/>
    </row>
    <row r="2522" ht="18.5" customHeight="1">
      <c r="A2522" s="18" t="inlineStr">
        <is>
          <t>9.74.3</t>
        </is>
      </c>
      <c r="B2522" s="19" t="inlineStr">
        <is>
          <t>150x10 mm</t>
        </is>
      </c>
      <c r="C2522" s="20" t="n"/>
      <c r="D2522" s="20" t="n"/>
      <c r="E2522" s="20" t="n"/>
      <c r="F2522" s="20" t="n"/>
      <c r="G2522" s="20" t="n"/>
    </row>
    <row r="2523">
      <c r="A2523" s="21" t="inlineStr">
        <is>
          <t>Details of cost for 10 nos   |   Source: CivilDAR_2019_Vol_1.pdf, page 536</t>
        </is>
      </c>
    </row>
    <row r="2524">
      <c r="A2524" s="5" t="inlineStr">
        <is>
          <t>Code</t>
        </is>
      </c>
      <c r="B2524" s="5" t="inlineStr">
        <is>
          <t>Description</t>
        </is>
      </c>
      <c r="C2524" s="5" t="inlineStr">
        <is>
          <t>Unit</t>
        </is>
      </c>
      <c r="D2524" s="5" t="inlineStr">
        <is>
          <t>Quantity</t>
        </is>
      </c>
      <c r="E2524" s="5" t="inlineStr">
        <is>
          <t>Rate (Rs.)</t>
        </is>
      </c>
      <c r="F2524" s="5" t="inlineStr">
        <is>
          <t>Amount (Rs.)</t>
        </is>
      </c>
      <c r="G2524" s="5" t="inlineStr">
        <is>
          <t>Note</t>
        </is>
      </c>
    </row>
    <row r="2525">
      <c r="A2525" s="22" t="inlineStr">
        <is>
          <t>0402</t>
        </is>
      </c>
      <c r="B2525" s="11" t="inlineStr">
        <is>
          <t>Brass tower bolt (barrel type) 150x10 mm</t>
        </is>
      </c>
      <c r="C2525" s="22" t="inlineStr">
        <is>
          <t>each</t>
        </is>
      </c>
      <c r="D2525" s="23" t="n">
        <v>10</v>
      </c>
      <c r="E2525" s="24" t="n">
        <v>154</v>
      </c>
      <c r="F2525" s="24">
        <f>D2525*E2525</f>
        <v/>
      </c>
      <c r="G2525" s="22" t="n"/>
    </row>
    <row r="2526">
      <c r="A2526" s="22" t="inlineStr">
        <is>
          <t>0451</t>
        </is>
      </c>
      <c r="B2526" s="11" t="inlineStr">
        <is>
          <t>Brass screws 30 mm</t>
        </is>
      </c>
      <c r="C2526" s="22" t="inlineStr">
        <is>
          <t>100 Nos</t>
        </is>
      </c>
      <c r="D2526" s="23" t="n">
        <v>0.8</v>
      </c>
      <c r="E2526" s="24" t="n">
        <v>140</v>
      </c>
      <c r="F2526" s="24">
        <f>D2526*E2526</f>
        <v/>
      </c>
      <c r="G2526" s="22" t="n"/>
    </row>
    <row r="2527">
      <c r="A2527" s="22" t="inlineStr">
        <is>
          <t>9977</t>
        </is>
      </c>
      <c r="B2527" s="11" t="inlineStr">
        <is>
          <t>Carriage of materials</t>
        </is>
      </c>
      <c r="C2527" s="22" t="inlineStr">
        <is>
          <t>L.S.</t>
        </is>
      </c>
      <c r="D2527" s="23" t="n">
        <v>2.73</v>
      </c>
      <c r="E2527" s="24" t="n">
        <v>2</v>
      </c>
      <c r="F2527" s="24">
        <f>D2527*E2527</f>
        <v/>
      </c>
      <c r="G2527" s="22" t="n"/>
    </row>
    <row r="2528">
      <c r="A2528" s="22" t="inlineStr">
        <is>
          <t>0111</t>
        </is>
      </c>
      <c r="B2528" s="11" t="inlineStr">
        <is>
          <t>Carpenter 1st class</t>
        </is>
      </c>
      <c r="C2528" s="22" t="inlineStr">
        <is>
          <t>day</t>
        </is>
      </c>
      <c r="D2528" s="23" t="n">
        <v>0.1</v>
      </c>
      <c r="E2528" s="24" t="n">
        <v>738</v>
      </c>
      <c r="F2528" s="24">
        <f>D2528*E2528</f>
        <v/>
      </c>
      <c r="G2528" s="22" t="n"/>
    </row>
    <row r="2529">
      <c r="A2529" s="8" t="inlineStr">
        <is>
          <t>Calculated W - SUM of the Amount column above</t>
        </is>
      </c>
      <c r="B2529" s="9" t="n"/>
      <c r="C2529" s="9" t="n"/>
      <c r="D2529" s="9" t="n"/>
      <c r="E2529" s="9" t="n"/>
      <c r="F2529" s="25">
        <f>SUM(F2525:F2528)</f>
        <v/>
      </c>
      <c r="G2529" s="9" t="n"/>
    </row>
    <row r="2530">
      <c r="A2530" s="26" t="inlineStr">
        <is>
          <t>W as printed in the DAR</t>
        </is>
      </c>
      <c r="B2530" s="22" t="n"/>
      <c r="C2530" s="22" t="n"/>
      <c r="D2530" s="22" t="n"/>
      <c r="E2530" s="22" t="n"/>
      <c r="F2530" s="27" t="n">
        <v>1731.26</v>
      </c>
      <c r="G2530" s="22" t="n"/>
    </row>
    <row r="2531">
      <c r="A2531" s="26" t="inlineStr">
        <is>
          <t>Difference (calculated - printed)</t>
        </is>
      </c>
      <c r="B2531" s="22" t="n"/>
      <c r="C2531" s="22" t="n"/>
      <c r="D2531" s="22" t="n"/>
      <c r="E2531" s="22" t="n"/>
      <c r="F2531" s="27">
        <f>F2529-F2530</f>
        <v/>
      </c>
      <c r="G2531" s="22" t="n"/>
    </row>
    <row r="2532">
      <c r="A2532" s="29" t="inlineStr">
        <is>
          <t>SAY (Rs.) - final DAR rate as printed (fixed value, not computed)</t>
        </is>
      </c>
      <c r="B2532" s="30" t="n"/>
      <c r="C2532" s="30" t="n"/>
      <c r="D2532" s="30" t="n"/>
      <c r="E2532" s="30" t="n"/>
      <c r="F2532" s="31" t="n">
        <v>231.65</v>
      </c>
      <c r="G2532" s="30" t="n"/>
    </row>
    <row r="2534" ht="18.5" customHeight="1">
      <c r="A2534" s="8" t="inlineStr">
        <is>
          <t>9.74</t>
        </is>
      </c>
      <c r="B2534" s="17" t="inlineStr">
        <is>
          <t>Providing and fixing bright finished brass tower bolts (barrel type) with necessary screws etc. complete :</t>
        </is>
      </c>
      <c r="C2534" s="9" t="n"/>
      <c r="D2534" s="9" t="n"/>
      <c r="E2534" s="9" t="n"/>
      <c r="F2534" s="9" t="n"/>
      <c r="G2534" s="9" t="n"/>
    </row>
    <row r="2535" ht="18.5" customHeight="1">
      <c r="A2535" s="18" t="inlineStr">
        <is>
          <t>9.74.4</t>
        </is>
      </c>
      <c r="B2535" s="19" t="inlineStr">
        <is>
          <t>100x10 mm</t>
        </is>
      </c>
      <c r="C2535" s="20" t="n"/>
      <c r="D2535" s="20" t="n"/>
      <c r="E2535" s="20" t="n"/>
      <c r="F2535" s="20" t="n"/>
      <c r="G2535" s="20" t="n"/>
    </row>
    <row r="2536">
      <c r="A2536" s="21" t="inlineStr">
        <is>
          <t>Details of cost for 10 nos   |   Source: CivilDAR_2019_Vol_1.pdf, page 536</t>
        </is>
      </c>
    </row>
    <row r="2537">
      <c r="A2537" s="5" t="inlineStr">
        <is>
          <t>Code</t>
        </is>
      </c>
      <c r="B2537" s="5" t="inlineStr">
        <is>
          <t>Description</t>
        </is>
      </c>
      <c r="C2537" s="5" t="inlineStr">
        <is>
          <t>Unit</t>
        </is>
      </c>
      <c r="D2537" s="5" t="inlineStr">
        <is>
          <t>Quantity</t>
        </is>
      </c>
      <c r="E2537" s="5" t="inlineStr">
        <is>
          <t>Rate (Rs.)</t>
        </is>
      </c>
      <c r="F2537" s="5" t="inlineStr">
        <is>
          <t>Amount (Rs.)</t>
        </is>
      </c>
      <c r="G2537" s="5" t="inlineStr">
        <is>
          <t>Note</t>
        </is>
      </c>
    </row>
    <row r="2538">
      <c r="A2538" s="22" t="inlineStr">
        <is>
          <t>0403</t>
        </is>
      </c>
      <c r="B2538" s="11" t="inlineStr">
        <is>
          <t>Brass tower bolt (barrel type) 100x10 mm</t>
        </is>
      </c>
      <c r="C2538" s="22" t="inlineStr">
        <is>
          <t>each</t>
        </is>
      </c>
      <c r="D2538" s="23" t="n">
        <v>10</v>
      </c>
      <c r="E2538" s="24" t="n">
        <v>103</v>
      </c>
      <c r="F2538" s="24">
        <f>D2538*E2538</f>
        <v/>
      </c>
      <c r="G2538" s="22" t="n"/>
    </row>
    <row r="2539">
      <c r="A2539" s="22" t="inlineStr">
        <is>
          <t>0451</t>
        </is>
      </c>
      <c r="B2539" s="11" t="inlineStr">
        <is>
          <t>Brass screws 30 mm</t>
        </is>
      </c>
      <c r="C2539" s="22" t="inlineStr">
        <is>
          <t>100 Nos</t>
        </is>
      </c>
      <c r="D2539" s="23" t="n">
        <v>0.6</v>
      </c>
      <c r="E2539" s="24" t="n">
        <v>140</v>
      </c>
      <c r="F2539" s="24">
        <f>D2539*E2539</f>
        <v/>
      </c>
      <c r="G2539" s="22" t="n"/>
    </row>
    <row r="2540">
      <c r="A2540" s="22" t="inlineStr">
        <is>
          <t>9977</t>
        </is>
      </c>
      <c r="B2540" s="11" t="inlineStr">
        <is>
          <t>Carriage of materials</t>
        </is>
      </c>
      <c r="C2540" s="22" t="inlineStr">
        <is>
          <t>L.S.</t>
        </is>
      </c>
      <c r="D2540" s="23" t="n">
        <v>2.73</v>
      </c>
      <c r="E2540" s="24" t="n">
        <v>2</v>
      </c>
      <c r="F2540" s="24">
        <f>D2540*E2540</f>
        <v/>
      </c>
      <c r="G2540" s="22" t="n"/>
    </row>
    <row r="2541">
      <c r="A2541" s="22" t="inlineStr">
        <is>
          <t>0111</t>
        </is>
      </c>
      <c r="B2541" s="11" t="inlineStr">
        <is>
          <t>Carpenter 1st class</t>
        </is>
      </c>
      <c r="C2541" s="22" t="inlineStr">
        <is>
          <t>day</t>
        </is>
      </c>
      <c r="D2541" s="23" t="n">
        <v>0.1</v>
      </c>
      <c r="E2541" s="24" t="n">
        <v>738</v>
      </c>
      <c r="F2541" s="24">
        <f>D2541*E2541</f>
        <v/>
      </c>
      <c r="G2541" s="22" t="n"/>
    </row>
    <row r="2542">
      <c r="A2542" s="8" t="inlineStr">
        <is>
          <t>Calculated W - SUM of the Amount column above</t>
        </is>
      </c>
      <c r="B2542" s="9" t="n"/>
      <c r="C2542" s="9" t="n"/>
      <c r="D2542" s="9" t="n"/>
      <c r="E2542" s="9" t="n"/>
      <c r="F2542" s="25">
        <f>SUM(F2538:F2541)</f>
        <v/>
      </c>
      <c r="G2542" s="9" t="n"/>
    </row>
    <row r="2543">
      <c r="A2543" s="26" t="inlineStr">
        <is>
          <t>W as printed in the DAR</t>
        </is>
      </c>
      <c r="B2543" s="22" t="n"/>
      <c r="C2543" s="22" t="n"/>
      <c r="D2543" s="22" t="n"/>
      <c r="E2543" s="22" t="n"/>
      <c r="F2543" s="27" t="n">
        <v>1193.26</v>
      </c>
      <c r="G2543" s="22" t="n"/>
    </row>
    <row r="2544">
      <c r="A2544" s="26" t="inlineStr">
        <is>
          <t>Difference (calculated - printed)</t>
        </is>
      </c>
      <c r="B2544" s="22" t="n"/>
      <c r="C2544" s="22" t="n"/>
      <c r="D2544" s="22" t="n"/>
      <c r="E2544" s="22" t="n"/>
      <c r="F2544" s="27">
        <f>F2542-F2543</f>
        <v/>
      </c>
      <c r="G2544" s="22" t="n"/>
    </row>
    <row r="2545">
      <c r="A2545" s="29" t="inlineStr">
        <is>
          <t>SAY (Rs.) - final DAR rate as printed (fixed value, not computed)</t>
        </is>
      </c>
      <c r="B2545" s="30" t="n"/>
      <c r="C2545" s="30" t="n"/>
      <c r="D2545" s="30" t="n"/>
      <c r="E2545" s="30" t="n"/>
      <c r="F2545" s="31" t="n">
        <v>159.65</v>
      </c>
      <c r="G2545" s="30" t="n"/>
    </row>
    <row r="2547" ht="18.5" customHeight="1">
      <c r="A2547" s="8" t="inlineStr">
        <is>
          <t>9.75</t>
        </is>
      </c>
      <c r="B2547" s="17" t="inlineStr">
        <is>
          <t>Providing and fixing bright finished brass door latch with necessary screws etc. complete :</t>
        </is>
      </c>
      <c r="C2547" s="9" t="n"/>
      <c r="D2547" s="9" t="n"/>
      <c r="E2547" s="9" t="n"/>
      <c r="F2547" s="9" t="n"/>
      <c r="G2547" s="9" t="n"/>
    </row>
    <row r="2548" ht="18.5" customHeight="1">
      <c r="A2548" s="18" t="inlineStr">
        <is>
          <t>9.75.1</t>
        </is>
      </c>
      <c r="B2548" s="19" t="inlineStr">
        <is>
          <t>300x16x5 mm</t>
        </is>
      </c>
      <c r="C2548" s="20" t="n"/>
      <c r="D2548" s="20" t="n"/>
      <c r="E2548" s="20" t="n"/>
      <c r="F2548" s="20" t="n"/>
      <c r="G2548" s="20" t="n"/>
    </row>
    <row r="2549">
      <c r="A2549" s="21" t="inlineStr">
        <is>
          <t>Details of cost for 10 nos   |   Source: CivilDAR_2019_Vol_1.pdf, page 537</t>
        </is>
      </c>
    </row>
    <row r="2550">
      <c r="A2550" s="5" t="inlineStr">
        <is>
          <t>Code</t>
        </is>
      </c>
      <c r="B2550" s="5" t="inlineStr">
        <is>
          <t>Description</t>
        </is>
      </c>
      <c r="C2550" s="5" t="inlineStr">
        <is>
          <t>Unit</t>
        </is>
      </c>
      <c r="D2550" s="5" t="inlineStr">
        <is>
          <t>Quantity</t>
        </is>
      </c>
      <c r="E2550" s="5" t="inlineStr">
        <is>
          <t>Rate (Rs.)</t>
        </is>
      </c>
      <c r="F2550" s="5" t="inlineStr">
        <is>
          <t>Amount (Rs.)</t>
        </is>
      </c>
      <c r="G2550" s="5" t="inlineStr">
        <is>
          <t>Note</t>
        </is>
      </c>
    </row>
    <row r="2551">
      <c r="A2551" s="22" t="inlineStr">
        <is>
          <t>0411</t>
        </is>
      </c>
      <c r="B2551" s="11" t="inlineStr">
        <is>
          <t>Brass door latch 300x16x5 mm (0.380 kg)</t>
        </is>
      </c>
      <c r="C2551" s="22" t="inlineStr">
        <is>
          <t>each</t>
        </is>
      </c>
      <c r="D2551" s="23" t="n">
        <v>10</v>
      </c>
      <c r="E2551" s="24" t="n">
        <v>185</v>
      </c>
      <c r="F2551" s="24">
        <f>D2551*E2551</f>
        <v/>
      </c>
      <c r="G2551" s="22" t="n"/>
    </row>
    <row r="2552">
      <c r="A2552" s="22" t="inlineStr">
        <is>
          <t>0452</t>
        </is>
      </c>
      <c r="B2552" s="11" t="inlineStr">
        <is>
          <t>Brass screws 25 mm</t>
        </is>
      </c>
      <c r="C2552" s="22" t="inlineStr">
        <is>
          <t>100 Nos</t>
        </is>
      </c>
      <c r="D2552" s="23" t="n">
        <v>0.9</v>
      </c>
      <c r="E2552" s="24" t="n">
        <v>100</v>
      </c>
      <c r="F2552" s="24">
        <f>D2552*E2552</f>
        <v/>
      </c>
      <c r="G2552" s="22" t="n"/>
    </row>
    <row r="2553">
      <c r="A2553" s="22" t="inlineStr">
        <is>
          <t>9977</t>
        </is>
      </c>
      <c r="B2553" s="11" t="inlineStr">
        <is>
          <t>Carriage of materials</t>
        </is>
      </c>
      <c r="C2553" s="22" t="inlineStr">
        <is>
          <t>L.S.</t>
        </is>
      </c>
      <c r="D2553" s="23" t="n">
        <v>3.64</v>
      </c>
      <c r="E2553" s="24" t="n">
        <v>2</v>
      </c>
      <c r="F2553" s="24">
        <f>D2553*E2553</f>
        <v/>
      </c>
      <c r="G2553" s="22" t="n"/>
    </row>
    <row r="2554">
      <c r="A2554" s="22" t="inlineStr">
        <is>
          <t>0111</t>
        </is>
      </c>
      <c r="B2554" s="11" t="inlineStr">
        <is>
          <t>Carpenter 1st class</t>
        </is>
      </c>
      <c r="C2554" s="22" t="inlineStr">
        <is>
          <t>day</t>
        </is>
      </c>
      <c r="D2554" s="23" t="n">
        <v>0.12</v>
      </c>
      <c r="E2554" s="24" t="n">
        <v>738</v>
      </c>
      <c r="F2554" s="24">
        <f>D2554*E2554</f>
        <v/>
      </c>
      <c r="G2554" s="22" t="n"/>
    </row>
    <row r="2555">
      <c r="A2555" s="8" t="inlineStr">
        <is>
          <t>Calculated W - SUM of the Amount column above</t>
        </is>
      </c>
      <c r="B2555" s="9" t="n"/>
      <c r="C2555" s="9" t="n"/>
      <c r="D2555" s="9" t="n"/>
      <c r="E2555" s="9" t="n"/>
      <c r="F2555" s="25">
        <f>SUM(F2551:F2554)</f>
        <v/>
      </c>
      <c r="G2555" s="9" t="n"/>
    </row>
    <row r="2556">
      <c r="A2556" s="26" t="inlineStr">
        <is>
          <t>W as printed in the DAR</t>
        </is>
      </c>
      <c r="B2556" s="22" t="n"/>
      <c r="C2556" s="22" t="n"/>
      <c r="D2556" s="22" t="n"/>
      <c r="E2556" s="22" t="n"/>
      <c r="F2556" s="27" t="n">
        <v>2035.84</v>
      </c>
      <c r="G2556" s="22" t="n"/>
    </row>
    <row r="2557">
      <c r="A2557" s="26" t="inlineStr">
        <is>
          <t>Difference (calculated - printed)</t>
        </is>
      </c>
      <c r="B2557" s="22" t="n"/>
      <c r="C2557" s="22" t="n"/>
      <c r="D2557" s="22" t="n"/>
      <c r="E2557" s="22" t="n"/>
      <c r="F2557" s="27">
        <f>F2555-F2556</f>
        <v/>
      </c>
      <c r="G2557" s="22" t="n"/>
    </row>
    <row r="2558">
      <c r="A2558" s="29" t="inlineStr">
        <is>
          <t>SAY (Rs.) - final DAR rate as printed (fixed value, not computed)</t>
        </is>
      </c>
      <c r="B2558" s="30" t="n"/>
      <c r="C2558" s="30" t="n"/>
      <c r="D2558" s="30" t="n"/>
      <c r="E2558" s="30" t="n"/>
      <c r="F2558" s="31" t="n">
        <v>272.4</v>
      </c>
      <c r="G2558" s="30" t="n"/>
    </row>
    <row r="2560" ht="18.5" customHeight="1">
      <c r="A2560" s="8" t="inlineStr">
        <is>
          <t>9.75</t>
        </is>
      </c>
      <c r="B2560" s="17" t="inlineStr">
        <is>
          <t>Providing and fixing bright finished brass door latch with necessary screws etc. complete :</t>
        </is>
      </c>
      <c r="C2560" s="9" t="n"/>
      <c r="D2560" s="9" t="n"/>
      <c r="E2560" s="9" t="n"/>
      <c r="F2560" s="9" t="n"/>
      <c r="G2560" s="9" t="n"/>
    </row>
    <row r="2561" ht="18.5" customHeight="1">
      <c r="A2561" s="18" t="inlineStr">
        <is>
          <t>9.75.2</t>
        </is>
      </c>
      <c r="B2561" s="19" t="inlineStr">
        <is>
          <t>250x16x5 mm</t>
        </is>
      </c>
      <c r="C2561" s="20" t="n"/>
      <c r="D2561" s="20" t="n"/>
      <c r="E2561" s="20" t="n"/>
      <c r="F2561" s="20" t="n"/>
      <c r="G2561" s="20" t="n"/>
    </row>
    <row r="2562">
      <c r="A2562" s="21" t="inlineStr">
        <is>
          <t>Details of cost for 10 nos   |   Source: CivilDAR_2019_Vol_1.pdf, page 537</t>
        </is>
      </c>
    </row>
    <row r="2563">
      <c r="A2563" s="5" t="inlineStr">
        <is>
          <t>Code</t>
        </is>
      </c>
      <c r="B2563" s="5" t="inlineStr">
        <is>
          <t>Description</t>
        </is>
      </c>
      <c r="C2563" s="5" t="inlineStr">
        <is>
          <t>Unit</t>
        </is>
      </c>
      <c r="D2563" s="5" t="inlineStr">
        <is>
          <t>Quantity</t>
        </is>
      </c>
      <c r="E2563" s="5" t="inlineStr">
        <is>
          <t>Rate (Rs.)</t>
        </is>
      </c>
      <c r="F2563" s="5" t="inlineStr">
        <is>
          <t>Amount (Rs.)</t>
        </is>
      </c>
      <c r="G2563" s="5" t="inlineStr">
        <is>
          <t>Note</t>
        </is>
      </c>
    </row>
    <row r="2564">
      <c r="A2564" s="22" t="inlineStr">
        <is>
          <t>0412</t>
        </is>
      </c>
      <c r="B2564" s="11" t="inlineStr">
        <is>
          <t>Brass door latch 250x16x5 mm (0.350 kg)</t>
        </is>
      </c>
      <c r="C2564" s="22" t="inlineStr">
        <is>
          <t>each</t>
        </is>
      </c>
      <c r="D2564" s="23" t="n">
        <v>10</v>
      </c>
      <c r="E2564" s="24" t="n">
        <v>175</v>
      </c>
      <c r="F2564" s="24">
        <f>D2564*E2564</f>
        <v/>
      </c>
      <c r="G2564" s="22" t="n"/>
    </row>
    <row r="2565">
      <c r="A2565" s="22" t="inlineStr">
        <is>
          <t>0452</t>
        </is>
      </c>
      <c r="B2565" s="11" t="inlineStr">
        <is>
          <t>Brass screws 25 mm</t>
        </is>
      </c>
      <c r="C2565" s="22" t="inlineStr">
        <is>
          <t>100 Nos</t>
        </is>
      </c>
      <c r="D2565" s="23" t="n">
        <v>0.9</v>
      </c>
      <c r="E2565" s="24" t="n">
        <v>100</v>
      </c>
      <c r="F2565" s="24">
        <f>D2565*E2565</f>
        <v/>
      </c>
      <c r="G2565" s="22" t="n"/>
    </row>
    <row r="2566">
      <c r="A2566" s="22" t="inlineStr">
        <is>
          <t>9977</t>
        </is>
      </c>
      <c r="B2566" s="11" t="inlineStr">
        <is>
          <t>Carriage of materials</t>
        </is>
      </c>
      <c r="C2566" s="22" t="inlineStr">
        <is>
          <t>L.S.</t>
        </is>
      </c>
      <c r="D2566" s="23" t="n">
        <v>3.64</v>
      </c>
      <c r="E2566" s="24" t="n">
        <v>2</v>
      </c>
      <c r="F2566" s="24">
        <f>D2566*E2566</f>
        <v/>
      </c>
      <c r="G2566" s="22" t="n"/>
    </row>
    <row r="2567">
      <c r="A2567" s="22" t="inlineStr">
        <is>
          <t>0111</t>
        </is>
      </c>
      <c r="B2567" s="11" t="inlineStr">
        <is>
          <t>Carpenter 1st class</t>
        </is>
      </c>
      <c r="C2567" s="22" t="inlineStr">
        <is>
          <t>day</t>
        </is>
      </c>
      <c r="D2567" s="23" t="n">
        <v>0.12</v>
      </c>
      <c r="E2567" s="24" t="n">
        <v>738</v>
      </c>
      <c r="F2567" s="24">
        <f>D2567*E2567</f>
        <v/>
      </c>
      <c r="G2567" s="22" t="n"/>
    </row>
    <row r="2568">
      <c r="A2568" s="8" t="inlineStr">
        <is>
          <t>Calculated W - SUM of the Amount column above</t>
        </is>
      </c>
      <c r="B2568" s="9" t="n"/>
      <c r="C2568" s="9" t="n"/>
      <c r="D2568" s="9" t="n"/>
      <c r="E2568" s="9" t="n"/>
      <c r="F2568" s="25">
        <f>SUM(F2564:F2567)</f>
        <v/>
      </c>
      <c r="G2568" s="9" t="n"/>
    </row>
    <row r="2569">
      <c r="A2569" s="26" t="inlineStr">
        <is>
          <t>W as printed in the DAR</t>
        </is>
      </c>
      <c r="B2569" s="22" t="n"/>
      <c r="C2569" s="22" t="n"/>
      <c r="D2569" s="22" t="n"/>
      <c r="E2569" s="22" t="n"/>
      <c r="F2569" s="27" t="n">
        <v>1935.84</v>
      </c>
      <c r="G2569" s="22" t="n"/>
    </row>
    <row r="2570">
      <c r="A2570" s="26" t="inlineStr">
        <is>
          <t>Difference (calculated - printed)</t>
        </is>
      </c>
      <c r="B2570" s="22" t="n"/>
      <c r="C2570" s="22" t="n"/>
      <c r="D2570" s="22" t="n"/>
      <c r="E2570" s="22" t="n"/>
      <c r="F2570" s="27">
        <f>F2568-F2569</f>
        <v/>
      </c>
      <c r="G2570" s="22" t="n"/>
    </row>
    <row r="2571">
      <c r="A2571" s="29" t="inlineStr">
        <is>
          <t>SAY (Rs.) - final DAR rate as printed (fixed value, not computed)</t>
        </is>
      </c>
      <c r="B2571" s="30" t="n"/>
      <c r="C2571" s="30" t="n"/>
      <c r="D2571" s="30" t="n"/>
      <c r="E2571" s="30" t="n"/>
      <c r="F2571" s="31" t="n">
        <v>259</v>
      </c>
      <c r="G2571" s="30" t="n"/>
    </row>
    <row r="2573" ht="33" customHeight="1">
      <c r="A2573" s="18" t="inlineStr">
        <is>
          <t>9.76</t>
        </is>
      </c>
      <c r="B2573" s="19" t="inlineStr">
        <is>
          <t>Providing and fixing bright finished brass 100 mm mortice latch and lock with 6 levers and a pair of lever handles of approved quality with necessary screws etc. complete.</t>
        </is>
      </c>
      <c r="C2573" s="20" t="n"/>
      <c r="D2573" s="20" t="n"/>
      <c r="E2573" s="20" t="n"/>
      <c r="F2573" s="20" t="n"/>
      <c r="G2573" s="20" t="n"/>
    </row>
    <row r="2574">
      <c r="A2574" s="21" t="inlineStr">
        <is>
          <t>Details of cost for 1 no   |   Source: CivilDAR_2019_Vol_1.pdf, page 538</t>
        </is>
      </c>
    </row>
    <row r="2575">
      <c r="A2575" s="5" t="inlineStr">
        <is>
          <t>Code</t>
        </is>
      </c>
      <c r="B2575" s="5" t="inlineStr">
        <is>
          <t>Description</t>
        </is>
      </c>
      <c r="C2575" s="5" t="inlineStr">
        <is>
          <t>Unit</t>
        </is>
      </c>
      <c r="D2575" s="5" t="inlineStr">
        <is>
          <t>Quantity</t>
        </is>
      </c>
      <c r="E2575" s="5" t="inlineStr">
        <is>
          <t>Rate (Rs.)</t>
        </is>
      </c>
      <c r="F2575" s="5" t="inlineStr">
        <is>
          <t>Amount (Rs.)</t>
        </is>
      </c>
      <c r="G2575" s="5" t="inlineStr">
        <is>
          <t>Note</t>
        </is>
      </c>
    </row>
    <row r="2576">
      <c r="A2576" s="22" t="inlineStr">
        <is>
          <t>0413</t>
        </is>
      </c>
      <c r="B2576" s="11" t="inlineStr">
        <is>
          <t>Brass mortice latch and lock 100x65 mm with 6 levers and a pair of brass lever handles</t>
        </is>
      </c>
      <c r="C2576" s="22" t="inlineStr">
        <is>
          <t>each</t>
        </is>
      </c>
      <c r="D2576" s="23" t="n">
        <v>1</v>
      </c>
      <c r="E2576" s="24" t="n">
        <v>400</v>
      </c>
      <c r="F2576" s="24">
        <f>D2576*E2576</f>
        <v/>
      </c>
      <c r="G2576" s="22" t="n"/>
    </row>
    <row r="2577">
      <c r="A2577" s="22" t="inlineStr">
        <is>
          <t>0111</t>
        </is>
      </c>
      <c r="B2577" s="11" t="inlineStr">
        <is>
          <t>Carpenter 1st class</t>
        </is>
      </c>
      <c r="C2577" s="22" t="inlineStr">
        <is>
          <t>day</t>
        </is>
      </c>
      <c r="D2577" s="23" t="n">
        <v>0.17</v>
      </c>
      <c r="E2577" s="24" t="n">
        <v>738</v>
      </c>
      <c r="F2577" s="24">
        <f>D2577*E2577</f>
        <v/>
      </c>
      <c r="G2577" s="22" t="n"/>
    </row>
    <row r="2578">
      <c r="A2578" s="22" t="inlineStr">
        <is>
          <t>9999</t>
        </is>
      </c>
      <c r="B2578" s="11" t="inlineStr">
        <is>
          <t>Sundries (screws, carriage etc.)</t>
        </is>
      </c>
      <c r="C2578" s="22" t="inlineStr">
        <is>
          <t>L.S.</t>
        </is>
      </c>
      <c r="D2578" s="23" t="n">
        <v>3.64</v>
      </c>
      <c r="E2578" s="24" t="n">
        <v>2</v>
      </c>
      <c r="F2578" s="24">
        <f>D2578*E2578</f>
        <v/>
      </c>
      <c r="G2578" s="22" t="n"/>
    </row>
    <row r="2579">
      <c r="A2579" s="8" t="inlineStr">
        <is>
          <t>Calculated W - SUM of the Amount column above</t>
        </is>
      </c>
      <c r="B2579" s="9" t="n"/>
      <c r="C2579" s="9" t="n"/>
      <c r="D2579" s="9" t="n"/>
      <c r="E2579" s="9" t="n"/>
      <c r="F2579" s="25">
        <f>SUM(F2576:F2578)</f>
        <v/>
      </c>
      <c r="G2579" s="9" t="n"/>
    </row>
    <row r="2580">
      <c r="A2580" s="26" t="inlineStr">
        <is>
          <t>W as printed in the DAR</t>
        </is>
      </c>
      <c r="B2580" s="22" t="n"/>
      <c r="C2580" s="22" t="n"/>
      <c r="D2580" s="22" t="n"/>
      <c r="E2580" s="22" t="n"/>
      <c r="F2580" s="27" t="n">
        <v>532.74</v>
      </c>
      <c r="G2580" s="22" t="n"/>
    </row>
    <row r="2581">
      <c r="A2581" s="26" t="inlineStr">
        <is>
          <t>Difference (calculated - printed)</t>
        </is>
      </c>
      <c r="B2581" s="22" t="n"/>
      <c r="C2581" s="22" t="n"/>
      <c r="D2581" s="22" t="n"/>
      <c r="E2581" s="22" t="n"/>
      <c r="F2581" s="27">
        <f>F2579-F2580</f>
        <v/>
      </c>
      <c r="G2581" s="22" t="n"/>
    </row>
    <row r="2582">
      <c r="A2582" s="29" t="inlineStr">
        <is>
          <t>SAY (Rs.) - final DAR rate as printed (fixed value, not computed)</t>
        </is>
      </c>
      <c r="B2582" s="30" t="n"/>
      <c r="C2582" s="30" t="n"/>
      <c r="D2582" s="30" t="n"/>
      <c r="E2582" s="30" t="n"/>
      <c r="F2582" s="31" t="n">
        <v>712.75</v>
      </c>
      <c r="G2582" s="30" t="n"/>
    </row>
    <row r="2584" ht="33" customHeight="1">
      <c r="A2584" s="18" t="inlineStr">
        <is>
          <t>9.77</t>
        </is>
      </c>
      <c r="B2584" s="19" t="inlineStr">
        <is>
          <t>Providing and fixing bright finished brass 100 mm mortice latch with one dead bolt and a pair of lever handles of approved quality with necessary screws etc. complete.</t>
        </is>
      </c>
      <c r="C2584" s="20" t="n"/>
      <c r="D2584" s="20" t="n"/>
      <c r="E2584" s="20" t="n"/>
      <c r="F2584" s="20" t="n"/>
      <c r="G2584" s="20" t="n"/>
    </row>
    <row r="2585">
      <c r="A2585" s="21" t="inlineStr">
        <is>
          <t>Details of cost for 1 no   |   Source: CivilDAR_2019_Vol_1.pdf, page 538</t>
        </is>
      </c>
    </row>
    <row r="2586">
      <c r="A2586" s="5" t="inlineStr">
        <is>
          <t>Code</t>
        </is>
      </c>
      <c r="B2586" s="5" t="inlineStr">
        <is>
          <t>Description</t>
        </is>
      </c>
      <c r="C2586" s="5" t="inlineStr">
        <is>
          <t>Unit</t>
        </is>
      </c>
      <c r="D2586" s="5" t="inlineStr">
        <is>
          <t>Quantity</t>
        </is>
      </c>
      <c r="E2586" s="5" t="inlineStr">
        <is>
          <t>Rate (Rs.)</t>
        </is>
      </c>
      <c r="F2586" s="5" t="inlineStr">
        <is>
          <t>Amount (Rs.)</t>
        </is>
      </c>
      <c r="G2586" s="5" t="inlineStr">
        <is>
          <t>Note</t>
        </is>
      </c>
    </row>
    <row r="2587">
      <c r="A2587" s="22" t="inlineStr">
        <is>
          <t>0414</t>
        </is>
      </c>
      <c r="B2587" s="11" t="inlineStr">
        <is>
          <t>Brass mortice latch 100x65mm with a pair of brass lever handles</t>
        </is>
      </c>
      <c r="C2587" s="22" t="inlineStr">
        <is>
          <t>each</t>
        </is>
      </c>
      <c r="D2587" s="23" t="n">
        <v>1</v>
      </c>
      <c r="E2587" s="24" t="n">
        <v>310</v>
      </c>
      <c r="F2587" s="24">
        <f>D2587*E2587</f>
        <v/>
      </c>
      <c r="G2587" s="22" t="n"/>
    </row>
    <row r="2588">
      <c r="A2588" s="22" t="inlineStr">
        <is>
          <t>0111</t>
        </is>
      </c>
      <c r="B2588" s="11" t="inlineStr">
        <is>
          <t>Carpenter 1st class</t>
        </is>
      </c>
      <c r="C2588" s="22" t="inlineStr">
        <is>
          <t>day</t>
        </is>
      </c>
      <c r="D2588" s="23" t="n">
        <v>0.17</v>
      </c>
      <c r="E2588" s="24" t="n">
        <v>738</v>
      </c>
      <c r="F2588" s="24">
        <f>D2588*E2588</f>
        <v/>
      </c>
      <c r="G2588" s="22" t="n"/>
    </row>
    <row r="2589">
      <c r="A2589" s="22" t="inlineStr">
        <is>
          <t>9999</t>
        </is>
      </c>
      <c r="B2589" s="11" t="inlineStr">
        <is>
          <t>Sundries (screws, carriage etc.)</t>
        </is>
      </c>
      <c r="C2589" s="22" t="inlineStr">
        <is>
          <t>L.S.</t>
        </is>
      </c>
      <c r="D2589" s="23" t="n">
        <v>3.64</v>
      </c>
      <c r="E2589" s="24" t="n">
        <v>2</v>
      </c>
      <c r="F2589" s="24">
        <f>D2589*E2589</f>
        <v/>
      </c>
      <c r="G2589" s="22" t="n"/>
    </row>
    <row r="2590">
      <c r="A2590" s="8" t="inlineStr">
        <is>
          <t>Calculated W - SUM of the Amount column above</t>
        </is>
      </c>
      <c r="B2590" s="9" t="n"/>
      <c r="C2590" s="9" t="n"/>
      <c r="D2590" s="9" t="n"/>
      <c r="E2590" s="9" t="n"/>
      <c r="F2590" s="25">
        <f>SUM(F2587:F2589)</f>
        <v/>
      </c>
      <c r="G2590" s="9" t="n"/>
    </row>
    <row r="2591">
      <c r="A2591" s="26" t="inlineStr">
        <is>
          <t>W as printed in the DAR</t>
        </is>
      </c>
      <c r="B2591" s="22" t="n"/>
      <c r="C2591" s="22" t="n"/>
      <c r="D2591" s="22" t="n"/>
      <c r="E2591" s="22" t="n"/>
      <c r="F2591" s="27" t="n">
        <v>442.74</v>
      </c>
      <c r="G2591" s="22" t="n"/>
    </row>
    <row r="2592">
      <c r="A2592" s="26" t="inlineStr">
        <is>
          <t>Difference (calculated - printed)</t>
        </is>
      </c>
      <c r="B2592" s="22" t="n"/>
      <c r="C2592" s="22" t="n"/>
      <c r="D2592" s="22" t="n"/>
      <c r="E2592" s="22" t="n"/>
      <c r="F2592" s="27">
        <f>F2590-F2591</f>
        <v/>
      </c>
      <c r="G2592" s="22" t="n"/>
    </row>
    <row r="2593">
      <c r="A2593" s="29" t="inlineStr">
        <is>
          <t>SAY (Rs.) - final DAR rate as printed (fixed value, not computed)</t>
        </is>
      </c>
      <c r="B2593" s="30" t="n"/>
      <c r="C2593" s="30" t="n"/>
      <c r="D2593" s="30" t="n"/>
      <c r="E2593" s="30" t="n"/>
      <c r="F2593" s="31" t="n">
        <v>592.35</v>
      </c>
      <c r="G2593" s="30" t="n"/>
    </row>
    <row r="2595" ht="18.5" customHeight="1">
      <c r="A2595" s="18" t="inlineStr">
        <is>
          <t>9.78</t>
        </is>
      </c>
      <c r="B2595" s="19" t="inlineStr">
        <is>
          <t>Providing and fixing bright finished brass night latch of approved quality including necessary screws etc. complete.</t>
        </is>
      </c>
      <c r="C2595" s="20" t="n"/>
      <c r="D2595" s="20" t="n"/>
      <c r="E2595" s="20" t="n"/>
      <c r="F2595" s="20" t="n"/>
      <c r="G2595" s="20" t="n"/>
    </row>
    <row r="2596">
      <c r="A2596" s="21" t="inlineStr">
        <is>
          <t>Details of cost for 1 no   |   Source: CivilDAR_2019_Vol_1.pdf, page 539</t>
        </is>
      </c>
    </row>
    <row r="2597">
      <c r="A2597" s="5" t="inlineStr">
        <is>
          <t>Code</t>
        </is>
      </c>
      <c r="B2597" s="5" t="inlineStr">
        <is>
          <t>Description</t>
        </is>
      </c>
      <c r="C2597" s="5" t="inlineStr">
        <is>
          <t>Unit</t>
        </is>
      </c>
      <c r="D2597" s="5" t="inlineStr">
        <is>
          <t>Quantity</t>
        </is>
      </c>
      <c r="E2597" s="5" t="inlineStr">
        <is>
          <t>Rate (Rs.)</t>
        </is>
      </c>
      <c r="F2597" s="5" t="inlineStr">
        <is>
          <t>Amount (Rs.)</t>
        </is>
      </c>
      <c r="G2597" s="5" t="inlineStr">
        <is>
          <t>Note</t>
        </is>
      </c>
    </row>
    <row r="2598">
      <c r="A2598" s="22" t="inlineStr">
        <is>
          <t>0438</t>
        </is>
      </c>
      <c r="B2598" s="11" t="inlineStr">
        <is>
          <t>Brass Night latch</t>
        </is>
      </c>
      <c r="C2598" s="22" t="inlineStr">
        <is>
          <t>each</t>
        </is>
      </c>
      <c r="D2598" s="23" t="n">
        <v>1</v>
      </c>
      <c r="E2598" s="24" t="n">
        <v>610</v>
      </c>
      <c r="F2598" s="24">
        <f>D2598*E2598</f>
        <v/>
      </c>
      <c r="G2598" s="22" t="n"/>
    </row>
    <row r="2599">
      <c r="A2599" s="22" t="inlineStr">
        <is>
          <t>0111</t>
        </is>
      </c>
      <c r="B2599" s="11" t="inlineStr">
        <is>
          <t>Carpenter 1st class</t>
        </is>
      </c>
      <c r="C2599" s="22" t="inlineStr">
        <is>
          <t>day</t>
        </is>
      </c>
      <c r="D2599" s="23" t="n">
        <v>0.17</v>
      </c>
      <c r="E2599" s="24" t="n">
        <v>738</v>
      </c>
      <c r="F2599" s="24">
        <f>D2599*E2599</f>
        <v/>
      </c>
      <c r="G2599" s="22" t="n"/>
    </row>
    <row r="2600">
      <c r="A2600" s="22" t="inlineStr">
        <is>
          <t>9999</t>
        </is>
      </c>
      <c r="B2600" s="11" t="inlineStr">
        <is>
          <t>Sundries (screws, carriage etc.)</t>
        </is>
      </c>
      <c r="C2600" s="22" t="inlineStr">
        <is>
          <t>L.S.</t>
        </is>
      </c>
      <c r="D2600" s="23" t="n">
        <v>3.64</v>
      </c>
      <c r="E2600" s="24" t="n">
        <v>2</v>
      </c>
      <c r="F2600" s="24">
        <f>D2600*E2600</f>
        <v/>
      </c>
      <c r="G2600" s="22" t="n"/>
    </row>
    <row r="2601">
      <c r="A2601" s="8" t="inlineStr">
        <is>
          <t>Calculated W - SUM of the Amount column above</t>
        </is>
      </c>
      <c r="B2601" s="9" t="n"/>
      <c r="C2601" s="9" t="n"/>
      <c r="D2601" s="9" t="n"/>
      <c r="E2601" s="9" t="n"/>
      <c r="F2601" s="25">
        <f>SUM(F2598:F2600)</f>
        <v/>
      </c>
      <c r="G2601" s="9" t="n"/>
    </row>
    <row r="2602">
      <c r="A2602" s="26" t="inlineStr">
        <is>
          <t>W as printed in the DAR</t>
        </is>
      </c>
      <c r="B2602" s="22" t="n"/>
      <c r="C2602" s="22" t="n"/>
      <c r="D2602" s="22" t="n"/>
      <c r="E2602" s="22" t="n"/>
      <c r="F2602" s="27" t="n">
        <v>742.74</v>
      </c>
      <c r="G2602" s="22" t="n"/>
    </row>
    <row r="2603">
      <c r="A2603" s="26" t="inlineStr">
        <is>
          <t>Difference (calculated - printed)</t>
        </is>
      </c>
      <c r="B2603" s="22" t="n"/>
      <c r="C2603" s="22" t="n"/>
      <c r="D2603" s="22" t="n"/>
      <c r="E2603" s="22" t="n"/>
      <c r="F2603" s="27">
        <f>F2601-F2602</f>
        <v/>
      </c>
      <c r="G2603" s="22" t="n"/>
    </row>
    <row r="2604">
      <c r="A2604" s="29" t="inlineStr">
        <is>
          <t>SAY (Rs.) - final DAR rate as printed (fixed value, not computed)</t>
        </is>
      </c>
      <c r="B2604" s="30" t="n"/>
      <c r="C2604" s="30" t="n"/>
      <c r="D2604" s="30" t="n"/>
      <c r="E2604" s="30" t="n"/>
      <c r="F2604" s="31" t="n">
        <v>993.75</v>
      </c>
      <c r="G2604" s="30" t="n"/>
    </row>
    <row r="2606" ht="33" customHeight="1">
      <c r="A2606" s="8" t="inlineStr">
        <is>
          <t>9.79</t>
        </is>
      </c>
      <c r="B2606" s="17" t="inlineStr">
        <is>
          <t>Providing and fixing special quality bright finished brass cupboard or ward robe locks with four levers of approved quality including necessary screws etc. complete.</t>
        </is>
      </c>
      <c r="C2606" s="9" t="n"/>
      <c r="D2606" s="9" t="n"/>
      <c r="E2606" s="9" t="n"/>
      <c r="F2606" s="9" t="n"/>
      <c r="G2606" s="9" t="n"/>
    </row>
    <row r="2607" ht="18.5" customHeight="1">
      <c r="A2607" s="18" t="inlineStr">
        <is>
          <t>9.79.1</t>
        </is>
      </c>
      <c r="B2607" s="19" t="inlineStr">
        <is>
          <t>40 mm</t>
        </is>
      </c>
      <c r="C2607" s="20" t="n"/>
      <c r="D2607" s="20" t="n"/>
      <c r="E2607" s="20" t="n"/>
      <c r="F2607" s="20" t="n"/>
      <c r="G2607" s="20" t="n"/>
    </row>
    <row r="2608">
      <c r="A2608" s="21" t="inlineStr">
        <is>
          <t>Details of cost for 1 no   |   Source: CivilDAR_2019_Vol_1.pdf, page 539</t>
        </is>
      </c>
    </row>
    <row r="2609">
      <c r="A2609" s="5" t="inlineStr">
        <is>
          <t>Code</t>
        </is>
      </c>
      <c r="B2609" s="5" t="inlineStr">
        <is>
          <t>Description</t>
        </is>
      </c>
      <c r="C2609" s="5" t="inlineStr">
        <is>
          <t>Unit</t>
        </is>
      </c>
      <c r="D2609" s="5" t="inlineStr">
        <is>
          <t>Quantity</t>
        </is>
      </c>
      <c r="E2609" s="5" t="inlineStr">
        <is>
          <t>Rate (Rs.)</t>
        </is>
      </c>
      <c r="F2609" s="5" t="inlineStr">
        <is>
          <t>Amount (Rs.)</t>
        </is>
      </c>
      <c r="G2609" s="5" t="inlineStr">
        <is>
          <t>Note</t>
        </is>
      </c>
    </row>
    <row r="2610">
      <c r="A2610" s="22" t="inlineStr">
        <is>
          <t>2451</t>
        </is>
      </c>
      <c r="B2610" s="11" t="inlineStr">
        <is>
          <t>Brass cupboard lock 6 levers (best make of approved quality) 40 mm size</t>
        </is>
      </c>
      <c r="C2610" s="22" t="inlineStr">
        <is>
          <t>each</t>
        </is>
      </c>
      <c r="D2610" s="23" t="n">
        <v>1</v>
      </c>
      <c r="E2610" s="24" t="n">
        <v>55</v>
      </c>
      <c r="F2610" s="24">
        <f>D2610*E2610</f>
        <v/>
      </c>
      <c r="G2610" s="22" t="n"/>
    </row>
    <row r="2611">
      <c r="A2611" s="22" t="inlineStr">
        <is>
          <t>0111</t>
        </is>
      </c>
      <c r="B2611" s="11" t="inlineStr">
        <is>
          <t>Carpenter 1st class</t>
        </is>
      </c>
      <c r="C2611" s="22" t="inlineStr">
        <is>
          <t>day</t>
        </is>
      </c>
      <c r="D2611" s="23" t="n">
        <v>0.17</v>
      </c>
      <c r="E2611" s="24" t="n">
        <v>738</v>
      </c>
      <c r="F2611" s="24">
        <f>D2611*E2611</f>
        <v/>
      </c>
      <c r="G2611" s="22" t="n"/>
    </row>
    <row r="2612">
      <c r="A2612" s="22" t="inlineStr">
        <is>
          <t>9999</t>
        </is>
      </c>
      <c r="B2612" s="11" t="inlineStr">
        <is>
          <t>Sundries &amp; screws</t>
        </is>
      </c>
      <c r="C2612" s="22" t="inlineStr">
        <is>
          <t>L.S.</t>
        </is>
      </c>
      <c r="D2612" s="23" t="n">
        <v>3.64</v>
      </c>
      <c r="E2612" s="24" t="n">
        <v>2</v>
      </c>
      <c r="F2612" s="24">
        <f>D2612*E2612</f>
        <v/>
      </c>
      <c r="G2612" s="22" t="n"/>
    </row>
    <row r="2613">
      <c r="A2613" s="8" t="inlineStr">
        <is>
          <t>Calculated W - SUM of the Amount column above</t>
        </is>
      </c>
      <c r="B2613" s="9" t="n"/>
      <c r="C2613" s="9" t="n"/>
      <c r="D2613" s="9" t="n"/>
      <c r="E2613" s="9" t="n"/>
      <c r="F2613" s="25">
        <f>SUM(F2610:F2612)</f>
        <v/>
      </c>
      <c r="G2613" s="9" t="n"/>
    </row>
    <row r="2614">
      <c r="A2614" s="26" t="inlineStr">
        <is>
          <t>W as printed in the DAR</t>
        </is>
      </c>
      <c r="B2614" s="22" t="n"/>
      <c r="C2614" s="22" t="n"/>
      <c r="D2614" s="22" t="n"/>
      <c r="E2614" s="22" t="n"/>
      <c r="F2614" s="27" t="n">
        <v>187.74</v>
      </c>
      <c r="G2614" s="22" t="n"/>
    </row>
    <row r="2615">
      <c r="A2615" s="26" t="inlineStr">
        <is>
          <t>Difference (calculated - printed)</t>
        </is>
      </c>
      <c r="B2615" s="22" t="n"/>
      <c r="C2615" s="22" t="n"/>
      <c r="D2615" s="22" t="n"/>
      <c r="E2615" s="22" t="n"/>
      <c r="F2615" s="27">
        <f>F2613-F2614</f>
        <v/>
      </c>
      <c r="G2615" s="22" t="n"/>
    </row>
    <row r="2616">
      <c r="A2616" s="29" t="inlineStr">
        <is>
          <t>SAY (Rs.) - final DAR rate as printed (fixed value, not computed)</t>
        </is>
      </c>
      <c r="B2616" s="30" t="n"/>
      <c r="C2616" s="30" t="n"/>
      <c r="D2616" s="30" t="n"/>
      <c r="E2616" s="30" t="n"/>
      <c r="F2616" s="31" t="n">
        <v>251.2</v>
      </c>
      <c r="G2616" s="30" t="n"/>
    </row>
    <row r="2618" ht="33" customHeight="1">
      <c r="A2618" s="8" t="inlineStr">
        <is>
          <t>9.79</t>
        </is>
      </c>
      <c r="B2618" s="17" t="inlineStr">
        <is>
          <t>Providing and fixing special quality bright finished brass cupboard or ward robe locks with four levers of approved quality including necessary screws etc. complete.</t>
        </is>
      </c>
      <c r="C2618" s="9" t="n"/>
      <c r="D2618" s="9" t="n"/>
      <c r="E2618" s="9" t="n"/>
      <c r="F2618" s="9" t="n"/>
      <c r="G2618" s="9" t="n"/>
    </row>
    <row r="2619" ht="18.5" customHeight="1">
      <c r="A2619" s="18" t="inlineStr">
        <is>
          <t>9.79.2</t>
        </is>
      </c>
      <c r="B2619" s="19" t="inlineStr">
        <is>
          <t>50 mm</t>
        </is>
      </c>
      <c r="C2619" s="20" t="n"/>
      <c r="D2619" s="20" t="n"/>
      <c r="E2619" s="20" t="n"/>
      <c r="F2619" s="20" t="n"/>
      <c r="G2619" s="20" t="n"/>
    </row>
    <row r="2620">
      <c r="A2620" s="21" t="inlineStr">
        <is>
          <t>Details of cost for 1 no   |   Source: CivilDAR_2019_Vol_1.pdf, page 540</t>
        </is>
      </c>
    </row>
    <row r="2621">
      <c r="A2621" s="5" t="inlineStr">
        <is>
          <t>Code</t>
        </is>
      </c>
      <c r="B2621" s="5" t="inlineStr">
        <is>
          <t>Description</t>
        </is>
      </c>
      <c r="C2621" s="5" t="inlineStr">
        <is>
          <t>Unit</t>
        </is>
      </c>
      <c r="D2621" s="5" t="inlineStr">
        <is>
          <t>Quantity</t>
        </is>
      </c>
      <c r="E2621" s="5" t="inlineStr">
        <is>
          <t>Rate (Rs.)</t>
        </is>
      </c>
      <c r="F2621" s="5" t="inlineStr">
        <is>
          <t>Amount (Rs.)</t>
        </is>
      </c>
      <c r="G2621" s="5" t="inlineStr">
        <is>
          <t>Note</t>
        </is>
      </c>
    </row>
    <row r="2622">
      <c r="A2622" s="22" t="inlineStr">
        <is>
          <t>2452</t>
        </is>
      </c>
      <c r="B2622" s="11" t="inlineStr">
        <is>
          <t>Brass cupboard lock 6 levers (best make of approved quality) 50 mm size</t>
        </is>
      </c>
      <c r="C2622" s="22" t="inlineStr">
        <is>
          <t>each</t>
        </is>
      </c>
      <c r="D2622" s="23" t="n">
        <v>1</v>
      </c>
      <c r="E2622" s="24" t="n">
        <v>85</v>
      </c>
      <c r="F2622" s="24">
        <f>D2622*E2622</f>
        <v/>
      </c>
      <c r="G2622" s="22" t="n"/>
    </row>
    <row r="2623">
      <c r="A2623" s="22" t="inlineStr">
        <is>
          <t>0111</t>
        </is>
      </c>
      <c r="B2623" s="11" t="inlineStr">
        <is>
          <t>Carpenter 1st class</t>
        </is>
      </c>
      <c r="C2623" s="22" t="inlineStr">
        <is>
          <t>day</t>
        </is>
      </c>
      <c r="D2623" s="23" t="n">
        <v>0.17</v>
      </c>
      <c r="E2623" s="24" t="n">
        <v>738</v>
      </c>
      <c r="F2623" s="24">
        <f>D2623*E2623</f>
        <v/>
      </c>
      <c r="G2623" s="22" t="n"/>
    </row>
    <row r="2624">
      <c r="A2624" s="22" t="inlineStr">
        <is>
          <t>9999</t>
        </is>
      </c>
      <c r="B2624" s="11" t="inlineStr">
        <is>
          <t>Sundries &amp; screws</t>
        </is>
      </c>
      <c r="C2624" s="22" t="inlineStr">
        <is>
          <t>L.S.</t>
        </is>
      </c>
      <c r="D2624" s="23" t="n">
        <v>3.64</v>
      </c>
      <c r="E2624" s="24" t="n">
        <v>2</v>
      </c>
      <c r="F2624" s="24">
        <f>D2624*E2624</f>
        <v/>
      </c>
      <c r="G2624" s="22" t="n"/>
    </row>
    <row r="2625">
      <c r="A2625" s="8" t="inlineStr">
        <is>
          <t>Calculated W - SUM of the Amount column above</t>
        </is>
      </c>
      <c r="B2625" s="9" t="n"/>
      <c r="C2625" s="9" t="n"/>
      <c r="D2625" s="9" t="n"/>
      <c r="E2625" s="9" t="n"/>
      <c r="F2625" s="25">
        <f>SUM(F2622:F2624)</f>
        <v/>
      </c>
      <c r="G2625" s="9" t="n"/>
    </row>
    <row r="2626">
      <c r="A2626" s="26" t="inlineStr">
        <is>
          <t>W as printed in the DAR</t>
        </is>
      </c>
      <c r="B2626" s="22" t="n"/>
      <c r="C2626" s="22" t="n"/>
      <c r="D2626" s="22" t="n"/>
      <c r="E2626" s="22" t="n"/>
      <c r="F2626" s="27" t="n">
        <v>217.74</v>
      </c>
      <c r="G2626" s="22" t="n"/>
    </row>
    <row r="2627">
      <c r="A2627" s="26" t="inlineStr">
        <is>
          <t>Difference (calculated - printed)</t>
        </is>
      </c>
      <c r="B2627" s="22" t="n"/>
      <c r="C2627" s="22" t="n"/>
      <c r="D2627" s="22" t="n"/>
      <c r="E2627" s="22" t="n"/>
      <c r="F2627" s="27">
        <f>F2625-F2626</f>
        <v/>
      </c>
      <c r="G2627" s="22" t="n"/>
    </row>
    <row r="2628">
      <c r="A2628" s="29" t="inlineStr">
        <is>
          <t>SAY (Rs.) - final DAR rate as printed (fixed value, not computed)</t>
        </is>
      </c>
      <c r="B2628" s="30" t="n"/>
      <c r="C2628" s="30" t="n"/>
      <c r="D2628" s="30" t="n"/>
      <c r="E2628" s="30" t="n"/>
      <c r="F2628" s="31" t="n">
        <v>291.3</v>
      </c>
      <c r="G2628" s="30" t="n"/>
    </row>
    <row r="2630" ht="33" customHeight="1">
      <c r="A2630" s="8" t="inlineStr">
        <is>
          <t>9.79</t>
        </is>
      </c>
      <c r="B2630" s="17" t="inlineStr">
        <is>
          <t>Providing and fixing special quality bright finished brass cupboard or ward robe locks with four levers of approved quality including necessary screws etc. complete.</t>
        </is>
      </c>
      <c r="C2630" s="9" t="n"/>
      <c r="D2630" s="9" t="n"/>
      <c r="E2630" s="9" t="n"/>
      <c r="F2630" s="9" t="n"/>
      <c r="G2630" s="9" t="n"/>
    </row>
    <row r="2631" ht="18.5" customHeight="1">
      <c r="A2631" s="18" t="inlineStr">
        <is>
          <t>9.79.3</t>
        </is>
      </c>
      <c r="B2631" s="19" t="inlineStr">
        <is>
          <t>65 mm</t>
        </is>
      </c>
      <c r="C2631" s="20" t="n"/>
      <c r="D2631" s="20" t="n"/>
      <c r="E2631" s="20" t="n"/>
      <c r="F2631" s="20" t="n"/>
      <c r="G2631" s="20" t="n"/>
    </row>
    <row r="2632">
      <c r="A2632" s="21" t="inlineStr">
        <is>
          <t>Details of cost for 1 no   |   Source: CivilDAR_2019_Vol_1.pdf, page 540</t>
        </is>
      </c>
    </row>
    <row r="2633">
      <c r="A2633" s="5" t="inlineStr">
        <is>
          <t>Code</t>
        </is>
      </c>
      <c r="B2633" s="5" t="inlineStr">
        <is>
          <t>Description</t>
        </is>
      </c>
      <c r="C2633" s="5" t="inlineStr">
        <is>
          <t>Unit</t>
        </is>
      </c>
      <c r="D2633" s="5" t="inlineStr">
        <is>
          <t>Quantity</t>
        </is>
      </c>
      <c r="E2633" s="5" t="inlineStr">
        <is>
          <t>Rate (Rs.)</t>
        </is>
      </c>
      <c r="F2633" s="5" t="inlineStr">
        <is>
          <t>Amount (Rs.)</t>
        </is>
      </c>
      <c r="G2633" s="5" t="inlineStr">
        <is>
          <t>Note</t>
        </is>
      </c>
    </row>
    <row r="2634">
      <c r="A2634" s="22" t="inlineStr">
        <is>
          <t>2453</t>
        </is>
      </c>
      <c r="B2634" s="11" t="inlineStr">
        <is>
          <t>Brass cupboard lock 6 levers (best make of approved quality) 65 mm size</t>
        </is>
      </c>
      <c r="C2634" s="22" t="inlineStr">
        <is>
          <t>each</t>
        </is>
      </c>
      <c r="D2634" s="23" t="n">
        <v>1</v>
      </c>
      <c r="E2634" s="24" t="n">
        <v>90</v>
      </c>
      <c r="F2634" s="24">
        <f>D2634*E2634</f>
        <v/>
      </c>
      <c r="G2634" s="22" t="n"/>
    </row>
    <row r="2635">
      <c r="A2635" s="22" t="inlineStr">
        <is>
          <t>0111</t>
        </is>
      </c>
      <c r="B2635" s="11" t="inlineStr">
        <is>
          <t>Carpenter 1st class</t>
        </is>
      </c>
      <c r="C2635" s="22" t="inlineStr">
        <is>
          <t>day</t>
        </is>
      </c>
      <c r="D2635" s="23" t="n">
        <v>0.17</v>
      </c>
      <c r="E2635" s="24" t="n">
        <v>738</v>
      </c>
      <c r="F2635" s="24">
        <f>D2635*E2635</f>
        <v/>
      </c>
      <c r="G2635" s="22" t="n"/>
    </row>
    <row r="2636">
      <c r="A2636" s="22" t="inlineStr">
        <is>
          <t>9999</t>
        </is>
      </c>
      <c r="B2636" s="11" t="inlineStr">
        <is>
          <t>Sundries &amp; screws</t>
        </is>
      </c>
      <c r="C2636" s="22" t="inlineStr">
        <is>
          <t>L.S.</t>
        </is>
      </c>
      <c r="D2636" s="23" t="n">
        <v>3.64</v>
      </c>
      <c r="E2636" s="24" t="n">
        <v>2</v>
      </c>
      <c r="F2636" s="24">
        <f>D2636*E2636</f>
        <v/>
      </c>
      <c r="G2636" s="22" t="n"/>
    </row>
    <row r="2637">
      <c r="A2637" s="8" t="inlineStr">
        <is>
          <t>Calculated W - SUM of the Amount column above</t>
        </is>
      </c>
      <c r="B2637" s="9" t="n"/>
      <c r="C2637" s="9" t="n"/>
      <c r="D2637" s="9" t="n"/>
      <c r="E2637" s="9" t="n"/>
      <c r="F2637" s="25">
        <f>SUM(F2634:F2636)</f>
        <v/>
      </c>
      <c r="G2637" s="9" t="n"/>
    </row>
    <row r="2638">
      <c r="A2638" s="26" t="inlineStr">
        <is>
          <t>W as printed in the DAR</t>
        </is>
      </c>
      <c r="B2638" s="22" t="n"/>
      <c r="C2638" s="22" t="n"/>
      <c r="D2638" s="22" t="n"/>
      <c r="E2638" s="22" t="n"/>
      <c r="F2638" s="27" t="n">
        <v>222.74</v>
      </c>
      <c r="G2638" s="22" t="n"/>
    </row>
    <row r="2639">
      <c r="A2639" s="26" t="inlineStr">
        <is>
          <t>Difference (calculated - printed)</t>
        </is>
      </c>
      <c r="B2639" s="22" t="n"/>
      <c r="C2639" s="22" t="n"/>
      <c r="D2639" s="22" t="n"/>
      <c r="E2639" s="22" t="n"/>
      <c r="F2639" s="27">
        <f>F2637-F2638</f>
        <v/>
      </c>
      <c r="G2639" s="22" t="n"/>
    </row>
    <row r="2640">
      <c r="A2640" s="29" t="inlineStr">
        <is>
          <t>SAY (Rs.) - final DAR rate as printed (fixed value, not computed)</t>
        </is>
      </c>
      <c r="B2640" s="30" t="n"/>
      <c r="C2640" s="30" t="n"/>
      <c r="D2640" s="30" t="n"/>
      <c r="E2640" s="30" t="n"/>
      <c r="F2640" s="31" t="n">
        <v>298</v>
      </c>
      <c r="G2640" s="30" t="n"/>
    </row>
    <row r="2642" ht="33" customHeight="1">
      <c r="A2642" s="8" t="inlineStr">
        <is>
          <t>9.79</t>
        </is>
      </c>
      <c r="B2642" s="17" t="inlineStr">
        <is>
          <t>Providing and fixing special quality bright finished brass cupboard or ward robe locks with four levers of approved quality including necessary screws etc. complete.</t>
        </is>
      </c>
      <c r="C2642" s="9" t="n"/>
      <c r="D2642" s="9" t="n"/>
      <c r="E2642" s="9" t="n"/>
      <c r="F2642" s="9" t="n"/>
      <c r="G2642" s="9" t="n"/>
    </row>
    <row r="2643" ht="18.5" customHeight="1">
      <c r="A2643" s="18" t="inlineStr">
        <is>
          <t>9.79.4</t>
        </is>
      </c>
      <c r="B2643" s="19" t="inlineStr">
        <is>
          <t>75 mm</t>
        </is>
      </c>
      <c r="C2643" s="20" t="n"/>
      <c r="D2643" s="20" t="n"/>
      <c r="E2643" s="20" t="n"/>
      <c r="F2643" s="20" t="n"/>
      <c r="G2643" s="20" t="n"/>
    </row>
    <row r="2644">
      <c r="A2644" s="21" t="inlineStr">
        <is>
          <t>Details of cost for 1 no   |   Source: CivilDAR_2019_Vol_1.pdf, page 540</t>
        </is>
      </c>
    </row>
    <row r="2645">
      <c r="A2645" s="5" t="inlineStr">
        <is>
          <t>Code</t>
        </is>
      </c>
      <c r="B2645" s="5" t="inlineStr">
        <is>
          <t>Description</t>
        </is>
      </c>
      <c r="C2645" s="5" t="inlineStr">
        <is>
          <t>Unit</t>
        </is>
      </c>
      <c r="D2645" s="5" t="inlineStr">
        <is>
          <t>Quantity</t>
        </is>
      </c>
      <c r="E2645" s="5" t="inlineStr">
        <is>
          <t>Rate (Rs.)</t>
        </is>
      </c>
      <c r="F2645" s="5" t="inlineStr">
        <is>
          <t>Amount (Rs.)</t>
        </is>
      </c>
      <c r="G2645" s="5" t="inlineStr">
        <is>
          <t>Note</t>
        </is>
      </c>
    </row>
    <row r="2646">
      <c r="A2646" s="22" t="inlineStr">
        <is>
          <t>2454</t>
        </is>
      </c>
      <c r="B2646" s="11" t="inlineStr">
        <is>
          <t>Brass cupboard lock 6 levers (best make of approved quality) 75 mm size</t>
        </is>
      </c>
      <c r="C2646" s="22" t="inlineStr">
        <is>
          <t>each</t>
        </is>
      </c>
      <c r="D2646" s="23" t="n">
        <v>1</v>
      </c>
      <c r="E2646" s="24" t="n">
        <v>105</v>
      </c>
      <c r="F2646" s="24">
        <f>D2646*E2646</f>
        <v/>
      </c>
      <c r="G2646" s="22" t="n"/>
    </row>
    <row r="2647">
      <c r="A2647" s="22" t="inlineStr">
        <is>
          <t>0111</t>
        </is>
      </c>
      <c r="B2647" s="11" t="inlineStr">
        <is>
          <t>Carpenter 1st class</t>
        </is>
      </c>
      <c r="C2647" s="22" t="inlineStr">
        <is>
          <t>day</t>
        </is>
      </c>
      <c r="D2647" s="23" t="n">
        <v>0.17</v>
      </c>
      <c r="E2647" s="24" t="n">
        <v>738</v>
      </c>
      <c r="F2647" s="24">
        <f>D2647*E2647</f>
        <v/>
      </c>
      <c r="G2647" s="22" t="n"/>
    </row>
    <row r="2648">
      <c r="A2648" s="22" t="inlineStr">
        <is>
          <t>9999</t>
        </is>
      </c>
      <c r="B2648" s="11" t="inlineStr">
        <is>
          <t>Sundries &amp; screws</t>
        </is>
      </c>
      <c r="C2648" s="22" t="inlineStr">
        <is>
          <t>L.S.</t>
        </is>
      </c>
      <c r="D2648" s="23" t="n">
        <v>3.64</v>
      </c>
      <c r="E2648" s="24" t="n">
        <v>2</v>
      </c>
      <c r="F2648" s="24">
        <f>D2648*E2648</f>
        <v/>
      </c>
      <c r="G2648" s="22" t="n"/>
    </row>
    <row r="2649">
      <c r="A2649" s="8" t="inlineStr">
        <is>
          <t>Calculated W - SUM of the Amount column above</t>
        </is>
      </c>
      <c r="B2649" s="9" t="n"/>
      <c r="C2649" s="9" t="n"/>
      <c r="D2649" s="9" t="n"/>
      <c r="E2649" s="9" t="n"/>
      <c r="F2649" s="25">
        <f>SUM(F2646:F2648)</f>
        <v/>
      </c>
      <c r="G2649" s="9" t="n"/>
    </row>
    <row r="2650">
      <c r="A2650" s="26" t="inlineStr">
        <is>
          <t>W as printed in the DAR</t>
        </is>
      </c>
      <c r="B2650" s="22" t="n"/>
      <c r="C2650" s="22" t="n"/>
      <c r="D2650" s="22" t="n"/>
      <c r="E2650" s="22" t="n"/>
      <c r="F2650" s="27" t="n">
        <v>237.74</v>
      </c>
      <c r="G2650" s="22" t="n"/>
    </row>
    <row r="2651">
      <c r="A2651" s="26" t="inlineStr">
        <is>
          <t>Difference (calculated - printed)</t>
        </is>
      </c>
      <c r="B2651" s="22" t="n"/>
      <c r="C2651" s="22" t="n"/>
      <c r="D2651" s="22" t="n"/>
      <c r="E2651" s="22" t="n"/>
      <c r="F2651" s="27">
        <f>F2649-F2650</f>
        <v/>
      </c>
      <c r="G2651" s="22" t="n"/>
    </row>
    <row r="2652">
      <c r="A2652" s="29" t="inlineStr">
        <is>
          <t>SAY (Rs.) - final DAR rate as printed (fixed value, not computed)</t>
        </is>
      </c>
      <c r="B2652" s="30" t="n"/>
      <c r="C2652" s="30" t="n"/>
      <c r="D2652" s="30" t="n"/>
      <c r="E2652" s="30" t="n"/>
      <c r="F2652" s="31" t="n">
        <v>318.1</v>
      </c>
      <c r="G2652" s="30" t="n"/>
    </row>
    <row r="2654" ht="18.5" customHeight="1">
      <c r="A2654" s="18" t="inlineStr">
        <is>
          <t>9.80</t>
        </is>
      </c>
      <c r="B2654" s="19" t="inlineStr">
        <is>
          <t>Providing and fixing 50 mm bright finished brass cup board or wardrobe knob of approved quality with necessary screws.</t>
        </is>
      </c>
      <c r="C2654" s="20" t="n"/>
      <c r="D2654" s="20" t="n"/>
      <c r="E2654" s="20" t="n"/>
      <c r="F2654" s="20" t="n"/>
      <c r="G2654" s="20" t="n"/>
    </row>
    <row r="2655">
      <c r="A2655" s="21" t="inlineStr">
        <is>
          <t>Details of cost for 10 nos   |   Source: CivilDAR_2019_Vol_1.pdf, page 541</t>
        </is>
      </c>
    </row>
    <row r="2656">
      <c r="A2656" s="5" t="inlineStr">
        <is>
          <t>Code</t>
        </is>
      </c>
      <c r="B2656" s="5" t="inlineStr">
        <is>
          <t>Description</t>
        </is>
      </c>
      <c r="C2656" s="5" t="inlineStr">
        <is>
          <t>Unit</t>
        </is>
      </c>
      <c r="D2656" s="5" t="inlineStr">
        <is>
          <t>Quantity</t>
        </is>
      </c>
      <c r="E2656" s="5" t="inlineStr">
        <is>
          <t>Rate (Rs.)</t>
        </is>
      </c>
      <c r="F2656" s="5" t="inlineStr">
        <is>
          <t>Amount (Rs.)</t>
        </is>
      </c>
      <c r="G2656" s="5" t="inlineStr">
        <is>
          <t>Note</t>
        </is>
      </c>
    </row>
    <row r="2657">
      <c r="A2657" s="22" t="inlineStr">
        <is>
          <t>0447</t>
        </is>
      </c>
      <c r="B2657" s="11" t="inlineStr">
        <is>
          <t>Brass cupboard knob or ward robe knob 50 mm</t>
        </is>
      </c>
      <c r="C2657" s="22" t="inlineStr">
        <is>
          <t>each</t>
        </is>
      </c>
      <c r="D2657" s="23" t="n">
        <v>10</v>
      </c>
      <c r="E2657" s="24" t="n">
        <v>36</v>
      </c>
      <c r="F2657" s="24">
        <f>D2657*E2657</f>
        <v/>
      </c>
      <c r="G2657" s="22" t="n"/>
    </row>
    <row r="2658">
      <c r="A2658" s="22" t="inlineStr">
        <is>
          <t>9977</t>
        </is>
      </c>
      <c r="B2658" s="11" t="inlineStr">
        <is>
          <t>Carriage of material</t>
        </is>
      </c>
      <c r="C2658" s="22" t="inlineStr">
        <is>
          <t>L.S.</t>
        </is>
      </c>
      <c r="D2658" s="23" t="n">
        <v>2.73</v>
      </c>
      <c r="E2658" s="24" t="n">
        <v>2</v>
      </c>
      <c r="F2658" s="24">
        <f>D2658*E2658</f>
        <v/>
      </c>
      <c r="G2658" s="22" t="n"/>
    </row>
    <row r="2659">
      <c r="A2659" s="22" t="inlineStr">
        <is>
          <t>0111</t>
        </is>
      </c>
      <c r="B2659" s="11" t="inlineStr">
        <is>
          <t>Carpenter 1st class</t>
        </is>
      </c>
      <c r="C2659" s="22" t="inlineStr">
        <is>
          <t>day</t>
        </is>
      </c>
      <c r="D2659" s="23" t="n">
        <v>0.14</v>
      </c>
      <c r="E2659" s="24" t="n">
        <v>738</v>
      </c>
      <c r="F2659" s="24">
        <f>D2659*E2659</f>
        <v/>
      </c>
      <c r="G2659" s="22" t="n"/>
    </row>
    <row r="2660">
      <c r="A2660" s="8" t="inlineStr">
        <is>
          <t>Calculated W - SUM of the Amount column above</t>
        </is>
      </c>
      <c r="B2660" s="9" t="n"/>
      <c r="C2660" s="9" t="n"/>
      <c r="D2660" s="9" t="n"/>
      <c r="E2660" s="9" t="n"/>
      <c r="F2660" s="25">
        <f>SUM(F2657:F2659)</f>
        <v/>
      </c>
      <c r="G2660" s="9" t="n"/>
    </row>
    <row r="2661">
      <c r="A2661" s="26" t="inlineStr">
        <is>
          <t>W as printed in the DAR</t>
        </is>
      </c>
      <c r="B2661" s="22" t="n"/>
      <c r="C2661" s="22" t="n"/>
      <c r="D2661" s="22" t="n"/>
      <c r="E2661" s="22" t="n"/>
      <c r="F2661" s="27" t="n">
        <v>468.78</v>
      </c>
      <c r="G2661" s="22" t="n"/>
    </row>
    <row r="2662">
      <c r="A2662" s="26" t="inlineStr">
        <is>
          <t>Difference (calculated - printed)</t>
        </is>
      </c>
      <c r="B2662" s="22" t="n"/>
      <c r="C2662" s="22" t="n"/>
      <c r="D2662" s="22" t="n"/>
      <c r="E2662" s="22" t="n"/>
      <c r="F2662" s="27">
        <f>F2660-F2661</f>
        <v/>
      </c>
      <c r="G2662" s="22" t="n"/>
    </row>
    <row r="2663">
      <c r="A2663" s="29" t="inlineStr">
        <is>
          <t>SAY (Rs.) - final DAR rate as printed (fixed value, not computed)</t>
        </is>
      </c>
      <c r="B2663" s="30" t="n"/>
      <c r="C2663" s="30" t="n"/>
      <c r="D2663" s="30" t="n"/>
      <c r="E2663" s="30" t="n"/>
      <c r="F2663" s="31" t="n">
        <v>62.7</v>
      </c>
      <c r="G2663" s="30" t="n"/>
    </row>
    <row r="2665" ht="18.5" customHeight="1">
      <c r="A2665" s="8" t="inlineStr">
        <is>
          <t>9.81</t>
        </is>
      </c>
      <c r="B2665" s="17" t="inlineStr">
        <is>
          <t>Providing and fixing bright finished brass handles with screws etc. complete:</t>
        </is>
      </c>
      <c r="C2665" s="9" t="n"/>
      <c r="D2665" s="9" t="n"/>
      <c r="E2665" s="9" t="n"/>
      <c r="F2665" s="9" t="n"/>
      <c r="G2665" s="9" t="n"/>
    </row>
    <row r="2666" ht="18.5" customHeight="1">
      <c r="A2666" s="18" t="inlineStr">
        <is>
          <t>9.81.1</t>
        </is>
      </c>
      <c r="B2666" s="19" t="inlineStr">
        <is>
          <t>125 mm</t>
        </is>
      </c>
      <c r="C2666" s="20" t="n"/>
      <c r="D2666" s="20" t="n"/>
      <c r="E2666" s="20" t="n"/>
      <c r="F2666" s="20" t="n"/>
      <c r="G2666" s="20" t="n"/>
    </row>
    <row r="2667">
      <c r="A2667" s="21" t="inlineStr">
        <is>
          <t>Details of cost for 10 nos   |   Source: CivilDAR_2019_Vol_1.pdf, page 541</t>
        </is>
      </c>
    </row>
    <row r="2668">
      <c r="A2668" s="5" t="inlineStr">
        <is>
          <t>Code</t>
        </is>
      </c>
      <c r="B2668" s="5" t="inlineStr">
        <is>
          <t>Description</t>
        </is>
      </c>
      <c r="C2668" s="5" t="inlineStr">
        <is>
          <t>Unit</t>
        </is>
      </c>
      <c r="D2668" s="5" t="inlineStr">
        <is>
          <t>Quantity</t>
        </is>
      </c>
      <c r="E2668" s="5" t="inlineStr">
        <is>
          <t>Rate (Rs.)</t>
        </is>
      </c>
      <c r="F2668" s="5" t="inlineStr">
        <is>
          <t>Amount (Rs.)</t>
        </is>
      </c>
      <c r="G2668" s="5" t="inlineStr">
        <is>
          <t>Note</t>
        </is>
      </c>
    </row>
    <row r="2669">
      <c r="A2669" s="22" t="inlineStr">
        <is>
          <t>0408</t>
        </is>
      </c>
      <c r="B2669" s="11" t="inlineStr">
        <is>
          <t>Brass handles 125 mm with plate 175x32 mm</t>
        </is>
      </c>
      <c r="C2669" s="22" t="inlineStr">
        <is>
          <t>each</t>
        </is>
      </c>
      <c r="D2669" s="23" t="n">
        <v>10</v>
      </c>
      <c r="E2669" s="24" t="n">
        <v>144</v>
      </c>
      <c r="F2669" s="24">
        <f>D2669*E2669</f>
        <v/>
      </c>
      <c r="G2669" s="22" t="n"/>
    </row>
    <row r="2670">
      <c r="A2670" s="22" t="inlineStr">
        <is>
          <t>0452</t>
        </is>
      </c>
      <c r="B2670" s="11" t="inlineStr">
        <is>
          <t>Brass screws 25 mm</t>
        </is>
      </c>
      <c r="C2670" s="22" t="inlineStr">
        <is>
          <t>100 Nos</t>
        </is>
      </c>
      <c r="D2670" s="23" t="n">
        <v>0.4</v>
      </c>
      <c r="E2670" s="24" t="n">
        <v>100</v>
      </c>
      <c r="F2670" s="24">
        <f>D2670*E2670</f>
        <v/>
      </c>
      <c r="G2670" s="22" t="n"/>
    </row>
    <row r="2671">
      <c r="A2671" s="22" t="inlineStr">
        <is>
          <t>9977</t>
        </is>
      </c>
      <c r="B2671" s="11" t="inlineStr">
        <is>
          <t>Carriage of material</t>
        </is>
      </c>
      <c r="C2671" s="22" t="inlineStr">
        <is>
          <t>L.S.</t>
        </is>
      </c>
      <c r="D2671" s="23" t="n">
        <v>2.73</v>
      </c>
      <c r="E2671" s="24" t="n">
        <v>2</v>
      </c>
      <c r="F2671" s="24">
        <f>D2671*E2671</f>
        <v/>
      </c>
      <c r="G2671" s="22" t="n"/>
    </row>
    <row r="2672">
      <c r="A2672" s="22" t="inlineStr">
        <is>
          <t>0111</t>
        </is>
      </c>
      <c r="B2672" s="11" t="inlineStr">
        <is>
          <t>Carpenter 1st class</t>
        </is>
      </c>
      <c r="C2672" s="22" t="inlineStr">
        <is>
          <t>day</t>
        </is>
      </c>
      <c r="D2672" s="23" t="n">
        <v>0.06</v>
      </c>
      <c r="E2672" s="24" t="n">
        <v>738</v>
      </c>
      <c r="F2672" s="24">
        <f>D2672*E2672</f>
        <v/>
      </c>
      <c r="G2672" s="22" t="n"/>
    </row>
    <row r="2673">
      <c r="A2673" s="8" t="inlineStr">
        <is>
          <t>Calculated W - SUM of the Amount column above</t>
        </is>
      </c>
      <c r="B2673" s="9" t="n"/>
      <c r="C2673" s="9" t="n"/>
      <c r="D2673" s="9" t="n"/>
      <c r="E2673" s="9" t="n"/>
      <c r="F2673" s="25">
        <f>SUM(F2669:F2672)</f>
        <v/>
      </c>
      <c r="G2673" s="9" t="n"/>
    </row>
    <row r="2674">
      <c r="A2674" s="26" t="inlineStr">
        <is>
          <t>W as printed in the DAR</t>
        </is>
      </c>
      <c r="B2674" s="22" t="n"/>
      <c r="C2674" s="22" t="n"/>
      <c r="D2674" s="22" t="n"/>
      <c r="E2674" s="22" t="n"/>
      <c r="F2674" s="27" t="n">
        <v>1529.74</v>
      </c>
      <c r="G2674" s="22" t="n"/>
    </row>
    <row r="2675">
      <c r="A2675" s="26" t="inlineStr">
        <is>
          <t>Difference (calculated - printed)</t>
        </is>
      </c>
      <c r="B2675" s="22" t="n"/>
      <c r="C2675" s="22" t="n"/>
      <c r="D2675" s="22" t="n"/>
      <c r="E2675" s="22" t="n"/>
      <c r="F2675" s="27">
        <f>F2673-F2674</f>
        <v/>
      </c>
      <c r="G2675" s="22" t="n"/>
    </row>
    <row r="2676">
      <c r="A2676" s="29" t="inlineStr">
        <is>
          <t>SAY (Rs.) - final DAR rate as printed (fixed value, not computed)</t>
        </is>
      </c>
      <c r="B2676" s="30" t="n"/>
      <c r="C2676" s="30" t="n"/>
      <c r="D2676" s="30" t="n"/>
      <c r="E2676" s="30" t="n"/>
      <c r="F2676" s="31" t="n">
        <v>204.65</v>
      </c>
      <c r="G2676" s="30" t="n"/>
    </row>
    <row r="2678" ht="18.5" customHeight="1">
      <c r="A2678" s="8" t="inlineStr">
        <is>
          <t>9.81</t>
        </is>
      </c>
      <c r="B2678" s="17" t="inlineStr">
        <is>
          <t>Providing and fixing bright finished brass handles with screws etc. complete:</t>
        </is>
      </c>
      <c r="C2678" s="9" t="n"/>
      <c r="D2678" s="9" t="n"/>
      <c r="E2678" s="9" t="n"/>
      <c r="F2678" s="9" t="n"/>
      <c r="G2678" s="9" t="n"/>
    </row>
    <row r="2679" ht="18.5" customHeight="1">
      <c r="A2679" s="18" t="inlineStr">
        <is>
          <t>9.81.2</t>
        </is>
      </c>
      <c r="B2679" s="19" t="inlineStr">
        <is>
          <t>100 mm</t>
        </is>
      </c>
      <c r="C2679" s="20" t="n"/>
      <c r="D2679" s="20" t="n"/>
      <c r="E2679" s="20" t="n"/>
      <c r="F2679" s="20" t="n"/>
      <c r="G2679" s="20" t="n"/>
    </row>
    <row r="2680">
      <c r="A2680" s="21" t="inlineStr">
        <is>
          <t>Details of cost for 10 nos   |   Source: CivilDAR_2019_Vol_1.pdf, page 542</t>
        </is>
      </c>
    </row>
    <row r="2681">
      <c r="A2681" s="5" t="inlineStr">
        <is>
          <t>Code</t>
        </is>
      </c>
      <c r="B2681" s="5" t="inlineStr">
        <is>
          <t>Description</t>
        </is>
      </c>
      <c r="C2681" s="5" t="inlineStr">
        <is>
          <t>Unit</t>
        </is>
      </c>
      <c r="D2681" s="5" t="inlineStr">
        <is>
          <t>Quantity</t>
        </is>
      </c>
      <c r="E2681" s="5" t="inlineStr">
        <is>
          <t>Rate (Rs.)</t>
        </is>
      </c>
      <c r="F2681" s="5" t="inlineStr">
        <is>
          <t>Amount (Rs.)</t>
        </is>
      </c>
      <c r="G2681" s="5" t="inlineStr">
        <is>
          <t>Note</t>
        </is>
      </c>
    </row>
    <row r="2682">
      <c r="A2682" s="22" t="inlineStr">
        <is>
          <t>0409</t>
        </is>
      </c>
      <c r="B2682" s="11" t="inlineStr">
        <is>
          <t>Brass handles 100 mm with plate 150x32 mm</t>
        </is>
      </c>
      <c r="C2682" s="22" t="inlineStr">
        <is>
          <t>each</t>
        </is>
      </c>
      <c r="D2682" s="23" t="n">
        <v>10</v>
      </c>
      <c r="E2682" s="24" t="n">
        <v>133</v>
      </c>
      <c r="F2682" s="24">
        <f>D2682*E2682</f>
        <v/>
      </c>
      <c r="G2682" s="22" t="n"/>
    </row>
    <row r="2683">
      <c r="A2683" s="22" t="inlineStr">
        <is>
          <t>0452</t>
        </is>
      </c>
      <c r="B2683" s="11" t="inlineStr">
        <is>
          <t>Brass screws 25 mm</t>
        </is>
      </c>
      <c r="C2683" s="22" t="inlineStr">
        <is>
          <t>100 Nos</t>
        </is>
      </c>
      <c r="D2683" s="23" t="n">
        <v>0.4</v>
      </c>
      <c r="E2683" s="24" t="n">
        <v>100</v>
      </c>
      <c r="F2683" s="24">
        <f>D2683*E2683</f>
        <v/>
      </c>
      <c r="G2683" s="22" t="n"/>
    </row>
    <row r="2684">
      <c r="A2684" s="22" t="inlineStr">
        <is>
          <t>9977</t>
        </is>
      </c>
      <c r="B2684" s="11" t="inlineStr">
        <is>
          <t>Carriage of material</t>
        </is>
      </c>
      <c r="C2684" s="22" t="inlineStr">
        <is>
          <t>L.S.</t>
        </is>
      </c>
      <c r="D2684" s="23" t="n">
        <v>0.91</v>
      </c>
      <c r="E2684" s="24" t="n">
        <v>2</v>
      </c>
      <c r="F2684" s="24">
        <f>D2684*E2684</f>
        <v/>
      </c>
      <c r="G2684" s="22" t="n"/>
    </row>
    <row r="2685">
      <c r="A2685" s="22" t="inlineStr">
        <is>
          <t>0111</t>
        </is>
      </c>
      <c r="B2685" s="11" t="inlineStr">
        <is>
          <t>Carpenter 1st class</t>
        </is>
      </c>
      <c r="C2685" s="22" t="inlineStr">
        <is>
          <t>day</t>
        </is>
      </c>
      <c r="D2685" s="23" t="n">
        <v>0.06</v>
      </c>
      <c r="E2685" s="24" t="n">
        <v>738</v>
      </c>
      <c r="F2685" s="24">
        <f>D2685*E2685</f>
        <v/>
      </c>
      <c r="G2685" s="22" t="n"/>
    </row>
    <row r="2686">
      <c r="A2686" s="8" t="inlineStr">
        <is>
          <t>Calculated W - SUM of the Amount column above</t>
        </is>
      </c>
      <c r="B2686" s="9" t="n"/>
      <c r="C2686" s="9" t="n"/>
      <c r="D2686" s="9" t="n"/>
      <c r="E2686" s="9" t="n"/>
      <c r="F2686" s="25">
        <f>SUM(F2682:F2685)</f>
        <v/>
      </c>
      <c r="G2686" s="9" t="n"/>
    </row>
    <row r="2687">
      <c r="A2687" s="26" t="inlineStr">
        <is>
          <t>W as printed in the DAR</t>
        </is>
      </c>
      <c r="B2687" s="22" t="n"/>
      <c r="C2687" s="22" t="n"/>
      <c r="D2687" s="22" t="n"/>
      <c r="E2687" s="22" t="n"/>
      <c r="F2687" s="27" t="n">
        <v>1416.1</v>
      </c>
      <c r="G2687" s="22" t="n"/>
    </row>
    <row r="2688">
      <c r="A2688" s="26" t="inlineStr">
        <is>
          <t>Difference (calculated - printed)</t>
        </is>
      </c>
      <c r="B2688" s="22" t="n"/>
      <c r="C2688" s="22" t="n"/>
      <c r="D2688" s="22" t="n"/>
      <c r="E2688" s="22" t="n"/>
      <c r="F2688" s="27">
        <f>F2686-F2687</f>
        <v/>
      </c>
      <c r="G2688" s="22" t="n"/>
    </row>
    <row r="2689">
      <c r="A2689" s="29" t="inlineStr">
        <is>
          <t>SAY (Rs.) - final DAR rate as printed (fixed value, not computed)</t>
        </is>
      </c>
      <c r="B2689" s="30" t="n"/>
      <c r="C2689" s="30" t="n"/>
      <c r="D2689" s="30" t="n"/>
      <c r="E2689" s="30" t="n"/>
      <c r="F2689" s="31" t="n">
        <v>189.45</v>
      </c>
      <c r="G2689" s="30" t="n"/>
    </row>
    <row r="2691" ht="18.5" customHeight="1">
      <c r="A2691" s="8" t="inlineStr">
        <is>
          <t>9.81</t>
        </is>
      </c>
      <c r="B2691" s="17" t="inlineStr">
        <is>
          <t>Providing and fixing bright finished brass handles with screws etc. complete:</t>
        </is>
      </c>
      <c r="C2691" s="9" t="n"/>
      <c r="D2691" s="9" t="n"/>
      <c r="E2691" s="9" t="n"/>
      <c r="F2691" s="9" t="n"/>
      <c r="G2691" s="9" t="n"/>
    </row>
    <row r="2692" ht="18.5" customHeight="1">
      <c r="A2692" s="18" t="inlineStr">
        <is>
          <t>9.81.3</t>
        </is>
      </c>
      <c r="B2692" s="19" t="inlineStr">
        <is>
          <t>75 mm</t>
        </is>
      </c>
      <c r="C2692" s="20" t="n"/>
      <c r="D2692" s="20" t="n"/>
      <c r="E2692" s="20" t="n"/>
      <c r="F2692" s="20" t="n"/>
      <c r="G2692" s="20" t="n"/>
    </row>
    <row r="2693">
      <c r="A2693" s="21" t="inlineStr">
        <is>
          <t>Details of cost for 10 nos   |   Source: CivilDAR_2019_Vol_1.pdf, page 542</t>
        </is>
      </c>
    </row>
    <row r="2694">
      <c r="A2694" s="5" t="inlineStr">
        <is>
          <t>Code</t>
        </is>
      </c>
      <c r="B2694" s="5" t="inlineStr">
        <is>
          <t>Description</t>
        </is>
      </c>
      <c r="C2694" s="5" t="inlineStr">
        <is>
          <t>Unit</t>
        </is>
      </c>
      <c r="D2694" s="5" t="inlineStr">
        <is>
          <t>Quantity</t>
        </is>
      </c>
      <c r="E2694" s="5" t="inlineStr">
        <is>
          <t>Rate (Rs.)</t>
        </is>
      </c>
      <c r="F2694" s="5" t="inlineStr">
        <is>
          <t>Amount (Rs.)</t>
        </is>
      </c>
      <c r="G2694" s="5" t="inlineStr">
        <is>
          <t>Note</t>
        </is>
      </c>
    </row>
    <row r="2695">
      <c r="A2695" s="22" t="inlineStr">
        <is>
          <t>0410</t>
        </is>
      </c>
      <c r="B2695" s="11" t="inlineStr">
        <is>
          <t>Brass handles75 mm with plate 125x32 mm</t>
        </is>
      </c>
      <c r="C2695" s="22" t="inlineStr">
        <is>
          <t>each</t>
        </is>
      </c>
      <c r="D2695" s="23" t="n">
        <v>10</v>
      </c>
      <c r="E2695" s="24" t="n">
        <v>103</v>
      </c>
      <c r="F2695" s="24">
        <f>D2695*E2695</f>
        <v/>
      </c>
      <c r="G2695" s="22" t="n"/>
    </row>
    <row r="2696">
      <c r="A2696" s="22" t="inlineStr">
        <is>
          <t>0452</t>
        </is>
      </c>
      <c r="B2696" s="11" t="inlineStr">
        <is>
          <t>Brass screws 25 mm</t>
        </is>
      </c>
      <c r="C2696" s="22" t="inlineStr">
        <is>
          <t>100 Nos</t>
        </is>
      </c>
      <c r="D2696" s="23" t="n">
        <v>0.4</v>
      </c>
      <c r="E2696" s="24" t="n">
        <v>100</v>
      </c>
      <c r="F2696" s="24">
        <f>D2696*E2696</f>
        <v/>
      </c>
      <c r="G2696" s="22" t="n"/>
    </row>
    <row r="2697">
      <c r="A2697" s="22" t="inlineStr">
        <is>
          <t>9977</t>
        </is>
      </c>
      <c r="B2697" s="11" t="inlineStr">
        <is>
          <t>Carriage of material</t>
        </is>
      </c>
      <c r="C2697" s="22" t="inlineStr">
        <is>
          <t>L.S.</t>
        </is>
      </c>
      <c r="D2697" s="23" t="n">
        <v>0.91</v>
      </c>
      <c r="E2697" s="24" t="n">
        <v>2</v>
      </c>
      <c r="F2697" s="24">
        <f>D2697*E2697</f>
        <v/>
      </c>
      <c r="G2697" s="22" t="n"/>
    </row>
    <row r="2698">
      <c r="A2698" s="22" t="inlineStr">
        <is>
          <t>0111</t>
        </is>
      </c>
      <c r="B2698" s="11" t="inlineStr">
        <is>
          <t>Carpenter 1st class</t>
        </is>
      </c>
      <c r="C2698" s="22" t="inlineStr">
        <is>
          <t>day</t>
        </is>
      </c>
      <c r="D2698" s="23" t="n">
        <v>0.06</v>
      </c>
      <c r="E2698" s="24" t="n">
        <v>738</v>
      </c>
      <c r="F2698" s="24">
        <f>D2698*E2698</f>
        <v/>
      </c>
      <c r="G2698" s="22" t="n"/>
    </row>
    <row r="2699">
      <c r="A2699" s="8" t="inlineStr">
        <is>
          <t>Calculated W - SUM of the Amount column above</t>
        </is>
      </c>
      <c r="B2699" s="9" t="n"/>
      <c r="C2699" s="9" t="n"/>
      <c r="D2699" s="9" t="n"/>
      <c r="E2699" s="9" t="n"/>
      <c r="F2699" s="25">
        <f>SUM(F2695:F2698)</f>
        <v/>
      </c>
      <c r="G2699" s="9" t="n"/>
    </row>
    <row r="2700">
      <c r="A2700" s="26" t="inlineStr">
        <is>
          <t>W as printed in the DAR</t>
        </is>
      </c>
      <c r="B2700" s="22" t="n"/>
      <c r="C2700" s="22" t="n"/>
      <c r="D2700" s="22" t="n"/>
      <c r="E2700" s="22" t="n"/>
      <c r="F2700" s="27" t="n">
        <v>1116.1</v>
      </c>
      <c r="G2700" s="22" t="n"/>
    </row>
    <row r="2701">
      <c r="A2701" s="26" t="inlineStr">
        <is>
          <t>Difference (calculated - printed)</t>
        </is>
      </c>
      <c r="B2701" s="22" t="n"/>
      <c r="C2701" s="22" t="n"/>
      <c r="D2701" s="22" t="n"/>
      <c r="E2701" s="22" t="n"/>
      <c r="F2701" s="27">
        <f>F2699-F2700</f>
        <v/>
      </c>
      <c r="G2701" s="22" t="n"/>
    </row>
    <row r="2702">
      <c r="A2702" s="29" t="inlineStr">
        <is>
          <t>SAY (Rs.) - final DAR rate as printed (fixed value, not computed)</t>
        </is>
      </c>
      <c r="B2702" s="30" t="n"/>
      <c r="C2702" s="30" t="n"/>
      <c r="D2702" s="30" t="n"/>
      <c r="E2702" s="30" t="n"/>
      <c r="F2702" s="31" t="n">
        <v>149.35</v>
      </c>
      <c r="G2702" s="30" t="n"/>
    </row>
    <row r="2704" ht="18.5" customHeight="1">
      <c r="A2704" s="18" t="inlineStr">
        <is>
          <t>9.82</t>
        </is>
      </c>
      <c r="B2704" s="19" t="inlineStr">
        <is>
          <t>Providing and fixing bright finished brass hanging type floor door stopper with necessary screws, etc. complete.</t>
        </is>
      </c>
      <c r="C2704" s="20" t="n"/>
      <c r="D2704" s="20" t="n"/>
      <c r="E2704" s="20" t="n"/>
      <c r="F2704" s="20" t="n"/>
      <c r="G2704" s="20" t="n"/>
    </row>
    <row r="2705">
      <c r="A2705" s="21" t="inlineStr">
        <is>
          <t>Details of cost for 10 nos   |   Source: CivilDAR_2019_Vol_1.pdf, page 543</t>
        </is>
      </c>
    </row>
    <row r="2706">
      <c r="A2706" s="5" t="inlineStr">
        <is>
          <t>Code</t>
        </is>
      </c>
      <c r="B2706" s="5" t="inlineStr">
        <is>
          <t>Description</t>
        </is>
      </c>
      <c r="C2706" s="5" t="inlineStr">
        <is>
          <t>Unit</t>
        </is>
      </c>
      <c r="D2706" s="5" t="inlineStr">
        <is>
          <t>Quantity</t>
        </is>
      </c>
      <c r="E2706" s="5" t="inlineStr">
        <is>
          <t>Rate (Rs.)</t>
        </is>
      </c>
      <c r="F2706" s="5" t="inlineStr">
        <is>
          <t>Amount (Rs.)</t>
        </is>
      </c>
      <c r="G2706" s="5" t="inlineStr">
        <is>
          <t>Note</t>
        </is>
      </c>
    </row>
    <row r="2707">
      <c r="A2707" s="22" t="inlineStr">
        <is>
          <t>2455</t>
        </is>
      </c>
      <c r="B2707" s="11" t="inlineStr">
        <is>
          <t>Brass hanging type door stopper 150 mm</t>
        </is>
      </c>
      <c r="C2707" s="22" t="inlineStr">
        <is>
          <t>each</t>
        </is>
      </c>
      <c r="D2707" s="23" t="n">
        <v>10</v>
      </c>
      <c r="E2707" s="24" t="n">
        <v>75</v>
      </c>
      <c r="F2707" s="24">
        <f>D2707*E2707</f>
        <v/>
      </c>
      <c r="G2707" s="22" t="n"/>
    </row>
    <row r="2708">
      <c r="A2708" s="22" t="inlineStr">
        <is>
          <t>0452</t>
        </is>
      </c>
      <c r="B2708" s="11" t="inlineStr">
        <is>
          <t>Brass screws 25 mm</t>
        </is>
      </c>
      <c r="C2708" s="22" t="inlineStr">
        <is>
          <t>100 Nos</t>
        </is>
      </c>
      <c r="D2708" s="23" t="n">
        <v>0.2</v>
      </c>
      <c r="E2708" s="24" t="n">
        <v>100</v>
      </c>
      <c r="F2708" s="24">
        <f>D2708*E2708</f>
        <v/>
      </c>
      <c r="G2708" s="22" t="n"/>
    </row>
    <row r="2709">
      <c r="A2709" s="22" t="inlineStr">
        <is>
          <t>9977</t>
        </is>
      </c>
      <c r="B2709" s="11" t="inlineStr">
        <is>
          <t>Carriage of material</t>
        </is>
      </c>
      <c r="C2709" s="22" t="inlineStr">
        <is>
          <t>L.S.</t>
        </is>
      </c>
      <c r="D2709" s="23" t="n">
        <v>2.73</v>
      </c>
      <c r="E2709" s="24" t="n">
        <v>2</v>
      </c>
      <c r="F2709" s="24">
        <f>D2709*E2709</f>
        <v/>
      </c>
      <c r="G2709" s="22" t="n"/>
    </row>
    <row r="2710">
      <c r="A2710" s="22" t="inlineStr">
        <is>
          <t>0111</t>
        </is>
      </c>
      <c r="B2710" s="11" t="inlineStr">
        <is>
          <t>Carpenter 1st class</t>
        </is>
      </c>
      <c r="C2710" s="22" t="inlineStr">
        <is>
          <t>day</t>
        </is>
      </c>
      <c r="D2710" s="23" t="n">
        <v>0.03</v>
      </c>
      <c r="E2710" s="24" t="n">
        <v>738</v>
      </c>
      <c r="F2710" s="24">
        <f>D2710*E2710</f>
        <v/>
      </c>
      <c r="G2710" s="22" t="n"/>
    </row>
    <row r="2711">
      <c r="A2711" s="8" t="inlineStr">
        <is>
          <t>Calculated W - SUM of the Amount column above</t>
        </is>
      </c>
      <c r="B2711" s="9" t="n"/>
      <c r="C2711" s="9" t="n"/>
      <c r="D2711" s="9" t="n"/>
      <c r="E2711" s="9" t="n"/>
      <c r="F2711" s="25">
        <f>SUM(F2707:F2710)</f>
        <v/>
      </c>
      <c r="G2711" s="9" t="n"/>
    </row>
    <row r="2712">
      <c r="A2712" s="26" t="inlineStr">
        <is>
          <t>W as printed in the DAR</t>
        </is>
      </c>
      <c r="B2712" s="22" t="n"/>
      <c r="C2712" s="22" t="n"/>
      <c r="D2712" s="22" t="n"/>
      <c r="E2712" s="22" t="n"/>
      <c r="F2712" s="27" t="n">
        <v>797.6</v>
      </c>
      <c r="G2712" s="22" t="n"/>
    </row>
    <row r="2713">
      <c r="A2713" s="26" t="inlineStr">
        <is>
          <t>Difference (calculated - printed)</t>
        </is>
      </c>
      <c r="B2713" s="22" t="n"/>
      <c r="C2713" s="22" t="n"/>
      <c r="D2713" s="22" t="n"/>
      <c r="E2713" s="22" t="n"/>
      <c r="F2713" s="27">
        <f>F2711-F2712</f>
        <v/>
      </c>
      <c r="G2713" s="22" t="n"/>
    </row>
    <row r="2714">
      <c r="A2714" s="29" t="inlineStr">
        <is>
          <t>SAY (Rs.) - final DAR rate as printed (fixed value, not computed)</t>
        </is>
      </c>
      <c r="B2714" s="30" t="n"/>
      <c r="C2714" s="30" t="n"/>
      <c r="D2714" s="30" t="n"/>
      <c r="E2714" s="30" t="n"/>
      <c r="F2714" s="31" t="n">
        <v>106.7</v>
      </c>
      <c r="G2714" s="30" t="n"/>
    </row>
    <row r="2716" ht="47.5" customHeight="1">
      <c r="A2716" s="18" t="inlineStr">
        <is>
          <t>9.83</t>
        </is>
      </c>
      <c r="B2716" s="19" t="inlineStr">
        <is>
          <t>Providing and fixing aluminium die cast body tubular type universal hydraulic door closer (having brand logo with ISI, IS : 3564, embossed on the body, door weight upto 35 kg and door width upto 700 mm), with necessary accessories and screws etc. complete.</t>
        </is>
      </c>
      <c r="C2716" s="20" t="n"/>
      <c r="D2716" s="20" t="n"/>
      <c r="E2716" s="20" t="n"/>
      <c r="F2716" s="20" t="n"/>
      <c r="G2716" s="20" t="n"/>
    </row>
    <row r="2717">
      <c r="A2717" s="21" t="inlineStr">
        <is>
          <t>Details of cost for 10 nos   |   Source: CivilDAR_2019_Vol_1.pdf, page 544</t>
        </is>
      </c>
    </row>
    <row r="2718">
      <c r="A2718" s="5" t="inlineStr">
        <is>
          <t>Code</t>
        </is>
      </c>
      <c r="B2718" s="5" t="inlineStr">
        <is>
          <t>Description</t>
        </is>
      </c>
      <c r="C2718" s="5" t="inlineStr">
        <is>
          <t>Unit</t>
        </is>
      </c>
      <c r="D2718" s="5" t="inlineStr">
        <is>
          <t>Quantity</t>
        </is>
      </c>
      <c r="E2718" s="5" t="inlineStr">
        <is>
          <t>Rate (Rs.)</t>
        </is>
      </c>
      <c r="F2718" s="5" t="inlineStr">
        <is>
          <t>Amount (Rs.)</t>
        </is>
      </c>
      <c r="G2718" s="5" t="inlineStr">
        <is>
          <t>Note</t>
        </is>
      </c>
    </row>
    <row r="2719">
      <c r="A2719" s="22" t="inlineStr">
        <is>
          <t>2456</t>
        </is>
      </c>
      <c r="B2719" s="11" t="inlineStr">
        <is>
          <t>Hydraulic door closer bottle type M.S. body with necessary accessories and screws complete</t>
        </is>
      </c>
      <c r="C2719" s="22" t="inlineStr">
        <is>
          <t>each</t>
        </is>
      </c>
      <c r="D2719" s="23" t="n">
        <v>10</v>
      </c>
      <c r="E2719" s="24" t="n">
        <v>673</v>
      </c>
      <c r="F2719" s="24">
        <f>D2719*E2719</f>
        <v/>
      </c>
      <c r="G2719" s="22" t="n"/>
    </row>
    <row r="2720">
      <c r="A2720" s="22" t="inlineStr">
        <is>
          <t>0451</t>
        </is>
      </c>
      <c r="B2720" s="11" t="inlineStr">
        <is>
          <t>Brass screws 30 mm</t>
        </is>
      </c>
      <c r="C2720" s="22" t="inlineStr">
        <is>
          <t>100 Nos</t>
        </is>
      </c>
      <c r="D2720" s="23" t="n">
        <v>0.6</v>
      </c>
      <c r="E2720" s="24" t="n">
        <v>140</v>
      </c>
      <c r="F2720" s="24">
        <f>D2720*E2720</f>
        <v/>
      </c>
      <c r="G2720" s="22" t="n"/>
    </row>
    <row r="2721">
      <c r="A2721" s="22" t="inlineStr">
        <is>
          <t>9977</t>
        </is>
      </c>
      <c r="B2721" s="11" t="inlineStr">
        <is>
          <t>Carriage of material</t>
        </is>
      </c>
      <c r="C2721" s="22" t="inlineStr">
        <is>
          <t>L.S.</t>
        </is>
      </c>
      <c r="D2721" s="23" t="n">
        <v>3.64</v>
      </c>
      <c r="E2721" s="24" t="n">
        <v>2</v>
      </c>
      <c r="F2721" s="24">
        <f>D2721*E2721</f>
        <v/>
      </c>
      <c r="G2721" s="22" t="n"/>
    </row>
    <row r="2722">
      <c r="A2722" s="22" t="inlineStr">
        <is>
          <t>0112</t>
        </is>
      </c>
      <c r="B2722" s="11" t="inlineStr">
        <is>
          <t>Carpenter 2nd class</t>
        </is>
      </c>
      <c r="C2722" s="22" t="inlineStr">
        <is>
          <t>day</t>
        </is>
      </c>
      <c r="D2722" s="23" t="n">
        <v>1</v>
      </c>
      <c r="E2722" s="24" t="n">
        <v>679</v>
      </c>
      <c r="F2722" s="24">
        <f>D2722*E2722</f>
        <v/>
      </c>
      <c r="G2722" s="22" t="n"/>
    </row>
    <row r="2723">
      <c r="A2723" s="8" t="inlineStr">
        <is>
          <t>Calculated W - SUM of the Amount column above</t>
        </is>
      </c>
      <c r="B2723" s="9" t="n"/>
      <c r="C2723" s="9" t="n"/>
      <c r="D2723" s="9" t="n"/>
      <c r="E2723" s="9" t="n"/>
      <c r="F2723" s="25">
        <f>SUM(F2719:F2722)</f>
        <v/>
      </c>
      <c r="G2723" s="9" t="n"/>
    </row>
    <row r="2724">
      <c r="A2724" s="26" t="inlineStr">
        <is>
          <t>W as printed in the DAR</t>
        </is>
      </c>
      <c r="B2724" s="22" t="n"/>
      <c r="C2724" s="22" t="n"/>
      <c r="D2724" s="22" t="n"/>
      <c r="E2724" s="22" t="n"/>
      <c r="F2724" s="27" t="n">
        <v>7500.28</v>
      </c>
      <c r="G2724" s="22" t="n"/>
    </row>
    <row r="2725">
      <c r="A2725" s="26" t="inlineStr">
        <is>
          <t>Difference (calculated - printed)</t>
        </is>
      </c>
      <c r="B2725" s="22" t="n"/>
      <c r="C2725" s="22" t="n"/>
      <c r="D2725" s="22" t="n"/>
      <c r="E2725" s="22" t="n"/>
      <c r="F2725" s="27">
        <f>F2723-F2724</f>
        <v/>
      </c>
      <c r="G2725" s="22" t="n"/>
    </row>
    <row r="2726">
      <c r="A2726" s="29" t="inlineStr">
        <is>
          <t>SAY (Rs.) - final DAR rate as printed (fixed value, not computed)</t>
        </is>
      </c>
      <c r="B2726" s="30" t="n"/>
      <c r="C2726" s="30" t="n"/>
      <c r="D2726" s="30" t="n"/>
      <c r="E2726" s="30" t="n"/>
      <c r="F2726" s="31" t="n">
        <v>1003.5</v>
      </c>
      <c r="G2726" s="30" t="n"/>
    </row>
    <row r="2728" ht="47.5" customHeight="1">
      <c r="A2728" s="18" t="inlineStr">
        <is>
          <t>9.84</t>
        </is>
      </c>
      <c r="B2728" s="19" t="inlineStr">
        <is>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is>
      </c>
      <c r="C2728" s="20" t="n"/>
      <c r="D2728" s="20" t="n"/>
      <c r="E2728" s="20" t="n"/>
      <c r="F2728" s="20" t="n"/>
      <c r="G2728" s="20" t="n"/>
    </row>
    <row r="2729">
      <c r="A2729" s="21" t="inlineStr">
        <is>
          <t>Details of cost for 10 nos   |   Source: CivilDAR_2019_Vol_1.pdf, page 544</t>
        </is>
      </c>
    </row>
    <row r="2730">
      <c r="A2730" s="5" t="inlineStr">
        <is>
          <t>Code</t>
        </is>
      </c>
      <c r="B2730" s="5" t="inlineStr">
        <is>
          <t>Description</t>
        </is>
      </c>
      <c r="C2730" s="5" t="inlineStr">
        <is>
          <t>Unit</t>
        </is>
      </c>
      <c r="D2730" s="5" t="inlineStr">
        <is>
          <t>Quantity</t>
        </is>
      </c>
      <c r="E2730" s="5" t="inlineStr">
        <is>
          <t>Rate (Rs.)</t>
        </is>
      </c>
      <c r="F2730" s="5" t="inlineStr">
        <is>
          <t>Amount (Rs.)</t>
        </is>
      </c>
      <c r="G2730" s="5" t="inlineStr">
        <is>
          <t>Note</t>
        </is>
      </c>
    </row>
    <row r="2731">
      <c r="A2731" s="22" t="inlineStr">
        <is>
          <t>7060</t>
        </is>
      </c>
      <c r="B2731" s="11" t="inlineStr">
        <is>
          <t>Hydraulic door closer tubular type Aluminium section body</t>
        </is>
      </c>
      <c r="C2731" s="22" t="inlineStr">
        <is>
          <t>each</t>
        </is>
      </c>
      <c r="D2731" s="23" t="n">
        <v>10</v>
      </c>
      <c r="E2731" s="24" t="n">
        <v>560</v>
      </c>
      <c r="F2731" s="24">
        <f>D2731*E2731</f>
        <v/>
      </c>
      <c r="G2731" s="22" t="n"/>
    </row>
    <row r="2732">
      <c r="A2732" s="22" t="inlineStr">
        <is>
          <t>0451</t>
        </is>
      </c>
      <c r="B2732" s="11" t="inlineStr">
        <is>
          <t>Brass screws 30 mm</t>
        </is>
      </c>
      <c r="C2732" s="22" t="inlineStr">
        <is>
          <t>100 Nos</t>
        </is>
      </c>
      <c r="D2732" s="23" t="n">
        <v>0.6</v>
      </c>
      <c r="E2732" s="24" t="n">
        <v>140</v>
      </c>
      <c r="F2732" s="24">
        <f>D2732*E2732</f>
        <v/>
      </c>
      <c r="G2732" s="22" t="n"/>
    </row>
    <row r="2733">
      <c r="A2733" s="22" t="inlineStr">
        <is>
          <t>9977</t>
        </is>
      </c>
      <c r="B2733" s="11" t="inlineStr">
        <is>
          <t>Carriage of material</t>
        </is>
      </c>
      <c r="C2733" s="22" t="inlineStr">
        <is>
          <t>L.S.</t>
        </is>
      </c>
      <c r="D2733" s="23" t="n">
        <v>1.04</v>
      </c>
      <c r="E2733" s="24" t="n">
        <v>2</v>
      </c>
      <c r="F2733" s="24">
        <f>D2733*E2733</f>
        <v/>
      </c>
      <c r="G2733" s="22" t="n"/>
    </row>
    <row r="2734">
      <c r="A2734" s="22" t="inlineStr">
        <is>
          <t>0112</t>
        </is>
      </c>
      <c r="B2734" s="11" t="inlineStr">
        <is>
          <t>Carpenter 2nd class</t>
        </is>
      </c>
      <c r="C2734" s="22" t="inlineStr">
        <is>
          <t>day</t>
        </is>
      </c>
      <c r="D2734" s="23" t="n">
        <v>1</v>
      </c>
      <c r="E2734" s="24" t="n">
        <v>679</v>
      </c>
      <c r="F2734" s="24">
        <f>D2734*E2734</f>
        <v/>
      </c>
      <c r="G2734" s="22" t="n"/>
    </row>
    <row r="2735">
      <c r="A2735" s="8" t="inlineStr">
        <is>
          <t>Calculated W - SUM of the Amount column above</t>
        </is>
      </c>
      <c r="B2735" s="9" t="n"/>
      <c r="C2735" s="9" t="n"/>
      <c r="D2735" s="9" t="n"/>
      <c r="E2735" s="9" t="n"/>
      <c r="F2735" s="25">
        <f>SUM(F2731:F2734)</f>
        <v/>
      </c>
      <c r="G2735" s="9" t="n"/>
    </row>
    <row r="2736">
      <c r="A2736" s="26" t="inlineStr">
        <is>
          <t>W as printed in the DAR</t>
        </is>
      </c>
      <c r="B2736" s="22" t="n"/>
      <c r="C2736" s="22" t="n"/>
      <c r="D2736" s="22" t="n"/>
      <c r="E2736" s="22" t="n"/>
      <c r="F2736" s="27" t="n">
        <v>6365.08</v>
      </c>
      <c r="G2736" s="22" t="n"/>
    </row>
    <row r="2737">
      <c r="A2737" s="26" t="inlineStr">
        <is>
          <t>Difference (calculated - printed)</t>
        </is>
      </c>
      <c r="B2737" s="22" t="n"/>
      <c r="C2737" s="22" t="n"/>
      <c r="D2737" s="22" t="n"/>
      <c r="E2737" s="22" t="n"/>
      <c r="F2737" s="27">
        <f>F2735-F2736</f>
        <v/>
      </c>
      <c r="G2737" s="22" t="n"/>
    </row>
    <row r="2738">
      <c r="A2738" s="29" t="inlineStr">
        <is>
          <t>SAY (Rs.) - final DAR rate as printed (fixed value, not computed)</t>
        </is>
      </c>
      <c r="B2738" s="30" t="n"/>
      <c r="C2738" s="30" t="n"/>
      <c r="D2738" s="30" t="n"/>
      <c r="E2738" s="30" t="n"/>
      <c r="F2738" s="31" t="n">
        <v>851.6</v>
      </c>
      <c r="G2738" s="30" t="n"/>
    </row>
    <row r="2740" ht="18.5" customHeight="1">
      <c r="A2740" s="18" t="inlineStr">
        <is>
          <t>9.85</t>
        </is>
      </c>
      <c r="B2740" s="19" t="inlineStr">
        <is>
          <t>Providing and fixing bright finished brass casement window fastener with necessary screws etc. complete.</t>
        </is>
      </c>
      <c r="C2740" s="20" t="n"/>
      <c r="D2740" s="20" t="n"/>
      <c r="E2740" s="20" t="n"/>
      <c r="F2740" s="20" t="n"/>
      <c r="G2740" s="20" t="n"/>
    </row>
    <row r="2741">
      <c r="A2741" s="21" t="inlineStr">
        <is>
          <t>Details of cost for 10 nos   |   Source: CivilDAR_2019_Vol_1.pdf, page 545</t>
        </is>
      </c>
    </row>
    <row r="2742">
      <c r="A2742" s="5" t="inlineStr">
        <is>
          <t>Code</t>
        </is>
      </c>
      <c r="B2742" s="5" t="inlineStr">
        <is>
          <t>Description</t>
        </is>
      </c>
      <c r="C2742" s="5" t="inlineStr">
        <is>
          <t>Unit</t>
        </is>
      </c>
      <c r="D2742" s="5" t="inlineStr">
        <is>
          <t>Quantity</t>
        </is>
      </c>
      <c r="E2742" s="5" t="inlineStr">
        <is>
          <t>Rate (Rs.)</t>
        </is>
      </c>
      <c r="F2742" s="5" t="inlineStr">
        <is>
          <t>Amount (Rs.)</t>
        </is>
      </c>
      <c r="G2742" s="5" t="inlineStr">
        <is>
          <t>Note</t>
        </is>
      </c>
    </row>
    <row r="2743">
      <c r="A2743" s="22" t="inlineStr">
        <is>
          <t>0423</t>
        </is>
      </c>
      <c r="B2743" s="11" t="inlineStr">
        <is>
          <t>Brass casement window fastener</t>
        </is>
      </c>
      <c r="C2743" s="22" t="inlineStr">
        <is>
          <t>Each</t>
        </is>
      </c>
      <c r="D2743" s="23" t="n">
        <v>10</v>
      </c>
      <c r="E2743" s="24" t="n">
        <v>45</v>
      </c>
      <c r="F2743" s="24">
        <f>D2743*E2743</f>
        <v/>
      </c>
      <c r="G2743" s="22" t="n"/>
    </row>
    <row r="2744">
      <c r="A2744" s="22" t="inlineStr">
        <is>
          <t>0452</t>
        </is>
      </c>
      <c r="B2744" s="11" t="inlineStr">
        <is>
          <t>Brass screws 25 mm</t>
        </is>
      </c>
      <c r="C2744" s="22" t="inlineStr">
        <is>
          <t>100 Nos</t>
        </is>
      </c>
      <c r="D2744" s="23" t="n">
        <v>0.4</v>
      </c>
      <c r="E2744" s="24" t="n">
        <v>100</v>
      </c>
      <c r="F2744" s="24">
        <f>D2744*E2744</f>
        <v/>
      </c>
      <c r="G2744" s="22" t="n"/>
    </row>
    <row r="2745">
      <c r="A2745" s="22" t="inlineStr">
        <is>
          <t>9977</t>
        </is>
      </c>
      <c r="B2745" s="11" t="inlineStr">
        <is>
          <t>Carriage of material</t>
        </is>
      </c>
      <c r="C2745" s="22" t="inlineStr">
        <is>
          <t>L.S.</t>
        </is>
      </c>
      <c r="D2745" s="23" t="n">
        <v>0.91</v>
      </c>
      <c r="E2745" s="24" t="n">
        <v>2</v>
      </c>
      <c r="F2745" s="24">
        <f>D2745*E2745</f>
        <v/>
      </c>
      <c r="G2745" s="22" t="n"/>
    </row>
    <row r="2746">
      <c r="A2746" s="22" t="inlineStr">
        <is>
          <t>0111</t>
        </is>
      </c>
      <c r="B2746" s="11" t="inlineStr">
        <is>
          <t>Carpenter 1st class</t>
        </is>
      </c>
      <c r="C2746" s="22" t="inlineStr">
        <is>
          <t>day</t>
        </is>
      </c>
      <c r="D2746" s="23" t="n">
        <v>0.1</v>
      </c>
      <c r="E2746" s="24" t="n">
        <v>738</v>
      </c>
      <c r="F2746" s="24">
        <f>D2746*E2746</f>
        <v/>
      </c>
      <c r="G2746" s="22" t="n"/>
    </row>
    <row r="2747">
      <c r="A2747" s="8" t="inlineStr">
        <is>
          <t>Calculated W - SUM of the Amount column above</t>
        </is>
      </c>
      <c r="B2747" s="9" t="n"/>
      <c r="C2747" s="9" t="n"/>
      <c r="D2747" s="9" t="n"/>
      <c r="E2747" s="9" t="n"/>
      <c r="F2747" s="25">
        <f>SUM(F2743:F2746)</f>
        <v/>
      </c>
      <c r="G2747" s="9" t="n"/>
    </row>
    <row r="2748">
      <c r="A2748" s="26" t="inlineStr">
        <is>
          <t>W as printed in the DAR</t>
        </is>
      </c>
      <c r="B2748" s="22" t="n"/>
      <c r="C2748" s="22" t="n"/>
      <c r="D2748" s="22" t="n"/>
      <c r="E2748" s="22" t="n"/>
      <c r="F2748" s="27" t="n">
        <v>565.62</v>
      </c>
      <c r="G2748" s="22" t="n"/>
    </row>
    <row r="2749">
      <c r="A2749" s="26" t="inlineStr">
        <is>
          <t>Difference (calculated - printed)</t>
        </is>
      </c>
      <c r="B2749" s="22" t="n"/>
      <c r="C2749" s="22" t="n"/>
      <c r="D2749" s="22" t="n"/>
      <c r="E2749" s="22" t="n"/>
      <c r="F2749" s="27">
        <f>F2747-F2748</f>
        <v/>
      </c>
      <c r="G2749" s="22" t="n"/>
    </row>
    <row r="2750">
      <c r="A2750" s="29" t="inlineStr">
        <is>
          <t>SAY (Rs.) - final DAR rate as printed (fixed value, not computed)</t>
        </is>
      </c>
      <c r="B2750" s="30" t="n"/>
      <c r="C2750" s="30" t="n"/>
      <c r="D2750" s="30" t="n"/>
      <c r="E2750" s="30" t="n"/>
      <c r="F2750" s="31" t="n">
        <v>75.7</v>
      </c>
      <c r="G2750" s="30" t="n"/>
    </row>
    <row r="2752" ht="18.5" customHeight="1">
      <c r="A2752" s="8" t="inlineStr">
        <is>
          <t>9.86</t>
        </is>
      </c>
      <c r="B2752" s="17" t="inlineStr">
        <is>
          <t>Providing and fixing bright finished brass casement stays (straight peg type) with necessary screws etc. complete :</t>
        </is>
      </c>
      <c r="C2752" s="9" t="n"/>
      <c r="D2752" s="9" t="n"/>
      <c r="E2752" s="9" t="n"/>
      <c r="F2752" s="9" t="n"/>
      <c r="G2752" s="9" t="n"/>
    </row>
    <row r="2753" ht="18.5" customHeight="1">
      <c r="A2753" s="18" t="inlineStr">
        <is>
          <t>9.86.1</t>
        </is>
      </c>
      <c r="B2753" s="19" t="inlineStr">
        <is>
          <t>300 mm weighing not less than 330 gms</t>
        </is>
      </c>
      <c r="C2753" s="20" t="n"/>
      <c r="D2753" s="20" t="n"/>
      <c r="E2753" s="20" t="n"/>
      <c r="F2753" s="20" t="n"/>
      <c r="G2753" s="20" t="n"/>
    </row>
    <row r="2754">
      <c r="A2754" s="21" t="inlineStr">
        <is>
          <t>Details of cost for 10 nos   |   Source: CivilDAR_2019_Vol_1.pdf, page 545</t>
        </is>
      </c>
    </row>
    <row r="2755">
      <c r="A2755" s="5" t="inlineStr">
        <is>
          <t>Code</t>
        </is>
      </c>
      <c r="B2755" s="5" t="inlineStr">
        <is>
          <t>Description</t>
        </is>
      </c>
      <c r="C2755" s="5" t="inlineStr">
        <is>
          <t>Unit</t>
        </is>
      </c>
      <c r="D2755" s="5" t="inlineStr">
        <is>
          <t>Quantity</t>
        </is>
      </c>
      <c r="E2755" s="5" t="inlineStr">
        <is>
          <t>Rate (Rs.)</t>
        </is>
      </c>
      <c r="F2755" s="5" t="inlineStr">
        <is>
          <t>Amount (Rs.)</t>
        </is>
      </c>
      <c r="G2755" s="5" t="inlineStr">
        <is>
          <t>Note</t>
        </is>
      </c>
    </row>
    <row r="2756">
      <c r="A2756" s="22" t="inlineStr">
        <is>
          <t>0424</t>
        </is>
      </c>
      <c r="B2756" s="11" t="inlineStr">
        <is>
          <t>Brass casement stays (straight peg type ) 300 mm weighing not less than 0.33 kg</t>
        </is>
      </c>
      <c r="C2756" s="22" t="inlineStr">
        <is>
          <t>each</t>
        </is>
      </c>
      <c r="D2756" s="23" t="n">
        <v>10</v>
      </c>
      <c r="E2756" s="24" t="n">
        <v>126</v>
      </c>
      <c r="F2756" s="24">
        <f>D2756*E2756</f>
        <v/>
      </c>
      <c r="G2756" s="22" t="n"/>
    </row>
    <row r="2757">
      <c r="A2757" s="22" t="inlineStr">
        <is>
          <t>0451</t>
        </is>
      </c>
      <c r="B2757" s="11" t="inlineStr">
        <is>
          <t>Brass screws 30 mm</t>
        </is>
      </c>
      <c r="C2757" s="22" t="inlineStr">
        <is>
          <t>100 Nos</t>
        </is>
      </c>
      <c r="D2757" s="23" t="n">
        <v>0.4</v>
      </c>
      <c r="E2757" s="24" t="n">
        <v>140</v>
      </c>
      <c r="F2757" s="24">
        <f>D2757*E2757</f>
        <v/>
      </c>
      <c r="G2757" s="22" t="n"/>
    </row>
    <row r="2758">
      <c r="A2758" s="22" t="inlineStr">
        <is>
          <t>9977</t>
        </is>
      </c>
      <c r="B2758" s="11" t="inlineStr">
        <is>
          <t>Carriage of material</t>
        </is>
      </c>
      <c r="C2758" s="22" t="inlineStr">
        <is>
          <t>L.S.</t>
        </is>
      </c>
      <c r="D2758" s="23" t="n">
        <v>0.91</v>
      </c>
      <c r="E2758" s="24" t="n">
        <v>2</v>
      </c>
      <c r="F2758" s="24">
        <f>D2758*E2758</f>
        <v/>
      </c>
      <c r="G2758" s="22" t="n"/>
    </row>
    <row r="2759">
      <c r="A2759" s="22" t="inlineStr">
        <is>
          <t>0111</t>
        </is>
      </c>
      <c r="B2759" s="11" t="inlineStr">
        <is>
          <t>Carpenter 1st class</t>
        </is>
      </c>
      <c r="C2759" s="22" t="inlineStr">
        <is>
          <t>day</t>
        </is>
      </c>
      <c r="D2759" s="23" t="n">
        <v>0.1</v>
      </c>
      <c r="E2759" s="24" t="n">
        <v>738</v>
      </c>
      <c r="F2759" s="24">
        <f>D2759*E2759</f>
        <v/>
      </c>
      <c r="G2759" s="22" t="n"/>
    </row>
    <row r="2760">
      <c r="A2760" s="8" t="inlineStr">
        <is>
          <t>Calculated W - SUM of the Amount column above</t>
        </is>
      </c>
      <c r="B2760" s="9" t="n"/>
      <c r="C2760" s="9" t="n"/>
      <c r="D2760" s="9" t="n"/>
      <c r="E2760" s="9" t="n"/>
      <c r="F2760" s="25">
        <f>SUM(F2756:F2759)</f>
        <v/>
      </c>
      <c r="G2760" s="9" t="n"/>
    </row>
    <row r="2761">
      <c r="A2761" s="26" t="inlineStr">
        <is>
          <t>W as printed in the DAR</t>
        </is>
      </c>
      <c r="B2761" s="22" t="n"/>
      <c r="C2761" s="22" t="n"/>
      <c r="D2761" s="22" t="n"/>
      <c r="E2761" s="22" t="n"/>
      <c r="F2761" s="27" t="n">
        <v>1391.62</v>
      </c>
      <c r="G2761" s="22" t="n"/>
    </row>
    <row r="2762">
      <c r="A2762" s="26" t="inlineStr">
        <is>
          <t>Difference (calculated - printed)</t>
        </is>
      </c>
      <c r="B2762" s="22" t="n"/>
      <c r="C2762" s="22" t="n"/>
      <c r="D2762" s="22" t="n"/>
      <c r="E2762" s="22" t="n"/>
      <c r="F2762" s="27">
        <f>F2760-F2761</f>
        <v/>
      </c>
      <c r="G2762" s="22" t="n"/>
    </row>
    <row r="2763">
      <c r="A2763" s="29" t="inlineStr">
        <is>
          <t>SAY (Rs.) - final DAR rate as printed (fixed value, not computed)</t>
        </is>
      </c>
      <c r="B2763" s="30" t="n"/>
      <c r="C2763" s="30" t="n"/>
      <c r="D2763" s="30" t="n"/>
      <c r="E2763" s="30" t="n"/>
      <c r="F2763" s="31" t="n">
        <v>186.2</v>
      </c>
      <c r="G2763" s="30" t="n"/>
    </row>
    <row r="2765" ht="18.5" customHeight="1">
      <c r="A2765" s="8" t="inlineStr">
        <is>
          <t>9.86</t>
        </is>
      </c>
      <c r="B2765" s="17" t="inlineStr">
        <is>
          <t>Providing and fixing bright finished brass casement stays (straight peg type) with necessary screws etc. complete :</t>
        </is>
      </c>
      <c r="C2765" s="9" t="n"/>
      <c r="D2765" s="9" t="n"/>
      <c r="E2765" s="9" t="n"/>
      <c r="F2765" s="9" t="n"/>
      <c r="G2765" s="9" t="n"/>
    </row>
    <row r="2766" ht="18.5" customHeight="1">
      <c r="A2766" s="18" t="inlineStr">
        <is>
          <t>9.86.2</t>
        </is>
      </c>
      <c r="B2766" s="19" t="inlineStr">
        <is>
          <t>250 mm weighing not less than 280 gms</t>
        </is>
      </c>
      <c r="C2766" s="20" t="n"/>
      <c r="D2766" s="20" t="n"/>
      <c r="E2766" s="20" t="n"/>
      <c r="F2766" s="20" t="n"/>
      <c r="G2766" s="20" t="n"/>
    </row>
    <row r="2767">
      <c r="A2767" s="21" t="inlineStr">
        <is>
          <t>Details of cost for 10 nos   |   Source: CivilDAR_2019_Vol_1.pdf, page 546</t>
        </is>
      </c>
    </row>
    <row r="2768">
      <c r="A2768" s="5" t="inlineStr">
        <is>
          <t>Code</t>
        </is>
      </c>
      <c r="B2768" s="5" t="inlineStr">
        <is>
          <t>Description</t>
        </is>
      </c>
      <c r="C2768" s="5" t="inlineStr">
        <is>
          <t>Unit</t>
        </is>
      </c>
      <c r="D2768" s="5" t="inlineStr">
        <is>
          <t>Quantity</t>
        </is>
      </c>
      <c r="E2768" s="5" t="inlineStr">
        <is>
          <t>Rate (Rs.)</t>
        </is>
      </c>
      <c r="F2768" s="5" t="inlineStr">
        <is>
          <t>Amount (Rs.)</t>
        </is>
      </c>
      <c r="G2768" s="5" t="inlineStr">
        <is>
          <t>Note</t>
        </is>
      </c>
    </row>
    <row r="2769">
      <c r="A2769" s="22" t="inlineStr">
        <is>
          <t>0425</t>
        </is>
      </c>
      <c r="B2769" s="11" t="inlineStr">
        <is>
          <t>Brass casement stays (straight peg type ) 250 mm weighing not less than 0.28 kg</t>
        </is>
      </c>
      <c r="C2769" s="22" t="inlineStr">
        <is>
          <t>each</t>
        </is>
      </c>
      <c r="D2769" s="23" t="n">
        <v>10</v>
      </c>
      <c r="E2769" s="24" t="n">
        <v>100</v>
      </c>
      <c r="F2769" s="24">
        <f>D2769*E2769</f>
        <v/>
      </c>
      <c r="G2769" s="22" t="n"/>
    </row>
    <row r="2770">
      <c r="A2770" s="22" t="inlineStr">
        <is>
          <t>0452</t>
        </is>
      </c>
      <c r="B2770" s="11" t="inlineStr">
        <is>
          <t>Brass screws 25 mm</t>
        </is>
      </c>
      <c r="C2770" s="22" t="inlineStr">
        <is>
          <t>100 Nos</t>
        </is>
      </c>
      <c r="D2770" s="23" t="n">
        <v>0.4</v>
      </c>
      <c r="E2770" s="24" t="n">
        <v>100</v>
      </c>
      <c r="F2770" s="24">
        <f>D2770*E2770</f>
        <v/>
      </c>
      <c r="G2770" s="22" t="n"/>
    </row>
    <row r="2771">
      <c r="A2771" s="22" t="inlineStr">
        <is>
          <t>9977</t>
        </is>
      </c>
      <c r="B2771" s="11" t="inlineStr">
        <is>
          <t>Carriage of material</t>
        </is>
      </c>
      <c r="C2771" s="22" t="inlineStr">
        <is>
          <t>L.S.</t>
        </is>
      </c>
      <c r="D2771" s="23" t="n">
        <v>0.91</v>
      </c>
      <c r="E2771" s="24" t="n">
        <v>2</v>
      </c>
      <c r="F2771" s="24">
        <f>D2771*E2771</f>
        <v/>
      </c>
      <c r="G2771" s="22" t="n"/>
    </row>
    <row r="2772">
      <c r="A2772" s="22" t="inlineStr">
        <is>
          <t>0111</t>
        </is>
      </c>
      <c r="B2772" s="11" t="inlineStr">
        <is>
          <t>Carpenter 1st class</t>
        </is>
      </c>
      <c r="C2772" s="22" t="inlineStr">
        <is>
          <t>day</t>
        </is>
      </c>
      <c r="D2772" s="23" t="n">
        <v>0.1</v>
      </c>
      <c r="E2772" s="24" t="n">
        <v>738</v>
      </c>
      <c r="F2772" s="24">
        <f>D2772*E2772</f>
        <v/>
      </c>
      <c r="G2772" s="22" t="n"/>
    </row>
    <row r="2773">
      <c r="A2773" s="8" t="inlineStr">
        <is>
          <t>Calculated W - SUM of the Amount column above</t>
        </is>
      </c>
      <c r="B2773" s="9" t="n"/>
      <c r="C2773" s="9" t="n"/>
      <c r="D2773" s="9" t="n"/>
      <c r="E2773" s="9" t="n"/>
      <c r="F2773" s="25">
        <f>SUM(F2769:F2772)</f>
        <v/>
      </c>
      <c r="G2773" s="9" t="n"/>
    </row>
    <row r="2774">
      <c r="A2774" s="26" t="inlineStr">
        <is>
          <t>W as printed in the DAR</t>
        </is>
      </c>
      <c r="B2774" s="22" t="n"/>
      <c r="C2774" s="22" t="n"/>
      <c r="D2774" s="22" t="n"/>
      <c r="E2774" s="22" t="n"/>
      <c r="F2774" s="27" t="n">
        <v>1115.62</v>
      </c>
      <c r="G2774" s="22" t="n"/>
    </row>
    <row r="2775">
      <c r="A2775" s="26" t="inlineStr">
        <is>
          <t>Difference (calculated - printed)</t>
        </is>
      </c>
      <c r="B2775" s="22" t="n"/>
      <c r="C2775" s="22" t="n"/>
      <c r="D2775" s="22" t="n"/>
      <c r="E2775" s="22" t="n"/>
      <c r="F2775" s="27">
        <f>F2773-F2774</f>
        <v/>
      </c>
      <c r="G2775" s="22" t="n"/>
    </row>
    <row r="2776">
      <c r="A2776" s="29" t="inlineStr">
        <is>
          <t>SAY (Rs.) - final DAR rate as printed (fixed value, not computed)</t>
        </is>
      </c>
      <c r="B2776" s="30" t="n"/>
      <c r="C2776" s="30" t="n"/>
      <c r="D2776" s="30" t="n"/>
      <c r="E2776" s="30" t="n"/>
      <c r="F2776" s="31" t="n">
        <v>149.25</v>
      </c>
      <c r="G2776" s="30" t="n"/>
    </row>
    <row r="2778" ht="18.5" customHeight="1">
      <c r="A2778" s="8" t="inlineStr">
        <is>
          <t>9.86</t>
        </is>
      </c>
      <c r="B2778" s="17" t="inlineStr">
        <is>
          <t>Providing and fixing bright finished brass casement stays (straight peg type) with necessary screws etc. complete :</t>
        </is>
      </c>
      <c r="C2778" s="9" t="n"/>
      <c r="D2778" s="9" t="n"/>
      <c r="E2778" s="9" t="n"/>
      <c r="F2778" s="9" t="n"/>
      <c r="G2778" s="9" t="n"/>
    </row>
    <row r="2779" ht="18.5" customHeight="1">
      <c r="A2779" s="18" t="inlineStr">
        <is>
          <t>9.86.3</t>
        </is>
      </c>
      <c r="B2779" s="19" t="inlineStr">
        <is>
          <t>200 mm weighing not less than 240 gms</t>
        </is>
      </c>
      <c r="C2779" s="20" t="n"/>
      <c r="D2779" s="20" t="n"/>
      <c r="E2779" s="20" t="n"/>
      <c r="F2779" s="20" t="n"/>
      <c r="G2779" s="20" t="n"/>
    </row>
    <row r="2780">
      <c r="A2780" s="21" t="inlineStr">
        <is>
          <t>Details of cost for 10 nos   |   Source: CivilDAR_2019_Vol_1.pdf, page 546</t>
        </is>
      </c>
    </row>
    <row r="2781">
      <c r="A2781" s="5" t="inlineStr">
        <is>
          <t>Code</t>
        </is>
      </c>
      <c r="B2781" s="5" t="inlineStr">
        <is>
          <t>Description</t>
        </is>
      </c>
      <c r="C2781" s="5" t="inlineStr">
        <is>
          <t>Unit</t>
        </is>
      </c>
      <c r="D2781" s="5" t="inlineStr">
        <is>
          <t>Quantity</t>
        </is>
      </c>
      <c r="E2781" s="5" t="inlineStr">
        <is>
          <t>Rate (Rs.)</t>
        </is>
      </c>
      <c r="F2781" s="5" t="inlineStr">
        <is>
          <t>Amount (Rs.)</t>
        </is>
      </c>
      <c r="G2781" s="5" t="inlineStr">
        <is>
          <t>Note</t>
        </is>
      </c>
    </row>
    <row r="2782">
      <c r="A2782" s="22" t="inlineStr">
        <is>
          <t>0426</t>
        </is>
      </c>
      <c r="B2782" s="11" t="inlineStr">
        <is>
          <t>Brass casement stays (straight peg type ) 200 mmweighing not less than 0.24 kg</t>
        </is>
      </c>
      <c r="C2782" s="22" t="inlineStr">
        <is>
          <t>each</t>
        </is>
      </c>
      <c r="D2782" s="23" t="n">
        <v>10</v>
      </c>
      <c r="E2782" s="24" t="n">
        <v>95</v>
      </c>
      <c r="F2782" s="24">
        <f>D2782*E2782</f>
        <v/>
      </c>
      <c r="G2782" s="22" t="n"/>
    </row>
    <row r="2783">
      <c r="A2783" s="22" t="inlineStr">
        <is>
          <t>0452</t>
        </is>
      </c>
      <c r="B2783" s="11" t="inlineStr">
        <is>
          <t>Brass screws 25 mm</t>
        </is>
      </c>
      <c r="C2783" s="22" t="inlineStr">
        <is>
          <t>100 Nos</t>
        </is>
      </c>
      <c r="D2783" s="23" t="n">
        <v>0.4</v>
      </c>
      <c r="E2783" s="24" t="n">
        <v>100</v>
      </c>
      <c r="F2783" s="24">
        <f>D2783*E2783</f>
        <v/>
      </c>
      <c r="G2783" s="22" t="n"/>
    </row>
    <row r="2784">
      <c r="A2784" s="22" t="inlineStr">
        <is>
          <t>9977</t>
        </is>
      </c>
      <c r="B2784" s="11" t="inlineStr">
        <is>
          <t>Carriage of material</t>
        </is>
      </c>
      <c r="C2784" s="22" t="inlineStr">
        <is>
          <t>L.S.</t>
        </is>
      </c>
      <c r="D2784" s="23" t="n">
        <v>0.91</v>
      </c>
      <c r="E2784" s="24" t="n">
        <v>2</v>
      </c>
      <c r="F2784" s="24">
        <f>D2784*E2784</f>
        <v/>
      </c>
      <c r="G2784" s="22" t="n"/>
    </row>
    <row r="2785">
      <c r="A2785" s="22" t="inlineStr">
        <is>
          <t>0111</t>
        </is>
      </c>
      <c r="B2785" s="11" t="inlineStr">
        <is>
          <t>Carpenter 1st class</t>
        </is>
      </c>
      <c r="C2785" s="22" t="inlineStr">
        <is>
          <t>day</t>
        </is>
      </c>
      <c r="D2785" s="23" t="n">
        <v>0.1</v>
      </c>
      <c r="E2785" s="24" t="n">
        <v>738</v>
      </c>
      <c r="F2785" s="24">
        <f>D2785*E2785</f>
        <v/>
      </c>
      <c r="G2785" s="22" t="n"/>
    </row>
    <row r="2786">
      <c r="A2786" s="8" t="inlineStr">
        <is>
          <t>Calculated W - SUM of the Amount column above</t>
        </is>
      </c>
      <c r="B2786" s="9" t="n"/>
      <c r="C2786" s="9" t="n"/>
      <c r="D2786" s="9" t="n"/>
      <c r="E2786" s="9" t="n"/>
      <c r="F2786" s="25">
        <f>SUM(F2782:F2785)</f>
        <v/>
      </c>
      <c r="G2786" s="9" t="n"/>
    </row>
    <row r="2787">
      <c r="A2787" s="26" t="inlineStr">
        <is>
          <t>W as printed in the DAR</t>
        </is>
      </c>
      <c r="B2787" s="22" t="n"/>
      <c r="C2787" s="22" t="n"/>
      <c r="D2787" s="22" t="n"/>
      <c r="E2787" s="22" t="n"/>
      <c r="F2787" s="27" t="n">
        <v>1065.62</v>
      </c>
      <c r="G2787" s="22" t="n"/>
    </row>
    <row r="2788">
      <c r="A2788" s="26" t="inlineStr">
        <is>
          <t>Difference (calculated - printed)</t>
        </is>
      </c>
      <c r="B2788" s="22" t="n"/>
      <c r="C2788" s="22" t="n"/>
      <c r="D2788" s="22" t="n"/>
      <c r="E2788" s="22" t="n"/>
      <c r="F2788" s="27">
        <f>F2786-F2787</f>
        <v/>
      </c>
      <c r="G2788" s="22" t="n"/>
    </row>
    <row r="2789">
      <c r="A2789" s="29" t="inlineStr">
        <is>
          <t>SAY (Rs.) - final DAR rate as printed (fixed value, not computed)</t>
        </is>
      </c>
      <c r="B2789" s="30" t="n"/>
      <c r="C2789" s="30" t="n"/>
      <c r="D2789" s="30" t="n"/>
      <c r="E2789" s="30" t="n"/>
      <c r="F2789" s="31" t="n">
        <v>142.55</v>
      </c>
      <c r="G2789" s="30" t="n"/>
    </row>
    <row r="2791" ht="18.5" customHeight="1">
      <c r="A2791" s="8" t="inlineStr">
        <is>
          <t>9.87</t>
        </is>
      </c>
      <c r="B2791" s="17" t="inlineStr">
        <is>
          <t>Providing and fixing bright finished brass hasp and staple (safety type) with necessary screws etc. complete :</t>
        </is>
      </c>
      <c r="C2791" s="9" t="n"/>
      <c r="D2791" s="9" t="n"/>
      <c r="E2791" s="9" t="n"/>
      <c r="F2791" s="9" t="n"/>
      <c r="G2791" s="9" t="n"/>
    </row>
    <row r="2792" ht="18.5" customHeight="1">
      <c r="A2792" s="18" t="inlineStr">
        <is>
          <t>9.87.1</t>
        </is>
      </c>
      <c r="B2792" s="19" t="inlineStr">
        <is>
          <t>150 mm</t>
        </is>
      </c>
      <c r="C2792" s="20" t="n"/>
      <c r="D2792" s="20" t="n"/>
      <c r="E2792" s="20" t="n"/>
      <c r="F2792" s="20" t="n"/>
      <c r="G2792" s="20" t="n"/>
    </row>
    <row r="2793">
      <c r="A2793" s="21" t="inlineStr">
        <is>
          <t>Details of cost for 10 nos   |   Source: CivilDAR_2019_Vol_1.pdf, page 547</t>
        </is>
      </c>
    </row>
    <row r="2794">
      <c r="A2794" s="5" t="inlineStr">
        <is>
          <t>Code</t>
        </is>
      </c>
      <c r="B2794" s="5" t="inlineStr">
        <is>
          <t>Description</t>
        </is>
      </c>
      <c r="C2794" s="5" t="inlineStr">
        <is>
          <t>Unit</t>
        </is>
      </c>
      <c r="D2794" s="5" t="inlineStr">
        <is>
          <t>Quantity</t>
        </is>
      </c>
      <c r="E2794" s="5" t="inlineStr">
        <is>
          <t>Rate (Rs.)</t>
        </is>
      </c>
      <c r="F2794" s="5" t="inlineStr">
        <is>
          <t>Amount (Rs.)</t>
        </is>
      </c>
      <c r="G2794" s="5" t="inlineStr">
        <is>
          <t>Note</t>
        </is>
      </c>
    </row>
    <row r="2795">
      <c r="A2795" s="22" t="inlineStr">
        <is>
          <t>0431</t>
        </is>
      </c>
      <c r="B2795" s="11" t="inlineStr">
        <is>
          <t>Brass hasps and staples (safety type) 150 mm</t>
        </is>
      </c>
      <c r="C2795" s="22" t="inlineStr">
        <is>
          <t>10 Nos</t>
        </is>
      </c>
      <c r="D2795" s="23" t="n">
        <v>1</v>
      </c>
      <c r="E2795" s="24" t="n">
        <v>740</v>
      </c>
      <c r="F2795" s="24">
        <f>D2795*E2795</f>
        <v/>
      </c>
      <c r="G2795" s="22" t="n"/>
    </row>
    <row r="2796">
      <c r="A2796" s="22" t="inlineStr">
        <is>
          <t>0452</t>
        </is>
      </c>
      <c r="B2796" s="11" t="inlineStr">
        <is>
          <t>Brass screws 25 mm</t>
        </is>
      </c>
      <c r="C2796" s="22" t="inlineStr">
        <is>
          <t>100 Nos</t>
        </is>
      </c>
      <c r="D2796" s="23" t="n">
        <v>0.8</v>
      </c>
      <c r="E2796" s="24" t="n">
        <v>100</v>
      </c>
      <c r="F2796" s="24">
        <f>D2796*E2796</f>
        <v/>
      </c>
      <c r="G2796" s="22" t="n"/>
    </row>
    <row r="2797">
      <c r="A2797" s="22" t="inlineStr">
        <is>
          <t>9977</t>
        </is>
      </c>
      <c r="B2797" s="11" t="inlineStr">
        <is>
          <t>Carriage of material</t>
        </is>
      </c>
      <c r="C2797" s="22" t="inlineStr">
        <is>
          <t>L.S.</t>
        </is>
      </c>
      <c r="D2797" s="23" t="n">
        <v>1.82</v>
      </c>
      <c r="E2797" s="24" t="n">
        <v>2</v>
      </c>
      <c r="F2797" s="24">
        <f>D2797*E2797</f>
        <v/>
      </c>
      <c r="G2797" s="22" t="n"/>
    </row>
    <row r="2798">
      <c r="A2798" s="22" t="inlineStr">
        <is>
          <t>0111</t>
        </is>
      </c>
      <c r="B2798" s="11" t="inlineStr">
        <is>
          <t>Carpenter 1st class</t>
        </is>
      </c>
      <c r="C2798" s="22" t="inlineStr">
        <is>
          <t>day</t>
        </is>
      </c>
      <c r="D2798" s="23" t="n">
        <v>0.08</v>
      </c>
      <c r="E2798" s="24" t="n">
        <v>738</v>
      </c>
      <c r="F2798" s="24">
        <f>D2798*E2798</f>
        <v/>
      </c>
      <c r="G2798" s="22" t="n"/>
    </row>
    <row r="2799">
      <c r="A2799" s="8" t="inlineStr">
        <is>
          <t>Calculated W - SUM of the Amount column above</t>
        </is>
      </c>
      <c r="B2799" s="9" t="n"/>
      <c r="C2799" s="9" t="n"/>
      <c r="D2799" s="9" t="n"/>
      <c r="E2799" s="9" t="n"/>
      <c r="F2799" s="25">
        <f>SUM(F2795:F2798)</f>
        <v/>
      </c>
      <c r="G2799" s="9" t="n"/>
    </row>
    <row r="2800">
      <c r="A2800" s="26" t="inlineStr">
        <is>
          <t>W as printed in the DAR</t>
        </is>
      </c>
      <c r="B2800" s="22" t="n"/>
      <c r="C2800" s="22" t="n"/>
      <c r="D2800" s="22" t="n"/>
      <c r="E2800" s="22" t="n"/>
      <c r="F2800" s="27" t="n">
        <v>882.6799999999999</v>
      </c>
      <c r="G2800" s="22" t="n"/>
    </row>
    <row r="2801">
      <c r="A2801" s="26" t="inlineStr">
        <is>
          <t>Difference (calculated - printed)</t>
        </is>
      </c>
      <c r="B2801" s="22" t="n"/>
      <c r="C2801" s="22" t="n"/>
      <c r="D2801" s="22" t="n"/>
      <c r="E2801" s="22" t="n"/>
      <c r="F2801" s="27">
        <f>F2799-F2800</f>
        <v/>
      </c>
      <c r="G2801" s="22" t="n"/>
    </row>
    <row r="2802">
      <c r="A2802" s="29" t="inlineStr">
        <is>
          <t>SAY (Rs.) - final DAR rate as printed (fixed value, not computed)</t>
        </is>
      </c>
      <c r="B2802" s="30" t="n"/>
      <c r="C2802" s="30" t="n"/>
      <c r="D2802" s="30" t="n"/>
      <c r="E2802" s="30" t="n"/>
      <c r="F2802" s="31" t="n">
        <v>118.1</v>
      </c>
      <c r="G2802" s="30" t="n"/>
    </row>
    <row r="2804" ht="18.5" customHeight="1">
      <c r="A2804" s="8" t="inlineStr">
        <is>
          <t>9.87</t>
        </is>
      </c>
      <c r="B2804" s="17" t="inlineStr">
        <is>
          <t>Providing and fixing bright finished brass hasp and staple (safety type) with necessary screws etc. complete :</t>
        </is>
      </c>
      <c r="C2804" s="9" t="n"/>
      <c r="D2804" s="9" t="n"/>
      <c r="E2804" s="9" t="n"/>
      <c r="F2804" s="9" t="n"/>
      <c r="G2804" s="9" t="n"/>
    </row>
    <row r="2805" ht="18.5" customHeight="1">
      <c r="A2805" s="18" t="inlineStr">
        <is>
          <t>9.87.2</t>
        </is>
      </c>
      <c r="B2805" s="19" t="inlineStr">
        <is>
          <t>115 mm</t>
        </is>
      </c>
      <c r="C2805" s="20" t="n"/>
      <c r="D2805" s="20" t="n"/>
      <c r="E2805" s="20" t="n"/>
      <c r="F2805" s="20" t="n"/>
      <c r="G2805" s="20" t="n"/>
    </row>
    <row r="2806">
      <c r="A2806" s="21" t="inlineStr">
        <is>
          <t>Details of cost for 10 nos   |   Source: CivilDAR_2019_Vol_1.pdf, page 547</t>
        </is>
      </c>
    </row>
    <row r="2807">
      <c r="A2807" s="5" t="inlineStr">
        <is>
          <t>Code</t>
        </is>
      </c>
      <c r="B2807" s="5" t="inlineStr">
        <is>
          <t>Description</t>
        </is>
      </c>
      <c r="C2807" s="5" t="inlineStr">
        <is>
          <t>Unit</t>
        </is>
      </c>
      <c r="D2807" s="5" t="inlineStr">
        <is>
          <t>Quantity</t>
        </is>
      </c>
      <c r="E2807" s="5" t="inlineStr">
        <is>
          <t>Rate (Rs.)</t>
        </is>
      </c>
      <c r="F2807" s="5" t="inlineStr">
        <is>
          <t>Amount (Rs.)</t>
        </is>
      </c>
      <c r="G2807" s="5" t="inlineStr">
        <is>
          <t>Note</t>
        </is>
      </c>
    </row>
    <row r="2808">
      <c r="A2808" s="22" t="inlineStr">
        <is>
          <t>0432</t>
        </is>
      </c>
      <c r="B2808" s="11" t="inlineStr">
        <is>
          <t>Brass hasps and staples (safety type) 115 mm</t>
        </is>
      </c>
      <c r="C2808" s="22" t="inlineStr">
        <is>
          <t>10 Nos</t>
        </is>
      </c>
      <c r="D2808" s="23" t="n">
        <v>1</v>
      </c>
      <c r="E2808" s="24" t="n">
        <v>670</v>
      </c>
      <c r="F2808" s="24">
        <f>D2808*E2808</f>
        <v/>
      </c>
      <c r="G2808" s="22" t="n"/>
    </row>
    <row r="2809">
      <c r="A2809" s="22" t="inlineStr">
        <is>
          <t>0453</t>
        </is>
      </c>
      <c r="B2809" s="11" t="inlineStr">
        <is>
          <t>Brass screws 20 mm</t>
        </is>
      </c>
      <c r="C2809" s="22" t="inlineStr">
        <is>
          <t>100 Nos</t>
        </is>
      </c>
      <c r="D2809" s="23" t="n">
        <v>0.7</v>
      </c>
      <c r="E2809" s="24" t="n">
        <v>95</v>
      </c>
      <c r="F2809" s="24">
        <f>D2809*E2809</f>
        <v/>
      </c>
      <c r="G2809" s="22" t="n"/>
    </row>
    <row r="2810">
      <c r="A2810" s="22" t="inlineStr">
        <is>
          <t>9977</t>
        </is>
      </c>
      <c r="B2810" s="11" t="inlineStr">
        <is>
          <t>Carriage of material</t>
        </is>
      </c>
      <c r="C2810" s="22" t="inlineStr">
        <is>
          <t>L.S.</t>
        </is>
      </c>
      <c r="D2810" s="23" t="n">
        <v>1.82</v>
      </c>
      <c r="E2810" s="24" t="n">
        <v>2</v>
      </c>
      <c r="F2810" s="24">
        <f>D2810*E2810</f>
        <v/>
      </c>
      <c r="G2810" s="22" t="n"/>
    </row>
    <row r="2811">
      <c r="A2811" s="22" t="inlineStr">
        <is>
          <t>0111</t>
        </is>
      </c>
      <c r="B2811" s="11" t="inlineStr">
        <is>
          <t>Carpenter 1st class</t>
        </is>
      </c>
      <c r="C2811" s="22" t="inlineStr">
        <is>
          <t>day</t>
        </is>
      </c>
      <c r="D2811" s="23" t="n">
        <v>0.08</v>
      </c>
      <c r="E2811" s="24" t="n">
        <v>738</v>
      </c>
      <c r="F2811" s="24">
        <f>D2811*E2811</f>
        <v/>
      </c>
      <c r="G2811" s="22" t="n"/>
    </row>
    <row r="2812">
      <c r="A2812" s="8" t="inlineStr">
        <is>
          <t>Calculated W - SUM of the Amount column above</t>
        </is>
      </c>
      <c r="B2812" s="9" t="n"/>
      <c r="C2812" s="9" t="n"/>
      <c r="D2812" s="9" t="n"/>
      <c r="E2812" s="9" t="n"/>
      <c r="F2812" s="25">
        <f>SUM(F2808:F2811)</f>
        <v/>
      </c>
      <c r="G2812" s="9" t="n"/>
    </row>
    <row r="2813">
      <c r="A2813" s="26" t="inlineStr">
        <is>
          <t>W as printed in the DAR</t>
        </is>
      </c>
      <c r="B2813" s="22" t="n"/>
      <c r="C2813" s="22" t="n"/>
      <c r="D2813" s="22" t="n"/>
      <c r="E2813" s="22" t="n"/>
      <c r="F2813" s="27" t="n">
        <v>799.1799999999999</v>
      </c>
      <c r="G2813" s="22" t="n"/>
    </row>
    <row r="2814">
      <c r="A2814" s="26" t="inlineStr">
        <is>
          <t>Difference (calculated - printed)</t>
        </is>
      </c>
      <c r="B2814" s="22" t="n"/>
      <c r="C2814" s="22" t="n"/>
      <c r="D2814" s="22" t="n"/>
      <c r="E2814" s="22" t="n"/>
      <c r="F2814" s="27">
        <f>F2812-F2813</f>
        <v/>
      </c>
      <c r="G2814" s="22" t="n"/>
    </row>
    <row r="2815">
      <c r="A2815" s="29" t="inlineStr">
        <is>
          <t>SAY (Rs.) - final DAR rate as printed (fixed value, not computed)</t>
        </is>
      </c>
      <c r="B2815" s="30" t="n"/>
      <c r="C2815" s="30" t="n"/>
      <c r="D2815" s="30" t="n"/>
      <c r="E2815" s="30" t="n"/>
      <c r="F2815" s="31" t="n">
        <v>106.95</v>
      </c>
      <c r="G2815" s="30" t="n"/>
    </row>
    <row r="2817" ht="18.5" customHeight="1">
      <c r="A2817" s="8" t="inlineStr">
        <is>
          <t>9.87</t>
        </is>
      </c>
      <c r="B2817" s="17" t="inlineStr">
        <is>
          <t>Providing and fixing bright finished brass hasp and staple (safety type) with necessary screws etc. complete :</t>
        </is>
      </c>
      <c r="C2817" s="9" t="n"/>
      <c r="D2817" s="9" t="n"/>
      <c r="E2817" s="9" t="n"/>
      <c r="F2817" s="9" t="n"/>
      <c r="G2817" s="9" t="n"/>
    </row>
    <row r="2818" ht="18.5" customHeight="1">
      <c r="A2818" s="18" t="inlineStr">
        <is>
          <t>9.87.3</t>
        </is>
      </c>
      <c r="B2818" s="19" t="inlineStr">
        <is>
          <t>90 mm</t>
        </is>
      </c>
      <c r="C2818" s="20" t="n"/>
      <c r="D2818" s="20" t="n"/>
      <c r="E2818" s="20" t="n"/>
      <c r="F2818" s="20" t="n"/>
      <c r="G2818" s="20" t="n"/>
    </row>
    <row r="2819">
      <c r="A2819" s="21" t="inlineStr">
        <is>
          <t>Details of cost for 10 nos   |   Source: CivilDAR_2019_Vol_1.pdf, page 548</t>
        </is>
      </c>
    </row>
    <row r="2820">
      <c r="A2820" s="5" t="inlineStr">
        <is>
          <t>Code</t>
        </is>
      </c>
      <c r="B2820" s="5" t="inlineStr">
        <is>
          <t>Description</t>
        </is>
      </c>
      <c r="C2820" s="5" t="inlineStr">
        <is>
          <t>Unit</t>
        </is>
      </c>
      <c r="D2820" s="5" t="inlineStr">
        <is>
          <t>Quantity</t>
        </is>
      </c>
      <c r="E2820" s="5" t="inlineStr">
        <is>
          <t>Rate (Rs.)</t>
        </is>
      </c>
      <c r="F2820" s="5" t="inlineStr">
        <is>
          <t>Amount (Rs.)</t>
        </is>
      </c>
      <c r="G2820" s="5" t="inlineStr">
        <is>
          <t>Note</t>
        </is>
      </c>
    </row>
    <row r="2821">
      <c r="A2821" s="22" t="inlineStr">
        <is>
          <t>0433</t>
        </is>
      </c>
      <c r="B2821" s="11" t="inlineStr">
        <is>
          <t>Brass hasps and staples (safety type) 90 mm</t>
        </is>
      </c>
      <c r="C2821" s="22" t="inlineStr">
        <is>
          <t>10 Nos</t>
        </is>
      </c>
      <c r="D2821" s="23" t="n">
        <v>1</v>
      </c>
      <c r="E2821" s="24" t="n">
        <v>575</v>
      </c>
      <c r="F2821" s="24">
        <f>D2821*E2821</f>
        <v/>
      </c>
      <c r="G2821" s="22" t="n"/>
    </row>
    <row r="2822">
      <c r="A2822" s="22" t="inlineStr">
        <is>
          <t>0453</t>
        </is>
      </c>
      <c r="B2822" s="11" t="inlineStr">
        <is>
          <t>Brass screws 20 mm</t>
        </is>
      </c>
      <c r="C2822" s="22" t="inlineStr">
        <is>
          <t>100 Nos</t>
        </is>
      </c>
      <c r="D2822" s="23" t="n">
        <v>0.7</v>
      </c>
      <c r="E2822" s="24" t="n">
        <v>95</v>
      </c>
      <c r="F2822" s="24">
        <f>D2822*E2822</f>
        <v/>
      </c>
      <c r="G2822" s="22" t="n"/>
    </row>
    <row r="2823">
      <c r="A2823" s="22" t="inlineStr">
        <is>
          <t>9977</t>
        </is>
      </c>
      <c r="B2823" s="11" t="inlineStr">
        <is>
          <t>Carriage of material</t>
        </is>
      </c>
      <c r="C2823" s="22" t="inlineStr">
        <is>
          <t>L.S.</t>
        </is>
      </c>
      <c r="D2823" s="23" t="n">
        <v>1.82</v>
      </c>
      <c r="E2823" s="24" t="n">
        <v>2</v>
      </c>
      <c r="F2823" s="24">
        <f>D2823*E2823</f>
        <v/>
      </c>
      <c r="G2823" s="22" t="n"/>
    </row>
    <row r="2824">
      <c r="A2824" s="22" t="inlineStr">
        <is>
          <t>0111</t>
        </is>
      </c>
      <c r="B2824" s="11" t="inlineStr">
        <is>
          <t>Carpenter 1st class</t>
        </is>
      </c>
      <c r="C2824" s="22" t="inlineStr">
        <is>
          <t>day</t>
        </is>
      </c>
      <c r="D2824" s="23" t="n">
        <v>0.08</v>
      </c>
      <c r="E2824" s="24" t="n">
        <v>738</v>
      </c>
      <c r="F2824" s="24">
        <f>D2824*E2824</f>
        <v/>
      </c>
      <c r="G2824" s="22" t="n"/>
    </row>
    <row r="2825">
      <c r="A2825" s="8" t="inlineStr">
        <is>
          <t>Calculated W - SUM of the Amount column above</t>
        </is>
      </c>
      <c r="B2825" s="9" t="n"/>
      <c r="C2825" s="9" t="n"/>
      <c r="D2825" s="9" t="n"/>
      <c r="E2825" s="9" t="n"/>
      <c r="F2825" s="25">
        <f>SUM(F2821:F2824)</f>
        <v/>
      </c>
      <c r="G2825" s="9" t="n"/>
    </row>
    <row r="2826">
      <c r="A2826" s="26" t="inlineStr">
        <is>
          <t>W as printed in the DAR</t>
        </is>
      </c>
      <c r="B2826" s="22" t="n"/>
      <c r="C2826" s="22" t="n"/>
      <c r="D2826" s="22" t="n"/>
      <c r="E2826" s="22" t="n"/>
      <c r="F2826" s="27" t="n">
        <v>704.1799999999999</v>
      </c>
      <c r="G2826" s="22" t="n"/>
    </row>
    <row r="2827">
      <c r="A2827" s="26" t="inlineStr">
        <is>
          <t>Difference (calculated - printed)</t>
        </is>
      </c>
      <c r="B2827" s="22" t="n"/>
      <c r="C2827" s="22" t="n"/>
      <c r="D2827" s="22" t="n"/>
      <c r="E2827" s="22" t="n"/>
      <c r="F2827" s="27">
        <f>F2825-F2826</f>
        <v/>
      </c>
      <c r="G2827" s="22" t="n"/>
    </row>
    <row r="2828">
      <c r="A2828" s="29" t="inlineStr">
        <is>
          <t>SAY (Rs.) - final DAR rate as printed (fixed value, not computed)</t>
        </is>
      </c>
      <c r="B2828" s="30" t="n"/>
      <c r="C2828" s="30" t="n"/>
      <c r="D2828" s="30" t="n"/>
      <c r="E2828" s="30" t="n"/>
      <c r="F2828" s="31" t="n">
        <v>94.2</v>
      </c>
      <c r="G2828" s="30" t="n"/>
    </row>
    <row r="2830" ht="33" customHeight="1">
      <c r="A2830" s="18" t="inlineStr">
        <is>
          <t>9.88</t>
        </is>
      </c>
      <c r="B2830" s="19" t="inlineStr">
        <is>
          <t>Providing and fixing chromium plated brass 100 mm mortice latch and lock with 6 levers and a pair of lever handles of approved quality with necessary screws etc. complete.</t>
        </is>
      </c>
      <c r="C2830" s="20" t="n"/>
      <c r="D2830" s="20" t="n"/>
      <c r="E2830" s="20" t="n"/>
      <c r="F2830" s="20" t="n"/>
      <c r="G2830" s="20" t="n"/>
    </row>
    <row r="2831">
      <c r="A2831" s="21" t="inlineStr">
        <is>
          <t>Details of cost for 1 no   |   Source: CivilDAR_2019_Vol_1.pdf, page 548</t>
        </is>
      </c>
    </row>
    <row r="2832">
      <c r="A2832" s="5" t="inlineStr">
        <is>
          <t>Code</t>
        </is>
      </c>
      <c r="B2832" s="5" t="inlineStr">
        <is>
          <t>Description</t>
        </is>
      </c>
      <c r="C2832" s="5" t="inlineStr">
        <is>
          <t>Unit</t>
        </is>
      </c>
      <c r="D2832" s="5" t="inlineStr">
        <is>
          <t>Quantity</t>
        </is>
      </c>
      <c r="E2832" s="5" t="inlineStr">
        <is>
          <t>Rate (Rs.)</t>
        </is>
      </c>
      <c r="F2832" s="5" t="inlineStr">
        <is>
          <t>Amount (Rs.)</t>
        </is>
      </c>
      <c r="G2832" s="5" t="inlineStr">
        <is>
          <t>Note</t>
        </is>
      </c>
    </row>
    <row r="2833">
      <c r="A2833" s="22" t="inlineStr">
        <is>
          <t>0558</t>
        </is>
      </c>
      <c r="B2833" s="11" t="inlineStr">
        <is>
          <t>Chromium plated Brass mortice latch and lock 100x65 mm with6 levers and a pair of brass lever handles</t>
        </is>
      </c>
      <c r="C2833" s="22" t="inlineStr">
        <is>
          <t>each</t>
        </is>
      </c>
      <c r="D2833" s="23" t="n">
        <v>1</v>
      </c>
      <c r="E2833" s="24" t="n">
        <v>470</v>
      </c>
      <c r="F2833" s="24">
        <f>D2833*E2833</f>
        <v/>
      </c>
      <c r="G2833" s="22" t="n"/>
    </row>
    <row r="2834">
      <c r="A2834" s="22" t="inlineStr">
        <is>
          <t>0111</t>
        </is>
      </c>
      <c r="B2834" s="11" t="inlineStr">
        <is>
          <t>Carpenter 1st class</t>
        </is>
      </c>
      <c r="C2834" s="22" t="inlineStr">
        <is>
          <t>day</t>
        </is>
      </c>
      <c r="D2834" s="23" t="n">
        <v>0.17</v>
      </c>
      <c r="E2834" s="24" t="n">
        <v>738</v>
      </c>
      <c r="F2834" s="24">
        <f>D2834*E2834</f>
        <v/>
      </c>
      <c r="G2834" s="22" t="n"/>
    </row>
    <row r="2835">
      <c r="A2835" s="22" t="inlineStr">
        <is>
          <t>9999</t>
        </is>
      </c>
      <c r="B2835" s="11" t="inlineStr">
        <is>
          <t>Sundries (screws, carriage etc.)</t>
        </is>
      </c>
      <c r="C2835" s="22" t="inlineStr">
        <is>
          <t>L.S.</t>
        </is>
      </c>
      <c r="D2835" s="23" t="n">
        <v>3.64</v>
      </c>
      <c r="E2835" s="24" t="n">
        <v>2</v>
      </c>
      <c r="F2835" s="24">
        <f>D2835*E2835</f>
        <v/>
      </c>
      <c r="G2835" s="22" t="n"/>
    </row>
    <row r="2836">
      <c r="A2836" s="8" t="inlineStr">
        <is>
          <t>Calculated W - SUM of the Amount column above</t>
        </is>
      </c>
      <c r="B2836" s="9" t="n"/>
      <c r="C2836" s="9" t="n"/>
      <c r="D2836" s="9" t="n"/>
      <c r="E2836" s="9" t="n"/>
      <c r="F2836" s="25">
        <f>SUM(F2833:F2835)</f>
        <v/>
      </c>
      <c r="G2836" s="9" t="n"/>
    </row>
    <row r="2837">
      <c r="A2837" s="26" t="inlineStr">
        <is>
          <t>W as printed in the DAR</t>
        </is>
      </c>
      <c r="B2837" s="22" t="n"/>
      <c r="C2837" s="22" t="n"/>
      <c r="D2837" s="22" t="n"/>
      <c r="E2837" s="22" t="n"/>
      <c r="F2837" s="27" t="n">
        <v>602.74</v>
      </c>
      <c r="G2837" s="22" t="n"/>
    </row>
    <row r="2838">
      <c r="A2838" s="26" t="inlineStr">
        <is>
          <t>Difference (calculated - printed)</t>
        </is>
      </c>
      <c r="B2838" s="22" t="n"/>
      <c r="C2838" s="22" t="n"/>
      <c r="D2838" s="22" t="n"/>
      <c r="E2838" s="22" t="n"/>
      <c r="F2838" s="27">
        <f>F2836-F2837</f>
        <v/>
      </c>
      <c r="G2838" s="22" t="n"/>
    </row>
    <row r="2839">
      <c r="A2839" s="29" t="inlineStr">
        <is>
          <t>SAY (Rs.) - final DAR rate as printed (fixed value, not computed)</t>
        </is>
      </c>
      <c r="B2839" s="30" t="n"/>
      <c r="C2839" s="30" t="n"/>
      <c r="D2839" s="30" t="n"/>
      <c r="E2839" s="30" t="n"/>
      <c r="F2839" s="31" t="n">
        <v>806.45</v>
      </c>
      <c r="G2839" s="30" t="n"/>
    </row>
    <row r="2841" ht="18.5" customHeight="1">
      <c r="A2841" s="18" t="inlineStr">
        <is>
          <t>9.89</t>
        </is>
      </c>
      <c r="B2841" s="19" t="inlineStr">
        <is>
          <t>Providing and fixing chromium plated brass night latch of approved quality including necessary screws etc. complete.</t>
        </is>
      </c>
      <c r="C2841" s="20" t="n"/>
      <c r="D2841" s="20" t="n"/>
      <c r="E2841" s="20" t="n"/>
      <c r="F2841" s="20" t="n"/>
      <c r="G2841" s="20" t="n"/>
    </row>
    <row r="2842">
      <c r="A2842" s="21" t="inlineStr">
        <is>
          <t>Details of cost for 1 no   |   Source: CivilDAR_2019_Vol_1.pdf, page 549</t>
        </is>
      </c>
    </row>
    <row r="2843">
      <c r="A2843" s="5" t="inlineStr">
        <is>
          <t>Code</t>
        </is>
      </c>
      <c r="B2843" s="5" t="inlineStr">
        <is>
          <t>Description</t>
        </is>
      </c>
      <c r="C2843" s="5" t="inlineStr">
        <is>
          <t>Unit</t>
        </is>
      </c>
      <c r="D2843" s="5" t="inlineStr">
        <is>
          <t>Quantity</t>
        </is>
      </c>
      <c r="E2843" s="5" t="inlineStr">
        <is>
          <t>Rate (Rs.)</t>
        </is>
      </c>
      <c r="F2843" s="5" t="inlineStr">
        <is>
          <t>Amount (Rs.)</t>
        </is>
      </c>
      <c r="G2843" s="5" t="inlineStr">
        <is>
          <t>Note</t>
        </is>
      </c>
    </row>
    <row r="2844">
      <c r="A2844" s="22" t="inlineStr">
        <is>
          <t>0583</t>
        </is>
      </c>
      <c r="B2844" s="11" t="inlineStr">
        <is>
          <t>Chromium plated Brass Night latch</t>
        </is>
      </c>
      <c r="C2844" s="22" t="inlineStr">
        <is>
          <t>each</t>
        </is>
      </c>
      <c r="D2844" s="23" t="n">
        <v>1</v>
      </c>
      <c r="E2844" s="24" t="n">
        <v>500</v>
      </c>
      <c r="F2844" s="24">
        <f>D2844*E2844</f>
        <v/>
      </c>
      <c r="G2844" s="22" t="n"/>
    </row>
    <row r="2845">
      <c r="A2845" s="22" t="inlineStr">
        <is>
          <t>0111</t>
        </is>
      </c>
      <c r="B2845" s="11" t="inlineStr">
        <is>
          <t>Carpenter 1st class</t>
        </is>
      </c>
      <c r="C2845" s="22" t="inlineStr">
        <is>
          <t>day</t>
        </is>
      </c>
      <c r="D2845" s="23" t="n">
        <v>0.17</v>
      </c>
      <c r="E2845" s="24" t="n">
        <v>738</v>
      </c>
      <c r="F2845" s="24">
        <f>D2845*E2845</f>
        <v/>
      </c>
      <c r="G2845" s="22" t="n"/>
    </row>
    <row r="2846">
      <c r="A2846" s="22" t="inlineStr">
        <is>
          <t>9999</t>
        </is>
      </c>
      <c r="B2846" s="11" t="inlineStr">
        <is>
          <t>Sundries (screws, carriage etc.)</t>
        </is>
      </c>
      <c r="C2846" s="22" t="inlineStr">
        <is>
          <t>L.S.</t>
        </is>
      </c>
      <c r="D2846" s="23" t="n">
        <v>3.64</v>
      </c>
      <c r="E2846" s="24" t="n">
        <v>2</v>
      </c>
      <c r="F2846" s="24">
        <f>D2846*E2846</f>
        <v/>
      </c>
      <c r="G2846" s="22" t="n"/>
    </row>
    <row r="2847">
      <c r="A2847" s="8" t="inlineStr">
        <is>
          <t>Calculated W - SUM of the Amount column above</t>
        </is>
      </c>
      <c r="B2847" s="9" t="n"/>
      <c r="C2847" s="9" t="n"/>
      <c r="D2847" s="9" t="n"/>
      <c r="E2847" s="9" t="n"/>
      <c r="F2847" s="25">
        <f>SUM(F2844:F2846)</f>
        <v/>
      </c>
      <c r="G2847" s="9" t="n"/>
    </row>
    <row r="2848">
      <c r="A2848" s="26" t="inlineStr">
        <is>
          <t>W as printed in the DAR</t>
        </is>
      </c>
      <c r="B2848" s="22" t="n"/>
      <c r="C2848" s="22" t="n"/>
      <c r="D2848" s="22" t="n"/>
      <c r="E2848" s="22" t="n"/>
      <c r="F2848" s="27" t="n">
        <v>632.74</v>
      </c>
      <c r="G2848" s="22" t="n"/>
    </row>
    <row r="2849">
      <c r="A2849" s="26" t="inlineStr">
        <is>
          <t>Difference (calculated - printed)</t>
        </is>
      </c>
      <c r="B2849" s="22" t="n"/>
      <c r="C2849" s="22" t="n"/>
      <c r="D2849" s="22" t="n"/>
      <c r="E2849" s="22" t="n"/>
      <c r="F2849" s="27">
        <f>F2847-F2848</f>
        <v/>
      </c>
      <c r="G2849" s="22" t="n"/>
    </row>
    <row r="2850">
      <c r="A2850" s="29" t="inlineStr">
        <is>
          <t>SAY (Rs.) - final DAR rate as printed (fixed value, not computed)</t>
        </is>
      </c>
      <c r="B2850" s="30" t="n"/>
      <c r="C2850" s="30" t="n"/>
      <c r="D2850" s="30" t="n"/>
      <c r="E2850" s="30" t="n"/>
      <c r="F2850" s="31" t="n">
        <v>846.55</v>
      </c>
      <c r="G2850" s="30" t="n"/>
    </row>
    <row r="2852" ht="33" customHeight="1">
      <c r="A2852" s="8" t="inlineStr">
        <is>
          <t>9.90</t>
        </is>
      </c>
      <c r="B2852" s="17" t="inlineStr">
        <is>
          <t>Providing and fixing special quality chromium plated brass cupboard locks with six levers of approved quality including necessary screws etc. complete.</t>
        </is>
      </c>
      <c r="C2852" s="9" t="n"/>
      <c r="D2852" s="9" t="n"/>
      <c r="E2852" s="9" t="n"/>
      <c r="F2852" s="9" t="n"/>
      <c r="G2852" s="9" t="n"/>
    </row>
    <row r="2853" ht="18.5" customHeight="1">
      <c r="A2853" s="18" t="inlineStr">
        <is>
          <t>9.90.1</t>
        </is>
      </c>
      <c r="B2853" s="19" t="inlineStr">
        <is>
          <t>Size 40 mm</t>
        </is>
      </c>
      <c r="C2853" s="20" t="n"/>
      <c r="D2853" s="20" t="n"/>
      <c r="E2853" s="20" t="n"/>
      <c r="F2853" s="20" t="n"/>
      <c r="G2853" s="20" t="n"/>
    </row>
    <row r="2854">
      <c r="A2854" s="21" t="inlineStr">
        <is>
          <t>Details of cost for 1 no   |   Source: CivilDAR_2019_Vol_1.pdf, page 549</t>
        </is>
      </c>
    </row>
    <row r="2855">
      <c r="A2855" s="5" t="inlineStr">
        <is>
          <t>Code</t>
        </is>
      </c>
      <c r="B2855" s="5" t="inlineStr">
        <is>
          <t>Description</t>
        </is>
      </c>
      <c r="C2855" s="5" t="inlineStr">
        <is>
          <t>Unit</t>
        </is>
      </c>
      <c r="D2855" s="5" t="inlineStr">
        <is>
          <t>Quantity</t>
        </is>
      </c>
      <c r="E2855" s="5" t="inlineStr">
        <is>
          <t>Rate (Rs.)</t>
        </is>
      </c>
      <c r="F2855" s="5" t="inlineStr">
        <is>
          <t>Amount (Rs.)</t>
        </is>
      </c>
      <c r="G2855" s="5" t="inlineStr">
        <is>
          <t>Note</t>
        </is>
      </c>
    </row>
    <row r="2856">
      <c r="A2856" s="22" t="inlineStr">
        <is>
          <t>2468</t>
        </is>
      </c>
      <c r="B2856" s="11" t="inlineStr">
        <is>
          <t>Nickled Chromium Brass cupboard lock 40 mm size</t>
        </is>
      </c>
      <c r="C2856" s="22" t="inlineStr">
        <is>
          <t>each</t>
        </is>
      </c>
      <c r="D2856" s="23" t="n">
        <v>1</v>
      </c>
      <c r="E2856" s="24" t="n">
        <v>60</v>
      </c>
      <c r="F2856" s="24">
        <f>D2856*E2856</f>
        <v/>
      </c>
      <c r="G2856" s="22" t="n"/>
    </row>
    <row r="2857">
      <c r="A2857" s="22" t="inlineStr">
        <is>
          <t>0111</t>
        </is>
      </c>
      <c r="B2857" s="11" t="inlineStr">
        <is>
          <t>Carpenter 1st class</t>
        </is>
      </c>
      <c r="C2857" s="22" t="inlineStr">
        <is>
          <t>day</t>
        </is>
      </c>
      <c r="D2857" s="23" t="n">
        <v>0.17</v>
      </c>
      <c r="E2857" s="24" t="n">
        <v>738</v>
      </c>
      <c r="F2857" s="24">
        <f>D2857*E2857</f>
        <v/>
      </c>
      <c r="G2857" s="22" t="n"/>
    </row>
    <row r="2858">
      <c r="A2858" s="22" t="inlineStr">
        <is>
          <t>9999</t>
        </is>
      </c>
      <c r="B2858" s="11" t="inlineStr">
        <is>
          <t>Sundries &amp; screws</t>
        </is>
      </c>
      <c r="C2858" s="22" t="inlineStr">
        <is>
          <t>L.S.</t>
        </is>
      </c>
      <c r="D2858" s="23" t="n">
        <v>3.64</v>
      </c>
      <c r="E2858" s="24" t="n">
        <v>2</v>
      </c>
      <c r="F2858" s="24">
        <f>D2858*E2858</f>
        <v/>
      </c>
      <c r="G2858" s="22" t="n"/>
    </row>
    <row r="2859">
      <c r="A2859" s="8" t="inlineStr">
        <is>
          <t>Calculated W - SUM of the Amount column above</t>
        </is>
      </c>
      <c r="B2859" s="9" t="n"/>
      <c r="C2859" s="9" t="n"/>
      <c r="D2859" s="9" t="n"/>
      <c r="E2859" s="9" t="n"/>
      <c r="F2859" s="25">
        <f>SUM(F2856:F2858)</f>
        <v/>
      </c>
      <c r="G2859" s="9" t="n"/>
    </row>
    <row r="2860">
      <c r="A2860" s="26" t="inlineStr">
        <is>
          <t>W as printed in the DAR</t>
        </is>
      </c>
      <c r="B2860" s="22" t="n"/>
      <c r="C2860" s="22" t="n"/>
      <c r="D2860" s="22" t="n"/>
      <c r="E2860" s="22" t="n"/>
      <c r="F2860" s="27" t="n">
        <v>192.74</v>
      </c>
      <c r="G2860" s="22" t="n"/>
    </row>
    <row r="2861">
      <c r="A2861" s="26" t="inlineStr">
        <is>
          <t>Difference (calculated - printed)</t>
        </is>
      </c>
      <c r="B2861" s="22" t="n"/>
      <c r="C2861" s="22" t="n"/>
      <c r="D2861" s="22" t="n"/>
      <c r="E2861" s="22" t="n"/>
      <c r="F2861" s="27">
        <f>F2859-F2860</f>
        <v/>
      </c>
      <c r="G2861" s="22" t="n"/>
    </row>
    <row r="2862">
      <c r="A2862" s="29" t="inlineStr">
        <is>
          <t>SAY (Rs.) - final DAR rate as printed (fixed value, not computed)</t>
        </is>
      </c>
      <c r="B2862" s="30" t="n"/>
      <c r="C2862" s="30" t="n"/>
      <c r="D2862" s="30" t="n"/>
      <c r="E2862" s="30" t="n"/>
      <c r="F2862" s="31" t="n">
        <v>257.85</v>
      </c>
      <c r="G2862" s="30" t="n"/>
    </row>
    <row r="2864" ht="33" customHeight="1">
      <c r="A2864" s="8" t="inlineStr">
        <is>
          <t>9.90</t>
        </is>
      </c>
      <c r="B2864" s="17" t="inlineStr">
        <is>
          <t>Providing and fixing special quality chromium plated brass cupboard locks with six levers of approved quality including necessary screws etc. complete.</t>
        </is>
      </c>
      <c r="C2864" s="9" t="n"/>
      <c r="D2864" s="9" t="n"/>
      <c r="E2864" s="9" t="n"/>
      <c r="F2864" s="9" t="n"/>
      <c r="G2864" s="9" t="n"/>
    </row>
    <row r="2865" ht="18.5" customHeight="1">
      <c r="A2865" s="18" t="inlineStr">
        <is>
          <t>9.90.2</t>
        </is>
      </c>
      <c r="B2865" s="19" t="inlineStr">
        <is>
          <t>Size 50 mm</t>
        </is>
      </c>
      <c r="C2865" s="20" t="n"/>
      <c r="D2865" s="20" t="n"/>
      <c r="E2865" s="20" t="n"/>
      <c r="F2865" s="20" t="n"/>
      <c r="G2865" s="20" t="n"/>
    </row>
    <row r="2866">
      <c r="A2866" s="21" t="inlineStr">
        <is>
          <t>Details of cost for 1 no   |   Source: CivilDAR_2019_Vol_1.pdf, page 549</t>
        </is>
      </c>
    </row>
    <row r="2867">
      <c r="A2867" s="5" t="inlineStr">
        <is>
          <t>Code</t>
        </is>
      </c>
      <c r="B2867" s="5" t="inlineStr">
        <is>
          <t>Description</t>
        </is>
      </c>
      <c r="C2867" s="5" t="inlineStr">
        <is>
          <t>Unit</t>
        </is>
      </c>
      <c r="D2867" s="5" t="inlineStr">
        <is>
          <t>Quantity</t>
        </is>
      </c>
      <c r="E2867" s="5" t="inlineStr">
        <is>
          <t>Rate (Rs.)</t>
        </is>
      </c>
      <c r="F2867" s="5" t="inlineStr">
        <is>
          <t>Amount (Rs.)</t>
        </is>
      </c>
      <c r="G2867" s="5" t="inlineStr">
        <is>
          <t>Note</t>
        </is>
      </c>
    </row>
    <row r="2868">
      <c r="A2868" s="22" t="inlineStr">
        <is>
          <t>2469</t>
        </is>
      </c>
      <c r="B2868" s="11" t="inlineStr">
        <is>
          <t>Nickled Chromium Brass cupboard lock 50 mm size</t>
        </is>
      </c>
      <c r="C2868" s="22" t="inlineStr">
        <is>
          <t>each</t>
        </is>
      </c>
      <c r="D2868" s="23" t="n">
        <v>1</v>
      </c>
      <c r="E2868" s="24" t="n">
        <v>70</v>
      </c>
      <c r="F2868" s="24">
        <f>D2868*E2868</f>
        <v/>
      </c>
      <c r="G2868" s="22" t="n"/>
    </row>
    <row r="2869">
      <c r="A2869" s="22" t="inlineStr">
        <is>
          <t>0111</t>
        </is>
      </c>
      <c r="B2869" s="11" t="inlineStr">
        <is>
          <t>Carpenter 1st class</t>
        </is>
      </c>
      <c r="C2869" s="22" t="inlineStr">
        <is>
          <t>day</t>
        </is>
      </c>
      <c r="D2869" s="23" t="n">
        <v>0.17</v>
      </c>
      <c r="E2869" s="24" t="n">
        <v>738</v>
      </c>
      <c r="F2869" s="24">
        <f>D2869*E2869</f>
        <v/>
      </c>
      <c r="G2869" s="22" t="n"/>
    </row>
    <row r="2870">
      <c r="A2870" s="22" t="inlineStr">
        <is>
          <t>9999</t>
        </is>
      </c>
      <c r="B2870" s="11" t="inlineStr">
        <is>
          <t>Sundries &amp; screws</t>
        </is>
      </c>
      <c r="C2870" s="22" t="inlineStr">
        <is>
          <t>L.S.</t>
        </is>
      </c>
      <c r="D2870" s="23" t="n">
        <v>3.64</v>
      </c>
      <c r="E2870" s="24" t="n">
        <v>2</v>
      </c>
      <c r="F2870" s="24">
        <f>D2870*E2870</f>
        <v/>
      </c>
      <c r="G2870" s="22" t="n"/>
    </row>
    <row r="2871">
      <c r="A2871" s="8" t="inlineStr">
        <is>
          <t>Calculated W - SUM of the Amount column above</t>
        </is>
      </c>
      <c r="B2871" s="9" t="n"/>
      <c r="C2871" s="9" t="n"/>
      <c r="D2871" s="9" t="n"/>
      <c r="E2871" s="9" t="n"/>
      <c r="F2871" s="25">
        <f>SUM(F2868:F2870)</f>
        <v/>
      </c>
      <c r="G2871" s="9" t="n"/>
    </row>
    <row r="2872">
      <c r="A2872" s="26" t="inlineStr">
        <is>
          <t>W as printed in the DAR</t>
        </is>
      </c>
      <c r="B2872" s="22" t="n"/>
      <c r="C2872" s="22" t="n"/>
      <c r="D2872" s="22" t="n"/>
      <c r="E2872" s="22" t="n"/>
      <c r="F2872" s="27" t="n">
        <v>202.74</v>
      </c>
      <c r="G2872" s="22" t="n"/>
    </row>
    <row r="2873">
      <c r="A2873" s="26" t="inlineStr">
        <is>
          <t>Difference (calculated - printed)</t>
        </is>
      </c>
      <c r="B2873" s="22" t="n"/>
      <c r="C2873" s="22" t="n"/>
      <c r="D2873" s="22" t="n"/>
      <c r="E2873" s="22" t="n"/>
      <c r="F2873" s="27">
        <f>F2871-F2872</f>
        <v/>
      </c>
      <c r="G2873" s="22" t="n"/>
    </row>
    <row r="2874">
      <c r="A2874" s="29" t="inlineStr">
        <is>
          <t>SAY (Rs.) - final DAR rate as printed (fixed value, not computed)</t>
        </is>
      </c>
      <c r="B2874" s="30" t="n"/>
      <c r="C2874" s="30" t="n"/>
      <c r="D2874" s="30" t="n"/>
      <c r="E2874" s="30" t="n"/>
      <c r="F2874" s="31" t="n">
        <v>271.25</v>
      </c>
      <c r="G2874" s="30" t="n"/>
    </row>
    <row r="2876" ht="33" customHeight="1">
      <c r="A2876" s="8" t="inlineStr">
        <is>
          <t>9.90</t>
        </is>
      </c>
      <c r="B2876" s="17" t="inlineStr">
        <is>
          <t>Providing and fixing special quality chromium plated brass cupboard locks with six levers of approved quality including necessary screws etc. complete.</t>
        </is>
      </c>
      <c r="C2876" s="9" t="n"/>
      <c r="D2876" s="9" t="n"/>
      <c r="E2876" s="9" t="n"/>
      <c r="F2876" s="9" t="n"/>
      <c r="G2876" s="9" t="n"/>
    </row>
    <row r="2877" ht="18.5" customHeight="1">
      <c r="A2877" s="18" t="inlineStr">
        <is>
          <t>9.90.3</t>
        </is>
      </c>
      <c r="B2877" s="19" t="inlineStr">
        <is>
          <t>Size 65 mm</t>
        </is>
      </c>
      <c r="C2877" s="20" t="n"/>
      <c r="D2877" s="20" t="n"/>
      <c r="E2877" s="20" t="n"/>
      <c r="F2877" s="20" t="n"/>
      <c r="G2877" s="20" t="n"/>
    </row>
    <row r="2878">
      <c r="A2878" s="21" t="inlineStr">
        <is>
          <t>Details of cost for 1 no   |   Source: CivilDAR_2019_Vol_1.pdf, page 550</t>
        </is>
      </c>
    </row>
    <row r="2879">
      <c r="A2879" s="5" t="inlineStr">
        <is>
          <t>Code</t>
        </is>
      </c>
      <c r="B2879" s="5" t="inlineStr">
        <is>
          <t>Description</t>
        </is>
      </c>
      <c r="C2879" s="5" t="inlineStr">
        <is>
          <t>Unit</t>
        </is>
      </c>
      <c r="D2879" s="5" t="inlineStr">
        <is>
          <t>Quantity</t>
        </is>
      </c>
      <c r="E2879" s="5" t="inlineStr">
        <is>
          <t>Rate (Rs.)</t>
        </is>
      </c>
      <c r="F2879" s="5" t="inlineStr">
        <is>
          <t>Amount (Rs.)</t>
        </is>
      </c>
      <c r="G2879" s="5" t="inlineStr">
        <is>
          <t>Note</t>
        </is>
      </c>
    </row>
    <row r="2880">
      <c r="A2880" s="22" t="inlineStr">
        <is>
          <t>2470</t>
        </is>
      </c>
      <c r="B2880" s="11" t="inlineStr">
        <is>
          <t>Nickled Chromium Brass cupboard lock 65 mm size</t>
        </is>
      </c>
      <c r="C2880" s="22" t="inlineStr">
        <is>
          <t>each</t>
        </is>
      </c>
      <c r="D2880" s="23" t="n">
        <v>1</v>
      </c>
      <c r="E2880" s="24" t="n">
        <v>95</v>
      </c>
      <c r="F2880" s="24">
        <f>D2880*E2880</f>
        <v/>
      </c>
      <c r="G2880" s="22" t="n"/>
    </row>
    <row r="2881">
      <c r="A2881" s="22" t="inlineStr">
        <is>
          <t>0111</t>
        </is>
      </c>
      <c r="B2881" s="11" t="inlineStr">
        <is>
          <t>Carpenter 1st class</t>
        </is>
      </c>
      <c r="C2881" s="22" t="inlineStr">
        <is>
          <t>day</t>
        </is>
      </c>
      <c r="D2881" s="23" t="n">
        <v>0.17</v>
      </c>
      <c r="E2881" s="24" t="n">
        <v>738</v>
      </c>
      <c r="F2881" s="24">
        <f>D2881*E2881</f>
        <v/>
      </c>
      <c r="G2881" s="22" t="n"/>
    </row>
    <row r="2882">
      <c r="A2882" s="22" t="inlineStr">
        <is>
          <t>9999</t>
        </is>
      </c>
      <c r="B2882" s="11" t="inlineStr">
        <is>
          <t>Sundries &amp; screws</t>
        </is>
      </c>
      <c r="C2882" s="22" t="inlineStr">
        <is>
          <t>L.S.</t>
        </is>
      </c>
      <c r="D2882" s="23" t="n">
        <v>3.64</v>
      </c>
      <c r="E2882" s="24" t="n">
        <v>2</v>
      </c>
      <c r="F2882" s="24">
        <f>D2882*E2882</f>
        <v/>
      </c>
      <c r="G2882" s="22" t="n"/>
    </row>
    <row r="2883">
      <c r="A2883" s="8" t="inlineStr">
        <is>
          <t>Calculated W - SUM of the Amount column above</t>
        </is>
      </c>
      <c r="B2883" s="9" t="n"/>
      <c r="C2883" s="9" t="n"/>
      <c r="D2883" s="9" t="n"/>
      <c r="E2883" s="9" t="n"/>
      <c r="F2883" s="25">
        <f>SUM(F2880:F2882)</f>
        <v/>
      </c>
      <c r="G2883" s="9" t="n"/>
    </row>
    <row r="2884">
      <c r="A2884" s="26" t="inlineStr">
        <is>
          <t>W as printed in the DAR</t>
        </is>
      </c>
      <c r="B2884" s="22" t="n"/>
      <c r="C2884" s="22" t="n"/>
      <c r="D2884" s="22" t="n"/>
      <c r="E2884" s="22" t="n"/>
      <c r="F2884" s="27" t="n">
        <v>227.74</v>
      </c>
      <c r="G2884" s="22" t="n"/>
    </row>
    <row r="2885">
      <c r="A2885" s="26" t="inlineStr">
        <is>
          <t>Difference (calculated - printed)</t>
        </is>
      </c>
      <c r="B2885" s="22" t="n"/>
      <c r="C2885" s="22" t="n"/>
      <c r="D2885" s="22" t="n"/>
      <c r="E2885" s="22" t="n"/>
      <c r="F2885" s="27">
        <f>F2883-F2884</f>
        <v/>
      </c>
      <c r="G2885" s="22" t="n"/>
    </row>
    <row r="2886">
      <c r="A2886" s="29" t="inlineStr">
        <is>
          <t>SAY (Rs.) - final DAR rate as printed (fixed value, not computed)</t>
        </is>
      </c>
      <c r="B2886" s="30" t="n"/>
      <c r="C2886" s="30" t="n"/>
      <c r="D2886" s="30" t="n"/>
      <c r="E2886" s="30" t="n"/>
      <c r="F2886" s="31" t="n">
        <v>304.7</v>
      </c>
      <c r="G2886" s="30" t="n"/>
    </row>
    <row r="2888" ht="33" customHeight="1">
      <c r="A2888" s="8" t="inlineStr">
        <is>
          <t>9.90</t>
        </is>
      </c>
      <c r="B2888" s="17" t="inlineStr">
        <is>
          <t>Providing and fixing special quality chromium plated brass cupboard locks with six levers of approved quality including necessary screws etc. complete.</t>
        </is>
      </c>
      <c r="C2888" s="9" t="n"/>
      <c r="D2888" s="9" t="n"/>
      <c r="E2888" s="9" t="n"/>
      <c r="F2888" s="9" t="n"/>
      <c r="G2888" s="9" t="n"/>
    </row>
    <row r="2889" ht="18.5" customHeight="1">
      <c r="A2889" s="18" t="inlineStr">
        <is>
          <t>9.90.4</t>
        </is>
      </c>
      <c r="B2889" s="19" t="inlineStr">
        <is>
          <t>Size 75 mm</t>
        </is>
      </c>
      <c r="C2889" s="20" t="n"/>
      <c r="D2889" s="20" t="n"/>
      <c r="E2889" s="20" t="n"/>
      <c r="F2889" s="20" t="n"/>
      <c r="G2889" s="20" t="n"/>
    </row>
    <row r="2890">
      <c r="A2890" s="21" t="inlineStr">
        <is>
          <t>Details of cost for 1 no   |   Source: CivilDAR_2019_Vol_1.pdf, page 550</t>
        </is>
      </c>
    </row>
    <row r="2891">
      <c r="A2891" s="5" t="inlineStr">
        <is>
          <t>Code</t>
        </is>
      </c>
      <c r="B2891" s="5" t="inlineStr">
        <is>
          <t>Description</t>
        </is>
      </c>
      <c r="C2891" s="5" t="inlineStr">
        <is>
          <t>Unit</t>
        </is>
      </c>
      <c r="D2891" s="5" t="inlineStr">
        <is>
          <t>Quantity</t>
        </is>
      </c>
      <c r="E2891" s="5" t="inlineStr">
        <is>
          <t>Rate (Rs.)</t>
        </is>
      </c>
      <c r="F2891" s="5" t="inlineStr">
        <is>
          <t>Amount (Rs.)</t>
        </is>
      </c>
      <c r="G2891" s="5" t="inlineStr">
        <is>
          <t>Note</t>
        </is>
      </c>
    </row>
    <row r="2892">
      <c r="A2892" s="22" t="inlineStr">
        <is>
          <t>2471</t>
        </is>
      </c>
      <c r="B2892" s="11" t="inlineStr">
        <is>
          <t>Nickled Chromium Brass cupboard lock 75 mm size</t>
        </is>
      </c>
      <c r="C2892" s="22" t="inlineStr">
        <is>
          <t>each</t>
        </is>
      </c>
      <c r="D2892" s="23" t="n">
        <v>1</v>
      </c>
      <c r="E2892" s="24" t="n">
        <v>120</v>
      </c>
      <c r="F2892" s="24">
        <f>D2892*E2892</f>
        <v/>
      </c>
      <c r="G2892" s="22" t="n"/>
    </row>
    <row r="2893">
      <c r="A2893" s="22" t="inlineStr">
        <is>
          <t>0111</t>
        </is>
      </c>
      <c r="B2893" s="11" t="inlineStr">
        <is>
          <t>Carpenter 1st class</t>
        </is>
      </c>
      <c r="C2893" s="22" t="inlineStr">
        <is>
          <t>day</t>
        </is>
      </c>
      <c r="D2893" s="23" t="n">
        <v>0.17</v>
      </c>
      <c r="E2893" s="24" t="n">
        <v>738</v>
      </c>
      <c r="F2893" s="24">
        <f>D2893*E2893</f>
        <v/>
      </c>
      <c r="G2893" s="22" t="n"/>
    </row>
    <row r="2894">
      <c r="A2894" s="22" t="inlineStr">
        <is>
          <t>9999</t>
        </is>
      </c>
      <c r="B2894" s="11" t="inlineStr">
        <is>
          <t>Sundries &amp; screws</t>
        </is>
      </c>
      <c r="C2894" s="22" t="inlineStr">
        <is>
          <t>L.S.</t>
        </is>
      </c>
      <c r="D2894" s="23" t="n">
        <v>3.64</v>
      </c>
      <c r="E2894" s="24" t="n">
        <v>2</v>
      </c>
      <c r="F2894" s="24">
        <f>D2894*E2894</f>
        <v/>
      </c>
      <c r="G2894" s="22" t="n"/>
    </row>
    <row r="2895">
      <c r="A2895" s="8" t="inlineStr">
        <is>
          <t>Calculated W - SUM of the Amount column above</t>
        </is>
      </c>
      <c r="B2895" s="9" t="n"/>
      <c r="C2895" s="9" t="n"/>
      <c r="D2895" s="9" t="n"/>
      <c r="E2895" s="9" t="n"/>
      <c r="F2895" s="25">
        <f>SUM(F2892:F2894)</f>
        <v/>
      </c>
      <c r="G2895" s="9" t="n"/>
    </row>
    <row r="2896">
      <c r="A2896" s="26" t="inlineStr">
        <is>
          <t>W as printed in the DAR</t>
        </is>
      </c>
      <c r="B2896" s="22" t="n"/>
      <c r="C2896" s="22" t="n"/>
      <c r="D2896" s="22" t="n"/>
      <c r="E2896" s="22" t="n"/>
      <c r="F2896" s="27" t="n">
        <v>252.74</v>
      </c>
      <c r="G2896" s="22" t="n"/>
    </row>
    <row r="2897">
      <c r="A2897" s="26" t="inlineStr">
        <is>
          <t>Difference (calculated - printed)</t>
        </is>
      </c>
      <c r="B2897" s="22" t="n"/>
      <c r="C2897" s="22" t="n"/>
      <c r="D2897" s="22" t="n"/>
      <c r="E2897" s="22" t="n"/>
      <c r="F2897" s="27">
        <f>F2895-F2896</f>
        <v/>
      </c>
      <c r="G2897" s="22" t="n"/>
    </row>
    <row r="2898">
      <c r="A2898" s="29" t="inlineStr">
        <is>
          <t>SAY (Rs.) - final DAR rate as printed (fixed value, not computed)</t>
        </is>
      </c>
      <c r="B2898" s="30" t="n"/>
      <c r="C2898" s="30" t="n"/>
      <c r="D2898" s="30" t="n"/>
      <c r="E2898" s="30" t="n"/>
      <c r="F2898" s="31" t="n">
        <v>338.15</v>
      </c>
      <c r="G2898" s="30" t="n"/>
    </row>
    <row r="2900" ht="18.5" customHeight="1">
      <c r="A2900" s="18" t="inlineStr">
        <is>
          <t>9.91</t>
        </is>
      </c>
      <c r="B2900" s="19" t="inlineStr">
        <is>
          <t>Providing and fixing chromium plated brass 50 mm cupboard or wardrobe knobs with nuts complete.</t>
        </is>
      </c>
      <c r="C2900" s="20" t="n"/>
      <c r="D2900" s="20" t="n"/>
      <c r="E2900" s="20" t="n"/>
      <c r="F2900" s="20" t="n"/>
      <c r="G2900" s="20" t="n"/>
    </row>
    <row r="2901">
      <c r="A2901" s="21" t="inlineStr">
        <is>
          <t>Details of cost for 10 nos   |   Source: CivilDAR_2019_Vol_1.pdf, page 551</t>
        </is>
      </c>
    </row>
    <row r="2902">
      <c r="A2902" s="5" t="inlineStr">
        <is>
          <t>Code</t>
        </is>
      </c>
      <c r="B2902" s="5" t="inlineStr">
        <is>
          <t>Description</t>
        </is>
      </c>
      <c r="C2902" s="5" t="inlineStr">
        <is>
          <t>Unit</t>
        </is>
      </c>
      <c r="D2902" s="5" t="inlineStr">
        <is>
          <t>Quantity</t>
        </is>
      </c>
      <c r="E2902" s="5" t="inlineStr">
        <is>
          <t>Rate (Rs.)</t>
        </is>
      </c>
      <c r="F2902" s="5" t="inlineStr">
        <is>
          <t>Amount (Rs.)</t>
        </is>
      </c>
      <c r="G2902" s="5" t="inlineStr">
        <is>
          <t>Note</t>
        </is>
      </c>
    </row>
    <row r="2903">
      <c r="A2903" s="22" t="inlineStr">
        <is>
          <t>0584</t>
        </is>
      </c>
      <c r="B2903" s="11" t="inlineStr">
        <is>
          <t>Chromium plated Brass Wardrobe Knobe 50 mm</t>
        </is>
      </c>
      <c r="C2903" s="22" t="inlineStr">
        <is>
          <t>each</t>
        </is>
      </c>
      <c r="D2903" s="23" t="n">
        <v>10</v>
      </c>
      <c r="E2903" s="24" t="n">
        <v>80</v>
      </c>
      <c r="F2903" s="24">
        <f>D2903*E2903</f>
        <v/>
      </c>
      <c r="G2903" s="22" t="n"/>
    </row>
    <row r="2904">
      <c r="A2904" s="22" t="inlineStr">
        <is>
          <t>9977</t>
        </is>
      </c>
      <c r="B2904" s="11" t="inlineStr">
        <is>
          <t>Carriage of material</t>
        </is>
      </c>
      <c r="C2904" s="22" t="inlineStr">
        <is>
          <t>L.S.</t>
        </is>
      </c>
      <c r="D2904" s="23" t="n">
        <v>2.73</v>
      </c>
      <c r="E2904" s="24" t="n">
        <v>2</v>
      </c>
      <c r="F2904" s="24">
        <f>D2904*E2904</f>
        <v/>
      </c>
      <c r="G2904" s="22" t="n"/>
    </row>
    <row r="2905">
      <c r="A2905" s="22" t="inlineStr">
        <is>
          <t>0111</t>
        </is>
      </c>
      <c r="B2905" s="11" t="inlineStr">
        <is>
          <t>Carpenter 1st class</t>
        </is>
      </c>
      <c r="C2905" s="22" t="inlineStr">
        <is>
          <t>day</t>
        </is>
      </c>
      <c r="D2905" s="23" t="n">
        <v>0.14</v>
      </c>
      <c r="E2905" s="24" t="n">
        <v>738</v>
      </c>
      <c r="F2905" s="24">
        <f>D2905*E2905</f>
        <v/>
      </c>
      <c r="G2905" s="22" t="n"/>
    </row>
    <row r="2906">
      <c r="A2906" s="8" t="inlineStr">
        <is>
          <t>Calculated W - SUM of the Amount column above</t>
        </is>
      </c>
      <c r="B2906" s="9" t="n"/>
      <c r="C2906" s="9" t="n"/>
      <c r="D2906" s="9" t="n"/>
      <c r="E2906" s="9" t="n"/>
      <c r="F2906" s="25">
        <f>SUM(F2903:F2905)</f>
        <v/>
      </c>
      <c r="G2906" s="9" t="n"/>
    </row>
    <row r="2907">
      <c r="A2907" s="26" t="inlineStr">
        <is>
          <t>W as printed in the DAR</t>
        </is>
      </c>
      <c r="B2907" s="22" t="n"/>
      <c r="C2907" s="22" t="n"/>
      <c r="D2907" s="22" t="n"/>
      <c r="E2907" s="22" t="n"/>
      <c r="F2907" s="27" t="n">
        <v>908.78</v>
      </c>
      <c r="G2907" s="22" t="n"/>
    </row>
    <row r="2908">
      <c r="A2908" s="26" t="inlineStr">
        <is>
          <t>Difference (calculated - printed)</t>
        </is>
      </c>
      <c r="B2908" s="22" t="n"/>
      <c r="C2908" s="22" t="n"/>
      <c r="D2908" s="22" t="n"/>
      <c r="E2908" s="22" t="n"/>
      <c r="F2908" s="27">
        <f>F2906-F2907</f>
        <v/>
      </c>
      <c r="G2908" s="22" t="n"/>
    </row>
    <row r="2909">
      <c r="A2909" s="29" t="inlineStr">
        <is>
          <t>SAY (Rs.) - final DAR rate as printed (fixed value, not computed)</t>
        </is>
      </c>
      <c r="B2909" s="30" t="n"/>
      <c r="C2909" s="30" t="n"/>
      <c r="D2909" s="30" t="n"/>
      <c r="E2909" s="30" t="n"/>
      <c r="F2909" s="31" t="n">
        <v>121.6</v>
      </c>
      <c r="G2909" s="30" t="n"/>
    </row>
    <row r="2911" ht="18.5" customHeight="1">
      <c r="A2911" s="8" t="inlineStr">
        <is>
          <t>9.92</t>
        </is>
      </c>
      <c r="B2911" s="17" t="inlineStr">
        <is>
          <t>Providing and fixing chromium plated brass handles with necessary screws etc. complete:</t>
        </is>
      </c>
      <c r="C2911" s="9" t="n"/>
      <c r="D2911" s="9" t="n"/>
      <c r="E2911" s="9" t="n"/>
      <c r="F2911" s="9" t="n"/>
      <c r="G2911" s="9" t="n"/>
    </row>
    <row r="2912" ht="18.5" customHeight="1">
      <c r="A2912" s="18" t="inlineStr">
        <is>
          <t>9.92.1</t>
        </is>
      </c>
      <c r="B2912" s="19" t="inlineStr">
        <is>
          <t>125 mm</t>
        </is>
      </c>
      <c r="C2912" s="20" t="n"/>
      <c r="D2912" s="20" t="n"/>
      <c r="E2912" s="20" t="n"/>
      <c r="F2912" s="20" t="n"/>
      <c r="G2912" s="20" t="n"/>
    </row>
    <row r="2913">
      <c r="A2913" s="21" t="inlineStr">
        <is>
          <t>Details of cost for 10 nos   |   Source: CivilDAR_2019_Vol_1.pdf, page 551</t>
        </is>
      </c>
    </row>
    <row r="2914">
      <c r="A2914" s="5" t="inlineStr">
        <is>
          <t>Code</t>
        </is>
      </c>
      <c r="B2914" s="5" t="inlineStr">
        <is>
          <t>Description</t>
        </is>
      </c>
      <c r="C2914" s="5" t="inlineStr">
        <is>
          <t>Unit</t>
        </is>
      </c>
      <c r="D2914" s="5" t="inlineStr">
        <is>
          <t>Quantity</t>
        </is>
      </c>
      <c r="E2914" s="5" t="inlineStr">
        <is>
          <t>Rate (Rs.)</t>
        </is>
      </c>
      <c r="F2914" s="5" t="inlineStr">
        <is>
          <t>Amount (Rs.)</t>
        </is>
      </c>
      <c r="G2914" s="5" t="inlineStr">
        <is>
          <t>Note</t>
        </is>
      </c>
    </row>
    <row r="2915">
      <c r="A2915" s="22" t="inlineStr">
        <is>
          <t>0555</t>
        </is>
      </c>
      <c r="B2915" s="11" t="inlineStr">
        <is>
          <t>Chromium plated Brass handles 125 mm with plate 175 x32 mm</t>
        </is>
      </c>
      <c r="C2915" s="22" t="inlineStr">
        <is>
          <t>each</t>
        </is>
      </c>
      <c r="D2915" s="23" t="n">
        <v>10</v>
      </c>
      <c r="E2915" s="24" t="n">
        <v>160</v>
      </c>
      <c r="F2915" s="24">
        <f>D2915*E2915</f>
        <v/>
      </c>
      <c r="G2915" s="22" t="n"/>
    </row>
    <row r="2916">
      <c r="A2916" s="22" t="inlineStr">
        <is>
          <t>0452</t>
        </is>
      </c>
      <c r="B2916" s="11" t="inlineStr">
        <is>
          <t>Brass screws 25 mm</t>
        </is>
      </c>
      <c r="C2916" s="22" t="inlineStr">
        <is>
          <t>100 Nos</t>
        </is>
      </c>
      <c r="D2916" s="23" t="n">
        <v>0.4</v>
      </c>
      <c r="E2916" s="24" t="n">
        <v>100</v>
      </c>
      <c r="F2916" s="24">
        <f>D2916*E2916</f>
        <v/>
      </c>
      <c r="G2916" s="22" t="n"/>
    </row>
    <row r="2917">
      <c r="A2917" s="22" t="inlineStr">
        <is>
          <t>9977</t>
        </is>
      </c>
      <c r="B2917" s="11" t="inlineStr">
        <is>
          <t>Carriage of material</t>
        </is>
      </c>
      <c r="C2917" s="22" t="inlineStr">
        <is>
          <t>L.S.</t>
        </is>
      </c>
      <c r="D2917" s="23" t="n">
        <v>2.73</v>
      </c>
      <c r="E2917" s="24" t="n">
        <v>2</v>
      </c>
      <c r="F2917" s="24">
        <f>D2917*E2917</f>
        <v/>
      </c>
      <c r="G2917" s="22" t="n"/>
    </row>
    <row r="2918">
      <c r="A2918" s="22" t="inlineStr">
        <is>
          <t>0111</t>
        </is>
      </c>
      <c r="B2918" s="11" t="inlineStr">
        <is>
          <t>Carpenter 1st class</t>
        </is>
      </c>
      <c r="C2918" s="22" t="inlineStr">
        <is>
          <t>day</t>
        </is>
      </c>
      <c r="D2918" s="23" t="n">
        <v>0.06</v>
      </c>
      <c r="E2918" s="24" t="n">
        <v>738</v>
      </c>
      <c r="F2918" s="24">
        <f>D2918*E2918</f>
        <v/>
      </c>
      <c r="G2918" s="22" t="n"/>
    </row>
    <row r="2919">
      <c r="A2919" s="8" t="inlineStr">
        <is>
          <t>Calculated W - SUM of the Amount column above</t>
        </is>
      </c>
      <c r="B2919" s="9" t="n"/>
      <c r="C2919" s="9" t="n"/>
      <c r="D2919" s="9" t="n"/>
      <c r="E2919" s="9" t="n"/>
      <c r="F2919" s="25">
        <f>SUM(F2915:F2918)</f>
        <v/>
      </c>
      <c r="G2919" s="9" t="n"/>
    </row>
    <row r="2920">
      <c r="A2920" s="26" t="inlineStr">
        <is>
          <t>W as printed in the DAR</t>
        </is>
      </c>
      <c r="B2920" s="22" t="n"/>
      <c r="C2920" s="22" t="n"/>
      <c r="D2920" s="22" t="n"/>
      <c r="E2920" s="22" t="n"/>
      <c r="F2920" s="27" t="n">
        <v>1689.74</v>
      </c>
      <c r="G2920" s="22" t="n"/>
    </row>
    <row r="2921">
      <c r="A2921" s="26" t="inlineStr">
        <is>
          <t>Difference (calculated - printed)</t>
        </is>
      </c>
      <c r="B2921" s="22" t="n"/>
      <c r="C2921" s="22" t="n"/>
      <c r="D2921" s="22" t="n"/>
      <c r="E2921" s="22" t="n"/>
      <c r="F2921" s="27">
        <f>F2919-F2920</f>
        <v/>
      </c>
      <c r="G2921" s="22" t="n"/>
    </row>
    <row r="2922">
      <c r="A2922" s="29" t="inlineStr">
        <is>
          <t>SAY (Rs.) - final DAR rate as printed (fixed value, not computed)</t>
        </is>
      </c>
      <c r="B2922" s="30" t="n"/>
      <c r="C2922" s="30" t="n"/>
      <c r="D2922" s="30" t="n"/>
      <c r="E2922" s="30" t="n"/>
      <c r="F2922" s="31" t="n">
        <v>226.1</v>
      </c>
      <c r="G2922" s="30" t="n"/>
    </row>
    <row r="2924" ht="18.5" customHeight="1">
      <c r="A2924" s="8" t="inlineStr">
        <is>
          <t>9.92</t>
        </is>
      </c>
      <c r="B2924" s="17" t="inlineStr">
        <is>
          <t>Providing and fixing chromium plated brass handles with necessary screws etc. complete:</t>
        </is>
      </c>
      <c r="C2924" s="9" t="n"/>
      <c r="D2924" s="9" t="n"/>
      <c r="E2924" s="9" t="n"/>
      <c r="F2924" s="9" t="n"/>
      <c r="G2924" s="9" t="n"/>
    </row>
    <row r="2925" ht="18.5" customHeight="1">
      <c r="A2925" s="18" t="inlineStr">
        <is>
          <t>9.92.2</t>
        </is>
      </c>
      <c r="B2925" s="19" t="inlineStr">
        <is>
          <t>100 mm</t>
        </is>
      </c>
      <c r="C2925" s="20" t="n"/>
      <c r="D2925" s="20" t="n"/>
      <c r="E2925" s="20" t="n"/>
      <c r="F2925" s="20" t="n"/>
      <c r="G2925" s="20" t="n"/>
    </row>
    <row r="2926">
      <c r="A2926" s="21" t="inlineStr">
        <is>
          <t>Details of cost for 10 nos   |   Source: CivilDAR_2019_Vol_1.pdf, page 552</t>
        </is>
      </c>
    </row>
    <row r="2927">
      <c r="A2927" s="5" t="inlineStr">
        <is>
          <t>Code</t>
        </is>
      </c>
      <c r="B2927" s="5" t="inlineStr">
        <is>
          <t>Description</t>
        </is>
      </c>
      <c r="C2927" s="5" t="inlineStr">
        <is>
          <t>Unit</t>
        </is>
      </c>
      <c r="D2927" s="5" t="inlineStr">
        <is>
          <t>Quantity</t>
        </is>
      </c>
      <c r="E2927" s="5" t="inlineStr">
        <is>
          <t>Rate (Rs.)</t>
        </is>
      </c>
      <c r="F2927" s="5" t="inlineStr">
        <is>
          <t>Amount (Rs.)</t>
        </is>
      </c>
      <c r="G2927" s="5" t="inlineStr">
        <is>
          <t>Note</t>
        </is>
      </c>
    </row>
    <row r="2928">
      <c r="A2928" s="22" t="inlineStr">
        <is>
          <t>0556</t>
        </is>
      </c>
      <c r="B2928" s="11" t="inlineStr">
        <is>
          <t>Chromium plated Brass handles 100 mm with plate 150 x 32 mm</t>
        </is>
      </c>
      <c r="C2928" s="22" t="inlineStr">
        <is>
          <t>each</t>
        </is>
      </c>
      <c r="D2928" s="23" t="n">
        <v>10</v>
      </c>
      <c r="E2928" s="24" t="n">
        <v>140</v>
      </c>
      <c r="F2928" s="24">
        <f>D2928*E2928</f>
        <v/>
      </c>
      <c r="G2928" s="22" t="n"/>
    </row>
    <row r="2929">
      <c r="A2929" s="22" t="inlineStr">
        <is>
          <t>0452</t>
        </is>
      </c>
      <c r="B2929" s="11" t="inlineStr">
        <is>
          <t>Brass screws 25 mm</t>
        </is>
      </c>
      <c r="C2929" s="22" t="inlineStr">
        <is>
          <t>100 Nos</t>
        </is>
      </c>
      <c r="D2929" s="23" t="n">
        <v>0.4</v>
      </c>
      <c r="E2929" s="24" t="n">
        <v>100</v>
      </c>
      <c r="F2929" s="24">
        <f>D2929*E2929</f>
        <v/>
      </c>
      <c r="G2929" s="22" t="n"/>
    </row>
    <row r="2930">
      <c r="A2930" s="22" t="inlineStr">
        <is>
          <t>9977</t>
        </is>
      </c>
      <c r="B2930" s="11" t="inlineStr">
        <is>
          <t>Carriage of material</t>
        </is>
      </c>
      <c r="C2930" s="22" t="inlineStr">
        <is>
          <t>L.S.</t>
        </is>
      </c>
      <c r="D2930" s="23" t="n">
        <v>0.91</v>
      </c>
      <c r="E2930" s="24" t="n">
        <v>2</v>
      </c>
      <c r="F2930" s="24">
        <f>D2930*E2930</f>
        <v/>
      </c>
      <c r="G2930" s="22" t="n"/>
    </row>
    <row r="2931">
      <c r="A2931" s="22" t="inlineStr">
        <is>
          <t>0111</t>
        </is>
      </c>
      <c r="B2931" s="11" t="inlineStr">
        <is>
          <t>Carpenter 1st class</t>
        </is>
      </c>
      <c r="C2931" s="22" t="inlineStr">
        <is>
          <t>day</t>
        </is>
      </c>
      <c r="D2931" s="23" t="n">
        <v>0.06</v>
      </c>
      <c r="E2931" s="24" t="n">
        <v>738</v>
      </c>
      <c r="F2931" s="24">
        <f>D2931*E2931</f>
        <v/>
      </c>
      <c r="G2931" s="22" t="n"/>
    </row>
    <row r="2932">
      <c r="A2932" s="8" t="inlineStr">
        <is>
          <t>Calculated W - SUM of the Amount column above</t>
        </is>
      </c>
      <c r="B2932" s="9" t="n"/>
      <c r="C2932" s="9" t="n"/>
      <c r="D2932" s="9" t="n"/>
      <c r="E2932" s="9" t="n"/>
      <c r="F2932" s="25">
        <f>SUM(F2928:F2931)</f>
        <v/>
      </c>
      <c r="G2932" s="9" t="n"/>
    </row>
    <row r="2933">
      <c r="A2933" s="26" t="inlineStr">
        <is>
          <t>W as printed in the DAR</t>
        </is>
      </c>
      <c r="B2933" s="22" t="n"/>
      <c r="C2933" s="22" t="n"/>
      <c r="D2933" s="22" t="n"/>
      <c r="E2933" s="22" t="n"/>
      <c r="F2933" s="27" t="n">
        <v>1486.1</v>
      </c>
      <c r="G2933" s="22" t="n"/>
    </row>
    <row r="2934">
      <c r="A2934" s="26" t="inlineStr">
        <is>
          <t>Difference (calculated - printed)</t>
        </is>
      </c>
      <c r="B2934" s="22" t="n"/>
      <c r="C2934" s="22" t="n"/>
      <c r="D2934" s="22" t="n"/>
      <c r="E2934" s="22" t="n"/>
      <c r="F2934" s="27">
        <f>F2932-F2933</f>
        <v/>
      </c>
      <c r="G2934" s="22" t="n"/>
    </row>
    <row r="2935">
      <c r="A2935" s="29" t="inlineStr">
        <is>
          <t>SAY (Rs.) - final DAR rate as printed (fixed value, not computed)</t>
        </is>
      </c>
      <c r="B2935" s="30" t="n"/>
      <c r="C2935" s="30" t="n"/>
      <c r="D2935" s="30" t="n"/>
      <c r="E2935" s="30" t="n"/>
      <c r="F2935" s="31" t="n">
        <v>198.85</v>
      </c>
      <c r="G2935" s="30" t="n"/>
    </row>
    <row r="2937" ht="18.5" customHeight="1">
      <c r="A2937" s="8" t="inlineStr">
        <is>
          <t>9.92</t>
        </is>
      </c>
      <c r="B2937" s="17" t="inlineStr">
        <is>
          <t>Providing and fixing chromium plated brass handles with necessary screws etc. complete:</t>
        </is>
      </c>
      <c r="C2937" s="9" t="n"/>
      <c r="D2937" s="9" t="n"/>
      <c r="E2937" s="9" t="n"/>
      <c r="F2937" s="9" t="n"/>
      <c r="G2937" s="9" t="n"/>
    </row>
    <row r="2938" ht="18.5" customHeight="1">
      <c r="A2938" s="18" t="inlineStr">
        <is>
          <t>9.92.3</t>
        </is>
      </c>
      <c r="B2938" s="19" t="inlineStr">
        <is>
          <t>75 mm</t>
        </is>
      </c>
      <c r="C2938" s="20" t="n"/>
      <c r="D2938" s="20" t="n"/>
      <c r="E2938" s="20" t="n"/>
      <c r="F2938" s="20" t="n"/>
      <c r="G2938" s="20" t="n"/>
    </row>
    <row r="2939">
      <c r="A2939" s="21" t="inlineStr">
        <is>
          <t>Details of cost for 10 nos   |   Source: CivilDAR_2019_Vol_1.pdf, page 552</t>
        </is>
      </c>
    </row>
    <row r="2940">
      <c r="A2940" s="5" t="inlineStr">
        <is>
          <t>Code</t>
        </is>
      </c>
      <c r="B2940" s="5" t="inlineStr">
        <is>
          <t>Description</t>
        </is>
      </c>
      <c r="C2940" s="5" t="inlineStr">
        <is>
          <t>Unit</t>
        </is>
      </c>
      <c r="D2940" s="5" t="inlineStr">
        <is>
          <t>Quantity</t>
        </is>
      </c>
      <c r="E2940" s="5" t="inlineStr">
        <is>
          <t>Rate (Rs.)</t>
        </is>
      </c>
      <c r="F2940" s="5" t="inlineStr">
        <is>
          <t>Amount (Rs.)</t>
        </is>
      </c>
      <c r="G2940" s="5" t="inlineStr">
        <is>
          <t>Note</t>
        </is>
      </c>
    </row>
    <row r="2941">
      <c r="A2941" s="22" t="inlineStr">
        <is>
          <t>0557</t>
        </is>
      </c>
      <c r="B2941" s="11" t="inlineStr">
        <is>
          <t>Chromium plated Brass handles 75mm with plate 125x32 mm</t>
        </is>
      </c>
      <c r="C2941" s="22" t="inlineStr">
        <is>
          <t>each</t>
        </is>
      </c>
      <c r="D2941" s="23" t="n">
        <v>10</v>
      </c>
      <c r="E2941" s="24" t="n">
        <v>125</v>
      </c>
      <c r="F2941" s="24">
        <f>D2941*E2941</f>
        <v/>
      </c>
      <c r="G2941" s="22" t="n"/>
    </row>
    <row r="2942">
      <c r="A2942" s="22" t="inlineStr">
        <is>
          <t>0452</t>
        </is>
      </c>
      <c r="B2942" s="11" t="inlineStr">
        <is>
          <t>Brass screws 25 mm</t>
        </is>
      </c>
      <c r="C2942" s="22" t="inlineStr">
        <is>
          <t>100 Nos</t>
        </is>
      </c>
      <c r="D2942" s="23" t="n">
        <v>0.4</v>
      </c>
      <c r="E2942" s="24" t="n">
        <v>100</v>
      </c>
      <c r="F2942" s="24">
        <f>D2942*E2942</f>
        <v/>
      </c>
      <c r="G2942" s="22" t="n"/>
    </row>
    <row r="2943">
      <c r="A2943" s="22" t="inlineStr">
        <is>
          <t>9977</t>
        </is>
      </c>
      <c r="B2943" s="11" t="inlineStr">
        <is>
          <t>Carriage of material</t>
        </is>
      </c>
      <c r="C2943" s="22" t="inlineStr">
        <is>
          <t>L.S.</t>
        </is>
      </c>
      <c r="D2943" s="23" t="n">
        <v>0.91</v>
      </c>
      <c r="E2943" s="24" t="n">
        <v>2</v>
      </c>
      <c r="F2943" s="24">
        <f>D2943*E2943</f>
        <v/>
      </c>
      <c r="G2943" s="22" t="n"/>
    </row>
    <row r="2944">
      <c r="A2944" s="22" t="inlineStr">
        <is>
          <t>0111</t>
        </is>
      </c>
      <c r="B2944" s="11" t="inlineStr">
        <is>
          <t>Carpenter 1st class</t>
        </is>
      </c>
      <c r="C2944" s="22" t="inlineStr">
        <is>
          <t>day</t>
        </is>
      </c>
      <c r="D2944" s="23" t="n">
        <v>0.06</v>
      </c>
      <c r="E2944" s="24" t="n">
        <v>738</v>
      </c>
      <c r="F2944" s="24">
        <f>D2944*E2944</f>
        <v/>
      </c>
      <c r="G2944" s="22" t="n"/>
    </row>
    <row r="2945">
      <c r="A2945" s="8" t="inlineStr">
        <is>
          <t>Calculated W - SUM of the Amount column above</t>
        </is>
      </c>
      <c r="B2945" s="9" t="n"/>
      <c r="C2945" s="9" t="n"/>
      <c r="D2945" s="9" t="n"/>
      <c r="E2945" s="9" t="n"/>
      <c r="F2945" s="25">
        <f>SUM(F2941:F2944)</f>
        <v/>
      </c>
      <c r="G2945" s="9" t="n"/>
    </row>
    <row r="2946">
      <c r="A2946" s="26" t="inlineStr">
        <is>
          <t>W as printed in the DAR</t>
        </is>
      </c>
      <c r="B2946" s="22" t="n"/>
      <c r="C2946" s="22" t="n"/>
      <c r="D2946" s="22" t="n"/>
      <c r="E2946" s="22" t="n"/>
      <c r="F2946" s="27" t="n">
        <v>1336.1</v>
      </c>
      <c r="G2946" s="22" t="n"/>
    </row>
    <row r="2947">
      <c r="A2947" s="26" t="inlineStr">
        <is>
          <t>Difference (calculated - printed)</t>
        </is>
      </c>
      <c r="B2947" s="22" t="n"/>
      <c r="C2947" s="22" t="n"/>
      <c r="D2947" s="22" t="n"/>
      <c r="E2947" s="22" t="n"/>
      <c r="F2947" s="27">
        <f>F2945-F2946</f>
        <v/>
      </c>
      <c r="G2947" s="22" t="n"/>
    </row>
    <row r="2948">
      <c r="A2948" s="29" t="inlineStr">
        <is>
          <t>SAY (Rs.) - final DAR rate as printed (fixed value, not computed)</t>
        </is>
      </c>
      <c r="B2948" s="30" t="n"/>
      <c r="C2948" s="30" t="n"/>
      <c r="D2948" s="30" t="n"/>
      <c r="E2948" s="30" t="n"/>
      <c r="F2948" s="31" t="n">
        <v>178.75</v>
      </c>
      <c r="G2948" s="30" t="n"/>
    </row>
    <row r="2950" ht="18.5" customHeight="1">
      <c r="A2950" s="18" t="inlineStr">
        <is>
          <t>9.93</t>
        </is>
      </c>
      <c r="B2950" s="19" t="inlineStr">
        <is>
          <t>Providing and fixing chromium plated brass casement window fastener with necessary screws etc. complete.</t>
        </is>
      </c>
      <c r="C2950" s="20" t="n"/>
      <c r="D2950" s="20" t="n"/>
      <c r="E2950" s="20" t="n"/>
      <c r="F2950" s="20" t="n"/>
      <c r="G2950" s="20" t="n"/>
    </row>
    <row r="2951">
      <c r="A2951" s="21" t="inlineStr">
        <is>
          <t>Details of cost for 10 nos   |   Source: CivilDAR_2019_Vol_1.pdf, page 553</t>
        </is>
      </c>
    </row>
    <row r="2952">
      <c r="A2952" s="5" t="inlineStr">
        <is>
          <t>Code</t>
        </is>
      </c>
      <c r="B2952" s="5" t="inlineStr">
        <is>
          <t>Description</t>
        </is>
      </c>
      <c r="C2952" s="5" t="inlineStr">
        <is>
          <t>Unit</t>
        </is>
      </c>
      <c r="D2952" s="5" t="inlineStr">
        <is>
          <t>Quantity</t>
        </is>
      </c>
      <c r="E2952" s="5" t="inlineStr">
        <is>
          <t>Rate (Rs.)</t>
        </is>
      </c>
      <c r="F2952" s="5" t="inlineStr">
        <is>
          <t>Amount (Rs.)</t>
        </is>
      </c>
      <c r="G2952" s="5" t="inlineStr">
        <is>
          <t>Note</t>
        </is>
      </c>
    </row>
    <row r="2953">
      <c r="A2953" s="22" t="inlineStr">
        <is>
          <t>0568</t>
        </is>
      </c>
      <c r="B2953" s="11" t="inlineStr">
        <is>
          <t>Chromium plated brass casement window fastner</t>
        </is>
      </c>
      <c r="C2953" s="22" t="inlineStr">
        <is>
          <t>each</t>
        </is>
      </c>
      <c r="D2953" s="23" t="n">
        <v>10</v>
      </c>
      <c r="E2953" s="24" t="n">
        <v>90</v>
      </c>
      <c r="F2953" s="24">
        <f>D2953*E2953</f>
        <v/>
      </c>
      <c r="G2953" s="22" t="n"/>
    </row>
    <row r="2954">
      <c r="A2954" s="22" t="inlineStr">
        <is>
          <t>0588</t>
        </is>
      </c>
      <c r="B2954" s="11" t="inlineStr">
        <is>
          <t>Chromium plated Brass screws 25 mm</t>
        </is>
      </c>
      <c r="C2954" s="22" t="inlineStr">
        <is>
          <t>100 Nos</t>
        </is>
      </c>
      <c r="D2954" s="23" t="n">
        <v>0.4</v>
      </c>
      <c r="E2954" s="24" t="n">
        <v>180</v>
      </c>
      <c r="F2954" s="24">
        <f>D2954*E2954</f>
        <v/>
      </c>
      <c r="G2954" s="22" t="n"/>
    </row>
    <row r="2955">
      <c r="A2955" s="22" t="inlineStr">
        <is>
          <t>9977</t>
        </is>
      </c>
      <c r="B2955" s="11" t="inlineStr">
        <is>
          <t>Carriage of material</t>
        </is>
      </c>
      <c r="C2955" s="22" t="inlineStr">
        <is>
          <t>L.S.</t>
        </is>
      </c>
      <c r="D2955" s="23" t="n">
        <v>0.91</v>
      </c>
      <c r="E2955" s="24" t="n">
        <v>2</v>
      </c>
      <c r="F2955" s="24">
        <f>D2955*E2955</f>
        <v/>
      </c>
      <c r="G2955" s="22" t="n"/>
    </row>
    <row r="2956">
      <c r="A2956" s="22" t="inlineStr">
        <is>
          <t>0111</t>
        </is>
      </c>
      <c r="B2956" s="11" t="inlineStr">
        <is>
          <t>Carpenter 1st class</t>
        </is>
      </c>
      <c r="C2956" s="22" t="inlineStr">
        <is>
          <t>day</t>
        </is>
      </c>
      <c r="D2956" s="23" t="n">
        <v>0.1</v>
      </c>
      <c r="E2956" s="24" t="n">
        <v>738</v>
      </c>
      <c r="F2956" s="24">
        <f>D2956*E2956</f>
        <v/>
      </c>
      <c r="G2956" s="22" t="n"/>
    </row>
    <row r="2957">
      <c r="A2957" s="8" t="inlineStr">
        <is>
          <t>Calculated W - SUM of the Amount column above</t>
        </is>
      </c>
      <c r="B2957" s="9" t="n"/>
      <c r="C2957" s="9" t="n"/>
      <c r="D2957" s="9" t="n"/>
      <c r="E2957" s="9" t="n"/>
      <c r="F2957" s="25">
        <f>SUM(F2953:F2956)</f>
        <v/>
      </c>
      <c r="G2957" s="9" t="n"/>
    </row>
    <row r="2958">
      <c r="A2958" s="26" t="inlineStr">
        <is>
          <t>W as printed in the DAR</t>
        </is>
      </c>
      <c r="B2958" s="22" t="n"/>
      <c r="C2958" s="22" t="n"/>
      <c r="D2958" s="22" t="n"/>
      <c r="E2958" s="22" t="n"/>
      <c r="F2958" s="27" t="n">
        <v>1047.62</v>
      </c>
      <c r="G2958" s="22" t="n"/>
    </row>
    <row r="2959">
      <c r="A2959" s="26" t="inlineStr">
        <is>
          <t>Difference (calculated - printed)</t>
        </is>
      </c>
      <c r="B2959" s="22" t="n"/>
      <c r="C2959" s="22" t="n"/>
      <c r="D2959" s="22" t="n"/>
      <c r="E2959" s="22" t="n"/>
      <c r="F2959" s="27">
        <f>F2957-F2958</f>
        <v/>
      </c>
      <c r="G2959" s="22" t="n"/>
    </row>
    <row r="2960">
      <c r="A2960" s="29" t="inlineStr">
        <is>
          <t>SAY (Rs.) - final DAR rate as printed (fixed value, not computed)</t>
        </is>
      </c>
      <c r="B2960" s="30" t="n"/>
      <c r="C2960" s="30" t="n"/>
      <c r="D2960" s="30" t="n"/>
      <c r="E2960" s="30" t="n"/>
      <c r="F2960" s="31" t="n">
        <v>140.15</v>
      </c>
      <c r="G2960" s="30" t="n"/>
    </row>
    <row r="2962" ht="18.5" customHeight="1">
      <c r="A2962" s="8" t="inlineStr">
        <is>
          <t>9.94</t>
        </is>
      </c>
      <c r="B2962" s="17" t="inlineStr">
        <is>
          <t>Providing and fixing chromium plated brass casement stays (straight peg type) with necessary screws etc. complete :</t>
        </is>
      </c>
      <c r="C2962" s="9" t="n"/>
      <c r="D2962" s="9" t="n"/>
      <c r="E2962" s="9" t="n"/>
      <c r="F2962" s="9" t="n"/>
      <c r="G2962" s="9" t="n"/>
    </row>
    <row r="2963" ht="18.5" customHeight="1">
      <c r="A2963" s="18" t="inlineStr">
        <is>
          <t>9.94.1</t>
        </is>
      </c>
      <c r="B2963" s="19" t="inlineStr">
        <is>
          <t>300 mm weighing not less than 330 gms</t>
        </is>
      </c>
      <c r="C2963" s="20" t="n"/>
      <c r="D2963" s="20" t="n"/>
      <c r="E2963" s="20" t="n"/>
      <c r="F2963" s="20" t="n"/>
      <c r="G2963" s="20" t="n"/>
    </row>
    <row r="2964">
      <c r="A2964" s="21" t="inlineStr">
        <is>
          <t>Details of cost for 10 nos   |   Source: CivilDAR_2019_Vol_1.pdf, page 553</t>
        </is>
      </c>
    </row>
    <row r="2965">
      <c r="A2965" s="5" t="inlineStr">
        <is>
          <t>Code</t>
        </is>
      </c>
      <c r="B2965" s="5" t="inlineStr">
        <is>
          <t>Description</t>
        </is>
      </c>
      <c r="C2965" s="5" t="inlineStr">
        <is>
          <t>Unit</t>
        </is>
      </c>
      <c r="D2965" s="5" t="inlineStr">
        <is>
          <t>Quantity</t>
        </is>
      </c>
      <c r="E2965" s="5" t="inlineStr">
        <is>
          <t>Rate (Rs.)</t>
        </is>
      </c>
      <c r="F2965" s="5" t="inlineStr">
        <is>
          <t>Amount (Rs.)</t>
        </is>
      </c>
      <c r="G2965" s="5" t="inlineStr">
        <is>
          <t>Note</t>
        </is>
      </c>
    </row>
    <row r="2966">
      <c r="A2966" s="22" t="inlineStr">
        <is>
          <t>0569</t>
        </is>
      </c>
      <c r="B2966" s="11" t="inlineStr">
        <is>
          <t>Chromium plated Brass casement stays (straight peg type ) 300 mm weighing not less than 0.33 kg</t>
        </is>
      </c>
      <c r="C2966" s="22" t="inlineStr">
        <is>
          <t>each</t>
        </is>
      </c>
      <c r="D2966" s="23" t="n">
        <v>10</v>
      </c>
      <c r="E2966" s="24" t="n">
        <v>140</v>
      </c>
      <c r="F2966" s="24">
        <f>D2966*E2966</f>
        <v/>
      </c>
      <c r="G2966" s="22" t="n"/>
    </row>
    <row r="2967">
      <c r="A2967" s="22" t="inlineStr">
        <is>
          <t>0588</t>
        </is>
      </c>
      <c r="B2967" s="11" t="inlineStr">
        <is>
          <t>Chromium plated Brass screws 25 mm</t>
        </is>
      </c>
      <c r="C2967" s="22" t="inlineStr">
        <is>
          <t>100 Nos</t>
        </is>
      </c>
      <c r="D2967" s="23" t="n">
        <v>0.4</v>
      </c>
      <c r="E2967" s="24" t="n">
        <v>180</v>
      </c>
      <c r="F2967" s="24">
        <f>D2967*E2967</f>
        <v/>
      </c>
      <c r="G2967" s="22" t="n"/>
    </row>
    <row r="2968">
      <c r="A2968" s="22" t="inlineStr">
        <is>
          <t>9977</t>
        </is>
      </c>
      <c r="B2968" s="11" t="inlineStr">
        <is>
          <t>Carriage of material</t>
        </is>
      </c>
      <c r="C2968" s="22" t="inlineStr">
        <is>
          <t>L.S.</t>
        </is>
      </c>
      <c r="D2968" s="23" t="n">
        <v>0.91</v>
      </c>
      <c r="E2968" s="24" t="n">
        <v>2</v>
      </c>
      <c r="F2968" s="24">
        <f>D2968*E2968</f>
        <v/>
      </c>
      <c r="G2968" s="22" t="n"/>
    </row>
    <row r="2969">
      <c r="A2969" s="22" t="inlineStr">
        <is>
          <t>0111</t>
        </is>
      </c>
      <c r="B2969" s="11" t="inlineStr">
        <is>
          <t>Carpenter 1st class</t>
        </is>
      </c>
      <c r="C2969" s="22" t="inlineStr">
        <is>
          <t>day</t>
        </is>
      </c>
      <c r="D2969" s="23" t="n">
        <v>0.1</v>
      </c>
      <c r="E2969" s="24" t="n">
        <v>738</v>
      </c>
      <c r="F2969" s="24">
        <f>D2969*E2969</f>
        <v/>
      </c>
      <c r="G2969" s="22" t="n"/>
    </row>
    <row r="2970">
      <c r="A2970" s="8" t="inlineStr">
        <is>
          <t>Calculated W - SUM of the Amount column above</t>
        </is>
      </c>
      <c r="B2970" s="9" t="n"/>
      <c r="C2970" s="9" t="n"/>
      <c r="D2970" s="9" t="n"/>
      <c r="E2970" s="9" t="n"/>
      <c r="F2970" s="25">
        <f>SUM(F2966:F2969)</f>
        <v/>
      </c>
      <c r="G2970" s="9" t="n"/>
    </row>
    <row r="2971">
      <c r="A2971" s="26" t="inlineStr">
        <is>
          <t>W as printed in the DAR</t>
        </is>
      </c>
      <c r="B2971" s="22" t="n"/>
      <c r="C2971" s="22" t="n"/>
      <c r="D2971" s="22" t="n"/>
      <c r="E2971" s="22" t="n"/>
      <c r="F2971" s="27" t="n">
        <v>1547.62</v>
      </c>
      <c r="G2971" s="22" t="n"/>
    </row>
    <row r="2972">
      <c r="A2972" s="26" t="inlineStr">
        <is>
          <t>Difference (calculated - printed)</t>
        </is>
      </c>
      <c r="B2972" s="22" t="n"/>
      <c r="C2972" s="22" t="n"/>
      <c r="D2972" s="22" t="n"/>
      <c r="E2972" s="22" t="n"/>
      <c r="F2972" s="27">
        <f>F2970-F2971</f>
        <v/>
      </c>
      <c r="G2972" s="22" t="n"/>
    </row>
    <row r="2973">
      <c r="A2973" s="29" t="inlineStr">
        <is>
          <t>SAY (Rs.) - final DAR rate as printed (fixed value, not computed)</t>
        </is>
      </c>
      <c r="B2973" s="30" t="n"/>
      <c r="C2973" s="30" t="n"/>
      <c r="D2973" s="30" t="n"/>
      <c r="E2973" s="30" t="n"/>
      <c r="F2973" s="31" t="n">
        <v>207.05</v>
      </c>
      <c r="G2973" s="30" t="n"/>
    </row>
    <row r="2975" ht="18.5" customHeight="1">
      <c r="A2975" s="8" t="inlineStr">
        <is>
          <t>9.94</t>
        </is>
      </c>
      <c r="B2975" s="17" t="inlineStr">
        <is>
          <t>Providing and fixing chromium plated brass casement stays (straight peg type) with necessary screws etc. complete :</t>
        </is>
      </c>
      <c r="C2975" s="9" t="n"/>
      <c r="D2975" s="9" t="n"/>
      <c r="E2975" s="9" t="n"/>
      <c r="F2975" s="9" t="n"/>
      <c r="G2975" s="9" t="n"/>
    </row>
    <row r="2976" ht="18.5" customHeight="1">
      <c r="A2976" s="18" t="inlineStr">
        <is>
          <t>9.94.2</t>
        </is>
      </c>
      <c r="B2976" s="19" t="inlineStr">
        <is>
          <t>250 mm weighing not less than 280 gms</t>
        </is>
      </c>
      <c r="C2976" s="20" t="n"/>
      <c r="D2976" s="20" t="n"/>
      <c r="E2976" s="20" t="n"/>
      <c r="F2976" s="20" t="n"/>
      <c r="G2976" s="20" t="n"/>
    </row>
    <row r="2977">
      <c r="A2977" s="21" t="inlineStr">
        <is>
          <t>Details of cost for 10 nos   |   Source: CivilDAR_2019_Vol_1.pdf, page 554</t>
        </is>
      </c>
    </row>
    <row r="2978">
      <c r="A2978" s="5" t="inlineStr">
        <is>
          <t>Code</t>
        </is>
      </c>
      <c r="B2978" s="5" t="inlineStr">
        <is>
          <t>Description</t>
        </is>
      </c>
      <c r="C2978" s="5" t="inlineStr">
        <is>
          <t>Unit</t>
        </is>
      </c>
      <c r="D2978" s="5" t="inlineStr">
        <is>
          <t>Quantity</t>
        </is>
      </c>
      <c r="E2978" s="5" t="inlineStr">
        <is>
          <t>Rate (Rs.)</t>
        </is>
      </c>
      <c r="F2978" s="5" t="inlineStr">
        <is>
          <t>Amount (Rs.)</t>
        </is>
      </c>
      <c r="G2978" s="5" t="inlineStr">
        <is>
          <t>Note</t>
        </is>
      </c>
    </row>
    <row r="2979">
      <c r="A2979" s="22" t="inlineStr">
        <is>
          <t>0570</t>
        </is>
      </c>
      <c r="B2979" s="11" t="inlineStr">
        <is>
          <t>Chromium plated Brass casement stays (straight peg type ) 250 mm weighing not less than 0.28 kg</t>
        </is>
      </c>
      <c r="C2979" s="22" t="inlineStr">
        <is>
          <t>each</t>
        </is>
      </c>
      <c r="D2979" s="23" t="n">
        <v>10</v>
      </c>
      <c r="E2979" s="24" t="n">
        <v>120</v>
      </c>
      <c r="F2979" s="24">
        <f>D2979*E2979</f>
        <v/>
      </c>
      <c r="G2979" s="22" t="n"/>
    </row>
    <row r="2980">
      <c r="A2980" s="22" t="inlineStr">
        <is>
          <t>0588</t>
        </is>
      </c>
      <c r="B2980" s="11" t="inlineStr">
        <is>
          <t>Chromium plated Brass screws 25 mm</t>
        </is>
      </c>
      <c r="C2980" s="22" t="inlineStr">
        <is>
          <t>100 Nos</t>
        </is>
      </c>
      <c r="D2980" s="23" t="n">
        <v>0.4</v>
      </c>
      <c r="E2980" s="24" t="n">
        <v>180</v>
      </c>
      <c r="F2980" s="24">
        <f>D2980*E2980</f>
        <v/>
      </c>
      <c r="G2980" s="22" t="n"/>
    </row>
    <row r="2981">
      <c r="A2981" s="22" t="inlineStr">
        <is>
          <t>9977</t>
        </is>
      </c>
      <c r="B2981" s="11" t="inlineStr">
        <is>
          <t>Carriage of material</t>
        </is>
      </c>
      <c r="C2981" s="22" t="inlineStr">
        <is>
          <t>L.S.</t>
        </is>
      </c>
      <c r="D2981" s="23" t="n">
        <v>0.91</v>
      </c>
      <c r="E2981" s="24" t="n">
        <v>2</v>
      </c>
      <c r="F2981" s="24">
        <f>D2981*E2981</f>
        <v/>
      </c>
      <c r="G2981" s="22" t="n"/>
    </row>
    <row r="2982">
      <c r="A2982" s="22" t="inlineStr">
        <is>
          <t>0111</t>
        </is>
      </c>
      <c r="B2982" s="11" t="inlineStr">
        <is>
          <t>Carpenter 1st class</t>
        </is>
      </c>
      <c r="C2982" s="22" t="inlineStr">
        <is>
          <t>day</t>
        </is>
      </c>
      <c r="D2982" s="23" t="n">
        <v>0.1</v>
      </c>
      <c r="E2982" s="24" t="n">
        <v>738</v>
      </c>
      <c r="F2982" s="24">
        <f>D2982*E2982</f>
        <v/>
      </c>
      <c r="G2982" s="22" t="n"/>
    </row>
    <row r="2983">
      <c r="A2983" s="8" t="inlineStr">
        <is>
          <t>Calculated W - SUM of the Amount column above</t>
        </is>
      </c>
      <c r="B2983" s="9" t="n"/>
      <c r="C2983" s="9" t="n"/>
      <c r="D2983" s="9" t="n"/>
      <c r="E2983" s="9" t="n"/>
      <c r="F2983" s="25">
        <f>SUM(F2979:F2982)</f>
        <v/>
      </c>
      <c r="G2983" s="9" t="n"/>
    </row>
    <row r="2984">
      <c r="A2984" s="26" t="inlineStr">
        <is>
          <t>W as printed in the DAR</t>
        </is>
      </c>
      <c r="B2984" s="22" t="n"/>
      <c r="C2984" s="22" t="n"/>
      <c r="D2984" s="22" t="n"/>
      <c r="E2984" s="22" t="n"/>
      <c r="F2984" s="27" t="n">
        <v>1347.62</v>
      </c>
      <c r="G2984" s="22" t="n"/>
    </row>
    <row r="2985">
      <c r="A2985" s="26" t="inlineStr">
        <is>
          <t>Difference (calculated - printed)</t>
        </is>
      </c>
      <c r="B2985" s="22" t="n"/>
      <c r="C2985" s="22" t="n"/>
      <c r="D2985" s="22" t="n"/>
      <c r="E2985" s="22" t="n"/>
      <c r="F2985" s="27">
        <f>F2983-F2984</f>
        <v/>
      </c>
      <c r="G2985" s="22" t="n"/>
    </row>
    <row r="2986">
      <c r="A2986" s="29" t="inlineStr">
        <is>
          <t>SAY (Rs.) - final DAR rate as printed (fixed value, not computed)</t>
        </is>
      </c>
      <c r="B2986" s="30" t="n"/>
      <c r="C2986" s="30" t="n"/>
      <c r="D2986" s="30" t="n"/>
      <c r="E2986" s="30" t="n"/>
      <c r="F2986" s="31" t="n">
        <v>180.3</v>
      </c>
      <c r="G2986" s="30" t="n"/>
    </row>
    <row r="2988" ht="18.5" customHeight="1">
      <c r="A2988" s="8" t="inlineStr">
        <is>
          <t>9.94</t>
        </is>
      </c>
      <c r="B2988" s="17" t="inlineStr">
        <is>
          <t>Providing and fixing chromium plated brass casement stays (straight peg type) with necessary screws etc. complete :</t>
        </is>
      </c>
      <c r="C2988" s="9" t="n"/>
      <c r="D2988" s="9" t="n"/>
      <c r="E2988" s="9" t="n"/>
      <c r="F2988" s="9" t="n"/>
      <c r="G2988" s="9" t="n"/>
    </row>
    <row r="2989" ht="18.5" customHeight="1">
      <c r="A2989" s="18" t="inlineStr">
        <is>
          <t>9.94.3</t>
        </is>
      </c>
      <c r="B2989" s="19" t="inlineStr">
        <is>
          <t>200 mm weighing not less than 240 gms</t>
        </is>
      </c>
      <c r="C2989" s="20" t="n"/>
      <c r="D2989" s="20" t="n"/>
      <c r="E2989" s="20" t="n"/>
      <c r="F2989" s="20" t="n"/>
      <c r="G2989" s="20" t="n"/>
    </row>
    <row r="2990">
      <c r="A2990" s="21" t="inlineStr">
        <is>
          <t>Details of cost for 10 nos   |   Source: CivilDAR_2019_Vol_1.pdf, page 554</t>
        </is>
      </c>
    </row>
    <row r="2991">
      <c r="A2991" s="5" t="inlineStr">
        <is>
          <t>Code</t>
        </is>
      </c>
      <c r="B2991" s="5" t="inlineStr">
        <is>
          <t>Description</t>
        </is>
      </c>
      <c r="C2991" s="5" t="inlineStr">
        <is>
          <t>Unit</t>
        </is>
      </c>
      <c r="D2991" s="5" t="inlineStr">
        <is>
          <t>Quantity</t>
        </is>
      </c>
      <c r="E2991" s="5" t="inlineStr">
        <is>
          <t>Rate (Rs.)</t>
        </is>
      </c>
      <c r="F2991" s="5" t="inlineStr">
        <is>
          <t>Amount (Rs.)</t>
        </is>
      </c>
      <c r="G2991" s="5" t="inlineStr">
        <is>
          <t>Note</t>
        </is>
      </c>
    </row>
    <row r="2992">
      <c r="A2992" s="22" t="inlineStr">
        <is>
          <t>0571</t>
        </is>
      </c>
      <c r="B2992" s="11" t="inlineStr">
        <is>
          <t>Chromium plated Brass casement stays (straight peg type ) 200 mm weighing not less than 0.24 kg</t>
        </is>
      </c>
      <c r="C2992" s="22" t="inlineStr">
        <is>
          <t>each</t>
        </is>
      </c>
      <c r="D2992" s="23" t="n">
        <v>10</v>
      </c>
      <c r="E2992" s="24" t="n">
        <v>100</v>
      </c>
      <c r="F2992" s="24">
        <f>D2992*E2992</f>
        <v/>
      </c>
      <c r="G2992" s="22" t="n"/>
    </row>
    <row r="2993">
      <c r="A2993" s="22" t="inlineStr">
        <is>
          <t>0588</t>
        </is>
      </c>
      <c r="B2993" s="11" t="inlineStr">
        <is>
          <t>Chromium plated Brass screws 25 mm</t>
        </is>
      </c>
      <c r="C2993" s="22" t="inlineStr">
        <is>
          <t>100 Nos</t>
        </is>
      </c>
      <c r="D2993" s="23" t="n">
        <v>0.4</v>
      </c>
      <c r="E2993" s="24" t="n">
        <v>180</v>
      </c>
      <c r="F2993" s="24">
        <f>D2993*E2993</f>
        <v/>
      </c>
      <c r="G2993" s="22" t="n"/>
    </row>
    <row r="2994">
      <c r="A2994" s="22" t="inlineStr">
        <is>
          <t>9977</t>
        </is>
      </c>
      <c r="B2994" s="11" t="inlineStr">
        <is>
          <t>Carriage of material</t>
        </is>
      </c>
      <c r="C2994" s="22" t="inlineStr">
        <is>
          <t>L.S.</t>
        </is>
      </c>
      <c r="D2994" s="23" t="n">
        <v>0.91</v>
      </c>
      <c r="E2994" s="24" t="n">
        <v>2</v>
      </c>
      <c r="F2994" s="24">
        <f>D2994*E2994</f>
        <v/>
      </c>
      <c r="G2994" s="22" t="n"/>
    </row>
    <row r="2995">
      <c r="A2995" s="22" t="inlineStr">
        <is>
          <t>0111</t>
        </is>
      </c>
      <c r="B2995" s="11" t="inlineStr">
        <is>
          <t>Carpenter 1st class</t>
        </is>
      </c>
      <c r="C2995" s="22" t="inlineStr">
        <is>
          <t>day</t>
        </is>
      </c>
      <c r="D2995" s="23" t="n">
        <v>0.1</v>
      </c>
      <c r="E2995" s="24" t="n">
        <v>738</v>
      </c>
      <c r="F2995" s="24">
        <f>D2995*E2995</f>
        <v/>
      </c>
      <c r="G2995" s="22" t="n"/>
    </row>
    <row r="2996">
      <c r="A2996" s="8" t="inlineStr">
        <is>
          <t>Calculated W - SUM of the Amount column above</t>
        </is>
      </c>
      <c r="B2996" s="9" t="n"/>
      <c r="C2996" s="9" t="n"/>
      <c r="D2996" s="9" t="n"/>
      <c r="E2996" s="9" t="n"/>
      <c r="F2996" s="25">
        <f>SUM(F2992:F2995)</f>
        <v/>
      </c>
      <c r="G2996" s="9" t="n"/>
    </row>
    <row r="2997">
      <c r="A2997" s="26" t="inlineStr">
        <is>
          <t>W as printed in the DAR</t>
        </is>
      </c>
      <c r="B2997" s="22" t="n"/>
      <c r="C2997" s="22" t="n"/>
      <c r="D2997" s="22" t="n"/>
      <c r="E2997" s="22" t="n"/>
      <c r="F2997" s="27" t="n">
        <v>1147.62</v>
      </c>
      <c r="G2997" s="22" t="n"/>
    </row>
    <row r="2998">
      <c r="A2998" s="26" t="inlineStr">
        <is>
          <t>Difference (calculated - printed)</t>
        </is>
      </c>
      <c r="B2998" s="22" t="n"/>
      <c r="C2998" s="22" t="n"/>
      <c r="D2998" s="22" t="n"/>
      <c r="E2998" s="22" t="n"/>
      <c r="F2998" s="27">
        <f>F2996-F2997</f>
        <v/>
      </c>
      <c r="G2998" s="22" t="n"/>
    </row>
    <row r="2999">
      <c r="A2999" s="29" t="inlineStr">
        <is>
          <t>SAY (Rs.) - final DAR rate as printed (fixed value, not computed)</t>
        </is>
      </c>
      <c r="B2999" s="30" t="n"/>
      <c r="C2999" s="30" t="n"/>
      <c r="D2999" s="30" t="n"/>
      <c r="E2999" s="30" t="n"/>
      <c r="F2999" s="31" t="n">
        <v>153.55</v>
      </c>
      <c r="G2999" s="30" t="n"/>
    </row>
    <row r="3001" ht="33" customHeight="1">
      <c r="A3001" s="8" t="inlineStr">
        <is>
          <t>9.95</t>
        </is>
      </c>
      <c r="B3001" s="17" t="inlineStr">
        <is>
          <t>Providing and fixing ISI marked aluminium butt hinges anodised (anodic coating not less than grade AC 10 as per IS: 1868) transparent or dyed to required colour or shade with necessary screws etc. complete:</t>
        </is>
      </c>
      <c r="C3001" s="9" t="n"/>
      <c r="D3001" s="9" t="n"/>
      <c r="E3001" s="9" t="n"/>
      <c r="F3001" s="9" t="n"/>
      <c r="G3001" s="9" t="n"/>
    </row>
    <row r="3002" ht="18.5" customHeight="1">
      <c r="A3002" s="18" t="inlineStr">
        <is>
          <t>9.95.1</t>
        </is>
      </c>
      <c r="B3002" s="19" t="inlineStr">
        <is>
          <t>125x75x4 mm</t>
        </is>
      </c>
      <c r="C3002" s="20" t="n"/>
      <c r="D3002" s="20" t="n"/>
      <c r="E3002" s="20" t="n"/>
      <c r="F3002" s="20" t="n"/>
      <c r="G3002" s="20" t="n"/>
    </row>
    <row r="3003">
      <c r="A3003" s="21" t="inlineStr">
        <is>
          <t>Details of cost for 10 nos   |   Source: CivilDAR_2019_Vol_1.pdf, page 555</t>
        </is>
      </c>
    </row>
    <row r="3004">
      <c r="A3004" s="5" t="inlineStr">
        <is>
          <t>Code</t>
        </is>
      </c>
      <c r="B3004" s="5" t="inlineStr">
        <is>
          <t>Description</t>
        </is>
      </c>
      <c r="C3004" s="5" t="inlineStr">
        <is>
          <t>Unit</t>
        </is>
      </c>
      <c r="D3004" s="5" t="inlineStr">
        <is>
          <t>Quantity</t>
        </is>
      </c>
      <c r="E3004" s="5" t="inlineStr">
        <is>
          <t>Rate (Rs.)</t>
        </is>
      </c>
      <c r="F3004" s="5" t="inlineStr">
        <is>
          <t>Amount (Rs.)</t>
        </is>
      </c>
      <c r="G3004" s="5" t="inlineStr">
        <is>
          <t>Note</t>
        </is>
      </c>
    </row>
    <row r="3005">
      <c r="A3005" s="22" t="inlineStr">
        <is>
          <t>0687</t>
        </is>
      </c>
      <c r="B3005" s="11" t="inlineStr">
        <is>
          <t>Anodised Aluminium butt hinges 125x75x4 mm</t>
        </is>
      </c>
      <c r="C3005" s="22" t="inlineStr">
        <is>
          <t>10 Nos</t>
        </is>
      </c>
      <c r="D3005" s="23" t="n">
        <v>1</v>
      </c>
      <c r="E3005" s="24" t="n">
        <v>560</v>
      </c>
      <c r="F3005" s="24">
        <f>D3005*E3005</f>
        <v/>
      </c>
      <c r="G3005" s="22" t="n"/>
    </row>
    <row r="3006">
      <c r="A3006" s="22" t="inlineStr">
        <is>
          <t>0585</t>
        </is>
      </c>
      <c r="B3006" s="11" t="inlineStr">
        <is>
          <t>Chromium plated Brass screws 50 mm</t>
        </is>
      </c>
      <c r="C3006" s="22" t="inlineStr">
        <is>
          <t>100 Nos</t>
        </is>
      </c>
      <c r="D3006" s="23" t="n">
        <v>1</v>
      </c>
      <c r="E3006" s="24" t="n">
        <v>300</v>
      </c>
      <c r="F3006" s="24">
        <f>D3006*E3006</f>
        <v/>
      </c>
      <c r="G3006" s="22" t="n"/>
    </row>
    <row r="3007">
      <c r="A3007" s="22" t="inlineStr">
        <is>
          <t>9977</t>
        </is>
      </c>
      <c r="B3007" s="11" t="inlineStr">
        <is>
          <t>Carriage of materials</t>
        </is>
      </c>
      <c r="C3007" s="22" t="inlineStr">
        <is>
          <t>L.S.</t>
        </is>
      </c>
      <c r="D3007" s="23" t="n">
        <v>3.64</v>
      </c>
      <c r="E3007" s="24" t="n">
        <v>2</v>
      </c>
      <c r="F3007" s="24">
        <f>D3007*E3007</f>
        <v/>
      </c>
      <c r="G3007" s="22" t="n"/>
    </row>
    <row r="3008">
      <c r="A3008" s="22" t="inlineStr">
        <is>
          <t>0111</t>
        </is>
      </c>
      <c r="B3008" s="11" t="inlineStr">
        <is>
          <t>Carpenter 1st class</t>
        </is>
      </c>
      <c r="C3008" s="22" t="inlineStr">
        <is>
          <t>day</t>
        </is>
      </c>
      <c r="D3008" s="23" t="n">
        <v>0.14</v>
      </c>
      <c r="E3008" s="24" t="n">
        <v>738</v>
      </c>
      <c r="F3008" s="24">
        <f>D3008*E3008</f>
        <v/>
      </c>
      <c r="G3008" s="22" t="n"/>
    </row>
    <row r="3009">
      <c r="A3009" s="22" t="inlineStr">
        <is>
          <t>0114</t>
        </is>
      </c>
      <c r="B3009" s="11" t="inlineStr">
        <is>
          <t>Beldar</t>
        </is>
      </c>
      <c r="C3009" s="22" t="inlineStr">
        <is>
          <t>day</t>
        </is>
      </c>
      <c r="D3009" s="23" t="n">
        <v>0.09</v>
      </c>
      <c r="E3009" s="24" t="n">
        <v>558</v>
      </c>
      <c r="F3009" s="24">
        <f>D3009*E3009</f>
        <v/>
      </c>
      <c r="G3009" s="22" t="n"/>
    </row>
    <row r="3010">
      <c r="A3010" s="8" t="inlineStr">
        <is>
          <t>Calculated W - SUM of the Amount column above</t>
        </is>
      </c>
      <c r="B3010" s="9" t="n"/>
      <c r="C3010" s="9" t="n"/>
      <c r="D3010" s="9" t="n"/>
      <c r="E3010" s="9" t="n"/>
      <c r="F3010" s="25">
        <f>SUM(F3005:F3009)</f>
        <v/>
      </c>
      <c r="G3010" s="9" t="n"/>
    </row>
    <row r="3011">
      <c r="A3011" s="26" t="inlineStr">
        <is>
          <t>W as printed in the DAR</t>
        </is>
      </c>
      <c r="B3011" s="22" t="n"/>
      <c r="C3011" s="22" t="n"/>
      <c r="D3011" s="22" t="n"/>
      <c r="E3011" s="22" t="n"/>
      <c r="F3011" s="27" t="n">
        <v>1020.82</v>
      </c>
      <c r="G3011" s="22" t="n"/>
    </row>
    <row r="3012">
      <c r="A3012" s="26" t="inlineStr">
        <is>
          <t>Difference (calculated - printed)</t>
        </is>
      </c>
      <c r="B3012" s="22" t="n"/>
      <c r="C3012" s="22" t="n"/>
      <c r="D3012" s="22" t="n"/>
      <c r="E3012" s="22" t="n"/>
      <c r="F3012" s="27">
        <f>F3010-F3011</f>
        <v/>
      </c>
      <c r="G3012" s="22" t="n"/>
    </row>
    <row r="3013">
      <c r="A3013" s="29" t="inlineStr">
        <is>
          <t>SAY (Rs.) - final DAR rate as printed (fixed value, not computed)</t>
        </is>
      </c>
      <c r="B3013" s="30" t="n"/>
      <c r="C3013" s="30" t="n"/>
      <c r="D3013" s="30" t="n"/>
      <c r="E3013" s="30" t="n"/>
      <c r="F3013" s="31" t="n">
        <v>136.6</v>
      </c>
      <c r="G3013" s="30" t="n"/>
    </row>
    <row r="3015" ht="33" customHeight="1">
      <c r="A3015" s="8" t="inlineStr">
        <is>
          <t>9.95</t>
        </is>
      </c>
      <c r="B3015" s="17" t="inlineStr">
        <is>
          <t>Providing and fixing ISI marked aluminium butt hinges anodised (anodic coating not less than grade AC 10 as per IS: 1868) transparent or dyed to required colour or shade with necessary screws etc. complete:</t>
        </is>
      </c>
      <c r="C3015" s="9" t="n"/>
      <c r="D3015" s="9" t="n"/>
      <c r="E3015" s="9" t="n"/>
      <c r="F3015" s="9" t="n"/>
      <c r="G3015" s="9" t="n"/>
    </row>
    <row r="3016" ht="18.5" customHeight="1">
      <c r="A3016" s="18" t="inlineStr">
        <is>
          <t>9.95.2</t>
        </is>
      </c>
      <c r="B3016" s="19" t="inlineStr">
        <is>
          <t>125x63x4 mm</t>
        </is>
      </c>
      <c r="C3016" s="20" t="n"/>
      <c r="D3016" s="20" t="n"/>
      <c r="E3016" s="20" t="n"/>
      <c r="F3016" s="20" t="n"/>
      <c r="G3016" s="20" t="n"/>
    </row>
    <row r="3017">
      <c r="A3017" s="21" t="inlineStr">
        <is>
          <t>Details of cost for 10 nos   |   Source: CivilDAR_2019_Vol_1.pdf, page 556</t>
        </is>
      </c>
    </row>
    <row r="3018">
      <c r="A3018" s="5" t="inlineStr">
        <is>
          <t>Code</t>
        </is>
      </c>
      <c r="B3018" s="5" t="inlineStr">
        <is>
          <t>Description</t>
        </is>
      </c>
      <c r="C3018" s="5" t="inlineStr">
        <is>
          <t>Unit</t>
        </is>
      </c>
      <c r="D3018" s="5" t="inlineStr">
        <is>
          <t>Quantity</t>
        </is>
      </c>
      <c r="E3018" s="5" t="inlineStr">
        <is>
          <t>Rate (Rs.)</t>
        </is>
      </c>
      <c r="F3018" s="5" t="inlineStr">
        <is>
          <t>Amount (Rs.)</t>
        </is>
      </c>
      <c r="G3018" s="5" t="inlineStr">
        <is>
          <t>Note</t>
        </is>
      </c>
    </row>
    <row r="3019">
      <c r="A3019" s="22" t="inlineStr">
        <is>
          <t>0688</t>
        </is>
      </c>
      <c r="B3019" s="11" t="inlineStr">
        <is>
          <t>Anodised Aluminium butt hinges 125x63x4 mm</t>
        </is>
      </c>
      <c r="C3019" s="22" t="inlineStr">
        <is>
          <t>10 Nos</t>
        </is>
      </c>
      <c r="D3019" s="23" t="n">
        <v>1</v>
      </c>
      <c r="E3019" s="24" t="n">
        <v>393</v>
      </c>
      <c r="F3019" s="24">
        <f>D3019*E3019</f>
        <v/>
      </c>
      <c r="G3019" s="22" t="n"/>
    </row>
    <row r="3020">
      <c r="A3020" s="22" t="inlineStr">
        <is>
          <t>0585</t>
        </is>
      </c>
      <c r="B3020" s="11" t="inlineStr">
        <is>
          <t>Chromium plated Brass screws 50 mm</t>
        </is>
      </c>
      <c r="C3020" s="22" t="inlineStr">
        <is>
          <t>100 Nos</t>
        </is>
      </c>
      <c r="D3020" s="23" t="n">
        <v>1</v>
      </c>
      <c r="E3020" s="24" t="n">
        <v>300</v>
      </c>
      <c r="F3020" s="24">
        <f>D3020*E3020</f>
        <v/>
      </c>
      <c r="G3020" s="22" t="n"/>
    </row>
    <row r="3021">
      <c r="A3021" s="22" t="inlineStr">
        <is>
          <t>9977</t>
        </is>
      </c>
      <c r="B3021" s="11" t="inlineStr">
        <is>
          <t>Carriage of materials</t>
        </is>
      </c>
      <c r="C3021" s="22" t="inlineStr">
        <is>
          <t>L.S.</t>
        </is>
      </c>
      <c r="D3021" s="23" t="n">
        <v>3.64</v>
      </c>
      <c r="E3021" s="24" t="n">
        <v>2</v>
      </c>
      <c r="F3021" s="24">
        <f>D3021*E3021</f>
        <v/>
      </c>
      <c r="G3021" s="22" t="n"/>
    </row>
    <row r="3022">
      <c r="A3022" s="22" t="inlineStr">
        <is>
          <t>0111</t>
        </is>
      </c>
      <c r="B3022" s="11" t="inlineStr">
        <is>
          <t>Carpenter 1st class</t>
        </is>
      </c>
      <c r="C3022" s="22" t="inlineStr">
        <is>
          <t>day</t>
        </is>
      </c>
      <c r="D3022" s="23" t="n">
        <v>0.14</v>
      </c>
      <c r="E3022" s="24" t="n">
        <v>738</v>
      </c>
      <c r="F3022" s="24">
        <f>D3022*E3022</f>
        <v/>
      </c>
      <c r="G3022" s="22" t="n"/>
    </row>
    <row r="3023">
      <c r="A3023" s="22" t="inlineStr">
        <is>
          <t>0114</t>
        </is>
      </c>
      <c r="B3023" s="11" t="inlineStr">
        <is>
          <t>Beldar</t>
        </is>
      </c>
      <c r="C3023" s="22" t="inlineStr">
        <is>
          <t>day</t>
        </is>
      </c>
      <c r="D3023" s="23" t="n">
        <v>0.09</v>
      </c>
      <c r="E3023" s="24" t="n">
        <v>558</v>
      </c>
      <c r="F3023" s="24">
        <f>D3023*E3023</f>
        <v/>
      </c>
      <c r="G3023" s="22" t="n"/>
    </row>
    <row r="3024">
      <c r="A3024" s="8" t="inlineStr">
        <is>
          <t>Calculated W - SUM of the Amount column above</t>
        </is>
      </c>
      <c r="B3024" s="9" t="n"/>
      <c r="C3024" s="9" t="n"/>
      <c r="D3024" s="9" t="n"/>
      <c r="E3024" s="9" t="n"/>
      <c r="F3024" s="25">
        <f>SUM(F3019:F3023)</f>
        <v/>
      </c>
      <c r="G3024" s="9" t="n"/>
    </row>
    <row r="3025">
      <c r="A3025" s="26" t="inlineStr">
        <is>
          <t>W as printed in the DAR</t>
        </is>
      </c>
      <c r="B3025" s="22" t="n"/>
      <c r="C3025" s="22" t="n"/>
      <c r="D3025" s="22" t="n"/>
      <c r="E3025" s="22" t="n"/>
      <c r="F3025" s="27" t="n">
        <v>853.8200000000001</v>
      </c>
      <c r="G3025" s="22" t="n"/>
    </row>
    <row r="3026">
      <c r="A3026" s="26" t="inlineStr">
        <is>
          <t>Difference (calculated - printed)</t>
        </is>
      </c>
      <c r="B3026" s="22" t="n"/>
      <c r="C3026" s="22" t="n"/>
      <c r="D3026" s="22" t="n"/>
      <c r="E3026" s="22" t="n"/>
      <c r="F3026" s="27">
        <f>F3024-F3025</f>
        <v/>
      </c>
      <c r="G3026" s="22" t="n"/>
    </row>
    <row r="3027">
      <c r="A3027" s="29" t="inlineStr">
        <is>
          <t>SAY (Rs.) - final DAR rate as printed (fixed value, not computed)</t>
        </is>
      </c>
      <c r="B3027" s="30" t="n"/>
      <c r="C3027" s="30" t="n"/>
      <c r="D3027" s="30" t="n"/>
      <c r="E3027" s="30" t="n"/>
      <c r="F3027" s="31" t="n">
        <v>114.25</v>
      </c>
      <c r="G3027" s="30" t="n"/>
    </row>
    <row r="3029" ht="33" customHeight="1">
      <c r="A3029" s="8" t="inlineStr">
        <is>
          <t>9.95</t>
        </is>
      </c>
      <c r="B3029" s="17" t="inlineStr">
        <is>
          <t>Providing and fixing ISI marked aluminium butt hinges anodised (anodic coating not less than grade AC 10 as per IS: 1868) transparent or dyed to required colour or shade with necessary screws etc. complete:</t>
        </is>
      </c>
      <c r="C3029" s="9" t="n"/>
      <c r="D3029" s="9" t="n"/>
      <c r="E3029" s="9" t="n"/>
      <c r="F3029" s="9" t="n"/>
      <c r="G3029" s="9" t="n"/>
    </row>
    <row r="3030" ht="18.5" customHeight="1">
      <c r="A3030" s="18" t="inlineStr">
        <is>
          <t>9.95.3</t>
        </is>
      </c>
      <c r="B3030" s="19" t="inlineStr">
        <is>
          <t>100x75x4 mm</t>
        </is>
      </c>
      <c r="C3030" s="20" t="n"/>
      <c r="D3030" s="20" t="n"/>
      <c r="E3030" s="20" t="n"/>
      <c r="F3030" s="20" t="n"/>
      <c r="G3030" s="20" t="n"/>
    </row>
    <row r="3031">
      <c r="A3031" s="21" t="inlineStr">
        <is>
          <t>Details of cost for 10 nos   |   Source: CivilDAR_2019_Vol_1.pdf, page 556</t>
        </is>
      </c>
    </row>
    <row r="3032">
      <c r="A3032" s="5" t="inlineStr">
        <is>
          <t>Code</t>
        </is>
      </c>
      <c r="B3032" s="5" t="inlineStr">
        <is>
          <t>Description</t>
        </is>
      </c>
      <c r="C3032" s="5" t="inlineStr">
        <is>
          <t>Unit</t>
        </is>
      </c>
      <c r="D3032" s="5" t="inlineStr">
        <is>
          <t>Quantity</t>
        </is>
      </c>
      <c r="E3032" s="5" t="inlineStr">
        <is>
          <t>Rate (Rs.)</t>
        </is>
      </c>
      <c r="F3032" s="5" t="inlineStr">
        <is>
          <t>Amount (Rs.)</t>
        </is>
      </c>
      <c r="G3032" s="5" t="inlineStr">
        <is>
          <t>Note</t>
        </is>
      </c>
    </row>
    <row r="3033">
      <c r="A3033" s="22" t="inlineStr">
        <is>
          <t>0689</t>
        </is>
      </c>
      <c r="B3033" s="11" t="inlineStr">
        <is>
          <t>Anodised Aluminium butt hinges 100x75x4 mm</t>
        </is>
      </c>
      <c r="C3033" s="22" t="inlineStr">
        <is>
          <t>10 Nos</t>
        </is>
      </c>
      <c r="D3033" s="23" t="n">
        <v>1</v>
      </c>
      <c r="E3033" s="24" t="n">
        <v>393</v>
      </c>
      <c r="F3033" s="24">
        <f>D3033*E3033</f>
        <v/>
      </c>
      <c r="G3033" s="22" t="n"/>
    </row>
    <row r="3034">
      <c r="A3034" s="22" t="inlineStr">
        <is>
          <t>0586</t>
        </is>
      </c>
      <c r="B3034" s="11" t="inlineStr">
        <is>
          <t>Chromium plated Brass screws 40 mm</t>
        </is>
      </c>
      <c r="C3034" s="22" t="inlineStr">
        <is>
          <t>100 Nos</t>
        </is>
      </c>
      <c r="D3034" s="23" t="n">
        <v>0.8</v>
      </c>
      <c r="E3034" s="24" t="n">
        <v>290</v>
      </c>
      <c r="F3034" s="24">
        <f>D3034*E3034</f>
        <v/>
      </c>
      <c r="G3034" s="22" t="n"/>
    </row>
    <row r="3035">
      <c r="A3035" s="22" t="inlineStr">
        <is>
          <t>9977</t>
        </is>
      </c>
      <c r="B3035" s="11" t="inlineStr">
        <is>
          <t>Carriage of materials</t>
        </is>
      </c>
      <c r="C3035" s="22" t="inlineStr">
        <is>
          <t>L.S.</t>
        </is>
      </c>
      <c r="D3035" s="23" t="n">
        <v>2.73</v>
      </c>
      <c r="E3035" s="24" t="n">
        <v>2</v>
      </c>
      <c r="F3035" s="24">
        <f>D3035*E3035</f>
        <v/>
      </c>
      <c r="G3035" s="22" t="n"/>
    </row>
    <row r="3036">
      <c r="A3036" s="22" t="inlineStr">
        <is>
          <t>0111</t>
        </is>
      </c>
      <c r="B3036" s="11" t="inlineStr">
        <is>
          <t>Carpenter 1st class</t>
        </is>
      </c>
      <c r="C3036" s="22" t="inlineStr">
        <is>
          <t>day</t>
        </is>
      </c>
      <c r="D3036" s="23" t="n">
        <v>0.14</v>
      </c>
      <c r="E3036" s="24" t="n">
        <v>738</v>
      </c>
      <c r="F3036" s="24">
        <f>D3036*E3036</f>
        <v/>
      </c>
      <c r="G3036" s="22" t="n"/>
    </row>
    <row r="3037">
      <c r="A3037" s="22" t="inlineStr">
        <is>
          <t>0114</t>
        </is>
      </c>
      <c r="B3037" s="11" t="inlineStr">
        <is>
          <t>Beldar</t>
        </is>
      </c>
      <c r="C3037" s="22" t="inlineStr">
        <is>
          <t>day</t>
        </is>
      </c>
      <c r="D3037" s="23" t="n">
        <v>0.09</v>
      </c>
      <c r="E3037" s="24" t="n">
        <v>558</v>
      </c>
      <c r="F3037" s="24">
        <f>D3037*E3037</f>
        <v/>
      </c>
      <c r="G3037" s="22" t="n"/>
    </row>
    <row r="3038">
      <c r="A3038" s="8" t="inlineStr">
        <is>
          <t>Calculated W - SUM of the Amount column above</t>
        </is>
      </c>
      <c r="B3038" s="9" t="n"/>
      <c r="C3038" s="9" t="n"/>
      <c r="D3038" s="9" t="n"/>
      <c r="E3038" s="9" t="n"/>
      <c r="F3038" s="25">
        <f>SUM(F3033:F3037)</f>
        <v/>
      </c>
      <c r="G3038" s="9" t="n"/>
    </row>
    <row r="3039">
      <c r="A3039" s="26" t="inlineStr">
        <is>
          <t>W as printed in the DAR</t>
        </is>
      </c>
      <c r="B3039" s="22" t="n"/>
      <c r="C3039" s="22" t="n"/>
      <c r="D3039" s="22" t="n"/>
      <c r="E3039" s="22" t="n"/>
      <c r="F3039" s="27" t="n">
        <v>784</v>
      </c>
      <c r="G3039" s="22" t="n"/>
    </row>
    <row r="3040">
      <c r="A3040" s="26" t="inlineStr">
        <is>
          <t>Difference (calculated - printed)</t>
        </is>
      </c>
      <c r="B3040" s="22" t="n"/>
      <c r="C3040" s="22" t="n"/>
      <c r="D3040" s="22" t="n"/>
      <c r="E3040" s="22" t="n"/>
      <c r="F3040" s="27">
        <f>F3038-F3039</f>
        <v/>
      </c>
      <c r="G3040" s="22" t="n"/>
    </row>
    <row r="3041">
      <c r="A3041" s="29" t="inlineStr">
        <is>
          <t>SAY (Rs.) - final DAR rate as printed (fixed value, not computed)</t>
        </is>
      </c>
      <c r="B3041" s="30" t="n"/>
      <c r="C3041" s="30" t="n"/>
      <c r="D3041" s="30" t="n"/>
      <c r="E3041" s="30" t="n"/>
      <c r="F3041" s="31" t="n">
        <v>104.9</v>
      </c>
      <c r="G3041" s="30" t="n"/>
    </row>
    <row r="3043" ht="33" customHeight="1">
      <c r="A3043" s="8" t="inlineStr">
        <is>
          <t>9.95</t>
        </is>
      </c>
      <c r="B3043" s="17" t="inlineStr">
        <is>
          <t>Providing and fixing ISI marked aluminium butt hinges anodised (anodic coating not less than grade AC 10 as per IS: 1868) transparent or dyed to required colour or shade with necessary screws etc. complete:</t>
        </is>
      </c>
      <c r="C3043" s="9" t="n"/>
      <c r="D3043" s="9" t="n"/>
      <c r="E3043" s="9" t="n"/>
      <c r="F3043" s="9" t="n"/>
      <c r="G3043" s="9" t="n"/>
    </row>
    <row r="3044" ht="18.5" customHeight="1">
      <c r="A3044" s="18" t="inlineStr">
        <is>
          <t>9.95.4</t>
        </is>
      </c>
      <c r="B3044" s="19" t="inlineStr">
        <is>
          <t>100x63x4 mm</t>
        </is>
      </c>
      <c r="C3044" s="20" t="n"/>
      <c r="D3044" s="20" t="n"/>
      <c r="E3044" s="20" t="n"/>
      <c r="F3044" s="20" t="n"/>
      <c r="G3044" s="20" t="n"/>
    </row>
    <row r="3045">
      <c r="A3045" s="21" t="inlineStr">
        <is>
          <t>Details of cost for 10 nos   |   Source: CivilDAR_2019_Vol_1.pdf, page 557</t>
        </is>
      </c>
    </row>
    <row r="3046">
      <c r="A3046" s="5" t="inlineStr">
        <is>
          <t>Code</t>
        </is>
      </c>
      <c r="B3046" s="5" t="inlineStr">
        <is>
          <t>Description</t>
        </is>
      </c>
      <c r="C3046" s="5" t="inlineStr">
        <is>
          <t>Unit</t>
        </is>
      </c>
      <c r="D3046" s="5" t="inlineStr">
        <is>
          <t>Quantity</t>
        </is>
      </c>
      <c r="E3046" s="5" t="inlineStr">
        <is>
          <t>Rate (Rs.)</t>
        </is>
      </c>
      <c r="F3046" s="5" t="inlineStr">
        <is>
          <t>Amount (Rs.)</t>
        </is>
      </c>
      <c r="G3046" s="5" t="inlineStr">
        <is>
          <t>Note</t>
        </is>
      </c>
    </row>
    <row r="3047">
      <c r="A3047" s="22" t="inlineStr">
        <is>
          <t>0691</t>
        </is>
      </c>
      <c r="B3047" s="11" t="inlineStr">
        <is>
          <t>Anodised Aluminium butt hinges 100x63x4 mm</t>
        </is>
      </c>
      <c r="C3047" s="22" t="inlineStr">
        <is>
          <t>10 Nos</t>
        </is>
      </c>
      <c r="D3047" s="23" t="n">
        <v>1</v>
      </c>
      <c r="E3047" s="24" t="n">
        <v>324</v>
      </c>
      <c r="F3047" s="24">
        <f>D3047*E3047</f>
        <v/>
      </c>
      <c r="G3047" s="22" t="n"/>
    </row>
    <row r="3048">
      <c r="A3048" s="22" t="inlineStr">
        <is>
          <t>0586</t>
        </is>
      </c>
      <c r="B3048" s="11" t="inlineStr">
        <is>
          <t>Chromium plated Brass screws 40 mm</t>
        </is>
      </c>
      <c r="C3048" s="22" t="inlineStr">
        <is>
          <t>100 Nos</t>
        </is>
      </c>
      <c r="D3048" s="23" t="n">
        <v>0.8</v>
      </c>
      <c r="E3048" s="24" t="n">
        <v>290</v>
      </c>
      <c r="F3048" s="24">
        <f>D3048*E3048</f>
        <v/>
      </c>
      <c r="G3048" s="22" t="n"/>
    </row>
    <row r="3049">
      <c r="A3049" s="22" t="inlineStr">
        <is>
          <t>9977</t>
        </is>
      </c>
      <c r="B3049" s="11" t="inlineStr">
        <is>
          <t>Carriage of materials</t>
        </is>
      </c>
      <c r="C3049" s="22" t="inlineStr">
        <is>
          <t>L.S.</t>
        </is>
      </c>
      <c r="D3049" s="23" t="n">
        <v>2.73</v>
      </c>
      <c r="E3049" s="24" t="n">
        <v>2</v>
      </c>
      <c r="F3049" s="24">
        <f>D3049*E3049</f>
        <v/>
      </c>
      <c r="G3049" s="22" t="n"/>
    </row>
    <row r="3050">
      <c r="A3050" s="22" t="inlineStr">
        <is>
          <t>0111</t>
        </is>
      </c>
      <c r="B3050" s="11" t="inlineStr">
        <is>
          <t>Carpenter 1st class</t>
        </is>
      </c>
      <c r="C3050" s="22" t="inlineStr">
        <is>
          <t>day</t>
        </is>
      </c>
      <c r="D3050" s="23" t="n">
        <v>0.14</v>
      </c>
      <c r="E3050" s="24" t="n">
        <v>738</v>
      </c>
      <c r="F3050" s="24">
        <f>D3050*E3050</f>
        <v/>
      </c>
      <c r="G3050" s="22" t="n"/>
    </row>
    <row r="3051">
      <c r="A3051" s="22" t="inlineStr">
        <is>
          <t>0114</t>
        </is>
      </c>
      <c r="B3051" s="11" t="inlineStr">
        <is>
          <t>Beldar</t>
        </is>
      </c>
      <c r="C3051" s="22" t="inlineStr">
        <is>
          <t>day</t>
        </is>
      </c>
      <c r="D3051" s="23" t="n">
        <v>0.09</v>
      </c>
      <c r="E3051" s="24" t="n">
        <v>558</v>
      </c>
      <c r="F3051" s="24">
        <f>D3051*E3051</f>
        <v/>
      </c>
      <c r="G3051" s="22" t="n"/>
    </row>
    <row r="3052">
      <c r="A3052" s="8" t="inlineStr">
        <is>
          <t>Calculated W - SUM of the Amount column above</t>
        </is>
      </c>
      <c r="B3052" s="9" t="n"/>
      <c r="C3052" s="9" t="n"/>
      <c r="D3052" s="9" t="n"/>
      <c r="E3052" s="9" t="n"/>
      <c r="F3052" s="25">
        <f>SUM(F3047:F3051)</f>
        <v/>
      </c>
      <c r="G3052" s="9" t="n"/>
    </row>
    <row r="3053">
      <c r="A3053" s="26" t="inlineStr">
        <is>
          <t>W as printed in the DAR</t>
        </is>
      </c>
      <c r="B3053" s="22" t="n"/>
      <c r="C3053" s="22" t="n"/>
      <c r="D3053" s="22" t="n"/>
      <c r="E3053" s="22" t="n"/>
      <c r="F3053" s="27" t="n">
        <v>715</v>
      </c>
      <c r="G3053" s="22" t="n"/>
    </row>
    <row r="3054">
      <c r="A3054" s="26" t="inlineStr">
        <is>
          <t>Difference (calculated - printed)</t>
        </is>
      </c>
      <c r="B3054" s="22" t="n"/>
      <c r="C3054" s="22" t="n"/>
      <c r="D3054" s="22" t="n"/>
      <c r="E3054" s="22" t="n"/>
      <c r="F3054" s="27">
        <f>F3052-F3053</f>
        <v/>
      </c>
      <c r="G3054" s="22" t="n"/>
    </row>
    <row r="3055">
      <c r="A3055" s="29" t="inlineStr">
        <is>
          <t>SAY (Rs.) - final DAR rate as printed (fixed value, not computed)</t>
        </is>
      </c>
      <c r="B3055" s="30" t="n"/>
      <c r="C3055" s="30" t="n"/>
      <c r="D3055" s="30" t="n"/>
      <c r="E3055" s="30" t="n"/>
      <c r="F3055" s="31" t="n">
        <v>95.65000000000001</v>
      </c>
      <c r="G3055" s="30" t="n"/>
    </row>
    <row r="3057" ht="33" customHeight="1">
      <c r="A3057" s="8" t="inlineStr">
        <is>
          <t>9.95</t>
        </is>
      </c>
      <c r="B3057" s="17" t="inlineStr">
        <is>
          <t>Providing and fixing ISI marked aluminium butt hinges anodised (anodic coating not less than grade AC 10 as per IS: 1868) transparent or dyed to required colour or shade with necessary screws etc. complete:</t>
        </is>
      </c>
      <c r="C3057" s="9" t="n"/>
      <c r="D3057" s="9" t="n"/>
      <c r="E3057" s="9" t="n"/>
      <c r="F3057" s="9" t="n"/>
      <c r="G3057" s="9" t="n"/>
    </row>
    <row r="3058" ht="18.5" customHeight="1">
      <c r="A3058" s="18" t="inlineStr">
        <is>
          <t>9.95.5</t>
        </is>
      </c>
      <c r="B3058" s="19" t="inlineStr">
        <is>
          <t>100x63x3.2 mm</t>
        </is>
      </c>
      <c r="C3058" s="20" t="n"/>
      <c r="D3058" s="20" t="n"/>
      <c r="E3058" s="20" t="n"/>
      <c r="F3058" s="20" t="n"/>
      <c r="G3058" s="20" t="n"/>
    </row>
    <row r="3059">
      <c r="A3059" s="21" t="inlineStr">
        <is>
          <t>Details of cost for 10 nos   |   Source: CivilDAR_2019_Vol_1.pdf, page 557</t>
        </is>
      </c>
    </row>
    <row r="3060">
      <c r="A3060" s="5" t="inlineStr">
        <is>
          <t>Code</t>
        </is>
      </c>
      <c r="B3060" s="5" t="inlineStr">
        <is>
          <t>Description</t>
        </is>
      </c>
      <c r="C3060" s="5" t="inlineStr">
        <is>
          <t>Unit</t>
        </is>
      </c>
      <c r="D3060" s="5" t="inlineStr">
        <is>
          <t>Quantity</t>
        </is>
      </c>
      <c r="E3060" s="5" t="inlineStr">
        <is>
          <t>Rate (Rs.)</t>
        </is>
      </c>
      <c r="F3060" s="5" t="inlineStr">
        <is>
          <t>Amount (Rs.)</t>
        </is>
      </c>
      <c r="G3060" s="5" t="inlineStr">
        <is>
          <t>Note</t>
        </is>
      </c>
    </row>
    <row r="3061">
      <c r="A3061" s="22" t="inlineStr">
        <is>
          <t>0690</t>
        </is>
      </c>
      <c r="B3061" s="11" t="inlineStr">
        <is>
          <t>Anodised Aluminium butt hinges 100x63x3.2 mm</t>
        </is>
      </c>
      <c r="C3061" s="22" t="inlineStr">
        <is>
          <t>10 Nos</t>
        </is>
      </c>
      <c r="D3061" s="23" t="n">
        <v>1</v>
      </c>
      <c r="E3061" s="24" t="n">
        <v>270</v>
      </c>
      <c r="F3061" s="24">
        <f>D3061*E3061</f>
        <v/>
      </c>
      <c r="G3061" s="22" t="n"/>
    </row>
    <row r="3062">
      <c r="A3062" s="22" t="inlineStr">
        <is>
          <t>0586</t>
        </is>
      </c>
      <c r="B3062" s="11" t="inlineStr">
        <is>
          <t>Chromium plated Brass screws 40 mm</t>
        </is>
      </c>
      <c r="C3062" s="22" t="inlineStr">
        <is>
          <t>100 Nos</t>
        </is>
      </c>
      <c r="D3062" s="23" t="n">
        <v>0.8</v>
      </c>
      <c r="E3062" s="24" t="n">
        <v>290</v>
      </c>
      <c r="F3062" s="24">
        <f>D3062*E3062</f>
        <v/>
      </c>
      <c r="G3062" s="22" t="n"/>
    </row>
    <row r="3063">
      <c r="A3063" s="22" t="inlineStr">
        <is>
          <t>9977</t>
        </is>
      </c>
      <c r="B3063" s="11" t="inlineStr">
        <is>
          <t>Carriage of materials</t>
        </is>
      </c>
      <c r="C3063" s="22" t="inlineStr">
        <is>
          <t>L.S.</t>
        </is>
      </c>
      <c r="D3063" s="23" t="n">
        <v>2.73</v>
      </c>
      <c r="E3063" s="24" t="n">
        <v>2</v>
      </c>
      <c r="F3063" s="24">
        <f>D3063*E3063</f>
        <v/>
      </c>
      <c r="G3063" s="22" t="n"/>
    </row>
    <row r="3064">
      <c r="A3064" s="22" t="inlineStr">
        <is>
          <t>0111</t>
        </is>
      </c>
      <c r="B3064" s="11" t="inlineStr">
        <is>
          <t>Carpenter 1st class</t>
        </is>
      </c>
      <c r="C3064" s="22" t="inlineStr">
        <is>
          <t>day</t>
        </is>
      </c>
      <c r="D3064" s="23" t="n">
        <v>0.14</v>
      </c>
      <c r="E3064" s="24" t="n">
        <v>738</v>
      </c>
      <c r="F3064" s="24">
        <f>D3064*E3064</f>
        <v/>
      </c>
      <c r="G3064" s="22" t="n"/>
    </row>
    <row r="3065">
      <c r="A3065" s="22" t="inlineStr">
        <is>
          <t>0114</t>
        </is>
      </c>
      <c r="B3065" s="11" t="inlineStr">
        <is>
          <t>Beldar</t>
        </is>
      </c>
      <c r="C3065" s="22" t="inlineStr">
        <is>
          <t>day</t>
        </is>
      </c>
      <c r="D3065" s="23" t="n">
        <v>0.09</v>
      </c>
      <c r="E3065" s="24" t="n">
        <v>558</v>
      </c>
      <c r="F3065" s="24">
        <f>D3065*E3065</f>
        <v/>
      </c>
      <c r="G3065" s="22" t="n"/>
    </row>
    <row r="3066">
      <c r="A3066" s="8" t="inlineStr">
        <is>
          <t>Calculated W - SUM of the Amount column above</t>
        </is>
      </c>
      <c r="B3066" s="9" t="n"/>
      <c r="C3066" s="9" t="n"/>
      <c r="D3066" s="9" t="n"/>
      <c r="E3066" s="9" t="n"/>
      <c r="F3066" s="25">
        <f>SUM(F3061:F3065)</f>
        <v/>
      </c>
      <c r="G3066" s="9" t="n"/>
    </row>
    <row r="3067">
      <c r="A3067" s="26" t="inlineStr">
        <is>
          <t>W as printed in the DAR</t>
        </is>
      </c>
      <c r="B3067" s="22" t="n"/>
      <c r="C3067" s="22" t="n"/>
      <c r="D3067" s="22" t="n"/>
      <c r="E3067" s="22" t="n"/>
      <c r="F3067" s="27" t="n">
        <v>661</v>
      </c>
      <c r="G3067" s="22" t="n"/>
    </row>
    <row r="3068">
      <c r="A3068" s="26" t="inlineStr">
        <is>
          <t>Difference (calculated - printed)</t>
        </is>
      </c>
      <c r="B3068" s="22" t="n"/>
      <c r="C3068" s="22" t="n"/>
      <c r="D3068" s="22" t="n"/>
      <c r="E3068" s="22" t="n"/>
      <c r="F3068" s="27">
        <f>F3066-F3067</f>
        <v/>
      </c>
      <c r="G3068" s="22" t="n"/>
    </row>
    <row r="3069">
      <c r="A3069" s="29" t="inlineStr">
        <is>
          <t>SAY (Rs.) - final DAR rate as printed (fixed value, not computed)</t>
        </is>
      </c>
      <c r="B3069" s="30" t="n"/>
      <c r="C3069" s="30" t="n"/>
      <c r="D3069" s="30" t="n"/>
      <c r="E3069" s="30" t="n"/>
      <c r="F3069" s="31" t="n">
        <v>88.45</v>
      </c>
      <c r="G3069" s="30" t="n"/>
    </row>
    <row r="3071" ht="33" customHeight="1">
      <c r="A3071" s="8" t="inlineStr">
        <is>
          <t>9.95</t>
        </is>
      </c>
      <c r="B3071" s="17" t="inlineStr">
        <is>
          <t>Providing and fixing ISI marked aluminium butt hinges anodised (anodic coating not less than grade AC 10 as per IS: 1868) transparent or dyed to required colour or shade with necessary screws etc. complete:</t>
        </is>
      </c>
      <c r="C3071" s="9" t="n"/>
      <c r="D3071" s="9" t="n"/>
      <c r="E3071" s="9" t="n"/>
      <c r="F3071" s="9" t="n"/>
      <c r="G3071" s="9" t="n"/>
    </row>
    <row r="3072" ht="18.5" customHeight="1">
      <c r="A3072" s="18" t="inlineStr">
        <is>
          <t>9.95.6</t>
        </is>
      </c>
      <c r="B3072" s="19" t="inlineStr">
        <is>
          <t>75x63x4 mm</t>
        </is>
      </c>
      <c r="C3072" s="20" t="n"/>
      <c r="D3072" s="20" t="n"/>
      <c r="E3072" s="20" t="n"/>
      <c r="F3072" s="20" t="n"/>
      <c r="G3072" s="20" t="n"/>
    </row>
    <row r="3073">
      <c r="A3073" s="21" t="inlineStr">
        <is>
          <t>Details of cost for 10 nos   |   Source: CivilDAR_2019_Vol_1.pdf, page 558</t>
        </is>
      </c>
    </row>
    <row r="3074">
      <c r="A3074" s="5" t="inlineStr">
        <is>
          <t>Code</t>
        </is>
      </c>
      <c r="B3074" s="5" t="inlineStr">
        <is>
          <t>Description</t>
        </is>
      </c>
      <c r="C3074" s="5" t="inlineStr">
        <is>
          <t>Unit</t>
        </is>
      </c>
      <c r="D3074" s="5" t="inlineStr">
        <is>
          <t>Quantity</t>
        </is>
      </c>
      <c r="E3074" s="5" t="inlineStr">
        <is>
          <t>Rate (Rs.)</t>
        </is>
      </c>
      <c r="F3074" s="5" t="inlineStr">
        <is>
          <t>Amount (Rs.)</t>
        </is>
      </c>
      <c r="G3074" s="5" t="inlineStr">
        <is>
          <t>Note</t>
        </is>
      </c>
    </row>
    <row r="3075">
      <c r="A3075" s="22" t="inlineStr">
        <is>
          <t>0692</t>
        </is>
      </c>
      <c r="B3075" s="11" t="inlineStr">
        <is>
          <t>Anodised Aluminium butt hinges 75x63x4 mm</t>
        </is>
      </c>
      <c r="C3075" s="22" t="inlineStr">
        <is>
          <t>10 Nos</t>
        </is>
      </c>
      <c r="D3075" s="23" t="n">
        <v>1</v>
      </c>
      <c r="E3075" s="24" t="n">
        <v>275</v>
      </c>
      <c r="F3075" s="24">
        <f>D3075*E3075</f>
        <v/>
      </c>
      <c r="G3075" s="22" t="n"/>
    </row>
    <row r="3076">
      <c r="A3076" s="22" t="inlineStr">
        <is>
          <t>0587</t>
        </is>
      </c>
      <c r="B3076" s="11" t="inlineStr">
        <is>
          <t>Chromium plated Brass screws 30 mm</t>
        </is>
      </c>
      <c r="C3076" s="22" t="inlineStr">
        <is>
          <t>100 Nos</t>
        </is>
      </c>
      <c r="D3076" s="23" t="n">
        <v>0.6</v>
      </c>
      <c r="E3076" s="24" t="n">
        <v>240</v>
      </c>
      <c r="F3076" s="24">
        <f>D3076*E3076</f>
        <v/>
      </c>
      <c r="G3076" s="22" t="n"/>
    </row>
    <row r="3077">
      <c r="A3077" s="22" t="inlineStr">
        <is>
          <t>9977</t>
        </is>
      </c>
      <c r="B3077" s="11" t="inlineStr">
        <is>
          <t>Carriage of materials</t>
        </is>
      </c>
      <c r="C3077" s="22" t="inlineStr">
        <is>
          <t>L.S.</t>
        </is>
      </c>
      <c r="D3077" s="23" t="n">
        <v>1.82</v>
      </c>
      <c r="E3077" s="24" t="n">
        <v>2</v>
      </c>
      <c r="F3077" s="24">
        <f>D3077*E3077</f>
        <v/>
      </c>
      <c r="G3077" s="22" t="n"/>
    </row>
    <row r="3078">
      <c r="A3078" s="22" t="inlineStr">
        <is>
          <t>0111</t>
        </is>
      </c>
      <c r="B3078" s="11" t="inlineStr">
        <is>
          <t>Carpenter 1st class</t>
        </is>
      </c>
      <c r="C3078" s="22" t="inlineStr">
        <is>
          <t>day</t>
        </is>
      </c>
      <c r="D3078" s="23" t="n">
        <v>0.14</v>
      </c>
      <c r="E3078" s="24" t="n">
        <v>738</v>
      </c>
      <c r="F3078" s="24">
        <f>D3078*E3078</f>
        <v/>
      </c>
      <c r="G3078" s="22" t="n"/>
    </row>
    <row r="3079">
      <c r="A3079" s="22" t="inlineStr">
        <is>
          <t>0114</t>
        </is>
      </c>
      <c r="B3079" s="11" t="inlineStr">
        <is>
          <t>Beldar</t>
        </is>
      </c>
      <c r="C3079" s="22" t="inlineStr">
        <is>
          <t>day</t>
        </is>
      </c>
      <c r="D3079" s="23" t="n">
        <v>0.09</v>
      </c>
      <c r="E3079" s="24" t="n">
        <v>558</v>
      </c>
      <c r="F3079" s="24">
        <f>D3079*E3079</f>
        <v/>
      </c>
      <c r="G3079" s="22" t="n"/>
    </row>
    <row r="3080">
      <c r="A3080" s="8" t="inlineStr">
        <is>
          <t>Calculated W - SUM of the Amount column above</t>
        </is>
      </c>
      <c r="B3080" s="9" t="n"/>
      <c r="C3080" s="9" t="n"/>
      <c r="D3080" s="9" t="n"/>
      <c r="E3080" s="9" t="n"/>
      <c r="F3080" s="25">
        <f>SUM(F3075:F3079)</f>
        <v/>
      </c>
      <c r="G3080" s="9" t="n"/>
    </row>
    <row r="3081">
      <c r="A3081" s="26" t="inlineStr">
        <is>
          <t>W as printed in the DAR</t>
        </is>
      </c>
      <c r="B3081" s="22" t="n"/>
      <c r="C3081" s="22" t="n"/>
      <c r="D3081" s="22" t="n"/>
      <c r="E3081" s="22" t="n"/>
      <c r="F3081" s="27" t="n">
        <v>576.1799999999999</v>
      </c>
      <c r="G3081" s="22" t="n"/>
    </row>
    <row r="3082">
      <c r="A3082" s="26" t="inlineStr">
        <is>
          <t>Difference (calculated - printed)</t>
        </is>
      </c>
      <c r="B3082" s="22" t="n"/>
      <c r="C3082" s="22" t="n"/>
      <c r="D3082" s="22" t="n"/>
      <c r="E3082" s="22" t="n"/>
      <c r="F3082" s="27">
        <f>F3080-F3081</f>
        <v/>
      </c>
      <c r="G3082" s="22" t="n"/>
    </row>
    <row r="3083">
      <c r="A3083" s="29" t="inlineStr">
        <is>
          <t>SAY (Rs.) - final DAR rate as printed (fixed value, not computed)</t>
        </is>
      </c>
      <c r="B3083" s="30" t="n"/>
      <c r="C3083" s="30" t="n"/>
      <c r="D3083" s="30" t="n"/>
      <c r="E3083" s="30" t="n"/>
      <c r="F3083" s="31" t="n">
        <v>77.09999999999999</v>
      </c>
      <c r="G3083" s="30" t="n"/>
    </row>
    <row r="3085" ht="33" customHeight="1">
      <c r="A3085" s="8" t="inlineStr">
        <is>
          <t>9.95</t>
        </is>
      </c>
      <c r="B3085" s="17" t="inlineStr">
        <is>
          <t>Providing and fixing ISI marked aluminium butt hinges anodised (anodic coating not less than grade AC 10 as per IS: 1868) transparent or dyed to required colour or shade with necessary screws etc. complete:</t>
        </is>
      </c>
      <c r="C3085" s="9" t="n"/>
      <c r="D3085" s="9" t="n"/>
      <c r="E3085" s="9" t="n"/>
      <c r="F3085" s="9" t="n"/>
      <c r="G3085" s="9" t="n"/>
    </row>
    <row r="3086" ht="18.5" customHeight="1">
      <c r="A3086" s="18" t="inlineStr">
        <is>
          <t>9.95.7</t>
        </is>
      </c>
      <c r="B3086" s="19" t="inlineStr">
        <is>
          <t>75x63x3.2 mm</t>
        </is>
      </c>
      <c r="C3086" s="20" t="n"/>
      <c r="D3086" s="20" t="n"/>
      <c r="E3086" s="20" t="n"/>
      <c r="F3086" s="20" t="n"/>
      <c r="G3086" s="20" t="n"/>
    </row>
    <row r="3087">
      <c r="A3087" s="21" t="inlineStr">
        <is>
          <t>Details of cost for 10 nos   |   Source: CivilDAR_2019_Vol_1.pdf, page 558</t>
        </is>
      </c>
    </row>
    <row r="3088">
      <c r="A3088" s="5" t="inlineStr">
        <is>
          <t>Code</t>
        </is>
      </c>
      <c r="B3088" s="5" t="inlineStr">
        <is>
          <t>Description</t>
        </is>
      </c>
      <c r="C3088" s="5" t="inlineStr">
        <is>
          <t>Unit</t>
        </is>
      </c>
      <c r="D3088" s="5" t="inlineStr">
        <is>
          <t>Quantity</t>
        </is>
      </c>
      <c r="E3088" s="5" t="inlineStr">
        <is>
          <t>Rate (Rs.)</t>
        </is>
      </c>
      <c r="F3088" s="5" t="inlineStr">
        <is>
          <t>Amount (Rs.)</t>
        </is>
      </c>
      <c r="G3088" s="5" t="inlineStr">
        <is>
          <t>Note</t>
        </is>
      </c>
    </row>
    <row r="3089">
      <c r="A3089" s="22" t="inlineStr">
        <is>
          <t>0693</t>
        </is>
      </c>
      <c r="B3089" s="11" t="inlineStr">
        <is>
          <t>Anodised Aluminium butt hinges 75x63x3.2 mm</t>
        </is>
      </c>
      <c r="C3089" s="22" t="inlineStr">
        <is>
          <t>10 Nos</t>
        </is>
      </c>
      <c r="D3089" s="23" t="n">
        <v>1</v>
      </c>
      <c r="E3089" s="24" t="n">
        <v>226</v>
      </c>
      <c r="F3089" s="24">
        <f>D3089*E3089</f>
        <v/>
      </c>
      <c r="G3089" s="22" t="n"/>
    </row>
    <row r="3090">
      <c r="A3090" s="22" t="inlineStr">
        <is>
          <t>0587</t>
        </is>
      </c>
      <c r="B3090" s="11" t="inlineStr">
        <is>
          <t>Chromium plated Brass screws 30 mm</t>
        </is>
      </c>
      <c r="C3090" s="22" t="inlineStr">
        <is>
          <t>100 Nos</t>
        </is>
      </c>
      <c r="D3090" s="23" t="n">
        <v>0.6</v>
      </c>
      <c r="E3090" s="24" t="n">
        <v>240</v>
      </c>
      <c r="F3090" s="24">
        <f>D3090*E3090</f>
        <v/>
      </c>
      <c r="G3090" s="22" t="n"/>
    </row>
    <row r="3091">
      <c r="A3091" s="22" t="inlineStr">
        <is>
          <t>9977</t>
        </is>
      </c>
      <c r="B3091" s="11" t="inlineStr">
        <is>
          <t>Carriage of materials</t>
        </is>
      </c>
      <c r="C3091" s="22" t="inlineStr">
        <is>
          <t>L.S.</t>
        </is>
      </c>
      <c r="D3091" s="23" t="n">
        <v>1.82</v>
      </c>
      <c r="E3091" s="24" t="n">
        <v>2</v>
      </c>
      <c r="F3091" s="24">
        <f>D3091*E3091</f>
        <v/>
      </c>
      <c r="G3091" s="22" t="n"/>
    </row>
    <row r="3092">
      <c r="A3092" s="22" t="inlineStr">
        <is>
          <t>0111</t>
        </is>
      </c>
      <c r="B3092" s="11" t="inlineStr">
        <is>
          <t>Carpenter 1st class</t>
        </is>
      </c>
      <c r="C3092" s="22" t="inlineStr">
        <is>
          <t>day</t>
        </is>
      </c>
      <c r="D3092" s="23" t="n">
        <v>0.14</v>
      </c>
      <c r="E3092" s="24" t="n">
        <v>738</v>
      </c>
      <c r="F3092" s="24">
        <f>D3092*E3092</f>
        <v/>
      </c>
      <c r="G3092" s="22" t="n"/>
    </row>
    <row r="3093">
      <c r="A3093" s="22" t="inlineStr">
        <is>
          <t>0114</t>
        </is>
      </c>
      <c r="B3093" s="11" t="inlineStr">
        <is>
          <t>Beldar</t>
        </is>
      </c>
      <c r="C3093" s="22" t="inlineStr">
        <is>
          <t>day</t>
        </is>
      </c>
      <c r="D3093" s="23" t="n">
        <v>0.09</v>
      </c>
      <c r="E3093" s="24" t="n">
        <v>558</v>
      </c>
      <c r="F3093" s="24">
        <f>D3093*E3093</f>
        <v/>
      </c>
      <c r="G3093" s="22" t="n"/>
    </row>
    <row r="3094">
      <c r="A3094" s="8" t="inlineStr">
        <is>
          <t>Calculated W - SUM of the Amount column above</t>
        </is>
      </c>
      <c r="B3094" s="9" t="n"/>
      <c r="C3094" s="9" t="n"/>
      <c r="D3094" s="9" t="n"/>
      <c r="E3094" s="9" t="n"/>
      <c r="F3094" s="25">
        <f>SUM(F3089:F3093)</f>
        <v/>
      </c>
      <c r="G3094" s="9" t="n"/>
    </row>
    <row r="3095">
      <c r="A3095" s="26" t="inlineStr">
        <is>
          <t>W as printed in the DAR</t>
        </is>
      </c>
      <c r="B3095" s="22" t="n"/>
      <c r="C3095" s="22" t="n"/>
      <c r="D3095" s="22" t="n"/>
      <c r="E3095" s="22" t="n"/>
      <c r="F3095" s="27" t="n">
        <v>527.1799999999999</v>
      </c>
      <c r="G3095" s="22" t="n"/>
    </row>
    <row r="3096">
      <c r="A3096" s="26" t="inlineStr">
        <is>
          <t>Difference (calculated - printed)</t>
        </is>
      </c>
      <c r="B3096" s="22" t="n"/>
      <c r="C3096" s="22" t="n"/>
      <c r="D3096" s="22" t="n"/>
      <c r="E3096" s="22" t="n"/>
      <c r="F3096" s="27">
        <f>F3094-F3095</f>
        <v/>
      </c>
      <c r="G3096" s="22" t="n"/>
    </row>
    <row r="3097">
      <c r="A3097" s="29" t="inlineStr">
        <is>
          <t>SAY (Rs.) - final DAR rate as printed (fixed value, not computed)</t>
        </is>
      </c>
      <c r="B3097" s="30" t="n"/>
      <c r="C3097" s="30" t="n"/>
      <c r="D3097" s="30" t="n"/>
      <c r="E3097" s="30" t="n"/>
      <c r="F3097" s="31" t="n">
        <v>70.55</v>
      </c>
      <c r="G3097" s="30" t="n"/>
    </row>
    <row r="3099" ht="33" customHeight="1">
      <c r="A3099" s="8" t="inlineStr">
        <is>
          <t>9.95</t>
        </is>
      </c>
      <c r="B3099" s="17" t="inlineStr">
        <is>
          <t>Providing and fixing ISI marked aluminium butt hinges anodised (anodic coating not less than grade AC 10 as per IS: 1868) transparent or dyed to required colour or shade with necessary screws etc. complete:</t>
        </is>
      </c>
      <c r="C3099" s="9" t="n"/>
      <c r="D3099" s="9" t="n"/>
      <c r="E3099" s="9" t="n"/>
      <c r="F3099" s="9" t="n"/>
      <c r="G3099" s="9" t="n"/>
    </row>
    <row r="3100" ht="18.5" customHeight="1">
      <c r="A3100" s="18" t="inlineStr">
        <is>
          <t>9.95.8</t>
        </is>
      </c>
      <c r="B3100" s="19" t="inlineStr">
        <is>
          <t>75x45x3.2 mm</t>
        </is>
      </c>
      <c r="C3100" s="20" t="n"/>
      <c r="D3100" s="20" t="n"/>
      <c r="E3100" s="20" t="n"/>
      <c r="F3100" s="20" t="n"/>
      <c r="G3100" s="20" t="n"/>
    </row>
    <row r="3101">
      <c r="A3101" s="21" t="inlineStr">
        <is>
          <t>Details of cost for 10 nos   |   Source: CivilDAR_2019_Vol_1.pdf, page 559</t>
        </is>
      </c>
    </row>
    <row r="3102">
      <c r="A3102" s="5" t="inlineStr">
        <is>
          <t>Code</t>
        </is>
      </c>
      <c r="B3102" s="5" t="inlineStr">
        <is>
          <t>Description</t>
        </is>
      </c>
      <c r="C3102" s="5" t="inlineStr">
        <is>
          <t>Unit</t>
        </is>
      </c>
      <c r="D3102" s="5" t="inlineStr">
        <is>
          <t>Quantity</t>
        </is>
      </c>
      <c r="E3102" s="5" t="inlineStr">
        <is>
          <t>Rate (Rs.)</t>
        </is>
      </c>
      <c r="F3102" s="5" t="inlineStr">
        <is>
          <t>Amount (Rs.)</t>
        </is>
      </c>
      <c r="G3102" s="5" t="inlineStr">
        <is>
          <t>Note</t>
        </is>
      </c>
    </row>
    <row r="3103">
      <c r="A3103" s="22" t="inlineStr">
        <is>
          <t>0694</t>
        </is>
      </c>
      <c r="B3103" s="11" t="inlineStr">
        <is>
          <t>Anodised Aluminium butt hinges 75x45x3.2 mm</t>
        </is>
      </c>
      <c r="C3103" s="22" t="inlineStr">
        <is>
          <t>10 Nos</t>
        </is>
      </c>
      <c r="D3103" s="23" t="n">
        <v>1</v>
      </c>
      <c r="E3103" s="24" t="n">
        <v>196</v>
      </c>
      <c r="F3103" s="24">
        <f>D3103*E3103</f>
        <v/>
      </c>
      <c r="G3103" s="22" t="n"/>
    </row>
    <row r="3104">
      <c r="A3104" s="22" t="inlineStr">
        <is>
          <t>0587</t>
        </is>
      </c>
      <c r="B3104" s="11" t="inlineStr">
        <is>
          <t>Chromium plated Brass screws 30 mm</t>
        </is>
      </c>
      <c r="C3104" s="22" t="inlineStr">
        <is>
          <t>100 Nos</t>
        </is>
      </c>
      <c r="D3104" s="23" t="n">
        <v>0.6</v>
      </c>
      <c r="E3104" s="24" t="n">
        <v>240</v>
      </c>
      <c r="F3104" s="24">
        <f>D3104*E3104</f>
        <v/>
      </c>
      <c r="G3104" s="22" t="n"/>
    </row>
    <row r="3105">
      <c r="A3105" s="22" t="inlineStr">
        <is>
          <t>9977</t>
        </is>
      </c>
      <c r="B3105" s="11" t="inlineStr">
        <is>
          <t>Carriage of materials</t>
        </is>
      </c>
      <c r="C3105" s="22" t="inlineStr">
        <is>
          <t>L.S.</t>
        </is>
      </c>
      <c r="D3105" s="23" t="n">
        <v>1.82</v>
      </c>
      <c r="E3105" s="24" t="n">
        <v>2</v>
      </c>
      <c r="F3105" s="24">
        <f>D3105*E3105</f>
        <v/>
      </c>
      <c r="G3105" s="22" t="n"/>
    </row>
    <row r="3106">
      <c r="A3106" s="22" t="inlineStr">
        <is>
          <t>0111</t>
        </is>
      </c>
      <c r="B3106" s="11" t="inlineStr">
        <is>
          <t>Carpenter 1st class</t>
        </is>
      </c>
      <c r="C3106" s="22" t="inlineStr">
        <is>
          <t>day</t>
        </is>
      </c>
      <c r="D3106" s="23" t="n">
        <v>0.14</v>
      </c>
      <c r="E3106" s="24" t="n">
        <v>738</v>
      </c>
      <c r="F3106" s="24">
        <f>D3106*E3106</f>
        <v/>
      </c>
      <c r="G3106" s="22" t="n"/>
    </row>
    <row r="3107">
      <c r="A3107" s="22" t="inlineStr">
        <is>
          <t>0114</t>
        </is>
      </c>
      <c r="B3107" s="11" t="inlineStr">
        <is>
          <t>Beldar</t>
        </is>
      </c>
      <c r="C3107" s="22" t="inlineStr">
        <is>
          <t>day</t>
        </is>
      </c>
      <c r="D3107" s="23" t="n">
        <v>0.09</v>
      </c>
      <c r="E3107" s="24" t="n">
        <v>558</v>
      </c>
      <c r="F3107" s="24">
        <f>D3107*E3107</f>
        <v/>
      </c>
      <c r="G3107" s="22" t="n"/>
    </row>
    <row r="3108">
      <c r="A3108" s="8" t="inlineStr">
        <is>
          <t>Calculated W - SUM of the Amount column above</t>
        </is>
      </c>
      <c r="B3108" s="9" t="n"/>
      <c r="C3108" s="9" t="n"/>
      <c r="D3108" s="9" t="n"/>
      <c r="E3108" s="9" t="n"/>
      <c r="F3108" s="25">
        <f>SUM(F3103:F3107)</f>
        <v/>
      </c>
      <c r="G3108" s="9" t="n"/>
    </row>
    <row r="3109">
      <c r="A3109" s="26" t="inlineStr">
        <is>
          <t>W as printed in the DAR</t>
        </is>
      </c>
      <c r="B3109" s="22" t="n"/>
      <c r="C3109" s="22" t="n"/>
      <c r="D3109" s="22" t="n"/>
      <c r="E3109" s="22" t="n"/>
      <c r="F3109" s="27" t="n">
        <v>497.18</v>
      </c>
      <c r="G3109" s="22" t="n"/>
    </row>
    <row r="3110">
      <c r="A3110" s="26" t="inlineStr">
        <is>
          <t>Difference (calculated - printed)</t>
        </is>
      </c>
      <c r="B3110" s="22" t="n"/>
      <c r="C3110" s="22" t="n"/>
      <c r="D3110" s="22" t="n"/>
      <c r="E3110" s="22" t="n"/>
      <c r="F3110" s="27">
        <f>F3108-F3109</f>
        <v/>
      </c>
      <c r="G3110" s="22" t="n"/>
    </row>
    <row r="3111">
      <c r="A3111" s="29" t="inlineStr">
        <is>
          <t>SAY (Rs.) - final DAR rate as printed (fixed value, not computed)</t>
        </is>
      </c>
      <c r="B3111" s="30" t="n"/>
      <c r="C3111" s="30" t="n"/>
      <c r="D3111" s="30" t="n"/>
      <c r="E3111" s="30" t="n"/>
      <c r="F3111" s="31" t="n">
        <v>66.5</v>
      </c>
      <c r="G3111" s="30" t="n"/>
    </row>
    <row r="3113" ht="33" customHeight="1">
      <c r="A3113" s="8" t="inlineStr">
        <is>
          <t>9.96</t>
        </is>
      </c>
      <c r="B3113" s="17" t="inlineStr">
        <is>
          <t>Providing and fixing aluminium sliding door bolts, ISI marked anodised (anodic coating not less than grade AC 10 as per IS : 1868), transparent or dyed to required colour or shade, with nuts and screws etc. complete :</t>
        </is>
      </c>
      <c r="C3113" s="9" t="n"/>
      <c r="D3113" s="9" t="n"/>
      <c r="E3113" s="9" t="n"/>
      <c r="F3113" s="9" t="n"/>
      <c r="G3113" s="9" t="n"/>
    </row>
    <row r="3114" ht="18.5" customHeight="1">
      <c r="A3114" s="18" t="inlineStr">
        <is>
          <t>9.96.1</t>
        </is>
      </c>
      <c r="B3114" s="19" t="inlineStr">
        <is>
          <t>300x16 mm</t>
        </is>
      </c>
      <c r="C3114" s="20" t="n"/>
      <c r="D3114" s="20" t="n"/>
      <c r="E3114" s="20" t="n"/>
      <c r="F3114" s="20" t="n"/>
      <c r="G3114" s="20" t="n"/>
    </row>
    <row r="3115">
      <c r="A3115" s="21" t="inlineStr">
        <is>
          <t>Details of cost for 10 nos   |   Source: CivilDAR_2019_Vol_1.pdf, page 559</t>
        </is>
      </c>
    </row>
    <row r="3116">
      <c r="A3116" s="5" t="inlineStr">
        <is>
          <t>Code</t>
        </is>
      </c>
      <c r="B3116" s="5" t="inlineStr">
        <is>
          <t>Description</t>
        </is>
      </c>
      <c r="C3116" s="5" t="inlineStr">
        <is>
          <t>Unit</t>
        </is>
      </c>
      <c r="D3116" s="5" t="inlineStr">
        <is>
          <t>Quantity</t>
        </is>
      </c>
      <c r="E3116" s="5" t="inlineStr">
        <is>
          <t>Rate (Rs.)</t>
        </is>
      </c>
      <c r="F3116" s="5" t="inlineStr">
        <is>
          <t>Amount (Rs.)</t>
        </is>
      </c>
      <c r="G3116" s="5" t="inlineStr">
        <is>
          <t>Note</t>
        </is>
      </c>
    </row>
    <row r="3117">
      <c r="A3117" s="22" t="inlineStr">
        <is>
          <t>0696</t>
        </is>
      </c>
      <c r="B3117" s="11" t="inlineStr">
        <is>
          <t>Anodised Aluminium sliding door bolt 300x16 mm</t>
        </is>
      </c>
      <c r="C3117" s="22" t="inlineStr">
        <is>
          <t>each</t>
        </is>
      </c>
      <c r="D3117" s="23" t="n">
        <v>10</v>
      </c>
      <c r="E3117" s="24" t="n">
        <v>147</v>
      </c>
      <c r="F3117" s="24">
        <f>D3117*E3117</f>
        <v/>
      </c>
      <c r="G3117" s="22" t="n"/>
    </row>
    <row r="3118">
      <c r="A3118" s="22" t="inlineStr">
        <is>
          <t>0588</t>
        </is>
      </c>
      <c r="B3118" s="11" t="inlineStr">
        <is>
          <t>Chromium plated Brass screws 25 mm</t>
        </is>
      </c>
      <c r="C3118" s="22" t="inlineStr">
        <is>
          <t>100 Nos</t>
        </is>
      </c>
      <c r="D3118" s="23" t="n">
        <v>0.4</v>
      </c>
      <c r="E3118" s="24" t="n">
        <v>180</v>
      </c>
      <c r="F3118" s="24">
        <f>D3118*E3118</f>
        <v/>
      </c>
      <c r="G3118" s="22" t="n"/>
    </row>
    <row r="3119">
      <c r="A3119" s="22" t="inlineStr">
        <is>
          <t>9977</t>
        </is>
      </c>
      <c r="B3119" s="11" t="inlineStr">
        <is>
          <t>Carriage of materials</t>
        </is>
      </c>
      <c r="C3119" s="22" t="inlineStr">
        <is>
          <t>L.S.</t>
        </is>
      </c>
      <c r="D3119" s="23" t="n">
        <v>5.46</v>
      </c>
      <c r="E3119" s="24" t="n">
        <v>2</v>
      </c>
      <c r="F3119" s="24">
        <f>D3119*E3119</f>
        <v/>
      </c>
      <c r="G3119" s="22" t="n"/>
    </row>
    <row r="3120">
      <c r="A3120" s="22" t="inlineStr">
        <is>
          <t>0111</t>
        </is>
      </c>
      <c r="B3120" s="11" t="inlineStr">
        <is>
          <t>Carpenter 1st class</t>
        </is>
      </c>
      <c r="C3120" s="22" t="inlineStr">
        <is>
          <t>day</t>
        </is>
      </c>
      <c r="D3120" s="23" t="n">
        <v>0.5</v>
      </c>
      <c r="E3120" s="24" t="n">
        <v>738</v>
      </c>
      <c r="F3120" s="24">
        <f>D3120*E3120</f>
        <v/>
      </c>
      <c r="G3120" s="22" t="n"/>
    </row>
    <row r="3121">
      <c r="A3121" s="8" t="inlineStr">
        <is>
          <t>Calculated W - SUM of the Amount column above</t>
        </is>
      </c>
      <c r="B3121" s="9" t="n"/>
      <c r="C3121" s="9" t="n"/>
      <c r="D3121" s="9" t="n"/>
      <c r="E3121" s="9" t="n"/>
      <c r="F3121" s="25">
        <f>SUM(F3117:F3120)</f>
        <v/>
      </c>
      <c r="G3121" s="9" t="n"/>
    </row>
    <row r="3122">
      <c r="A3122" s="26" t="inlineStr">
        <is>
          <t>W as printed in the DAR</t>
        </is>
      </c>
      <c r="B3122" s="22" t="n"/>
      <c r="C3122" s="22" t="n"/>
      <c r="D3122" s="22" t="n"/>
      <c r="E3122" s="22" t="n"/>
      <c r="F3122" s="27" t="n">
        <v>1921.92</v>
      </c>
      <c r="G3122" s="22" t="n"/>
    </row>
    <row r="3123">
      <c r="A3123" s="26" t="inlineStr">
        <is>
          <t>Difference (calculated - printed)</t>
        </is>
      </c>
      <c r="B3123" s="22" t="n"/>
      <c r="C3123" s="22" t="n"/>
      <c r="D3123" s="22" t="n"/>
      <c r="E3123" s="22" t="n"/>
      <c r="F3123" s="27">
        <f>F3121-F3122</f>
        <v/>
      </c>
      <c r="G3123" s="22" t="n"/>
    </row>
    <row r="3124">
      <c r="A3124" s="29" t="inlineStr">
        <is>
          <t>SAY (Rs.) - final DAR rate as printed (fixed value, not computed)</t>
        </is>
      </c>
      <c r="B3124" s="30" t="n"/>
      <c r="C3124" s="30" t="n"/>
      <c r="D3124" s="30" t="n"/>
      <c r="E3124" s="30" t="n"/>
      <c r="F3124" s="31" t="n">
        <v>257.15</v>
      </c>
      <c r="G3124" s="30" t="n"/>
    </row>
    <row r="3126" ht="33" customHeight="1">
      <c r="A3126" s="8" t="inlineStr">
        <is>
          <t>9.96</t>
        </is>
      </c>
      <c r="B3126" s="17" t="inlineStr">
        <is>
          <t>Providing and fixing aluminium sliding door bolts, ISI marked anodised (anodic coating not less than grade AC 10 as per IS : 1868), transparent or dyed to required colour or shade, with nuts and screws etc. complete :</t>
        </is>
      </c>
      <c r="C3126" s="9" t="n"/>
      <c r="D3126" s="9" t="n"/>
      <c r="E3126" s="9" t="n"/>
      <c r="F3126" s="9" t="n"/>
      <c r="G3126" s="9" t="n"/>
    </row>
    <row r="3127" ht="18.5" customHeight="1">
      <c r="A3127" s="18" t="inlineStr">
        <is>
          <t>9.96.2</t>
        </is>
      </c>
      <c r="B3127" s="19" t="inlineStr">
        <is>
          <t>250x16 mm</t>
        </is>
      </c>
      <c r="C3127" s="20" t="n"/>
      <c r="D3127" s="20" t="n"/>
      <c r="E3127" s="20" t="n"/>
      <c r="F3127" s="20" t="n"/>
      <c r="G3127" s="20" t="n"/>
    </row>
    <row r="3128">
      <c r="A3128" s="21" t="inlineStr">
        <is>
          <t>Details of cost for 10 nos   |   Source: CivilDAR_2019_Vol_1.pdf, page 560</t>
        </is>
      </c>
    </row>
    <row r="3129">
      <c r="A3129" s="5" t="inlineStr">
        <is>
          <t>Code</t>
        </is>
      </c>
      <c r="B3129" s="5" t="inlineStr">
        <is>
          <t>Description</t>
        </is>
      </c>
      <c r="C3129" s="5" t="inlineStr">
        <is>
          <t>Unit</t>
        </is>
      </c>
      <c r="D3129" s="5" t="inlineStr">
        <is>
          <t>Quantity</t>
        </is>
      </c>
      <c r="E3129" s="5" t="inlineStr">
        <is>
          <t>Rate (Rs.)</t>
        </is>
      </c>
      <c r="F3129" s="5" t="inlineStr">
        <is>
          <t>Amount (Rs.)</t>
        </is>
      </c>
      <c r="G3129" s="5" t="inlineStr">
        <is>
          <t>Note</t>
        </is>
      </c>
    </row>
    <row r="3130">
      <c r="A3130" s="22" t="inlineStr">
        <is>
          <t>0697</t>
        </is>
      </c>
      <c r="B3130" s="11" t="inlineStr">
        <is>
          <t>Anodised Aluminium sliding door bolt 250x16 mm</t>
        </is>
      </c>
      <c r="C3130" s="22" t="inlineStr">
        <is>
          <t>each</t>
        </is>
      </c>
      <c r="D3130" s="23" t="n">
        <v>10</v>
      </c>
      <c r="E3130" s="24" t="n">
        <v>128</v>
      </c>
      <c r="F3130" s="24">
        <f>D3130*E3130</f>
        <v/>
      </c>
      <c r="G3130" s="22" t="n"/>
    </row>
    <row r="3131">
      <c r="A3131" s="22" t="inlineStr">
        <is>
          <t>0588</t>
        </is>
      </c>
      <c r="B3131" s="11" t="inlineStr">
        <is>
          <t>Chromium plated Brass screws 25 mm</t>
        </is>
      </c>
      <c r="C3131" s="22" t="inlineStr">
        <is>
          <t>100 Nos</t>
        </is>
      </c>
      <c r="D3131" s="23" t="n">
        <v>0.4</v>
      </c>
      <c r="E3131" s="24" t="n">
        <v>180</v>
      </c>
      <c r="F3131" s="24">
        <f>D3131*E3131</f>
        <v/>
      </c>
      <c r="G3131" s="22" t="n"/>
    </row>
    <row r="3132">
      <c r="A3132" s="22" t="inlineStr">
        <is>
          <t>9977</t>
        </is>
      </c>
      <c r="B3132" s="11" t="inlineStr">
        <is>
          <t>Carriage of materials</t>
        </is>
      </c>
      <c r="C3132" s="22" t="inlineStr">
        <is>
          <t>L.S.</t>
        </is>
      </c>
      <c r="D3132" s="23" t="n">
        <v>5.46</v>
      </c>
      <c r="E3132" s="24" t="n">
        <v>2</v>
      </c>
      <c r="F3132" s="24">
        <f>D3132*E3132</f>
        <v/>
      </c>
      <c r="G3132" s="22" t="n"/>
    </row>
    <row r="3133">
      <c r="A3133" s="22" t="inlineStr">
        <is>
          <t>0111</t>
        </is>
      </c>
      <c r="B3133" s="11" t="inlineStr">
        <is>
          <t>Carpenter 1st class</t>
        </is>
      </c>
      <c r="C3133" s="22" t="inlineStr">
        <is>
          <t>day</t>
        </is>
      </c>
      <c r="D3133" s="23" t="n">
        <v>0.5</v>
      </c>
      <c r="E3133" s="24" t="n">
        <v>738</v>
      </c>
      <c r="F3133" s="24">
        <f>D3133*E3133</f>
        <v/>
      </c>
      <c r="G3133" s="22" t="n"/>
    </row>
    <row r="3134">
      <c r="A3134" s="8" t="inlineStr">
        <is>
          <t>Calculated W - SUM of the Amount column above</t>
        </is>
      </c>
      <c r="B3134" s="9" t="n"/>
      <c r="C3134" s="9" t="n"/>
      <c r="D3134" s="9" t="n"/>
      <c r="E3134" s="9" t="n"/>
      <c r="F3134" s="25">
        <f>SUM(F3130:F3133)</f>
        <v/>
      </c>
      <c r="G3134" s="9" t="n"/>
    </row>
    <row r="3135">
      <c r="A3135" s="26" t="inlineStr">
        <is>
          <t>W as printed in the DAR</t>
        </is>
      </c>
      <c r="B3135" s="22" t="n"/>
      <c r="C3135" s="22" t="n"/>
      <c r="D3135" s="22" t="n"/>
      <c r="E3135" s="22" t="n"/>
      <c r="F3135" s="27" t="n">
        <v>1731.92</v>
      </c>
      <c r="G3135" s="22" t="n"/>
    </row>
    <row r="3136">
      <c r="A3136" s="26" t="inlineStr">
        <is>
          <t>Difference (calculated - printed)</t>
        </is>
      </c>
      <c r="B3136" s="22" t="n"/>
      <c r="C3136" s="22" t="n"/>
      <c r="D3136" s="22" t="n"/>
      <c r="E3136" s="22" t="n"/>
      <c r="F3136" s="27">
        <f>F3134-F3135</f>
        <v/>
      </c>
      <c r="G3136" s="22" t="n"/>
    </row>
    <row r="3137">
      <c r="A3137" s="29" t="inlineStr">
        <is>
          <t>SAY (Rs.) - final DAR rate as printed (fixed value, not computed)</t>
        </is>
      </c>
      <c r="B3137" s="30" t="n"/>
      <c r="C3137" s="30" t="n"/>
      <c r="D3137" s="30" t="n"/>
      <c r="E3137" s="30" t="n"/>
      <c r="F3137" s="31" t="n">
        <v>231.7</v>
      </c>
      <c r="G3137" s="30" t="n"/>
    </row>
    <row r="3139" ht="33" customHeight="1">
      <c r="A3139" s="8" t="inlineStr">
        <is>
          <t>9.97</t>
        </is>
      </c>
      <c r="B3139" s="17" t="inlineStr">
        <is>
          <t>Providing and fixing aluminium tower bolts, ISI marked, anodised (anodic coating not less than grade AC 10 as per IS : 1868 ) transparent or dyed to required colour or shade, with necessary screws etc. complete :</t>
        </is>
      </c>
      <c r="C3139" s="9" t="n"/>
      <c r="D3139" s="9" t="n"/>
      <c r="E3139" s="9" t="n"/>
      <c r="F3139" s="9" t="n"/>
      <c r="G3139" s="9" t="n"/>
    </row>
    <row r="3140" ht="18.5" customHeight="1">
      <c r="A3140" s="18" t="inlineStr">
        <is>
          <t>9.97.1</t>
        </is>
      </c>
      <c r="B3140" s="19" t="inlineStr">
        <is>
          <t>300x10 mm</t>
        </is>
      </c>
      <c r="C3140" s="20" t="n"/>
      <c r="D3140" s="20" t="n"/>
      <c r="E3140" s="20" t="n"/>
      <c r="F3140" s="20" t="n"/>
      <c r="G3140" s="20" t="n"/>
    </row>
    <row r="3141">
      <c r="A3141" s="21" t="inlineStr">
        <is>
          <t>Details of cost for 10 nos   |   Source: CivilDAR_2019_Vol_1.pdf, page 560</t>
        </is>
      </c>
    </row>
    <row r="3142">
      <c r="A3142" s="5" t="inlineStr">
        <is>
          <t>Code</t>
        </is>
      </c>
      <c r="B3142" s="5" t="inlineStr">
        <is>
          <t>Description</t>
        </is>
      </c>
      <c r="C3142" s="5" t="inlineStr">
        <is>
          <t>Unit</t>
        </is>
      </c>
      <c r="D3142" s="5" t="inlineStr">
        <is>
          <t>Quantity</t>
        </is>
      </c>
      <c r="E3142" s="5" t="inlineStr">
        <is>
          <t>Rate (Rs.)</t>
        </is>
      </c>
      <c r="F3142" s="5" t="inlineStr">
        <is>
          <t>Amount (Rs.)</t>
        </is>
      </c>
      <c r="G3142" s="5" t="inlineStr">
        <is>
          <t>Note</t>
        </is>
      </c>
    </row>
    <row r="3143">
      <c r="A3143" s="22" t="inlineStr">
        <is>
          <t>0698</t>
        </is>
      </c>
      <c r="B3143" s="11" t="inlineStr">
        <is>
          <t>Anodised Aluminium tower bolt (barrel type)300x10 mm</t>
        </is>
      </c>
      <c r="C3143" s="22" t="inlineStr">
        <is>
          <t>10 Nos</t>
        </is>
      </c>
      <c r="D3143" s="23" t="n">
        <v>1</v>
      </c>
      <c r="E3143" s="24" t="n">
        <v>580</v>
      </c>
      <c r="F3143" s="24">
        <f>D3143*E3143</f>
        <v/>
      </c>
      <c r="G3143" s="22" t="n"/>
    </row>
    <row r="3144">
      <c r="A3144" s="22" t="inlineStr">
        <is>
          <t>0587</t>
        </is>
      </c>
      <c r="B3144" s="11" t="inlineStr">
        <is>
          <t>Chromium plated Brass screws 30 mm</t>
        </is>
      </c>
      <c r="C3144" s="22" t="inlineStr">
        <is>
          <t>100 Nos</t>
        </is>
      </c>
      <c r="D3144" s="23" t="n">
        <v>0.8</v>
      </c>
      <c r="E3144" s="24" t="n">
        <v>240</v>
      </c>
      <c r="F3144" s="24">
        <f>D3144*E3144</f>
        <v/>
      </c>
      <c r="G3144" s="22" t="n"/>
    </row>
    <row r="3145">
      <c r="A3145" s="22" t="inlineStr">
        <is>
          <t>9977</t>
        </is>
      </c>
      <c r="B3145" s="11" t="inlineStr">
        <is>
          <t>Carriage of materials</t>
        </is>
      </c>
      <c r="C3145" s="22" t="inlineStr">
        <is>
          <t>L.S.</t>
        </is>
      </c>
      <c r="D3145" s="23" t="n">
        <v>4.42</v>
      </c>
      <c r="E3145" s="24" t="n">
        <v>2</v>
      </c>
      <c r="F3145" s="24">
        <f>D3145*E3145</f>
        <v/>
      </c>
      <c r="G3145" s="22" t="n"/>
    </row>
    <row r="3146">
      <c r="A3146" s="22" t="inlineStr">
        <is>
          <t>0111</t>
        </is>
      </c>
      <c r="B3146" s="11" t="inlineStr">
        <is>
          <t>Carpenter 1st class</t>
        </is>
      </c>
      <c r="C3146" s="22" t="inlineStr">
        <is>
          <t>day</t>
        </is>
      </c>
      <c r="D3146" s="23" t="n">
        <v>0.125</v>
      </c>
      <c r="E3146" s="24" t="n">
        <v>738</v>
      </c>
      <c r="F3146" s="24">
        <f>D3146*E3146</f>
        <v/>
      </c>
      <c r="G3146" s="22" t="n"/>
    </row>
    <row r="3147">
      <c r="A3147" s="8" t="inlineStr">
        <is>
          <t>Calculated W - SUM of the Amount column above</t>
        </is>
      </c>
      <c r="B3147" s="9" t="n"/>
      <c r="C3147" s="9" t="n"/>
      <c r="D3147" s="9" t="n"/>
      <c r="E3147" s="9" t="n"/>
      <c r="F3147" s="25">
        <f>SUM(F3143:F3146)</f>
        <v/>
      </c>
      <c r="G3147" s="9" t="n"/>
    </row>
    <row r="3148">
      <c r="A3148" s="26" t="inlineStr">
        <is>
          <t>W as printed in the DAR</t>
        </is>
      </c>
      <c r="B3148" s="22" t="n"/>
      <c r="C3148" s="22" t="n"/>
      <c r="D3148" s="22" t="n"/>
      <c r="E3148" s="22" t="n"/>
      <c r="F3148" s="27" t="n">
        <v>873.09</v>
      </c>
      <c r="G3148" s="22" t="n"/>
    </row>
    <row r="3149">
      <c r="A3149" s="26" t="inlineStr">
        <is>
          <t>Difference (calculated - printed)</t>
        </is>
      </c>
      <c r="B3149" s="22" t="n"/>
      <c r="C3149" s="22" t="n"/>
      <c r="D3149" s="22" t="n"/>
      <c r="E3149" s="22" t="n"/>
      <c r="F3149" s="27">
        <f>F3147-F3148</f>
        <v/>
      </c>
      <c r="G3149" s="22" t="n"/>
    </row>
    <row r="3150">
      <c r="A3150" s="29" t="inlineStr">
        <is>
          <t>SAY (Rs.) - final DAR rate as printed (fixed value, not computed)</t>
        </is>
      </c>
      <c r="B3150" s="30" t="n"/>
      <c r="C3150" s="30" t="n"/>
      <c r="D3150" s="30" t="n"/>
      <c r="E3150" s="30" t="n"/>
      <c r="F3150" s="31" t="n">
        <v>116.8</v>
      </c>
      <c r="G3150" s="30" t="n"/>
    </row>
    <row r="3152" ht="33" customHeight="1">
      <c r="A3152" s="8" t="inlineStr">
        <is>
          <t>9.97</t>
        </is>
      </c>
      <c r="B3152" s="17" t="inlineStr">
        <is>
          <t>Providing and fixing aluminium tower bolts, ISI marked, anodised (anodic coating not less than grade AC 10 as per IS : 1868 ) transparent or dyed to required colour or shade, with necessary screws etc. complete :</t>
        </is>
      </c>
      <c r="C3152" s="9" t="n"/>
      <c r="D3152" s="9" t="n"/>
      <c r="E3152" s="9" t="n"/>
      <c r="F3152" s="9" t="n"/>
      <c r="G3152" s="9" t="n"/>
    </row>
    <row r="3153" ht="18.5" customHeight="1">
      <c r="A3153" s="18" t="inlineStr">
        <is>
          <t>9.97.2</t>
        </is>
      </c>
      <c r="B3153" s="19" t="inlineStr">
        <is>
          <t>250x10 mm</t>
        </is>
      </c>
      <c r="C3153" s="20" t="n"/>
      <c r="D3153" s="20" t="n"/>
      <c r="E3153" s="20" t="n"/>
      <c r="F3153" s="20" t="n"/>
      <c r="G3153" s="20" t="n"/>
    </row>
    <row r="3154">
      <c r="A3154" s="21" t="inlineStr">
        <is>
          <t>Details of cost for 10 nos   |   Source: CivilDAR_2019_Vol_1.pdf, page 561</t>
        </is>
      </c>
    </row>
    <row r="3155">
      <c r="A3155" s="5" t="inlineStr">
        <is>
          <t>Code</t>
        </is>
      </c>
      <c r="B3155" s="5" t="inlineStr">
        <is>
          <t>Description</t>
        </is>
      </c>
      <c r="C3155" s="5" t="inlineStr">
        <is>
          <t>Unit</t>
        </is>
      </c>
      <c r="D3155" s="5" t="inlineStr">
        <is>
          <t>Quantity</t>
        </is>
      </c>
      <c r="E3155" s="5" t="inlineStr">
        <is>
          <t>Rate (Rs.)</t>
        </is>
      </c>
      <c r="F3155" s="5" t="inlineStr">
        <is>
          <t>Amount (Rs.)</t>
        </is>
      </c>
      <c r="G3155" s="5" t="inlineStr">
        <is>
          <t>Note</t>
        </is>
      </c>
    </row>
    <row r="3156">
      <c r="A3156" s="22" t="inlineStr">
        <is>
          <t>0699</t>
        </is>
      </c>
      <c r="B3156" s="11" t="inlineStr">
        <is>
          <t>Anodised Aluminium tower bolt (barrel type)250x10 mm</t>
        </is>
      </c>
      <c r="C3156" s="22" t="inlineStr">
        <is>
          <t>10 Nos</t>
        </is>
      </c>
      <c r="D3156" s="23" t="n">
        <v>1</v>
      </c>
      <c r="E3156" s="24" t="n">
        <v>481</v>
      </c>
      <c r="F3156" s="24">
        <f>D3156*E3156</f>
        <v/>
      </c>
      <c r="G3156" s="22" t="n"/>
    </row>
    <row r="3157">
      <c r="A3157" s="22" t="inlineStr">
        <is>
          <t>0587</t>
        </is>
      </c>
      <c r="B3157" s="11" t="inlineStr">
        <is>
          <t>Chromium plated Brass screws 30 mm</t>
        </is>
      </c>
      <c r="C3157" s="22" t="inlineStr">
        <is>
          <t>100 Nos</t>
        </is>
      </c>
      <c r="D3157" s="23" t="n">
        <v>0.8</v>
      </c>
      <c r="E3157" s="24" t="n">
        <v>240</v>
      </c>
      <c r="F3157" s="24">
        <f>D3157*E3157</f>
        <v/>
      </c>
      <c r="G3157" s="22" t="n"/>
    </row>
    <row r="3158">
      <c r="A3158" s="22" t="inlineStr">
        <is>
          <t>9977</t>
        </is>
      </c>
      <c r="B3158" s="11" t="inlineStr">
        <is>
          <t>Carriage of materials</t>
        </is>
      </c>
      <c r="C3158" s="22" t="inlineStr">
        <is>
          <t>L.S.</t>
        </is>
      </c>
      <c r="D3158" s="23" t="n">
        <v>4.42</v>
      </c>
      <c r="E3158" s="24" t="n">
        <v>2</v>
      </c>
      <c r="F3158" s="24">
        <f>D3158*E3158</f>
        <v/>
      </c>
      <c r="G3158" s="22" t="n"/>
    </row>
    <row r="3159">
      <c r="A3159" s="22" t="inlineStr">
        <is>
          <t>0111</t>
        </is>
      </c>
      <c r="B3159" s="11" t="inlineStr">
        <is>
          <t>Carpenter 1st class</t>
        </is>
      </c>
      <c r="C3159" s="22" t="inlineStr">
        <is>
          <t>day</t>
        </is>
      </c>
      <c r="D3159" s="23" t="n">
        <v>0.125</v>
      </c>
      <c r="E3159" s="24" t="n">
        <v>738</v>
      </c>
      <c r="F3159" s="24">
        <f>D3159*E3159</f>
        <v/>
      </c>
      <c r="G3159" s="22" t="n"/>
    </row>
    <row r="3160">
      <c r="A3160" s="8" t="inlineStr">
        <is>
          <t>Calculated W - SUM of the Amount column above</t>
        </is>
      </c>
      <c r="B3160" s="9" t="n"/>
      <c r="C3160" s="9" t="n"/>
      <c r="D3160" s="9" t="n"/>
      <c r="E3160" s="9" t="n"/>
      <c r="F3160" s="25">
        <f>SUM(F3156:F3159)</f>
        <v/>
      </c>
      <c r="G3160" s="9" t="n"/>
    </row>
    <row r="3161">
      <c r="A3161" s="26" t="inlineStr">
        <is>
          <t>W as printed in the DAR</t>
        </is>
      </c>
      <c r="B3161" s="22" t="n"/>
      <c r="C3161" s="22" t="n"/>
      <c r="D3161" s="22" t="n"/>
      <c r="E3161" s="22" t="n"/>
      <c r="F3161" s="27" t="n">
        <v>774.09</v>
      </c>
      <c r="G3161" s="22" t="n"/>
    </row>
    <row r="3162">
      <c r="A3162" s="26" t="inlineStr">
        <is>
          <t>Difference (calculated - printed)</t>
        </is>
      </c>
      <c r="B3162" s="22" t="n"/>
      <c r="C3162" s="22" t="n"/>
      <c r="D3162" s="22" t="n"/>
      <c r="E3162" s="22" t="n"/>
      <c r="F3162" s="27">
        <f>F3160-F3161</f>
        <v/>
      </c>
      <c r="G3162" s="22" t="n"/>
    </row>
    <row r="3163">
      <c r="A3163" s="29" t="inlineStr">
        <is>
          <t>SAY (Rs.) - final DAR rate as printed (fixed value, not computed)</t>
        </is>
      </c>
      <c r="B3163" s="30" t="n"/>
      <c r="C3163" s="30" t="n"/>
      <c r="D3163" s="30" t="n"/>
      <c r="E3163" s="30" t="n"/>
      <c r="F3163" s="31" t="n">
        <v>103.55</v>
      </c>
      <c r="G3163" s="30" t="n"/>
    </row>
    <row r="3165" ht="33" customHeight="1">
      <c r="A3165" s="8" t="inlineStr">
        <is>
          <t>9.97</t>
        </is>
      </c>
      <c r="B3165" s="17" t="inlineStr">
        <is>
          <t>Providing and fixing aluminium tower bolts, ISI marked, anodised (anodic coating not less than grade AC 10 as per IS : 1868 ) transparent or dyed to required colour or shade, with necessary screws etc. complete :</t>
        </is>
      </c>
      <c r="C3165" s="9" t="n"/>
      <c r="D3165" s="9" t="n"/>
      <c r="E3165" s="9" t="n"/>
      <c r="F3165" s="9" t="n"/>
      <c r="G3165" s="9" t="n"/>
    </row>
    <row r="3166" ht="18.5" customHeight="1">
      <c r="A3166" s="18" t="inlineStr">
        <is>
          <t>9.97.3</t>
        </is>
      </c>
      <c r="B3166" s="19" t="inlineStr">
        <is>
          <t>200x10 mm</t>
        </is>
      </c>
      <c r="C3166" s="20" t="n"/>
      <c r="D3166" s="20" t="n"/>
      <c r="E3166" s="20" t="n"/>
      <c r="F3166" s="20" t="n"/>
      <c r="G3166" s="20" t="n"/>
    </row>
    <row r="3167">
      <c r="A3167" s="21" t="inlineStr">
        <is>
          <t>Details of cost for 10 nos   |   Source: CivilDAR_2019_Vol_1.pdf, page 561</t>
        </is>
      </c>
    </row>
    <row r="3168">
      <c r="A3168" s="5" t="inlineStr">
        <is>
          <t>Code</t>
        </is>
      </c>
      <c r="B3168" s="5" t="inlineStr">
        <is>
          <t>Description</t>
        </is>
      </c>
      <c r="C3168" s="5" t="inlineStr">
        <is>
          <t>Unit</t>
        </is>
      </c>
      <c r="D3168" s="5" t="inlineStr">
        <is>
          <t>Quantity</t>
        </is>
      </c>
      <c r="E3168" s="5" t="inlineStr">
        <is>
          <t>Rate (Rs.)</t>
        </is>
      </c>
      <c r="F3168" s="5" t="inlineStr">
        <is>
          <t>Amount (Rs.)</t>
        </is>
      </c>
      <c r="G3168" s="5" t="inlineStr">
        <is>
          <t>Note</t>
        </is>
      </c>
    </row>
    <row r="3169">
      <c r="A3169" s="22" t="inlineStr">
        <is>
          <t>0700</t>
        </is>
      </c>
      <c r="B3169" s="11" t="inlineStr">
        <is>
          <t>Anodised Aluminium tower bolt (barrel type) 200x10 mm</t>
        </is>
      </c>
      <c r="C3169" s="22" t="inlineStr">
        <is>
          <t>10 Nos</t>
        </is>
      </c>
      <c r="D3169" s="23" t="n">
        <v>1</v>
      </c>
      <c r="E3169" s="24" t="n">
        <v>383</v>
      </c>
      <c r="F3169" s="24">
        <f>D3169*E3169</f>
        <v/>
      </c>
      <c r="G3169" s="22" t="n"/>
    </row>
    <row r="3170">
      <c r="A3170" s="22" t="inlineStr">
        <is>
          <t>0587</t>
        </is>
      </c>
      <c r="B3170" s="11" t="inlineStr">
        <is>
          <t>Chromium plated Brass screws 30 mm</t>
        </is>
      </c>
      <c r="C3170" s="22" t="inlineStr">
        <is>
          <t>100 Nos</t>
        </is>
      </c>
      <c r="D3170" s="23" t="n">
        <v>0.8</v>
      </c>
      <c r="E3170" s="24" t="n">
        <v>240</v>
      </c>
      <c r="F3170" s="24">
        <f>D3170*E3170</f>
        <v/>
      </c>
      <c r="G3170" s="22" t="n"/>
    </row>
    <row r="3171">
      <c r="A3171" s="22" t="inlineStr">
        <is>
          <t>9977</t>
        </is>
      </c>
      <c r="B3171" s="11" t="inlineStr">
        <is>
          <t>Carriage of materials</t>
        </is>
      </c>
      <c r="C3171" s="22" t="inlineStr">
        <is>
          <t>L.S.</t>
        </is>
      </c>
      <c r="D3171" s="23" t="n">
        <v>2.73</v>
      </c>
      <c r="E3171" s="24" t="n">
        <v>2</v>
      </c>
      <c r="F3171" s="24">
        <f>D3171*E3171</f>
        <v/>
      </c>
      <c r="G3171" s="22" t="n"/>
    </row>
    <row r="3172">
      <c r="A3172" s="22" t="inlineStr">
        <is>
          <t>0111</t>
        </is>
      </c>
      <c r="B3172" s="11" t="inlineStr">
        <is>
          <t>Carpenter 1st class</t>
        </is>
      </c>
      <c r="C3172" s="22" t="inlineStr">
        <is>
          <t>day</t>
        </is>
      </c>
      <c r="D3172" s="23" t="n">
        <v>0.125</v>
      </c>
      <c r="E3172" s="24" t="n">
        <v>738</v>
      </c>
      <c r="F3172" s="24">
        <f>D3172*E3172</f>
        <v/>
      </c>
      <c r="G3172" s="22" t="n"/>
    </row>
    <row r="3173">
      <c r="A3173" s="8" t="inlineStr">
        <is>
          <t>Calculated W - SUM of the Amount column above</t>
        </is>
      </c>
      <c r="B3173" s="9" t="n"/>
      <c r="C3173" s="9" t="n"/>
      <c r="D3173" s="9" t="n"/>
      <c r="E3173" s="9" t="n"/>
      <c r="F3173" s="25">
        <f>SUM(F3169:F3172)</f>
        <v/>
      </c>
      <c r="G3173" s="9" t="n"/>
    </row>
    <row r="3174">
      <c r="A3174" s="26" t="inlineStr">
        <is>
          <t>W as printed in the DAR</t>
        </is>
      </c>
      <c r="B3174" s="22" t="n"/>
      <c r="C3174" s="22" t="n"/>
      <c r="D3174" s="22" t="n"/>
      <c r="E3174" s="22" t="n"/>
      <c r="F3174" s="27" t="n">
        <v>672.71</v>
      </c>
      <c r="G3174" s="22" t="n"/>
    </row>
    <row r="3175">
      <c r="A3175" s="26" t="inlineStr">
        <is>
          <t>Difference (calculated - printed)</t>
        </is>
      </c>
      <c r="B3175" s="22" t="n"/>
      <c r="C3175" s="22" t="n"/>
      <c r="D3175" s="22" t="n"/>
      <c r="E3175" s="22" t="n"/>
      <c r="F3175" s="27">
        <f>F3173-F3174</f>
        <v/>
      </c>
      <c r="G3175" s="22" t="n"/>
    </row>
    <row r="3176">
      <c r="A3176" s="29" t="inlineStr">
        <is>
          <t>SAY (Rs.) - final DAR rate as printed (fixed value, not computed)</t>
        </is>
      </c>
      <c r="B3176" s="30" t="n"/>
      <c r="C3176" s="30" t="n"/>
      <c r="D3176" s="30" t="n"/>
      <c r="E3176" s="30" t="n"/>
      <c r="F3176" s="31" t="n">
        <v>90</v>
      </c>
      <c r="G3176" s="30" t="n"/>
    </row>
    <row r="3178" ht="33" customHeight="1">
      <c r="A3178" s="8" t="inlineStr">
        <is>
          <t>9.97</t>
        </is>
      </c>
      <c r="B3178" s="17" t="inlineStr">
        <is>
          <t>Providing and fixing aluminium tower bolts, ISI marked, anodised (anodic coating not less than grade AC 10 as per IS : 1868 ) transparent or dyed to required colour or shade, with necessary screws etc. complete :</t>
        </is>
      </c>
      <c r="C3178" s="9" t="n"/>
      <c r="D3178" s="9" t="n"/>
      <c r="E3178" s="9" t="n"/>
      <c r="F3178" s="9" t="n"/>
      <c r="G3178" s="9" t="n"/>
    </row>
    <row r="3179" ht="18.5" customHeight="1">
      <c r="A3179" s="18" t="inlineStr">
        <is>
          <t>9.97.4</t>
        </is>
      </c>
      <c r="B3179" s="19" t="inlineStr">
        <is>
          <t>150x10 mm</t>
        </is>
      </c>
      <c r="C3179" s="20" t="n"/>
      <c r="D3179" s="20" t="n"/>
      <c r="E3179" s="20" t="n"/>
      <c r="F3179" s="20" t="n"/>
      <c r="G3179" s="20" t="n"/>
    </row>
    <row r="3180">
      <c r="A3180" s="21" t="inlineStr">
        <is>
          <t>Details of cost for 10 nos   |   Source: CivilDAR_2019_Vol_1.pdf, page 562</t>
        </is>
      </c>
    </row>
    <row r="3181">
      <c r="A3181" s="5" t="inlineStr">
        <is>
          <t>Code</t>
        </is>
      </c>
      <c r="B3181" s="5" t="inlineStr">
        <is>
          <t>Description</t>
        </is>
      </c>
      <c r="C3181" s="5" t="inlineStr">
        <is>
          <t>Unit</t>
        </is>
      </c>
      <c r="D3181" s="5" t="inlineStr">
        <is>
          <t>Quantity</t>
        </is>
      </c>
      <c r="E3181" s="5" t="inlineStr">
        <is>
          <t>Rate (Rs.)</t>
        </is>
      </c>
      <c r="F3181" s="5" t="inlineStr">
        <is>
          <t>Amount (Rs.)</t>
        </is>
      </c>
      <c r="G3181" s="5" t="inlineStr">
        <is>
          <t>Note</t>
        </is>
      </c>
    </row>
    <row r="3182">
      <c r="A3182" s="22" t="inlineStr">
        <is>
          <t>0701</t>
        </is>
      </c>
      <c r="B3182" s="11" t="inlineStr">
        <is>
          <t>Anodised Aluminium tower bolt (barrel type)150x10 mm</t>
        </is>
      </c>
      <c r="C3182" s="22" t="inlineStr">
        <is>
          <t>10 Nos</t>
        </is>
      </c>
      <c r="D3182" s="23" t="n">
        <v>1</v>
      </c>
      <c r="E3182" s="24" t="n">
        <v>304</v>
      </c>
      <c r="F3182" s="24">
        <f>D3182*E3182</f>
        <v/>
      </c>
      <c r="G3182" s="22" t="n"/>
    </row>
    <row r="3183">
      <c r="A3183" s="22" t="inlineStr">
        <is>
          <t>0587</t>
        </is>
      </c>
      <c r="B3183" s="11" t="inlineStr">
        <is>
          <t>Chromium plated Brass screws 30 mm</t>
        </is>
      </c>
      <c r="C3183" s="22" t="inlineStr">
        <is>
          <t>100 Nos</t>
        </is>
      </c>
      <c r="D3183" s="23" t="n">
        <v>0.8</v>
      </c>
      <c r="E3183" s="24" t="n">
        <v>240</v>
      </c>
      <c r="F3183" s="24">
        <f>D3183*E3183</f>
        <v/>
      </c>
      <c r="G3183" s="22" t="n"/>
    </row>
    <row r="3184">
      <c r="A3184" s="22" t="inlineStr">
        <is>
          <t>9977</t>
        </is>
      </c>
      <c r="B3184" s="11" t="inlineStr">
        <is>
          <t>Carriage of materials</t>
        </is>
      </c>
      <c r="C3184" s="22" t="inlineStr">
        <is>
          <t>L.S.</t>
        </is>
      </c>
      <c r="D3184" s="23" t="n">
        <v>2.73</v>
      </c>
      <c r="E3184" s="24" t="n">
        <v>2</v>
      </c>
      <c r="F3184" s="24">
        <f>D3184*E3184</f>
        <v/>
      </c>
      <c r="G3184" s="22" t="n"/>
    </row>
    <row r="3185">
      <c r="A3185" s="22" t="inlineStr">
        <is>
          <t>0111</t>
        </is>
      </c>
      <c r="B3185" s="11" t="inlineStr">
        <is>
          <t>Carpenter 1st class</t>
        </is>
      </c>
      <c r="C3185" s="22" t="inlineStr">
        <is>
          <t>day</t>
        </is>
      </c>
      <c r="D3185" s="23" t="n">
        <v>0.08</v>
      </c>
      <c r="E3185" s="24" t="n">
        <v>738</v>
      </c>
      <c r="F3185" s="24">
        <f>D3185*E3185</f>
        <v/>
      </c>
      <c r="G3185" s="22" t="n"/>
    </row>
    <row r="3186">
      <c r="A3186" s="8" t="inlineStr">
        <is>
          <t>Calculated W - SUM of the Amount column above</t>
        </is>
      </c>
      <c r="B3186" s="9" t="n"/>
      <c r="C3186" s="9" t="n"/>
      <c r="D3186" s="9" t="n"/>
      <c r="E3186" s="9" t="n"/>
      <c r="F3186" s="25">
        <f>SUM(F3182:F3185)</f>
        <v/>
      </c>
      <c r="G3186" s="9" t="n"/>
    </row>
    <row r="3187">
      <c r="A3187" s="26" t="inlineStr">
        <is>
          <t>W as printed in the DAR</t>
        </is>
      </c>
      <c r="B3187" s="22" t="n"/>
      <c r="C3187" s="22" t="n"/>
      <c r="D3187" s="22" t="n"/>
      <c r="E3187" s="22" t="n"/>
      <c r="F3187" s="27" t="n">
        <v>560.5</v>
      </c>
      <c r="G3187" s="22" t="n"/>
    </row>
    <row r="3188">
      <c r="A3188" s="26" t="inlineStr">
        <is>
          <t>Difference (calculated - printed)</t>
        </is>
      </c>
      <c r="B3188" s="22" t="n"/>
      <c r="C3188" s="22" t="n"/>
      <c r="D3188" s="22" t="n"/>
      <c r="E3188" s="22" t="n"/>
      <c r="F3188" s="27">
        <f>F3186-F3187</f>
        <v/>
      </c>
      <c r="G3188" s="22" t="n"/>
    </row>
    <row r="3189">
      <c r="A3189" s="29" t="inlineStr">
        <is>
          <t>SAY (Rs.) - final DAR rate as printed (fixed value, not computed)</t>
        </is>
      </c>
      <c r="B3189" s="30" t="n"/>
      <c r="C3189" s="30" t="n"/>
      <c r="D3189" s="30" t="n"/>
      <c r="E3189" s="30" t="n"/>
      <c r="F3189" s="31" t="n">
        <v>75</v>
      </c>
      <c r="G3189" s="30" t="n"/>
    </row>
    <row r="3191" ht="33" customHeight="1">
      <c r="A3191" s="8" t="inlineStr">
        <is>
          <t>9.97</t>
        </is>
      </c>
      <c r="B3191" s="17" t="inlineStr">
        <is>
          <t>Providing and fixing aluminium tower bolts, ISI marked, anodised (anodic coating not less than grade AC 10 as per IS : 1868 ) transparent or dyed to required colour or shade, with necessary screws etc. complete :</t>
        </is>
      </c>
      <c r="C3191" s="9" t="n"/>
      <c r="D3191" s="9" t="n"/>
      <c r="E3191" s="9" t="n"/>
      <c r="F3191" s="9" t="n"/>
      <c r="G3191" s="9" t="n"/>
    </row>
    <row r="3192" ht="18.5" customHeight="1">
      <c r="A3192" s="18" t="inlineStr">
        <is>
          <t>9.97.5</t>
        </is>
      </c>
      <c r="B3192" s="19" t="inlineStr">
        <is>
          <t>100x10 mm</t>
        </is>
      </c>
      <c r="C3192" s="20" t="n"/>
      <c r="D3192" s="20" t="n"/>
      <c r="E3192" s="20" t="n"/>
      <c r="F3192" s="20" t="n"/>
      <c r="G3192" s="20" t="n"/>
    </row>
    <row r="3193">
      <c r="A3193" s="21" t="inlineStr">
        <is>
          <t>Details of cost for 10 nos   |   Source: CivilDAR_2019_Vol_1.pdf, page 562</t>
        </is>
      </c>
    </row>
    <row r="3194">
      <c r="A3194" s="5" t="inlineStr">
        <is>
          <t>Code</t>
        </is>
      </c>
      <c r="B3194" s="5" t="inlineStr">
        <is>
          <t>Description</t>
        </is>
      </c>
      <c r="C3194" s="5" t="inlineStr">
        <is>
          <t>Unit</t>
        </is>
      </c>
      <c r="D3194" s="5" t="inlineStr">
        <is>
          <t>Quantity</t>
        </is>
      </c>
      <c r="E3194" s="5" t="inlineStr">
        <is>
          <t>Rate (Rs.)</t>
        </is>
      </c>
      <c r="F3194" s="5" t="inlineStr">
        <is>
          <t>Amount (Rs.)</t>
        </is>
      </c>
      <c r="G3194" s="5" t="inlineStr">
        <is>
          <t>Note</t>
        </is>
      </c>
    </row>
    <row r="3195">
      <c r="A3195" s="22" t="inlineStr">
        <is>
          <t>0702</t>
        </is>
      </c>
      <c r="B3195" s="11" t="inlineStr">
        <is>
          <t>Anodised Aluminium tower bolt (barrel type)100x10 mm</t>
        </is>
      </c>
      <c r="C3195" s="22" t="inlineStr">
        <is>
          <t>10 Nos</t>
        </is>
      </c>
      <c r="D3195" s="23" t="n">
        <v>1</v>
      </c>
      <c r="E3195" s="24" t="n">
        <v>226</v>
      </c>
      <c r="F3195" s="24">
        <f>D3195*E3195</f>
        <v/>
      </c>
      <c r="G3195" s="22" t="n"/>
    </row>
    <row r="3196">
      <c r="A3196" s="22" t="inlineStr">
        <is>
          <t>0587</t>
        </is>
      </c>
      <c r="B3196" s="11" t="inlineStr">
        <is>
          <t>Chromium plated Brass screws 30 mm</t>
        </is>
      </c>
      <c r="C3196" s="22" t="inlineStr">
        <is>
          <t>100 Nos</t>
        </is>
      </c>
      <c r="D3196" s="23" t="n">
        <v>0.6</v>
      </c>
      <c r="E3196" s="24" t="n">
        <v>240</v>
      </c>
      <c r="F3196" s="24">
        <f>D3196*E3196</f>
        <v/>
      </c>
      <c r="G3196" s="22" t="n"/>
    </row>
    <row r="3197">
      <c r="A3197" s="22" t="inlineStr">
        <is>
          <t>9977</t>
        </is>
      </c>
      <c r="B3197" s="11" t="inlineStr">
        <is>
          <t>Carriage of materials</t>
        </is>
      </c>
      <c r="C3197" s="22" t="inlineStr">
        <is>
          <t>L.S.</t>
        </is>
      </c>
      <c r="D3197" s="23" t="n">
        <v>2.73</v>
      </c>
      <c r="E3197" s="24" t="n">
        <v>2</v>
      </c>
      <c r="F3197" s="24">
        <f>D3197*E3197</f>
        <v/>
      </c>
      <c r="G3197" s="22" t="n"/>
    </row>
    <row r="3198">
      <c r="A3198" s="22" t="inlineStr">
        <is>
          <t>0111</t>
        </is>
      </c>
      <c r="B3198" s="11" t="inlineStr">
        <is>
          <t>Carpenter 1st class</t>
        </is>
      </c>
      <c r="C3198" s="22" t="inlineStr">
        <is>
          <t>day</t>
        </is>
      </c>
      <c r="D3198" s="23" t="n">
        <v>0.08</v>
      </c>
      <c r="E3198" s="24" t="n">
        <v>738</v>
      </c>
      <c r="F3198" s="24">
        <f>D3198*E3198</f>
        <v/>
      </c>
      <c r="G3198" s="22" t="n"/>
    </row>
    <row r="3199">
      <c r="A3199" s="8" t="inlineStr">
        <is>
          <t>Calculated W - SUM of the Amount column above</t>
        </is>
      </c>
      <c r="B3199" s="9" t="n"/>
      <c r="C3199" s="9" t="n"/>
      <c r="D3199" s="9" t="n"/>
      <c r="E3199" s="9" t="n"/>
      <c r="F3199" s="25">
        <f>SUM(F3195:F3198)</f>
        <v/>
      </c>
      <c r="G3199" s="9" t="n"/>
    </row>
    <row r="3200">
      <c r="A3200" s="26" t="inlineStr">
        <is>
          <t>W as printed in the DAR</t>
        </is>
      </c>
      <c r="B3200" s="22" t="n"/>
      <c r="C3200" s="22" t="n"/>
      <c r="D3200" s="22" t="n"/>
      <c r="E3200" s="22" t="n"/>
      <c r="F3200" s="27" t="n">
        <v>434.5</v>
      </c>
      <c r="G3200" s="22" t="n"/>
    </row>
    <row r="3201">
      <c r="A3201" s="26" t="inlineStr">
        <is>
          <t>Difference (calculated - printed)</t>
        </is>
      </c>
      <c r="B3201" s="22" t="n"/>
      <c r="C3201" s="22" t="n"/>
      <c r="D3201" s="22" t="n"/>
      <c r="E3201" s="22" t="n"/>
      <c r="F3201" s="27">
        <f>F3199-F3200</f>
        <v/>
      </c>
      <c r="G3201" s="22" t="n"/>
    </row>
    <row r="3202">
      <c r="A3202" s="29" t="inlineStr">
        <is>
          <t>SAY (Rs.) - final DAR rate as printed (fixed value, not computed)</t>
        </is>
      </c>
      <c r="B3202" s="30" t="n"/>
      <c r="C3202" s="30" t="n"/>
      <c r="D3202" s="30" t="n"/>
      <c r="E3202" s="30" t="n"/>
      <c r="F3202" s="31" t="n">
        <v>58.15</v>
      </c>
      <c r="G3202" s="30" t="n"/>
    </row>
    <row r="3204" ht="33" customHeight="1">
      <c r="A3204" s="18" t="inlineStr">
        <is>
          <t>9.98</t>
        </is>
      </c>
      <c r="B3204" s="19" t="inlineStr">
        <is>
          <t>Providing and fixing aluminium pull bolt lock, ISI marked, anodised (anodic coating not less than grade AC 10 as per IS : 1868) transparent or dyed to required colour and shade, with necessary screws bolts, nut and washers etc. complete.</t>
        </is>
      </c>
      <c r="C3204" s="20" t="n"/>
      <c r="D3204" s="20" t="n"/>
      <c r="E3204" s="20" t="n"/>
      <c r="F3204" s="20" t="n"/>
      <c r="G3204" s="20" t="n"/>
    </row>
    <row r="3205">
      <c r="A3205" s="21" t="inlineStr">
        <is>
          <t>Details of cost for 10 nos   |   Source: CivilDAR_2019_Vol_1.pdf, page 563</t>
        </is>
      </c>
    </row>
    <row r="3206">
      <c r="A3206" s="5" t="inlineStr">
        <is>
          <t>Code</t>
        </is>
      </c>
      <c r="B3206" s="5" t="inlineStr">
        <is>
          <t>Description</t>
        </is>
      </c>
      <c r="C3206" s="5" t="inlineStr">
        <is>
          <t>Unit</t>
        </is>
      </c>
      <c r="D3206" s="5" t="inlineStr">
        <is>
          <t>Quantity</t>
        </is>
      </c>
      <c r="E3206" s="5" t="inlineStr">
        <is>
          <t>Rate (Rs.)</t>
        </is>
      </c>
      <c r="F3206" s="5" t="inlineStr">
        <is>
          <t>Amount (Rs.)</t>
        </is>
      </c>
      <c r="G3206" s="5" t="inlineStr">
        <is>
          <t>Note</t>
        </is>
      </c>
    </row>
    <row r="3207">
      <c r="A3207" s="22" t="inlineStr">
        <is>
          <t>2464</t>
        </is>
      </c>
      <c r="B3207" s="11" t="inlineStr">
        <is>
          <t>Anodised Aluminium pull bolt lock (locking bolt) of size 85 mmx42 mm with screws,bolts,nuts and washers complete</t>
        </is>
      </c>
      <c r="C3207" s="22" t="inlineStr">
        <is>
          <t>each</t>
        </is>
      </c>
      <c r="D3207" s="23" t="n">
        <v>10</v>
      </c>
      <c r="E3207" s="24" t="n">
        <v>46</v>
      </c>
      <c r="F3207" s="24">
        <f>D3207*E3207</f>
        <v/>
      </c>
      <c r="G3207" s="22" t="n"/>
    </row>
    <row r="3208">
      <c r="A3208" s="22" t="inlineStr">
        <is>
          <t>9977</t>
        </is>
      </c>
      <c r="B3208" s="11" t="inlineStr">
        <is>
          <t>Carriage of materials</t>
        </is>
      </c>
      <c r="C3208" s="22" t="inlineStr">
        <is>
          <t>L.S.</t>
        </is>
      </c>
      <c r="D3208" s="23" t="n">
        <v>6.37</v>
      </c>
      <c r="E3208" s="24" t="n">
        <v>2</v>
      </c>
      <c r="F3208" s="24">
        <f>D3208*E3208</f>
        <v/>
      </c>
      <c r="G3208" s="22" t="n"/>
    </row>
    <row r="3209">
      <c r="A3209" s="22" t="inlineStr">
        <is>
          <t>0112</t>
        </is>
      </c>
      <c r="B3209" s="11" t="inlineStr">
        <is>
          <t>Carpenter 2nd class</t>
        </is>
      </c>
      <c r="C3209" s="22" t="inlineStr">
        <is>
          <t>day</t>
        </is>
      </c>
      <c r="D3209" s="23" t="n">
        <v>0.25</v>
      </c>
      <c r="E3209" s="24" t="n">
        <v>679</v>
      </c>
      <c r="F3209" s="24">
        <f>D3209*E3209</f>
        <v/>
      </c>
      <c r="G3209" s="22" t="n"/>
    </row>
    <row r="3210">
      <c r="A3210" s="8" t="inlineStr">
        <is>
          <t>Calculated W - SUM of the Amount column above</t>
        </is>
      </c>
      <c r="B3210" s="9" t="n"/>
      <c r="C3210" s="9" t="n"/>
      <c r="D3210" s="9" t="n"/>
      <c r="E3210" s="9" t="n"/>
      <c r="F3210" s="25">
        <f>SUM(F3207:F3209)</f>
        <v/>
      </c>
      <c r="G3210" s="9" t="n"/>
    </row>
    <row r="3211">
      <c r="A3211" s="26" t="inlineStr">
        <is>
          <t>W as printed in the DAR</t>
        </is>
      </c>
      <c r="B3211" s="22" t="n"/>
      <c r="C3211" s="22" t="n"/>
      <c r="D3211" s="22" t="n"/>
      <c r="E3211" s="22" t="n"/>
      <c r="F3211" s="27" t="n">
        <v>642.49</v>
      </c>
      <c r="G3211" s="22" t="n"/>
    </row>
    <row r="3212">
      <c r="A3212" s="26" t="inlineStr">
        <is>
          <t>Difference (calculated - printed)</t>
        </is>
      </c>
      <c r="B3212" s="22" t="n"/>
      <c r="C3212" s="22" t="n"/>
      <c r="D3212" s="22" t="n"/>
      <c r="E3212" s="22" t="n"/>
      <c r="F3212" s="27">
        <f>F3210-F3211</f>
        <v/>
      </c>
      <c r="G3212" s="22" t="n"/>
    </row>
    <row r="3213">
      <c r="A3213" s="29" t="inlineStr">
        <is>
          <t>SAY (Rs.) - final DAR rate as printed (fixed value, not computed)</t>
        </is>
      </c>
      <c r="B3213" s="30" t="n"/>
      <c r="C3213" s="30" t="n"/>
      <c r="D3213" s="30" t="n"/>
      <c r="E3213" s="30" t="n"/>
      <c r="F3213" s="31" t="n">
        <v>85.95</v>
      </c>
      <c r="G3213" s="30" t="n"/>
    </row>
    <row r="3215" ht="33" customHeight="1">
      <c r="A3215" s="18" t="inlineStr">
        <is>
          <t>9.99</t>
        </is>
      </c>
      <c r="B3215" s="19" t="inlineStr">
        <is>
          <t>Providing and fixing 50 cm long aluminium kicking plate of size 100x3.15 mm, anodised (anodic coating not less than grade AC 10 as per IS : 1868) transparent or dyed to required colour or shade, with necessary screws etc. complete.</t>
        </is>
      </c>
      <c r="C3215" s="20" t="n"/>
      <c r="D3215" s="20" t="n"/>
      <c r="E3215" s="20" t="n"/>
      <c r="F3215" s="20" t="n"/>
      <c r="G3215" s="20" t="n"/>
    </row>
    <row r="3216">
      <c r="A3216" s="21" t="inlineStr">
        <is>
          <t>Details of cost for 10 nos   |   Source: CivilDAR_2019_Vol_1.pdf, page 563</t>
        </is>
      </c>
    </row>
    <row r="3217">
      <c r="A3217" s="5" t="inlineStr">
        <is>
          <t>Code</t>
        </is>
      </c>
      <c r="B3217" s="5" t="inlineStr">
        <is>
          <t>Description</t>
        </is>
      </c>
      <c r="C3217" s="5" t="inlineStr">
        <is>
          <t>Unit</t>
        </is>
      </c>
      <c r="D3217" s="5" t="inlineStr">
        <is>
          <t>Quantity</t>
        </is>
      </c>
      <c r="E3217" s="5" t="inlineStr">
        <is>
          <t>Rate (Rs.)</t>
        </is>
      </c>
      <c r="F3217" s="5" t="inlineStr">
        <is>
          <t>Amount (Rs.)</t>
        </is>
      </c>
      <c r="G3217" s="5" t="inlineStr">
        <is>
          <t>Note</t>
        </is>
      </c>
    </row>
    <row r="3218">
      <c r="A3218" s="22" t="inlineStr">
        <is>
          <t>0706</t>
        </is>
      </c>
      <c r="B3218" s="11" t="inlineStr">
        <is>
          <t>Anodised Aluminium kicking plate 50 cm long100x3.15 mm</t>
        </is>
      </c>
      <c r="C3218" s="22" t="inlineStr">
        <is>
          <t>each</t>
        </is>
      </c>
      <c r="D3218" s="23" t="n">
        <v>10</v>
      </c>
      <c r="E3218" s="24" t="n">
        <v>142</v>
      </c>
      <c r="F3218" s="24">
        <f>D3218*E3218</f>
        <v/>
      </c>
      <c r="G3218" s="22" t="n"/>
    </row>
    <row r="3219">
      <c r="A3219" s="22" t="inlineStr">
        <is>
          <t>0588</t>
        </is>
      </c>
      <c r="B3219" s="11" t="inlineStr">
        <is>
          <t>Chromium plated Brass screws 25 mm</t>
        </is>
      </c>
      <c r="C3219" s="22" t="inlineStr">
        <is>
          <t>100 Nos</t>
        </is>
      </c>
      <c r="D3219" s="23" t="n">
        <v>0.4</v>
      </c>
      <c r="E3219" s="24" t="n">
        <v>180</v>
      </c>
      <c r="F3219" s="24">
        <f>D3219*E3219</f>
        <v/>
      </c>
      <c r="G3219" s="22" t="n"/>
    </row>
    <row r="3220">
      <c r="A3220" s="22" t="inlineStr">
        <is>
          <t>9977</t>
        </is>
      </c>
      <c r="B3220" s="11" t="inlineStr">
        <is>
          <t>Carriage of materials</t>
        </is>
      </c>
      <c r="C3220" s="22" t="inlineStr">
        <is>
          <t>L.S.</t>
        </is>
      </c>
      <c r="D3220" s="23" t="n">
        <v>5.46</v>
      </c>
      <c r="E3220" s="24" t="n">
        <v>2</v>
      </c>
      <c r="F3220" s="24">
        <f>D3220*E3220</f>
        <v/>
      </c>
      <c r="G3220" s="22" t="n"/>
    </row>
    <row r="3221">
      <c r="A3221" s="22" t="inlineStr">
        <is>
          <t>0111</t>
        </is>
      </c>
      <c r="B3221" s="11" t="inlineStr">
        <is>
          <t>Carpenter 1st class</t>
        </is>
      </c>
      <c r="C3221" s="22" t="inlineStr">
        <is>
          <t>day</t>
        </is>
      </c>
      <c r="D3221" s="23" t="n">
        <v>0.07000000000000001</v>
      </c>
      <c r="E3221" s="24" t="n">
        <v>738</v>
      </c>
      <c r="F3221" s="24">
        <f>D3221*E3221</f>
        <v/>
      </c>
      <c r="G3221" s="22" t="n"/>
    </row>
    <row r="3222">
      <c r="A3222" s="22" t="inlineStr">
        <is>
          <t>0114</t>
        </is>
      </c>
      <c r="B3222" s="11" t="inlineStr">
        <is>
          <t>Beldar</t>
        </is>
      </c>
      <c r="C3222" s="22" t="inlineStr">
        <is>
          <t>day</t>
        </is>
      </c>
      <c r="D3222" s="23" t="n">
        <v>0.05</v>
      </c>
      <c r="E3222" s="24" t="n">
        <v>558</v>
      </c>
      <c r="F3222" s="24">
        <f>D3222*E3222</f>
        <v/>
      </c>
      <c r="G3222" s="22" t="n"/>
    </row>
    <row r="3223">
      <c r="A3223" s="8" t="inlineStr">
        <is>
          <t>Calculated W - SUM of the Amount column above</t>
        </is>
      </c>
      <c r="B3223" s="9" t="n"/>
      <c r="C3223" s="9" t="n"/>
      <c r="D3223" s="9" t="n"/>
      <c r="E3223" s="9" t="n"/>
      <c r="F3223" s="25">
        <f>SUM(F3218:F3222)</f>
        <v/>
      </c>
      <c r="G3223" s="9" t="n"/>
    </row>
    <row r="3224">
      <c r="A3224" s="26" t="inlineStr">
        <is>
          <t>W as printed in the DAR</t>
        </is>
      </c>
      <c r="B3224" s="22" t="n"/>
      <c r="C3224" s="22" t="n"/>
      <c r="D3224" s="22" t="n"/>
      <c r="E3224" s="22" t="n"/>
      <c r="F3224" s="27" t="n">
        <v>1582.48</v>
      </c>
      <c r="G3224" s="22" t="n"/>
    </row>
    <row r="3225">
      <c r="A3225" s="26" t="inlineStr">
        <is>
          <t>Difference (calculated - printed)</t>
        </is>
      </c>
      <c r="B3225" s="22" t="n"/>
      <c r="C3225" s="22" t="n"/>
      <c r="D3225" s="22" t="n"/>
      <c r="E3225" s="22" t="n"/>
      <c r="F3225" s="27">
        <f>F3223-F3224</f>
        <v/>
      </c>
      <c r="G3225" s="22" t="n"/>
    </row>
    <row r="3226">
      <c r="A3226" s="29" t="inlineStr">
        <is>
          <t>SAY (Rs.) - final DAR rate as printed (fixed value, not computed)</t>
        </is>
      </c>
      <c r="B3226" s="30" t="n"/>
      <c r="C3226" s="30" t="n"/>
      <c r="D3226" s="30" t="n"/>
      <c r="E3226" s="30" t="n"/>
      <c r="F3226" s="31" t="n">
        <v>211.75</v>
      </c>
      <c r="G3226" s="30" t="n"/>
    </row>
    <row r="3228" ht="33" customHeight="1">
      <c r="A3228" s="8" t="inlineStr">
        <is>
          <t>9.100</t>
        </is>
      </c>
      <c r="B3228" s="17" t="inlineStr">
        <is>
          <t>Providing and fixing aluminium handles, ISI marked, anodised (anodic coating not less than grade AC 10 as per IS : 1868) transparent or dyed to required colour or shade, with necessary screws etc. complete :</t>
        </is>
      </c>
      <c r="C3228" s="9" t="n"/>
      <c r="D3228" s="9" t="n"/>
      <c r="E3228" s="9" t="n"/>
      <c r="F3228" s="9" t="n"/>
      <c r="G3228" s="9" t="n"/>
    </row>
    <row r="3229" ht="18.5" customHeight="1">
      <c r="A3229" s="18" t="inlineStr">
        <is>
          <t>9.100.1</t>
        </is>
      </c>
      <c r="B3229" s="19" t="inlineStr">
        <is>
          <t>125 mm</t>
        </is>
      </c>
      <c r="C3229" s="20" t="n"/>
      <c r="D3229" s="20" t="n"/>
      <c r="E3229" s="20" t="n"/>
      <c r="F3229" s="20" t="n"/>
      <c r="G3229" s="20" t="n"/>
    </row>
    <row r="3230">
      <c r="A3230" s="21" t="inlineStr">
        <is>
          <t>Details of cost for 10 nos   |   Source: CivilDAR_2019_Vol_1.pdf, page 564</t>
        </is>
      </c>
    </row>
    <row r="3231">
      <c r="A3231" s="5" t="inlineStr">
        <is>
          <t>Code</t>
        </is>
      </c>
      <c r="B3231" s="5" t="inlineStr">
        <is>
          <t>Description</t>
        </is>
      </c>
      <c r="C3231" s="5" t="inlineStr">
        <is>
          <t>Unit</t>
        </is>
      </c>
      <c r="D3231" s="5" t="inlineStr">
        <is>
          <t>Quantity</t>
        </is>
      </c>
      <c r="E3231" s="5" t="inlineStr">
        <is>
          <t>Rate (Rs.)</t>
        </is>
      </c>
      <c r="F3231" s="5" t="inlineStr">
        <is>
          <t>Amount (Rs.)</t>
        </is>
      </c>
      <c r="G3231" s="5" t="inlineStr">
        <is>
          <t>Note</t>
        </is>
      </c>
    </row>
    <row r="3232">
      <c r="A3232" s="22" t="inlineStr">
        <is>
          <t>0703</t>
        </is>
      </c>
      <c r="B3232" s="11" t="inlineStr">
        <is>
          <t>Anodised Aluminium handles 125 mm with plate 175 x 32 mm</t>
        </is>
      </c>
      <c r="C3232" s="22" t="inlineStr">
        <is>
          <t>10 Nos</t>
        </is>
      </c>
      <c r="D3232" s="23" t="n">
        <v>1</v>
      </c>
      <c r="E3232" s="24" t="n">
        <v>324</v>
      </c>
      <c r="F3232" s="24">
        <f>D3232*E3232</f>
        <v/>
      </c>
      <c r="G3232" s="22" t="n"/>
    </row>
    <row r="3233">
      <c r="A3233" s="22" t="inlineStr">
        <is>
          <t>0588</t>
        </is>
      </c>
      <c r="B3233" s="11" t="inlineStr">
        <is>
          <t>Chromium plated Brass screws 25 mm</t>
        </is>
      </c>
      <c r="C3233" s="22" t="inlineStr">
        <is>
          <t>100 Nos</t>
        </is>
      </c>
      <c r="D3233" s="23" t="n">
        <v>0.4</v>
      </c>
      <c r="E3233" s="24" t="n">
        <v>180</v>
      </c>
      <c r="F3233" s="24">
        <f>D3233*E3233</f>
        <v/>
      </c>
      <c r="G3233" s="22" t="n"/>
    </row>
    <row r="3234">
      <c r="A3234" s="22" t="inlineStr">
        <is>
          <t>9977</t>
        </is>
      </c>
      <c r="B3234" s="11" t="inlineStr">
        <is>
          <t>Carriage of materials</t>
        </is>
      </c>
      <c r="C3234" s="22" t="inlineStr">
        <is>
          <t>L.S.</t>
        </is>
      </c>
      <c r="D3234" s="23" t="n">
        <v>2.73</v>
      </c>
      <c r="E3234" s="24" t="n">
        <v>2</v>
      </c>
      <c r="F3234" s="24">
        <f>D3234*E3234</f>
        <v/>
      </c>
      <c r="G3234" s="22" t="n"/>
    </row>
    <row r="3235">
      <c r="A3235" s="22" t="inlineStr">
        <is>
          <t>0111</t>
        </is>
      </c>
      <c r="B3235" s="11" t="inlineStr">
        <is>
          <t>Carpenter 1st class</t>
        </is>
      </c>
      <c r="C3235" s="22" t="inlineStr">
        <is>
          <t>day</t>
        </is>
      </c>
      <c r="D3235" s="23" t="n">
        <v>0.06</v>
      </c>
      <c r="E3235" s="24" t="n">
        <v>738</v>
      </c>
      <c r="F3235" s="24">
        <f>D3235*E3235</f>
        <v/>
      </c>
      <c r="G3235" s="22" t="n"/>
    </row>
    <row r="3236">
      <c r="A3236" s="8" t="inlineStr">
        <is>
          <t>Calculated W - SUM of the Amount column above</t>
        </is>
      </c>
      <c r="B3236" s="9" t="n"/>
      <c r="C3236" s="9" t="n"/>
      <c r="D3236" s="9" t="n"/>
      <c r="E3236" s="9" t="n"/>
      <c r="F3236" s="25">
        <f>SUM(F3232:F3235)</f>
        <v/>
      </c>
      <c r="G3236" s="9" t="n"/>
    </row>
    <row r="3237">
      <c r="A3237" s="26" t="inlineStr">
        <is>
          <t>W as printed in the DAR</t>
        </is>
      </c>
      <c r="B3237" s="22" t="n"/>
      <c r="C3237" s="22" t="n"/>
      <c r="D3237" s="22" t="n"/>
      <c r="E3237" s="22" t="n"/>
      <c r="F3237" s="27" t="n">
        <v>445.74</v>
      </c>
      <c r="G3237" s="22" t="n"/>
    </row>
    <row r="3238">
      <c r="A3238" s="26" t="inlineStr">
        <is>
          <t>Difference (calculated - printed)</t>
        </is>
      </c>
      <c r="B3238" s="22" t="n"/>
      <c r="C3238" s="22" t="n"/>
      <c r="D3238" s="22" t="n"/>
      <c r="E3238" s="22" t="n"/>
      <c r="F3238" s="27">
        <f>F3236-F3237</f>
        <v/>
      </c>
      <c r="G3238" s="22" t="n"/>
    </row>
    <row r="3239">
      <c r="A3239" s="29" t="inlineStr">
        <is>
          <t>SAY (Rs.) - final DAR rate as printed (fixed value, not computed)</t>
        </is>
      </c>
      <c r="B3239" s="30" t="n"/>
      <c r="C3239" s="30" t="n"/>
      <c r="D3239" s="30" t="n"/>
      <c r="E3239" s="30" t="n"/>
      <c r="F3239" s="31" t="n">
        <v>59.65</v>
      </c>
      <c r="G3239" s="30" t="n"/>
    </row>
    <row r="3241" ht="33" customHeight="1">
      <c r="A3241" s="8" t="inlineStr">
        <is>
          <t>9.100</t>
        </is>
      </c>
      <c r="B3241" s="17" t="inlineStr">
        <is>
          <t>Providing and fixing aluminium handles, ISI marked, anodised (anodic coating not less than grade AC 10 as per IS : 1868) transparent or dyed to required colour or shade, with necessary screws etc. complete :</t>
        </is>
      </c>
      <c r="C3241" s="9" t="n"/>
      <c r="D3241" s="9" t="n"/>
      <c r="E3241" s="9" t="n"/>
      <c r="F3241" s="9" t="n"/>
      <c r="G3241" s="9" t="n"/>
    </row>
    <row r="3242" ht="18.5" customHeight="1">
      <c r="A3242" s="18" t="inlineStr">
        <is>
          <t>9.100.2</t>
        </is>
      </c>
      <c r="B3242" s="19" t="inlineStr">
        <is>
          <t>100 mm</t>
        </is>
      </c>
      <c r="C3242" s="20" t="n"/>
      <c r="D3242" s="20" t="n"/>
      <c r="E3242" s="20" t="n"/>
      <c r="F3242" s="20" t="n"/>
      <c r="G3242" s="20" t="n"/>
    </row>
    <row r="3243">
      <c r="A3243" s="21" t="inlineStr">
        <is>
          <t>Details of cost for 10 nos   |   Source: CivilDAR_2019_Vol_1.pdf, page 564</t>
        </is>
      </c>
    </row>
    <row r="3244">
      <c r="A3244" s="5" t="inlineStr">
        <is>
          <t>Code</t>
        </is>
      </c>
      <c r="B3244" s="5" t="inlineStr">
        <is>
          <t>Description</t>
        </is>
      </c>
      <c r="C3244" s="5" t="inlineStr">
        <is>
          <t>Unit</t>
        </is>
      </c>
      <c r="D3244" s="5" t="inlineStr">
        <is>
          <t>Quantity</t>
        </is>
      </c>
      <c r="E3244" s="5" t="inlineStr">
        <is>
          <t>Rate (Rs.)</t>
        </is>
      </c>
      <c r="F3244" s="5" t="inlineStr">
        <is>
          <t>Amount (Rs.)</t>
        </is>
      </c>
      <c r="G3244" s="5" t="inlineStr">
        <is>
          <t>Note</t>
        </is>
      </c>
    </row>
    <row r="3245">
      <c r="A3245" s="22" t="inlineStr">
        <is>
          <t>0704</t>
        </is>
      </c>
      <c r="B3245" s="11" t="inlineStr">
        <is>
          <t>Anodised Aluminium handles 100 mm with plate 150 x 32 mm</t>
        </is>
      </c>
      <c r="C3245" s="22" t="inlineStr">
        <is>
          <t>10 Nos</t>
        </is>
      </c>
      <c r="D3245" s="23" t="n">
        <v>1</v>
      </c>
      <c r="E3245" s="24" t="n">
        <v>275</v>
      </c>
      <c r="F3245" s="24">
        <f>D3245*E3245</f>
        <v/>
      </c>
      <c r="G3245" s="22" t="n"/>
    </row>
    <row r="3246">
      <c r="A3246" s="22" t="inlineStr">
        <is>
          <t>0588</t>
        </is>
      </c>
      <c r="B3246" s="11" t="inlineStr">
        <is>
          <t>Chromium plated Brass screws 25 mm</t>
        </is>
      </c>
      <c r="C3246" s="22" t="inlineStr">
        <is>
          <t>100 Nos</t>
        </is>
      </c>
      <c r="D3246" s="23" t="n">
        <v>0.4</v>
      </c>
      <c r="E3246" s="24" t="n">
        <v>180</v>
      </c>
      <c r="F3246" s="24">
        <f>D3246*E3246</f>
        <v/>
      </c>
      <c r="G3246" s="22" t="n"/>
    </row>
    <row r="3247">
      <c r="A3247" s="22" t="inlineStr">
        <is>
          <t>9977</t>
        </is>
      </c>
      <c r="B3247" s="11" t="inlineStr">
        <is>
          <t>Carriage of materials</t>
        </is>
      </c>
      <c r="C3247" s="22" t="inlineStr">
        <is>
          <t>L.S.</t>
        </is>
      </c>
      <c r="D3247" s="23" t="n">
        <v>1.82</v>
      </c>
      <c r="E3247" s="24" t="n">
        <v>2</v>
      </c>
      <c r="F3247" s="24">
        <f>D3247*E3247</f>
        <v/>
      </c>
      <c r="G3247" s="22" t="n"/>
    </row>
    <row r="3248">
      <c r="A3248" s="22" t="inlineStr">
        <is>
          <t>0111</t>
        </is>
      </c>
      <c r="B3248" s="11" t="inlineStr">
        <is>
          <t>Carpenter 1st class</t>
        </is>
      </c>
      <c r="C3248" s="22" t="inlineStr">
        <is>
          <t>day</t>
        </is>
      </c>
      <c r="D3248" s="23" t="n">
        <v>0.06</v>
      </c>
      <c r="E3248" s="24" t="n">
        <v>738</v>
      </c>
      <c r="F3248" s="24">
        <f>D3248*E3248</f>
        <v/>
      </c>
      <c r="G3248" s="22" t="n"/>
    </row>
    <row r="3249">
      <c r="A3249" s="8" t="inlineStr">
        <is>
          <t>Calculated W - SUM of the Amount column above</t>
        </is>
      </c>
      <c r="B3249" s="9" t="n"/>
      <c r="C3249" s="9" t="n"/>
      <c r="D3249" s="9" t="n"/>
      <c r="E3249" s="9" t="n"/>
      <c r="F3249" s="25">
        <f>SUM(F3245:F3248)</f>
        <v/>
      </c>
      <c r="G3249" s="9" t="n"/>
    </row>
    <row r="3250">
      <c r="A3250" s="26" t="inlineStr">
        <is>
          <t>W as printed in the DAR</t>
        </is>
      </c>
      <c r="B3250" s="22" t="n"/>
      <c r="C3250" s="22" t="n"/>
      <c r="D3250" s="22" t="n"/>
      <c r="E3250" s="22" t="n"/>
      <c r="F3250" s="27" t="n">
        <v>394.92</v>
      </c>
      <c r="G3250" s="22" t="n"/>
    </row>
    <row r="3251">
      <c r="A3251" s="26" t="inlineStr">
        <is>
          <t>Difference (calculated - printed)</t>
        </is>
      </c>
      <c r="B3251" s="22" t="n"/>
      <c r="C3251" s="22" t="n"/>
      <c r="D3251" s="22" t="n"/>
      <c r="E3251" s="22" t="n"/>
      <c r="F3251" s="27">
        <f>F3249-F3250</f>
        <v/>
      </c>
      <c r="G3251" s="22" t="n"/>
    </row>
    <row r="3252">
      <c r="A3252" s="29" t="inlineStr">
        <is>
          <t>SAY (Rs.) - final DAR rate as printed (fixed value, not computed)</t>
        </is>
      </c>
      <c r="B3252" s="30" t="n"/>
      <c r="C3252" s="30" t="n"/>
      <c r="D3252" s="30" t="n"/>
      <c r="E3252" s="30" t="n"/>
      <c r="F3252" s="31" t="n">
        <v>52.85</v>
      </c>
      <c r="G3252" s="30" t="n"/>
    </row>
    <row r="3254" ht="33" customHeight="1">
      <c r="A3254" s="8" t="inlineStr">
        <is>
          <t>9.100</t>
        </is>
      </c>
      <c r="B3254" s="17" t="inlineStr">
        <is>
          <t>Providing and fixing aluminium handles, ISI marked, anodised (anodic coating not less than grade AC 10 as per IS : 1868) transparent or dyed to required colour or shade, with necessary screws etc. complete :</t>
        </is>
      </c>
      <c r="C3254" s="9" t="n"/>
      <c r="D3254" s="9" t="n"/>
      <c r="E3254" s="9" t="n"/>
      <c r="F3254" s="9" t="n"/>
      <c r="G3254" s="9" t="n"/>
    </row>
    <row r="3255" ht="18.5" customHeight="1">
      <c r="A3255" s="18" t="inlineStr">
        <is>
          <t>9.100.3</t>
        </is>
      </c>
      <c r="B3255" s="19" t="inlineStr">
        <is>
          <t>75 mm</t>
        </is>
      </c>
      <c r="C3255" s="20" t="n"/>
      <c r="D3255" s="20" t="n"/>
      <c r="E3255" s="20" t="n"/>
      <c r="F3255" s="20" t="n"/>
      <c r="G3255" s="20" t="n"/>
    </row>
    <row r="3256">
      <c r="A3256" s="21" t="inlineStr">
        <is>
          <t>Details of cost for 10 nos   |   Source: CivilDAR_2019_Vol_1.pdf, page 565</t>
        </is>
      </c>
    </row>
    <row r="3257">
      <c r="A3257" s="5" t="inlineStr">
        <is>
          <t>Code</t>
        </is>
      </c>
      <c r="B3257" s="5" t="inlineStr">
        <is>
          <t>Description</t>
        </is>
      </c>
      <c r="C3257" s="5" t="inlineStr">
        <is>
          <t>Unit</t>
        </is>
      </c>
      <c r="D3257" s="5" t="inlineStr">
        <is>
          <t>Quantity</t>
        </is>
      </c>
      <c r="E3257" s="5" t="inlineStr">
        <is>
          <t>Rate (Rs.)</t>
        </is>
      </c>
      <c r="F3257" s="5" t="inlineStr">
        <is>
          <t>Amount (Rs.)</t>
        </is>
      </c>
      <c r="G3257" s="5" t="inlineStr">
        <is>
          <t>Note</t>
        </is>
      </c>
    </row>
    <row r="3258">
      <c r="A3258" s="22" t="inlineStr">
        <is>
          <t>0705</t>
        </is>
      </c>
      <c r="B3258" s="11" t="inlineStr">
        <is>
          <t>Anodised Aluminium handles 75mm with plate 125 x 32 mm</t>
        </is>
      </c>
      <c r="C3258" s="22" t="inlineStr">
        <is>
          <t>10 Nos</t>
        </is>
      </c>
      <c r="D3258" s="23" t="n">
        <v>1</v>
      </c>
      <c r="E3258" s="24" t="n">
        <v>231</v>
      </c>
      <c r="F3258" s="24">
        <f>D3258*E3258</f>
        <v/>
      </c>
      <c r="G3258" s="22" t="n"/>
    </row>
    <row r="3259">
      <c r="A3259" s="22" t="inlineStr">
        <is>
          <t>0589</t>
        </is>
      </c>
      <c r="B3259" s="11" t="inlineStr">
        <is>
          <t>Chromium plated Brass screws 20 mm</t>
        </is>
      </c>
      <c r="C3259" s="22" t="inlineStr">
        <is>
          <t>100 Nos</t>
        </is>
      </c>
      <c r="D3259" s="23" t="n">
        <v>0.4</v>
      </c>
      <c r="E3259" s="24" t="n">
        <v>160</v>
      </c>
      <c r="F3259" s="24">
        <f>D3259*E3259</f>
        <v/>
      </c>
      <c r="G3259" s="22" t="n"/>
    </row>
    <row r="3260">
      <c r="A3260" s="22" t="inlineStr">
        <is>
          <t>9977</t>
        </is>
      </c>
      <c r="B3260" s="11" t="inlineStr">
        <is>
          <t>Carriage of materials</t>
        </is>
      </c>
      <c r="C3260" s="22" t="inlineStr">
        <is>
          <t>L.S.</t>
        </is>
      </c>
      <c r="D3260" s="23" t="n">
        <v>1.82</v>
      </c>
      <c r="E3260" s="24" t="n">
        <v>2</v>
      </c>
      <c r="F3260" s="24">
        <f>D3260*E3260</f>
        <v/>
      </c>
      <c r="G3260" s="22" t="n"/>
    </row>
    <row r="3261">
      <c r="A3261" s="22" t="inlineStr">
        <is>
          <t>0111</t>
        </is>
      </c>
      <c r="B3261" s="11" t="inlineStr">
        <is>
          <t>Carpenter 1st class</t>
        </is>
      </c>
      <c r="C3261" s="22" t="inlineStr">
        <is>
          <t>day</t>
        </is>
      </c>
      <c r="D3261" s="23" t="n">
        <v>0.06</v>
      </c>
      <c r="E3261" s="24" t="n">
        <v>738</v>
      </c>
      <c r="F3261" s="24">
        <f>D3261*E3261</f>
        <v/>
      </c>
      <c r="G3261" s="22" t="n"/>
    </row>
    <row r="3262">
      <c r="A3262" s="8" t="inlineStr">
        <is>
          <t>Calculated W - SUM of the Amount column above</t>
        </is>
      </c>
      <c r="B3262" s="9" t="n"/>
      <c r="C3262" s="9" t="n"/>
      <c r="D3262" s="9" t="n"/>
      <c r="E3262" s="9" t="n"/>
      <c r="F3262" s="25">
        <f>SUM(F3258:F3261)</f>
        <v/>
      </c>
      <c r="G3262" s="9" t="n"/>
    </row>
    <row r="3263">
      <c r="A3263" s="26" t="inlineStr">
        <is>
          <t>W as printed in the DAR</t>
        </is>
      </c>
      <c r="B3263" s="22" t="n"/>
      <c r="C3263" s="22" t="n"/>
      <c r="D3263" s="22" t="n"/>
      <c r="E3263" s="22" t="n"/>
      <c r="F3263" s="27" t="n">
        <v>342.92</v>
      </c>
      <c r="G3263" s="22" t="n"/>
    </row>
    <row r="3264">
      <c r="A3264" s="26" t="inlineStr">
        <is>
          <t>Difference (calculated - printed)</t>
        </is>
      </c>
      <c r="B3264" s="22" t="n"/>
      <c r="C3264" s="22" t="n"/>
      <c r="D3264" s="22" t="n"/>
      <c r="E3264" s="22" t="n"/>
      <c r="F3264" s="27">
        <f>F3262-F3263</f>
        <v/>
      </c>
      <c r="G3264" s="22" t="n"/>
    </row>
    <row r="3265">
      <c r="A3265" s="29" t="inlineStr">
        <is>
          <t>SAY (Rs.) - final DAR rate as printed (fixed value, not computed)</t>
        </is>
      </c>
      <c r="B3265" s="30" t="n"/>
      <c r="C3265" s="30" t="n"/>
      <c r="D3265" s="30" t="n"/>
      <c r="E3265" s="30" t="n"/>
      <c r="F3265" s="31" t="n">
        <v>45.9</v>
      </c>
      <c r="G3265" s="30" t="n"/>
    </row>
    <row r="3267" ht="33" customHeight="1">
      <c r="A3267" s="8" t="inlineStr">
        <is>
          <t>9.101</t>
        </is>
      </c>
      <c r="B3267" s="17" t="inlineStr">
        <is>
          <t>Providing and fixing aluminium hanging floor door stopper, ISI marked, anodised (anodic coating not less than grade AC 10 as per IS : 1868) transparent or dyed to required colour and shade, with necessary screws etc. complete.</t>
        </is>
      </c>
      <c r="C3267" s="9" t="n"/>
      <c r="D3267" s="9" t="n"/>
      <c r="E3267" s="9" t="n"/>
      <c r="F3267" s="9" t="n"/>
      <c r="G3267" s="9" t="n"/>
    </row>
    <row r="3268" ht="18.5" customHeight="1">
      <c r="A3268" s="18" t="inlineStr">
        <is>
          <t>9.101.1</t>
        </is>
      </c>
      <c r="B3268" s="19" t="inlineStr">
        <is>
          <t>Single rubber stopper</t>
        </is>
      </c>
      <c r="C3268" s="20" t="n"/>
      <c r="D3268" s="20" t="n"/>
      <c r="E3268" s="20" t="n"/>
      <c r="F3268" s="20" t="n"/>
      <c r="G3268" s="20" t="n"/>
    </row>
    <row r="3269">
      <c r="A3269" s="21" t="inlineStr">
        <is>
          <t>Details of cost for 10 nos   |   Source: CivilDAR_2019_Vol_1.pdf, page 565</t>
        </is>
      </c>
    </row>
    <row r="3270">
      <c r="A3270" s="5" t="inlineStr">
        <is>
          <t>Code</t>
        </is>
      </c>
      <c r="B3270" s="5" t="inlineStr">
        <is>
          <t>Description</t>
        </is>
      </c>
      <c r="C3270" s="5" t="inlineStr">
        <is>
          <t>Unit</t>
        </is>
      </c>
      <c r="D3270" s="5" t="inlineStr">
        <is>
          <t>Quantity</t>
        </is>
      </c>
      <c r="E3270" s="5" t="inlineStr">
        <is>
          <t>Rate (Rs.)</t>
        </is>
      </c>
      <c r="F3270" s="5" t="inlineStr">
        <is>
          <t>Amount (Rs.)</t>
        </is>
      </c>
      <c r="G3270" s="5" t="inlineStr">
        <is>
          <t>Note</t>
        </is>
      </c>
    </row>
    <row r="3271">
      <c r="A3271" s="22" t="inlineStr">
        <is>
          <t>2459</t>
        </is>
      </c>
      <c r="B3271" s="11" t="inlineStr">
        <is>
          <t>Anodised Aluminium hanging type door stopper</t>
        </is>
      </c>
      <c r="C3271" s="22" t="inlineStr">
        <is>
          <t>each</t>
        </is>
      </c>
      <c r="D3271" s="23" t="n">
        <v>10</v>
      </c>
      <c r="E3271" s="24" t="n">
        <v>19</v>
      </c>
      <c r="F3271" s="24">
        <f>D3271*E3271</f>
        <v/>
      </c>
      <c r="G3271" s="22" t="n"/>
    </row>
    <row r="3272">
      <c r="A3272" s="22" t="inlineStr">
        <is>
          <t>0588</t>
        </is>
      </c>
      <c r="B3272" s="11" t="inlineStr">
        <is>
          <t>Chromium plated Brass screws 25 mm</t>
        </is>
      </c>
      <c r="C3272" s="22" t="inlineStr">
        <is>
          <t>100 Nos</t>
        </is>
      </c>
      <c r="D3272" s="23" t="n">
        <v>0.2</v>
      </c>
      <c r="E3272" s="24" t="n">
        <v>180</v>
      </c>
      <c r="F3272" s="24">
        <f>D3272*E3272</f>
        <v/>
      </c>
      <c r="G3272" s="22" t="n"/>
    </row>
    <row r="3273">
      <c r="A3273" s="22" t="inlineStr">
        <is>
          <t>9977</t>
        </is>
      </c>
      <c r="B3273" s="11" t="inlineStr">
        <is>
          <t>Carriage of materials</t>
        </is>
      </c>
      <c r="C3273" s="22" t="inlineStr">
        <is>
          <t>L.S.</t>
        </is>
      </c>
      <c r="D3273" s="23" t="n">
        <v>2.73</v>
      </c>
      <c r="E3273" s="24" t="n">
        <v>2</v>
      </c>
      <c r="F3273" s="24">
        <f>D3273*E3273</f>
        <v/>
      </c>
      <c r="G3273" s="22" t="n"/>
    </row>
    <row r="3274">
      <c r="A3274" s="22" t="inlineStr">
        <is>
          <t>0111</t>
        </is>
      </c>
      <c r="B3274" s="11" t="inlineStr">
        <is>
          <t>Carpenter 1st class</t>
        </is>
      </c>
      <c r="C3274" s="22" t="inlineStr">
        <is>
          <t>day</t>
        </is>
      </c>
      <c r="D3274" s="23" t="n">
        <v>0.03</v>
      </c>
      <c r="E3274" s="24" t="n">
        <v>738</v>
      </c>
      <c r="F3274" s="24">
        <f>D3274*E3274</f>
        <v/>
      </c>
      <c r="G3274" s="22" t="n"/>
    </row>
    <row r="3275">
      <c r="A3275" s="8" t="inlineStr">
        <is>
          <t>Calculated W - SUM of the Amount column above</t>
        </is>
      </c>
      <c r="B3275" s="9" t="n"/>
      <c r="C3275" s="9" t="n"/>
      <c r="D3275" s="9" t="n"/>
      <c r="E3275" s="9" t="n"/>
      <c r="F3275" s="25">
        <f>SUM(F3271:F3274)</f>
        <v/>
      </c>
      <c r="G3275" s="9" t="n"/>
    </row>
    <row r="3276">
      <c r="A3276" s="26" t="inlineStr">
        <is>
          <t>W as printed in the DAR</t>
        </is>
      </c>
      <c r="B3276" s="22" t="n"/>
      <c r="C3276" s="22" t="n"/>
      <c r="D3276" s="22" t="n"/>
      <c r="E3276" s="22" t="n"/>
      <c r="F3276" s="27" t="n">
        <v>253.6</v>
      </c>
      <c r="G3276" s="22" t="n"/>
    </row>
    <row r="3277">
      <c r="A3277" s="26" t="inlineStr">
        <is>
          <t>Difference (calculated - printed)</t>
        </is>
      </c>
      <c r="B3277" s="22" t="n"/>
      <c r="C3277" s="22" t="n"/>
      <c r="D3277" s="22" t="n"/>
      <c r="E3277" s="22" t="n"/>
      <c r="F3277" s="27">
        <f>F3275-F3276</f>
        <v/>
      </c>
      <c r="G3277" s="22" t="n"/>
    </row>
    <row r="3278">
      <c r="A3278" s="29" t="inlineStr">
        <is>
          <t>SAY (Rs.) - final DAR rate as printed (fixed value, not computed)</t>
        </is>
      </c>
      <c r="B3278" s="30" t="n"/>
      <c r="C3278" s="30" t="n"/>
      <c r="D3278" s="30" t="n"/>
      <c r="E3278" s="30" t="n"/>
      <c r="F3278" s="31" t="n">
        <v>33.95</v>
      </c>
      <c r="G3278" s="30" t="n"/>
    </row>
    <row r="3280" ht="33" customHeight="1">
      <c r="A3280" s="8" t="inlineStr">
        <is>
          <t>9.101</t>
        </is>
      </c>
      <c r="B3280" s="17" t="inlineStr">
        <is>
          <t>Providing and fixing aluminium hanging floor door stopper, ISI marked, anodised (anodic coating not less than grade AC 10 as per IS : 1868) transparent or dyed to required colour and shade, with necessary screws etc. complete.</t>
        </is>
      </c>
      <c r="C3280" s="9" t="n"/>
      <c r="D3280" s="9" t="n"/>
      <c r="E3280" s="9" t="n"/>
      <c r="F3280" s="9" t="n"/>
      <c r="G3280" s="9" t="n"/>
    </row>
    <row r="3281" ht="18.5" customHeight="1">
      <c r="A3281" s="18" t="inlineStr">
        <is>
          <t>9.101.2</t>
        </is>
      </c>
      <c r="B3281" s="19" t="inlineStr">
        <is>
          <t>Twin rubber stopper</t>
        </is>
      </c>
      <c r="C3281" s="20" t="n"/>
      <c r="D3281" s="20" t="n"/>
      <c r="E3281" s="20" t="n"/>
      <c r="F3281" s="20" t="n"/>
      <c r="G3281" s="20" t="n"/>
    </row>
    <row r="3282">
      <c r="A3282" s="21" t="inlineStr">
        <is>
          <t>Details of cost for 10 nos   |   Source: CivilDAR_2019_Vol_1.pdf, page 566</t>
        </is>
      </c>
    </row>
    <row r="3283">
      <c r="A3283" s="5" t="inlineStr">
        <is>
          <t>Code</t>
        </is>
      </c>
      <c r="B3283" s="5" t="inlineStr">
        <is>
          <t>Description</t>
        </is>
      </c>
      <c r="C3283" s="5" t="inlineStr">
        <is>
          <t>Unit</t>
        </is>
      </c>
      <c r="D3283" s="5" t="inlineStr">
        <is>
          <t>Quantity</t>
        </is>
      </c>
      <c r="E3283" s="5" t="inlineStr">
        <is>
          <t>Rate (Rs.)</t>
        </is>
      </c>
      <c r="F3283" s="5" t="inlineStr">
        <is>
          <t>Amount (Rs.)</t>
        </is>
      </c>
      <c r="G3283" s="5" t="inlineStr">
        <is>
          <t>Note</t>
        </is>
      </c>
    </row>
    <row r="3284">
      <c r="A3284" s="22" t="inlineStr">
        <is>
          <t>7059</t>
        </is>
      </c>
      <c r="B3284" s="11" t="inlineStr">
        <is>
          <t>Aluminium hanging floor door stopper with twin rubber &amp; stopper</t>
        </is>
      </c>
      <c r="C3284" s="22" t="inlineStr">
        <is>
          <t>each</t>
        </is>
      </c>
      <c r="D3284" s="23" t="n">
        <v>10</v>
      </c>
      <c r="E3284" s="24" t="n">
        <v>40</v>
      </c>
      <c r="F3284" s="24">
        <f>D3284*E3284</f>
        <v/>
      </c>
      <c r="G3284" s="22" t="n"/>
    </row>
    <row r="3285">
      <c r="A3285" s="22" t="inlineStr">
        <is>
          <t>0588</t>
        </is>
      </c>
      <c r="B3285" s="11" t="inlineStr">
        <is>
          <t>Chromium plated Brass screws 25 mm</t>
        </is>
      </c>
      <c r="C3285" s="22" t="inlineStr">
        <is>
          <t>100 Nos</t>
        </is>
      </c>
      <c r="D3285" s="23" t="n">
        <v>0.2</v>
      </c>
      <c r="E3285" s="24" t="n">
        <v>180</v>
      </c>
      <c r="F3285" s="24">
        <f>D3285*E3285</f>
        <v/>
      </c>
      <c r="G3285" s="22" t="n"/>
    </row>
    <row r="3286">
      <c r="A3286" s="22" t="inlineStr">
        <is>
          <t>9977</t>
        </is>
      </c>
      <c r="B3286" s="11" t="inlineStr">
        <is>
          <t>Carriage of materials</t>
        </is>
      </c>
      <c r="C3286" s="22" t="inlineStr">
        <is>
          <t>L.S.</t>
        </is>
      </c>
      <c r="D3286" s="23" t="n">
        <v>2.73</v>
      </c>
      <c r="E3286" s="24" t="n">
        <v>2</v>
      </c>
      <c r="F3286" s="24">
        <f>D3286*E3286</f>
        <v/>
      </c>
      <c r="G3286" s="22" t="n"/>
    </row>
    <row r="3287">
      <c r="A3287" s="22" t="inlineStr">
        <is>
          <t>0111</t>
        </is>
      </c>
      <c r="B3287" s="11" t="inlineStr">
        <is>
          <t>Carpenter 1st class</t>
        </is>
      </c>
      <c r="C3287" s="22" t="inlineStr">
        <is>
          <t>day</t>
        </is>
      </c>
      <c r="D3287" s="23" t="n">
        <v>0.03</v>
      </c>
      <c r="E3287" s="24" t="n">
        <v>738</v>
      </c>
      <c r="F3287" s="24">
        <f>D3287*E3287</f>
        <v/>
      </c>
      <c r="G3287" s="22" t="n"/>
    </row>
    <row r="3288">
      <c r="A3288" s="8" t="inlineStr">
        <is>
          <t>Calculated W - SUM of the Amount column above</t>
        </is>
      </c>
      <c r="B3288" s="9" t="n"/>
      <c r="C3288" s="9" t="n"/>
      <c r="D3288" s="9" t="n"/>
      <c r="E3288" s="9" t="n"/>
      <c r="F3288" s="25">
        <f>SUM(F3284:F3287)</f>
        <v/>
      </c>
      <c r="G3288" s="9" t="n"/>
    </row>
    <row r="3289">
      <c r="A3289" s="26" t="inlineStr">
        <is>
          <t>W as printed in the DAR</t>
        </is>
      </c>
      <c r="B3289" s="22" t="n"/>
      <c r="C3289" s="22" t="n"/>
      <c r="D3289" s="22" t="n"/>
      <c r="E3289" s="22" t="n"/>
      <c r="F3289" s="27" t="n">
        <v>463.6</v>
      </c>
      <c r="G3289" s="22" t="n"/>
    </row>
    <row r="3290">
      <c r="A3290" s="26" t="inlineStr">
        <is>
          <t>Difference (calculated - printed)</t>
        </is>
      </c>
      <c r="B3290" s="22" t="n"/>
      <c r="C3290" s="22" t="n"/>
      <c r="D3290" s="22" t="n"/>
      <c r="E3290" s="22" t="n"/>
      <c r="F3290" s="27">
        <f>F3288-F3289</f>
        <v/>
      </c>
      <c r="G3290" s="22" t="n"/>
    </row>
    <row r="3291">
      <c r="A3291" s="29" t="inlineStr">
        <is>
          <t>SAY (Rs.) - final DAR rate as printed (fixed value, not computed)</t>
        </is>
      </c>
      <c r="B3291" s="30" t="n"/>
      <c r="C3291" s="30" t="n"/>
      <c r="D3291" s="30" t="n"/>
      <c r="E3291" s="30" t="n"/>
      <c r="F3291" s="31" t="n">
        <v>62.05</v>
      </c>
      <c r="G3291" s="30" t="n"/>
    </row>
    <row r="3293" ht="33" customHeight="1">
      <c r="A3293" s="18" t="inlineStr">
        <is>
          <t>9.102</t>
        </is>
      </c>
      <c r="B3293" s="19" t="inlineStr">
        <is>
          <t>Providing and fixing aluminium casement stays, ISI marked, anodised (anodic coating not less than grade AC 10 as per IS : 1868) transparent or dyed to required colour and shade, with necessary screws etc. complete.</t>
        </is>
      </c>
      <c r="C3293" s="20" t="n"/>
      <c r="D3293" s="20" t="n"/>
      <c r="E3293" s="20" t="n"/>
      <c r="F3293" s="20" t="n"/>
      <c r="G3293" s="20" t="n"/>
    </row>
    <row r="3294">
      <c r="A3294" s="21" t="inlineStr">
        <is>
          <t>Details of cost for 10 nos   |   Source: CivilDAR_2019_Vol_1.pdf, page 566</t>
        </is>
      </c>
    </row>
    <row r="3295">
      <c r="A3295" s="5" t="inlineStr">
        <is>
          <t>Code</t>
        </is>
      </c>
      <c r="B3295" s="5" t="inlineStr">
        <is>
          <t>Description</t>
        </is>
      </c>
      <c r="C3295" s="5" t="inlineStr">
        <is>
          <t>Unit</t>
        </is>
      </c>
      <c r="D3295" s="5" t="inlineStr">
        <is>
          <t>Quantity</t>
        </is>
      </c>
      <c r="E3295" s="5" t="inlineStr">
        <is>
          <t>Rate (Rs.)</t>
        </is>
      </c>
      <c r="F3295" s="5" t="inlineStr">
        <is>
          <t>Amount (Rs.)</t>
        </is>
      </c>
      <c r="G3295" s="5" t="inlineStr">
        <is>
          <t>Note</t>
        </is>
      </c>
    </row>
    <row r="3296">
      <c r="A3296" s="22" t="inlineStr">
        <is>
          <t>2465</t>
        </is>
      </c>
      <c r="B3296" s="11" t="inlineStr">
        <is>
          <t>Anodised Aluminium Casement stay 250 mm</t>
        </is>
      </c>
      <c r="C3296" s="22" t="inlineStr">
        <is>
          <t>each</t>
        </is>
      </c>
      <c r="D3296" s="23" t="n">
        <v>10</v>
      </c>
      <c r="E3296" s="24" t="n">
        <v>32</v>
      </c>
      <c r="F3296" s="24">
        <f>D3296*E3296</f>
        <v/>
      </c>
      <c r="G3296" s="22" t="n"/>
    </row>
    <row r="3297">
      <c r="A3297" s="22" t="inlineStr">
        <is>
          <t>0588</t>
        </is>
      </c>
      <c r="B3297" s="11" t="inlineStr">
        <is>
          <t>Chromium plated Brass screws 25 mm</t>
        </is>
      </c>
      <c r="C3297" s="22" t="inlineStr">
        <is>
          <t>100 Nos</t>
        </is>
      </c>
      <c r="D3297" s="23" t="n">
        <v>0.4</v>
      </c>
      <c r="E3297" s="24" t="n">
        <v>180</v>
      </c>
      <c r="F3297" s="24">
        <f>D3297*E3297</f>
        <v/>
      </c>
      <c r="G3297" s="22" t="n"/>
    </row>
    <row r="3298">
      <c r="A3298" s="22" t="inlineStr">
        <is>
          <t>9977</t>
        </is>
      </c>
      <c r="B3298" s="11" t="inlineStr">
        <is>
          <t>Carriage of materials</t>
        </is>
      </c>
      <c r="C3298" s="22" t="inlineStr">
        <is>
          <t>L.S.</t>
        </is>
      </c>
      <c r="D3298" s="23" t="n">
        <v>0.91</v>
      </c>
      <c r="E3298" s="24" t="n">
        <v>2</v>
      </c>
      <c r="F3298" s="24">
        <f>D3298*E3298</f>
        <v/>
      </c>
      <c r="G3298" s="22" t="n"/>
    </row>
    <row r="3299">
      <c r="A3299" s="22" t="inlineStr">
        <is>
          <t>0111</t>
        </is>
      </c>
      <c r="B3299" s="11" t="inlineStr">
        <is>
          <t>Carpenter 1st class</t>
        </is>
      </c>
      <c r="C3299" s="22" t="inlineStr">
        <is>
          <t>day</t>
        </is>
      </c>
      <c r="D3299" s="23" t="n">
        <v>0.1</v>
      </c>
      <c r="E3299" s="24" t="n">
        <v>738</v>
      </c>
      <c r="F3299" s="24">
        <f>D3299*E3299</f>
        <v/>
      </c>
      <c r="G3299" s="22" t="n"/>
    </row>
    <row r="3300">
      <c r="A3300" s="8" t="inlineStr">
        <is>
          <t>Calculated W - SUM of the Amount column above</t>
        </is>
      </c>
      <c r="B3300" s="9" t="n"/>
      <c r="C3300" s="9" t="n"/>
      <c r="D3300" s="9" t="n"/>
      <c r="E3300" s="9" t="n"/>
      <c r="F3300" s="25">
        <f>SUM(F3296:F3299)</f>
        <v/>
      </c>
      <c r="G3300" s="9" t="n"/>
    </row>
    <row r="3301">
      <c r="A3301" s="26" t="inlineStr">
        <is>
          <t>W as printed in the DAR</t>
        </is>
      </c>
      <c r="B3301" s="22" t="n"/>
      <c r="C3301" s="22" t="n"/>
      <c r="D3301" s="22" t="n"/>
      <c r="E3301" s="22" t="n"/>
      <c r="F3301" s="27" t="n">
        <v>467.62</v>
      </c>
      <c r="G3301" s="22" t="n"/>
    </row>
    <row r="3302">
      <c r="A3302" s="26" t="inlineStr">
        <is>
          <t>Difference (calculated - printed)</t>
        </is>
      </c>
      <c r="B3302" s="22" t="n"/>
      <c r="C3302" s="22" t="n"/>
      <c r="D3302" s="22" t="n"/>
      <c r="E3302" s="22" t="n"/>
      <c r="F3302" s="27">
        <f>F3300-F3301</f>
        <v/>
      </c>
      <c r="G3302" s="22" t="n"/>
    </row>
    <row r="3303">
      <c r="A3303" s="29" t="inlineStr">
        <is>
          <t>SAY (Rs.) - final DAR rate as printed (fixed value, not computed)</t>
        </is>
      </c>
      <c r="B3303" s="30" t="n"/>
      <c r="C3303" s="30" t="n"/>
      <c r="D3303" s="30" t="n"/>
      <c r="E3303" s="30" t="n"/>
      <c r="F3303" s="31" t="n">
        <v>62.55</v>
      </c>
      <c r="G3303" s="30" t="n"/>
    </row>
    <row r="3305" ht="47.5" customHeight="1">
      <c r="A3305" s="18" t="inlineStr">
        <is>
          <t>9.103</t>
        </is>
      </c>
      <c r="B3305" s="19" t="inlineStr">
        <is>
          <t>Providing and fixing bright finished brass 100 mm mortice latch and lock, ISI marked, with six levers and a pair of anodised (anodic coating not less than grade AC 10 as per IS : 1868) aluminium lever handles of approved quality with necessary screws etc. complete.</t>
        </is>
      </c>
      <c r="C3305" s="20" t="n"/>
      <c r="D3305" s="20" t="n"/>
      <c r="E3305" s="20" t="n"/>
      <c r="F3305" s="20" t="n"/>
      <c r="G3305" s="20" t="n"/>
    </row>
    <row r="3306">
      <c r="A3306" s="21" t="inlineStr">
        <is>
          <t>Details of cost for 1 lock   |   Source: CivilDAR_2019_Vol_1.pdf, page 567</t>
        </is>
      </c>
    </row>
    <row r="3307">
      <c r="A3307" s="5" t="inlineStr">
        <is>
          <t>Code</t>
        </is>
      </c>
      <c r="B3307" s="5" t="inlineStr">
        <is>
          <t>Description</t>
        </is>
      </c>
      <c r="C3307" s="5" t="inlineStr">
        <is>
          <t>Unit</t>
        </is>
      </c>
      <c r="D3307" s="5" t="inlineStr">
        <is>
          <t>Quantity</t>
        </is>
      </c>
      <c r="E3307" s="5" t="inlineStr">
        <is>
          <t>Rate (Rs.)</t>
        </is>
      </c>
      <c r="F3307" s="5" t="inlineStr">
        <is>
          <t>Amount (Rs.)</t>
        </is>
      </c>
      <c r="G3307" s="5" t="inlineStr">
        <is>
          <t>Note</t>
        </is>
      </c>
    </row>
    <row r="3308">
      <c r="A3308" s="22" t="inlineStr">
        <is>
          <t>7001</t>
        </is>
      </c>
      <c r="B3308" s="11" t="inlineStr">
        <is>
          <t>Brass 100mm mortice latch and lock with 6 levers without pair of handles</t>
        </is>
      </c>
      <c r="C3308" s="22" t="inlineStr">
        <is>
          <t>each</t>
        </is>
      </c>
      <c r="D3308" s="23" t="n">
        <v>1</v>
      </c>
      <c r="E3308" s="24" t="n">
        <v>210</v>
      </c>
      <c r="F3308" s="24">
        <f>D3308*E3308</f>
        <v/>
      </c>
      <c r="G3308" s="22" t="n"/>
    </row>
    <row r="3309">
      <c r="A3309" s="22" t="inlineStr">
        <is>
          <t>7003</t>
        </is>
      </c>
      <c r="B3309" s="11" t="inlineStr">
        <is>
          <t>Pair of Anodised Aluminium lever handles for 100mm mortice latch and lock</t>
        </is>
      </c>
      <c r="C3309" s="22" t="inlineStr">
        <is>
          <t>each</t>
        </is>
      </c>
      <c r="D3309" s="23" t="n">
        <v>1</v>
      </c>
      <c r="E3309" s="24" t="n">
        <v>215</v>
      </c>
      <c r="F3309" s="24">
        <f>D3309*E3309</f>
        <v/>
      </c>
      <c r="G3309" s="22" t="n"/>
    </row>
    <row r="3310">
      <c r="A3310" s="22" t="inlineStr">
        <is>
          <t>0111</t>
        </is>
      </c>
      <c r="B3310" s="11" t="inlineStr">
        <is>
          <t>Carpenter 1st class</t>
        </is>
      </c>
      <c r="C3310" s="22" t="inlineStr">
        <is>
          <t>day</t>
        </is>
      </c>
      <c r="D3310" s="23" t="n">
        <v>0.17</v>
      </c>
      <c r="E3310" s="24" t="n">
        <v>738</v>
      </c>
      <c r="F3310" s="24">
        <f>D3310*E3310</f>
        <v/>
      </c>
      <c r="G3310" s="22" t="n"/>
    </row>
    <row r="3311">
      <c r="A3311" s="22" t="inlineStr">
        <is>
          <t>9988</t>
        </is>
      </c>
      <c r="B3311" s="11" t="inlineStr">
        <is>
          <t>Sundries including carriage of materials</t>
        </is>
      </c>
      <c r="C3311" s="22" t="inlineStr">
        <is>
          <t>L.S.</t>
        </is>
      </c>
      <c r="D3311" s="23" t="n">
        <v>4.55</v>
      </c>
      <c r="E3311" s="24" t="n">
        <v>2</v>
      </c>
      <c r="F3311" s="24">
        <f>D3311*E3311</f>
        <v/>
      </c>
      <c r="G3311" s="22" t="n"/>
    </row>
    <row r="3312">
      <c r="A3312" s="8" t="inlineStr">
        <is>
          <t>Calculated W - SUM of the Amount column above</t>
        </is>
      </c>
      <c r="B3312" s="9" t="n"/>
      <c r="C3312" s="9" t="n"/>
      <c r="D3312" s="9" t="n"/>
      <c r="E3312" s="9" t="n"/>
      <c r="F3312" s="25">
        <f>SUM(F3308:F3311)</f>
        <v/>
      </c>
      <c r="G3312" s="9" t="n"/>
    </row>
    <row r="3313">
      <c r="A3313" s="26" t="inlineStr">
        <is>
          <t>W as printed in the DAR</t>
        </is>
      </c>
      <c r="B3313" s="22" t="n"/>
      <c r="C3313" s="22" t="n"/>
      <c r="D3313" s="22" t="n"/>
      <c r="E3313" s="22" t="n"/>
      <c r="F3313" s="27" t="n">
        <v>559.5599999999999</v>
      </c>
      <c r="G3313" s="22" t="n"/>
    </row>
    <row r="3314">
      <c r="A3314" s="26" t="inlineStr">
        <is>
          <t>Difference (calculated - printed)</t>
        </is>
      </c>
      <c r="B3314" s="22" t="n"/>
      <c r="C3314" s="22" t="n"/>
      <c r="D3314" s="22" t="n"/>
      <c r="E3314" s="22" t="n"/>
      <c r="F3314" s="27">
        <f>F3312-F3313</f>
        <v/>
      </c>
      <c r="G3314" s="22" t="n"/>
    </row>
    <row r="3315">
      <c r="A3315" s="29" t="inlineStr">
        <is>
          <t>SAY (Rs.) - final DAR rate as printed (fixed value, not computed)</t>
        </is>
      </c>
      <c r="B3315" s="30" t="n"/>
      <c r="C3315" s="30" t="n"/>
      <c r="D3315" s="30" t="n"/>
      <c r="E3315" s="30" t="n"/>
      <c r="F3315" s="31" t="n">
        <v>748.65</v>
      </c>
      <c r="G3315" s="30" t="n"/>
    </row>
    <row r="3317" ht="18.5" customHeight="1">
      <c r="A3317" s="18" t="inlineStr">
        <is>
          <t>9.104</t>
        </is>
      </c>
      <c r="B3317" s="19" t="inlineStr">
        <is>
          <t>Providing and fixing aluminium tee channels (heavy duty) with rollers &amp; stop end in pelmets as curtain rod.</t>
        </is>
      </c>
      <c r="C3317" s="20" t="n"/>
      <c r="D3317" s="20" t="n"/>
      <c r="E3317" s="20" t="n"/>
      <c r="F3317" s="20" t="n"/>
      <c r="G3317" s="20" t="n"/>
    </row>
    <row r="3318">
      <c r="A3318" s="21" t="inlineStr">
        <is>
          <t>Details of cost for 2 metre   |   Source: CivilDAR_2019_Vol_1.pdf, page 567</t>
        </is>
      </c>
    </row>
    <row r="3319">
      <c r="A3319" s="5" t="inlineStr">
        <is>
          <t>Code</t>
        </is>
      </c>
      <c r="B3319" s="5" t="inlineStr">
        <is>
          <t>Description</t>
        </is>
      </c>
      <c r="C3319" s="5" t="inlineStr">
        <is>
          <t>Unit</t>
        </is>
      </c>
      <c r="D3319" s="5" t="inlineStr">
        <is>
          <t>Quantity</t>
        </is>
      </c>
      <c r="E3319" s="5" t="inlineStr">
        <is>
          <t>Rate (Rs.)</t>
        </is>
      </c>
      <c r="F3319" s="5" t="inlineStr">
        <is>
          <t>Amount (Rs.)</t>
        </is>
      </c>
      <c r="G3319" s="5" t="inlineStr">
        <is>
          <t>Note</t>
        </is>
      </c>
    </row>
    <row r="3320">
      <c r="A3320" s="22" t="inlineStr">
        <is>
          <t>7056</t>
        </is>
      </c>
      <c r="B3320" s="11" t="inlineStr">
        <is>
          <t>Aluminium tee channel (heavy duty) with rollers and stop end</t>
        </is>
      </c>
      <c r="C3320" s="22" t="inlineStr">
        <is>
          <t>metre</t>
        </is>
      </c>
      <c r="D3320" s="23" t="n">
        <v>2</v>
      </c>
      <c r="E3320" s="24" t="n">
        <v>100</v>
      </c>
      <c r="F3320" s="24">
        <f>D3320*E3320</f>
        <v/>
      </c>
      <c r="G3320" s="22" t="n"/>
    </row>
    <row r="3321">
      <c r="A3321" s="22" t="inlineStr">
        <is>
          <t>9999</t>
        </is>
      </c>
      <c r="B3321" s="11" t="inlineStr">
        <is>
          <t>LABOUR</t>
        </is>
      </c>
      <c r="C3321" s="22" t="inlineStr">
        <is>
          <t>L.S.</t>
        </is>
      </c>
      <c r="D3321" s="23" t="n">
        <v>2.73</v>
      </c>
      <c r="E3321" s="24" t="n">
        <v>2</v>
      </c>
      <c r="F3321" s="24">
        <f>D3321*E3321</f>
        <v/>
      </c>
      <c r="G3321" s="22" t="n"/>
    </row>
    <row r="3322">
      <c r="A3322" s="22" t="inlineStr">
        <is>
          <t>9999</t>
        </is>
      </c>
      <c r="B3322" s="11" t="inlineStr">
        <is>
          <t>Sundries</t>
        </is>
      </c>
      <c r="C3322" s="22" t="inlineStr">
        <is>
          <t>L.S.</t>
        </is>
      </c>
      <c r="D3322" s="23" t="n">
        <v>1.43</v>
      </c>
      <c r="E3322" s="24" t="n">
        <v>2</v>
      </c>
      <c r="F3322" s="24">
        <f>D3322*E3322</f>
        <v/>
      </c>
      <c r="G3322" s="22" t="n"/>
    </row>
    <row r="3323">
      <c r="A3323" s="8" t="inlineStr">
        <is>
          <t>Calculated W - SUM of the Amount column above</t>
        </is>
      </c>
      <c r="B3323" s="9" t="n"/>
      <c r="C3323" s="9" t="n"/>
      <c r="D3323" s="9" t="n"/>
      <c r="E3323" s="9" t="n"/>
      <c r="F3323" s="25">
        <f>SUM(F3320:F3322)</f>
        <v/>
      </c>
      <c r="G3323" s="9" t="n"/>
    </row>
    <row r="3324">
      <c r="A3324" s="26" t="inlineStr">
        <is>
          <t>W as printed in the DAR</t>
        </is>
      </c>
      <c r="B3324" s="22" t="n"/>
      <c r="C3324" s="22" t="n"/>
      <c r="D3324" s="22" t="n"/>
      <c r="E3324" s="22" t="n"/>
      <c r="F3324" s="27" t="n">
        <v>208.32</v>
      </c>
      <c r="G3324" s="22" t="n"/>
    </row>
    <row r="3325">
      <c r="A3325" s="26" t="inlineStr">
        <is>
          <t>Difference (calculated - printed)</t>
        </is>
      </c>
      <c r="B3325" s="22" t="n"/>
      <c r="C3325" s="22" t="n"/>
      <c r="D3325" s="22" t="n"/>
      <c r="E3325" s="22" t="n"/>
      <c r="F3325" s="27">
        <f>F3323-F3324</f>
        <v/>
      </c>
      <c r="G3325" s="22" t="n"/>
    </row>
    <row r="3326">
      <c r="A3326" s="29" t="inlineStr">
        <is>
          <t>SAY (Rs.) - final DAR rate as printed (fixed value, not computed)</t>
        </is>
      </c>
      <c r="B3326" s="30" t="n"/>
      <c r="C3326" s="30" t="n"/>
      <c r="D3326" s="30" t="n"/>
      <c r="E3326" s="30" t="n"/>
      <c r="F3326" s="31" t="n">
        <v>139.35</v>
      </c>
      <c r="G3326" s="30" t="n"/>
    </row>
    <row r="3328" ht="47.5" customHeight="1">
      <c r="A3328" s="8" t="inlineStr">
        <is>
          <t>9.105</t>
        </is>
      </c>
      <c r="B3328" s="17"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t>
        </is>
      </c>
      <c r="C3328" s="9" t="n"/>
      <c r="D3328" s="9" t="n"/>
      <c r="E3328" s="9" t="n"/>
      <c r="F3328" s="9" t="n"/>
      <c r="G3328" s="9" t="n"/>
    </row>
    <row r="3329" ht="33" customHeight="1">
      <c r="A3329" s="18" t="inlineStr">
        <is>
          <t>9.105.1</t>
        </is>
      </c>
      <c r="B3329" s="19" t="inlineStr">
        <is>
          <t>75 mm overall thickness partition with 12.5 mm thick double skin fire rated Glass Reinforced Gypsum (GRG), plaster board conforming to IS: 2095: (part 3) 1996 (Board with BIS Certification marks)</t>
        </is>
      </c>
      <c r="C3329" s="20" t="n"/>
      <c r="D3329" s="20" t="n"/>
      <c r="E3329" s="20" t="n"/>
      <c r="F3329" s="20" t="n"/>
      <c r="G3329" s="20" t="n"/>
    </row>
    <row r="3330">
      <c r="A3330" s="21" t="inlineStr">
        <is>
          <t>Details of cost for 21.9 sqm   |   Source: CivilDAR_2019_Vol_1.pdf, page 568</t>
        </is>
      </c>
    </row>
    <row r="3331">
      <c r="A3331" s="5" t="inlineStr">
        <is>
          <t>Code</t>
        </is>
      </c>
      <c r="B3331" s="5" t="inlineStr">
        <is>
          <t>Description</t>
        </is>
      </c>
      <c r="C3331" s="5" t="inlineStr">
        <is>
          <t>Unit</t>
        </is>
      </c>
      <c r="D3331" s="5" t="inlineStr">
        <is>
          <t>Quantity</t>
        </is>
      </c>
      <c r="E3331" s="5" t="inlineStr">
        <is>
          <t>Rate (Rs.)</t>
        </is>
      </c>
      <c r="F3331" s="5" t="inlineStr">
        <is>
          <t>Amount (Rs.)</t>
        </is>
      </c>
      <c r="G3331" s="5" t="inlineStr">
        <is>
          <t>Note</t>
        </is>
      </c>
    </row>
    <row r="3332">
      <c r="A3332" s="22" t="inlineStr">
        <is>
          <t>7366</t>
        </is>
      </c>
      <c r="B3332" s="11" t="inlineStr">
        <is>
          <t>Glass reinforced Gypsum (GRG) plaster board 12.5 mm thick confirming to IS 2095 (Part 3):</t>
        </is>
      </c>
      <c r="C3332" s="22" t="inlineStr">
        <is>
          <t>1996 sqm</t>
        </is>
      </c>
      <c r="D3332" s="23" t="n">
        <v>43.8</v>
      </c>
      <c r="E3332" s="24" t="n">
        <v>240</v>
      </c>
      <c r="F3332" s="24">
        <f>D3332*E3332</f>
        <v/>
      </c>
      <c r="G3332" s="22" t="n"/>
    </row>
    <row r="3333">
      <c r="A3333" s="22" t="inlineStr">
        <is>
          <t>7367</t>
        </is>
      </c>
      <c r="B3333" s="11" t="inlineStr">
        <is>
          <t>Galvanised M.S. sheet 0.5 mm thick pressed channel section of size 50x32 mm</t>
        </is>
      </c>
      <c r="C3333" s="22" t="inlineStr">
        <is>
          <t>metre</t>
        </is>
      </c>
      <c r="D3333" s="23" t="n">
        <v>12</v>
      </c>
      <c r="E3333" s="24" t="n">
        <v>57</v>
      </c>
      <c r="F3333" s="24">
        <f>D3333*E3333</f>
        <v/>
      </c>
      <c r="G3333" s="22" t="n"/>
    </row>
    <row r="3334">
      <c r="A3334" s="22" t="inlineStr">
        <is>
          <t>7369</t>
        </is>
      </c>
      <c r="B3334" s="11" t="inlineStr">
        <is>
          <t>Galvanised M.S. sheet 0.90 mm thick pressed stud. 48x34x36 mm</t>
        </is>
      </c>
      <c r="C3334" s="22" t="inlineStr">
        <is>
          <t>metre</t>
        </is>
      </c>
      <c r="D3334" s="23" t="n">
        <v>40.15</v>
      </c>
      <c r="E3334" s="24" t="n">
        <v>71</v>
      </c>
      <c r="F3334" s="24">
        <f>D3334*E3334</f>
        <v/>
      </c>
      <c r="G3334" s="22" t="n"/>
    </row>
    <row r="3335">
      <c r="A3335" s="22" t="inlineStr">
        <is>
          <t>7020</t>
        </is>
      </c>
      <c r="B3335" s="11" t="inlineStr">
        <is>
          <t>All drive screws ( for gypsum board)</t>
        </is>
      </c>
      <c r="C3335" s="22" t="inlineStr">
        <is>
          <t>100 Nos</t>
        </is>
      </c>
      <c r="D3335" s="23" t="n">
        <v>3.92</v>
      </c>
      <c r="E3335" s="24" t="n">
        <v>58</v>
      </c>
      <c r="F3335" s="24">
        <f>D3335*E3335</f>
        <v/>
      </c>
      <c r="G3335" s="22" t="n"/>
    </row>
    <row r="3336">
      <c r="A3336" s="22" t="inlineStr">
        <is>
          <t>7388</t>
        </is>
      </c>
      <c r="B3336" s="11" t="inlineStr">
        <is>
          <t>Dash hold fastener 12.5 mm dia, 40 mm long with 6 mm dia bolt</t>
        </is>
      </c>
      <c r="C3336" s="22" t="inlineStr">
        <is>
          <t>each</t>
        </is>
      </c>
      <c r="D3336" s="23" t="n">
        <v>22</v>
      </c>
      <c r="E3336" s="24" t="n">
        <v>11</v>
      </c>
      <c r="F3336" s="24">
        <f>D3336*E3336</f>
        <v/>
      </c>
      <c r="G3336" s="22" t="n"/>
    </row>
    <row r="3337">
      <c r="A3337" s="22" t="inlineStr">
        <is>
          <t>7048</t>
        </is>
      </c>
      <c r="B3337" s="11" t="inlineStr">
        <is>
          <t>Rawl plug 50 mm (designation 10 no.)</t>
        </is>
      </c>
      <c r="C3337" s="22" t="inlineStr">
        <is>
          <t>each</t>
        </is>
      </c>
      <c r="D3337" s="23" t="n">
        <v>18</v>
      </c>
      <c r="E3337" s="24" t="n">
        <v>25</v>
      </c>
      <c r="F3337" s="24">
        <f>D3337*E3337</f>
        <v/>
      </c>
      <c r="G3337" s="22" t="n"/>
    </row>
    <row r="3338">
      <c r="A3338" s="22" t="inlineStr">
        <is>
          <t>0869</t>
        </is>
      </c>
      <c r="B3338" s="11" t="inlineStr">
        <is>
          <t>Plaster of Paris</t>
        </is>
      </c>
      <c r="C3338" s="22" t="inlineStr">
        <is>
          <t>kilogram</t>
        </is>
      </c>
      <c r="D3338" s="23" t="n">
        <v>19.27</v>
      </c>
      <c r="E3338" s="24" t="n">
        <v>5</v>
      </c>
      <c r="F3338" s="24">
        <f>D3338*E3338</f>
        <v/>
      </c>
      <c r="G3338" s="22" t="n"/>
    </row>
    <row r="3339">
      <c r="A3339" s="22" t="inlineStr">
        <is>
          <t>0763</t>
        </is>
      </c>
      <c r="B3339" s="11" t="inlineStr">
        <is>
          <t>Glue</t>
        </is>
      </c>
      <c r="C3339" s="22" t="inlineStr">
        <is>
          <t>kilogram</t>
        </is>
      </c>
      <c r="D3339" s="23" t="n">
        <v>4.82</v>
      </c>
      <c r="E3339" s="24" t="n">
        <v>75</v>
      </c>
      <c r="F3339" s="24">
        <f>D3339*E3339</f>
        <v/>
      </c>
      <c r="G3339" s="22" t="n"/>
    </row>
    <row r="3340">
      <c r="A3340" s="22" t="inlineStr">
        <is>
          <t>7018</t>
        </is>
      </c>
      <c r="B3340" s="11" t="inlineStr">
        <is>
          <t>Joint tape roll</t>
        </is>
      </c>
      <c r="C3340" s="22" t="inlineStr">
        <is>
          <t>roll</t>
        </is>
      </c>
      <c r="D3340" s="23" t="n">
        <v>0.584</v>
      </c>
      <c r="E3340" s="24" t="n">
        <v>100</v>
      </c>
      <c r="F3340" s="24">
        <f>D3340*E3340</f>
        <v/>
      </c>
      <c r="G3340" s="22" t="n"/>
    </row>
    <row r="3341">
      <c r="A3341" s="22" t="inlineStr">
        <is>
          <t>7021</t>
        </is>
      </c>
      <c r="B3341" s="11" t="inlineStr">
        <is>
          <t>Primer ( for gypsum board)</t>
        </is>
      </c>
      <c r="C3341" s="22" t="inlineStr">
        <is>
          <t>litre</t>
        </is>
      </c>
      <c r="D3341" s="23" t="n">
        <v>7.88</v>
      </c>
      <c r="E3341" s="24" t="n">
        <v>85</v>
      </c>
      <c r="F3341" s="24">
        <f>D3341*E3341</f>
        <v/>
      </c>
      <c r="G3341" s="22" t="n"/>
    </row>
    <row r="3342">
      <c r="A3342" s="22" t="inlineStr">
        <is>
          <t>1022</t>
        </is>
      </c>
      <c r="B3342" s="11" t="inlineStr">
        <is>
          <t>Galvanised steel bolts &amp; nuts 6 mm dia and 25 mmlong round head with slots</t>
        </is>
      </c>
      <c r="C3342" s="22" t="inlineStr">
        <is>
          <t>10 Nos</t>
        </is>
      </c>
      <c r="D3342" s="23" t="n">
        <v>4.4</v>
      </c>
      <c r="E3342" s="24" t="n">
        <v>38</v>
      </c>
      <c r="F3342" s="24">
        <f>D3342*E3342</f>
        <v/>
      </c>
      <c r="G3342" s="22" t="n"/>
    </row>
    <row r="3343">
      <c r="A3343" s="22" t="inlineStr">
        <is>
          <t>1211</t>
        </is>
      </c>
      <c r="B3343" s="11" t="inlineStr">
        <is>
          <t>G.I. plain washer for seam bolts</t>
        </is>
      </c>
      <c r="C3343" s="22" t="inlineStr">
        <is>
          <t>100 Nos</t>
        </is>
      </c>
      <c r="D3343" s="23" t="n">
        <v>0.44</v>
      </c>
      <c r="E3343" s="24" t="n">
        <v>32</v>
      </c>
      <c r="F3343" s="24">
        <f>D3343*E3343</f>
        <v/>
      </c>
      <c r="G3343" s="22" t="n"/>
    </row>
    <row r="3344">
      <c r="A3344" s="22" t="inlineStr">
        <is>
          <t>9977</t>
        </is>
      </c>
      <c r="B3344" s="11" t="inlineStr">
        <is>
          <t>Sundries carriage</t>
        </is>
      </c>
      <c r="C3344" s="22" t="inlineStr">
        <is>
          <t>L.S.</t>
        </is>
      </c>
      <c r="D3344" s="23" t="n">
        <v>52</v>
      </c>
      <c r="E3344" s="24" t="n">
        <v>2</v>
      </c>
      <c r="F3344" s="24">
        <f>D3344*E3344</f>
        <v/>
      </c>
      <c r="G3344" s="22" t="n"/>
    </row>
    <row r="3345">
      <c r="A3345" s="22" t="inlineStr">
        <is>
          <t>9999</t>
        </is>
      </c>
      <c r="B3345" s="11" t="inlineStr">
        <is>
          <t>Sundries scaffolding</t>
        </is>
      </c>
      <c r="C3345" s="22" t="inlineStr">
        <is>
          <t>L.S.</t>
        </is>
      </c>
      <c r="D3345" s="23" t="n">
        <v>130</v>
      </c>
      <c r="E3345" s="24" t="n">
        <v>2</v>
      </c>
      <c r="F3345" s="24">
        <f>D3345*E3345</f>
        <v/>
      </c>
      <c r="G3345" s="22" t="n"/>
    </row>
    <row r="3346">
      <c r="A3346" s="22" t="inlineStr">
        <is>
          <t>0111</t>
        </is>
      </c>
      <c r="B3346" s="11" t="inlineStr">
        <is>
          <t>Carpenter 1st class</t>
        </is>
      </c>
      <c r="C3346" s="22" t="inlineStr">
        <is>
          <t>day</t>
        </is>
      </c>
      <c r="D3346" s="23" t="n">
        <v>6.57</v>
      </c>
      <c r="E3346" s="24" t="n">
        <v>738</v>
      </c>
      <c r="F3346" s="24">
        <f>D3346*E3346</f>
        <v/>
      </c>
      <c r="G3346" s="22" t="n"/>
    </row>
    <row r="3347">
      <c r="A3347" s="22" t="inlineStr">
        <is>
          <t>0112</t>
        </is>
      </c>
      <c r="B3347" s="11" t="inlineStr">
        <is>
          <t>Carpenter 2nd class</t>
        </is>
      </c>
      <c r="C3347" s="22" t="inlineStr">
        <is>
          <t>day</t>
        </is>
      </c>
      <c r="D3347" s="23" t="n">
        <v>2.847</v>
      </c>
      <c r="E3347" s="24" t="n">
        <v>679</v>
      </c>
      <c r="F3347" s="24">
        <f>D3347*E3347</f>
        <v/>
      </c>
      <c r="G3347" s="22" t="n"/>
    </row>
    <row r="3348">
      <c r="A3348" s="22" t="inlineStr">
        <is>
          <t>0131</t>
        </is>
      </c>
      <c r="B3348" s="11" t="inlineStr">
        <is>
          <t>Painter</t>
        </is>
      </c>
      <c r="C3348" s="22" t="inlineStr">
        <is>
          <t>day</t>
        </is>
      </c>
      <c r="D3348" s="23" t="n">
        <v>1.095</v>
      </c>
      <c r="E3348" s="24" t="n">
        <v>679</v>
      </c>
      <c r="F3348" s="24">
        <f>D3348*E3348</f>
        <v/>
      </c>
      <c r="G3348" s="22" t="n"/>
    </row>
    <row r="3349">
      <c r="A3349" s="22" t="inlineStr">
        <is>
          <t>0114</t>
        </is>
      </c>
      <c r="B3349" s="11" t="inlineStr">
        <is>
          <t>Beldar</t>
        </is>
      </c>
      <c r="C3349" s="22" t="inlineStr">
        <is>
          <t>day</t>
        </is>
      </c>
      <c r="D3349" s="23" t="n">
        <v>7.665</v>
      </c>
      <c r="E3349" s="24" t="n">
        <v>558</v>
      </c>
      <c r="F3349" s="24">
        <f>D3349*E3349</f>
        <v/>
      </c>
      <c r="G3349" s="22" t="n"/>
    </row>
    <row r="3350">
      <c r="A3350" s="8" t="inlineStr">
        <is>
          <t>Calculated W - SUM of the Amount column above</t>
        </is>
      </c>
      <c r="B3350" s="9" t="n"/>
      <c r="C3350" s="9" t="n"/>
      <c r="D3350" s="9" t="n"/>
      <c r="E3350" s="9" t="n"/>
      <c r="F3350" s="25">
        <f>SUM(F3332:F3349)</f>
        <v/>
      </c>
      <c r="G3350" s="9" t="n"/>
    </row>
    <row r="3351">
      <c r="A3351" s="26" t="inlineStr">
        <is>
          <t>W as printed in the DAR</t>
        </is>
      </c>
      <c r="B3351" s="22" t="n"/>
      <c r="C3351" s="22" t="n"/>
      <c r="D3351" s="22" t="n"/>
      <c r="E3351" s="22" t="n"/>
      <c r="F3351" s="27" t="n">
        <v>28499.69</v>
      </c>
      <c r="G3351" s="22" t="n"/>
    </row>
    <row r="3352">
      <c r="A3352" s="26" t="inlineStr">
        <is>
          <t>Difference (calculated - printed)</t>
        </is>
      </c>
      <c r="B3352" s="22" t="n"/>
      <c r="C3352" s="22" t="n"/>
      <c r="D3352" s="22" t="n"/>
      <c r="E3352" s="22" t="n"/>
      <c r="F3352" s="27">
        <f>F3350-F3351</f>
        <v/>
      </c>
      <c r="G3352" s="22" t="n"/>
    </row>
    <row r="3353">
      <c r="A3353" s="29" t="inlineStr">
        <is>
          <t>SAY (Rs.) - final DAR rate as printed (fixed value, not computed)</t>
        </is>
      </c>
      <c r="B3353" s="30" t="n"/>
      <c r="C3353" s="30" t="n"/>
      <c r="D3353" s="30" t="n"/>
      <c r="E3353" s="30" t="n"/>
      <c r="F3353" s="31" t="n">
        <v>1741.15</v>
      </c>
      <c r="G3353" s="30" t="n"/>
    </row>
    <row r="3355" ht="47.5" customHeight="1">
      <c r="A3355" s="8" t="inlineStr">
        <is>
          <t>9.105</t>
        </is>
      </c>
      <c r="B3355" s="17"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t>
        </is>
      </c>
      <c r="C3355" s="9" t="n"/>
      <c r="D3355" s="9" t="n"/>
      <c r="E3355" s="9" t="n"/>
      <c r="F3355" s="9" t="n"/>
      <c r="G3355" s="9" t="n"/>
    </row>
    <row r="3356" ht="33" customHeight="1">
      <c r="A3356" s="18" t="inlineStr">
        <is>
          <t>9.105.2</t>
        </is>
      </c>
      <c r="B3356" s="19" t="inlineStr">
        <is>
          <t>75mm overall thickness partition with 12.5 mm thick double skin tapered edged plain Gypsum plaster board conforming to IS: 2095: (part I) 2011 (Board with BIS Certification marks)</t>
        </is>
      </c>
      <c r="C3356" s="20" t="n"/>
      <c r="D3356" s="20" t="n"/>
      <c r="E3356" s="20" t="n"/>
      <c r="F3356" s="20" t="n"/>
      <c r="G3356" s="20" t="n"/>
    </row>
    <row r="3357">
      <c r="A3357" s="21" t="inlineStr">
        <is>
          <t>Details of cost for 21.9 sqm   |   Source: CivilDAR_2019_Vol_1.pdf, page 569</t>
        </is>
      </c>
    </row>
    <row r="3358">
      <c r="A3358" s="5" t="inlineStr">
        <is>
          <t>Code</t>
        </is>
      </c>
      <c r="B3358" s="5" t="inlineStr">
        <is>
          <t>Description</t>
        </is>
      </c>
      <c r="C3358" s="5" t="inlineStr">
        <is>
          <t>Unit</t>
        </is>
      </c>
      <c r="D3358" s="5" t="inlineStr">
        <is>
          <t>Quantity</t>
        </is>
      </c>
      <c r="E3358" s="5" t="inlineStr">
        <is>
          <t>Rate (Rs.)</t>
        </is>
      </c>
      <c r="F3358" s="5" t="inlineStr">
        <is>
          <t>Amount (Rs.)</t>
        </is>
      </c>
      <c r="G3358" s="5" t="inlineStr">
        <is>
          <t>Note</t>
        </is>
      </c>
    </row>
    <row r="3359">
      <c r="A3359" s="22" t="inlineStr">
        <is>
          <t>7009</t>
        </is>
      </c>
      <c r="B3359" s="11" t="inlineStr">
        <is>
          <t>12.5 mm thick tapered edge plain gypsum plaster board confirming to IS 2095 (Part I) : 2011.</t>
        </is>
      </c>
      <c r="C3359" s="22" t="inlineStr">
        <is>
          <t>sqm</t>
        </is>
      </c>
      <c r="D3359" s="23" t="n">
        <v>43.8</v>
      </c>
      <c r="E3359" s="24" t="n">
        <v>155</v>
      </c>
      <c r="F3359" s="24">
        <f>D3359*E3359</f>
        <v/>
      </c>
      <c r="G3359" s="22" t="n"/>
    </row>
    <row r="3360">
      <c r="A3360" s="22" t="inlineStr">
        <is>
          <t>7367</t>
        </is>
      </c>
      <c r="B3360" s="11" t="inlineStr">
        <is>
          <t>Galvanised M.S. sheet 0.5 mm thick pressed channel section of size 50x32 mm</t>
        </is>
      </c>
      <c r="C3360" s="22" t="inlineStr">
        <is>
          <t>metre</t>
        </is>
      </c>
      <c r="D3360" s="23" t="n">
        <v>12</v>
      </c>
      <c r="E3360" s="24" t="n">
        <v>57</v>
      </c>
      <c r="F3360" s="24">
        <f>D3360*E3360</f>
        <v/>
      </c>
      <c r="G3360" s="22" t="n"/>
    </row>
    <row r="3361">
      <c r="A3361" s="22" t="inlineStr">
        <is>
          <t>7369</t>
        </is>
      </c>
      <c r="B3361" s="11" t="inlineStr">
        <is>
          <t>Galvanised M.S. sheet 0.50 mm thick pressed stud. 48x34x36 mm</t>
        </is>
      </c>
      <c r="C3361" s="22" t="inlineStr">
        <is>
          <t>metre</t>
        </is>
      </c>
      <c r="D3361" s="23" t="n">
        <v>40.15</v>
      </c>
      <c r="E3361" s="24" t="n">
        <v>71</v>
      </c>
      <c r="F3361" s="24">
        <f>D3361*E3361</f>
        <v/>
      </c>
      <c r="G3361" s="22" t="n"/>
    </row>
    <row r="3362">
      <c r="A3362" s="22" t="inlineStr">
        <is>
          <t>7020</t>
        </is>
      </c>
      <c r="B3362" s="11" t="inlineStr">
        <is>
          <t>All drive screws ( for gypsum board) [(3.65/0.30)+1]x11x2 = 308 [(6.00/0.30)+1]x2x2=84 Total = 392</t>
        </is>
      </c>
      <c r="C3362" s="22" t="inlineStr">
        <is>
          <t>100 Nos</t>
        </is>
      </c>
      <c r="D3362" s="23" t="n">
        <v>3.92</v>
      </c>
      <c r="E3362" s="24" t="n">
        <v>58</v>
      </c>
      <c r="F3362" s="24">
        <f>D3362*E3362</f>
        <v/>
      </c>
      <c r="G3362" s="22" t="n"/>
    </row>
    <row r="3363">
      <c r="A3363" s="22" t="inlineStr">
        <is>
          <t>7388</t>
        </is>
      </c>
      <c r="B3363" s="11" t="inlineStr">
        <is>
          <t>Dash hold fastener 12.5 mm dia, 40 mm long with 6 mm dia bolt</t>
        </is>
      </c>
      <c r="C3363" s="22" t="inlineStr">
        <is>
          <t>each</t>
        </is>
      </c>
      <c r="D3363" s="23" t="n">
        <v>22</v>
      </c>
      <c r="E3363" s="24" t="n">
        <v>11</v>
      </c>
      <c r="F3363" s="24">
        <f>D3363*E3363</f>
        <v/>
      </c>
      <c r="G3363" s="22" t="n"/>
    </row>
    <row r="3364">
      <c r="A3364" s="22" t="inlineStr">
        <is>
          <t>7048</t>
        </is>
      </c>
      <c r="B3364" s="11" t="inlineStr">
        <is>
          <t>Rawl plug 50 mm (designation 10 no.)</t>
        </is>
      </c>
      <c r="C3364" s="22" t="inlineStr">
        <is>
          <t>each</t>
        </is>
      </c>
      <c r="D3364" s="23" t="n">
        <v>18</v>
      </c>
      <c r="E3364" s="24" t="n">
        <v>25</v>
      </c>
      <c r="F3364" s="24">
        <f>D3364*E3364</f>
        <v/>
      </c>
      <c r="G3364" s="22" t="n"/>
    </row>
    <row r="3365">
      <c r="A3365" s="22" t="inlineStr">
        <is>
          <t>0869</t>
        </is>
      </c>
      <c r="B3365" s="11" t="inlineStr">
        <is>
          <t>Plaster of Paris</t>
        </is>
      </c>
      <c r="C3365" s="22" t="inlineStr">
        <is>
          <t>kilogram</t>
        </is>
      </c>
      <c r="D3365" s="23" t="n">
        <v>19.27</v>
      </c>
      <c r="E3365" s="24" t="n">
        <v>5</v>
      </c>
      <c r="F3365" s="24">
        <f>D3365*E3365</f>
        <v/>
      </c>
      <c r="G3365" s="22" t="n"/>
    </row>
    <row r="3366">
      <c r="A3366" s="22" t="inlineStr">
        <is>
          <t>0763</t>
        </is>
      </c>
      <c r="B3366" s="11" t="inlineStr">
        <is>
          <t>Glue</t>
        </is>
      </c>
      <c r="C3366" s="22" t="inlineStr">
        <is>
          <t>kilogram</t>
        </is>
      </c>
      <c r="D3366" s="23" t="n">
        <v>4.82</v>
      </c>
      <c r="E3366" s="24" t="n">
        <v>75</v>
      </c>
      <c r="F3366" s="24">
        <f>D3366*E3366</f>
        <v/>
      </c>
      <c r="G3366" s="22" t="n"/>
    </row>
    <row r="3367">
      <c r="A3367" s="22" t="inlineStr">
        <is>
          <t>7018</t>
        </is>
      </c>
      <c r="B3367" s="11" t="inlineStr">
        <is>
          <t>Joint tape roll</t>
        </is>
      </c>
      <c r="C3367" s="22" t="inlineStr">
        <is>
          <t>roll</t>
        </is>
      </c>
      <c r="D3367" s="23" t="n">
        <v>0.584</v>
      </c>
      <c r="E3367" s="24" t="n">
        <v>100</v>
      </c>
      <c r="F3367" s="24">
        <f>D3367*E3367</f>
        <v/>
      </c>
      <c r="G3367" s="22" t="n"/>
    </row>
    <row r="3368">
      <c r="A3368" s="22" t="inlineStr">
        <is>
          <t>7021</t>
        </is>
      </c>
      <c r="B3368" s="11" t="inlineStr">
        <is>
          <t>Primer ( for gypsum board)</t>
        </is>
      </c>
      <c r="C3368" s="22" t="inlineStr">
        <is>
          <t>litre</t>
        </is>
      </c>
      <c r="D3368" s="23" t="n">
        <v>7.88</v>
      </c>
      <c r="E3368" s="24" t="n">
        <v>85</v>
      </c>
      <c r="F3368" s="24">
        <f>D3368*E3368</f>
        <v/>
      </c>
      <c r="G3368" s="22" t="n"/>
    </row>
    <row r="3369">
      <c r="A3369" s="22" t="inlineStr">
        <is>
          <t>1022</t>
        </is>
      </c>
      <c r="B3369" s="11" t="inlineStr">
        <is>
          <t>Galvanised steel bolts &amp; nuts 6 mm dia and 25 mmlong round head with slots</t>
        </is>
      </c>
      <c r="C3369" s="22" t="inlineStr">
        <is>
          <t>10 Nos</t>
        </is>
      </c>
      <c r="D3369" s="23" t="n">
        <v>4.4</v>
      </c>
      <c r="E3369" s="24" t="n">
        <v>38</v>
      </c>
      <c r="F3369" s="24">
        <f>D3369*E3369</f>
        <v/>
      </c>
      <c r="G3369" s="22" t="n"/>
    </row>
    <row r="3370">
      <c r="A3370" s="22" t="inlineStr">
        <is>
          <t>1211</t>
        </is>
      </c>
      <c r="B3370" s="11" t="inlineStr">
        <is>
          <t>G.I. plain washer for seam bolts</t>
        </is>
      </c>
      <c r="C3370" s="22" t="inlineStr">
        <is>
          <t>100 Nos</t>
        </is>
      </c>
      <c r="D3370" s="23" t="n">
        <v>0.44</v>
      </c>
      <c r="E3370" s="24" t="n">
        <v>32</v>
      </c>
      <c r="F3370" s="24">
        <f>D3370*E3370</f>
        <v/>
      </c>
      <c r="G3370" s="22" t="n"/>
    </row>
    <row r="3371">
      <c r="A3371" s="22" t="inlineStr">
        <is>
          <t>9977</t>
        </is>
      </c>
      <c r="B3371" s="11" t="inlineStr">
        <is>
          <t>Sundries carriage</t>
        </is>
      </c>
      <c r="C3371" s="22" t="inlineStr">
        <is>
          <t>L.S.</t>
        </is>
      </c>
      <c r="D3371" s="23" t="n">
        <v>52</v>
      </c>
      <c r="E3371" s="24" t="n">
        <v>2</v>
      </c>
      <c r="F3371" s="24">
        <f>D3371*E3371</f>
        <v/>
      </c>
      <c r="G3371" s="22" t="n"/>
    </row>
    <row r="3372">
      <c r="A3372" s="22" t="inlineStr">
        <is>
          <t>9999</t>
        </is>
      </c>
      <c r="B3372" s="11" t="inlineStr">
        <is>
          <t>Sundries scaffolding</t>
        </is>
      </c>
      <c r="C3372" s="22" t="inlineStr">
        <is>
          <t>L.S.</t>
        </is>
      </c>
      <c r="D3372" s="23" t="n">
        <v>130</v>
      </c>
      <c r="E3372" s="24" t="n">
        <v>2</v>
      </c>
      <c r="F3372" s="24">
        <f>D3372*E3372</f>
        <v/>
      </c>
      <c r="G3372" s="22" t="n"/>
    </row>
    <row r="3373">
      <c r="A3373" s="22" t="inlineStr">
        <is>
          <t>0111</t>
        </is>
      </c>
      <c r="B3373" s="11" t="inlineStr">
        <is>
          <t>Carpenter 1st class</t>
        </is>
      </c>
      <c r="C3373" s="22" t="inlineStr">
        <is>
          <t>day</t>
        </is>
      </c>
      <c r="D3373" s="23" t="n">
        <v>6.57</v>
      </c>
      <c r="E3373" s="24" t="n">
        <v>738</v>
      </c>
      <c r="F3373" s="24">
        <f>D3373*E3373</f>
        <v/>
      </c>
      <c r="G3373" s="22" t="n"/>
    </row>
    <row r="3374">
      <c r="A3374" s="22" t="inlineStr">
        <is>
          <t>0112</t>
        </is>
      </c>
      <c r="B3374" s="11" t="inlineStr">
        <is>
          <t>Carpenter 2nd class</t>
        </is>
      </c>
      <c r="C3374" s="22" t="inlineStr">
        <is>
          <t>day</t>
        </is>
      </c>
      <c r="D3374" s="23" t="n">
        <v>2.847</v>
      </c>
      <c r="E3374" s="24" t="n">
        <v>679</v>
      </c>
      <c r="F3374" s="24">
        <f>D3374*E3374</f>
        <v/>
      </c>
      <c r="G3374" s="22" t="n"/>
    </row>
    <row r="3375">
      <c r="A3375" s="22" t="inlineStr">
        <is>
          <t>0131</t>
        </is>
      </c>
      <c r="B3375" s="11" t="inlineStr">
        <is>
          <t>Painter</t>
        </is>
      </c>
      <c r="C3375" s="22" t="inlineStr">
        <is>
          <t>day</t>
        </is>
      </c>
      <c r="D3375" s="23" t="n">
        <v>1.095</v>
      </c>
      <c r="E3375" s="24" t="n">
        <v>679</v>
      </c>
      <c r="F3375" s="24">
        <f>D3375*E3375</f>
        <v/>
      </c>
      <c r="G3375" s="22" t="n"/>
    </row>
    <row r="3376">
      <c r="A3376" s="22" t="inlineStr">
        <is>
          <t>0114</t>
        </is>
      </c>
      <c r="B3376" s="11" t="inlineStr">
        <is>
          <t>Beldar</t>
        </is>
      </c>
      <c r="C3376" s="22" t="inlineStr">
        <is>
          <t>day</t>
        </is>
      </c>
      <c r="D3376" s="23" t="n">
        <v>7.665</v>
      </c>
      <c r="E3376" s="24" t="n">
        <v>558</v>
      </c>
      <c r="F3376" s="24">
        <f>D3376*E3376</f>
        <v/>
      </c>
      <c r="G3376" s="22" t="n"/>
    </row>
    <row r="3377">
      <c r="A3377" s="8" t="inlineStr">
        <is>
          <t>Calculated W - SUM of the Amount column above</t>
        </is>
      </c>
      <c r="B3377" s="9" t="n"/>
      <c r="C3377" s="9" t="n"/>
      <c r="D3377" s="9" t="n"/>
      <c r="E3377" s="9" t="n"/>
      <c r="F3377" s="25">
        <f>SUM(F3359:F3376)</f>
        <v/>
      </c>
      <c r="G3377" s="9" t="n"/>
    </row>
    <row r="3378">
      <c r="A3378" s="26" t="inlineStr">
        <is>
          <t>W as printed in the DAR</t>
        </is>
      </c>
      <c r="B3378" s="22" t="n"/>
      <c r="C3378" s="22" t="n"/>
      <c r="D3378" s="22" t="n"/>
      <c r="E3378" s="22" t="n"/>
      <c r="F3378" s="27" t="n">
        <v>24776.69</v>
      </c>
      <c r="G3378" s="22" t="n"/>
    </row>
    <row r="3379">
      <c r="A3379" s="26" t="inlineStr">
        <is>
          <t>Difference (calculated - printed)</t>
        </is>
      </c>
      <c r="B3379" s="22" t="n"/>
      <c r="C3379" s="22" t="n"/>
      <c r="D3379" s="22" t="n"/>
      <c r="E3379" s="22" t="n"/>
      <c r="F3379" s="27">
        <f>F3377-F3378</f>
        <v/>
      </c>
      <c r="G3379" s="22" t="n"/>
    </row>
    <row r="3380">
      <c r="A3380" s="29" t="inlineStr">
        <is>
          <t>SAY (Rs.) - final DAR rate as printed (fixed value, not computed)</t>
        </is>
      </c>
      <c r="B3380" s="30" t="n"/>
      <c r="C3380" s="30" t="n"/>
      <c r="D3380" s="30" t="n"/>
      <c r="E3380" s="30" t="n"/>
      <c r="F3380" s="31" t="n">
        <v>1513.7</v>
      </c>
      <c r="G3380" s="30" t="n"/>
    </row>
    <row r="3382" ht="47.5" customHeight="1">
      <c r="A3382" s="8" t="inlineStr">
        <is>
          <t>9.105</t>
        </is>
      </c>
      <c r="B3382" s="17"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t>
        </is>
      </c>
      <c r="C3382" s="9" t="n"/>
      <c r="D3382" s="9" t="n"/>
      <c r="E3382" s="9" t="n"/>
      <c r="F3382" s="9" t="n"/>
      <c r="G3382" s="9" t="n"/>
    </row>
    <row r="3383" ht="47.5" customHeight="1">
      <c r="A3383" s="18" t="inlineStr">
        <is>
          <t>9.105.3</t>
        </is>
      </c>
      <c r="B3383" s="19" t="inlineStr">
        <is>
          <t>66mm overall thickness Partition with 8mm thick double skin Calcium Silicate Board made with Calcareous &amp; Siliceous materials reinforced with cellulose fiber manufactured through autoclaving process with Compressive Strength 225 kg/ sq.cm, Bending Strength 100 kg./ sq.cm</t>
        </is>
      </c>
      <c r="C3383" s="20" t="n"/>
      <c r="D3383" s="20" t="n"/>
      <c r="E3383" s="20" t="n"/>
      <c r="F3383" s="20" t="n"/>
      <c r="G3383" s="20" t="n"/>
    </row>
    <row r="3384">
      <c r="A3384" s="21" t="inlineStr">
        <is>
          <t>Details of cost for 21.9 sqm   |   Source: CivilDAR_2019_Vol_1.pdf, page 571</t>
        </is>
      </c>
    </row>
    <row r="3385">
      <c r="A3385" s="5" t="inlineStr">
        <is>
          <t>Code</t>
        </is>
      </c>
      <c r="B3385" s="5" t="inlineStr">
        <is>
          <t>Description</t>
        </is>
      </c>
      <c r="C3385" s="5" t="inlineStr">
        <is>
          <t>Unit</t>
        </is>
      </c>
      <c r="D3385" s="5" t="inlineStr">
        <is>
          <t>Quantity</t>
        </is>
      </c>
      <c r="E3385" s="5" t="inlineStr">
        <is>
          <t>Rate (Rs.)</t>
        </is>
      </c>
      <c r="F3385" s="5" t="inlineStr">
        <is>
          <t>Amount (Rs.)</t>
        </is>
      </c>
      <c r="G3385" s="5" t="inlineStr">
        <is>
          <t>Note</t>
        </is>
      </c>
    </row>
    <row r="3386">
      <c r="A3386" s="22" t="inlineStr">
        <is>
          <t>8699</t>
        </is>
      </c>
      <c r="B3386" s="11" t="inlineStr">
        <is>
          <t>8 mm thick tapered edge calcium silicate board .</t>
        </is>
      </c>
      <c r="C3386" s="22" t="inlineStr">
        <is>
          <t>sqm</t>
        </is>
      </c>
      <c r="D3386" s="23" t="n">
        <v>43.8</v>
      </c>
      <c r="E3386" s="24" t="n">
        <v>265</v>
      </c>
      <c r="F3386" s="24">
        <f>D3386*E3386</f>
        <v/>
      </c>
      <c r="G3386" s="22" t="n"/>
    </row>
    <row r="3387">
      <c r="A3387" s="22" t="inlineStr">
        <is>
          <t>7367</t>
        </is>
      </c>
      <c r="B3387" s="11" t="inlineStr">
        <is>
          <t>Galvanised M.S. sheet 0.5 mm thick pressed channel section of size 50x32 mm</t>
        </is>
      </c>
      <c r="C3387" s="22" t="inlineStr">
        <is>
          <t>metre</t>
        </is>
      </c>
      <c r="D3387" s="23" t="n">
        <v>12</v>
      </c>
      <c r="E3387" s="24" t="n">
        <v>57</v>
      </c>
      <c r="F3387" s="24">
        <f>D3387*E3387</f>
        <v/>
      </c>
      <c r="G3387" s="22" t="n"/>
    </row>
    <row r="3388">
      <c r="A3388" s="22" t="inlineStr">
        <is>
          <t>7369</t>
        </is>
      </c>
      <c r="B3388" s="11" t="inlineStr">
        <is>
          <t>Galvanised M.S. sheet 0.50 mm thick pressed stud. 48x34x36 mm</t>
        </is>
      </c>
      <c r="C3388" s="22" t="inlineStr">
        <is>
          <t>metre</t>
        </is>
      </c>
      <c r="D3388" s="23" t="n">
        <v>40.15</v>
      </c>
      <c r="E3388" s="24" t="n">
        <v>71</v>
      </c>
      <c r="F3388" s="24">
        <f>D3388*E3388</f>
        <v/>
      </c>
      <c r="G3388" s="22" t="n"/>
    </row>
    <row r="3389">
      <c r="A3389" s="22" t="inlineStr">
        <is>
          <t>7020</t>
        </is>
      </c>
      <c r="B3389" s="11" t="inlineStr">
        <is>
          <t>All drive screws ( for gypsum board)</t>
        </is>
      </c>
      <c r="C3389" s="22" t="inlineStr">
        <is>
          <t>100 Nos</t>
        </is>
      </c>
      <c r="D3389" s="23" t="n">
        <v>3.92</v>
      </c>
      <c r="E3389" s="24" t="n">
        <v>58</v>
      </c>
      <c r="F3389" s="24">
        <f>D3389*E3389</f>
        <v/>
      </c>
      <c r="G3389" s="22" t="n"/>
    </row>
    <row r="3390">
      <c r="A3390" s="22" t="inlineStr">
        <is>
          <t>7388</t>
        </is>
      </c>
      <c r="B3390" s="11" t="inlineStr">
        <is>
          <t>Dash hold fastener 12.5 mm dia, 40 mm long with 6 mm dia bolt</t>
        </is>
      </c>
      <c r="C3390" s="22" t="inlineStr">
        <is>
          <t>each</t>
        </is>
      </c>
      <c r="D3390" s="23" t="n">
        <v>22</v>
      </c>
      <c r="E3390" s="24" t="n">
        <v>11</v>
      </c>
      <c r="F3390" s="24">
        <f>D3390*E3390</f>
        <v/>
      </c>
      <c r="G3390" s="22" t="n"/>
    </row>
    <row r="3391">
      <c r="A3391" s="22" t="inlineStr">
        <is>
          <t>7048</t>
        </is>
      </c>
      <c r="B3391" s="11" t="inlineStr">
        <is>
          <t>Rawl plug 50 mm (designation 10 no.)</t>
        </is>
      </c>
      <c r="C3391" s="22" t="inlineStr">
        <is>
          <t>each</t>
        </is>
      </c>
      <c r="D3391" s="23" t="n">
        <v>18</v>
      </c>
      <c r="E3391" s="24" t="n">
        <v>25</v>
      </c>
      <c r="F3391" s="24">
        <f>D3391*E3391</f>
        <v/>
      </c>
      <c r="G3391" s="22" t="n"/>
    </row>
    <row r="3392">
      <c r="A3392" s="22" t="inlineStr">
        <is>
          <t>0869</t>
        </is>
      </c>
      <c r="B3392" s="11" t="inlineStr">
        <is>
          <t>Plaster of Paris</t>
        </is>
      </c>
      <c r="C3392" s="22" t="inlineStr">
        <is>
          <t>kilogram</t>
        </is>
      </c>
      <c r="D3392" s="23" t="n">
        <v>19.27</v>
      </c>
      <c r="E3392" s="24" t="n">
        <v>5</v>
      </c>
      <c r="F3392" s="24">
        <f>D3392*E3392</f>
        <v/>
      </c>
      <c r="G3392" s="22" t="n"/>
    </row>
    <row r="3393">
      <c r="A3393" s="22" t="inlineStr">
        <is>
          <t>0763</t>
        </is>
      </c>
      <c r="B3393" s="11" t="inlineStr">
        <is>
          <t>Glue</t>
        </is>
      </c>
      <c r="C3393" s="22" t="inlineStr">
        <is>
          <t>kilogram</t>
        </is>
      </c>
      <c r="D3393" s="23" t="n">
        <v>4.82</v>
      </c>
      <c r="E3393" s="24" t="n">
        <v>75</v>
      </c>
      <c r="F3393" s="24">
        <f>D3393*E3393</f>
        <v/>
      </c>
      <c r="G3393" s="22" t="n"/>
    </row>
    <row r="3394">
      <c r="A3394" s="22" t="inlineStr">
        <is>
          <t>7018</t>
        </is>
      </c>
      <c r="B3394" s="11" t="inlineStr">
        <is>
          <t>Joint tape roll</t>
        </is>
      </c>
      <c r="C3394" s="22" t="inlineStr">
        <is>
          <t>roll</t>
        </is>
      </c>
      <c r="D3394" s="23" t="n">
        <v>0.584</v>
      </c>
      <c r="E3394" s="24" t="n">
        <v>100</v>
      </c>
      <c r="F3394" s="24">
        <f>D3394*E3394</f>
        <v/>
      </c>
      <c r="G3394" s="22" t="n"/>
    </row>
    <row r="3395">
      <c r="A3395" s="22" t="inlineStr">
        <is>
          <t>7021</t>
        </is>
      </c>
      <c r="B3395" s="11" t="inlineStr">
        <is>
          <t>Primer ( for gypsum board)</t>
        </is>
      </c>
      <c r="C3395" s="22" t="inlineStr">
        <is>
          <t>litre</t>
        </is>
      </c>
      <c r="D3395" s="23" t="n">
        <v>7.88</v>
      </c>
      <c r="E3395" s="24" t="n">
        <v>85</v>
      </c>
      <c r="F3395" s="24">
        <f>D3395*E3395</f>
        <v/>
      </c>
      <c r="G3395" s="22" t="n"/>
    </row>
    <row r="3396">
      <c r="A3396" s="22" t="inlineStr">
        <is>
          <t>1022</t>
        </is>
      </c>
      <c r="B3396" s="11" t="inlineStr">
        <is>
          <t>Galvanised steel bolts &amp; nuts 6 mm dia and 25 mmlong round head with slots</t>
        </is>
      </c>
      <c r="C3396" s="22" t="inlineStr">
        <is>
          <t>10 Nos</t>
        </is>
      </c>
      <c r="D3396" s="23" t="n">
        <v>4.4</v>
      </c>
      <c r="E3396" s="24" t="n">
        <v>38</v>
      </c>
      <c r="F3396" s="24">
        <f>D3396*E3396</f>
        <v/>
      </c>
      <c r="G3396" s="22" t="n"/>
    </row>
    <row r="3397">
      <c r="A3397" s="22" t="inlineStr">
        <is>
          <t>1211</t>
        </is>
      </c>
      <c r="B3397" s="11" t="inlineStr">
        <is>
          <t>G.I. plain washer for seam bolts</t>
        </is>
      </c>
      <c r="C3397" s="22" t="inlineStr">
        <is>
          <t>100 Nos</t>
        </is>
      </c>
      <c r="D3397" s="23" t="n">
        <v>0.44</v>
      </c>
      <c r="E3397" s="24" t="n">
        <v>32</v>
      </c>
      <c r="F3397" s="24">
        <f>D3397*E3397</f>
        <v/>
      </c>
      <c r="G3397" s="22" t="n"/>
    </row>
    <row r="3398">
      <c r="A3398" s="22" t="inlineStr">
        <is>
          <t>9977</t>
        </is>
      </c>
      <c r="B3398" s="11" t="inlineStr">
        <is>
          <t>Sundries carriage</t>
        </is>
      </c>
      <c r="C3398" s="22" t="inlineStr">
        <is>
          <t>L.S.</t>
        </is>
      </c>
      <c r="D3398" s="23" t="n">
        <v>52</v>
      </c>
      <c r="E3398" s="24" t="n">
        <v>2</v>
      </c>
      <c r="F3398" s="24">
        <f>D3398*E3398</f>
        <v/>
      </c>
      <c r="G3398" s="22" t="n"/>
    </row>
    <row r="3399">
      <c r="A3399" s="22" t="inlineStr">
        <is>
          <t>9999</t>
        </is>
      </c>
      <c r="B3399" s="11" t="inlineStr">
        <is>
          <t>Sundries scaffolding</t>
        </is>
      </c>
      <c r="C3399" s="22" t="inlineStr">
        <is>
          <t>L.S.</t>
        </is>
      </c>
      <c r="D3399" s="23" t="n">
        <v>130</v>
      </c>
      <c r="E3399" s="24" t="n">
        <v>2</v>
      </c>
      <c r="F3399" s="24">
        <f>D3399*E3399</f>
        <v/>
      </c>
      <c r="G3399" s="22" t="n"/>
    </row>
    <row r="3400">
      <c r="A3400" s="22" t="inlineStr">
        <is>
          <t>0111</t>
        </is>
      </c>
      <c r="B3400" s="11" t="inlineStr">
        <is>
          <t>Carpenter 1st class</t>
        </is>
      </c>
      <c r="C3400" s="22" t="inlineStr">
        <is>
          <t>day</t>
        </is>
      </c>
      <c r="D3400" s="23" t="n">
        <v>6.57</v>
      </c>
      <c r="E3400" s="24" t="n">
        <v>738</v>
      </c>
      <c r="F3400" s="24">
        <f>D3400*E3400</f>
        <v/>
      </c>
      <c r="G3400" s="22" t="n"/>
    </row>
    <row r="3401">
      <c r="A3401" s="22" t="inlineStr">
        <is>
          <t>0112</t>
        </is>
      </c>
      <c r="B3401" s="11" t="inlineStr">
        <is>
          <t>Carpenter 2nd class</t>
        </is>
      </c>
      <c r="C3401" s="22" t="inlineStr">
        <is>
          <t>day</t>
        </is>
      </c>
      <c r="D3401" s="23" t="n">
        <v>2.847</v>
      </c>
      <c r="E3401" s="24" t="n">
        <v>679</v>
      </c>
      <c r="F3401" s="24">
        <f>D3401*E3401</f>
        <v/>
      </c>
      <c r="G3401" s="22" t="n"/>
    </row>
    <row r="3402">
      <c r="A3402" s="22" t="inlineStr">
        <is>
          <t>0131</t>
        </is>
      </c>
      <c r="B3402" s="11" t="inlineStr">
        <is>
          <t>Painter</t>
        </is>
      </c>
      <c r="C3402" s="22" t="inlineStr">
        <is>
          <t>day</t>
        </is>
      </c>
      <c r="D3402" s="23" t="n">
        <v>1.095</v>
      </c>
      <c r="E3402" s="24" t="n">
        <v>679</v>
      </c>
      <c r="F3402" s="24">
        <f>D3402*E3402</f>
        <v/>
      </c>
      <c r="G3402" s="22" t="n"/>
    </row>
    <row r="3403">
      <c r="A3403" s="22" t="inlineStr">
        <is>
          <t>0114</t>
        </is>
      </c>
      <c r="B3403" s="11" t="inlineStr">
        <is>
          <t>Beldar</t>
        </is>
      </c>
      <c r="C3403" s="22" t="inlineStr">
        <is>
          <t>day</t>
        </is>
      </c>
      <c r="D3403" s="23" t="n">
        <v>7.665</v>
      </c>
      <c r="E3403" s="24" t="n">
        <v>558</v>
      </c>
      <c r="F3403" s="24">
        <f>D3403*E3403</f>
        <v/>
      </c>
      <c r="G3403" s="22" t="n"/>
    </row>
    <row r="3404">
      <c r="A3404" s="8" t="inlineStr">
        <is>
          <t>Calculated W - SUM of the Amount column above</t>
        </is>
      </c>
      <c r="B3404" s="9" t="n"/>
      <c r="C3404" s="9" t="n"/>
      <c r="D3404" s="9" t="n"/>
      <c r="E3404" s="9" t="n"/>
      <c r="F3404" s="25">
        <f>SUM(F3386:F3403)</f>
        <v/>
      </c>
      <c r="G3404" s="9" t="n"/>
    </row>
    <row r="3405">
      <c r="A3405" s="26" t="inlineStr">
        <is>
          <t>W as printed in the DAR</t>
        </is>
      </c>
      <c r="B3405" s="22" t="n"/>
      <c r="C3405" s="22" t="n"/>
      <c r="D3405" s="22" t="n"/>
      <c r="E3405" s="22" t="n"/>
      <c r="F3405" s="27" t="n">
        <v>29594.69</v>
      </c>
      <c r="G3405" s="22" t="n"/>
    </row>
    <row r="3406">
      <c r="A3406" s="26" t="inlineStr">
        <is>
          <t>Difference (calculated - printed)</t>
        </is>
      </c>
      <c r="B3406" s="22" t="n"/>
      <c r="C3406" s="22" t="n"/>
      <c r="D3406" s="22" t="n"/>
      <c r="E3406" s="22" t="n"/>
      <c r="F3406" s="27">
        <f>F3404-F3405</f>
        <v/>
      </c>
      <c r="G3406" s="22" t="n"/>
    </row>
    <row r="3407">
      <c r="A3407" s="29" t="inlineStr">
        <is>
          <t>SAY (Rs.) - final DAR rate as printed (fixed value, not computed)</t>
        </is>
      </c>
      <c r="B3407" s="30" t="n"/>
      <c r="C3407" s="30" t="n"/>
      <c r="D3407" s="30" t="n"/>
      <c r="E3407" s="30" t="n"/>
      <c r="F3407" s="31" t="n">
        <v>1808.05</v>
      </c>
      <c r="G3407" s="30" t="n"/>
    </row>
    <row r="3409" ht="47.5" customHeight="1">
      <c r="A3409" s="8" t="inlineStr">
        <is>
          <t>9.105</t>
        </is>
      </c>
      <c r="B3409" s="17"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t>
        </is>
      </c>
      <c r="C3409" s="9" t="n"/>
      <c r="D3409" s="9" t="n"/>
      <c r="E3409" s="9" t="n"/>
      <c r="F3409" s="9" t="n"/>
      <c r="G3409" s="9" t="n"/>
    </row>
    <row r="3410" ht="33" customHeight="1">
      <c r="A3410" s="18" t="inlineStr">
        <is>
          <t>9.105.4</t>
        </is>
      </c>
      <c r="B3410" s="19" t="inlineStr">
        <is>
          <t>66mm overall thickness partition using 8mm thick double skin multipurpose cement board reinforced with cellulose fibre manufactured through autoclaving process (High pressure steam cured) as per IS : 14862 with suitable fibre cement screws</t>
        </is>
      </c>
      <c r="C3410" s="20" t="n"/>
      <c r="D3410" s="20" t="n"/>
      <c r="E3410" s="20" t="n"/>
      <c r="F3410" s="20" t="n"/>
      <c r="G3410" s="20" t="n"/>
    </row>
    <row r="3411">
      <c r="A3411" s="21" t="inlineStr">
        <is>
          <t>Details of cost for 21.9 sqm   |   Source: CivilDAR_2019_Vol_1.pdf, page 572</t>
        </is>
      </c>
    </row>
    <row r="3412">
      <c r="A3412" s="5" t="inlineStr">
        <is>
          <t>Code</t>
        </is>
      </c>
      <c r="B3412" s="5" t="inlineStr">
        <is>
          <t>Description</t>
        </is>
      </c>
      <c r="C3412" s="5" t="inlineStr">
        <is>
          <t>Unit</t>
        </is>
      </c>
      <c r="D3412" s="5" t="inlineStr">
        <is>
          <t>Quantity</t>
        </is>
      </c>
      <c r="E3412" s="5" t="inlineStr">
        <is>
          <t>Rate (Rs.)</t>
        </is>
      </c>
      <c r="F3412" s="5" t="inlineStr">
        <is>
          <t>Amount (Rs.)</t>
        </is>
      </c>
      <c r="G3412" s="5" t="inlineStr">
        <is>
          <t>Note</t>
        </is>
      </c>
    </row>
    <row r="3413">
      <c r="A3413" s="22" t="inlineStr">
        <is>
          <t>0237</t>
        </is>
      </c>
      <c r="B3413" s="11" t="inlineStr">
        <is>
          <t>Multi purpose fibre (high impact poly propelene reinforced) cement board 8mm thick.</t>
        </is>
      </c>
      <c r="C3413" s="22" t="inlineStr">
        <is>
          <t>sqm</t>
        </is>
      </c>
      <c r="D3413" s="23" t="n">
        <v>43.8</v>
      </c>
      <c r="E3413" s="24" t="n">
        <v>220</v>
      </c>
      <c r="F3413" s="24">
        <f>D3413*E3413</f>
        <v/>
      </c>
      <c r="G3413" s="22" t="n"/>
    </row>
    <row r="3414">
      <c r="A3414" s="22" t="inlineStr">
        <is>
          <t>7367</t>
        </is>
      </c>
      <c r="B3414" s="11" t="inlineStr">
        <is>
          <t>Galvanised M.S. sheet 0.5 mm thick pressed channel section of size 50x32 mm</t>
        </is>
      </c>
      <c r="C3414" s="22" t="inlineStr">
        <is>
          <t>metre</t>
        </is>
      </c>
      <c r="D3414" s="23" t="n">
        <v>12</v>
      </c>
      <c r="E3414" s="24" t="n">
        <v>57</v>
      </c>
      <c r="F3414" s="24">
        <f>D3414*E3414</f>
        <v/>
      </c>
      <c r="G3414" s="22" t="n"/>
    </row>
    <row r="3415">
      <c r="A3415" s="22" t="inlineStr">
        <is>
          <t>7369</t>
        </is>
      </c>
      <c r="B3415" s="11" t="inlineStr">
        <is>
          <t>Galvanised M.S. sheet 0.50 mm thick pressed stud. 48x34x36 mm</t>
        </is>
      </c>
      <c r="C3415" s="22" t="inlineStr">
        <is>
          <t>metre</t>
        </is>
      </c>
      <c r="D3415" s="23" t="n">
        <v>40.15</v>
      </c>
      <c r="E3415" s="24" t="n">
        <v>71</v>
      </c>
      <c r="F3415" s="24">
        <f>D3415*E3415</f>
        <v/>
      </c>
      <c r="G3415" s="22" t="n"/>
    </row>
    <row r="3416">
      <c r="A3416" s="22" t="inlineStr">
        <is>
          <t>7020</t>
        </is>
      </c>
      <c r="B3416" s="11" t="inlineStr">
        <is>
          <t>All drive screws ( for gypsum board)</t>
        </is>
      </c>
      <c r="C3416" s="22" t="inlineStr">
        <is>
          <t>100 Nos</t>
        </is>
      </c>
      <c r="D3416" s="23" t="n">
        <v>3.92</v>
      </c>
      <c r="E3416" s="24" t="n">
        <v>58</v>
      </c>
      <c r="F3416" s="24">
        <f>D3416*E3416</f>
        <v/>
      </c>
      <c r="G3416" s="22" t="n"/>
    </row>
    <row r="3417">
      <c r="A3417" s="22" t="inlineStr">
        <is>
          <t>7388</t>
        </is>
      </c>
      <c r="B3417" s="11" t="inlineStr">
        <is>
          <t>Dash hold fastener 12.5 mm dia, 40 mm long with 6 mm dia bolt</t>
        </is>
      </c>
      <c r="C3417" s="22" t="inlineStr">
        <is>
          <t>each</t>
        </is>
      </c>
      <c r="D3417" s="23" t="n">
        <v>22</v>
      </c>
      <c r="E3417" s="24" t="n">
        <v>11</v>
      </c>
      <c r="F3417" s="24">
        <f>D3417*E3417</f>
        <v/>
      </c>
      <c r="G3417" s="22" t="n"/>
    </row>
    <row r="3418">
      <c r="A3418" s="22" t="inlineStr">
        <is>
          <t>7048</t>
        </is>
      </c>
      <c r="B3418" s="11" t="inlineStr">
        <is>
          <t>Rawl plug 50 mm (designation 10 no.)</t>
        </is>
      </c>
      <c r="C3418" s="22" t="inlineStr">
        <is>
          <t>each</t>
        </is>
      </c>
      <c r="D3418" s="23" t="n">
        <v>18</v>
      </c>
      <c r="E3418" s="24" t="n">
        <v>25</v>
      </c>
      <c r="F3418" s="24">
        <f>D3418*E3418</f>
        <v/>
      </c>
      <c r="G3418" s="22" t="n"/>
    </row>
    <row r="3419">
      <c r="A3419" s="22" t="inlineStr">
        <is>
          <t>0869</t>
        </is>
      </c>
      <c r="B3419" s="11" t="inlineStr">
        <is>
          <t>Plaster of Paris</t>
        </is>
      </c>
      <c r="C3419" s="22" t="inlineStr">
        <is>
          <t>kilogram</t>
        </is>
      </c>
      <c r="D3419" s="23" t="n">
        <v>19.27</v>
      </c>
      <c r="E3419" s="24" t="n">
        <v>5</v>
      </c>
      <c r="F3419" s="24">
        <f>D3419*E3419</f>
        <v/>
      </c>
      <c r="G3419" s="22" t="n"/>
    </row>
    <row r="3420">
      <c r="A3420" s="22" t="inlineStr">
        <is>
          <t>0763</t>
        </is>
      </c>
      <c r="B3420" s="11" t="inlineStr">
        <is>
          <t>Glue</t>
        </is>
      </c>
      <c r="C3420" s="22" t="inlineStr">
        <is>
          <t>kilogram</t>
        </is>
      </c>
      <c r="D3420" s="23" t="n">
        <v>4.82</v>
      </c>
      <c r="E3420" s="24" t="n">
        <v>75</v>
      </c>
      <c r="F3420" s="24">
        <f>D3420*E3420</f>
        <v/>
      </c>
      <c r="G3420" s="22" t="n"/>
    </row>
    <row r="3421">
      <c r="A3421" s="22" t="inlineStr">
        <is>
          <t>7018</t>
        </is>
      </c>
      <c r="B3421" s="11" t="inlineStr">
        <is>
          <t>Joint tape roll</t>
        </is>
      </c>
      <c r="C3421" s="22" t="inlineStr">
        <is>
          <t>roll</t>
        </is>
      </c>
      <c r="D3421" s="23" t="n">
        <v>0.584</v>
      </c>
      <c r="E3421" s="24" t="n">
        <v>100</v>
      </c>
      <c r="F3421" s="24">
        <f>D3421*E3421</f>
        <v/>
      </c>
      <c r="G3421" s="22" t="n"/>
    </row>
    <row r="3422">
      <c r="A3422" s="22" t="inlineStr">
        <is>
          <t>7021</t>
        </is>
      </c>
      <c r="B3422" s="11" t="inlineStr">
        <is>
          <t>Primer ( for gypsum board)</t>
        </is>
      </c>
      <c r="C3422" s="22" t="inlineStr">
        <is>
          <t>litre</t>
        </is>
      </c>
      <c r="D3422" s="23" t="n">
        <v>7.88</v>
      </c>
      <c r="E3422" s="24" t="n">
        <v>85</v>
      </c>
      <c r="F3422" s="24">
        <f>D3422*E3422</f>
        <v/>
      </c>
      <c r="G3422" s="22" t="n"/>
    </row>
    <row r="3423">
      <c r="A3423" s="22" t="inlineStr">
        <is>
          <t>1022</t>
        </is>
      </c>
      <c r="B3423" s="11" t="inlineStr">
        <is>
          <t>Galvanised steel bolts &amp; nuts 6 mm dia and 25 mmlong round head with slots</t>
        </is>
      </c>
      <c r="C3423" s="22" t="inlineStr">
        <is>
          <t>10 Nos</t>
        </is>
      </c>
      <c r="D3423" s="23" t="n">
        <v>4.4</v>
      </c>
      <c r="E3423" s="24" t="n">
        <v>38</v>
      </c>
      <c r="F3423" s="24">
        <f>D3423*E3423</f>
        <v/>
      </c>
      <c r="G3423" s="22" t="n"/>
    </row>
    <row r="3424">
      <c r="A3424" s="22" t="inlineStr">
        <is>
          <t>1211</t>
        </is>
      </c>
      <c r="B3424" s="11" t="inlineStr">
        <is>
          <t>G.I. plain washer for seam bolts</t>
        </is>
      </c>
      <c r="C3424" s="22" t="inlineStr">
        <is>
          <t>100 Nos</t>
        </is>
      </c>
      <c r="D3424" s="23" t="n">
        <v>0.44</v>
      </c>
      <c r="E3424" s="24" t="n">
        <v>32</v>
      </c>
      <c r="F3424" s="24">
        <f>D3424*E3424</f>
        <v/>
      </c>
      <c r="G3424" s="22" t="n"/>
    </row>
    <row r="3425">
      <c r="A3425" s="22" t="inlineStr">
        <is>
          <t>9977</t>
        </is>
      </c>
      <c r="B3425" s="11" t="inlineStr">
        <is>
          <t>Sundries carriage</t>
        </is>
      </c>
      <c r="C3425" s="22" t="inlineStr">
        <is>
          <t>L.S.</t>
        </is>
      </c>
      <c r="D3425" s="23" t="n">
        <v>52</v>
      </c>
      <c r="E3425" s="24" t="n">
        <v>2</v>
      </c>
      <c r="F3425" s="24">
        <f>D3425*E3425</f>
        <v/>
      </c>
      <c r="G3425" s="22" t="n"/>
    </row>
    <row r="3426">
      <c r="A3426" s="22" t="inlineStr">
        <is>
          <t>9999</t>
        </is>
      </c>
      <c r="B3426" s="11" t="inlineStr">
        <is>
          <t>Sundries scaffolding</t>
        </is>
      </c>
      <c r="C3426" s="22" t="inlineStr">
        <is>
          <t>L.S.</t>
        </is>
      </c>
      <c r="D3426" s="23" t="n">
        <v>130</v>
      </c>
      <c r="E3426" s="24" t="n">
        <v>2</v>
      </c>
      <c r="F3426" s="24">
        <f>D3426*E3426</f>
        <v/>
      </c>
      <c r="G3426" s="22" t="n"/>
    </row>
    <row r="3427">
      <c r="A3427" s="22" t="inlineStr">
        <is>
          <t>0111</t>
        </is>
      </c>
      <c r="B3427" s="11" t="inlineStr">
        <is>
          <t>Carpenter 1st class</t>
        </is>
      </c>
      <c r="C3427" s="22" t="inlineStr">
        <is>
          <t>day</t>
        </is>
      </c>
      <c r="D3427" s="23" t="n">
        <v>6.57</v>
      </c>
      <c r="E3427" s="24" t="n">
        <v>738</v>
      </c>
      <c r="F3427" s="24">
        <f>D3427*E3427</f>
        <v/>
      </c>
      <c r="G3427" s="22" t="n"/>
    </row>
    <row r="3428">
      <c r="A3428" s="22" t="inlineStr">
        <is>
          <t>0112</t>
        </is>
      </c>
      <c r="B3428" s="11" t="inlineStr">
        <is>
          <t>Carpenter 2nd class</t>
        </is>
      </c>
      <c r="C3428" s="22" t="inlineStr">
        <is>
          <t>day</t>
        </is>
      </c>
      <c r="D3428" s="23" t="n">
        <v>2.847</v>
      </c>
      <c r="E3428" s="24" t="n">
        <v>679</v>
      </c>
      <c r="F3428" s="24">
        <f>D3428*E3428</f>
        <v/>
      </c>
      <c r="G3428" s="22" t="n"/>
    </row>
    <row r="3429">
      <c r="A3429" s="22" t="inlineStr">
        <is>
          <t>0131</t>
        </is>
      </c>
      <c r="B3429" s="11" t="inlineStr">
        <is>
          <t>Painter</t>
        </is>
      </c>
      <c r="C3429" s="22" t="inlineStr">
        <is>
          <t>day</t>
        </is>
      </c>
      <c r="D3429" s="23" t="n">
        <v>1.095</v>
      </c>
      <c r="E3429" s="24" t="n">
        <v>679</v>
      </c>
      <c r="F3429" s="24">
        <f>D3429*E3429</f>
        <v/>
      </c>
      <c r="G3429" s="22" t="n"/>
    </row>
    <row r="3430">
      <c r="A3430" s="22" t="inlineStr">
        <is>
          <t>0114</t>
        </is>
      </c>
      <c r="B3430" s="11" t="inlineStr">
        <is>
          <t>Beldar</t>
        </is>
      </c>
      <c r="C3430" s="22" t="inlineStr">
        <is>
          <t>day</t>
        </is>
      </c>
      <c r="D3430" s="23" t="n">
        <v>7.665</v>
      </c>
      <c r="E3430" s="24" t="n">
        <v>558</v>
      </c>
      <c r="F3430" s="24">
        <f>D3430*E3430</f>
        <v/>
      </c>
      <c r="G3430" s="22" t="n"/>
    </row>
    <row r="3431">
      <c r="A3431" s="8" t="inlineStr">
        <is>
          <t>Calculated W - SUM of the Amount column above</t>
        </is>
      </c>
      <c r="B3431" s="9" t="n"/>
      <c r="C3431" s="9" t="n"/>
      <c r="D3431" s="9" t="n"/>
      <c r="E3431" s="9" t="n"/>
      <c r="F3431" s="25">
        <f>SUM(F3413:F3430)</f>
        <v/>
      </c>
      <c r="G3431" s="9" t="n"/>
    </row>
    <row r="3432">
      <c r="A3432" s="26" t="inlineStr">
        <is>
          <t>W as printed in the DAR</t>
        </is>
      </c>
      <c r="B3432" s="22" t="n"/>
      <c r="C3432" s="22" t="n"/>
      <c r="D3432" s="22" t="n"/>
      <c r="E3432" s="22" t="n"/>
      <c r="F3432" s="27" t="n">
        <v>27623.69</v>
      </c>
      <c r="G3432" s="22" t="n"/>
    </row>
    <row r="3433">
      <c r="A3433" s="26" t="inlineStr">
        <is>
          <t>Difference (calculated - printed)</t>
        </is>
      </c>
      <c r="B3433" s="22" t="n"/>
      <c r="C3433" s="22" t="n"/>
      <c r="D3433" s="22" t="n"/>
      <c r="E3433" s="22" t="n"/>
      <c r="F3433" s="27">
        <f>F3431-F3432</f>
        <v/>
      </c>
      <c r="G3433" s="22" t="n"/>
    </row>
    <row r="3434">
      <c r="A3434" s="29" t="inlineStr">
        <is>
          <t>SAY (Rs.) - final DAR rate as printed (fixed value, not computed)</t>
        </is>
      </c>
      <c r="B3434" s="30" t="n"/>
      <c r="C3434" s="30" t="n"/>
      <c r="D3434" s="30" t="n"/>
      <c r="E3434" s="30" t="n"/>
      <c r="F3434" s="31" t="n">
        <v>1687.6</v>
      </c>
      <c r="G3434" s="30" t="n"/>
    </row>
    <row r="3436" ht="47.5" customHeight="1">
      <c r="A3436" s="8" t="inlineStr">
        <is>
          <t>9.105</t>
        </is>
      </c>
      <c r="B3436" s="17"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t>
        </is>
      </c>
      <c r="C3436" s="9" t="n"/>
      <c r="D3436" s="9" t="n"/>
      <c r="E3436" s="9" t="n"/>
      <c r="F3436" s="9" t="n"/>
      <c r="G3436" s="9" t="n"/>
    </row>
    <row r="3437" ht="33" customHeight="1">
      <c r="A3437" s="18" t="inlineStr">
        <is>
          <t>9.105.5</t>
        </is>
      </c>
      <c r="B3437" s="19" t="inlineStr">
        <is>
          <t>66 mm overall thickness partition using 8 mm thick double skin multipurpose cement bonded wood particle board manufactured as per IS: 14276 with suitable cement bonded board screws</t>
        </is>
      </c>
      <c r="C3437" s="20" t="n"/>
      <c r="D3437" s="20" t="n"/>
      <c r="E3437" s="20" t="n"/>
      <c r="F3437" s="20" t="n"/>
      <c r="G3437" s="20" t="n"/>
    </row>
    <row r="3438">
      <c r="A3438" s="21" t="inlineStr">
        <is>
          <t>Details of cost for 21.9 sqm   |   Source: CivilDAR_2019_Vol_1.pdf, page 573</t>
        </is>
      </c>
    </row>
    <row r="3439">
      <c r="A3439" s="5" t="inlineStr">
        <is>
          <t>Code</t>
        </is>
      </c>
      <c r="B3439" s="5" t="inlineStr">
        <is>
          <t>Description</t>
        </is>
      </c>
      <c r="C3439" s="5" t="inlineStr">
        <is>
          <t>Unit</t>
        </is>
      </c>
      <c r="D3439" s="5" t="inlineStr">
        <is>
          <t>Quantity</t>
        </is>
      </c>
      <c r="E3439" s="5" t="inlineStr">
        <is>
          <t>Rate (Rs.)</t>
        </is>
      </c>
      <c r="F3439" s="5" t="inlineStr">
        <is>
          <t>Amount (Rs.)</t>
        </is>
      </c>
      <c r="G3439" s="5" t="inlineStr">
        <is>
          <t>Note</t>
        </is>
      </c>
    </row>
    <row r="3440">
      <c r="A3440" s="22" t="inlineStr">
        <is>
          <t>0243</t>
        </is>
      </c>
      <c r="B3440" s="11" t="inlineStr">
        <is>
          <t>Multipurpose cement bonded wood particle board 8 mm thick</t>
        </is>
      </c>
      <c r="C3440" s="22" t="inlineStr">
        <is>
          <t>sqm</t>
        </is>
      </c>
      <c r="D3440" s="23" t="n">
        <v>43.8</v>
      </c>
      <c r="E3440" s="24" t="n">
        <v>215</v>
      </c>
      <c r="F3440" s="24">
        <f>D3440*E3440</f>
        <v/>
      </c>
      <c r="G3440" s="22" t="n"/>
    </row>
    <row r="3441">
      <c r="A3441" s="22" t="inlineStr">
        <is>
          <t>7367</t>
        </is>
      </c>
      <c r="B3441" s="11" t="inlineStr">
        <is>
          <t>Galvanised M.S. sheet 0.5 mm thick pressed channel section of size 50x32 mm</t>
        </is>
      </c>
      <c r="C3441" s="22" t="inlineStr">
        <is>
          <t>metre</t>
        </is>
      </c>
      <c r="D3441" s="23" t="n">
        <v>12</v>
      </c>
      <c r="E3441" s="24" t="n">
        <v>57</v>
      </c>
      <c r="F3441" s="24">
        <f>D3441*E3441</f>
        <v/>
      </c>
      <c r="G3441" s="22" t="n"/>
    </row>
    <row r="3442">
      <c r="A3442" s="22" t="inlineStr">
        <is>
          <t>7369</t>
        </is>
      </c>
      <c r="B3442" s="11" t="inlineStr">
        <is>
          <t>Galvanised M.S. sheet 0.50 mm thick pressed stud : 48x34x36 mm</t>
        </is>
      </c>
      <c r="C3442" s="22" t="inlineStr">
        <is>
          <t>metre</t>
        </is>
      </c>
      <c r="D3442" s="23" t="n">
        <v>40.15</v>
      </c>
      <c r="E3442" s="24" t="n">
        <v>71</v>
      </c>
      <c r="F3442" s="24">
        <f>D3442*E3442</f>
        <v/>
      </c>
      <c r="G3442" s="22" t="n"/>
    </row>
    <row r="3443">
      <c r="A3443" s="22" t="inlineStr">
        <is>
          <t>7020</t>
        </is>
      </c>
      <c r="B3443" s="11" t="inlineStr">
        <is>
          <t>All drive screws ( for gypsum board) [(3.65/0.30)+1]x11x2 = 308 [(6.00/0.30)+1]x2x2=84 Total = 392</t>
        </is>
      </c>
      <c r="C3443" s="22" t="inlineStr">
        <is>
          <t>100 nos</t>
        </is>
      </c>
      <c r="D3443" s="23" t="n">
        <v>3.92</v>
      </c>
      <c r="E3443" s="24" t="n">
        <v>58</v>
      </c>
      <c r="F3443" s="24">
        <f>D3443*E3443</f>
        <v/>
      </c>
      <c r="G3443" s="22" t="n"/>
    </row>
    <row r="3444">
      <c r="A3444" s="22" t="inlineStr">
        <is>
          <t>7388</t>
        </is>
      </c>
      <c r="B3444" s="11" t="inlineStr">
        <is>
          <t>Dash hold fastener 12.5 mm dia, 50 mm long with 6 mm dia bolt</t>
        </is>
      </c>
      <c r="C3444" s="22" t="inlineStr">
        <is>
          <t>each</t>
        </is>
      </c>
      <c r="D3444" s="23" t="n">
        <v>22</v>
      </c>
      <c r="E3444" s="24" t="n">
        <v>11</v>
      </c>
      <c r="F3444" s="24">
        <f>D3444*E3444</f>
        <v/>
      </c>
      <c r="G3444" s="22" t="n"/>
    </row>
    <row r="3445">
      <c r="A3445" s="22" t="inlineStr">
        <is>
          <t>7048</t>
        </is>
      </c>
      <c r="B3445" s="11" t="inlineStr">
        <is>
          <t>Rawl plug 50 mm (designation 10 nos) [(3.65/0.45)+1]x2=</t>
        </is>
      </c>
      <c r="C3445" s="22" t="inlineStr">
        <is>
          <t>18 each</t>
        </is>
      </c>
      <c r="D3445" s="23" t="n">
        <v>18</v>
      </c>
      <c r="E3445" s="24" t="n">
        <v>25</v>
      </c>
      <c r="F3445" s="24">
        <f>D3445*E3445</f>
        <v/>
      </c>
      <c r="G3445" s="22" t="n"/>
    </row>
    <row r="3446">
      <c r="A3446" s="22" t="inlineStr">
        <is>
          <t>0869</t>
        </is>
      </c>
      <c r="B3446" s="11" t="inlineStr">
        <is>
          <t>Plaster of Paris (88/100)x21.9 = 19.27</t>
        </is>
      </c>
      <c r="C3446" s="22" t="inlineStr">
        <is>
          <t>kg</t>
        </is>
      </c>
      <c r="D3446" s="23" t="n">
        <v>19.27</v>
      </c>
      <c r="E3446" s="24" t="n">
        <v>5</v>
      </c>
      <c r="F3446" s="24">
        <f>D3446*E3446</f>
        <v/>
      </c>
      <c r="G3446" s="22" t="n"/>
    </row>
    <row r="3447">
      <c r="A3447" s="22" t="inlineStr">
        <is>
          <t>0763</t>
        </is>
      </c>
      <c r="B3447" s="11" t="inlineStr">
        <is>
          <t>Glue (22/100)x21.90=4.82</t>
        </is>
      </c>
      <c r="C3447" s="22" t="inlineStr">
        <is>
          <t>kg</t>
        </is>
      </c>
      <c r="D3447" s="23" t="n">
        <v>4.82</v>
      </c>
      <c r="E3447" s="24" t="n">
        <v>75</v>
      </c>
      <c r="F3447" s="24">
        <f>D3447*E3447</f>
        <v/>
      </c>
      <c r="G3447" s="22" t="n"/>
    </row>
    <row r="3448">
      <c r="A3448" s="22" t="inlineStr">
        <is>
          <t>7018</t>
        </is>
      </c>
      <c r="B3448" s="11" t="inlineStr">
        <is>
          <t>Joint tape roll (120m roll) (300/100)x21.90/120 = 0.584 No</t>
        </is>
      </c>
      <c r="C3448" s="22" t="inlineStr">
        <is>
          <t>roll</t>
        </is>
      </c>
      <c r="D3448" s="23" t="n">
        <v>0.584</v>
      </c>
      <c r="E3448" s="24" t="n">
        <v>100</v>
      </c>
      <c r="F3448" s="24">
        <f>D3448*E3448</f>
        <v/>
      </c>
      <c r="G3448" s="22" t="n"/>
    </row>
    <row r="3449">
      <c r="A3449" s="22" t="inlineStr">
        <is>
          <t>7021</t>
        </is>
      </c>
      <c r="B3449" s="11" t="inlineStr">
        <is>
          <t>Primer ( for gypsum board (36/100x21.90 = 7.88 litre</t>
        </is>
      </c>
      <c r="C3449" s="22" t="inlineStr">
        <is>
          <t>litre</t>
        </is>
      </c>
      <c r="D3449" s="23" t="n">
        <v>7.88</v>
      </c>
      <c r="E3449" s="24" t="n">
        <v>85</v>
      </c>
      <c r="F3449" s="24">
        <f>D3449*E3449</f>
        <v/>
      </c>
      <c r="G3449" s="22" t="n"/>
    </row>
    <row r="3450">
      <c r="A3450" s="22" t="inlineStr">
        <is>
          <t>1022</t>
        </is>
      </c>
      <c r="B3450" s="11" t="inlineStr">
        <is>
          <t>Galvanised steel bolts &amp; nuts 6 mm dia and 25 mm long round head with slots</t>
        </is>
      </c>
      <c r="C3450" s="22" t="inlineStr">
        <is>
          <t>10 Nos</t>
        </is>
      </c>
      <c r="D3450" s="23" t="n">
        <v>4.4</v>
      </c>
      <c r="E3450" s="24" t="n">
        <v>38</v>
      </c>
      <c r="F3450" s="24">
        <f>D3450*E3450</f>
        <v/>
      </c>
      <c r="G3450" s="22" t="n"/>
    </row>
    <row r="3451">
      <c r="A3451" s="22" t="inlineStr">
        <is>
          <t>1211</t>
        </is>
      </c>
      <c r="B3451" s="11" t="inlineStr">
        <is>
          <t>G.I. plain washer for seam bolts =0 .44 hundreds</t>
        </is>
      </c>
      <c r="C3451" s="22" t="inlineStr">
        <is>
          <t>100 Nos</t>
        </is>
      </c>
      <c r="D3451" s="23" t="n">
        <v>0.44</v>
      </c>
      <c r="E3451" s="24" t="n">
        <v>32</v>
      </c>
      <c r="F3451" s="24">
        <f>D3451*E3451</f>
        <v/>
      </c>
      <c r="G3451" s="22" t="n"/>
    </row>
    <row r="3452">
      <c r="A3452" s="22" t="inlineStr">
        <is>
          <t>9999</t>
        </is>
      </c>
      <c r="B3452" s="11" t="inlineStr">
        <is>
          <t>Sundries carriage</t>
        </is>
      </c>
      <c r="C3452" s="22" t="inlineStr">
        <is>
          <t>L.S</t>
        </is>
      </c>
      <c r="D3452" s="23" t="n">
        <v>52</v>
      </c>
      <c r="E3452" s="24" t="n">
        <v>2</v>
      </c>
      <c r="F3452" s="24">
        <f>D3452*E3452</f>
        <v/>
      </c>
      <c r="G3452" s="22" t="n"/>
    </row>
    <row r="3453">
      <c r="A3453" s="22" t="inlineStr">
        <is>
          <t>9999</t>
        </is>
      </c>
      <c r="B3453" s="11" t="inlineStr">
        <is>
          <t>Sundries scaffolding</t>
        </is>
      </c>
      <c r="C3453" s="22" t="inlineStr">
        <is>
          <t>L.S</t>
        </is>
      </c>
      <c r="D3453" s="23" t="n">
        <v>130</v>
      </c>
      <c r="E3453" s="24" t="n">
        <v>2</v>
      </c>
      <c r="F3453" s="24">
        <f>D3453*E3453</f>
        <v/>
      </c>
      <c r="G3453" s="22" t="n"/>
    </row>
    <row r="3454">
      <c r="A3454" s="22" t="inlineStr">
        <is>
          <t>0111</t>
        </is>
      </c>
      <c r="B3454" s="11" t="inlineStr">
        <is>
          <t>Carpenter 1 st class</t>
        </is>
      </c>
      <c r="C3454" s="22" t="inlineStr">
        <is>
          <t>day</t>
        </is>
      </c>
      <c r="D3454" s="23" t="n">
        <v>6.57</v>
      </c>
      <c r="E3454" s="24" t="n">
        <v>738</v>
      </c>
      <c r="F3454" s="24">
        <f>D3454*E3454</f>
        <v/>
      </c>
      <c r="G3454" s="22" t="n"/>
    </row>
    <row r="3455">
      <c r="A3455" s="22" t="inlineStr">
        <is>
          <t>0112</t>
        </is>
      </c>
      <c r="B3455" s="11" t="inlineStr">
        <is>
          <t>Carpenter 2nd class</t>
        </is>
      </c>
      <c r="C3455" s="22" t="inlineStr">
        <is>
          <t>day</t>
        </is>
      </c>
      <c r="D3455" s="23" t="n">
        <v>2.847</v>
      </c>
      <c r="E3455" s="24" t="n">
        <v>679</v>
      </c>
      <c r="F3455" s="24">
        <f>D3455*E3455</f>
        <v/>
      </c>
      <c r="G3455" s="22" t="n"/>
    </row>
    <row r="3456">
      <c r="A3456" s="22" t="inlineStr">
        <is>
          <t>0131</t>
        </is>
      </c>
      <c r="B3456" s="11" t="inlineStr">
        <is>
          <t>Painter</t>
        </is>
      </c>
      <c r="C3456" s="22" t="inlineStr">
        <is>
          <t>day</t>
        </is>
      </c>
      <c r="D3456" s="23" t="n">
        <v>1.095</v>
      </c>
      <c r="E3456" s="24" t="n">
        <v>679</v>
      </c>
      <c r="F3456" s="24">
        <f>D3456*E3456</f>
        <v/>
      </c>
      <c r="G3456" s="22" t="n"/>
    </row>
    <row r="3457">
      <c r="A3457" s="22" t="inlineStr">
        <is>
          <t>0114</t>
        </is>
      </c>
      <c r="B3457" s="11" t="inlineStr">
        <is>
          <t>Beldar</t>
        </is>
      </c>
      <c r="C3457" s="22" t="inlineStr">
        <is>
          <t>day</t>
        </is>
      </c>
      <c r="D3457" s="23" t="n">
        <v>7.665</v>
      </c>
      <c r="E3457" s="24" t="n">
        <v>558</v>
      </c>
      <c r="F3457" s="24">
        <f>D3457*E3457</f>
        <v/>
      </c>
      <c r="G3457" s="22" t="n"/>
    </row>
    <row r="3458">
      <c r="A3458" s="8" t="inlineStr">
        <is>
          <t>Calculated W - SUM of the Amount column above</t>
        </is>
      </c>
      <c r="B3458" s="9" t="n"/>
      <c r="C3458" s="9" t="n"/>
      <c r="D3458" s="9" t="n"/>
      <c r="E3458" s="9" t="n"/>
      <c r="F3458" s="25">
        <f>SUM(F3440:F3457)</f>
        <v/>
      </c>
      <c r="G3458" s="9" t="n"/>
    </row>
    <row r="3459">
      <c r="A3459" s="26" t="inlineStr">
        <is>
          <t>W as printed in the DAR</t>
        </is>
      </c>
      <c r="B3459" s="22" t="n"/>
      <c r="C3459" s="22" t="n"/>
      <c r="D3459" s="22" t="n"/>
      <c r="E3459" s="22" t="n"/>
      <c r="F3459" s="27" t="n">
        <v>27404.69</v>
      </c>
      <c r="G3459" s="22" t="n"/>
    </row>
    <row r="3460">
      <c r="A3460" s="26" t="inlineStr">
        <is>
          <t>Difference (calculated - printed)</t>
        </is>
      </c>
      <c r="B3460" s="22" t="n"/>
      <c r="C3460" s="22" t="n"/>
      <c r="D3460" s="22" t="n"/>
      <c r="E3460" s="22" t="n"/>
      <c r="F3460" s="27">
        <f>F3458-F3459</f>
        <v/>
      </c>
      <c r="G3460" s="22" t="n"/>
    </row>
    <row r="3461">
      <c r="A3461" s="29" t="inlineStr">
        <is>
          <t>SAY (Rs.) - final DAR rate as printed (fixed value, not computed)</t>
        </is>
      </c>
      <c r="B3461" s="30" t="n"/>
      <c r="C3461" s="30" t="n"/>
      <c r="D3461" s="30" t="n"/>
      <c r="E3461" s="30" t="n"/>
      <c r="F3461" s="31" t="n">
        <v>1674.25</v>
      </c>
      <c r="G3461" s="30" t="n"/>
    </row>
    <row r="3463" ht="18.5" customHeight="1">
      <c r="A3463" s="8" t="inlineStr">
        <is>
          <t>9.106</t>
        </is>
      </c>
      <c r="B3463" s="17" t="inlineStr">
        <is>
          <t>Providing and fixing PTMT handles with necessary screws etc. complete.</t>
        </is>
      </c>
      <c r="C3463" s="9" t="n"/>
      <c r="D3463" s="9" t="n"/>
      <c r="E3463" s="9" t="n"/>
      <c r="F3463" s="9" t="n"/>
      <c r="G3463" s="9" t="n"/>
    </row>
    <row r="3464" ht="18.5" customHeight="1">
      <c r="A3464" s="18" t="inlineStr">
        <is>
          <t>9.106.1</t>
        </is>
      </c>
      <c r="B3464" s="19" t="inlineStr">
        <is>
          <t>125x34x24 mm weighing not less than 23 gms</t>
        </is>
      </c>
      <c r="C3464" s="20" t="n"/>
      <c r="D3464" s="20" t="n"/>
      <c r="E3464" s="20" t="n"/>
      <c r="F3464" s="20" t="n"/>
      <c r="G3464" s="20" t="n"/>
    </row>
    <row r="3465">
      <c r="A3465" s="21" t="inlineStr">
        <is>
          <t>Details of cost for 10 nos   |   Source: CivilDAR_2019_Vol_1.pdf, page 574</t>
        </is>
      </c>
    </row>
    <row r="3466">
      <c r="A3466" s="5" t="inlineStr">
        <is>
          <t>Code</t>
        </is>
      </c>
      <c r="B3466" s="5" t="inlineStr">
        <is>
          <t>Description</t>
        </is>
      </c>
      <c r="C3466" s="5" t="inlineStr">
        <is>
          <t>Unit</t>
        </is>
      </c>
      <c r="D3466" s="5" t="inlineStr">
        <is>
          <t>Quantity</t>
        </is>
      </c>
      <c r="E3466" s="5" t="inlineStr">
        <is>
          <t>Rate (Rs.)</t>
        </is>
      </c>
      <c r="F3466" s="5" t="inlineStr">
        <is>
          <t>Amount (Rs.)</t>
        </is>
      </c>
      <c r="G3466" s="5" t="inlineStr">
        <is>
          <t>Note</t>
        </is>
      </c>
    </row>
    <row r="3467">
      <c r="A3467" s="22" t="inlineStr">
        <is>
          <t>7512</t>
        </is>
      </c>
      <c r="B3467" s="11" t="inlineStr">
        <is>
          <t>PTMT handle 125x34x24mm</t>
        </is>
      </c>
      <c r="C3467" s="22" t="inlineStr">
        <is>
          <t>each</t>
        </is>
      </c>
      <c r="D3467" s="23" t="n">
        <v>10</v>
      </c>
      <c r="E3467" s="24" t="n">
        <v>24</v>
      </c>
      <c r="F3467" s="24">
        <f>D3467*E3467</f>
        <v/>
      </c>
      <c r="G3467" s="22" t="n"/>
    </row>
    <row r="3468">
      <c r="A3468" s="22" t="inlineStr">
        <is>
          <t>0639</t>
        </is>
      </c>
      <c r="B3468" s="11" t="inlineStr">
        <is>
          <t>Bright finished or black enamelled mild steel screws 25 mm</t>
        </is>
      </c>
      <c r="C3468" s="22" t="inlineStr">
        <is>
          <t>100 Nos</t>
        </is>
      </c>
      <c r="D3468" s="23" t="n">
        <v>0.4</v>
      </c>
      <c r="E3468" s="24" t="n">
        <v>36</v>
      </c>
      <c r="F3468" s="24">
        <f>D3468*E3468</f>
        <v/>
      </c>
      <c r="G3468" s="22" t="n"/>
    </row>
    <row r="3469">
      <c r="A3469" s="22" t="inlineStr">
        <is>
          <t>9977</t>
        </is>
      </c>
      <c r="B3469" s="11" t="inlineStr">
        <is>
          <t>Carriage of materials</t>
        </is>
      </c>
      <c r="C3469" s="22" t="inlineStr">
        <is>
          <t>L.S.</t>
        </is>
      </c>
      <c r="D3469" s="23" t="n">
        <v>2.73</v>
      </c>
      <c r="E3469" s="24" t="n">
        <v>2</v>
      </c>
      <c r="F3469" s="24">
        <f>D3469*E3469</f>
        <v/>
      </c>
      <c r="G3469" s="22" t="n"/>
    </row>
    <row r="3470">
      <c r="A3470" s="22" t="inlineStr">
        <is>
          <t>0112</t>
        </is>
      </c>
      <c r="B3470" s="11" t="inlineStr">
        <is>
          <t>Carpenter 2nd class</t>
        </is>
      </c>
      <c r="C3470" s="22" t="inlineStr">
        <is>
          <t>day</t>
        </is>
      </c>
      <c r="D3470" s="23" t="n">
        <v>0.06</v>
      </c>
      <c r="E3470" s="24" t="n">
        <v>679</v>
      </c>
      <c r="F3470" s="24">
        <f>D3470*E3470</f>
        <v/>
      </c>
      <c r="G3470" s="22" t="n"/>
    </row>
    <row r="3471">
      <c r="A3471" s="8" t="inlineStr">
        <is>
          <t>Calculated W - SUM of the Amount column above</t>
        </is>
      </c>
      <c r="B3471" s="9" t="n"/>
      <c r="C3471" s="9" t="n"/>
      <c r="D3471" s="9" t="n"/>
      <c r="E3471" s="9" t="n"/>
      <c r="F3471" s="25">
        <f>SUM(F3467:F3470)</f>
        <v/>
      </c>
      <c r="G3471" s="9" t="n"/>
    </row>
    <row r="3472">
      <c r="A3472" s="26" t="inlineStr">
        <is>
          <t>W as printed in the DAR</t>
        </is>
      </c>
      <c r="B3472" s="22" t="n"/>
      <c r="C3472" s="22" t="n"/>
      <c r="D3472" s="22" t="n"/>
      <c r="E3472" s="22" t="n"/>
      <c r="F3472" s="27" t="n">
        <v>300.6</v>
      </c>
      <c r="G3472" s="22" t="n"/>
    </row>
    <row r="3473">
      <c r="A3473" s="26" t="inlineStr">
        <is>
          <t>Difference (calculated - printed)</t>
        </is>
      </c>
      <c r="B3473" s="22" t="n"/>
      <c r="C3473" s="22" t="n"/>
      <c r="D3473" s="22" t="n"/>
      <c r="E3473" s="22" t="n"/>
      <c r="F3473" s="27">
        <f>F3471-F3472</f>
        <v/>
      </c>
      <c r="G3473" s="22" t="n"/>
    </row>
    <row r="3474">
      <c r="A3474" s="29" t="inlineStr">
        <is>
          <t>SAY (Rs.) - final DAR rate as printed (fixed value, not computed)</t>
        </is>
      </c>
      <c r="B3474" s="30" t="n"/>
      <c r="C3474" s="30" t="n"/>
      <c r="D3474" s="30" t="n"/>
      <c r="E3474" s="30" t="n"/>
      <c r="F3474" s="31" t="n">
        <v>40.2</v>
      </c>
      <c r="G3474" s="30" t="n"/>
    </row>
    <row r="3476" ht="18.5" customHeight="1">
      <c r="A3476" s="8" t="inlineStr">
        <is>
          <t>9.106</t>
        </is>
      </c>
      <c r="B3476" s="17" t="inlineStr">
        <is>
          <t>Providing and fixing PTMT handles with necessary screws etc. complete.</t>
        </is>
      </c>
      <c r="C3476" s="9" t="n"/>
      <c r="D3476" s="9" t="n"/>
      <c r="E3476" s="9" t="n"/>
      <c r="F3476" s="9" t="n"/>
      <c r="G3476" s="9" t="n"/>
    </row>
    <row r="3477" ht="18.5" customHeight="1">
      <c r="A3477" s="18" t="inlineStr">
        <is>
          <t>9.106.2</t>
        </is>
      </c>
      <c r="B3477" s="19" t="inlineStr">
        <is>
          <t>150x34x24 mm weighing not less than 26 gms</t>
        </is>
      </c>
      <c r="C3477" s="20" t="n"/>
      <c r="D3477" s="20" t="n"/>
      <c r="E3477" s="20" t="n"/>
      <c r="F3477" s="20" t="n"/>
      <c r="G3477" s="20" t="n"/>
    </row>
    <row r="3478">
      <c r="A3478" s="21" t="inlineStr">
        <is>
          <t>Details of cost for 10 nos   |   Source: CivilDAR_2019_Vol_1.pdf, page 575</t>
        </is>
      </c>
    </row>
    <row r="3479">
      <c r="A3479" s="5" t="inlineStr">
        <is>
          <t>Code</t>
        </is>
      </c>
      <c r="B3479" s="5" t="inlineStr">
        <is>
          <t>Description</t>
        </is>
      </c>
      <c r="C3479" s="5" t="inlineStr">
        <is>
          <t>Unit</t>
        </is>
      </c>
      <c r="D3479" s="5" t="inlineStr">
        <is>
          <t>Quantity</t>
        </is>
      </c>
      <c r="E3479" s="5" t="inlineStr">
        <is>
          <t>Rate (Rs.)</t>
        </is>
      </c>
      <c r="F3479" s="5" t="inlineStr">
        <is>
          <t>Amount (Rs.)</t>
        </is>
      </c>
      <c r="G3479" s="5" t="inlineStr">
        <is>
          <t>Note</t>
        </is>
      </c>
    </row>
    <row r="3480">
      <c r="A3480" s="22" t="inlineStr">
        <is>
          <t>7513</t>
        </is>
      </c>
      <c r="B3480" s="11" t="inlineStr">
        <is>
          <t>PTMT handle 150x34x24mm</t>
        </is>
      </c>
      <c r="C3480" s="22" t="inlineStr">
        <is>
          <t>each</t>
        </is>
      </c>
      <c r="D3480" s="23" t="n">
        <v>10</v>
      </c>
      <c r="E3480" s="24" t="n">
        <v>24</v>
      </c>
      <c r="F3480" s="24">
        <f>D3480*E3480</f>
        <v/>
      </c>
      <c r="G3480" s="22" t="n"/>
    </row>
    <row r="3481">
      <c r="A3481" s="22" t="inlineStr">
        <is>
          <t>0639</t>
        </is>
      </c>
      <c r="B3481" s="11" t="inlineStr">
        <is>
          <t>Bright finished or black enamelled mild steel screws 25 mm</t>
        </is>
      </c>
      <c r="C3481" s="22" t="inlineStr">
        <is>
          <t>100 Nos</t>
        </is>
      </c>
      <c r="D3481" s="23" t="n">
        <v>0.4</v>
      </c>
      <c r="E3481" s="24" t="n">
        <v>36</v>
      </c>
      <c r="F3481" s="24">
        <f>D3481*E3481</f>
        <v/>
      </c>
      <c r="G3481" s="22" t="n"/>
    </row>
    <row r="3482">
      <c r="A3482" s="22" t="inlineStr">
        <is>
          <t>9977</t>
        </is>
      </c>
      <c r="B3482" s="11" t="inlineStr">
        <is>
          <t>Carriage of materials</t>
        </is>
      </c>
      <c r="C3482" s="22" t="inlineStr">
        <is>
          <t>L.S.</t>
        </is>
      </c>
      <c r="D3482" s="23" t="n">
        <v>2.73</v>
      </c>
      <c r="E3482" s="24" t="n">
        <v>2</v>
      </c>
      <c r="F3482" s="24">
        <f>D3482*E3482</f>
        <v/>
      </c>
      <c r="G3482" s="22" t="n"/>
    </row>
    <row r="3483">
      <c r="A3483" s="22" t="inlineStr">
        <is>
          <t>0112</t>
        </is>
      </c>
      <c r="B3483" s="11" t="inlineStr">
        <is>
          <t>Carpenter 2nd class</t>
        </is>
      </c>
      <c r="C3483" s="22" t="inlineStr">
        <is>
          <t>day</t>
        </is>
      </c>
      <c r="D3483" s="23" t="n">
        <v>0.06</v>
      </c>
      <c r="E3483" s="24" t="n">
        <v>679</v>
      </c>
      <c r="F3483" s="24">
        <f>D3483*E3483</f>
        <v/>
      </c>
      <c r="G3483" s="22" t="n"/>
    </row>
    <row r="3484">
      <c r="A3484" s="8" t="inlineStr">
        <is>
          <t>Calculated W - SUM of the Amount column above</t>
        </is>
      </c>
      <c r="B3484" s="9" t="n"/>
      <c r="C3484" s="9" t="n"/>
      <c r="D3484" s="9" t="n"/>
      <c r="E3484" s="9" t="n"/>
      <c r="F3484" s="25">
        <f>SUM(F3480:F3483)</f>
        <v/>
      </c>
      <c r="G3484" s="9" t="n"/>
    </row>
    <row r="3485">
      <c r="A3485" s="26" t="inlineStr">
        <is>
          <t>W as printed in the DAR</t>
        </is>
      </c>
      <c r="B3485" s="22" t="n"/>
      <c r="C3485" s="22" t="n"/>
      <c r="D3485" s="22" t="n"/>
      <c r="E3485" s="22" t="n"/>
      <c r="F3485" s="27" t="n">
        <v>300.6</v>
      </c>
      <c r="G3485" s="22" t="n"/>
    </row>
    <row r="3486">
      <c r="A3486" s="26" t="inlineStr">
        <is>
          <t>Difference (calculated - printed)</t>
        </is>
      </c>
      <c r="B3486" s="22" t="n"/>
      <c r="C3486" s="22" t="n"/>
      <c r="D3486" s="22" t="n"/>
      <c r="E3486" s="22" t="n"/>
      <c r="F3486" s="27">
        <f>F3484-F3485</f>
        <v/>
      </c>
      <c r="G3486" s="22" t="n"/>
    </row>
    <row r="3487">
      <c r="A3487" s="29" t="inlineStr">
        <is>
          <t>SAY (Rs.) - final DAR rate as printed (fixed value, not computed)</t>
        </is>
      </c>
      <c r="B3487" s="30" t="n"/>
      <c r="C3487" s="30" t="n"/>
      <c r="D3487" s="30" t="n"/>
      <c r="E3487" s="30" t="n"/>
      <c r="F3487" s="31" t="n">
        <v>40.2</v>
      </c>
      <c r="G3487" s="30" t="n"/>
    </row>
    <row r="3489" ht="18.5" customHeight="1">
      <c r="A3489" s="8" t="inlineStr">
        <is>
          <t>9.107</t>
        </is>
      </c>
      <c r="B3489" s="17" t="inlineStr">
        <is>
          <t>Providing and fixing PTMT Butt hinges with necessary screws etc. complete.</t>
        </is>
      </c>
      <c r="C3489" s="9" t="n"/>
      <c r="D3489" s="9" t="n"/>
      <c r="E3489" s="9" t="n"/>
      <c r="F3489" s="9" t="n"/>
      <c r="G3489" s="9" t="n"/>
    </row>
    <row r="3490" ht="18.5" customHeight="1">
      <c r="A3490" s="18" t="inlineStr">
        <is>
          <t>9.107.1</t>
        </is>
      </c>
      <c r="B3490" s="19" t="inlineStr">
        <is>
          <t>75x60x10 mm fitted with 5.5 mm dia M.S. Bright Bar Rod weighing not less than 34 gms</t>
        </is>
      </c>
      <c r="C3490" s="20" t="n"/>
      <c r="D3490" s="20" t="n"/>
      <c r="E3490" s="20" t="n"/>
      <c r="F3490" s="20" t="n"/>
      <c r="G3490" s="20" t="n"/>
    </row>
    <row r="3491">
      <c r="A3491" s="21" t="inlineStr">
        <is>
          <t>Details of cost for 10 nos   |   Source: CivilDAR_2019_Vol_1.pdf, page 575</t>
        </is>
      </c>
    </row>
    <row r="3492">
      <c r="A3492" s="5" t="inlineStr">
        <is>
          <t>Code</t>
        </is>
      </c>
      <c r="B3492" s="5" t="inlineStr">
        <is>
          <t>Description</t>
        </is>
      </c>
      <c r="C3492" s="5" t="inlineStr">
        <is>
          <t>Unit</t>
        </is>
      </c>
      <c r="D3492" s="5" t="inlineStr">
        <is>
          <t>Quantity</t>
        </is>
      </c>
      <c r="E3492" s="5" t="inlineStr">
        <is>
          <t>Rate (Rs.)</t>
        </is>
      </c>
      <c r="F3492" s="5" t="inlineStr">
        <is>
          <t>Amount (Rs.)</t>
        </is>
      </c>
      <c r="G3492" s="5" t="inlineStr">
        <is>
          <t>Note</t>
        </is>
      </c>
    </row>
    <row r="3493">
      <c r="A3493" s="22" t="inlineStr">
        <is>
          <t>7514</t>
        </is>
      </c>
      <c r="B3493" s="11" t="inlineStr">
        <is>
          <t>PTMT butt hinges 75x60x10mm</t>
        </is>
      </c>
      <c r="C3493" s="22" t="inlineStr">
        <is>
          <t>each</t>
        </is>
      </c>
      <c r="D3493" s="23" t="n">
        <v>10</v>
      </c>
      <c r="E3493" s="24" t="n">
        <v>33</v>
      </c>
      <c r="F3493" s="24">
        <f>D3493*E3493</f>
        <v/>
      </c>
      <c r="G3493" s="22" t="n"/>
    </row>
    <row r="3494">
      <c r="A3494" s="22" t="inlineStr">
        <is>
          <t>0638</t>
        </is>
      </c>
      <c r="B3494" s="11" t="inlineStr">
        <is>
          <t>Bright finished or black enamelled mild steel screws 30 mm</t>
        </is>
      </c>
      <c r="C3494" s="22" t="inlineStr">
        <is>
          <t>100 Nos</t>
        </is>
      </c>
      <c r="D3494" s="23" t="n">
        <v>0.6</v>
      </c>
      <c r="E3494" s="24" t="n">
        <v>45</v>
      </c>
      <c r="F3494" s="24">
        <f>D3494*E3494</f>
        <v/>
      </c>
      <c r="G3494" s="22" t="n"/>
    </row>
    <row r="3495">
      <c r="A3495" s="22" t="inlineStr">
        <is>
          <t>9977</t>
        </is>
      </c>
      <c r="B3495" s="11" t="inlineStr">
        <is>
          <t>Carriage of materials</t>
        </is>
      </c>
      <c r="C3495" s="22" t="inlineStr">
        <is>
          <t>L.S.</t>
        </is>
      </c>
      <c r="D3495" s="23" t="n">
        <v>1.82</v>
      </c>
      <c r="E3495" s="24" t="n">
        <v>2</v>
      </c>
      <c r="F3495" s="24">
        <f>D3495*E3495</f>
        <v/>
      </c>
      <c r="G3495" s="22" t="n"/>
    </row>
    <row r="3496">
      <c r="A3496" s="22" t="inlineStr">
        <is>
          <t>0112</t>
        </is>
      </c>
      <c r="B3496" s="11" t="inlineStr">
        <is>
          <t>Carpenter 2nd class</t>
        </is>
      </c>
      <c r="C3496" s="22" t="inlineStr">
        <is>
          <t>day</t>
        </is>
      </c>
      <c r="D3496" s="23" t="n">
        <v>0.14</v>
      </c>
      <c r="E3496" s="24" t="n">
        <v>679</v>
      </c>
      <c r="F3496" s="24">
        <f>D3496*E3496</f>
        <v/>
      </c>
      <c r="G3496" s="22" t="n"/>
    </row>
    <row r="3497">
      <c r="A3497" s="22" t="inlineStr">
        <is>
          <t>0114</t>
        </is>
      </c>
      <c r="B3497" s="11" t="inlineStr">
        <is>
          <t>Beldar</t>
        </is>
      </c>
      <c r="C3497" s="22" t="inlineStr">
        <is>
          <t>day</t>
        </is>
      </c>
      <c r="D3497" s="23" t="n">
        <v>0.09</v>
      </c>
      <c r="E3497" s="24" t="n">
        <v>558</v>
      </c>
      <c r="F3497" s="24">
        <f>D3497*E3497</f>
        <v/>
      </c>
      <c r="G3497" s="22" t="n"/>
    </row>
    <row r="3498">
      <c r="A3498" s="8" t="inlineStr">
        <is>
          <t>Calculated W - SUM of the Amount column above</t>
        </is>
      </c>
      <c r="B3498" s="9" t="n"/>
      <c r="C3498" s="9" t="n"/>
      <c r="D3498" s="9" t="n"/>
      <c r="E3498" s="9" t="n"/>
      <c r="F3498" s="25">
        <f>SUM(F3493:F3497)</f>
        <v/>
      </c>
      <c r="G3498" s="9" t="n"/>
    </row>
    <row r="3499">
      <c r="A3499" s="26" t="inlineStr">
        <is>
          <t>W as printed in the DAR</t>
        </is>
      </c>
      <c r="B3499" s="22" t="n"/>
      <c r="C3499" s="22" t="n"/>
      <c r="D3499" s="22" t="n"/>
      <c r="E3499" s="22" t="n"/>
      <c r="F3499" s="27" t="n">
        <v>505.92</v>
      </c>
      <c r="G3499" s="22" t="n"/>
    </row>
    <row r="3500">
      <c r="A3500" s="26" t="inlineStr">
        <is>
          <t>Difference (calculated - printed)</t>
        </is>
      </c>
      <c r="B3500" s="22" t="n"/>
      <c r="C3500" s="22" t="n"/>
      <c r="D3500" s="22" t="n"/>
      <c r="E3500" s="22" t="n"/>
      <c r="F3500" s="27">
        <f>F3498-F3499</f>
        <v/>
      </c>
      <c r="G3500" s="22" t="n"/>
    </row>
    <row r="3501">
      <c r="A3501" s="29" t="inlineStr">
        <is>
          <t>SAY (Rs.) - final DAR rate as printed (fixed value, not computed)</t>
        </is>
      </c>
      <c r="B3501" s="30" t="n"/>
      <c r="C3501" s="30" t="n"/>
      <c r="D3501" s="30" t="n"/>
      <c r="E3501" s="30" t="n"/>
      <c r="F3501" s="31" t="n">
        <v>67.7</v>
      </c>
      <c r="G3501" s="30" t="n"/>
    </row>
    <row r="3503" ht="18.5" customHeight="1">
      <c r="A3503" s="8" t="inlineStr">
        <is>
          <t>9.107</t>
        </is>
      </c>
      <c r="B3503" s="17" t="inlineStr">
        <is>
          <t>Providing and fixing PTMT Butt hinges with necessary screws etc. complete.</t>
        </is>
      </c>
      <c r="C3503" s="9" t="n"/>
      <c r="D3503" s="9" t="n"/>
      <c r="E3503" s="9" t="n"/>
      <c r="F3503" s="9" t="n"/>
      <c r="G3503" s="9" t="n"/>
    </row>
    <row r="3504" ht="18.5" customHeight="1">
      <c r="A3504" s="18" t="inlineStr">
        <is>
          <t>9.107.2</t>
        </is>
      </c>
      <c r="B3504" s="19" t="inlineStr">
        <is>
          <t>100x75x10 mm fitted with 5.5 mm dia MS Bright Bar Rod weighing not less than 53 gms</t>
        </is>
      </c>
      <c r="C3504" s="20" t="n"/>
      <c r="D3504" s="20" t="n"/>
      <c r="E3504" s="20" t="n"/>
      <c r="F3504" s="20" t="n"/>
      <c r="G3504" s="20" t="n"/>
    </row>
    <row r="3505">
      <c r="A3505" s="21" t="inlineStr">
        <is>
          <t>Details of cost for 10 nos   |   Source: CivilDAR_2019_Vol_1.pdf, page 576</t>
        </is>
      </c>
    </row>
    <row r="3506">
      <c r="A3506" s="5" t="inlineStr">
        <is>
          <t>Code</t>
        </is>
      </c>
      <c r="B3506" s="5" t="inlineStr">
        <is>
          <t>Description</t>
        </is>
      </c>
      <c r="C3506" s="5" t="inlineStr">
        <is>
          <t>Unit</t>
        </is>
      </c>
      <c r="D3506" s="5" t="inlineStr">
        <is>
          <t>Quantity</t>
        </is>
      </c>
      <c r="E3506" s="5" t="inlineStr">
        <is>
          <t>Rate (Rs.)</t>
        </is>
      </c>
      <c r="F3506" s="5" t="inlineStr">
        <is>
          <t>Amount (Rs.)</t>
        </is>
      </c>
      <c r="G3506" s="5" t="inlineStr">
        <is>
          <t>Note</t>
        </is>
      </c>
    </row>
    <row r="3507">
      <c r="A3507" s="22" t="inlineStr">
        <is>
          <t>7515</t>
        </is>
      </c>
      <c r="B3507" s="11" t="inlineStr">
        <is>
          <t>PTMT butt hinges 100x75x10mm</t>
        </is>
      </c>
      <c r="C3507" s="22" t="inlineStr">
        <is>
          <t>each</t>
        </is>
      </c>
      <c r="D3507" s="23" t="n">
        <v>10</v>
      </c>
      <c r="E3507" s="24" t="n">
        <v>43</v>
      </c>
      <c r="F3507" s="24">
        <f>D3507*E3507</f>
        <v/>
      </c>
      <c r="G3507" s="22" t="n"/>
    </row>
    <row r="3508">
      <c r="A3508" s="22" t="inlineStr">
        <is>
          <t>0637</t>
        </is>
      </c>
      <c r="B3508" s="11" t="inlineStr">
        <is>
          <t>Bright finished or black enamelled mild steel screws 40 mm</t>
        </is>
      </c>
      <c r="C3508" s="22" t="inlineStr">
        <is>
          <t>100 Nos</t>
        </is>
      </c>
      <c r="D3508" s="23" t="n">
        <v>0.8</v>
      </c>
      <c r="E3508" s="24" t="n">
        <v>60</v>
      </c>
      <c r="F3508" s="24">
        <f>D3508*E3508</f>
        <v/>
      </c>
      <c r="G3508" s="22" t="n"/>
    </row>
    <row r="3509">
      <c r="A3509" s="22" t="inlineStr">
        <is>
          <t>9977</t>
        </is>
      </c>
      <c r="B3509" s="11" t="inlineStr">
        <is>
          <t>Carriage of materials</t>
        </is>
      </c>
      <c r="C3509" s="22" t="inlineStr">
        <is>
          <t>L.S.</t>
        </is>
      </c>
      <c r="D3509" s="23" t="n">
        <v>2.73</v>
      </c>
      <c r="E3509" s="24" t="n">
        <v>2</v>
      </c>
      <c r="F3509" s="24">
        <f>D3509*E3509</f>
        <v/>
      </c>
      <c r="G3509" s="22" t="n"/>
    </row>
    <row r="3510">
      <c r="A3510" s="22" t="inlineStr">
        <is>
          <t>0112</t>
        </is>
      </c>
      <c r="B3510" s="11" t="inlineStr">
        <is>
          <t>Carpenter 2nd class</t>
        </is>
      </c>
      <c r="C3510" s="22" t="inlineStr">
        <is>
          <t>day</t>
        </is>
      </c>
      <c r="D3510" s="23" t="n">
        <v>0.14</v>
      </c>
      <c r="E3510" s="24" t="n">
        <v>679</v>
      </c>
      <c r="F3510" s="24">
        <f>D3510*E3510</f>
        <v/>
      </c>
      <c r="G3510" s="22" t="n"/>
    </row>
    <row r="3511">
      <c r="A3511" s="22" t="inlineStr">
        <is>
          <t>0114</t>
        </is>
      </c>
      <c r="B3511" s="11" t="inlineStr">
        <is>
          <t>Beldar</t>
        </is>
      </c>
      <c r="C3511" s="22" t="inlineStr">
        <is>
          <t>day</t>
        </is>
      </c>
      <c r="D3511" s="23" t="n">
        <v>0.09</v>
      </c>
      <c r="E3511" s="24" t="n">
        <v>558</v>
      </c>
      <c r="F3511" s="24">
        <f>D3511*E3511</f>
        <v/>
      </c>
      <c r="G3511" s="22" t="n"/>
    </row>
    <row r="3512">
      <c r="A3512" s="8" t="inlineStr">
        <is>
          <t>Calculated W - SUM of the Amount column above</t>
        </is>
      </c>
      <c r="B3512" s="9" t="n"/>
      <c r="C3512" s="9" t="n"/>
      <c r="D3512" s="9" t="n"/>
      <c r="E3512" s="9" t="n"/>
      <c r="F3512" s="25">
        <f>SUM(F3507:F3511)</f>
        <v/>
      </c>
      <c r="G3512" s="9" t="n"/>
    </row>
    <row r="3513">
      <c r="A3513" s="26" t="inlineStr">
        <is>
          <t>W as printed in the DAR</t>
        </is>
      </c>
      <c r="B3513" s="22" t="n"/>
      <c r="C3513" s="22" t="n"/>
      <c r="D3513" s="22" t="n"/>
      <c r="E3513" s="22" t="n"/>
      <c r="F3513" s="27" t="n">
        <v>628.74</v>
      </c>
      <c r="G3513" s="22" t="n"/>
    </row>
    <row r="3514">
      <c r="A3514" s="26" t="inlineStr">
        <is>
          <t>Difference (calculated - printed)</t>
        </is>
      </c>
      <c r="B3514" s="22" t="n"/>
      <c r="C3514" s="22" t="n"/>
      <c r="D3514" s="22" t="n"/>
      <c r="E3514" s="22" t="n"/>
      <c r="F3514" s="27">
        <f>F3512-F3513</f>
        <v/>
      </c>
      <c r="G3514" s="22" t="n"/>
    </row>
    <row r="3515">
      <c r="A3515" s="29" t="inlineStr">
        <is>
          <t>SAY (Rs.) - final DAR rate as printed (fixed value, not computed)</t>
        </is>
      </c>
      <c r="B3515" s="30" t="n"/>
      <c r="C3515" s="30" t="n"/>
      <c r="D3515" s="30" t="n"/>
      <c r="E3515" s="30" t="n"/>
      <c r="F3515" s="31" t="n">
        <v>84.09999999999999</v>
      </c>
      <c r="G3515" s="30" t="n"/>
    </row>
    <row r="3517" ht="18.5" customHeight="1">
      <c r="A3517" s="8" t="inlineStr">
        <is>
          <t>9.108</t>
        </is>
      </c>
      <c r="B3517" s="17" t="inlineStr">
        <is>
          <t>Providing and fixing PTMT Tower Bolts with 12 mm one piece rod inside and necessary screws etc., complete.</t>
        </is>
      </c>
      <c r="C3517" s="9" t="n"/>
      <c r="D3517" s="9" t="n"/>
      <c r="E3517" s="9" t="n"/>
      <c r="F3517" s="9" t="n"/>
      <c r="G3517" s="9" t="n"/>
    </row>
    <row r="3518" ht="18.5" customHeight="1">
      <c r="A3518" s="18" t="inlineStr">
        <is>
          <t>9.108.1</t>
        </is>
      </c>
      <c r="B3518" s="19" t="inlineStr">
        <is>
          <t>152x42x18 mm weighing not less than 60 gms</t>
        </is>
      </c>
      <c r="C3518" s="20" t="n"/>
      <c r="D3518" s="20" t="n"/>
      <c r="E3518" s="20" t="n"/>
      <c r="F3518" s="20" t="n"/>
      <c r="G3518" s="20" t="n"/>
    </row>
    <row r="3519">
      <c r="A3519" s="21" t="inlineStr">
        <is>
          <t>Details of cost for 10 nos   |   Source: CivilDAR_2019_Vol_1.pdf, page 576</t>
        </is>
      </c>
    </row>
    <row r="3520">
      <c r="A3520" s="5" t="inlineStr">
        <is>
          <t>Code</t>
        </is>
      </c>
      <c r="B3520" s="5" t="inlineStr">
        <is>
          <t>Description</t>
        </is>
      </c>
      <c r="C3520" s="5" t="inlineStr">
        <is>
          <t>Unit</t>
        </is>
      </c>
      <c r="D3520" s="5" t="inlineStr">
        <is>
          <t>Quantity</t>
        </is>
      </c>
      <c r="E3520" s="5" t="inlineStr">
        <is>
          <t>Rate (Rs.)</t>
        </is>
      </c>
      <c r="F3520" s="5" t="inlineStr">
        <is>
          <t>Amount (Rs.)</t>
        </is>
      </c>
      <c r="G3520" s="5" t="inlineStr">
        <is>
          <t>Note</t>
        </is>
      </c>
    </row>
    <row r="3521">
      <c r="A3521" s="22" t="inlineStr">
        <is>
          <t>7516</t>
        </is>
      </c>
      <c r="B3521" s="11" t="inlineStr">
        <is>
          <t>PTMT Tower bolt 152x42x18mm</t>
        </is>
      </c>
      <c r="C3521" s="22" t="inlineStr">
        <is>
          <t>each</t>
        </is>
      </c>
      <c r="D3521" s="23" t="n">
        <v>10</v>
      </c>
      <c r="E3521" s="24" t="n">
        <v>48</v>
      </c>
      <c r="F3521" s="24">
        <f>D3521*E3521</f>
        <v/>
      </c>
      <c r="G3521" s="22" t="n"/>
    </row>
    <row r="3522">
      <c r="A3522" s="22" t="inlineStr">
        <is>
          <t>0638</t>
        </is>
      </c>
      <c r="B3522" s="11" t="inlineStr">
        <is>
          <t>Bright finished or black enamelled mild steel screws 30 mm</t>
        </is>
      </c>
      <c r="C3522" s="22" t="inlineStr">
        <is>
          <t>100 Nos</t>
        </is>
      </c>
      <c r="D3522" s="23" t="n">
        <v>0.6</v>
      </c>
      <c r="E3522" s="24" t="n">
        <v>45</v>
      </c>
      <c r="F3522" s="24">
        <f>D3522*E3522</f>
        <v/>
      </c>
      <c r="G3522" s="22" t="n"/>
    </row>
    <row r="3523">
      <c r="A3523" s="22" t="inlineStr">
        <is>
          <t>9977</t>
        </is>
      </c>
      <c r="B3523" s="11" t="inlineStr">
        <is>
          <t>Carriage of materials</t>
        </is>
      </c>
      <c r="C3523" s="22" t="inlineStr">
        <is>
          <t>L.S.</t>
        </is>
      </c>
      <c r="D3523" s="23" t="n">
        <v>2.73</v>
      </c>
      <c r="E3523" s="24" t="n">
        <v>2</v>
      </c>
      <c r="F3523" s="24">
        <f>D3523*E3523</f>
        <v/>
      </c>
      <c r="G3523" s="22" t="n"/>
    </row>
    <row r="3524">
      <c r="A3524" s="22" t="inlineStr">
        <is>
          <t>0112</t>
        </is>
      </c>
      <c r="B3524" s="11" t="inlineStr">
        <is>
          <t>Carpenter 2nd class</t>
        </is>
      </c>
      <c r="C3524" s="22" t="inlineStr">
        <is>
          <t>day</t>
        </is>
      </c>
      <c r="D3524" s="23" t="n">
        <v>0.08</v>
      </c>
      <c r="E3524" s="24" t="n">
        <v>679</v>
      </c>
      <c r="F3524" s="24">
        <f>D3524*E3524</f>
        <v/>
      </c>
      <c r="G3524" s="22" t="n"/>
    </row>
    <row r="3525">
      <c r="A3525" s="8" t="inlineStr">
        <is>
          <t>Calculated W - SUM of the Amount column above</t>
        </is>
      </c>
      <c r="B3525" s="9" t="n"/>
      <c r="C3525" s="9" t="n"/>
      <c r="D3525" s="9" t="n"/>
      <c r="E3525" s="9" t="n"/>
      <c r="F3525" s="25">
        <f>SUM(F3521:F3524)</f>
        <v/>
      </c>
      <c r="G3525" s="9" t="n"/>
    </row>
    <row r="3526">
      <c r="A3526" s="26" t="inlineStr">
        <is>
          <t>W as printed in the DAR</t>
        </is>
      </c>
      <c r="B3526" s="22" t="n"/>
      <c r="C3526" s="22" t="n"/>
      <c r="D3526" s="22" t="n"/>
      <c r="E3526" s="22" t="n"/>
      <c r="F3526" s="27" t="n">
        <v>566.78</v>
      </c>
      <c r="G3526" s="22" t="n"/>
    </row>
    <row r="3527">
      <c r="A3527" s="26" t="inlineStr">
        <is>
          <t>Difference (calculated - printed)</t>
        </is>
      </c>
      <c r="B3527" s="22" t="n"/>
      <c r="C3527" s="22" t="n"/>
      <c r="D3527" s="22" t="n"/>
      <c r="E3527" s="22" t="n"/>
      <c r="F3527" s="27">
        <f>F3525-F3526</f>
        <v/>
      </c>
      <c r="G3527" s="22" t="n"/>
    </row>
    <row r="3528">
      <c r="A3528" s="29" t="inlineStr">
        <is>
          <t>SAY (Rs.) - final DAR rate as printed (fixed value, not computed)</t>
        </is>
      </c>
      <c r="B3528" s="30" t="n"/>
      <c r="C3528" s="30" t="n"/>
      <c r="D3528" s="30" t="n"/>
      <c r="E3528" s="30" t="n"/>
      <c r="F3528" s="31" t="n">
        <v>75.84999999999999</v>
      </c>
      <c r="G3528" s="30" t="n"/>
    </row>
    <row r="3530" ht="18.5" customHeight="1">
      <c r="A3530" s="8" t="inlineStr">
        <is>
          <t>9.108</t>
        </is>
      </c>
      <c r="B3530" s="17" t="inlineStr">
        <is>
          <t>Providing and fixing PTMT Tower Bolts with 12 mm one piece rod inside and necessary screws etc., complete.</t>
        </is>
      </c>
      <c r="C3530" s="9" t="n"/>
      <c r="D3530" s="9" t="n"/>
      <c r="E3530" s="9" t="n"/>
      <c r="F3530" s="9" t="n"/>
      <c r="G3530" s="9" t="n"/>
    </row>
    <row r="3531" ht="18.5" customHeight="1">
      <c r="A3531" s="18" t="inlineStr">
        <is>
          <t>9.108.2</t>
        </is>
      </c>
      <c r="B3531" s="19" t="inlineStr">
        <is>
          <t>202x42x18 mm weighing not less than 78 gms</t>
        </is>
      </c>
      <c r="C3531" s="20" t="n"/>
      <c r="D3531" s="20" t="n"/>
      <c r="E3531" s="20" t="n"/>
      <c r="F3531" s="20" t="n"/>
      <c r="G3531" s="20" t="n"/>
    </row>
    <row r="3532">
      <c r="A3532" s="21" t="inlineStr">
        <is>
          <t>Details of cost for 10 nos   |   Source: CivilDAR_2019_Vol_1.pdf, page 577</t>
        </is>
      </c>
    </row>
    <row r="3533">
      <c r="A3533" s="5" t="inlineStr">
        <is>
          <t>Code</t>
        </is>
      </c>
      <c r="B3533" s="5" t="inlineStr">
        <is>
          <t>Description</t>
        </is>
      </c>
      <c r="C3533" s="5" t="inlineStr">
        <is>
          <t>Unit</t>
        </is>
      </c>
      <c r="D3533" s="5" t="inlineStr">
        <is>
          <t>Quantity</t>
        </is>
      </c>
      <c r="E3533" s="5" t="inlineStr">
        <is>
          <t>Rate (Rs.)</t>
        </is>
      </c>
      <c r="F3533" s="5" t="inlineStr">
        <is>
          <t>Amount (Rs.)</t>
        </is>
      </c>
      <c r="G3533" s="5" t="inlineStr">
        <is>
          <t>Note</t>
        </is>
      </c>
    </row>
    <row r="3534">
      <c r="A3534" s="22" t="inlineStr">
        <is>
          <t>7517</t>
        </is>
      </c>
      <c r="B3534" s="11" t="inlineStr">
        <is>
          <t>PTMT Tower bolt 202x42x18mm</t>
        </is>
      </c>
      <c r="C3534" s="22" t="inlineStr">
        <is>
          <t>each</t>
        </is>
      </c>
      <c r="D3534" s="23" t="n">
        <v>10</v>
      </c>
      <c r="E3534" s="24" t="n">
        <v>67</v>
      </c>
      <c r="F3534" s="24">
        <f>D3534*E3534</f>
        <v/>
      </c>
      <c r="G3534" s="22" t="n"/>
    </row>
    <row r="3535">
      <c r="A3535" s="22" t="inlineStr">
        <is>
          <t>0638</t>
        </is>
      </c>
      <c r="B3535" s="11" t="inlineStr">
        <is>
          <t>Bright finished or black enamelled mild steel screws 30 mm</t>
        </is>
      </c>
      <c r="C3535" s="22" t="inlineStr">
        <is>
          <t>100 Nos</t>
        </is>
      </c>
      <c r="D3535" s="23" t="n">
        <v>0.8</v>
      </c>
      <c r="E3535" s="24" t="n">
        <v>45</v>
      </c>
      <c r="F3535" s="24">
        <f>D3535*E3535</f>
        <v/>
      </c>
      <c r="G3535" s="22" t="n"/>
    </row>
    <row r="3536">
      <c r="A3536" s="22" t="inlineStr">
        <is>
          <t>9977</t>
        </is>
      </c>
      <c r="B3536" s="11" t="inlineStr">
        <is>
          <t>Carriage of materials</t>
        </is>
      </c>
      <c r="C3536" s="22" t="inlineStr">
        <is>
          <t>L.S.</t>
        </is>
      </c>
      <c r="D3536" s="23" t="n">
        <v>2.73</v>
      </c>
      <c r="E3536" s="24" t="n">
        <v>2</v>
      </c>
      <c r="F3536" s="24">
        <f>D3536*E3536</f>
        <v/>
      </c>
      <c r="G3536" s="22" t="n"/>
    </row>
    <row r="3537">
      <c r="A3537" s="22" t="inlineStr">
        <is>
          <t>0112</t>
        </is>
      </c>
      <c r="B3537" s="11" t="inlineStr">
        <is>
          <t>Carpenter 2nd class</t>
        </is>
      </c>
      <c r="C3537" s="22" t="inlineStr">
        <is>
          <t>day</t>
        </is>
      </c>
      <c r="D3537" s="23" t="n">
        <v>0.1</v>
      </c>
      <c r="E3537" s="24" t="n">
        <v>679</v>
      </c>
      <c r="F3537" s="24">
        <f>D3537*E3537</f>
        <v/>
      </c>
      <c r="G3537" s="22" t="n"/>
    </row>
    <row r="3538">
      <c r="A3538" s="8" t="inlineStr">
        <is>
          <t>Calculated W - SUM of the Amount column above</t>
        </is>
      </c>
      <c r="B3538" s="9" t="n"/>
      <c r="C3538" s="9" t="n"/>
      <c r="D3538" s="9" t="n"/>
      <c r="E3538" s="9" t="n"/>
      <c r="F3538" s="25">
        <f>SUM(F3534:F3537)</f>
        <v/>
      </c>
      <c r="G3538" s="9" t="n"/>
    </row>
    <row r="3539">
      <c r="A3539" s="26" t="inlineStr">
        <is>
          <t>W as printed in the DAR</t>
        </is>
      </c>
      <c r="B3539" s="22" t="n"/>
      <c r="C3539" s="22" t="n"/>
      <c r="D3539" s="22" t="n"/>
      <c r="E3539" s="22" t="n"/>
      <c r="F3539" s="27" t="n">
        <v>779.36</v>
      </c>
      <c r="G3539" s="22" t="n"/>
    </row>
    <row r="3540">
      <c r="A3540" s="26" t="inlineStr">
        <is>
          <t>Difference (calculated - printed)</t>
        </is>
      </c>
      <c r="B3540" s="22" t="n"/>
      <c r="C3540" s="22" t="n"/>
      <c r="D3540" s="22" t="n"/>
      <c r="E3540" s="22" t="n"/>
      <c r="F3540" s="27">
        <f>F3538-F3539</f>
        <v/>
      </c>
      <c r="G3540" s="22" t="n"/>
    </row>
    <row r="3541">
      <c r="A3541" s="29" t="inlineStr">
        <is>
          <t>SAY (Rs.) - final DAR rate as printed (fixed value, not computed)</t>
        </is>
      </c>
      <c r="B3541" s="30" t="n"/>
      <c r="C3541" s="30" t="n"/>
      <c r="D3541" s="30" t="n"/>
      <c r="E3541" s="30" t="n"/>
      <c r="F3541" s="31" t="n">
        <v>104.25</v>
      </c>
      <c r="G3541" s="30" t="n"/>
    </row>
    <row r="3543" ht="18.5" customHeight="1">
      <c r="A3543" s="18" t="inlineStr">
        <is>
          <t>9.109</t>
        </is>
      </c>
      <c r="B3543" s="19" t="inlineStr">
        <is>
          <t>Providing and fixing PTMT door catcher of length 72 mm and dia. of 42 mm with suitable washers weighing not less than 33 gms</t>
        </is>
      </c>
      <c r="C3543" s="20" t="n"/>
      <c r="D3543" s="20" t="n"/>
      <c r="E3543" s="20" t="n"/>
      <c r="F3543" s="20" t="n"/>
      <c r="G3543" s="20" t="n"/>
    </row>
    <row r="3544">
      <c r="A3544" s="21" t="inlineStr">
        <is>
          <t>Details of cost for 10 nos   |   Source: CivilDAR_2019_Vol_1.pdf, page 577</t>
        </is>
      </c>
    </row>
    <row r="3545">
      <c r="A3545" s="5" t="inlineStr">
        <is>
          <t>Code</t>
        </is>
      </c>
      <c r="B3545" s="5" t="inlineStr">
        <is>
          <t>Description</t>
        </is>
      </c>
      <c r="C3545" s="5" t="inlineStr">
        <is>
          <t>Unit</t>
        </is>
      </c>
      <c r="D3545" s="5" t="inlineStr">
        <is>
          <t>Quantity</t>
        </is>
      </c>
      <c r="E3545" s="5" t="inlineStr">
        <is>
          <t>Rate (Rs.)</t>
        </is>
      </c>
      <c r="F3545" s="5" t="inlineStr">
        <is>
          <t>Amount (Rs.)</t>
        </is>
      </c>
      <c r="G3545" s="5" t="inlineStr">
        <is>
          <t>Note</t>
        </is>
      </c>
    </row>
    <row r="3546">
      <c r="A3546" s="22" t="inlineStr">
        <is>
          <t>7518</t>
        </is>
      </c>
      <c r="B3546" s="11" t="inlineStr">
        <is>
          <t>PTMT door catcher 72x42mm</t>
        </is>
      </c>
      <c r="C3546" s="22" t="inlineStr">
        <is>
          <t>each</t>
        </is>
      </c>
      <c r="D3546" s="23" t="n">
        <v>10</v>
      </c>
      <c r="E3546" s="24" t="n">
        <v>24</v>
      </c>
      <c r="F3546" s="24">
        <f>D3546*E3546</f>
        <v/>
      </c>
      <c r="G3546" s="22" t="n"/>
    </row>
    <row r="3547">
      <c r="A3547" s="22" t="inlineStr">
        <is>
          <t>0639</t>
        </is>
      </c>
      <c r="B3547" s="11" t="inlineStr">
        <is>
          <t>Bright finished or black enamelled mild steel screws 25 mm</t>
        </is>
      </c>
      <c r="C3547" s="22" t="inlineStr">
        <is>
          <t>100 Nos</t>
        </is>
      </c>
      <c r="D3547" s="23" t="n">
        <v>0.2</v>
      </c>
      <c r="E3547" s="24" t="n">
        <v>36</v>
      </c>
      <c r="F3547" s="24">
        <f>D3547*E3547</f>
        <v/>
      </c>
      <c r="G3547" s="22" t="n"/>
    </row>
    <row r="3548">
      <c r="A3548" s="22" t="inlineStr">
        <is>
          <t>9977</t>
        </is>
      </c>
      <c r="B3548" s="11" t="inlineStr">
        <is>
          <t>Carriage of materials</t>
        </is>
      </c>
      <c r="C3548" s="22" t="inlineStr">
        <is>
          <t>L.S.</t>
        </is>
      </c>
      <c r="D3548" s="23" t="n">
        <v>2.73</v>
      </c>
      <c r="E3548" s="24" t="n">
        <v>2</v>
      </c>
      <c r="F3548" s="24">
        <f>D3548*E3548</f>
        <v/>
      </c>
      <c r="G3548" s="22" t="n"/>
    </row>
    <row r="3549">
      <c r="A3549" s="22" t="inlineStr">
        <is>
          <t>0111</t>
        </is>
      </c>
      <c r="B3549" s="11" t="inlineStr">
        <is>
          <t>Carpenter 1st class</t>
        </is>
      </c>
      <c r="C3549" s="22" t="inlineStr">
        <is>
          <t>day</t>
        </is>
      </c>
      <c r="D3549" s="23" t="n">
        <v>0.03</v>
      </c>
      <c r="E3549" s="24" t="n">
        <v>738</v>
      </c>
      <c r="F3549" s="24">
        <f>D3549*E3549</f>
        <v/>
      </c>
      <c r="G3549" s="22" t="n"/>
    </row>
    <row r="3550">
      <c r="A3550" s="8" t="inlineStr">
        <is>
          <t>Calculated W - SUM of the Amount column above</t>
        </is>
      </c>
      <c r="B3550" s="9" t="n"/>
      <c r="C3550" s="9" t="n"/>
      <c r="D3550" s="9" t="n"/>
      <c r="E3550" s="9" t="n"/>
      <c r="F3550" s="25">
        <f>SUM(F3546:F3549)</f>
        <v/>
      </c>
      <c r="G3550" s="9" t="n"/>
    </row>
    <row r="3551">
      <c r="A3551" s="26" t="inlineStr">
        <is>
          <t>W as printed in the DAR</t>
        </is>
      </c>
      <c r="B3551" s="22" t="n"/>
      <c r="C3551" s="22" t="n"/>
      <c r="D3551" s="22" t="n"/>
      <c r="E3551" s="22" t="n"/>
      <c r="F3551" s="27" t="n">
        <v>274.8</v>
      </c>
      <c r="G3551" s="22" t="n"/>
    </row>
    <row r="3552">
      <c r="A3552" s="26" t="inlineStr">
        <is>
          <t>Difference (calculated - printed)</t>
        </is>
      </c>
      <c r="B3552" s="22" t="n"/>
      <c r="C3552" s="22" t="n"/>
      <c r="D3552" s="22" t="n"/>
      <c r="E3552" s="22" t="n"/>
      <c r="F3552" s="27">
        <f>F3550-F3551</f>
        <v/>
      </c>
      <c r="G3552" s="22" t="n"/>
    </row>
    <row r="3553">
      <c r="A3553" s="29" t="inlineStr">
        <is>
          <t>SAY (Rs.) - final DAR rate as printed (fixed value, not computed)</t>
        </is>
      </c>
      <c r="B3553" s="30" t="n"/>
      <c r="C3553" s="30" t="n"/>
      <c r="D3553" s="30" t="n"/>
      <c r="E3553" s="30" t="n"/>
      <c r="F3553" s="31" t="n">
        <v>36.75</v>
      </c>
      <c r="G3553" s="30" t="n"/>
    </row>
    <row r="3555" ht="47.5" customHeight="1">
      <c r="A3555" s="18" t="inlineStr">
        <is>
          <t>9.110</t>
        </is>
      </c>
      <c r="B3555" s="19" t="inlineStr">
        <is>
          <t>Providing and fixing Bamboo jaffery/ fencing consisting of superior quality 25mm dia (Average) half cut bamboo placed vertically and fixed together with three numbers horizontal running members of hollock wood in scantling of section 50X25 mm, fixed with nails and G.I wire on existing support complete as per direction of Engineer- in-charge.</t>
        </is>
      </c>
      <c r="C3555" s="20" t="n"/>
      <c r="D3555" s="20" t="n"/>
      <c r="E3555" s="20" t="n"/>
      <c r="F3555" s="20" t="n"/>
      <c r="G3555" s="20" t="n"/>
    </row>
    <row r="3556">
      <c r="A3556" s="21" t="inlineStr">
        <is>
          <t>Details of cost for 2.1 sqm   |   Source: CivilDAR_2019_Vol_1.pdf, page 578</t>
        </is>
      </c>
    </row>
    <row r="3557">
      <c r="A3557" s="5" t="inlineStr">
        <is>
          <t>Code</t>
        </is>
      </c>
      <c r="B3557" s="5" t="inlineStr">
        <is>
          <t>Description</t>
        </is>
      </c>
      <c r="C3557" s="5" t="inlineStr">
        <is>
          <t>Unit</t>
        </is>
      </c>
      <c r="D3557" s="5" t="inlineStr">
        <is>
          <t>Quantity</t>
        </is>
      </c>
      <c r="E3557" s="5" t="inlineStr">
        <is>
          <t>Rate (Rs.)</t>
        </is>
      </c>
      <c r="F3557" s="5" t="inlineStr">
        <is>
          <t>Amount (Rs.)</t>
        </is>
      </c>
      <c r="G3557" s="5" t="inlineStr">
        <is>
          <t>Note</t>
        </is>
      </c>
    </row>
    <row r="3558">
      <c r="A3558" s="22" t="inlineStr">
        <is>
          <t>0305</t>
        </is>
      </c>
      <c r="B3558" s="11" t="inlineStr">
        <is>
          <t>Bamboo 25 mm dia 2.5 metre long</t>
        </is>
      </c>
      <c r="C3558" s="22" t="inlineStr">
        <is>
          <t>score</t>
        </is>
      </c>
      <c r="D3558" s="23" t="n">
        <v>0.966</v>
      </c>
      <c r="E3558" s="24" t="n">
        <v>400</v>
      </c>
      <c r="F3558" s="24">
        <f>D3558*E3558</f>
        <v/>
      </c>
      <c r="G3558" s="22" t="n"/>
    </row>
    <row r="3559">
      <c r="A3559" s="22" t="inlineStr">
        <is>
          <t>9977</t>
        </is>
      </c>
      <c r="B3559" s="11" t="inlineStr">
        <is>
          <t>Carriage of Bamboo</t>
        </is>
      </c>
      <c r="C3559" s="22" t="inlineStr">
        <is>
          <t>L.S.</t>
        </is>
      </c>
      <c r="D3559" s="23" t="n">
        <v>4.83</v>
      </c>
      <c r="E3559" s="24" t="n">
        <v>2</v>
      </c>
      <c r="F3559" s="24">
        <f>D3559*E3559</f>
        <v/>
      </c>
      <c r="G3559" s="22" t="n"/>
    </row>
    <row r="3560">
      <c r="A3560" s="22" t="inlineStr">
        <is>
          <t>2466</t>
        </is>
      </c>
      <c r="B3560" s="11" t="inlineStr">
        <is>
          <t>Hollock wood in scantling</t>
        </is>
      </c>
      <c r="C3560" s="22" t="inlineStr">
        <is>
          <t>10 cudm</t>
        </is>
      </c>
      <c r="D3560" s="23" t="n">
        <v>0.394</v>
      </c>
      <c r="E3560" s="24" t="n">
        <v>350</v>
      </c>
      <c r="F3560" s="24">
        <f>D3560*E3560</f>
        <v/>
      </c>
      <c r="G3560" s="22" t="n"/>
    </row>
    <row r="3561">
      <c r="A3561" s="22" t="inlineStr">
        <is>
          <t>2204</t>
        </is>
      </c>
      <c r="B3561" s="11" t="inlineStr">
        <is>
          <t>Carriage of Timber</t>
        </is>
      </c>
      <c r="C3561" s="22" t="inlineStr">
        <is>
          <t>cum</t>
        </is>
      </c>
      <c r="D3561" s="23" t="n">
        <v>0.00394</v>
      </c>
      <c r="E3561" s="24" t="n">
        <v>118.59</v>
      </c>
      <c r="F3561" s="24">
        <f>D3561*E3561</f>
        <v/>
      </c>
      <c r="G3561" s="22" t="n"/>
    </row>
    <row r="3562">
      <c r="A3562" s="22" t="inlineStr">
        <is>
          <t>9999</t>
        </is>
      </c>
      <c r="B3562" s="11" t="inlineStr">
        <is>
          <t>Nails and wire</t>
        </is>
      </c>
      <c r="C3562" s="22" t="inlineStr">
        <is>
          <t>L.S.</t>
        </is>
      </c>
      <c r="D3562" s="23" t="n">
        <v>20.25</v>
      </c>
      <c r="E3562" s="24" t="n">
        <v>2</v>
      </c>
      <c r="F3562" s="24">
        <f>D3562*E3562</f>
        <v/>
      </c>
      <c r="G3562" s="22" t="n"/>
    </row>
    <row r="3563">
      <c r="A3563" s="22" t="inlineStr">
        <is>
          <t>0112</t>
        </is>
      </c>
      <c r="B3563" s="11" t="inlineStr">
        <is>
          <t>Carpenter 2nd class</t>
        </is>
      </c>
      <c r="C3563" s="22" t="inlineStr">
        <is>
          <t>day</t>
        </is>
      </c>
      <c r="D3563" s="23" t="n">
        <v>0.25</v>
      </c>
      <c r="E3563" s="24" t="n">
        <v>679</v>
      </c>
      <c r="F3563" s="24">
        <f>D3563*E3563</f>
        <v/>
      </c>
      <c r="G3563" s="22" t="n"/>
    </row>
    <row r="3564">
      <c r="A3564" s="22" t="inlineStr">
        <is>
          <t>0114</t>
        </is>
      </c>
      <c r="B3564" s="11" t="inlineStr">
        <is>
          <t>Beldar</t>
        </is>
      </c>
      <c r="C3564" s="22" t="inlineStr">
        <is>
          <t>day</t>
        </is>
      </c>
      <c r="D3564" s="23" t="n">
        <v>0.25</v>
      </c>
      <c r="E3564" s="24" t="n">
        <v>558</v>
      </c>
      <c r="F3564" s="24">
        <f>D3564*E3564</f>
        <v/>
      </c>
      <c r="G3564" s="22" t="n"/>
    </row>
    <row r="3565">
      <c r="A3565" s="22" t="inlineStr">
        <is>
          <t>9999</t>
        </is>
      </c>
      <c r="B3565" s="11" t="inlineStr">
        <is>
          <t>Sundries</t>
        </is>
      </c>
      <c r="C3565" s="22" t="inlineStr">
        <is>
          <t>L.S.</t>
        </is>
      </c>
      <c r="D3565" s="23" t="n">
        <v>10.05</v>
      </c>
      <c r="E3565" s="24" t="n">
        <v>2</v>
      </c>
      <c r="F3565" s="24">
        <f>D3565*E3565</f>
        <v/>
      </c>
      <c r="G3565" s="22" t="n"/>
    </row>
    <row r="3566">
      <c r="A3566" s="8" t="inlineStr">
        <is>
          <t>Calculated W - SUM of the Amount column above</t>
        </is>
      </c>
      <c r="B3566" s="9" t="n"/>
      <c r="C3566" s="9" t="n"/>
      <c r="D3566" s="9" t="n"/>
      <c r="E3566" s="9" t="n"/>
      <c r="F3566" s="25">
        <f>SUM(F3558:F3565)</f>
        <v/>
      </c>
      <c r="G3566" s="9" t="n"/>
    </row>
    <row r="3567">
      <c r="A3567" s="26" t="inlineStr">
        <is>
          <t>W as printed in the DAR</t>
        </is>
      </c>
      <c r="B3567" s="22" t="n"/>
      <c r="C3567" s="22" t="n"/>
      <c r="D3567" s="22" t="n"/>
      <c r="E3567" s="22" t="n"/>
      <c r="F3567" s="27" t="n">
        <v>904.28</v>
      </c>
      <c r="G3567" s="22" t="n"/>
    </row>
    <row r="3568">
      <c r="A3568" s="26" t="inlineStr">
        <is>
          <t>Difference (calculated - printed)</t>
        </is>
      </c>
      <c r="B3568" s="22" t="n"/>
      <c r="C3568" s="22" t="n"/>
      <c r="D3568" s="22" t="n"/>
      <c r="E3568" s="22" t="n"/>
      <c r="F3568" s="27">
        <f>F3566-F3567</f>
        <v/>
      </c>
      <c r="G3568" s="22" t="n"/>
    </row>
    <row r="3569">
      <c r="A3569" s="29" t="inlineStr">
        <is>
          <t>SAY (Rs.) - final DAR rate as printed (fixed value, not computed)</t>
        </is>
      </c>
      <c r="B3569" s="30" t="n"/>
      <c r="C3569" s="30" t="n"/>
      <c r="D3569" s="30" t="n"/>
      <c r="E3569" s="30" t="n"/>
      <c r="F3569" s="31" t="n">
        <v>576.15</v>
      </c>
      <c r="G3569" s="30" t="n"/>
    </row>
    <row r="3571" ht="33" customHeight="1">
      <c r="A3571" s="8" t="inlineStr">
        <is>
          <t>9.111</t>
        </is>
      </c>
      <c r="B3571" s="17" t="inlineStr">
        <is>
          <t>Providing and fixing wooden moulded corner beading of triangular shape to the junction of panelling etc. with iron screws, plugs and priming coat on unexposed surface etc. complete 2nd class teak wood.</t>
        </is>
      </c>
      <c r="C3571" s="9" t="n"/>
      <c r="D3571" s="9" t="n"/>
      <c r="E3571" s="9" t="n"/>
      <c r="F3571" s="9" t="n"/>
      <c r="G3571" s="9" t="n"/>
    </row>
    <row r="3572" ht="18.5" customHeight="1">
      <c r="A3572" s="18" t="inlineStr">
        <is>
          <t>9.111.1</t>
        </is>
      </c>
      <c r="B3572" s="19" t="inlineStr">
        <is>
          <t>50x50 mm (base and height)</t>
        </is>
      </c>
      <c r="C3572" s="20" t="n"/>
      <c r="D3572" s="20" t="n"/>
      <c r="E3572" s="20" t="n"/>
      <c r="F3572" s="20" t="n"/>
      <c r="G3572" s="20" t="n"/>
    </row>
    <row r="3573">
      <c r="A3573" s="21" t="inlineStr">
        <is>
          <t>Details of cost for 5 metre   |   Source: CivilDAR_2019_Vol_1.pdf, page 579</t>
        </is>
      </c>
    </row>
    <row r="3574">
      <c r="A3574" s="5" t="inlineStr">
        <is>
          <t>Code</t>
        </is>
      </c>
      <c r="B3574" s="5" t="inlineStr">
        <is>
          <t>Description</t>
        </is>
      </c>
      <c r="C3574" s="5" t="inlineStr">
        <is>
          <t>Unit</t>
        </is>
      </c>
      <c r="D3574" s="5" t="inlineStr">
        <is>
          <t>Quantity</t>
        </is>
      </c>
      <c r="E3574" s="5" t="inlineStr">
        <is>
          <t>Rate (Rs.)</t>
        </is>
      </c>
      <c r="F3574" s="5" t="inlineStr">
        <is>
          <t>Amount (Rs.)</t>
        </is>
      </c>
      <c r="G3574" s="5" t="inlineStr">
        <is>
          <t>Note</t>
        </is>
      </c>
    </row>
    <row r="3575">
      <c r="A3575" s="22" t="inlineStr">
        <is>
          <t>1190</t>
        </is>
      </c>
      <c r="B3575" s="11" t="inlineStr">
        <is>
          <t>Second class teak wood in planks</t>
        </is>
      </c>
      <c r="C3575" s="22" t="inlineStr">
        <is>
          <t>10 cudm</t>
        </is>
      </c>
      <c r="D3575" s="23" t="n">
        <v>0.6879999999999999</v>
      </c>
      <c r="E3575" s="24" t="n">
        <v>791</v>
      </c>
      <c r="F3575" s="24">
        <f>D3575*E3575</f>
        <v/>
      </c>
      <c r="G3575" s="22" t="n"/>
    </row>
    <row r="3576">
      <c r="A3576" s="22" t="inlineStr">
        <is>
          <t>2204</t>
        </is>
      </c>
      <c r="B3576" s="11" t="inlineStr">
        <is>
          <t>Carriage of Timber</t>
        </is>
      </c>
      <c r="C3576" s="22" t="inlineStr">
        <is>
          <t>cum</t>
        </is>
      </c>
      <c r="D3576" s="23" t="n">
        <v>0.00688</v>
      </c>
      <c r="E3576" s="24" t="n">
        <v>118.59</v>
      </c>
      <c r="F3576" s="24">
        <f>D3576*E3576</f>
        <v/>
      </c>
      <c r="G3576" s="22" t="n"/>
    </row>
    <row r="3577">
      <c r="A3577" s="22" t="inlineStr">
        <is>
          <t>0637</t>
        </is>
      </c>
      <c r="B3577" s="11" t="inlineStr">
        <is>
          <t>Bright finished or black enamelled mild steel screws 40 mm</t>
        </is>
      </c>
      <c r="C3577" s="22" t="inlineStr">
        <is>
          <t>100 Nos</t>
        </is>
      </c>
      <c r="D3577" s="23" t="n">
        <v>0.06</v>
      </c>
      <c r="E3577" s="24" t="n">
        <v>60</v>
      </c>
      <c r="F3577" s="24">
        <f>D3577*E3577</f>
        <v/>
      </c>
      <c r="G3577" s="22" t="n"/>
    </row>
    <row r="3578">
      <c r="A3578" s="22" t="inlineStr">
        <is>
          <t>13.50.1</t>
        </is>
      </c>
      <c r="B3578" s="11" t="inlineStr">
        <is>
          <t>Rate as per item 13.50.1 - Applying priming coat - With ready mixed pink or Grey primer of approved brand and manufacture on wood work...</t>
        </is>
      </c>
      <c r="C3578" s="22" t="inlineStr">
        <is>
          <t>sqm</t>
        </is>
      </c>
      <c r="D3578" s="23" t="n">
        <v>0.5</v>
      </c>
      <c r="E3578" s="24" t="n">
        <v>57.05</v>
      </c>
      <c r="F3578" s="24">
        <f>D3578*E3578</f>
        <v/>
      </c>
      <c r="G3578" s="22" t="n"/>
    </row>
    <row r="3579">
      <c r="A3579" s="22" t="inlineStr">
        <is>
          <t>0111</t>
        </is>
      </c>
      <c r="B3579" s="11" t="inlineStr">
        <is>
          <t>Carpenter 1st class</t>
        </is>
      </c>
      <c r="C3579" s="22" t="inlineStr">
        <is>
          <t>day</t>
        </is>
      </c>
      <c r="D3579" s="23" t="n">
        <v>0.75</v>
      </c>
      <c r="E3579" s="24" t="n">
        <v>738</v>
      </c>
      <c r="F3579" s="24">
        <f>D3579*E3579</f>
        <v/>
      </c>
      <c r="G3579" s="34" t="inlineStr">
        <is>
          <t>DAR prints 365.25; Quantity x Rate = 553.50</t>
        </is>
      </c>
    </row>
    <row r="3580">
      <c r="A3580" s="8" t="inlineStr">
        <is>
          <t>Calculated W - SUM of the Amount column above</t>
        </is>
      </c>
      <c r="B3580" s="9" t="n"/>
      <c r="C3580" s="9" t="n"/>
      <c r="D3580" s="9" t="n"/>
      <c r="E3580" s="9" t="n"/>
      <c r="F3580" s="25">
        <f>SUM(F3575:F3579)</f>
        <v/>
      </c>
      <c r="G3580" s="9" t="n"/>
    </row>
    <row r="3581">
      <c r="A3581" s="26" t="inlineStr">
        <is>
          <t>W as printed in the DAR</t>
        </is>
      </c>
      <c r="B3581" s="22" t="n"/>
      <c r="C3581" s="22" t="n"/>
      <c r="D3581" s="22" t="n"/>
      <c r="E3581" s="22" t="n"/>
      <c r="F3581" s="27" t="n">
        <v>942.4</v>
      </c>
      <c r="G3581" s="22" t="n"/>
    </row>
    <row r="3582">
      <c r="A3582" s="26" t="inlineStr">
        <is>
          <t>Difference (calculated - printed)</t>
        </is>
      </c>
      <c r="B3582" s="22" t="n"/>
      <c r="C3582" s="22" t="n"/>
      <c r="D3582" s="22" t="n"/>
      <c r="E3582" s="22" t="n"/>
      <c r="F3582" s="27">
        <f>F3580-F3581</f>
        <v/>
      </c>
      <c r="G3582" s="28" t="inlineStr">
        <is>
          <t>DAR's own arithmetic slip(s) - see Cover errata</t>
        </is>
      </c>
    </row>
    <row r="3583">
      <c r="A3583" s="29" t="inlineStr">
        <is>
          <t>SAY (Rs.) - final DAR rate as printed (fixed value, not computed)</t>
        </is>
      </c>
      <c r="B3583" s="30" t="n"/>
      <c r="C3583" s="30" t="n"/>
      <c r="D3583" s="30" t="n"/>
      <c r="E3583" s="30" t="n"/>
      <c r="F3583" s="31" t="n">
        <v>250.25</v>
      </c>
      <c r="G3583" s="30" t="n"/>
    </row>
    <row r="3585" ht="33" customHeight="1">
      <c r="A3585" s="18" t="inlineStr">
        <is>
          <t>9.112</t>
        </is>
      </c>
      <c r="B3585" s="19" t="inlineStr">
        <is>
          <t>Providing and fixing 2nd class teak wood lipping/ moulded beading or taj beading of size 18X5 mm fixed with wooden adhesive of approved quality and screws/nails on the edges of the Pre-laminated particle board as per direction of Engineer-in-charge.</t>
        </is>
      </c>
      <c r="C3585" s="20" t="n"/>
      <c r="D3585" s="20" t="n"/>
      <c r="E3585" s="20" t="n"/>
      <c r="F3585" s="20" t="n"/>
      <c r="G3585" s="20" t="n"/>
    </row>
    <row r="3586">
      <c r="A3586" s="21" t="inlineStr">
        <is>
          <t>Details of cost for 10 metre   |   Source: CivilDAR_2019_Vol_1.pdf, page 580</t>
        </is>
      </c>
    </row>
    <row r="3587">
      <c r="A3587" s="5" t="inlineStr">
        <is>
          <t>Code</t>
        </is>
      </c>
      <c r="B3587" s="5" t="inlineStr">
        <is>
          <t>Description</t>
        </is>
      </c>
      <c r="C3587" s="5" t="inlineStr">
        <is>
          <t>Unit</t>
        </is>
      </c>
      <c r="D3587" s="5" t="inlineStr">
        <is>
          <t>Quantity</t>
        </is>
      </c>
      <c r="E3587" s="5" t="inlineStr">
        <is>
          <t>Rate (Rs.)</t>
        </is>
      </c>
      <c r="F3587" s="5" t="inlineStr">
        <is>
          <t>Amount (Rs.)</t>
        </is>
      </c>
      <c r="G3587" s="5" t="inlineStr">
        <is>
          <t>Note</t>
        </is>
      </c>
    </row>
    <row r="3588">
      <c r="A3588" s="22" t="inlineStr">
        <is>
          <t>8719</t>
        </is>
      </c>
      <c r="B3588" s="11" t="inlineStr">
        <is>
          <t>2nd class teak wood lipping/ moulded beadibg or Taj beading of size 18X5mm</t>
        </is>
      </c>
      <c r="C3588" s="22" t="inlineStr">
        <is>
          <t>metre</t>
        </is>
      </c>
      <c r="D3588" s="23" t="n">
        <v>10</v>
      </c>
      <c r="E3588" s="24" t="n">
        <v>28</v>
      </c>
      <c r="F3588" s="24">
        <f>D3588*E3588</f>
        <v/>
      </c>
      <c r="G3588" s="22" t="n"/>
    </row>
    <row r="3589">
      <c r="A3589" s="22" t="inlineStr">
        <is>
          <t>0112</t>
        </is>
      </c>
      <c r="B3589" s="11" t="inlineStr">
        <is>
          <t>Carpenter 2nd class</t>
        </is>
      </c>
      <c r="C3589" s="22" t="inlineStr">
        <is>
          <t>day</t>
        </is>
      </c>
      <c r="D3589" s="23" t="n">
        <v>0.25</v>
      </c>
      <c r="E3589" s="24" t="n">
        <v>679</v>
      </c>
      <c r="F3589" s="24">
        <f>D3589*E3589</f>
        <v/>
      </c>
      <c r="G3589" s="22" t="n"/>
    </row>
    <row r="3590">
      <c r="A3590" s="22" t="inlineStr">
        <is>
          <t>0114</t>
        </is>
      </c>
      <c r="B3590" s="11" t="inlineStr">
        <is>
          <t>Beldar</t>
        </is>
      </c>
      <c r="C3590" s="22" t="inlineStr">
        <is>
          <t>day</t>
        </is>
      </c>
      <c r="D3590" s="23" t="n">
        <v>0.25</v>
      </c>
      <c r="E3590" s="24" t="n">
        <v>558</v>
      </c>
      <c r="F3590" s="24">
        <f>D3590*E3590</f>
        <v/>
      </c>
      <c r="G3590" s="22" t="n"/>
    </row>
    <row r="3591">
      <c r="A3591" s="8" t="inlineStr">
        <is>
          <t>Calculated W - SUM of the Amount column above</t>
        </is>
      </c>
      <c r="B3591" s="9" t="n"/>
      <c r="C3591" s="9" t="n"/>
      <c r="D3591" s="9" t="n"/>
      <c r="E3591" s="9" t="n"/>
      <c r="F3591" s="25">
        <f>SUM(F3588:F3590)</f>
        <v/>
      </c>
      <c r="G3591" s="9" t="n"/>
    </row>
    <row r="3592">
      <c r="A3592" s="26" t="inlineStr">
        <is>
          <t>W as printed in the DAR</t>
        </is>
      </c>
      <c r="B3592" s="22" t="n"/>
      <c r="C3592" s="22" t="n"/>
      <c r="D3592" s="22" t="n"/>
      <c r="E3592" s="22" t="n"/>
      <c r="F3592" s="27" t="n">
        <v>589.25</v>
      </c>
      <c r="G3592" s="22" t="n"/>
    </row>
    <row r="3593">
      <c r="A3593" s="26" t="inlineStr">
        <is>
          <t>Difference (calculated - printed)</t>
        </is>
      </c>
      <c r="B3593" s="22" t="n"/>
      <c r="C3593" s="22" t="n"/>
      <c r="D3593" s="22" t="n"/>
      <c r="E3593" s="22" t="n"/>
      <c r="F3593" s="27">
        <f>F3591-F3592</f>
        <v/>
      </c>
      <c r="G3593" s="22" t="n"/>
    </row>
    <row r="3594">
      <c r="A3594" s="29" t="inlineStr">
        <is>
          <t>SAY (Rs.) - final DAR rate as printed (fixed value, not computed)</t>
        </is>
      </c>
      <c r="B3594" s="30" t="n"/>
      <c r="C3594" s="30" t="n"/>
      <c r="D3594" s="30" t="n"/>
      <c r="E3594" s="30" t="n"/>
      <c r="F3594" s="31" t="n">
        <v>78.84999999999999</v>
      </c>
      <c r="G3594" s="30" t="n"/>
    </row>
    <row r="3596" ht="33" customHeight="1">
      <c r="A3596" s="18" t="inlineStr">
        <is>
          <t>9.113</t>
        </is>
      </c>
      <c r="B3596" s="19" t="inlineStr">
        <is>
          <t>Providing and fixing bright finished 100 mm mortice lock with 6 levers without pair of handles of approved quality for aluminium door, with necessary screws etc complete as per direction of Engineer- in-charge.</t>
        </is>
      </c>
      <c r="C3596" s="20" t="n"/>
      <c r="D3596" s="20" t="n"/>
      <c r="E3596" s="20" t="n"/>
      <c r="F3596" s="20" t="n"/>
      <c r="G3596" s="20" t="n"/>
    </row>
    <row r="3597">
      <c r="A3597" s="21" t="inlineStr">
        <is>
          <t>Details of cost for 1 no   |   Source: CivilDAR_2019_Vol_1.pdf, page 580</t>
        </is>
      </c>
    </row>
    <row r="3598">
      <c r="A3598" s="5" t="inlineStr">
        <is>
          <t>Code</t>
        </is>
      </c>
      <c r="B3598" s="5" t="inlineStr">
        <is>
          <t>Description</t>
        </is>
      </c>
      <c r="C3598" s="5" t="inlineStr">
        <is>
          <t>Unit</t>
        </is>
      </c>
      <c r="D3598" s="5" t="inlineStr">
        <is>
          <t>Quantity</t>
        </is>
      </c>
      <c r="E3598" s="5" t="inlineStr">
        <is>
          <t>Rate (Rs.)</t>
        </is>
      </c>
      <c r="F3598" s="5" t="inlineStr">
        <is>
          <t>Amount (Rs.)</t>
        </is>
      </c>
      <c r="G3598" s="5" t="inlineStr">
        <is>
          <t>Note</t>
        </is>
      </c>
    </row>
    <row r="3599">
      <c r="A3599" s="22" t="inlineStr">
        <is>
          <t>8716</t>
        </is>
      </c>
      <c r="B3599" s="11" t="inlineStr">
        <is>
          <t>100 mm mostice lock with 6 levers for aluminium door.</t>
        </is>
      </c>
      <c r="C3599" s="22" t="inlineStr">
        <is>
          <t>each</t>
        </is>
      </c>
      <c r="D3599" s="23" t="n">
        <v>1</v>
      </c>
      <c r="E3599" s="24" t="n">
        <v>375</v>
      </c>
      <c r="F3599" s="24">
        <f>D3599*E3599</f>
        <v/>
      </c>
      <c r="G3599" s="22" t="n"/>
    </row>
    <row r="3600">
      <c r="A3600" s="22" t="inlineStr">
        <is>
          <t>0111</t>
        </is>
      </c>
      <c r="B3600" s="11" t="inlineStr">
        <is>
          <t>Carpenter 1st class</t>
        </is>
      </c>
      <c r="C3600" s="22" t="inlineStr">
        <is>
          <t>day</t>
        </is>
      </c>
      <c r="D3600" s="23" t="n">
        <v>0.13</v>
      </c>
      <c r="E3600" s="24" t="n">
        <v>738</v>
      </c>
      <c r="F3600" s="24">
        <f>D3600*E3600</f>
        <v/>
      </c>
      <c r="G3600" s="22" t="n"/>
    </row>
    <row r="3601">
      <c r="A3601" s="22" t="inlineStr">
        <is>
          <t>9999</t>
        </is>
      </c>
      <c r="B3601" s="11" t="inlineStr">
        <is>
          <t>Sundries( screws, carriage etc)</t>
        </is>
      </c>
      <c r="C3601" s="22" t="inlineStr">
        <is>
          <t>L.S.</t>
        </is>
      </c>
      <c r="D3601" s="23" t="n">
        <v>2.6</v>
      </c>
      <c r="E3601" s="24" t="n">
        <v>2</v>
      </c>
      <c r="F3601" s="24">
        <f>D3601*E3601</f>
        <v/>
      </c>
      <c r="G3601" s="22" t="n"/>
    </row>
    <row r="3602">
      <c r="A3602" s="8" t="inlineStr">
        <is>
          <t>Calculated W - SUM of the Amount column above</t>
        </is>
      </c>
      <c r="B3602" s="9" t="n"/>
      <c r="C3602" s="9" t="n"/>
      <c r="D3602" s="9" t="n"/>
      <c r="E3602" s="9" t="n"/>
      <c r="F3602" s="25">
        <f>SUM(F3599:F3601)</f>
        <v/>
      </c>
      <c r="G3602" s="9" t="n"/>
    </row>
    <row r="3603">
      <c r="A3603" s="26" t="inlineStr">
        <is>
          <t>W as printed in the DAR</t>
        </is>
      </c>
      <c r="B3603" s="22" t="n"/>
      <c r="C3603" s="22" t="n"/>
      <c r="D3603" s="22" t="n"/>
      <c r="E3603" s="22" t="n"/>
      <c r="F3603" s="27" t="n">
        <v>476.14</v>
      </c>
      <c r="G3603" s="22" t="n"/>
    </row>
    <row r="3604">
      <c r="A3604" s="26" t="inlineStr">
        <is>
          <t>Difference (calculated - printed)</t>
        </is>
      </c>
      <c r="B3604" s="22" t="n"/>
      <c r="C3604" s="22" t="n"/>
      <c r="D3604" s="22" t="n"/>
      <c r="E3604" s="22" t="n"/>
      <c r="F3604" s="27">
        <f>F3602-F3603</f>
        <v/>
      </c>
      <c r="G3604" s="22" t="n"/>
    </row>
    <row r="3605">
      <c r="A3605" s="29" t="inlineStr">
        <is>
          <t>SAY (Rs.) - final DAR rate as printed (fixed value, not computed)</t>
        </is>
      </c>
      <c r="B3605" s="30" t="n"/>
      <c r="C3605" s="30" t="n"/>
      <c r="D3605" s="30" t="n"/>
      <c r="E3605" s="30" t="n"/>
      <c r="F3605" s="31" t="n">
        <v>637.05</v>
      </c>
      <c r="G3605" s="30" t="n"/>
    </row>
    <row r="3607" ht="33" customHeight="1">
      <c r="A3607" s="8" t="inlineStr">
        <is>
          <t>9.114</t>
        </is>
      </c>
      <c r="B3607" s="17" t="inlineStr">
        <is>
          <t>Providing and fixing magnetic catcher of approved quality in cupboard / ward robe shutters, including fixing with necessary screws etc. complete.</t>
        </is>
      </c>
      <c r="C3607" s="9" t="n"/>
      <c r="D3607" s="9" t="n"/>
      <c r="E3607" s="9" t="n"/>
      <c r="F3607" s="9" t="n"/>
      <c r="G3607" s="9" t="n"/>
    </row>
    <row r="3608" ht="18.5" customHeight="1">
      <c r="A3608" s="18" t="inlineStr">
        <is>
          <t>9.114.1</t>
        </is>
      </c>
      <c r="B3608" s="19" t="inlineStr">
        <is>
          <t>Triple strip vertical type</t>
        </is>
      </c>
      <c r="C3608" s="20" t="n"/>
      <c r="D3608" s="20" t="n"/>
      <c r="E3608" s="20" t="n"/>
      <c r="F3608" s="20" t="n"/>
      <c r="G3608" s="20" t="n"/>
    </row>
    <row r="3609">
      <c r="A3609" s="21" t="inlineStr">
        <is>
          <t>Details of cost for 1 no   |   Source: CivilDAR_2019_Vol_1.pdf, page 581</t>
        </is>
      </c>
    </row>
    <row r="3610">
      <c r="A3610" s="5" t="inlineStr">
        <is>
          <t>Code</t>
        </is>
      </c>
      <c r="B3610" s="5" t="inlineStr">
        <is>
          <t>Description</t>
        </is>
      </c>
      <c r="C3610" s="5" t="inlineStr">
        <is>
          <t>Unit</t>
        </is>
      </c>
      <c r="D3610" s="5" t="inlineStr">
        <is>
          <t>Quantity</t>
        </is>
      </c>
      <c r="E3610" s="5" t="inlineStr">
        <is>
          <t>Rate (Rs.)</t>
        </is>
      </c>
      <c r="F3610" s="5" t="inlineStr">
        <is>
          <t>Amount (Rs.)</t>
        </is>
      </c>
      <c r="G3610" s="5" t="inlineStr">
        <is>
          <t>Note</t>
        </is>
      </c>
    </row>
    <row r="3611">
      <c r="A3611" s="22" t="inlineStr">
        <is>
          <t>8714</t>
        </is>
      </c>
      <c r="B3611" s="11" t="inlineStr">
        <is>
          <t>Magenatic catcher triple strip verticle type.</t>
        </is>
      </c>
      <c r="C3611" s="22" t="inlineStr">
        <is>
          <t>each</t>
        </is>
      </c>
      <c r="D3611" s="23" t="n">
        <v>1</v>
      </c>
      <c r="E3611" s="24" t="n">
        <v>24</v>
      </c>
      <c r="F3611" s="24">
        <f>D3611*E3611</f>
        <v/>
      </c>
      <c r="G3611" s="22" t="n"/>
    </row>
    <row r="3612">
      <c r="A3612" s="22" t="inlineStr">
        <is>
          <t>9999</t>
        </is>
      </c>
      <c r="B3612" s="11" t="inlineStr">
        <is>
          <t>Sundries including screws and fixing charges.</t>
        </is>
      </c>
      <c r="C3612" s="22" t="inlineStr">
        <is>
          <t>L.S.</t>
        </is>
      </c>
      <c r="D3612" s="23" t="n">
        <v>2.6</v>
      </c>
      <c r="E3612" s="24" t="n">
        <v>2</v>
      </c>
      <c r="F3612" s="24">
        <f>D3612*E3612</f>
        <v/>
      </c>
      <c r="G3612" s="22" t="n"/>
    </row>
    <row r="3613">
      <c r="A3613" s="8" t="inlineStr">
        <is>
          <t>Calculated W - SUM of the Amount column above</t>
        </is>
      </c>
      <c r="B3613" s="9" t="n"/>
      <c r="C3613" s="9" t="n"/>
      <c r="D3613" s="9" t="n"/>
      <c r="E3613" s="9" t="n"/>
      <c r="F3613" s="25">
        <f>SUM(F3611:F3612)</f>
        <v/>
      </c>
      <c r="G3613" s="9" t="n"/>
    </row>
    <row r="3614">
      <c r="A3614" s="26" t="inlineStr">
        <is>
          <t>W as printed in the DAR</t>
        </is>
      </c>
      <c r="B3614" s="22" t="n"/>
      <c r="C3614" s="22" t="n"/>
      <c r="D3614" s="22" t="n"/>
      <c r="E3614" s="22" t="n"/>
      <c r="F3614" s="27" t="n">
        <v>29.2</v>
      </c>
      <c r="G3614" s="22" t="n"/>
    </row>
    <row r="3615">
      <c r="A3615" s="26" t="inlineStr">
        <is>
          <t>Difference (calculated - printed)</t>
        </is>
      </c>
      <c r="B3615" s="22" t="n"/>
      <c r="C3615" s="22" t="n"/>
      <c r="D3615" s="22" t="n"/>
      <c r="E3615" s="22" t="n"/>
      <c r="F3615" s="27">
        <f>F3613-F3614</f>
        <v/>
      </c>
      <c r="G3615" s="22" t="n"/>
    </row>
    <row r="3616">
      <c r="A3616" s="29" t="inlineStr">
        <is>
          <t>SAY (Rs.) - final DAR rate as printed (fixed value, not computed)</t>
        </is>
      </c>
      <c r="B3616" s="30" t="n"/>
      <c r="C3616" s="30" t="n"/>
      <c r="D3616" s="30" t="n"/>
      <c r="E3616" s="30" t="n"/>
      <c r="F3616" s="31" t="n">
        <v>39.05</v>
      </c>
      <c r="G3616" s="30" t="n"/>
    </row>
    <row r="3618" ht="33" customHeight="1">
      <c r="A3618" s="8" t="inlineStr">
        <is>
          <t>9.114</t>
        </is>
      </c>
      <c r="B3618" s="17" t="inlineStr">
        <is>
          <t>Providing and fixing magnetic catcher of approved quality in cupboard / ward robe shutters, including fixing with necessary screws etc. complete.</t>
        </is>
      </c>
      <c r="C3618" s="9" t="n"/>
      <c r="D3618" s="9" t="n"/>
      <c r="E3618" s="9" t="n"/>
      <c r="F3618" s="9" t="n"/>
      <c r="G3618" s="9" t="n"/>
    </row>
    <row r="3619" ht="18.5" customHeight="1">
      <c r="A3619" s="18" t="inlineStr">
        <is>
          <t>9.114.2</t>
        </is>
      </c>
      <c r="B3619" s="19" t="inlineStr">
        <is>
          <t>Double strip (horizontal type)</t>
        </is>
      </c>
      <c r="C3619" s="20" t="n"/>
      <c r="D3619" s="20" t="n"/>
      <c r="E3619" s="20" t="n"/>
      <c r="F3619" s="20" t="n"/>
      <c r="G3619" s="20" t="n"/>
    </row>
    <row r="3620">
      <c r="A3620" s="21" t="inlineStr">
        <is>
          <t>Details of cost for 1 no   |   Source: CivilDAR_2019_Vol_1.pdf, page 581</t>
        </is>
      </c>
    </row>
    <row r="3621">
      <c r="A3621" s="5" t="inlineStr">
        <is>
          <t>Code</t>
        </is>
      </c>
      <c r="B3621" s="5" t="inlineStr">
        <is>
          <t>Description</t>
        </is>
      </c>
      <c r="C3621" s="5" t="inlineStr">
        <is>
          <t>Unit</t>
        </is>
      </c>
      <c r="D3621" s="5" t="inlineStr">
        <is>
          <t>Quantity</t>
        </is>
      </c>
      <c r="E3621" s="5" t="inlineStr">
        <is>
          <t>Rate (Rs.)</t>
        </is>
      </c>
      <c r="F3621" s="5" t="inlineStr">
        <is>
          <t>Amount (Rs.)</t>
        </is>
      </c>
      <c r="G3621" s="5" t="inlineStr">
        <is>
          <t>Note</t>
        </is>
      </c>
    </row>
    <row r="3622">
      <c r="A3622" s="22" t="inlineStr">
        <is>
          <t>8715</t>
        </is>
      </c>
      <c r="B3622" s="11" t="inlineStr">
        <is>
          <t>Magenatic catcher double strip horizontal type.</t>
        </is>
      </c>
      <c r="C3622" s="22" t="inlineStr">
        <is>
          <t>each</t>
        </is>
      </c>
      <c r="D3622" s="23" t="n">
        <v>1</v>
      </c>
      <c r="E3622" s="24" t="n">
        <v>18</v>
      </c>
      <c r="F3622" s="24">
        <f>D3622*E3622</f>
        <v/>
      </c>
      <c r="G3622" s="22" t="n"/>
    </row>
    <row r="3623">
      <c r="A3623" s="22" t="inlineStr">
        <is>
          <t>9999</t>
        </is>
      </c>
      <c r="B3623" s="11" t="inlineStr">
        <is>
          <t>Sundries including screws and fixing charges.</t>
        </is>
      </c>
      <c r="C3623" s="22" t="inlineStr">
        <is>
          <t>L.S.</t>
        </is>
      </c>
      <c r="D3623" s="23" t="n">
        <v>2.6</v>
      </c>
      <c r="E3623" s="24" t="n">
        <v>2</v>
      </c>
      <c r="F3623" s="24">
        <f>D3623*E3623</f>
        <v/>
      </c>
      <c r="G3623" s="22" t="n"/>
    </row>
    <row r="3624">
      <c r="A3624" s="8" t="inlineStr">
        <is>
          <t>Calculated W - SUM of the Amount column above</t>
        </is>
      </c>
      <c r="B3624" s="9" t="n"/>
      <c r="C3624" s="9" t="n"/>
      <c r="D3624" s="9" t="n"/>
      <c r="E3624" s="9" t="n"/>
      <c r="F3624" s="25">
        <f>SUM(F3622:F3623)</f>
        <v/>
      </c>
      <c r="G3624" s="9" t="n"/>
    </row>
    <row r="3625">
      <c r="A3625" s="26" t="inlineStr">
        <is>
          <t>W as printed in the DAR</t>
        </is>
      </c>
      <c r="B3625" s="22" t="n"/>
      <c r="C3625" s="22" t="n"/>
      <c r="D3625" s="22" t="n"/>
      <c r="E3625" s="22" t="n"/>
      <c r="F3625" s="27" t="n">
        <v>23.2</v>
      </c>
      <c r="G3625" s="22" t="n"/>
    </row>
    <row r="3626">
      <c r="A3626" s="26" t="inlineStr">
        <is>
          <t>Difference (calculated - printed)</t>
        </is>
      </c>
      <c r="B3626" s="22" t="n"/>
      <c r="C3626" s="22" t="n"/>
      <c r="D3626" s="22" t="n"/>
      <c r="E3626" s="22" t="n"/>
      <c r="F3626" s="27">
        <f>F3624-F3625</f>
        <v/>
      </c>
      <c r="G3626" s="22" t="n"/>
    </row>
    <row r="3627">
      <c r="A3627" s="29" t="inlineStr">
        <is>
          <t>SAY (Rs.) - final DAR rate as printed (fixed value, not computed)</t>
        </is>
      </c>
      <c r="B3627" s="30" t="n"/>
      <c r="C3627" s="30" t="n"/>
      <c r="D3627" s="30" t="n"/>
      <c r="E3627" s="30" t="n"/>
      <c r="F3627" s="31" t="n">
        <v>31.05</v>
      </c>
      <c r="G3627" s="30" t="n"/>
    </row>
    <row r="3629" ht="33" customHeight="1">
      <c r="A3629" s="18" t="inlineStr">
        <is>
          <t>9.115</t>
        </is>
      </c>
      <c r="B3629" s="19" t="inlineStr">
        <is>
          <t>Providing and fixing powder coated telescopic drawer channels 300 mm long with necessary screws etc. complete as per directions of Engineer- in-charge.</t>
        </is>
      </c>
      <c r="C3629" s="20" t="n"/>
      <c r="D3629" s="20" t="n"/>
      <c r="E3629" s="20" t="n"/>
      <c r="F3629" s="20" t="n"/>
      <c r="G3629" s="20" t="n"/>
    </row>
    <row r="3630">
      <c r="A3630" s="21" t="inlineStr">
        <is>
          <t>Details of cost for 10 sets   |   Source: CivilDAR_2019_Vol_1.pdf, page 581</t>
        </is>
      </c>
    </row>
    <row r="3631">
      <c r="A3631" s="5" t="inlineStr">
        <is>
          <t>Code</t>
        </is>
      </c>
      <c r="B3631" s="5" t="inlineStr">
        <is>
          <t>Description</t>
        </is>
      </c>
      <c r="C3631" s="5" t="inlineStr">
        <is>
          <t>Unit</t>
        </is>
      </c>
      <c r="D3631" s="5" t="inlineStr">
        <is>
          <t>Quantity</t>
        </is>
      </c>
      <c r="E3631" s="5" t="inlineStr">
        <is>
          <t>Rate (Rs.)</t>
        </is>
      </c>
      <c r="F3631" s="5" t="inlineStr">
        <is>
          <t>Amount (Rs.)</t>
        </is>
      </c>
      <c r="G3631" s="5" t="inlineStr">
        <is>
          <t>Note</t>
        </is>
      </c>
    </row>
    <row r="3632">
      <c r="A3632" s="22" t="inlineStr">
        <is>
          <t>8703</t>
        </is>
      </c>
      <c r="B3632" s="11" t="inlineStr">
        <is>
          <t>Telescopic drawer channels 300mm long .</t>
        </is>
      </c>
      <c r="C3632" s="22" t="inlineStr">
        <is>
          <t>set</t>
        </is>
      </c>
      <c r="D3632" s="23" t="n">
        <v>10</v>
      </c>
      <c r="E3632" s="24" t="n">
        <v>230</v>
      </c>
      <c r="F3632" s="24">
        <f>D3632*E3632</f>
        <v/>
      </c>
      <c r="G3632" s="22" t="n"/>
    </row>
    <row r="3633">
      <c r="A3633" s="22" t="inlineStr">
        <is>
          <t>9977</t>
        </is>
      </c>
      <c r="B3633" s="11" t="inlineStr">
        <is>
          <t>CARRIAGE</t>
        </is>
      </c>
      <c r="C3633" s="22" t="inlineStr">
        <is>
          <t>L.S.</t>
        </is>
      </c>
      <c r="D3633" s="23" t="n">
        <v>19.5</v>
      </c>
      <c r="E3633" s="24" t="n">
        <v>2</v>
      </c>
      <c r="F3633" s="24">
        <f>D3633*E3633</f>
        <v/>
      </c>
      <c r="G3633" s="22" t="n"/>
    </row>
    <row r="3634">
      <c r="A3634" s="22" t="inlineStr">
        <is>
          <t>9999</t>
        </is>
      </c>
      <c r="B3634" s="11" t="inlineStr">
        <is>
          <t>Sundries including screws and fixing charges.</t>
        </is>
      </c>
      <c r="C3634" s="22" t="inlineStr">
        <is>
          <t>L.S.</t>
        </is>
      </c>
      <c r="D3634" s="23" t="n">
        <v>100.1</v>
      </c>
      <c r="E3634" s="24" t="n">
        <v>2</v>
      </c>
      <c r="F3634" s="24">
        <f>D3634*E3634</f>
        <v/>
      </c>
      <c r="G3634" s="22" t="n"/>
    </row>
    <row r="3635">
      <c r="A3635" s="8" t="inlineStr">
        <is>
          <t>Calculated W - SUM of the Amount column above</t>
        </is>
      </c>
      <c r="B3635" s="9" t="n"/>
      <c r="C3635" s="9" t="n"/>
      <c r="D3635" s="9" t="n"/>
      <c r="E3635" s="9" t="n"/>
      <c r="F3635" s="25">
        <f>SUM(F3632:F3634)</f>
        <v/>
      </c>
      <c r="G3635" s="9" t="n"/>
    </row>
    <row r="3636">
      <c r="A3636" s="26" t="inlineStr">
        <is>
          <t>W as printed in the DAR</t>
        </is>
      </c>
      <c r="B3636" s="22" t="n"/>
      <c r="C3636" s="22" t="n"/>
      <c r="D3636" s="22" t="n"/>
      <c r="E3636" s="22" t="n"/>
      <c r="F3636" s="27" t="n">
        <v>2539.2</v>
      </c>
      <c r="G3636" s="22" t="n"/>
    </row>
    <row r="3637">
      <c r="A3637" s="26" t="inlineStr">
        <is>
          <t>Difference (calculated - printed)</t>
        </is>
      </c>
      <c r="B3637" s="22" t="n"/>
      <c r="C3637" s="22" t="n"/>
      <c r="D3637" s="22" t="n"/>
      <c r="E3637" s="22" t="n"/>
      <c r="F3637" s="27">
        <f>F3635-F3636</f>
        <v/>
      </c>
      <c r="G3637" s="22" t="n"/>
    </row>
    <row r="3638">
      <c r="A3638" s="29" t="inlineStr">
        <is>
          <t>SAY (Rs.) - final DAR rate as printed (fixed value, not computed)</t>
        </is>
      </c>
      <c r="B3638" s="30" t="n"/>
      <c r="C3638" s="30" t="n"/>
      <c r="D3638" s="30" t="n"/>
      <c r="E3638" s="30" t="n"/>
      <c r="F3638" s="31" t="n">
        <v>339.75</v>
      </c>
      <c r="G3638" s="30" t="n"/>
    </row>
    <row r="3640" ht="33" customHeight="1">
      <c r="A3640" s="18" t="inlineStr">
        <is>
          <t>9.116</t>
        </is>
      </c>
      <c r="B3640" s="19" t="inlineStr">
        <is>
          <t>Providing and fixing sliding arrangement in racks/ cupboards/cabinets shutter by with stainless steel rollers to run inside C or E aluminium channel section (The payment of C or E channel shall be made separately)</t>
        </is>
      </c>
      <c r="C3640" s="20" t="n"/>
      <c r="D3640" s="20" t="n"/>
      <c r="E3640" s="20" t="n"/>
      <c r="F3640" s="20" t="n"/>
      <c r="G3640" s="20" t="n"/>
    </row>
    <row r="3641">
      <c r="A3641" s="21" t="inlineStr">
        <is>
          <t>Details of cost for 1 no   |   Source: CivilDAR_2019_Vol_1.pdf, page 582</t>
        </is>
      </c>
    </row>
    <row r="3642">
      <c r="A3642" s="5" t="inlineStr">
        <is>
          <t>Code</t>
        </is>
      </c>
      <c r="B3642" s="5" t="inlineStr">
        <is>
          <t>Description</t>
        </is>
      </c>
      <c r="C3642" s="5" t="inlineStr">
        <is>
          <t>Unit</t>
        </is>
      </c>
      <c r="D3642" s="5" t="inlineStr">
        <is>
          <t>Quantity</t>
        </is>
      </c>
      <c r="E3642" s="5" t="inlineStr">
        <is>
          <t>Rate (Rs.)</t>
        </is>
      </c>
      <c r="F3642" s="5" t="inlineStr">
        <is>
          <t>Amount (Rs.)</t>
        </is>
      </c>
      <c r="G3642" s="5" t="inlineStr">
        <is>
          <t>Note</t>
        </is>
      </c>
    </row>
    <row r="3643">
      <c r="A3643" s="22" t="inlineStr">
        <is>
          <t>8704</t>
        </is>
      </c>
      <c r="B3643" s="11" t="inlineStr">
        <is>
          <t>Stainless steel roller for sliding arrangment in racks/ cupboards/ cabinets shutter .</t>
        </is>
      </c>
      <c r="C3643" s="22" t="inlineStr">
        <is>
          <t>each</t>
        </is>
      </c>
      <c r="D3643" s="23" t="n">
        <v>1</v>
      </c>
      <c r="E3643" s="24" t="n">
        <v>9</v>
      </c>
      <c r="F3643" s="24">
        <f>D3643*E3643</f>
        <v/>
      </c>
      <c r="G3643" s="22" t="n"/>
    </row>
    <row r="3644">
      <c r="A3644" s="22" t="inlineStr">
        <is>
          <t>9999</t>
        </is>
      </c>
      <c r="B3644" s="11" t="inlineStr">
        <is>
          <t>Labour for fixing</t>
        </is>
      </c>
      <c r="C3644" s="22" t="inlineStr">
        <is>
          <t>L.S.</t>
        </is>
      </c>
      <c r="D3644" s="23" t="n">
        <v>1.04</v>
      </c>
      <c r="E3644" s="24" t="n">
        <v>2</v>
      </c>
      <c r="F3644" s="24">
        <f>D3644*E3644</f>
        <v/>
      </c>
      <c r="G3644" s="22" t="n"/>
    </row>
    <row r="3645">
      <c r="A3645" s="8" t="inlineStr">
        <is>
          <t>Calculated W - SUM of the Amount column above</t>
        </is>
      </c>
      <c r="B3645" s="9" t="n"/>
      <c r="C3645" s="9" t="n"/>
      <c r="D3645" s="9" t="n"/>
      <c r="E3645" s="9" t="n"/>
      <c r="F3645" s="25">
        <f>SUM(F3643:F3644)</f>
        <v/>
      </c>
      <c r="G3645" s="9" t="n"/>
    </row>
    <row r="3646">
      <c r="A3646" s="26" t="inlineStr">
        <is>
          <t>W as printed in the DAR</t>
        </is>
      </c>
      <c r="B3646" s="22" t="n"/>
      <c r="C3646" s="22" t="n"/>
      <c r="D3646" s="22" t="n"/>
      <c r="E3646" s="22" t="n"/>
      <c r="F3646" s="27" t="n">
        <v>11.08</v>
      </c>
      <c r="G3646" s="22" t="n"/>
    </row>
    <row r="3647">
      <c r="A3647" s="26" t="inlineStr">
        <is>
          <t>Difference (calculated - printed)</t>
        </is>
      </c>
      <c r="B3647" s="22" t="n"/>
      <c r="C3647" s="22" t="n"/>
      <c r="D3647" s="22" t="n"/>
      <c r="E3647" s="22" t="n"/>
      <c r="F3647" s="27">
        <f>F3645-F3646</f>
        <v/>
      </c>
      <c r="G3647" s="22" t="n"/>
    </row>
    <row r="3648">
      <c r="A3648" s="29" t="inlineStr">
        <is>
          <t>SAY (Rs.) - final DAR rate as printed (fixed value, not computed)</t>
        </is>
      </c>
      <c r="B3648" s="30" t="n"/>
      <c r="C3648" s="30" t="n"/>
      <c r="D3648" s="30" t="n"/>
      <c r="E3648" s="30" t="n"/>
      <c r="F3648" s="31" t="n">
        <v>14.8</v>
      </c>
      <c r="G3648" s="30" t="n"/>
    </row>
    <row r="3650" ht="76.5" customHeight="1">
      <c r="A3650" s="8" t="inlineStr">
        <is>
          <t>9.117</t>
        </is>
      </c>
      <c r="B3650" s="17"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is>
      </c>
      <c r="C3650" s="9" t="n"/>
      <c r="D3650" s="9" t="n"/>
      <c r="E3650" s="9" t="n"/>
      <c r="F3650" s="9" t="n"/>
      <c r="G3650" s="9" t="n"/>
    </row>
    <row r="3651" ht="18.5" customHeight="1">
      <c r="A3651" s="18" t="inlineStr">
        <is>
          <t>9.117.1</t>
        </is>
      </c>
      <c r="B3651" s="19" t="inlineStr">
        <is>
          <t>Extruded section profile size 48x40 mm</t>
        </is>
      </c>
      <c r="C3651" s="20" t="n"/>
      <c r="D3651" s="20" t="n"/>
      <c r="E3651" s="20" t="n"/>
      <c r="F3651" s="20" t="n"/>
      <c r="G3651" s="20" t="n"/>
    </row>
    <row r="3652">
      <c r="A3652" s="21" t="inlineStr">
        <is>
          <t>Details of cost for 5 metre   |   Source: CivilDAR_2019_Vol_1.pdf, page 583</t>
        </is>
      </c>
    </row>
    <row r="3653">
      <c r="A3653" s="5" t="inlineStr">
        <is>
          <t>Code</t>
        </is>
      </c>
      <c r="B3653" s="5" t="inlineStr">
        <is>
          <t>Description</t>
        </is>
      </c>
      <c r="C3653" s="5" t="inlineStr">
        <is>
          <t>Unit</t>
        </is>
      </c>
      <c r="D3653" s="5" t="inlineStr">
        <is>
          <t>Quantity</t>
        </is>
      </c>
      <c r="E3653" s="5" t="inlineStr">
        <is>
          <t>Rate (Rs.)</t>
        </is>
      </c>
      <c r="F3653" s="5" t="inlineStr">
        <is>
          <t>Amount (Rs.)</t>
        </is>
      </c>
      <c r="G3653" s="5" t="inlineStr">
        <is>
          <t>Note</t>
        </is>
      </c>
    </row>
    <row r="3654">
      <c r="A3654" s="22" t="inlineStr">
        <is>
          <t>8010</t>
        </is>
      </c>
      <c r="B3654" s="11" t="inlineStr">
        <is>
          <t>48mmX40mmX1.5mm thick Factory made door frame of PVC extruded sections in white, grey or wooden finish</t>
        </is>
      </c>
      <c r="C3654" s="22" t="inlineStr">
        <is>
          <t>metre</t>
        </is>
      </c>
      <c r="D3654" s="23" t="n">
        <v>5</v>
      </c>
      <c r="E3654" s="24" t="n">
        <v>125.79</v>
      </c>
      <c r="F3654" s="24">
        <f>D3654*E3654</f>
        <v/>
      </c>
      <c r="G3654" s="22" t="n"/>
    </row>
    <row r="3655">
      <c r="A3655" s="22" t="inlineStr">
        <is>
          <t>0156</t>
        </is>
      </c>
      <c r="B3655" s="11" t="inlineStr">
        <is>
          <t>Carpenter (average)</t>
        </is>
      </c>
      <c r="C3655" s="22" t="inlineStr">
        <is>
          <t>day</t>
        </is>
      </c>
      <c r="D3655" s="23" t="n">
        <v>0.15</v>
      </c>
      <c r="E3655" s="24" t="n">
        <v>709</v>
      </c>
      <c r="F3655" s="24">
        <f>D3655*E3655</f>
        <v/>
      </c>
      <c r="G3655" s="22" t="n"/>
    </row>
    <row r="3656">
      <c r="A3656" s="22" t="inlineStr">
        <is>
          <t>0114</t>
        </is>
      </c>
      <c r="B3656" s="11" t="inlineStr">
        <is>
          <t>Beldar</t>
        </is>
      </c>
      <c r="C3656" s="22" t="inlineStr">
        <is>
          <t>day</t>
        </is>
      </c>
      <c r="D3656" s="23" t="n">
        <v>0.15</v>
      </c>
      <c r="E3656" s="24" t="n">
        <v>558</v>
      </c>
      <c r="F3656" s="24">
        <f>D3656*E3656</f>
        <v/>
      </c>
      <c r="G3656" s="22" t="n"/>
    </row>
    <row r="3657">
      <c r="A3657" s="22" t="inlineStr">
        <is>
          <t>9999</t>
        </is>
      </c>
      <c r="B3657" s="11" t="inlineStr">
        <is>
          <t>Sundries</t>
        </is>
      </c>
      <c r="C3657" s="22" t="inlineStr">
        <is>
          <t>L.S.</t>
        </is>
      </c>
      <c r="D3657" s="23" t="n">
        <v>4.68</v>
      </c>
      <c r="E3657" s="24" t="n">
        <v>2</v>
      </c>
      <c r="F3657" s="24">
        <f>D3657*E3657</f>
        <v/>
      </c>
      <c r="G3657" s="22" t="n"/>
    </row>
    <row r="3658">
      <c r="A3658" s="8" t="inlineStr">
        <is>
          <t>Calculated W - SUM of the Amount column above</t>
        </is>
      </c>
      <c r="B3658" s="9" t="n"/>
      <c r="C3658" s="9" t="n"/>
      <c r="D3658" s="9" t="n"/>
      <c r="E3658" s="9" t="n"/>
      <c r="F3658" s="25">
        <f>SUM(F3654:F3657)</f>
        <v/>
      </c>
      <c r="G3658" s="9" t="n"/>
    </row>
    <row r="3659">
      <c r="A3659" s="26" t="inlineStr">
        <is>
          <t>W as printed in the DAR</t>
        </is>
      </c>
      <c r="B3659" s="22" t="n"/>
      <c r="C3659" s="22" t="n"/>
      <c r="D3659" s="22" t="n"/>
      <c r="E3659" s="22" t="n"/>
      <c r="F3659" s="27" t="n">
        <v>828.36</v>
      </c>
      <c r="G3659" s="22" t="n"/>
    </row>
    <row r="3660">
      <c r="A3660" s="26" t="inlineStr">
        <is>
          <t>Difference (calculated - printed)</t>
        </is>
      </c>
      <c r="B3660" s="22" t="n"/>
      <c r="C3660" s="22" t="n"/>
      <c r="D3660" s="22" t="n"/>
      <c r="E3660" s="22" t="n"/>
      <c r="F3660" s="27">
        <f>F3658-F3659</f>
        <v/>
      </c>
      <c r="G3660" s="22" t="n"/>
    </row>
    <row r="3661">
      <c r="A3661" s="29" t="inlineStr">
        <is>
          <t>SAY (Rs.) - final DAR rate as printed (fixed value, not computed)</t>
        </is>
      </c>
      <c r="B3661" s="30" t="n"/>
      <c r="C3661" s="30" t="n"/>
      <c r="D3661" s="30" t="n"/>
      <c r="E3661" s="30" t="n"/>
      <c r="F3661" s="31" t="n">
        <v>221.65</v>
      </c>
      <c r="G3661" s="30" t="n"/>
    </row>
    <row r="3663" ht="76.5" customHeight="1">
      <c r="A3663" s="8" t="inlineStr">
        <is>
          <t>9.117</t>
        </is>
      </c>
      <c r="B3663" s="17"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is>
      </c>
      <c r="C3663" s="9" t="n"/>
      <c r="D3663" s="9" t="n"/>
      <c r="E3663" s="9" t="n"/>
      <c r="F3663" s="9" t="n"/>
      <c r="G3663" s="9" t="n"/>
    </row>
    <row r="3664" ht="18.5" customHeight="1">
      <c r="A3664" s="18" t="inlineStr">
        <is>
          <t>9.117.2</t>
        </is>
      </c>
      <c r="B3664" s="19" t="inlineStr">
        <is>
          <t>Extruded section profile size 42x50 mm</t>
        </is>
      </c>
      <c r="C3664" s="20" t="n"/>
      <c r="D3664" s="20" t="n"/>
      <c r="E3664" s="20" t="n"/>
      <c r="F3664" s="20" t="n"/>
      <c r="G3664" s="20" t="n"/>
    </row>
    <row r="3665">
      <c r="A3665" s="21" t="inlineStr">
        <is>
          <t>Details of cost for 5 metre   |   Source: CivilDAR_2019_Vol_1.pdf, page 583</t>
        </is>
      </c>
    </row>
    <row r="3666">
      <c r="A3666" s="5" t="inlineStr">
        <is>
          <t>Code</t>
        </is>
      </c>
      <c r="B3666" s="5" t="inlineStr">
        <is>
          <t>Description</t>
        </is>
      </c>
      <c r="C3666" s="5" t="inlineStr">
        <is>
          <t>Unit</t>
        </is>
      </c>
      <c r="D3666" s="5" t="inlineStr">
        <is>
          <t>Quantity</t>
        </is>
      </c>
      <c r="E3666" s="5" t="inlineStr">
        <is>
          <t>Rate (Rs.)</t>
        </is>
      </c>
      <c r="F3666" s="5" t="inlineStr">
        <is>
          <t>Amount (Rs.)</t>
        </is>
      </c>
      <c r="G3666" s="5" t="inlineStr">
        <is>
          <t>Note</t>
        </is>
      </c>
    </row>
    <row r="3667">
      <c r="A3667" s="22" t="inlineStr">
        <is>
          <t>8705</t>
        </is>
      </c>
      <c r="B3667" s="11" t="inlineStr">
        <is>
          <t>50mmX42mmX2mm thick Factory made door frame of PVC extruded sections in white, grey or wooden finish</t>
        </is>
      </c>
      <c r="C3667" s="22" t="inlineStr">
        <is>
          <t>metre</t>
        </is>
      </c>
      <c r="D3667" s="23" t="n">
        <v>5</v>
      </c>
      <c r="E3667" s="24" t="n">
        <v>160</v>
      </c>
      <c r="F3667" s="24">
        <f>D3667*E3667</f>
        <v/>
      </c>
      <c r="G3667" s="22" t="n"/>
    </row>
    <row r="3668">
      <c r="A3668" s="22" t="inlineStr">
        <is>
          <t>0156</t>
        </is>
      </c>
      <c r="B3668" s="11" t="inlineStr">
        <is>
          <t>Carpenter (average)</t>
        </is>
      </c>
      <c r="C3668" s="22" t="inlineStr">
        <is>
          <t>day</t>
        </is>
      </c>
      <c r="D3668" s="23" t="n">
        <v>0.15</v>
      </c>
      <c r="E3668" s="24" t="n">
        <v>709</v>
      </c>
      <c r="F3668" s="24">
        <f>D3668*E3668</f>
        <v/>
      </c>
      <c r="G3668" s="22" t="n"/>
    </row>
    <row r="3669">
      <c r="A3669" s="22" t="inlineStr">
        <is>
          <t>0114</t>
        </is>
      </c>
      <c r="B3669" s="11" t="inlineStr">
        <is>
          <t>Beldar</t>
        </is>
      </c>
      <c r="C3669" s="22" t="inlineStr">
        <is>
          <t>day</t>
        </is>
      </c>
      <c r="D3669" s="23" t="n">
        <v>0.15</v>
      </c>
      <c r="E3669" s="24" t="n">
        <v>558</v>
      </c>
      <c r="F3669" s="24">
        <f>D3669*E3669</f>
        <v/>
      </c>
      <c r="G3669" s="22" t="n"/>
    </row>
    <row r="3670">
      <c r="A3670" s="22" t="inlineStr">
        <is>
          <t>9999</t>
        </is>
      </c>
      <c r="B3670" s="11" t="inlineStr">
        <is>
          <t>Sundries</t>
        </is>
      </c>
      <c r="C3670" s="22" t="inlineStr">
        <is>
          <t>L.S.</t>
        </is>
      </c>
      <c r="D3670" s="23" t="n">
        <v>4.68</v>
      </c>
      <c r="E3670" s="24" t="n">
        <v>2</v>
      </c>
      <c r="F3670" s="24">
        <f>D3670*E3670</f>
        <v/>
      </c>
      <c r="G3670" s="22" t="n"/>
    </row>
    <row r="3671">
      <c r="A3671" s="8" t="inlineStr">
        <is>
          <t>Calculated W - SUM of the Amount column above</t>
        </is>
      </c>
      <c r="B3671" s="9" t="n"/>
      <c r="C3671" s="9" t="n"/>
      <c r="D3671" s="9" t="n"/>
      <c r="E3671" s="9" t="n"/>
      <c r="F3671" s="25">
        <f>SUM(F3667:F3670)</f>
        <v/>
      </c>
      <c r="G3671" s="9" t="n"/>
    </row>
    <row r="3672">
      <c r="A3672" s="26" t="inlineStr">
        <is>
          <t>W as printed in the DAR</t>
        </is>
      </c>
      <c r="B3672" s="22" t="n"/>
      <c r="C3672" s="22" t="n"/>
      <c r="D3672" s="22" t="n"/>
      <c r="E3672" s="22" t="n"/>
      <c r="F3672" s="27" t="n">
        <v>999.41</v>
      </c>
      <c r="G3672" s="22" t="n"/>
    </row>
    <row r="3673">
      <c r="A3673" s="26" t="inlineStr">
        <is>
          <t>Difference (calculated - printed)</t>
        </is>
      </c>
      <c r="B3673" s="22" t="n"/>
      <c r="C3673" s="22" t="n"/>
      <c r="D3673" s="22" t="n"/>
      <c r="E3673" s="22" t="n"/>
      <c r="F3673" s="27">
        <f>F3671-F3672</f>
        <v/>
      </c>
      <c r="G3673" s="22" t="n"/>
    </row>
    <row r="3674">
      <c r="A3674" s="29" t="inlineStr">
        <is>
          <t>SAY (Rs.) - final DAR rate as printed (fixed value, not computed)</t>
        </is>
      </c>
      <c r="B3674" s="30" t="n"/>
      <c r="C3674" s="30" t="n"/>
      <c r="D3674" s="30" t="n"/>
      <c r="E3674" s="30" t="n"/>
      <c r="F3674" s="31" t="n">
        <v>267.45</v>
      </c>
      <c r="G3674" s="30" t="n"/>
    </row>
    <row r="3676" ht="18.5" customHeight="1">
      <c r="A3676" s="8" t="inlineStr">
        <is>
          <t>9.118</t>
        </is>
      </c>
      <c r="B3676" s="17" t="inlineStr">
        <is>
          <t>Providing and fixing to existing door frames.</t>
        </is>
      </c>
      <c r="C3676" s="9" t="n"/>
      <c r="D3676" s="9" t="n"/>
      <c r="E3676" s="9" t="n"/>
      <c r="F3676" s="9" t="n"/>
      <c r="G3676" s="9" t="n"/>
    </row>
    <row r="3677" ht="120" customHeight="1">
      <c r="A3677" s="18" t="inlineStr">
        <is>
          <t>9.118.1</t>
        </is>
      </c>
      <c r="B3677" s="19" t="inlineStr">
        <is>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t>
        </is>
      </c>
      <c r="C3677" s="20" t="n"/>
      <c r="D3677" s="20" t="n"/>
      <c r="E3677" s="20" t="n"/>
      <c r="F3677" s="20" t="n"/>
      <c r="G3677" s="20" t="n"/>
    </row>
    <row r="3678" ht="18.5" customHeight="1">
      <c r="A3678" s="20" t="n"/>
      <c r="B3678" s="19" t="inlineStr">
        <is>
          <t>inserting horizontally 6 mm galvanised M.S. rod and fastened with nuts and washers, complete as per</t>
        </is>
      </c>
      <c r="C3678" s="20" t="n"/>
      <c r="D3678" s="20" t="n"/>
      <c r="E3678" s="20" t="n"/>
      <c r="F3678" s="20" t="n"/>
      <c r="G3678" s="20" t="n"/>
    </row>
    <row r="3679">
      <c r="A3679" s="21" t="inlineStr">
        <is>
          <t>Details of cost for 2.38 sqm   |   Source: CivilDAR_2019_Vol_1.pdf, page 584</t>
        </is>
      </c>
    </row>
    <row r="3680">
      <c r="A3680" s="5" t="inlineStr">
        <is>
          <t>Code</t>
        </is>
      </c>
      <c r="B3680" s="5" t="inlineStr">
        <is>
          <t>Description</t>
        </is>
      </c>
      <c r="C3680" s="5" t="inlineStr">
        <is>
          <t>Unit</t>
        </is>
      </c>
      <c r="D3680" s="5" t="inlineStr">
        <is>
          <t>Quantity</t>
        </is>
      </c>
      <c r="E3680" s="5" t="inlineStr">
        <is>
          <t>Rate (Rs.)</t>
        </is>
      </c>
      <c r="F3680" s="5" t="inlineStr">
        <is>
          <t>Amount (Rs.)</t>
        </is>
      </c>
      <c r="G3680" s="5" t="inlineStr">
        <is>
          <t>Note</t>
        </is>
      </c>
    </row>
    <row r="3681">
      <c r="A3681" s="22" t="inlineStr">
        <is>
          <t>8001</t>
        </is>
      </c>
      <c r="B3681" s="11" t="inlineStr">
        <is>
          <t>24 mm thick Factory made shutters with frame, rails and panels of PVC extruded sections in white, grey or wooden finish</t>
        </is>
      </c>
      <c r="C3681" s="22" t="inlineStr">
        <is>
          <t>sqm</t>
        </is>
      </c>
      <c r="D3681" s="23" t="n">
        <v>2.38</v>
      </c>
      <c r="E3681" s="24" t="n">
        <v>1085.93</v>
      </c>
      <c r="F3681" s="24">
        <f>D3681*E3681</f>
        <v/>
      </c>
      <c r="G3681" s="22" t="n"/>
    </row>
    <row r="3682">
      <c r="A3682" s="22" t="inlineStr">
        <is>
          <t>0156</t>
        </is>
      </c>
      <c r="B3682" s="11" t="inlineStr">
        <is>
          <t>Carpenter (average)</t>
        </is>
      </c>
      <c r="C3682" s="22" t="inlineStr">
        <is>
          <t>day</t>
        </is>
      </c>
      <c r="D3682" s="23" t="n">
        <v>0.4</v>
      </c>
      <c r="E3682" s="24" t="n">
        <v>709</v>
      </c>
      <c r="F3682" s="24">
        <f>D3682*E3682</f>
        <v/>
      </c>
      <c r="G3682" s="22" t="n"/>
    </row>
    <row r="3683">
      <c r="A3683" s="22" t="inlineStr">
        <is>
          <t>0114</t>
        </is>
      </c>
      <c r="B3683" s="11" t="inlineStr">
        <is>
          <t>Beldar</t>
        </is>
      </c>
      <c r="C3683" s="22" t="inlineStr">
        <is>
          <t>day</t>
        </is>
      </c>
      <c r="D3683" s="23" t="n">
        <v>0.4</v>
      </c>
      <c r="E3683" s="24" t="n">
        <v>558</v>
      </c>
      <c r="F3683" s="24">
        <f>D3683*E3683</f>
        <v/>
      </c>
      <c r="G3683" s="22" t="n"/>
    </row>
    <row r="3684">
      <c r="A3684" s="22" t="inlineStr">
        <is>
          <t>9999</t>
        </is>
      </c>
      <c r="B3684" s="11" t="inlineStr">
        <is>
          <t>Sundries</t>
        </is>
      </c>
      <c r="C3684" s="22" t="inlineStr">
        <is>
          <t>L.S.</t>
        </is>
      </c>
      <c r="D3684" s="23" t="n">
        <v>20.36</v>
      </c>
      <c r="E3684" s="24" t="n">
        <v>2</v>
      </c>
      <c r="F3684" s="24">
        <f>D3684*E3684</f>
        <v/>
      </c>
      <c r="G3684" s="22" t="n"/>
    </row>
    <row r="3685">
      <c r="A3685" s="8" t="inlineStr">
        <is>
          <t>Calculated W - SUM of the Amount column above</t>
        </is>
      </c>
      <c r="B3685" s="9" t="n"/>
      <c r="C3685" s="9" t="n"/>
      <c r="D3685" s="9" t="n"/>
      <c r="E3685" s="9" t="n"/>
      <c r="F3685" s="25">
        <f>SUM(F3681:F3684)</f>
        <v/>
      </c>
      <c r="G3685" s="9" t="n"/>
    </row>
    <row r="3686">
      <c r="A3686" s="26" t="inlineStr">
        <is>
          <t>W as printed in the DAR</t>
        </is>
      </c>
      <c r="B3686" s="22" t="n"/>
      <c r="C3686" s="22" t="n"/>
      <c r="D3686" s="22" t="n"/>
      <c r="E3686" s="22" t="n"/>
      <c r="F3686" s="27" t="n">
        <v>3132.03</v>
      </c>
      <c r="G3686" s="22" t="n"/>
    </row>
    <row r="3687">
      <c r="A3687" s="26" t="inlineStr">
        <is>
          <t>Difference (calculated - printed)</t>
        </is>
      </c>
      <c r="B3687" s="22" t="n"/>
      <c r="C3687" s="22" t="n"/>
      <c r="D3687" s="22" t="n"/>
      <c r="E3687" s="22" t="n"/>
      <c r="F3687" s="27">
        <f>F3685-F3686</f>
        <v/>
      </c>
      <c r="G3687" s="22" t="n"/>
    </row>
    <row r="3688">
      <c r="A3688" s="29" t="inlineStr">
        <is>
          <t>SAY (Rs.) - final DAR rate as printed (fixed value, not computed)</t>
        </is>
      </c>
      <c r="B3688" s="30" t="n"/>
      <c r="C3688" s="30" t="n"/>
      <c r="D3688" s="30" t="n"/>
      <c r="E3688" s="30" t="n"/>
      <c r="F3688" s="31" t="n">
        <v>1760.7</v>
      </c>
      <c r="G3688" s="30" t="n"/>
    </row>
    <row r="3690" ht="18.5" customHeight="1">
      <c r="A3690" s="8" t="inlineStr">
        <is>
          <t>9.118</t>
        </is>
      </c>
      <c r="B3690" s="17" t="inlineStr">
        <is>
          <t>Providing and fixing to existing door frames.</t>
        </is>
      </c>
      <c r="C3690" s="9" t="n"/>
      <c r="D3690" s="9" t="n"/>
      <c r="E3690" s="9" t="n"/>
      <c r="F3690" s="9" t="n"/>
      <c r="G3690" s="9" t="n"/>
    </row>
    <row r="3691" ht="120" customHeight="1">
      <c r="A3691" s="18" t="inlineStr">
        <is>
          <t>9.118.2</t>
        </is>
      </c>
      <c r="B3691" s="19" t="inlineStr">
        <is>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 20 mm and 1 mm (± 0.1 mm) wall thickness . The panels filled</t>
        </is>
      </c>
      <c r="C3691" s="20" t="n"/>
      <c r="D3691" s="20" t="n"/>
      <c r="E3691" s="20" t="n"/>
      <c r="F3691" s="20" t="n"/>
      <c r="G3691" s="20" t="n"/>
    </row>
    <row r="3692" ht="18.5" customHeight="1">
      <c r="A3692" s="20" t="n"/>
      <c r="B3692" s="19" t="inlineStr">
        <is>
          <t>vertically and tie bar at two places by inserting horizontally 6 mm galvanised M.S. rod and fastened with</t>
        </is>
      </c>
      <c r="C3692" s="20" t="n"/>
      <c r="D3692" s="20" t="n"/>
      <c r="E3692" s="20" t="n"/>
      <c r="F3692" s="20" t="n"/>
      <c r="G3692" s="20" t="n"/>
    </row>
    <row r="3693">
      <c r="A3693" s="21" t="inlineStr">
        <is>
          <t>Details of cost for 2.38 sqm   |   Source: CivilDAR_2019_Vol_1.pdf, page 584</t>
        </is>
      </c>
    </row>
    <row r="3694">
      <c r="A3694" s="5" t="inlineStr">
        <is>
          <t>Code</t>
        </is>
      </c>
      <c r="B3694" s="5" t="inlineStr">
        <is>
          <t>Description</t>
        </is>
      </c>
      <c r="C3694" s="5" t="inlineStr">
        <is>
          <t>Unit</t>
        </is>
      </c>
      <c r="D3694" s="5" t="inlineStr">
        <is>
          <t>Quantity</t>
        </is>
      </c>
      <c r="E3694" s="5" t="inlineStr">
        <is>
          <t>Rate (Rs.)</t>
        </is>
      </c>
      <c r="F3694" s="5" t="inlineStr">
        <is>
          <t>Amount (Rs.)</t>
        </is>
      </c>
      <c r="G3694" s="5" t="inlineStr">
        <is>
          <t>Note</t>
        </is>
      </c>
    </row>
    <row r="3695">
      <c r="A3695" s="22" t="inlineStr">
        <is>
          <t>8002</t>
        </is>
      </c>
      <c r="B3695" s="11" t="inlineStr">
        <is>
          <t>30 mm thick Factory made shutters with frame, rails and panels of PVC extruded sections in white, grey or wooden finish</t>
        </is>
      </c>
      <c r="C3695" s="22" t="inlineStr">
        <is>
          <t>sqm</t>
        </is>
      </c>
      <c r="D3695" s="23" t="n">
        <v>2.38</v>
      </c>
      <c r="E3695" s="24" t="n">
        <v>1248.82</v>
      </c>
      <c r="F3695" s="24">
        <f>D3695*E3695</f>
        <v/>
      </c>
      <c r="G3695" s="22" t="n"/>
    </row>
    <row r="3696">
      <c r="A3696" s="22" t="inlineStr">
        <is>
          <t>0156</t>
        </is>
      </c>
      <c r="B3696" s="11" t="inlineStr">
        <is>
          <t>Carpenter (average)</t>
        </is>
      </c>
      <c r="C3696" s="22" t="inlineStr">
        <is>
          <t>day</t>
        </is>
      </c>
      <c r="D3696" s="23" t="n">
        <v>0.4</v>
      </c>
      <c r="E3696" s="24" t="n">
        <v>709</v>
      </c>
      <c r="F3696" s="24">
        <f>D3696*E3696</f>
        <v/>
      </c>
      <c r="G3696" s="22" t="n"/>
    </row>
    <row r="3697">
      <c r="A3697" s="22" t="inlineStr">
        <is>
          <t>0114</t>
        </is>
      </c>
      <c r="B3697" s="11" t="inlineStr">
        <is>
          <t>Beldar</t>
        </is>
      </c>
      <c r="C3697" s="22" t="inlineStr">
        <is>
          <t>day</t>
        </is>
      </c>
      <c r="D3697" s="23" t="n">
        <v>0.4</v>
      </c>
      <c r="E3697" s="24" t="n">
        <v>558</v>
      </c>
      <c r="F3697" s="24">
        <f>D3697*E3697</f>
        <v/>
      </c>
      <c r="G3697" s="22" t="n"/>
    </row>
    <row r="3698">
      <c r="A3698" s="22" t="inlineStr">
        <is>
          <t>9999</t>
        </is>
      </c>
      <c r="B3698" s="11" t="inlineStr">
        <is>
          <t>Sundries</t>
        </is>
      </c>
      <c r="C3698" s="22" t="inlineStr">
        <is>
          <t>L.S.</t>
        </is>
      </c>
      <c r="D3698" s="23" t="n">
        <v>20.36</v>
      </c>
      <c r="E3698" s="24" t="n">
        <v>2</v>
      </c>
      <c r="F3698" s="24">
        <f>D3698*E3698</f>
        <v/>
      </c>
      <c r="G3698" s="22" t="n"/>
    </row>
    <row r="3699">
      <c r="A3699" s="8" t="inlineStr">
        <is>
          <t>Calculated W - SUM of the Amount column above</t>
        </is>
      </c>
      <c r="B3699" s="9" t="n"/>
      <c r="C3699" s="9" t="n"/>
      <c r="D3699" s="9" t="n"/>
      <c r="E3699" s="9" t="n"/>
      <c r="F3699" s="25">
        <f>SUM(F3695:F3698)</f>
        <v/>
      </c>
      <c r="G3699" s="9" t="n"/>
    </row>
    <row r="3700">
      <c r="A3700" s="26" t="inlineStr">
        <is>
          <t>W as printed in the DAR</t>
        </is>
      </c>
      <c r="B3700" s="22" t="n"/>
      <c r="C3700" s="22" t="n"/>
      <c r="D3700" s="22" t="n"/>
      <c r="E3700" s="22" t="n"/>
      <c r="F3700" s="27" t="n">
        <v>3519.71</v>
      </c>
      <c r="G3700" s="22" t="n"/>
    </row>
    <row r="3701">
      <c r="A3701" s="26" t="inlineStr">
        <is>
          <t>Difference (calculated - printed)</t>
        </is>
      </c>
      <c r="B3701" s="22" t="n"/>
      <c r="C3701" s="22" t="n"/>
      <c r="D3701" s="22" t="n"/>
      <c r="E3701" s="22" t="n"/>
      <c r="F3701" s="27">
        <f>F3699-F3700</f>
        <v/>
      </c>
      <c r="G3701" s="22" t="n"/>
    </row>
    <row r="3702">
      <c r="A3702" s="29" t="inlineStr">
        <is>
          <t>SAY (Rs.) - final DAR rate as printed (fixed value, not computed)</t>
        </is>
      </c>
      <c r="B3702" s="30" t="n"/>
      <c r="C3702" s="30" t="n"/>
      <c r="D3702" s="30" t="n"/>
      <c r="E3702" s="30" t="n"/>
      <c r="F3702" s="31" t="n">
        <v>1978.65</v>
      </c>
      <c r="G3702" s="30" t="n"/>
    </row>
    <row r="3704" ht="18.5" customHeight="1">
      <c r="A3704" s="8" t="inlineStr">
        <is>
          <t>9.118</t>
        </is>
      </c>
      <c r="B3704" s="17" t="inlineStr">
        <is>
          <t>Providing and fixing to existing door frames.</t>
        </is>
      </c>
      <c r="C3704" s="9" t="n"/>
      <c r="D3704" s="9" t="n"/>
      <c r="E3704" s="9" t="n"/>
      <c r="F3704" s="9" t="n"/>
      <c r="G3704" s="9" t="n"/>
    </row>
    <row r="3705" ht="105.5" customHeight="1">
      <c r="A3705" s="18" t="inlineStr">
        <is>
          <t>9.118.3</t>
        </is>
      </c>
      <c r="B3705" s="19" t="inlineStr">
        <is>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is>
      </c>
      <c r="C3705" s="20" t="n"/>
      <c r="D3705" s="20" t="n"/>
      <c r="E3705" s="20" t="n"/>
      <c r="F3705" s="20" t="n"/>
      <c r="G3705" s="20" t="n"/>
    </row>
    <row r="3706">
      <c r="A3706" s="21" t="inlineStr">
        <is>
          <t>Details of cost for 2.38 sqm   |   Source: CivilDAR_2019_Vol_1.pdf, page 585</t>
        </is>
      </c>
    </row>
    <row r="3707">
      <c r="A3707" s="5" t="inlineStr">
        <is>
          <t>Code</t>
        </is>
      </c>
      <c r="B3707" s="5" t="inlineStr">
        <is>
          <t>Description</t>
        </is>
      </c>
      <c r="C3707" s="5" t="inlineStr">
        <is>
          <t>Unit</t>
        </is>
      </c>
      <c r="D3707" s="5" t="inlineStr">
        <is>
          <t>Quantity</t>
        </is>
      </c>
      <c r="E3707" s="5" t="inlineStr">
        <is>
          <t>Rate (Rs.)</t>
        </is>
      </c>
      <c r="F3707" s="5" t="inlineStr">
        <is>
          <t>Amount (Rs.)</t>
        </is>
      </c>
      <c r="G3707" s="5" t="inlineStr">
        <is>
          <t>Note</t>
        </is>
      </c>
    </row>
    <row r="3708">
      <c r="A3708" s="22" t="inlineStr">
        <is>
          <t>8706</t>
        </is>
      </c>
      <c r="B3708" s="11" t="inlineStr">
        <is>
          <t>25mm thick factory made PVC flash foor shutter i/c carriage.</t>
        </is>
      </c>
      <c r="C3708" s="22" t="inlineStr">
        <is>
          <t>sqm</t>
        </is>
      </c>
      <c r="D3708" s="23" t="n">
        <v>2.38</v>
      </c>
      <c r="E3708" s="24" t="n">
        <v>1700</v>
      </c>
      <c r="F3708" s="24">
        <f>D3708*E3708</f>
        <v/>
      </c>
      <c r="G3708" s="22" t="n"/>
    </row>
    <row r="3709">
      <c r="A3709" s="22" t="inlineStr">
        <is>
          <t>0156</t>
        </is>
      </c>
      <c r="B3709" s="11" t="inlineStr">
        <is>
          <t>Carpenter (average)</t>
        </is>
      </c>
      <c r="C3709" s="22" t="inlineStr">
        <is>
          <t>day</t>
        </is>
      </c>
      <c r="D3709" s="23" t="n">
        <v>0.4</v>
      </c>
      <c r="E3709" s="24" t="n">
        <v>709</v>
      </c>
      <c r="F3709" s="24">
        <f>D3709*E3709</f>
        <v/>
      </c>
      <c r="G3709" s="22" t="n"/>
    </row>
    <row r="3710">
      <c r="A3710" s="22" t="inlineStr">
        <is>
          <t>0114</t>
        </is>
      </c>
      <c r="B3710" s="11" t="inlineStr">
        <is>
          <t>Beldar</t>
        </is>
      </c>
      <c r="C3710" s="22" t="inlineStr">
        <is>
          <t>day</t>
        </is>
      </c>
      <c r="D3710" s="23" t="n">
        <v>0.4</v>
      </c>
      <c r="E3710" s="24" t="n">
        <v>558</v>
      </c>
      <c r="F3710" s="24">
        <f>D3710*E3710</f>
        <v/>
      </c>
      <c r="G3710" s="22" t="n"/>
    </row>
    <row r="3711">
      <c r="A3711" s="22" t="inlineStr">
        <is>
          <t>9999</t>
        </is>
      </c>
      <c r="B3711" s="11" t="inlineStr">
        <is>
          <t>Sundries</t>
        </is>
      </c>
      <c r="C3711" s="22" t="inlineStr">
        <is>
          <t>L.S.</t>
        </is>
      </c>
      <c r="D3711" s="23" t="n">
        <v>20.36</v>
      </c>
      <c r="E3711" s="24" t="n">
        <v>2</v>
      </c>
      <c r="F3711" s="24">
        <f>D3711*E3711</f>
        <v/>
      </c>
      <c r="G3711" s="22" t="n"/>
    </row>
    <row r="3712">
      <c r="A3712" s="8" t="inlineStr">
        <is>
          <t>Calculated W - SUM of the Amount column above</t>
        </is>
      </c>
      <c r="B3712" s="9" t="n"/>
      <c r="C3712" s="9" t="n"/>
      <c r="D3712" s="9" t="n"/>
      <c r="E3712" s="9" t="n"/>
      <c r="F3712" s="25">
        <f>SUM(F3708:F3711)</f>
        <v/>
      </c>
      <c r="G3712" s="9" t="n"/>
    </row>
    <row r="3713">
      <c r="A3713" s="26" t="inlineStr">
        <is>
          <t>W as printed in the DAR</t>
        </is>
      </c>
      <c r="B3713" s="22" t="n"/>
      <c r="C3713" s="22" t="n"/>
      <c r="D3713" s="22" t="n"/>
      <c r="E3713" s="22" t="n"/>
      <c r="F3713" s="27" t="n">
        <v>4593.52</v>
      </c>
      <c r="G3713" s="22" t="n"/>
    </row>
    <row r="3714">
      <c r="A3714" s="26" t="inlineStr">
        <is>
          <t>Difference (calculated - printed)</t>
        </is>
      </c>
      <c r="B3714" s="22" t="n"/>
      <c r="C3714" s="22" t="n"/>
      <c r="D3714" s="22" t="n"/>
      <c r="E3714" s="22" t="n"/>
      <c r="F3714" s="27">
        <f>F3712-F3713</f>
        <v/>
      </c>
      <c r="G3714" s="22" t="n"/>
    </row>
    <row r="3715">
      <c r="A3715" s="29" t="inlineStr">
        <is>
          <t>SAY (Rs.) - final DAR rate as printed (fixed value, not computed)</t>
        </is>
      </c>
      <c r="B3715" s="30" t="n"/>
      <c r="C3715" s="30" t="n"/>
      <c r="D3715" s="30" t="n"/>
      <c r="E3715" s="30" t="n"/>
      <c r="F3715" s="31" t="n">
        <v>2582.3</v>
      </c>
      <c r="G3715" s="30" t="n"/>
    </row>
    <row r="3717" ht="76.5" customHeight="1">
      <c r="A3717" s="18" t="inlineStr">
        <is>
          <t>9.119</t>
        </is>
      </c>
      <c r="B3717" s="19"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is>
      </c>
      <c r="C3717" s="20" t="n"/>
      <c r="D3717" s="20" t="n"/>
      <c r="E3717" s="20" t="n"/>
      <c r="F3717" s="20" t="n"/>
      <c r="G3717" s="20" t="n"/>
    </row>
    <row r="3718">
      <c r="A3718" s="21" t="inlineStr">
        <is>
          <t>Details of cost for 5 metres   |   Source: CivilDAR_2019_Vol_1.pdf, page 586</t>
        </is>
      </c>
    </row>
    <row r="3719">
      <c r="A3719" s="5" t="inlineStr">
        <is>
          <t>Code</t>
        </is>
      </c>
      <c r="B3719" s="5" t="inlineStr">
        <is>
          <t>Description</t>
        </is>
      </c>
      <c r="C3719" s="5" t="inlineStr">
        <is>
          <t>Unit</t>
        </is>
      </c>
      <c r="D3719" s="5" t="inlineStr">
        <is>
          <t>Quantity</t>
        </is>
      </c>
      <c r="E3719" s="5" t="inlineStr">
        <is>
          <t>Rate (Rs.)</t>
        </is>
      </c>
      <c r="F3719" s="5" t="inlineStr">
        <is>
          <t>Amount (Rs.)</t>
        </is>
      </c>
      <c r="G3719" s="5" t="inlineStr">
        <is>
          <t>Note</t>
        </is>
      </c>
    </row>
    <row r="3720">
      <c r="A3720" s="22" t="inlineStr">
        <is>
          <t>8011</t>
        </is>
      </c>
      <c r="B3720" s="11" t="inlineStr">
        <is>
          <t>Factory made door frame PVC extruded sheet i/c carriage</t>
        </is>
      </c>
      <c r="C3720" s="22" t="inlineStr">
        <is>
          <t>metre</t>
        </is>
      </c>
      <c r="D3720" s="23" t="n">
        <v>5</v>
      </c>
      <c r="E3720" s="24" t="n">
        <v>251.58</v>
      </c>
      <c r="F3720" s="24">
        <f>D3720*E3720</f>
        <v/>
      </c>
      <c r="G3720" s="22" t="n"/>
    </row>
    <row r="3721">
      <c r="A3721" s="22" t="inlineStr">
        <is>
          <t>0156</t>
        </is>
      </c>
      <c r="B3721" s="11" t="inlineStr">
        <is>
          <t>Carpenter (average)</t>
        </is>
      </c>
      <c r="C3721" s="22" t="inlineStr">
        <is>
          <t>day</t>
        </is>
      </c>
      <c r="D3721" s="23" t="n">
        <v>0.15</v>
      </c>
      <c r="E3721" s="24" t="n">
        <v>709</v>
      </c>
      <c r="F3721" s="24">
        <f>D3721*E3721</f>
        <v/>
      </c>
      <c r="G3721" s="22" t="n"/>
    </row>
    <row r="3722">
      <c r="A3722" s="22" t="inlineStr">
        <is>
          <t>0114</t>
        </is>
      </c>
      <c r="B3722" s="11" t="inlineStr">
        <is>
          <t>Beldar</t>
        </is>
      </c>
      <c r="C3722" s="22" t="inlineStr">
        <is>
          <t>day</t>
        </is>
      </c>
      <c r="D3722" s="23" t="n">
        <v>0.15</v>
      </c>
      <c r="E3722" s="24" t="n">
        <v>558</v>
      </c>
      <c r="F3722" s="24">
        <f>D3722*E3722</f>
        <v/>
      </c>
      <c r="G3722" s="22" t="n"/>
    </row>
    <row r="3723">
      <c r="A3723" s="22" t="inlineStr">
        <is>
          <t>9999</t>
        </is>
      </c>
      <c r="B3723" s="11" t="inlineStr">
        <is>
          <t>Sundries</t>
        </is>
      </c>
      <c r="C3723" s="22" t="inlineStr">
        <is>
          <t>L.S.</t>
        </is>
      </c>
      <c r="D3723" s="23" t="n">
        <v>7.8</v>
      </c>
      <c r="E3723" s="24" t="n">
        <v>2</v>
      </c>
      <c r="F3723" s="24">
        <f>D3723*E3723</f>
        <v/>
      </c>
      <c r="G3723" s="22" t="n"/>
    </row>
    <row r="3724">
      <c r="A3724" s="8" t="inlineStr">
        <is>
          <t>Calculated W - SUM of the Amount column above</t>
        </is>
      </c>
      <c r="B3724" s="9" t="n"/>
      <c r="C3724" s="9" t="n"/>
      <c r="D3724" s="9" t="n"/>
      <c r="E3724" s="9" t="n"/>
      <c r="F3724" s="25">
        <f>SUM(F3720:F3723)</f>
        <v/>
      </c>
      <c r="G3724" s="9" t="n"/>
    </row>
    <row r="3725">
      <c r="A3725" s="26" t="inlineStr">
        <is>
          <t>W as printed in the DAR</t>
        </is>
      </c>
      <c r="B3725" s="22" t="n"/>
      <c r="C3725" s="22" t="n"/>
      <c r="D3725" s="22" t="n"/>
      <c r="E3725" s="22" t="n"/>
      <c r="F3725" s="27" t="n">
        <v>1463.55</v>
      </c>
      <c r="G3725" s="22" t="n"/>
    </row>
    <row r="3726">
      <c r="A3726" s="26" t="inlineStr">
        <is>
          <t>Difference (calculated - printed)</t>
        </is>
      </c>
      <c r="B3726" s="22" t="n"/>
      <c r="C3726" s="22" t="n"/>
      <c r="D3726" s="22" t="n"/>
      <c r="E3726" s="22" t="n"/>
      <c r="F3726" s="27">
        <f>F3724-F3725</f>
        <v/>
      </c>
      <c r="G3726" s="22" t="n"/>
    </row>
    <row r="3727">
      <c r="A3727" s="29" t="inlineStr">
        <is>
          <t>SAY (Rs.) - final DAR rate as printed (fixed value, not computed)</t>
        </is>
      </c>
      <c r="B3727" s="30" t="n"/>
      <c r="C3727" s="30" t="n"/>
      <c r="D3727" s="30" t="n"/>
      <c r="E3727" s="30" t="n"/>
      <c r="F3727" s="31" t="n">
        <v>391.65</v>
      </c>
      <c r="G3727" s="30" t="n"/>
    </row>
    <row r="3729" ht="120" customHeight="1">
      <c r="A3729" s="8" t="inlineStr">
        <is>
          <t>9.120</t>
        </is>
      </c>
      <c r="B3729" s="17"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t>
        </is>
      </c>
      <c r="C3729" s="9" t="n"/>
      <c r="D3729" s="9" t="n"/>
      <c r="E3729" s="9" t="n"/>
      <c r="F3729" s="9" t="n"/>
      <c r="G3729" s="9" t="n"/>
    </row>
    <row r="3730" ht="18.5" customHeight="1">
      <c r="A3730" s="9" t="n"/>
      <c r="B3730" s="17" t="inlineStr">
        <is>
          <t>insert for top rail &amp; bottom rail, paneling of 5 mm thick both side PVC sheet to be</t>
        </is>
      </c>
      <c r="C3730" s="9" t="n"/>
      <c r="D3730" s="9" t="n"/>
      <c r="E3730" s="9" t="n"/>
      <c r="F3730" s="9" t="n"/>
      <c r="G3730" s="9" t="n"/>
    </row>
    <row r="3731" ht="18.5" customHeight="1">
      <c r="A3731" s="18" t="inlineStr">
        <is>
          <t>9.120.1</t>
        </is>
      </c>
      <c r="B3731" s="19" t="inlineStr">
        <is>
          <t>30 mm thick plain PVC door shutters</t>
        </is>
      </c>
      <c r="C3731" s="20" t="n"/>
      <c r="D3731" s="20" t="n"/>
      <c r="E3731" s="20" t="n"/>
      <c r="F3731" s="20" t="n"/>
      <c r="G3731" s="20" t="n"/>
    </row>
    <row r="3732">
      <c r="A3732" s="21" t="inlineStr">
        <is>
          <t>Details of cost for 2.38 sqm   |   Source: CivilDAR_2019_Vol_1.pdf, page 587</t>
        </is>
      </c>
    </row>
    <row r="3733">
      <c r="A3733" s="5" t="inlineStr">
        <is>
          <t>Code</t>
        </is>
      </c>
      <c r="B3733" s="5" t="inlineStr">
        <is>
          <t>Description</t>
        </is>
      </c>
      <c r="C3733" s="5" t="inlineStr">
        <is>
          <t>Unit</t>
        </is>
      </c>
      <c r="D3733" s="5" t="inlineStr">
        <is>
          <t>Quantity</t>
        </is>
      </c>
      <c r="E3733" s="5" t="inlineStr">
        <is>
          <t>Rate (Rs.)</t>
        </is>
      </c>
      <c r="F3733" s="5" t="inlineStr">
        <is>
          <t>Amount (Rs.)</t>
        </is>
      </c>
      <c r="G3733" s="5" t="inlineStr">
        <is>
          <t>Note</t>
        </is>
      </c>
    </row>
    <row r="3734">
      <c r="A3734" s="22" t="inlineStr">
        <is>
          <t>8003</t>
        </is>
      </c>
      <c r="B3734" s="11" t="inlineStr">
        <is>
          <t>Factory made PVC rigid foam panelled shutter i/c carriage</t>
        </is>
      </c>
      <c r="C3734" s="22" t="inlineStr">
        <is>
          <t>sqm</t>
        </is>
      </c>
      <c r="D3734" s="23" t="n">
        <v>2.38</v>
      </c>
      <c r="E3734" s="24" t="n">
        <v>1547.45</v>
      </c>
      <c r="F3734" s="24">
        <f>D3734*E3734</f>
        <v/>
      </c>
      <c r="G3734" s="22" t="n"/>
    </row>
    <row r="3735">
      <c r="A3735" s="22" t="inlineStr">
        <is>
          <t>8100</t>
        </is>
      </c>
      <c r="B3735" s="11" t="inlineStr">
        <is>
          <t>Powder coated M.S. butt hinges 100mm X58mmX1.9mm</t>
        </is>
      </c>
      <c r="C3735" s="22" t="inlineStr">
        <is>
          <t>10 Nos</t>
        </is>
      </c>
      <c r="D3735" s="23" t="n">
        <v>0.4</v>
      </c>
      <c r="E3735" s="24" t="n">
        <v>123</v>
      </c>
      <c r="F3735" s="24">
        <f>D3735*E3735</f>
        <v/>
      </c>
      <c r="G3735" s="22" t="n"/>
    </row>
    <row r="3736">
      <c r="A3736" s="22" t="inlineStr">
        <is>
          <t>0637</t>
        </is>
      </c>
      <c r="B3736" s="11" t="inlineStr">
        <is>
          <t>Bright finished or black enamelled mild steel screws 40 mm</t>
        </is>
      </c>
      <c r="C3736" s="22" t="inlineStr">
        <is>
          <t>100 Nos</t>
        </is>
      </c>
      <c r="D3736" s="23" t="n">
        <v>0.48</v>
      </c>
      <c r="E3736" s="24" t="n">
        <v>60</v>
      </c>
      <c r="F3736" s="24">
        <f>D3736*E3736</f>
        <v/>
      </c>
      <c r="G3736" s="22" t="n"/>
    </row>
    <row r="3737">
      <c r="A3737" s="22" t="inlineStr">
        <is>
          <t>0640</t>
        </is>
      </c>
      <c r="B3737" s="11" t="inlineStr">
        <is>
          <t>Bright finished or black enamelled mild steel screws 20 mm</t>
        </is>
      </c>
      <c r="C3737" s="22" t="inlineStr">
        <is>
          <t>100 Nos</t>
        </is>
      </c>
      <c r="D3737" s="23" t="n">
        <v>0.08</v>
      </c>
      <c r="E3737" s="24" t="n">
        <v>30</v>
      </c>
      <c r="F3737" s="24">
        <f>D3737*E3737</f>
        <v/>
      </c>
      <c r="G3737" s="22" t="n"/>
    </row>
    <row r="3738">
      <c r="A3738" s="22" t="inlineStr">
        <is>
          <t>0156</t>
        </is>
      </c>
      <c r="B3738" s="11" t="inlineStr">
        <is>
          <t>Carpenter (average)</t>
        </is>
      </c>
      <c r="C3738" s="22" t="inlineStr">
        <is>
          <t>day</t>
        </is>
      </c>
      <c r="D3738" s="23" t="n">
        <v>0.4</v>
      </c>
      <c r="E3738" s="24" t="n">
        <v>709</v>
      </c>
      <c r="F3738" s="24">
        <f>D3738*E3738</f>
        <v/>
      </c>
      <c r="G3738" s="22" t="n"/>
    </row>
    <row r="3739">
      <c r="A3739" s="22" t="inlineStr">
        <is>
          <t>0114</t>
        </is>
      </c>
      <c r="B3739" s="11" t="inlineStr">
        <is>
          <t>Beldar</t>
        </is>
      </c>
      <c r="C3739" s="22" t="inlineStr">
        <is>
          <t>day</t>
        </is>
      </c>
      <c r="D3739" s="23" t="n">
        <v>0.4</v>
      </c>
      <c r="E3739" s="24" t="n">
        <v>558</v>
      </c>
      <c r="F3739" s="24">
        <f>D3739*E3739</f>
        <v/>
      </c>
      <c r="G3739" s="22" t="n"/>
    </row>
    <row r="3740">
      <c r="A3740" s="22" t="inlineStr">
        <is>
          <t>9999</t>
        </is>
      </c>
      <c r="B3740" s="11" t="inlineStr">
        <is>
          <t>Sundries</t>
        </is>
      </c>
      <c r="C3740" s="22" t="inlineStr">
        <is>
          <t>L.S.</t>
        </is>
      </c>
      <c r="D3740" s="23" t="n">
        <v>20.36</v>
      </c>
      <c r="E3740" s="24" t="n">
        <v>2</v>
      </c>
      <c r="F3740" s="24">
        <f>D3740*E3740</f>
        <v/>
      </c>
      <c r="G3740" s="22" t="n"/>
    </row>
    <row r="3741">
      <c r="A3741" s="8" t="inlineStr">
        <is>
          <t>Calculated W - SUM of the Amount column above</t>
        </is>
      </c>
      <c r="B3741" s="9" t="n"/>
      <c r="C3741" s="9" t="n"/>
      <c r="D3741" s="9" t="n"/>
      <c r="E3741" s="9" t="n"/>
      <c r="F3741" s="25">
        <f>SUM(F3734:F3740)</f>
        <v/>
      </c>
      <c r="G3741" s="9" t="n"/>
    </row>
    <row r="3742">
      <c r="A3742" s="26" t="inlineStr">
        <is>
          <t>W as printed in the DAR</t>
        </is>
      </c>
      <c r="B3742" s="22" t="n"/>
      <c r="C3742" s="22" t="n"/>
      <c r="D3742" s="22" t="n"/>
      <c r="E3742" s="22" t="n"/>
      <c r="F3742" s="27" t="n">
        <v>4310.85</v>
      </c>
      <c r="G3742" s="22" t="n"/>
    </row>
    <row r="3743">
      <c r="A3743" s="26" t="inlineStr">
        <is>
          <t>Difference (calculated - printed)</t>
        </is>
      </c>
      <c r="B3743" s="22" t="n"/>
      <c r="C3743" s="22" t="n"/>
      <c r="D3743" s="22" t="n"/>
      <c r="E3743" s="22" t="n"/>
      <c r="F3743" s="27">
        <f>F3741-F3742</f>
        <v/>
      </c>
      <c r="G3743" s="22" t="n"/>
    </row>
    <row r="3744">
      <c r="A3744" s="29" t="inlineStr">
        <is>
          <t>SAY (Rs.) - final DAR rate as printed (fixed value, not computed)</t>
        </is>
      </c>
      <c r="B3744" s="30" t="n"/>
      <c r="C3744" s="30" t="n"/>
      <c r="D3744" s="30" t="n"/>
      <c r="E3744" s="30" t="n"/>
      <c r="F3744" s="31" t="n">
        <v>2423.4</v>
      </c>
      <c r="G3744" s="30" t="n"/>
    </row>
    <row r="3746" ht="120" customHeight="1">
      <c r="A3746" s="8" t="inlineStr">
        <is>
          <t>9.120</t>
        </is>
      </c>
      <c r="B3746" s="17"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t>
        </is>
      </c>
      <c r="C3746" s="9" t="n"/>
      <c r="D3746" s="9" t="n"/>
      <c r="E3746" s="9" t="n"/>
      <c r="F3746" s="9" t="n"/>
      <c r="G3746" s="9" t="n"/>
    </row>
    <row r="3747" ht="18.5" customHeight="1">
      <c r="A3747" s="9" t="n"/>
      <c r="B3747" s="17" t="inlineStr">
        <is>
          <t>insert for top rail &amp; bottom rail, paneling of 5 mm thick both side PVC sheet to be</t>
        </is>
      </c>
      <c r="C3747" s="9" t="n"/>
      <c r="D3747" s="9" t="n"/>
      <c r="E3747" s="9" t="n"/>
      <c r="F3747" s="9" t="n"/>
      <c r="G3747" s="9" t="n"/>
    </row>
    <row r="3748" ht="18.5" customHeight="1">
      <c r="A3748" s="18" t="inlineStr">
        <is>
          <t>9.120.2</t>
        </is>
      </c>
      <c r="B3748" s="19" t="inlineStr">
        <is>
          <t>30 mm thick pre laminated PVC door shutters</t>
        </is>
      </c>
      <c r="C3748" s="20" t="n"/>
      <c r="D3748" s="20" t="n"/>
      <c r="E3748" s="20" t="n"/>
      <c r="F3748" s="20" t="n"/>
      <c r="G3748" s="20" t="n"/>
    </row>
    <row r="3749">
      <c r="A3749" s="21" t="inlineStr">
        <is>
          <t>Details of cost for 2.38 sqm   |   Source: CivilDAR_2019_Vol_1.pdf, page 588</t>
        </is>
      </c>
    </row>
    <row r="3750">
      <c r="A3750" s="5" t="inlineStr">
        <is>
          <t>Code</t>
        </is>
      </c>
      <c r="B3750" s="5" t="inlineStr">
        <is>
          <t>Description</t>
        </is>
      </c>
      <c r="C3750" s="5" t="inlineStr">
        <is>
          <t>Unit</t>
        </is>
      </c>
      <c r="D3750" s="5" t="inlineStr">
        <is>
          <t>Quantity</t>
        </is>
      </c>
      <c r="E3750" s="5" t="inlineStr">
        <is>
          <t>Rate (Rs.)</t>
        </is>
      </c>
      <c r="F3750" s="5" t="inlineStr">
        <is>
          <t>Amount (Rs.)</t>
        </is>
      </c>
      <c r="G3750" s="5" t="inlineStr">
        <is>
          <t>Note</t>
        </is>
      </c>
    </row>
    <row r="3751">
      <c r="A3751" s="22" t="inlineStr">
        <is>
          <t>8004</t>
        </is>
      </c>
      <c r="B3751" s="11" t="inlineStr">
        <is>
          <t>Factory made PVC rigid foam panelled shutter as per IS : 4020 i/c carriage</t>
        </is>
      </c>
      <c r="C3751" s="22" t="inlineStr">
        <is>
          <t>sqm</t>
        </is>
      </c>
      <c r="D3751" s="23" t="n">
        <v>2.38</v>
      </c>
      <c r="E3751" s="24" t="n">
        <v>1547.45</v>
      </c>
      <c r="F3751" s="24">
        <f>D3751*E3751</f>
        <v/>
      </c>
      <c r="G3751" s="22" t="n"/>
    </row>
    <row r="3752">
      <c r="A3752" s="22" t="inlineStr">
        <is>
          <t>8100</t>
        </is>
      </c>
      <c r="B3752" s="11" t="inlineStr">
        <is>
          <t>Powder coated M.S. butt hinges 100mm X58mmX1.9mm</t>
        </is>
      </c>
      <c r="C3752" s="22" t="inlineStr">
        <is>
          <t>10 Nos</t>
        </is>
      </c>
      <c r="D3752" s="23" t="n">
        <v>0.4</v>
      </c>
      <c r="E3752" s="24" t="n">
        <v>123</v>
      </c>
      <c r="F3752" s="24">
        <f>D3752*E3752</f>
        <v/>
      </c>
      <c r="G3752" s="22" t="n"/>
    </row>
    <row r="3753">
      <c r="A3753" s="22" t="inlineStr">
        <is>
          <t>0637</t>
        </is>
      </c>
      <c r="B3753" s="11" t="inlineStr">
        <is>
          <t>Bright finished or black enamelled mild steel screws 40 mm</t>
        </is>
      </c>
      <c r="C3753" s="22" t="inlineStr">
        <is>
          <t>100 Nos</t>
        </is>
      </c>
      <c r="D3753" s="23" t="n">
        <v>0.48</v>
      </c>
      <c r="E3753" s="24" t="n">
        <v>60</v>
      </c>
      <c r="F3753" s="24">
        <f>D3753*E3753</f>
        <v/>
      </c>
      <c r="G3753" s="22" t="n"/>
    </row>
    <row r="3754">
      <c r="A3754" s="22" t="inlineStr">
        <is>
          <t>0640</t>
        </is>
      </c>
      <c r="B3754" s="11" t="inlineStr">
        <is>
          <t>Bright finished or black enamelled mild steel screws 20 mm</t>
        </is>
      </c>
      <c r="C3754" s="22" t="inlineStr">
        <is>
          <t>100 Nos</t>
        </is>
      </c>
      <c r="D3754" s="23" t="n">
        <v>0.08</v>
      </c>
      <c r="E3754" s="24" t="n">
        <v>30</v>
      </c>
      <c r="F3754" s="24">
        <f>D3754*E3754</f>
        <v/>
      </c>
      <c r="G3754" s="22" t="n"/>
    </row>
    <row r="3755">
      <c r="A3755" s="22" t="inlineStr">
        <is>
          <t>0156</t>
        </is>
      </c>
      <c r="B3755" s="11" t="inlineStr">
        <is>
          <t>Carpenter (average)</t>
        </is>
      </c>
      <c r="C3755" s="22" t="inlineStr">
        <is>
          <t>day</t>
        </is>
      </c>
      <c r="D3755" s="23" t="n">
        <v>0.4</v>
      </c>
      <c r="E3755" s="24" t="n">
        <v>709</v>
      </c>
      <c r="F3755" s="24">
        <f>D3755*E3755</f>
        <v/>
      </c>
      <c r="G3755" s="22" t="n"/>
    </row>
    <row r="3756">
      <c r="A3756" s="22" t="inlineStr">
        <is>
          <t>0114</t>
        </is>
      </c>
      <c r="B3756" s="11" t="inlineStr">
        <is>
          <t>Beldar</t>
        </is>
      </c>
      <c r="C3756" s="22" t="inlineStr">
        <is>
          <t>day</t>
        </is>
      </c>
      <c r="D3756" s="23" t="n">
        <v>0.4</v>
      </c>
      <c r="E3756" s="24" t="n">
        <v>558</v>
      </c>
      <c r="F3756" s="24">
        <f>D3756*E3756</f>
        <v/>
      </c>
      <c r="G3756" s="22" t="n"/>
    </row>
    <row r="3757">
      <c r="A3757" s="22" t="inlineStr">
        <is>
          <t>9999</t>
        </is>
      </c>
      <c r="B3757" s="11" t="inlineStr">
        <is>
          <t>Sundries</t>
        </is>
      </c>
      <c r="C3757" s="22" t="inlineStr">
        <is>
          <t>L.S.</t>
        </is>
      </c>
      <c r="D3757" s="23" t="n">
        <v>20.36</v>
      </c>
      <c r="E3757" s="24" t="n">
        <v>2</v>
      </c>
      <c r="F3757" s="24">
        <f>D3757*E3757</f>
        <v/>
      </c>
      <c r="G3757" s="22" t="n"/>
    </row>
    <row r="3758">
      <c r="A3758" s="8" t="inlineStr">
        <is>
          <t>Calculated W - SUM of the Amount column above</t>
        </is>
      </c>
      <c r="B3758" s="9" t="n"/>
      <c r="C3758" s="9" t="n"/>
      <c r="D3758" s="9" t="n"/>
      <c r="E3758" s="9" t="n"/>
      <c r="F3758" s="25">
        <f>SUM(F3751:F3757)</f>
        <v/>
      </c>
      <c r="G3758" s="9" t="n"/>
    </row>
    <row r="3759">
      <c r="A3759" s="26" t="inlineStr">
        <is>
          <t>W as printed in the DAR</t>
        </is>
      </c>
      <c r="B3759" s="22" t="n"/>
      <c r="C3759" s="22" t="n"/>
      <c r="D3759" s="22" t="n"/>
      <c r="E3759" s="22" t="n"/>
      <c r="F3759" s="27" t="n">
        <v>4310.85</v>
      </c>
      <c r="G3759" s="22" t="n"/>
    </row>
    <row r="3760">
      <c r="A3760" s="26" t="inlineStr">
        <is>
          <t>Difference (calculated - printed)</t>
        </is>
      </c>
      <c r="B3760" s="22" t="n"/>
      <c r="C3760" s="22" t="n"/>
      <c r="D3760" s="22" t="n"/>
      <c r="E3760" s="22" t="n"/>
      <c r="F3760" s="27">
        <f>F3758-F3759</f>
        <v/>
      </c>
      <c r="G3760" s="22" t="n"/>
    </row>
    <row r="3761">
      <c r="A3761" s="29" t="inlineStr">
        <is>
          <t>SAY (Rs.) - final DAR rate as printed (fixed value, not computed)</t>
        </is>
      </c>
      <c r="B3761" s="30" t="n"/>
      <c r="C3761" s="30" t="n"/>
      <c r="D3761" s="30" t="n"/>
      <c r="E3761" s="30" t="n"/>
      <c r="F3761" s="31" t="n">
        <v>2423.4</v>
      </c>
      <c r="G3761" s="30" t="n"/>
    </row>
    <row r="3763" ht="76.5" customHeight="1">
      <c r="A3763" s="18" t="inlineStr">
        <is>
          <t>9.121</t>
        </is>
      </c>
      <c r="B3763" s="19" t="inlineStr">
        <is>
          <t>Providing and fixing Fiber Glass Reinforced plastic (FRP) Door Frames of cross- 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t>
        </is>
      </c>
      <c r="C3763" s="20" t="n"/>
      <c r="D3763" s="20" t="n"/>
      <c r="E3763" s="20" t="n"/>
      <c r="F3763" s="20" t="n"/>
      <c r="G3763" s="20" t="n"/>
    </row>
    <row r="3764">
      <c r="A3764" s="21" t="inlineStr">
        <is>
          <t>Details of cost for 5 metres   |   Source: CivilDAR_2019_Vol_1.pdf, page 588</t>
        </is>
      </c>
    </row>
    <row r="3765">
      <c r="A3765" s="5" t="inlineStr">
        <is>
          <t>Code</t>
        </is>
      </c>
      <c r="B3765" s="5" t="inlineStr">
        <is>
          <t>Description</t>
        </is>
      </c>
      <c r="C3765" s="5" t="inlineStr">
        <is>
          <t>Unit</t>
        </is>
      </c>
      <c r="D3765" s="5" t="inlineStr">
        <is>
          <t>Quantity</t>
        </is>
      </c>
      <c r="E3765" s="5" t="inlineStr">
        <is>
          <t>Rate (Rs.)</t>
        </is>
      </c>
      <c r="F3765" s="5" t="inlineStr">
        <is>
          <t>Amount (Rs.)</t>
        </is>
      </c>
      <c r="G3765" s="5" t="inlineStr">
        <is>
          <t>Note</t>
        </is>
      </c>
    </row>
    <row r="3766">
      <c r="A3766" s="22" t="inlineStr">
        <is>
          <t>8707</t>
        </is>
      </c>
      <c r="B3766" s="11" t="inlineStr">
        <is>
          <t>Factory made glass reinforced plastic door frame 90x45 mm i/c carriage.</t>
        </is>
      </c>
      <c r="C3766" s="22" t="inlineStr">
        <is>
          <t>metre</t>
        </is>
      </c>
      <c r="D3766" s="23" t="n">
        <v>5</v>
      </c>
      <c r="E3766" s="24" t="n">
        <v>467</v>
      </c>
      <c r="F3766" s="24">
        <f>D3766*E3766</f>
        <v/>
      </c>
      <c r="G3766" s="22" t="n"/>
    </row>
    <row r="3767">
      <c r="A3767" s="22" t="inlineStr">
        <is>
          <t>0156</t>
        </is>
      </c>
      <c r="B3767" s="11" t="inlineStr">
        <is>
          <t>Carpenter (average)</t>
        </is>
      </c>
      <c r="C3767" s="22" t="inlineStr">
        <is>
          <t>day</t>
        </is>
      </c>
      <c r="D3767" s="23" t="n">
        <v>0.15</v>
      </c>
      <c r="E3767" s="24" t="n">
        <v>709</v>
      </c>
      <c r="F3767" s="24">
        <f>D3767*E3767</f>
        <v/>
      </c>
      <c r="G3767" s="22" t="n"/>
    </row>
    <row r="3768">
      <c r="A3768" s="22" t="inlineStr">
        <is>
          <t>0114</t>
        </is>
      </c>
      <c r="B3768" s="11" t="inlineStr">
        <is>
          <t>Beldar</t>
        </is>
      </c>
      <c r="C3768" s="22" t="inlineStr">
        <is>
          <t>day</t>
        </is>
      </c>
      <c r="D3768" s="23" t="n">
        <v>0.15</v>
      </c>
      <c r="E3768" s="24" t="n">
        <v>558</v>
      </c>
      <c r="F3768" s="24">
        <f>D3768*E3768</f>
        <v/>
      </c>
      <c r="G3768" s="22" t="n"/>
    </row>
    <row r="3769">
      <c r="A3769" s="22" t="inlineStr">
        <is>
          <t>9999</t>
        </is>
      </c>
      <c r="B3769" s="11" t="inlineStr">
        <is>
          <t>Sundries</t>
        </is>
      </c>
      <c r="C3769" s="22" t="inlineStr">
        <is>
          <t>L.S.</t>
        </is>
      </c>
      <c r="D3769" s="23" t="n">
        <v>7.8</v>
      </c>
      <c r="E3769" s="24" t="n">
        <v>2</v>
      </c>
      <c r="F3769" s="24">
        <f>D3769*E3769</f>
        <v/>
      </c>
      <c r="G3769" s="22" t="n"/>
    </row>
    <row r="3770">
      <c r="A3770" s="8" t="inlineStr">
        <is>
          <t>Calculated W - SUM of the Amount column above</t>
        </is>
      </c>
      <c r="B3770" s="9" t="n"/>
      <c r="C3770" s="9" t="n"/>
      <c r="D3770" s="9" t="n"/>
      <c r="E3770" s="9" t="n"/>
      <c r="F3770" s="25">
        <f>SUM(F3766:F3769)</f>
        <v/>
      </c>
      <c r="G3770" s="9" t="n"/>
    </row>
    <row r="3771">
      <c r="A3771" s="26" t="inlineStr">
        <is>
          <t>W as printed in the DAR</t>
        </is>
      </c>
      <c r="B3771" s="22" t="n"/>
      <c r="C3771" s="22" t="n"/>
      <c r="D3771" s="22" t="n"/>
      <c r="E3771" s="22" t="n"/>
      <c r="F3771" s="27" t="n">
        <v>2540.65</v>
      </c>
      <c r="G3771" s="22" t="n"/>
    </row>
    <row r="3772">
      <c r="A3772" s="26" t="inlineStr">
        <is>
          <t>Difference (calculated - printed)</t>
        </is>
      </c>
      <c r="B3772" s="22" t="n"/>
      <c r="C3772" s="22" t="n"/>
      <c r="D3772" s="22" t="n"/>
      <c r="E3772" s="22" t="n"/>
      <c r="F3772" s="27">
        <f>F3770-F3771</f>
        <v/>
      </c>
      <c r="G3772" s="22" t="n"/>
    </row>
    <row r="3773">
      <c r="A3773" s="29" t="inlineStr">
        <is>
          <t>SAY (Rs.) - final DAR rate as printed (fixed value, not computed)</t>
        </is>
      </c>
      <c r="B3773" s="30" t="n"/>
      <c r="C3773" s="30" t="n"/>
      <c r="D3773" s="30" t="n"/>
      <c r="E3773" s="30" t="n"/>
      <c r="F3773" s="31" t="n">
        <v>679.85</v>
      </c>
      <c r="G3773" s="30" t="n"/>
    </row>
    <row r="3775" ht="18.5" customHeight="1">
      <c r="A3775" s="8" t="inlineStr">
        <is>
          <t>9.122</t>
        </is>
      </c>
      <c r="B3775" s="17" t="inlineStr">
        <is>
          <t>Providing and fixing to existing door frames.</t>
        </is>
      </c>
      <c r="C3775" s="9" t="n"/>
      <c r="D3775" s="9" t="n"/>
      <c r="E3775" s="9" t="n"/>
      <c r="F3775" s="9" t="n"/>
      <c r="G3775" s="9" t="n"/>
    </row>
    <row r="3776" ht="62" customHeight="1">
      <c r="A3776" s="18" t="inlineStr">
        <is>
          <t>9.122.1</t>
        </is>
      </c>
      <c r="B3776" s="19" t="inlineStr">
        <is>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is>
      </c>
      <c r="C3776" s="20" t="n"/>
      <c r="D3776" s="20" t="n"/>
      <c r="E3776" s="20" t="n"/>
      <c r="F3776" s="20" t="n"/>
      <c r="G3776" s="20" t="n"/>
    </row>
    <row r="3777">
      <c r="A3777" s="21" t="inlineStr">
        <is>
          <t>Details of cost for 2.38 sqm   |   Source: CivilDAR_2019_Vol_1.pdf, page 589</t>
        </is>
      </c>
    </row>
    <row r="3778">
      <c r="A3778" s="5" t="inlineStr">
        <is>
          <t>Code</t>
        </is>
      </c>
      <c r="B3778" s="5" t="inlineStr">
        <is>
          <t>Description</t>
        </is>
      </c>
      <c r="C3778" s="5" t="inlineStr">
        <is>
          <t>Unit</t>
        </is>
      </c>
      <c r="D3778" s="5" t="inlineStr">
        <is>
          <t>Quantity</t>
        </is>
      </c>
      <c r="E3778" s="5" t="inlineStr">
        <is>
          <t>Rate (Rs.)</t>
        </is>
      </c>
      <c r="F3778" s="5" t="inlineStr">
        <is>
          <t>Amount (Rs.)</t>
        </is>
      </c>
      <c r="G3778" s="5" t="inlineStr">
        <is>
          <t>Note</t>
        </is>
      </c>
    </row>
    <row r="3779">
      <c r="A3779" s="22" t="inlineStr">
        <is>
          <t>8708</t>
        </is>
      </c>
      <c r="B3779" s="11" t="inlineStr">
        <is>
          <t>30 mm thick factory madeglass fiber reinforced plastic panel door shutter i/c carriage.</t>
        </is>
      </c>
      <c r="C3779" s="22" t="inlineStr">
        <is>
          <t>sqm</t>
        </is>
      </c>
      <c r="D3779" s="23" t="n">
        <v>2.38</v>
      </c>
      <c r="E3779" s="24" t="n">
        <v>2326</v>
      </c>
      <c r="F3779" s="24">
        <f>D3779*E3779</f>
        <v/>
      </c>
      <c r="G3779" s="22" t="n"/>
    </row>
    <row r="3780">
      <c r="A3780" s="22" t="inlineStr">
        <is>
          <t>8100</t>
        </is>
      </c>
      <c r="B3780" s="11" t="inlineStr">
        <is>
          <t>Powder coated M.S. butt hinges 100mm X58mmX1.9mm</t>
        </is>
      </c>
      <c r="C3780" s="22" t="inlineStr">
        <is>
          <t>10 Nos</t>
        </is>
      </c>
      <c r="D3780" s="23" t="n">
        <v>0.4</v>
      </c>
      <c r="E3780" s="24" t="n">
        <v>123</v>
      </c>
      <c r="F3780" s="24">
        <f>D3780*E3780</f>
        <v/>
      </c>
      <c r="G3780" s="22" t="n"/>
    </row>
    <row r="3781">
      <c r="A3781" s="22" t="inlineStr">
        <is>
          <t>0637</t>
        </is>
      </c>
      <c r="B3781" s="11" t="inlineStr">
        <is>
          <t>Bright finished or black enamelled mild steel screws 40 mm</t>
        </is>
      </c>
      <c r="C3781" s="22" t="inlineStr">
        <is>
          <t>100 Nos</t>
        </is>
      </c>
      <c r="D3781" s="23" t="n">
        <v>0.48</v>
      </c>
      <c r="E3781" s="24" t="n">
        <v>60</v>
      </c>
      <c r="F3781" s="24">
        <f>D3781*E3781</f>
        <v/>
      </c>
      <c r="G3781" s="22" t="n"/>
    </row>
    <row r="3782">
      <c r="A3782" s="22" t="inlineStr">
        <is>
          <t>0640</t>
        </is>
      </c>
      <c r="B3782" s="11" t="inlineStr">
        <is>
          <t>Bright finished or black enamelled mild steel screws 20 mm</t>
        </is>
      </c>
      <c r="C3782" s="22" t="inlineStr">
        <is>
          <t>100 Nos</t>
        </is>
      </c>
      <c r="D3782" s="23" t="n">
        <v>0.08</v>
      </c>
      <c r="E3782" s="24" t="n">
        <v>30</v>
      </c>
      <c r="F3782" s="24">
        <f>D3782*E3782</f>
        <v/>
      </c>
      <c r="G3782" s="22" t="n"/>
    </row>
    <row r="3783">
      <c r="A3783" s="22" t="inlineStr">
        <is>
          <t>0156</t>
        </is>
      </c>
      <c r="B3783" s="11" t="inlineStr">
        <is>
          <t>Carpenter (average)</t>
        </is>
      </c>
      <c r="C3783" s="22" t="inlineStr">
        <is>
          <t>day</t>
        </is>
      </c>
      <c r="D3783" s="23" t="n">
        <v>0.4</v>
      </c>
      <c r="E3783" s="24" t="n">
        <v>709</v>
      </c>
      <c r="F3783" s="24">
        <f>D3783*E3783</f>
        <v/>
      </c>
      <c r="G3783" s="22" t="n"/>
    </row>
    <row r="3784">
      <c r="A3784" s="22" t="inlineStr">
        <is>
          <t>0114</t>
        </is>
      </c>
      <c r="B3784" s="11" t="inlineStr">
        <is>
          <t>Beldar</t>
        </is>
      </c>
      <c r="C3784" s="22" t="inlineStr">
        <is>
          <t>day</t>
        </is>
      </c>
      <c r="D3784" s="23" t="n">
        <v>0.4</v>
      </c>
      <c r="E3784" s="24" t="n">
        <v>558</v>
      </c>
      <c r="F3784" s="24">
        <f>D3784*E3784</f>
        <v/>
      </c>
      <c r="G3784" s="22" t="n"/>
    </row>
    <row r="3785">
      <c r="A3785" s="22" t="inlineStr">
        <is>
          <t>9999</t>
        </is>
      </c>
      <c r="B3785" s="11" t="inlineStr">
        <is>
          <t>Sundries</t>
        </is>
      </c>
      <c r="C3785" s="22" t="inlineStr">
        <is>
          <t>L.S.</t>
        </is>
      </c>
      <c r="D3785" s="23" t="n">
        <v>20.36</v>
      </c>
      <c r="E3785" s="24" t="n">
        <v>2</v>
      </c>
      <c r="F3785" s="24">
        <f>D3785*E3785</f>
        <v/>
      </c>
      <c r="G3785" s="22" t="n"/>
    </row>
    <row r="3786">
      <c r="A3786" s="8" t="inlineStr">
        <is>
          <t>Calculated W - SUM of the Amount column above</t>
        </is>
      </c>
      <c r="B3786" s="9" t="n"/>
      <c r="C3786" s="9" t="n"/>
      <c r="D3786" s="9" t="n"/>
      <c r="E3786" s="9" t="n"/>
      <c r="F3786" s="25">
        <f>SUM(F3779:F3785)</f>
        <v/>
      </c>
      <c r="G3786" s="9" t="n"/>
    </row>
    <row r="3787">
      <c r="A3787" s="26" t="inlineStr">
        <is>
          <t>W as printed in the DAR</t>
        </is>
      </c>
      <c r="B3787" s="22" t="n"/>
      <c r="C3787" s="22" t="n"/>
      <c r="D3787" s="22" t="n"/>
      <c r="E3787" s="22" t="n"/>
      <c r="F3787" s="27" t="n">
        <v>6163.8</v>
      </c>
      <c r="G3787" s="22" t="n"/>
    </row>
    <row r="3788">
      <c r="A3788" s="26" t="inlineStr">
        <is>
          <t>Difference (calculated - printed)</t>
        </is>
      </c>
      <c r="B3788" s="22" t="n"/>
      <c r="C3788" s="22" t="n"/>
      <c r="D3788" s="22" t="n"/>
      <c r="E3788" s="22" t="n"/>
      <c r="F3788" s="27">
        <f>F3786-F3787</f>
        <v/>
      </c>
      <c r="G3788" s="22" t="n"/>
    </row>
    <row r="3789">
      <c r="A3789" s="29" t="inlineStr">
        <is>
          <t>SAY (Rs.) - final DAR rate as printed (fixed value, not computed)</t>
        </is>
      </c>
      <c r="B3789" s="30" t="n"/>
      <c r="C3789" s="30" t="n"/>
      <c r="D3789" s="30" t="n"/>
      <c r="E3789" s="30" t="n"/>
      <c r="F3789" s="31" t="n">
        <v>3465.05</v>
      </c>
      <c r="G3789" s="30" t="n"/>
    </row>
    <row r="3791" ht="18.5" customHeight="1">
      <c r="A3791" s="8" t="inlineStr">
        <is>
          <t>9.122</t>
        </is>
      </c>
      <c r="B3791" s="17" t="inlineStr">
        <is>
          <t>Providing and fixing to existing door frames.</t>
        </is>
      </c>
      <c r="C3791" s="9" t="n"/>
      <c r="D3791" s="9" t="n"/>
      <c r="E3791" s="9" t="n"/>
      <c r="F3791" s="9" t="n"/>
      <c r="G3791" s="9" t="n"/>
    </row>
    <row r="3792" ht="76.5" customHeight="1">
      <c r="A3792" s="18" t="inlineStr">
        <is>
          <t>9.122.2</t>
        </is>
      </c>
      <c r="B3792" s="19" t="inlineStr">
        <is>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t>
        </is>
      </c>
      <c r="C3792" s="20" t="n"/>
      <c r="D3792" s="20" t="n"/>
      <c r="E3792" s="20" t="n"/>
      <c r="F3792" s="20" t="n"/>
      <c r="G3792" s="20" t="n"/>
    </row>
    <row r="3793">
      <c r="A3793" s="21" t="inlineStr">
        <is>
          <t>Details of cost for 2.38 sqm   |   Source: CivilDAR_2019_Vol_1.pdf, page 590</t>
        </is>
      </c>
    </row>
    <row r="3794">
      <c r="A3794" s="5" t="inlineStr">
        <is>
          <t>Code</t>
        </is>
      </c>
      <c r="B3794" s="5" t="inlineStr">
        <is>
          <t>Description</t>
        </is>
      </c>
      <c r="C3794" s="5" t="inlineStr">
        <is>
          <t>Unit</t>
        </is>
      </c>
      <c r="D3794" s="5" t="inlineStr">
        <is>
          <t>Quantity</t>
        </is>
      </c>
      <c r="E3794" s="5" t="inlineStr">
        <is>
          <t>Rate (Rs.)</t>
        </is>
      </c>
      <c r="F3794" s="5" t="inlineStr">
        <is>
          <t>Amount (Rs.)</t>
        </is>
      </c>
      <c r="G3794" s="5" t="inlineStr">
        <is>
          <t>Note</t>
        </is>
      </c>
    </row>
    <row r="3795">
      <c r="A3795" s="22" t="inlineStr">
        <is>
          <t>8730</t>
        </is>
      </c>
      <c r="B3795" s="11" t="inlineStr">
        <is>
          <t>30 mm thick factory made glass fiber reinforced plastic flush door shutter i/c carriage.</t>
        </is>
      </c>
      <c r="C3795" s="22" t="inlineStr">
        <is>
          <t>sqm</t>
        </is>
      </c>
      <c r="D3795" s="23" t="n">
        <v>2.38</v>
      </c>
      <c r="E3795" s="24" t="n">
        <v>2675</v>
      </c>
      <c r="F3795" s="24">
        <f>D3795*E3795</f>
        <v/>
      </c>
      <c r="G3795" s="22" t="n"/>
    </row>
    <row r="3796">
      <c r="A3796" s="22" t="inlineStr">
        <is>
          <t>8100</t>
        </is>
      </c>
      <c r="B3796" s="11" t="inlineStr">
        <is>
          <t>Powder coated M.S. butt hinges 100mm X58mmX1.9mm</t>
        </is>
      </c>
      <c r="C3796" s="22" t="inlineStr">
        <is>
          <t>10 Nos</t>
        </is>
      </c>
      <c r="D3796" s="23" t="n">
        <v>0.4</v>
      </c>
      <c r="E3796" s="24" t="n">
        <v>123</v>
      </c>
      <c r="F3796" s="24">
        <f>D3796*E3796</f>
        <v/>
      </c>
      <c r="G3796" s="22" t="n"/>
    </row>
    <row r="3797">
      <c r="A3797" s="22" t="inlineStr">
        <is>
          <t>0637</t>
        </is>
      </c>
      <c r="B3797" s="11" t="inlineStr">
        <is>
          <t>Bright finished or black enamelled mild steel screws 40 mm</t>
        </is>
      </c>
      <c r="C3797" s="22" t="inlineStr">
        <is>
          <t>100 Nos</t>
        </is>
      </c>
      <c r="D3797" s="23" t="n">
        <v>0.48</v>
      </c>
      <c r="E3797" s="24" t="n">
        <v>60</v>
      </c>
      <c r="F3797" s="24">
        <f>D3797*E3797</f>
        <v/>
      </c>
      <c r="G3797" s="22" t="n"/>
    </row>
    <row r="3798">
      <c r="A3798" s="22" t="inlineStr">
        <is>
          <t>0640</t>
        </is>
      </c>
      <c r="B3798" s="11" t="inlineStr">
        <is>
          <t>Bright finished or black enamelled mild steel screws 20 mm</t>
        </is>
      </c>
      <c r="C3798" s="22" t="inlineStr">
        <is>
          <t>100 Nos</t>
        </is>
      </c>
      <c r="D3798" s="23" t="n">
        <v>0.08</v>
      </c>
      <c r="E3798" s="24" t="n">
        <v>30</v>
      </c>
      <c r="F3798" s="24">
        <f>D3798*E3798</f>
        <v/>
      </c>
      <c r="G3798" s="22" t="n"/>
    </row>
    <row r="3799">
      <c r="A3799" s="22" t="inlineStr">
        <is>
          <t>0156</t>
        </is>
      </c>
      <c r="B3799" s="11" t="inlineStr">
        <is>
          <t>Carpenter (average)</t>
        </is>
      </c>
      <c r="C3799" s="22" t="inlineStr">
        <is>
          <t>day</t>
        </is>
      </c>
      <c r="D3799" s="23" t="n">
        <v>0.4</v>
      </c>
      <c r="E3799" s="24" t="n">
        <v>709</v>
      </c>
      <c r="F3799" s="24">
        <f>D3799*E3799</f>
        <v/>
      </c>
      <c r="G3799" s="22" t="n"/>
    </row>
    <row r="3800">
      <c r="A3800" s="22" t="inlineStr">
        <is>
          <t>0114</t>
        </is>
      </c>
      <c r="B3800" s="11" t="inlineStr">
        <is>
          <t>Beldar</t>
        </is>
      </c>
      <c r="C3800" s="22" t="inlineStr">
        <is>
          <t>day</t>
        </is>
      </c>
      <c r="D3800" s="23" t="n">
        <v>0.4</v>
      </c>
      <c r="E3800" s="24" t="n">
        <v>558</v>
      </c>
      <c r="F3800" s="24">
        <f>D3800*E3800</f>
        <v/>
      </c>
      <c r="G3800" s="22" t="n"/>
    </row>
    <row r="3801">
      <c r="A3801" s="22" t="inlineStr">
        <is>
          <t>9999</t>
        </is>
      </c>
      <c r="B3801" s="11" t="inlineStr">
        <is>
          <t>Sundries</t>
        </is>
      </c>
      <c r="C3801" s="22" t="inlineStr">
        <is>
          <t>L.S.</t>
        </is>
      </c>
      <c r="D3801" s="23" t="n">
        <v>20.36</v>
      </c>
      <c r="E3801" s="24" t="n">
        <v>2</v>
      </c>
      <c r="F3801" s="24">
        <f>D3801*E3801</f>
        <v/>
      </c>
      <c r="G3801" s="22" t="n"/>
    </row>
    <row r="3802">
      <c r="A3802" s="8" t="inlineStr">
        <is>
          <t>Calculated W - SUM of the Amount column above</t>
        </is>
      </c>
      <c r="B3802" s="9" t="n"/>
      <c r="C3802" s="9" t="n"/>
      <c r="D3802" s="9" t="n"/>
      <c r="E3802" s="9" t="n"/>
      <c r="F3802" s="25">
        <f>SUM(F3795:F3801)</f>
        <v/>
      </c>
      <c r="G3802" s="9" t="n"/>
    </row>
    <row r="3803">
      <c r="A3803" s="26" t="inlineStr">
        <is>
          <t>W as printed in the DAR</t>
        </is>
      </c>
      <c r="B3803" s="22" t="n"/>
      <c r="C3803" s="22" t="n"/>
      <c r="D3803" s="22" t="n"/>
      <c r="E3803" s="22" t="n"/>
      <c r="F3803" s="27" t="n">
        <v>6994.42</v>
      </c>
      <c r="G3803" s="22" t="n"/>
    </row>
    <row r="3804">
      <c r="A3804" s="26" t="inlineStr">
        <is>
          <t>Difference (calculated - printed)</t>
        </is>
      </c>
      <c r="B3804" s="22" t="n"/>
      <c r="C3804" s="22" t="n"/>
      <c r="D3804" s="22" t="n"/>
      <c r="E3804" s="22" t="n"/>
      <c r="F3804" s="27">
        <f>F3802-F3803</f>
        <v/>
      </c>
      <c r="G3804" s="22" t="n"/>
    </row>
    <row r="3805">
      <c r="A3805" s="29" t="inlineStr">
        <is>
          <t>SAY (Rs.) - final DAR rate as printed (fixed value, not computed)</t>
        </is>
      </c>
      <c r="B3805" s="30" t="n"/>
      <c r="C3805" s="30" t="n"/>
      <c r="D3805" s="30" t="n"/>
      <c r="E3805" s="30" t="n"/>
      <c r="F3805" s="31" t="n">
        <v>3931.95</v>
      </c>
      <c r="G3805" s="30" t="n"/>
    </row>
    <row r="3807" ht="62" customHeight="1">
      <c r="A3807" s="18" t="inlineStr">
        <is>
          <t>9.123</t>
        </is>
      </c>
      <c r="B3807" s="19" t="inlineStr">
        <is>
          <t>Providing and fixing factory made door frame (single rebate) made out of single piece extruded solid PVC foam profile with homogenous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t>
        </is>
      </c>
      <c r="C3807" s="20" t="n"/>
      <c r="D3807" s="20" t="n"/>
      <c r="E3807" s="20" t="n"/>
      <c r="F3807" s="20" t="n"/>
      <c r="G3807" s="20" t="n"/>
    </row>
    <row r="3808">
      <c r="A3808" s="21" t="inlineStr">
        <is>
          <t>Details of cost for 5 metres   |   Source: CivilDAR_2019_Vol_1.pdf, page 590</t>
        </is>
      </c>
    </row>
    <row r="3809">
      <c r="A3809" s="5" t="inlineStr">
        <is>
          <t>Code</t>
        </is>
      </c>
      <c r="B3809" s="5" t="inlineStr">
        <is>
          <t>Description</t>
        </is>
      </c>
      <c r="C3809" s="5" t="inlineStr">
        <is>
          <t>Unit</t>
        </is>
      </c>
      <c r="D3809" s="5" t="inlineStr">
        <is>
          <t>Quantity</t>
        </is>
      </c>
      <c r="E3809" s="5" t="inlineStr">
        <is>
          <t>Rate (Rs.)</t>
        </is>
      </c>
      <c r="F3809" s="5" t="inlineStr">
        <is>
          <t>Amount (Rs.)</t>
        </is>
      </c>
      <c r="G3809" s="5" t="inlineStr">
        <is>
          <t>Note</t>
        </is>
      </c>
    </row>
    <row r="3810">
      <c r="A3810" s="22" t="inlineStr">
        <is>
          <t>8710</t>
        </is>
      </c>
      <c r="B3810" s="11" t="inlineStr">
        <is>
          <t>Factory made solid PVC door frame 60 x 30mm i/c carriage.</t>
        </is>
      </c>
      <c r="C3810" s="22" t="inlineStr">
        <is>
          <t>metre</t>
        </is>
      </c>
      <c r="D3810" s="23" t="n">
        <v>5</v>
      </c>
      <c r="E3810" s="24" t="n">
        <v>315</v>
      </c>
      <c r="F3810" s="24">
        <f>D3810*E3810</f>
        <v/>
      </c>
      <c r="G3810" s="22" t="n"/>
    </row>
    <row r="3811">
      <c r="A3811" s="22" t="inlineStr">
        <is>
          <t>0156</t>
        </is>
      </c>
      <c r="B3811" s="11" t="inlineStr">
        <is>
          <t>Carpenter (average)</t>
        </is>
      </c>
      <c r="C3811" s="22" t="inlineStr">
        <is>
          <t>day</t>
        </is>
      </c>
      <c r="D3811" s="23" t="n">
        <v>0.15</v>
      </c>
      <c r="E3811" s="24" t="n">
        <v>709</v>
      </c>
      <c r="F3811" s="24">
        <f>D3811*E3811</f>
        <v/>
      </c>
      <c r="G3811" s="22" t="n"/>
    </row>
    <row r="3812">
      <c r="A3812" s="22" t="inlineStr">
        <is>
          <t>0114</t>
        </is>
      </c>
      <c r="B3812" s="11" t="inlineStr">
        <is>
          <t>Beldar</t>
        </is>
      </c>
      <c r="C3812" s="22" t="inlineStr">
        <is>
          <t>day</t>
        </is>
      </c>
      <c r="D3812" s="23" t="n">
        <v>0.15</v>
      </c>
      <c r="E3812" s="24" t="n">
        <v>558</v>
      </c>
      <c r="F3812" s="24">
        <f>D3812*E3812</f>
        <v/>
      </c>
      <c r="G3812" s="22" t="n"/>
    </row>
    <row r="3813">
      <c r="A3813" s="22" t="inlineStr">
        <is>
          <t>9999</t>
        </is>
      </c>
      <c r="B3813" s="11" t="inlineStr">
        <is>
          <t>Sundries</t>
        </is>
      </c>
      <c r="C3813" s="22" t="inlineStr">
        <is>
          <t>L.S.</t>
        </is>
      </c>
      <c r="D3813" s="23" t="n">
        <v>7.8</v>
      </c>
      <c r="E3813" s="24" t="n">
        <v>2</v>
      </c>
      <c r="F3813" s="24">
        <f>D3813*E3813</f>
        <v/>
      </c>
      <c r="G3813" s="22" t="n"/>
    </row>
    <row r="3814">
      <c r="A3814" s="8" t="inlineStr">
        <is>
          <t>Calculated W - SUM of the Amount column above</t>
        </is>
      </c>
      <c r="B3814" s="9" t="n"/>
      <c r="C3814" s="9" t="n"/>
      <c r="D3814" s="9" t="n"/>
      <c r="E3814" s="9" t="n"/>
      <c r="F3814" s="25">
        <f>SUM(F3810:F3813)</f>
        <v/>
      </c>
      <c r="G3814" s="9" t="n"/>
    </row>
    <row r="3815">
      <c r="A3815" s="26" t="inlineStr">
        <is>
          <t>W as printed in the DAR</t>
        </is>
      </c>
      <c r="B3815" s="22" t="n"/>
      <c r="C3815" s="22" t="n"/>
      <c r="D3815" s="22" t="n"/>
      <c r="E3815" s="22" t="n"/>
      <c r="F3815" s="27" t="n">
        <v>1780.65</v>
      </c>
      <c r="G3815" s="22" t="n"/>
    </row>
    <row r="3816">
      <c r="A3816" s="26" t="inlineStr">
        <is>
          <t>Difference (calculated - printed)</t>
        </is>
      </c>
      <c r="B3816" s="22" t="n"/>
      <c r="C3816" s="22" t="n"/>
      <c r="D3816" s="22" t="n"/>
      <c r="E3816" s="22" t="n"/>
      <c r="F3816" s="27">
        <f>F3814-F3815</f>
        <v/>
      </c>
      <c r="G3816" s="22" t="n"/>
    </row>
    <row r="3817">
      <c r="A3817" s="29" t="inlineStr">
        <is>
          <t>SAY (Rs.) - final DAR rate as printed (fixed value, not computed)</t>
        </is>
      </c>
      <c r="B3817" s="30" t="n"/>
      <c r="C3817" s="30" t="n"/>
      <c r="D3817" s="30" t="n"/>
      <c r="E3817" s="30" t="n"/>
      <c r="F3817" s="31" t="n">
        <v>476.5</v>
      </c>
      <c r="G3817" s="30" t="n"/>
    </row>
    <row r="3819" ht="120" customHeight="1">
      <c r="A3819" s="8" t="inlineStr">
        <is>
          <t>9.124</t>
        </is>
      </c>
      <c r="B3819" s="17" t="inlineStr">
        <is>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mmx 1 mm, painted with primer , all four corners of reinforcement to be welded or sealed. Solid PVC extruded bidding (push fit type) will be set inside the styles and the rails with a cavity, to receive single piece extruded 5mm PVC sheet as panel. The styles and rails will be mitred cut and joint with the help of PVC solvent cement &amp; self driven self tapping screws. Single piece extruded solid PVC lock rail of size 100 mm x 30 mm with wall thickness 5 mm &amp; 15 mm integrally extruded in the</t>
        </is>
      </c>
      <c r="C3819" s="9" t="n"/>
      <c r="D3819" s="9" t="n"/>
      <c r="E3819" s="9" t="n"/>
      <c r="F3819" s="9" t="n"/>
      <c r="G3819" s="9" t="n"/>
    </row>
    <row r="3820" ht="18.5" customHeight="1">
      <c r="A3820" s="9" t="n"/>
      <c r="B3820" s="17" t="inlineStr">
        <is>
          <t>middle of the lock rail &amp; fixed with styles with the help of PVC solvent cement &amp; self driven self</t>
        </is>
      </c>
      <c r="C3820" s="9" t="n"/>
      <c r="D3820" s="9" t="n"/>
      <c r="E3820" s="9" t="n"/>
      <c r="F3820" s="9" t="n"/>
      <c r="G3820" s="9" t="n"/>
    </row>
    <row r="3821" ht="18.5" customHeight="1">
      <c r="A3821" s="18" t="inlineStr">
        <is>
          <t>9.124.1</t>
        </is>
      </c>
      <c r="B3821" s="19" t="inlineStr">
        <is>
          <t>Non decorative finish</t>
        </is>
      </c>
      <c r="C3821" s="20" t="n"/>
      <c r="D3821" s="20" t="n"/>
      <c r="E3821" s="20" t="n"/>
      <c r="F3821" s="20" t="n"/>
      <c r="G3821" s="20" t="n"/>
    </row>
    <row r="3822">
      <c r="A3822" s="21" t="inlineStr">
        <is>
          <t>Details of cost for 2.38 sqm   |   Source: CivilDAR_2019_Vol_1.pdf, page 591</t>
        </is>
      </c>
    </row>
    <row r="3823">
      <c r="A3823" s="5" t="inlineStr">
        <is>
          <t>Code</t>
        </is>
      </c>
      <c r="B3823" s="5" t="inlineStr">
        <is>
          <t>Description</t>
        </is>
      </c>
      <c r="C3823" s="5" t="inlineStr">
        <is>
          <t>Unit</t>
        </is>
      </c>
      <c r="D3823" s="5" t="inlineStr">
        <is>
          <t>Quantity</t>
        </is>
      </c>
      <c r="E3823" s="5" t="inlineStr">
        <is>
          <t>Rate (Rs.)</t>
        </is>
      </c>
      <c r="F3823" s="5" t="inlineStr">
        <is>
          <t>Amount (Rs.)</t>
        </is>
      </c>
      <c r="G3823" s="5" t="inlineStr">
        <is>
          <t>Note</t>
        </is>
      </c>
    </row>
    <row r="3824">
      <c r="A3824" s="22" t="inlineStr">
        <is>
          <t>8712</t>
        </is>
      </c>
      <c r="B3824" s="11" t="inlineStr">
        <is>
          <t>30 mm thick factory made solid PVC profile panelled door single piece extruded profile non decorative finish.</t>
        </is>
      </c>
      <c r="C3824" s="22" t="inlineStr">
        <is>
          <t>sqm</t>
        </is>
      </c>
      <c r="D3824" s="23" t="n">
        <v>2.38</v>
      </c>
      <c r="E3824" s="24" t="n">
        <v>2000</v>
      </c>
      <c r="F3824" s="24">
        <f>D3824*E3824</f>
        <v/>
      </c>
      <c r="G3824" s="22" t="n"/>
    </row>
    <row r="3825">
      <c r="A3825" s="22" t="inlineStr">
        <is>
          <t>8100</t>
        </is>
      </c>
      <c r="B3825" s="11" t="inlineStr">
        <is>
          <t>Powder coated M.S. butt hinges 100mm X58mmX1.9mm</t>
        </is>
      </c>
      <c r="C3825" s="22" t="inlineStr">
        <is>
          <t>10 Nos</t>
        </is>
      </c>
      <c r="D3825" s="23" t="n">
        <v>0.4</v>
      </c>
      <c r="E3825" s="24" t="n">
        <v>123</v>
      </c>
      <c r="F3825" s="24">
        <f>D3825*E3825</f>
        <v/>
      </c>
      <c r="G3825" s="22" t="n"/>
    </row>
    <row r="3826">
      <c r="A3826" s="22" t="inlineStr">
        <is>
          <t>0637</t>
        </is>
      </c>
      <c r="B3826" s="11" t="inlineStr">
        <is>
          <t>Bright finished or black enamelled mild steel screws 40 mm</t>
        </is>
      </c>
      <c r="C3826" s="22" t="inlineStr">
        <is>
          <t>100 Nos</t>
        </is>
      </c>
      <c r="D3826" s="23" t="n">
        <v>0.48</v>
      </c>
      <c r="E3826" s="24" t="n">
        <v>60</v>
      </c>
      <c r="F3826" s="24">
        <f>D3826*E3826</f>
        <v/>
      </c>
      <c r="G3826" s="22" t="n"/>
    </row>
    <row r="3827">
      <c r="A3827" s="22" t="inlineStr">
        <is>
          <t>0640</t>
        </is>
      </c>
      <c r="B3827" s="11" t="inlineStr">
        <is>
          <t>Bright finished or black enamelled mild steel screws 20 mm</t>
        </is>
      </c>
      <c r="C3827" s="22" t="inlineStr">
        <is>
          <t>100 Nos</t>
        </is>
      </c>
      <c r="D3827" s="23" t="n">
        <v>0.08</v>
      </c>
      <c r="E3827" s="24" t="n">
        <v>30</v>
      </c>
      <c r="F3827" s="24">
        <f>D3827*E3827</f>
        <v/>
      </c>
      <c r="G3827" s="22" t="n"/>
    </row>
    <row r="3828">
      <c r="A3828" s="22" t="inlineStr">
        <is>
          <t>0156</t>
        </is>
      </c>
      <c r="B3828" s="11" t="inlineStr">
        <is>
          <t>Carpenter (average)</t>
        </is>
      </c>
      <c r="C3828" s="22" t="inlineStr">
        <is>
          <t>day</t>
        </is>
      </c>
      <c r="D3828" s="23" t="n">
        <v>0.4</v>
      </c>
      <c r="E3828" s="24" t="n">
        <v>709</v>
      </c>
      <c r="F3828" s="24">
        <f>D3828*E3828</f>
        <v/>
      </c>
      <c r="G3828" s="22" t="n"/>
    </row>
    <row r="3829">
      <c r="A3829" s="22" t="inlineStr">
        <is>
          <t>0114</t>
        </is>
      </c>
      <c r="B3829" s="11" t="inlineStr">
        <is>
          <t>Beldar</t>
        </is>
      </c>
      <c r="C3829" s="22" t="inlineStr">
        <is>
          <t>day</t>
        </is>
      </c>
      <c r="D3829" s="23" t="n">
        <v>0.4</v>
      </c>
      <c r="E3829" s="24" t="n">
        <v>558</v>
      </c>
      <c r="F3829" s="24">
        <f>D3829*E3829</f>
        <v/>
      </c>
      <c r="G3829" s="22" t="n"/>
    </row>
    <row r="3830">
      <c r="A3830" s="22" t="inlineStr">
        <is>
          <t>9999</t>
        </is>
      </c>
      <c r="B3830" s="11" t="inlineStr">
        <is>
          <t>Sundries</t>
        </is>
      </c>
      <c r="C3830" s="22" t="inlineStr">
        <is>
          <t>L.S.</t>
        </is>
      </c>
      <c r="D3830" s="23" t="n">
        <v>20.36</v>
      </c>
      <c r="E3830" s="24" t="n">
        <v>2</v>
      </c>
      <c r="F3830" s="24">
        <f>D3830*E3830</f>
        <v/>
      </c>
      <c r="G3830" s="22" t="n"/>
    </row>
    <row r="3831">
      <c r="A3831" s="8" t="inlineStr">
        <is>
          <t>Calculated W - SUM of the Amount column above</t>
        </is>
      </c>
      <c r="B3831" s="9" t="n"/>
      <c r="C3831" s="9" t="n"/>
      <c r="D3831" s="9" t="n"/>
      <c r="E3831" s="9" t="n"/>
      <c r="F3831" s="25">
        <f>SUM(F3824:F3830)</f>
        <v/>
      </c>
      <c r="G3831" s="9" t="n"/>
    </row>
    <row r="3832">
      <c r="A3832" s="26" t="inlineStr">
        <is>
          <t>W as printed in the DAR</t>
        </is>
      </c>
      <c r="B3832" s="22" t="n"/>
      <c r="C3832" s="22" t="n"/>
      <c r="D3832" s="22" t="n"/>
      <c r="E3832" s="22" t="n"/>
      <c r="F3832" s="27" t="n">
        <v>5387.92</v>
      </c>
      <c r="G3832" s="22" t="n"/>
    </row>
    <row r="3833">
      <c r="A3833" s="26" t="inlineStr">
        <is>
          <t>Difference (calculated - printed)</t>
        </is>
      </c>
      <c r="B3833" s="22" t="n"/>
      <c r="C3833" s="22" t="n"/>
      <c r="D3833" s="22" t="n"/>
      <c r="E3833" s="22" t="n"/>
      <c r="F3833" s="27">
        <f>F3831-F3832</f>
        <v/>
      </c>
      <c r="G3833" s="22" t="n"/>
    </row>
    <row r="3834">
      <c r="A3834" s="29" t="inlineStr">
        <is>
          <t>SAY (Rs.) - final DAR rate as printed (fixed value, not computed)</t>
        </is>
      </c>
      <c r="B3834" s="30" t="n"/>
      <c r="C3834" s="30" t="n"/>
      <c r="D3834" s="30" t="n"/>
      <c r="E3834" s="30" t="n"/>
      <c r="F3834" s="31" t="n">
        <v>3028.85</v>
      </c>
      <c r="G3834" s="30" t="n"/>
    </row>
    <row r="3836" ht="120" customHeight="1">
      <c r="A3836" s="8" t="inlineStr">
        <is>
          <t>9.124</t>
        </is>
      </c>
      <c r="B3836" s="17" t="inlineStr">
        <is>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mmx 1 mm, painted with primer , all four corners of reinforcement to be welded or sealed. Solid PVC extruded bidding (push fit type) will be set inside the styles and the rails with a cavity, to receive single piece extruded 5mm PVC sheet as panel. The styles and rails will be mitred cut and joint with the help of PVC solvent cement &amp; self driven self tapping screws. Single piece extruded solid PVC lock rail of size 100 mm x 30 mm with wall thickness 5 mm &amp; 15 mm integrally extruded in the</t>
        </is>
      </c>
      <c r="C3836" s="9" t="n"/>
      <c r="D3836" s="9" t="n"/>
      <c r="E3836" s="9" t="n"/>
      <c r="F3836" s="9" t="n"/>
      <c r="G3836" s="9" t="n"/>
    </row>
    <row r="3837" ht="18.5" customHeight="1">
      <c r="A3837" s="9" t="n"/>
      <c r="B3837" s="17" t="inlineStr">
        <is>
          <t>middle of the lock rail &amp; fixed with styles with the help of PVC solvent cement &amp; self driven self</t>
        </is>
      </c>
      <c r="C3837" s="9" t="n"/>
      <c r="D3837" s="9" t="n"/>
      <c r="E3837" s="9" t="n"/>
      <c r="F3837" s="9" t="n"/>
      <c r="G3837" s="9" t="n"/>
    </row>
    <row r="3838" ht="18.5" customHeight="1">
      <c r="A3838" s="18" t="inlineStr">
        <is>
          <t>9.124.2</t>
        </is>
      </c>
      <c r="B3838" s="19" t="inlineStr">
        <is>
          <t>Decorative finish (both side wood grained finish)</t>
        </is>
      </c>
      <c r="C3838" s="20" t="n"/>
      <c r="D3838" s="20" t="n"/>
      <c r="E3838" s="20" t="n"/>
      <c r="F3838" s="20" t="n"/>
      <c r="G3838" s="20" t="n"/>
    </row>
    <row r="3839">
      <c r="A3839" s="21" t="inlineStr">
        <is>
          <t>Details of cost for 2.38 sqm   |   Source: CivilDAR_2019_Vol_1.pdf, page 592</t>
        </is>
      </c>
    </row>
    <row r="3840">
      <c r="A3840" s="5" t="inlineStr">
        <is>
          <t>Code</t>
        </is>
      </c>
      <c r="B3840" s="5" t="inlineStr">
        <is>
          <t>Description</t>
        </is>
      </c>
      <c r="C3840" s="5" t="inlineStr">
        <is>
          <t>Unit</t>
        </is>
      </c>
      <c r="D3840" s="5" t="inlineStr">
        <is>
          <t>Quantity</t>
        </is>
      </c>
      <c r="E3840" s="5" t="inlineStr">
        <is>
          <t>Rate (Rs.)</t>
        </is>
      </c>
      <c r="F3840" s="5" t="inlineStr">
        <is>
          <t>Amount (Rs.)</t>
        </is>
      </c>
      <c r="G3840" s="5" t="inlineStr">
        <is>
          <t>Note</t>
        </is>
      </c>
    </row>
    <row r="3841">
      <c r="A3841" s="22" t="inlineStr">
        <is>
          <t>8709</t>
        </is>
      </c>
      <c r="B3841" s="11" t="inlineStr">
        <is>
          <t>30 mm thick factory made solid PVC profile panelled door single piece extruded profile decorative finish (wood grain printed on both side)</t>
        </is>
      </c>
      <c r="C3841" s="22" t="inlineStr">
        <is>
          <t>sqm</t>
        </is>
      </c>
      <c r="D3841" s="23" t="n">
        <v>2.38</v>
      </c>
      <c r="E3841" s="24" t="n">
        <v>2100</v>
      </c>
      <c r="F3841" s="24">
        <f>D3841*E3841</f>
        <v/>
      </c>
      <c r="G3841" s="22" t="n"/>
    </row>
    <row r="3842">
      <c r="A3842" s="22" t="inlineStr">
        <is>
          <t>8100</t>
        </is>
      </c>
      <c r="B3842" s="11" t="inlineStr">
        <is>
          <t>Powder coated M.S. butt hinges 100mm X58mmX1.9mm</t>
        </is>
      </c>
      <c r="C3842" s="22" t="inlineStr">
        <is>
          <t>10 Nos</t>
        </is>
      </c>
      <c r="D3842" s="23" t="n">
        <v>0.4</v>
      </c>
      <c r="E3842" s="24" t="n">
        <v>123</v>
      </c>
      <c r="F3842" s="24">
        <f>D3842*E3842</f>
        <v/>
      </c>
      <c r="G3842" s="22" t="n"/>
    </row>
    <row r="3843">
      <c r="A3843" s="22" t="inlineStr">
        <is>
          <t>0637</t>
        </is>
      </c>
      <c r="B3843" s="11" t="inlineStr">
        <is>
          <t>Bright finished or black enamelled mild steel screws 40 mm</t>
        </is>
      </c>
      <c r="C3843" s="22" t="inlineStr">
        <is>
          <t>100 Nos</t>
        </is>
      </c>
      <c r="D3843" s="23" t="n">
        <v>0.48</v>
      </c>
      <c r="E3843" s="24" t="n">
        <v>60</v>
      </c>
      <c r="F3843" s="24">
        <f>D3843*E3843</f>
        <v/>
      </c>
      <c r="G3843" s="22" t="n"/>
    </row>
    <row r="3844">
      <c r="A3844" s="22" t="inlineStr">
        <is>
          <t>0640</t>
        </is>
      </c>
      <c r="B3844" s="11" t="inlineStr">
        <is>
          <t>Bright finished or black enamelled mild steel screws 20 mm</t>
        </is>
      </c>
      <c r="C3844" s="22" t="inlineStr">
        <is>
          <t>100 Nos</t>
        </is>
      </c>
      <c r="D3844" s="23" t="n">
        <v>0.08</v>
      </c>
      <c r="E3844" s="24" t="n">
        <v>30</v>
      </c>
      <c r="F3844" s="24">
        <f>D3844*E3844</f>
        <v/>
      </c>
      <c r="G3844" s="22" t="n"/>
    </row>
    <row r="3845">
      <c r="A3845" s="22" t="inlineStr">
        <is>
          <t>0156</t>
        </is>
      </c>
      <c r="B3845" s="11" t="inlineStr">
        <is>
          <t>Carpenter (average)</t>
        </is>
      </c>
      <c r="C3845" s="22" t="inlineStr">
        <is>
          <t>day</t>
        </is>
      </c>
      <c r="D3845" s="23" t="n">
        <v>0.4</v>
      </c>
      <c r="E3845" s="24" t="n">
        <v>709</v>
      </c>
      <c r="F3845" s="24">
        <f>D3845*E3845</f>
        <v/>
      </c>
      <c r="G3845" s="22" t="n"/>
    </row>
    <row r="3846">
      <c r="A3846" s="22" t="inlineStr">
        <is>
          <t>0114</t>
        </is>
      </c>
      <c r="B3846" s="11" t="inlineStr">
        <is>
          <t>Beldar</t>
        </is>
      </c>
      <c r="C3846" s="22" t="inlineStr">
        <is>
          <t>day</t>
        </is>
      </c>
      <c r="D3846" s="23" t="n">
        <v>0.4</v>
      </c>
      <c r="E3846" s="24" t="n">
        <v>558</v>
      </c>
      <c r="F3846" s="24">
        <f>D3846*E3846</f>
        <v/>
      </c>
      <c r="G3846" s="22" t="n"/>
    </row>
    <row r="3847">
      <c r="A3847" s="22" t="inlineStr">
        <is>
          <t>9999</t>
        </is>
      </c>
      <c r="B3847" s="11" t="inlineStr">
        <is>
          <t>Sundries</t>
        </is>
      </c>
      <c r="C3847" s="22" t="inlineStr">
        <is>
          <t>L.S.</t>
        </is>
      </c>
      <c r="D3847" s="23" t="n">
        <v>20.36</v>
      </c>
      <c r="E3847" s="24" t="n">
        <v>2</v>
      </c>
      <c r="F3847" s="24">
        <f>D3847*E3847</f>
        <v/>
      </c>
      <c r="G3847" s="22" t="n"/>
    </row>
    <row r="3848">
      <c r="A3848" s="8" t="inlineStr">
        <is>
          <t>Calculated W - SUM of the Amount column above</t>
        </is>
      </c>
      <c r="B3848" s="9" t="n"/>
      <c r="C3848" s="9" t="n"/>
      <c r="D3848" s="9" t="n"/>
      <c r="E3848" s="9" t="n"/>
      <c r="F3848" s="25">
        <f>SUM(F3841:F3847)</f>
        <v/>
      </c>
      <c r="G3848" s="9" t="n"/>
    </row>
    <row r="3849">
      <c r="A3849" s="26" t="inlineStr">
        <is>
          <t>W as printed in the DAR</t>
        </is>
      </c>
      <c r="B3849" s="22" t="n"/>
      <c r="C3849" s="22" t="n"/>
      <c r="D3849" s="22" t="n"/>
      <c r="E3849" s="22" t="n"/>
      <c r="F3849" s="27" t="n">
        <v>5625.92</v>
      </c>
      <c r="G3849" s="22" t="n"/>
    </row>
    <row r="3850">
      <c r="A3850" s="26" t="inlineStr">
        <is>
          <t>Difference (calculated - printed)</t>
        </is>
      </c>
      <c r="B3850" s="22" t="n"/>
      <c r="C3850" s="22" t="n"/>
      <c r="D3850" s="22" t="n"/>
      <c r="E3850" s="22" t="n"/>
      <c r="F3850" s="27">
        <f>F3848-F3849</f>
        <v/>
      </c>
      <c r="G3850" s="22" t="n"/>
    </row>
    <row r="3851">
      <c r="A3851" s="29" t="inlineStr">
        <is>
          <t>SAY (Rs.) - final DAR rate as printed (fixed value, not computed)</t>
        </is>
      </c>
      <c r="B3851" s="30" t="n"/>
      <c r="C3851" s="30" t="n"/>
      <c r="D3851" s="30" t="n"/>
      <c r="E3851" s="30" t="n"/>
      <c r="F3851" s="31" t="n">
        <v>3162.65</v>
      </c>
      <c r="G3851" s="30" t="n"/>
    </row>
    <row r="3853" ht="33" customHeight="1">
      <c r="A3853" s="18" t="inlineStr">
        <is>
          <t>9.125</t>
        </is>
      </c>
      <c r="B3853" s="19" t="inlineStr">
        <is>
          <t>Providing and fixing PVC rigid foam sheet 1 mm thick on existing door shutters (bathroom and W.C. doors) using synthetic rubber based adhesive.</t>
        </is>
      </c>
      <c r="C3853" s="20" t="n"/>
      <c r="D3853" s="20" t="n"/>
      <c r="E3853" s="20" t="n"/>
      <c r="F3853" s="20" t="n"/>
      <c r="G3853" s="20" t="n"/>
    </row>
    <row r="3854">
      <c r="A3854" s="21" t="inlineStr">
        <is>
          <t>Details of cost for 0.3 sqm   |   Source: CivilDAR_2019_Vol_1.pdf, page 593</t>
        </is>
      </c>
    </row>
    <row r="3855">
      <c r="A3855" s="5" t="inlineStr">
        <is>
          <t>Code</t>
        </is>
      </c>
      <c r="B3855" s="5" t="inlineStr">
        <is>
          <t>Description</t>
        </is>
      </c>
      <c r="C3855" s="5" t="inlineStr">
        <is>
          <t>Unit</t>
        </is>
      </c>
      <c r="D3855" s="5" t="inlineStr">
        <is>
          <t>Quantity</t>
        </is>
      </c>
      <c r="E3855" s="5" t="inlineStr">
        <is>
          <t>Rate (Rs.)</t>
        </is>
      </c>
      <c r="F3855" s="5" t="inlineStr">
        <is>
          <t>Amount (Rs.)</t>
        </is>
      </c>
      <c r="G3855" s="5" t="inlineStr">
        <is>
          <t>Note</t>
        </is>
      </c>
    </row>
    <row r="3856">
      <c r="A3856" s="22" t="inlineStr">
        <is>
          <t>8006</t>
        </is>
      </c>
      <c r="B3856" s="11" t="inlineStr">
        <is>
          <t>Factory made PVC rigid foam sheet 1mm thick</t>
        </is>
      </c>
      <c r="C3856" s="22" t="inlineStr">
        <is>
          <t>sqm</t>
        </is>
      </c>
      <c r="D3856" s="23" t="n">
        <v>0.33</v>
      </c>
      <c r="E3856" s="24" t="n">
        <v>155.8</v>
      </c>
      <c r="F3856" s="24">
        <f>D3856*E3856</f>
        <v/>
      </c>
      <c r="G3856" s="22" t="n"/>
    </row>
    <row r="3857">
      <c r="A3857" s="22" t="inlineStr">
        <is>
          <t>9999</t>
        </is>
      </c>
      <c r="B3857" s="11" t="inlineStr">
        <is>
          <t>Rubber adhesive</t>
        </is>
      </c>
      <c r="C3857" s="22" t="inlineStr">
        <is>
          <t>L.S.</t>
        </is>
      </c>
      <c r="D3857" s="23" t="n">
        <v>21.84</v>
      </c>
      <c r="E3857" s="24" t="n">
        <v>2</v>
      </c>
      <c r="F3857" s="24">
        <f>D3857*E3857</f>
        <v/>
      </c>
      <c r="G3857" s="22" t="n"/>
    </row>
    <row r="3858">
      <c r="A3858" s="22" t="inlineStr">
        <is>
          <t>0111</t>
        </is>
      </c>
      <c r="B3858" s="11" t="inlineStr">
        <is>
          <t>Carpenter 1st class</t>
        </is>
      </c>
      <c r="C3858" s="22" t="inlineStr">
        <is>
          <t>day</t>
        </is>
      </c>
      <c r="D3858" s="23" t="n">
        <v>0.11</v>
      </c>
      <c r="E3858" s="24" t="n">
        <v>738</v>
      </c>
      <c r="F3858" s="24">
        <f>D3858*E3858</f>
        <v/>
      </c>
      <c r="G3858" s="22" t="n"/>
    </row>
    <row r="3859">
      <c r="A3859" s="22" t="inlineStr">
        <is>
          <t>0114</t>
        </is>
      </c>
      <c r="B3859" s="11" t="inlineStr">
        <is>
          <t>Beldar</t>
        </is>
      </c>
      <c r="C3859" s="22" t="inlineStr">
        <is>
          <t>day</t>
        </is>
      </c>
      <c r="D3859" s="23" t="n">
        <v>0.14</v>
      </c>
      <c r="E3859" s="24" t="n">
        <v>558</v>
      </c>
      <c r="F3859" s="24">
        <f>D3859*E3859</f>
        <v/>
      </c>
      <c r="G3859" s="22" t="n"/>
    </row>
    <row r="3860">
      <c r="A3860" s="22" t="inlineStr">
        <is>
          <t>0130</t>
        </is>
      </c>
      <c r="B3860" s="11" t="inlineStr">
        <is>
          <t>Mistry</t>
        </is>
      </c>
      <c r="C3860" s="22" t="inlineStr">
        <is>
          <t>day</t>
        </is>
      </c>
      <c r="D3860" s="23" t="n">
        <v>0.02</v>
      </c>
      <c r="E3860" s="24" t="n">
        <v>738</v>
      </c>
      <c r="F3860" s="24">
        <f>D3860*E3860</f>
        <v/>
      </c>
      <c r="G3860" s="22" t="n"/>
    </row>
    <row r="3861">
      <c r="A3861" s="8" t="inlineStr">
        <is>
          <t>Calculated W - SUM of the Amount column above</t>
        </is>
      </c>
      <c r="B3861" s="9" t="n"/>
      <c r="C3861" s="9" t="n"/>
      <c r="D3861" s="9" t="n"/>
      <c r="E3861" s="9" t="n"/>
      <c r="F3861" s="25">
        <f>SUM(F3856:F3860)</f>
        <v/>
      </c>
      <c r="G3861" s="9" t="n"/>
    </row>
    <row r="3862">
      <c r="A3862" s="26" t="inlineStr">
        <is>
          <t>W as printed in the DAR</t>
        </is>
      </c>
      <c r="B3862" s="22" t="n"/>
      <c r="C3862" s="22" t="n"/>
      <c r="D3862" s="22" t="n"/>
      <c r="E3862" s="22" t="n"/>
      <c r="F3862" s="27" t="n">
        <v>269.15</v>
      </c>
      <c r="G3862" s="22" t="n"/>
    </row>
    <row r="3863">
      <c r="A3863" s="26" t="inlineStr">
        <is>
          <t>Difference (calculated - printed)</t>
        </is>
      </c>
      <c r="B3863" s="22" t="n"/>
      <c r="C3863" s="22" t="n"/>
      <c r="D3863" s="22" t="n"/>
      <c r="E3863" s="22" t="n"/>
      <c r="F3863" s="27">
        <f>F3861-F3862</f>
        <v/>
      </c>
      <c r="G3863" s="22" t="n"/>
    </row>
    <row r="3864">
      <c r="A3864" s="29" t="inlineStr">
        <is>
          <t>SAY (Rs.) - final DAR rate as printed (fixed value, not computed)</t>
        </is>
      </c>
      <c r="B3864" s="30" t="n"/>
      <c r="C3864" s="30" t="n"/>
      <c r="D3864" s="30" t="n"/>
      <c r="E3864" s="30" t="n"/>
      <c r="F3864" s="31" t="n">
        <v>1200.35</v>
      </c>
      <c r="G3864" s="30" t="n"/>
    </row>
    <row r="3866" ht="47.5" customHeight="1">
      <c r="A3866" s="8" t="inlineStr">
        <is>
          <t>9.126</t>
        </is>
      </c>
      <c r="B3866" s="17"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is>
      </c>
      <c r="C3866" s="9" t="n"/>
      <c r="D3866" s="9" t="n"/>
      <c r="E3866" s="9" t="n"/>
      <c r="F3866" s="9" t="n"/>
      <c r="G3866" s="9" t="n"/>
    </row>
    <row r="3867" ht="18.5" customHeight="1">
      <c r="A3867" s="18" t="inlineStr">
        <is>
          <t>9.126.1</t>
        </is>
      </c>
      <c r="B3867" s="19" t="inlineStr">
        <is>
          <t>Marine plywood conforming to IS: 710</t>
        </is>
      </c>
      <c r="C3867" s="20" t="n"/>
      <c r="D3867" s="20" t="n"/>
      <c r="E3867" s="20" t="n"/>
      <c r="F3867" s="20" t="n"/>
      <c r="G3867" s="20" t="n"/>
    </row>
    <row r="3868">
      <c r="A3868" s="21" t="inlineStr">
        <is>
          <t>Details of cost for 0.66 sqm   |   Source: CivilDAR_2019_Vol_1.pdf, page 593</t>
        </is>
      </c>
    </row>
    <row r="3869">
      <c r="A3869" s="5" t="inlineStr">
        <is>
          <t>Code</t>
        </is>
      </c>
      <c r="B3869" s="5" t="inlineStr">
        <is>
          <t>Description</t>
        </is>
      </c>
      <c r="C3869" s="5" t="inlineStr">
        <is>
          <t>Unit</t>
        </is>
      </c>
      <c r="D3869" s="5" t="inlineStr">
        <is>
          <t>Quantity</t>
        </is>
      </c>
      <c r="E3869" s="5" t="inlineStr">
        <is>
          <t>Rate (Rs.)</t>
        </is>
      </c>
      <c r="F3869" s="5" t="inlineStr">
        <is>
          <t>Amount (Rs.)</t>
        </is>
      </c>
      <c r="G3869" s="5" t="inlineStr">
        <is>
          <t>Note</t>
        </is>
      </c>
    </row>
    <row r="3870">
      <c r="A3870" s="22" t="inlineStr">
        <is>
          <t>8724</t>
        </is>
      </c>
      <c r="B3870" s="11" t="inlineStr">
        <is>
          <t>12mm thick marine plywood conforming to IS:710</t>
        </is>
      </c>
      <c r="C3870" s="22" t="inlineStr">
        <is>
          <t>sqm</t>
        </is>
      </c>
      <c r="D3870" s="23" t="n">
        <v>0.8</v>
      </c>
      <c r="E3870" s="24" t="n">
        <v>695</v>
      </c>
      <c r="F3870" s="24">
        <f>D3870*E3870</f>
        <v/>
      </c>
      <c r="G3870" s="22" t="n"/>
    </row>
    <row r="3871">
      <c r="A3871" s="22" t="inlineStr">
        <is>
          <t>9977</t>
        </is>
      </c>
      <c r="B3871" s="11" t="inlineStr">
        <is>
          <t>Carriage of Plywood</t>
        </is>
      </c>
      <c r="C3871" s="22" t="inlineStr">
        <is>
          <t>L.S.</t>
        </is>
      </c>
      <c r="D3871" s="23" t="n">
        <v>1.82</v>
      </c>
      <c r="E3871" s="24" t="n">
        <v>2</v>
      </c>
      <c r="F3871" s="24">
        <f>D3871*E3871</f>
        <v/>
      </c>
      <c r="G3871" s="22" t="n"/>
    </row>
    <row r="3872">
      <c r="A3872" s="22" t="inlineStr">
        <is>
          <t>0111</t>
        </is>
      </c>
      <c r="B3872" s="11" t="inlineStr">
        <is>
          <t>Carpenter 1st class</t>
        </is>
      </c>
      <c r="C3872" s="22" t="inlineStr">
        <is>
          <t>day</t>
        </is>
      </c>
      <c r="D3872" s="23" t="n">
        <v>0.57</v>
      </c>
      <c r="E3872" s="24" t="n">
        <v>738</v>
      </c>
      <c r="F3872" s="24">
        <f>D3872*E3872</f>
        <v/>
      </c>
      <c r="G3872" s="22" t="n"/>
    </row>
    <row r="3873">
      <c r="A3873" s="22" t="inlineStr">
        <is>
          <t>9999</t>
        </is>
      </c>
      <c r="B3873" s="11" t="inlineStr">
        <is>
          <t>Sundries</t>
        </is>
      </c>
      <c r="C3873" s="22" t="inlineStr">
        <is>
          <t>L.S.</t>
        </is>
      </c>
      <c r="D3873" s="23" t="n">
        <v>4.42</v>
      </c>
      <c r="E3873" s="24" t="n">
        <v>2</v>
      </c>
      <c r="F3873" s="24">
        <f>D3873*E3873</f>
        <v/>
      </c>
      <c r="G3873" s="22" t="n"/>
    </row>
    <row r="3874">
      <c r="A3874" s="8" t="inlineStr">
        <is>
          <t>Calculated W - SUM of the Amount column above</t>
        </is>
      </c>
      <c r="B3874" s="9" t="n"/>
      <c r="C3874" s="9" t="n"/>
      <c r="D3874" s="9" t="n"/>
      <c r="E3874" s="9" t="n"/>
      <c r="F3874" s="25">
        <f>SUM(F3870:F3873)</f>
        <v/>
      </c>
      <c r="G3874" s="9" t="n"/>
    </row>
    <row r="3875">
      <c r="A3875" s="26" t="inlineStr">
        <is>
          <t>W as printed in the DAR</t>
        </is>
      </c>
      <c r="B3875" s="22" t="n"/>
      <c r="C3875" s="22" t="n"/>
      <c r="D3875" s="22" t="n"/>
      <c r="E3875" s="22" t="n"/>
      <c r="F3875" s="27" t="n">
        <v>989.14</v>
      </c>
      <c r="G3875" s="22" t="n"/>
    </row>
    <row r="3876">
      <c r="A3876" s="26" t="inlineStr">
        <is>
          <t>Difference (calculated - printed)</t>
        </is>
      </c>
      <c r="B3876" s="22" t="n"/>
      <c r="C3876" s="22" t="n"/>
      <c r="D3876" s="22" t="n"/>
      <c r="E3876" s="22" t="n"/>
      <c r="F3876" s="27">
        <f>F3874-F3875</f>
        <v/>
      </c>
      <c r="G3876" s="22" t="n"/>
    </row>
    <row r="3877">
      <c r="A3877" s="29" t="inlineStr">
        <is>
          <t>SAY (Rs.) - final DAR rate as printed (fixed value, not computed)</t>
        </is>
      </c>
      <c r="B3877" s="30" t="n"/>
      <c r="C3877" s="30" t="n"/>
      <c r="D3877" s="30" t="n"/>
      <c r="E3877" s="30" t="n"/>
      <c r="F3877" s="31" t="n">
        <v>2005.15</v>
      </c>
      <c r="G3877" s="30" t="n"/>
    </row>
    <row r="3879" ht="47.5" customHeight="1">
      <c r="A3879" s="8" t="inlineStr">
        <is>
          <t>9.126</t>
        </is>
      </c>
      <c r="B3879" s="17"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is>
      </c>
      <c r="C3879" s="9" t="n"/>
      <c r="D3879" s="9" t="n"/>
      <c r="E3879" s="9" t="n"/>
      <c r="F3879" s="9" t="n"/>
      <c r="G3879" s="9" t="n"/>
    </row>
    <row r="3880" ht="18.5" customHeight="1">
      <c r="A3880" s="18" t="inlineStr">
        <is>
          <t>9.126.2</t>
        </is>
      </c>
      <c r="B3880" s="19" t="inlineStr">
        <is>
          <t>Fire retardant plywood conforming to IS: 5509</t>
        </is>
      </c>
      <c r="C3880" s="20" t="n"/>
      <c r="D3880" s="20" t="n"/>
      <c r="E3880" s="20" t="n"/>
      <c r="F3880" s="20" t="n"/>
      <c r="G3880" s="20" t="n"/>
    </row>
    <row r="3881">
      <c r="A3881" s="21" t="inlineStr">
        <is>
          <t>Details of cost for 0.66 sqm   |   Source: CivilDAR_2019_Vol_1.pdf, page 594</t>
        </is>
      </c>
    </row>
    <row r="3882">
      <c r="A3882" s="5" t="inlineStr">
        <is>
          <t>Code</t>
        </is>
      </c>
      <c r="B3882" s="5" t="inlineStr">
        <is>
          <t>Description</t>
        </is>
      </c>
      <c r="C3882" s="5" t="inlineStr">
        <is>
          <t>Unit</t>
        </is>
      </c>
      <c r="D3882" s="5" t="inlineStr">
        <is>
          <t>Quantity</t>
        </is>
      </c>
      <c r="E3882" s="5" t="inlineStr">
        <is>
          <t>Rate (Rs.)</t>
        </is>
      </c>
      <c r="F3882" s="5" t="inlineStr">
        <is>
          <t>Amount (Rs.)</t>
        </is>
      </c>
      <c r="G3882" s="5" t="inlineStr">
        <is>
          <t>Note</t>
        </is>
      </c>
    </row>
    <row r="3883">
      <c r="A3883" s="22" t="inlineStr">
        <is>
          <t>8725</t>
        </is>
      </c>
      <c r="B3883" s="11" t="inlineStr">
        <is>
          <t>12mm thick fire retardant plywood conforming to IS: 5509.</t>
        </is>
      </c>
      <c r="C3883" s="22" t="inlineStr">
        <is>
          <t>sqm</t>
        </is>
      </c>
      <c r="D3883" s="23" t="n">
        <v>0.8</v>
      </c>
      <c r="E3883" s="24" t="n">
        <v>850</v>
      </c>
      <c r="F3883" s="24">
        <f>D3883*E3883</f>
        <v/>
      </c>
      <c r="G3883" s="22" t="n"/>
    </row>
    <row r="3884">
      <c r="A3884" s="22" t="inlineStr">
        <is>
          <t>9977</t>
        </is>
      </c>
      <c r="B3884" s="11" t="inlineStr">
        <is>
          <t>Carriage of Plywood</t>
        </is>
      </c>
      <c r="C3884" s="22" t="inlineStr">
        <is>
          <t>L.S.</t>
        </is>
      </c>
      <c r="D3884" s="23" t="n">
        <v>1.82</v>
      </c>
      <c r="E3884" s="24" t="n">
        <v>2</v>
      </c>
      <c r="F3884" s="24">
        <f>D3884*E3884</f>
        <v/>
      </c>
      <c r="G3884" s="22" t="n"/>
    </row>
    <row r="3885">
      <c r="A3885" s="22" t="inlineStr">
        <is>
          <t>0111</t>
        </is>
      </c>
      <c r="B3885" s="11" t="inlineStr">
        <is>
          <t>Carpenter 1st class</t>
        </is>
      </c>
      <c r="C3885" s="22" t="inlineStr">
        <is>
          <t>day</t>
        </is>
      </c>
      <c r="D3885" s="23" t="n">
        <v>0.57</v>
      </c>
      <c r="E3885" s="24" t="n">
        <v>738</v>
      </c>
      <c r="F3885" s="24">
        <f>D3885*E3885</f>
        <v/>
      </c>
      <c r="G3885" s="22" t="n"/>
    </row>
    <row r="3886">
      <c r="A3886" s="22" t="inlineStr">
        <is>
          <t>9999</t>
        </is>
      </c>
      <c r="B3886" s="11" t="inlineStr">
        <is>
          <t>Sundries</t>
        </is>
      </c>
      <c r="C3886" s="22" t="inlineStr">
        <is>
          <t>L.S.</t>
        </is>
      </c>
      <c r="D3886" s="23" t="n">
        <v>4.42</v>
      </c>
      <c r="E3886" s="24" t="n">
        <v>2</v>
      </c>
      <c r="F3886" s="24">
        <f>D3886*E3886</f>
        <v/>
      </c>
      <c r="G3886" s="22" t="n"/>
    </row>
    <row r="3887">
      <c r="A3887" s="8" t="inlineStr">
        <is>
          <t>Calculated W - SUM of the Amount column above</t>
        </is>
      </c>
      <c r="B3887" s="9" t="n"/>
      <c r="C3887" s="9" t="n"/>
      <c r="D3887" s="9" t="n"/>
      <c r="E3887" s="9" t="n"/>
      <c r="F3887" s="25">
        <f>SUM(F3883:F3886)</f>
        <v/>
      </c>
      <c r="G3887" s="9" t="n"/>
    </row>
    <row r="3888">
      <c r="A3888" s="26" t="inlineStr">
        <is>
          <t>W as printed in the DAR</t>
        </is>
      </c>
      <c r="B3888" s="22" t="n"/>
      <c r="C3888" s="22" t="n"/>
      <c r="D3888" s="22" t="n"/>
      <c r="E3888" s="22" t="n"/>
      <c r="F3888" s="27" t="n">
        <v>1113.14</v>
      </c>
      <c r="G3888" s="22" t="n"/>
    </row>
    <row r="3889">
      <c r="A3889" s="26" t="inlineStr">
        <is>
          <t>Difference (calculated - printed)</t>
        </is>
      </c>
      <c r="B3889" s="22" t="n"/>
      <c r="C3889" s="22" t="n"/>
      <c r="D3889" s="22" t="n"/>
      <c r="E3889" s="22" t="n"/>
      <c r="F3889" s="27">
        <f>F3887-F3888</f>
        <v/>
      </c>
      <c r="G3889" s="22" t="n"/>
    </row>
    <row r="3890">
      <c r="A3890" s="29" t="inlineStr">
        <is>
          <t>SAY (Rs.) - final DAR rate as printed (fixed value, not computed)</t>
        </is>
      </c>
      <c r="B3890" s="30" t="n"/>
      <c r="C3890" s="30" t="n"/>
      <c r="D3890" s="30" t="n"/>
      <c r="E3890" s="30" t="n"/>
      <c r="F3890" s="31" t="n">
        <v>2256.55</v>
      </c>
      <c r="G3890" s="30" t="n"/>
    </row>
    <row r="3892" ht="47.5" customHeight="1">
      <c r="A3892" s="8" t="inlineStr">
        <is>
          <t>9.127</t>
        </is>
      </c>
      <c r="B3892" s="17"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t>
        </is>
      </c>
      <c r="C3892" s="9" t="n"/>
      <c r="D3892" s="9" t="n"/>
      <c r="E3892" s="9" t="n"/>
      <c r="F3892" s="9" t="n"/>
      <c r="G3892" s="9" t="n"/>
    </row>
    <row r="3893" ht="18.5" customHeight="1">
      <c r="A3893" s="18" t="inlineStr">
        <is>
          <t>9.127.1</t>
        </is>
      </c>
      <c r="B3893" s="19" t="inlineStr">
        <is>
          <t>1.5 mm thick</t>
        </is>
      </c>
      <c r="C3893" s="20" t="n"/>
      <c r="D3893" s="20" t="n"/>
      <c r="E3893" s="20" t="n"/>
      <c r="F3893" s="20" t="n"/>
      <c r="G3893" s="20" t="n"/>
    </row>
    <row r="3894">
      <c r="A3894" s="21" t="inlineStr">
        <is>
          <t>Details of cost for 5 sqm   |   Source: CivilDAR_2019_Vol_1.pdf, page 595</t>
        </is>
      </c>
    </row>
    <row r="3895">
      <c r="A3895" s="5" t="inlineStr">
        <is>
          <t>Code</t>
        </is>
      </c>
      <c r="B3895" s="5" t="inlineStr">
        <is>
          <t>Description</t>
        </is>
      </c>
      <c r="C3895" s="5" t="inlineStr">
        <is>
          <t>Unit</t>
        </is>
      </c>
      <c r="D3895" s="5" t="inlineStr">
        <is>
          <t>Quantity</t>
        </is>
      </c>
      <c r="E3895" s="5" t="inlineStr">
        <is>
          <t>Rate (Rs.)</t>
        </is>
      </c>
      <c r="F3895" s="5" t="inlineStr">
        <is>
          <t>Amount (Rs.)</t>
        </is>
      </c>
      <c r="G3895" s="5" t="inlineStr">
        <is>
          <t>Note</t>
        </is>
      </c>
    </row>
    <row r="3896">
      <c r="A3896" s="22" t="inlineStr">
        <is>
          <t>8726</t>
        </is>
      </c>
      <c r="B3896" s="11" t="inlineStr">
        <is>
          <t>1.5mm thick decorative laminated sheet</t>
        </is>
      </c>
      <c r="C3896" s="22" t="inlineStr">
        <is>
          <t>sqm</t>
        </is>
      </c>
      <c r="D3896" s="23" t="n">
        <v>5.5</v>
      </c>
      <c r="E3896" s="24" t="n">
        <v>365</v>
      </c>
      <c r="F3896" s="24">
        <f>D3896*E3896</f>
        <v/>
      </c>
      <c r="G3896" s="22" t="n"/>
    </row>
    <row r="3897">
      <c r="A3897" s="22" t="inlineStr">
        <is>
          <t>9999</t>
        </is>
      </c>
      <c r="B3897" s="11" t="inlineStr">
        <is>
          <t>Adhesive</t>
        </is>
      </c>
      <c r="C3897" s="22" t="inlineStr">
        <is>
          <t>L.S.</t>
        </is>
      </c>
      <c r="D3897" s="23" t="n">
        <v>195</v>
      </c>
      <c r="E3897" s="24" t="n">
        <v>2</v>
      </c>
      <c r="F3897" s="24">
        <f>D3897*E3897</f>
        <v/>
      </c>
      <c r="G3897" s="22" t="n"/>
    </row>
    <row r="3898">
      <c r="A3898" s="22" t="inlineStr">
        <is>
          <t>0111</t>
        </is>
      </c>
      <c r="B3898" s="11" t="inlineStr">
        <is>
          <t>Carpenter 1st class</t>
        </is>
      </c>
      <c r="C3898" s="22" t="inlineStr">
        <is>
          <t>day</t>
        </is>
      </c>
      <c r="D3898" s="23" t="n">
        <v>0.5</v>
      </c>
      <c r="E3898" s="24" t="n">
        <v>738</v>
      </c>
      <c r="F3898" s="24">
        <f>D3898*E3898</f>
        <v/>
      </c>
      <c r="G3898" s="22" t="n"/>
    </row>
    <row r="3899">
      <c r="A3899" s="22" t="inlineStr">
        <is>
          <t>0114</t>
        </is>
      </c>
      <c r="B3899" s="11" t="inlineStr">
        <is>
          <t>Beldar</t>
        </is>
      </c>
      <c r="C3899" s="22" t="inlineStr">
        <is>
          <t>day</t>
        </is>
      </c>
      <c r="D3899" s="23" t="n">
        <v>0.5</v>
      </c>
      <c r="E3899" s="24" t="n">
        <v>558</v>
      </c>
      <c r="F3899" s="24">
        <f>D3899*E3899</f>
        <v/>
      </c>
      <c r="G3899" s="22" t="n"/>
    </row>
    <row r="3900">
      <c r="A3900" s="22" t="inlineStr">
        <is>
          <t>9999</t>
        </is>
      </c>
      <c r="B3900" s="11" t="inlineStr">
        <is>
          <t>Sundries i/c nails etc.</t>
        </is>
      </c>
      <c r="C3900" s="22" t="inlineStr">
        <is>
          <t>L.S.</t>
        </is>
      </c>
      <c r="D3900" s="23" t="n">
        <v>52</v>
      </c>
      <c r="E3900" s="24" t="n">
        <v>2</v>
      </c>
      <c r="F3900" s="24">
        <f>D3900*E3900</f>
        <v/>
      </c>
      <c r="G3900" s="22" t="n"/>
    </row>
    <row r="3901">
      <c r="A3901" s="8" t="inlineStr">
        <is>
          <t>Calculated W - SUM of the Amount column above</t>
        </is>
      </c>
      <c r="B3901" s="9" t="n"/>
      <c r="C3901" s="9" t="n"/>
      <c r="D3901" s="9" t="n"/>
      <c r="E3901" s="9" t="n"/>
      <c r="F3901" s="25">
        <f>SUM(F3896:F3900)</f>
        <v/>
      </c>
      <c r="G3901" s="9" t="n"/>
    </row>
    <row r="3902">
      <c r="A3902" s="26" t="inlineStr">
        <is>
          <t>W as printed in the DAR</t>
        </is>
      </c>
      <c r="B3902" s="22" t="n"/>
      <c r="C3902" s="22" t="n"/>
      <c r="D3902" s="22" t="n"/>
      <c r="E3902" s="22" t="n"/>
      <c r="F3902" s="27" t="n">
        <v>3149.5</v>
      </c>
      <c r="G3902" s="22" t="n"/>
    </row>
    <row r="3903">
      <c r="A3903" s="26" t="inlineStr">
        <is>
          <t>Difference (calculated - printed)</t>
        </is>
      </c>
      <c r="B3903" s="22" t="n"/>
      <c r="C3903" s="22" t="n"/>
      <c r="D3903" s="22" t="n"/>
      <c r="E3903" s="22" t="n"/>
      <c r="F3903" s="27">
        <f>F3901-F3902</f>
        <v/>
      </c>
      <c r="G3903" s="22" t="n"/>
    </row>
    <row r="3904">
      <c r="A3904" s="29" t="inlineStr">
        <is>
          <t>SAY (Rs.) - final DAR rate as printed (fixed value, not computed)</t>
        </is>
      </c>
      <c r="B3904" s="30" t="n"/>
      <c r="C3904" s="30" t="n"/>
      <c r="D3904" s="30" t="n"/>
      <c r="E3904" s="30" t="n"/>
      <c r="F3904" s="31" t="n">
        <v>842.75</v>
      </c>
      <c r="G3904" s="30" t="n"/>
    </row>
    <row r="3906" ht="47.5" customHeight="1">
      <c r="A3906" s="8" t="inlineStr">
        <is>
          <t>9.127</t>
        </is>
      </c>
      <c r="B3906" s="17"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t>
        </is>
      </c>
      <c r="C3906" s="9" t="n"/>
      <c r="D3906" s="9" t="n"/>
      <c r="E3906" s="9" t="n"/>
      <c r="F3906" s="9" t="n"/>
      <c r="G3906" s="9" t="n"/>
    </row>
    <row r="3907" ht="18.5" customHeight="1">
      <c r="A3907" s="18" t="inlineStr">
        <is>
          <t>9.127.2</t>
        </is>
      </c>
      <c r="B3907" s="19" t="inlineStr">
        <is>
          <t>1.0 mm thick</t>
        </is>
      </c>
      <c r="C3907" s="20" t="n"/>
      <c r="D3907" s="20" t="n"/>
      <c r="E3907" s="20" t="n"/>
      <c r="F3907" s="20" t="n"/>
      <c r="G3907" s="20" t="n"/>
    </row>
    <row r="3908">
      <c r="A3908" s="21" t="inlineStr">
        <is>
          <t>Details of cost for 5 sqm   |   Source: CivilDAR_2019_Vol_1.pdf, page 595</t>
        </is>
      </c>
    </row>
    <row r="3909">
      <c r="A3909" s="5" t="inlineStr">
        <is>
          <t>Code</t>
        </is>
      </c>
      <c r="B3909" s="5" t="inlineStr">
        <is>
          <t>Description</t>
        </is>
      </c>
      <c r="C3909" s="5" t="inlineStr">
        <is>
          <t>Unit</t>
        </is>
      </c>
      <c r="D3909" s="5" t="inlineStr">
        <is>
          <t>Quantity</t>
        </is>
      </c>
      <c r="E3909" s="5" t="inlineStr">
        <is>
          <t>Rate (Rs.)</t>
        </is>
      </c>
      <c r="F3909" s="5" t="inlineStr">
        <is>
          <t>Amount (Rs.)</t>
        </is>
      </c>
      <c r="G3909" s="5" t="inlineStr">
        <is>
          <t>Note</t>
        </is>
      </c>
    </row>
    <row r="3910">
      <c r="A3910" s="22" t="inlineStr">
        <is>
          <t>8727</t>
        </is>
      </c>
      <c r="B3910" s="11" t="inlineStr">
        <is>
          <t>1.0mm thick decorative laminated sheet</t>
        </is>
      </c>
      <c r="C3910" s="22" t="inlineStr">
        <is>
          <t>sqm</t>
        </is>
      </c>
      <c r="D3910" s="23" t="n">
        <v>5.5</v>
      </c>
      <c r="E3910" s="24" t="n">
        <v>280</v>
      </c>
      <c r="F3910" s="24">
        <f>D3910*E3910</f>
        <v/>
      </c>
      <c r="G3910" s="22" t="n"/>
    </row>
    <row r="3911">
      <c r="A3911" s="22" t="inlineStr">
        <is>
          <t>9999</t>
        </is>
      </c>
      <c r="B3911" s="11" t="inlineStr">
        <is>
          <t>Adhesive</t>
        </is>
      </c>
      <c r="C3911" s="22" t="inlineStr">
        <is>
          <t>L.S.</t>
        </is>
      </c>
      <c r="D3911" s="23" t="n">
        <v>195</v>
      </c>
      <c r="E3911" s="24" t="n">
        <v>2</v>
      </c>
      <c r="F3911" s="24">
        <f>D3911*E3911</f>
        <v/>
      </c>
      <c r="G3911" s="22" t="n"/>
    </row>
    <row r="3912">
      <c r="A3912" s="22" t="inlineStr">
        <is>
          <t>0111</t>
        </is>
      </c>
      <c r="B3912" s="11" t="inlineStr">
        <is>
          <t>Carpenter 1st class</t>
        </is>
      </c>
      <c r="C3912" s="22" t="inlineStr">
        <is>
          <t>day</t>
        </is>
      </c>
      <c r="D3912" s="23" t="n">
        <v>0.5</v>
      </c>
      <c r="E3912" s="24" t="n">
        <v>738</v>
      </c>
      <c r="F3912" s="24">
        <f>D3912*E3912</f>
        <v/>
      </c>
      <c r="G3912" s="22" t="n"/>
    </row>
    <row r="3913">
      <c r="A3913" s="22" t="inlineStr">
        <is>
          <t>0114</t>
        </is>
      </c>
      <c r="B3913" s="11" t="inlineStr">
        <is>
          <t>Beldar</t>
        </is>
      </c>
      <c r="C3913" s="22" t="inlineStr">
        <is>
          <t>day</t>
        </is>
      </c>
      <c r="D3913" s="23" t="n">
        <v>0.5</v>
      </c>
      <c r="E3913" s="24" t="n">
        <v>558</v>
      </c>
      <c r="F3913" s="24">
        <f>D3913*E3913</f>
        <v/>
      </c>
      <c r="G3913" s="22" t="n"/>
    </row>
    <row r="3914">
      <c r="A3914" s="22" t="inlineStr">
        <is>
          <t>9999</t>
        </is>
      </c>
      <c r="B3914" s="11" t="inlineStr">
        <is>
          <t>Sundries i/c nails etc.</t>
        </is>
      </c>
      <c r="C3914" s="22" t="inlineStr">
        <is>
          <t>L.S.</t>
        </is>
      </c>
      <c r="D3914" s="23" t="n">
        <v>52</v>
      </c>
      <c r="E3914" s="24" t="n">
        <v>2</v>
      </c>
      <c r="F3914" s="24">
        <f>D3914*E3914</f>
        <v/>
      </c>
      <c r="G3914" s="22" t="n"/>
    </row>
    <row r="3915">
      <c r="A3915" s="8" t="inlineStr">
        <is>
          <t>Calculated W - SUM of the Amount column above</t>
        </is>
      </c>
      <c r="B3915" s="9" t="n"/>
      <c r="C3915" s="9" t="n"/>
      <c r="D3915" s="9" t="n"/>
      <c r="E3915" s="9" t="n"/>
      <c r="F3915" s="25">
        <f>SUM(F3910:F3914)</f>
        <v/>
      </c>
      <c r="G3915" s="9" t="n"/>
    </row>
    <row r="3916">
      <c r="A3916" s="26" t="inlineStr">
        <is>
          <t>W as printed in the DAR</t>
        </is>
      </c>
      <c r="B3916" s="22" t="n"/>
      <c r="C3916" s="22" t="n"/>
      <c r="D3916" s="22" t="n"/>
      <c r="E3916" s="22" t="n"/>
      <c r="F3916" s="27" t="n">
        <v>2682</v>
      </c>
      <c r="G3916" s="22" t="n"/>
    </row>
    <row r="3917">
      <c r="A3917" s="26" t="inlineStr">
        <is>
          <t>Difference (calculated - printed)</t>
        </is>
      </c>
      <c r="B3917" s="22" t="n"/>
      <c r="C3917" s="22" t="n"/>
      <c r="D3917" s="22" t="n"/>
      <c r="E3917" s="22" t="n"/>
      <c r="F3917" s="27">
        <f>F3915-F3916</f>
        <v/>
      </c>
      <c r="G3917" s="22" t="n"/>
    </row>
    <row r="3918">
      <c r="A3918" s="29" t="inlineStr">
        <is>
          <t>SAY (Rs.) - final DAR rate as printed (fixed value, not computed)</t>
        </is>
      </c>
      <c r="B3918" s="30" t="n"/>
      <c r="C3918" s="30" t="n"/>
      <c r="D3918" s="30" t="n"/>
      <c r="E3918" s="30" t="n"/>
      <c r="F3918" s="31" t="n">
        <v>717.65</v>
      </c>
      <c r="G3918" s="30" t="n"/>
    </row>
    <row r="3920" ht="120" customHeight="1">
      <c r="A3920" s="18" t="inlineStr">
        <is>
          <t>9.128</t>
        </is>
      </c>
      <c r="B3920" s="19" t="inlineStr">
        <is>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t>
        </is>
      </c>
      <c r="C3920" s="20" t="n"/>
      <c r="D3920" s="20" t="n"/>
      <c r="E3920" s="20" t="n"/>
      <c r="F3920" s="20" t="n"/>
      <c r="G3920" s="20" t="n"/>
    </row>
    <row r="3921" ht="18.5" customHeight="1">
      <c r="A3921" s="20" t="n"/>
      <c r="B3921" s="19" t="inlineStr">
        <is>
          <t>(Only plan area of chajjas shall be measured for making payment).</t>
        </is>
      </c>
      <c r="C3921" s="20" t="n"/>
      <c r="D3921" s="20" t="n"/>
      <c r="E3921" s="20" t="n"/>
      <c r="F3921" s="20" t="n"/>
      <c r="G3921" s="20" t="n"/>
    </row>
    <row r="3922">
      <c r="A3922" s="21" t="inlineStr">
        <is>
          <t>Details of cost for 0.54 sqm   |   Source: CivilDAR_2019_Vol_1.pdf, page 596</t>
        </is>
      </c>
    </row>
    <row r="3923">
      <c r="A3923" s="5" t="inlineStr">
        <is>
          <t>Code</t>
        </is>
      </c>
      <c r="B3923" s="5" t="inlineStr">
        <is>
          <t>Description</t>
        </is>
      </c>
      <c r="C3923" s="5" t="inlineStr">
        <is>
          <t>Unit</t>
        </is>
      </c>
      <c r="D3923" s="5" t="inlineStr">
        <is>
          <t>Quantity</t>
        </is>
      </c>
      <c r="E3923" s="5" t="inlineStr">
        <is>
          <t>Rate (Rs.)</t>
        </is>
      </c>
      <c r="F3923" s="5" t="inlineStr">
        <is>
          <t>Amount (Rs.)</t>
        </is>
      </c>
      <c r="G3923" s="5" t="inlineStr">
        <is>
          <t>Note</t>
        </is>
      </c>
    </row>
    <row r="3924">
      <c r="A3924" s="22" t="inlineStr">
        <is>
          <t>8713</t>
        </is>
      </c>
      <c r="B3924" s="11" t="inlineStr">
        <is>
          <t>Fiber glass reinforced plastic chajja. including accessories</t>
        </is>
      </c>
      <c r="C3924" s="22" t="inlineStr">
        <is>
          <t>sqm</t>
        </is>
      </c>
      <c r="D3924" s="23" t="n">
        <v>0.54</v>
      </c>
      <c r="E3924" s="24" t="n">
        <v>3000</v>
      </c>
      <c r="F3924" s="24">
        <f>D3924*E3924</f>
        <v/>
      </c>
      <c r="G3924" s="22" t="n"/>
    </row>
    <row r="3925">
      <c r="A3925" s="22" t="inlineStr">
        <is>
          <t>9977</t>
        </is>
      </c>
      <c r="B3925" s="11" t="inlineStr">
        <is>
          <t>Carriage</t>
        </is>
      </c>
      <c r="C3925" s="22" t="inlineStr">
        <is>
          <t>L.S.</t>
        </is>
      </c>
      <c r="D3925" s="23" t="n">
        <v>26</v>
      </c>
      <c r="E3925" s="24" t="n">
        <v>2</v>
      </c>
      <c r="F3925" s="24">
        <f>D3925*E3925</f>
        <v/>
      </c>
      <c r="G3925" s="22" t="n"/>
    </row>
    <row r="3926">
      <c r="A3926" s="22" t="inlineStr">
        <is>
          <t>9999</t>
        </is>
      </c>
      <c r="B3926" s="11" t="inlineStr">
        <is>
          <t>fixing charges including sundries.</t>
        </is>
      </c>
      <c r="C3926" s="22" t="inlineStr">
        <is>
          <t>L.S.</t>
        </is>
      </c>
      <c r="D3926" s="23" t="n">
        <v>143</v>
      </c>
      <c r="E3926" s="24" t="n">
        <v>2</v>
      </c>
      <c r="F3926" s="24">
        <f>D3926*E3926</f>
        <v/>
      </c>
      <c r="G3926" s="22" t="n"/>
    </row>
    <row r="3927">
      <c r="A3927" s="8" t="inlineStr">
        <is>
          <t>Calculated W - SUM of the Amount column above</t>
        </is>
      </c>
      <c r="B3927" s="9" t="n"/>
      <c r="C3927" s="9" t="n"/>
      <c r="D3927" s="9" t="n"/>
      <c r="E3927" s="9" t="n"/>
      <c r="F3927" s="25">
        <f>SUM(F3924:F3926)</f>
        <v/>
      </c>
      <c r="G3927" s="9" t="n"/>
    </row>
    <row r="3928">
      <c r="A3928" s="26" t="inlineStr">
        <is>
          <t>W as printed in the DAR</t>
        </is>
      </c>
      <c r="B3928" s="22" t="n"/>
      <c r="C3928" s="22" t="n"/>
      <c r="D3928" s="22" t="n"/>
      <c r="E3928" s="22" t="n"/>
      <c r="F3928" s="27" t="n">
        <v>1958</v>
      </c>
      <c r="G3928" s="22" t="n"/>
    </row>
    <row r="3929">
      <c r="A3929" s="26" t="inlineStr">
        <is>
          <t>Difference (calculated - printed)</t>
        </is>
      </c>
      <c r="B3929" s="22" t="n"/>
      <c r="C3929" s="22" t="n"/>
      <c r="D3929" s="22" t="n"/>
      <c r="E3929" s="22" t="n"/>
      <c r="F3929" s="27">
        <f>F3927-F3928</f>
        <v/>
      </c>
      <c r="G3929" s="22" t="n"/>
    </row>
    <row r="3930">
      <c r="A3930" s="29" t="inlineStr">
        <is>
          <t>SAY (Rs.) - final DAR rate as printed (fixed value, not computed)</t>
        </is>
      </c>
      <c r="B3930" s="30" t="n"/>
      <c r="C3930" s="30" t="n"/>
      <c r="D3930" s="30" t="n"/>
      <c r="E3930" s="30" t="n"/>
      <c r="F3930" s="31" t="n">
        <v>4851.25</v>
      </c>
      <c r="G3930" s="30" t="n"/>
    </row>
    <row r="3932" ht="62" customHeight="1">
      <c r="A3932" s="18" t="inlineStr">
        <is>
          <t>9.129</t>
        </is>
      </c>
      <c r="B3932" s="19" t="inlineStr">
        <is>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is>
      </c>
      <c r="C3932" s="20" t="n"/>
      <c r="D3932" s="20" t="n"/>
      <c r="E3932" s="20" t="n"/>
      <c r="F3932" s="20" t="n"/>
      <c r="G3932" s="20" t="n"/>
    </row>
    <row r="3933">
      <c r="A3933" s="21" t="inlineStr">
        <is>
          <t>Details of cost for 2.2 sqm   |   Source: CivilDAR_2019_Vol_1.pdf, page 596</t>
        </is>
      </c>
    </row>
    <row r="3934">
      <c r="A3934" s="5" t="inlineStr">
        <is>
          <t>Code</t>
        </is>
      </c>
      <c r="B3934" s="5" t="inlineStr">
        <is>
          <t>Description</t>
        </is>
      </c>
      <c r="C3934" s="5" t="inlineStr">
        <is>
          <t>Unit</t>
        </is>
      </c>
      <c r="D3934" s="5" t="inlineStr">
        <is>
          <t>Quantity</t>
        </is>
      </c>
      <c r="E3934" s="5" t="inlineStr">
        <is>
          <t>Rate (Rs.)</t>
        </is>
      </c>
      <c r="F3934" s="5" t="inlineStr">
        <is>
          <t>Amount (Rs.)</t>
        </is>
      </c>
      <c r="G3934" s="5" t="inlineStr">
        <is>
          <t>Note</t>
        </is>
      </c>
    </row>
    <row r="3935">
      <c r="A3935" s="22" t="inlineStr">
        <is>
          <t>7272</t>
        </is>
      </c>
      <c r="B3935" s="11" t="inlineStr">
        <is>
          <t>25 mm thick melamine faced prelam inated three layer particle board</t>
        </is>
      </c>
      <c r="C3935" s="22" t="inlineStr">
        <is>
          <t>sqm</t>
        </is>
      </c>
      <c r="D3935" s="23" t="n">
        <v>2.2</v>
      </c>
      <c r="E3935" s="24" t="n">
        <v>900</v>
      </c>
      <c r="F3935" s="24">
        <f>D3935*E3935</f>
        <v/>
      </c>
      <c r="G3935" s="22" t="n"/>
    </row>
    <row r="3936">
      <c r="A3936" s="22" t="inlineStr">
        <is>
          <t>9977</t>
        </is>
      </c>
      <c r="B3936" s="11" t="inlineStr">
        <is>
          <t>CARRIAGE</t>
        </is>
      </c>
      <c r="C3936" s="22" t="inlineStr">
        <is>
          <t>L.S.</t>
        </is>
      </c>
      <c r="D3936" s="23" t="n">
        <v>29.64</v>
      </c>
      <c r="E3936" s="24" t="n">
        <v>2</v>
      </c>
      <c r="F3936" s="24">
        <f>D3936*E3936</f>
        <v/>
      </c>
      <c r="G3936" s="22" t="n"/>
    </row>
    <row r="3937">
      <c r="A3937" s="22" t="inlineStr">
        <is>
          <t>8678</t>
        </is>
      </c>
      <c r="B3937" s="11" t="inlineStr">
        <is>
          <t>1mm thick 35mm wide bright finished stainless steel piano hinges .</t>
        </is>
      </c>
      <c r="C3937" s="22" t="inlineStr">
        <is>
          <t>metre</t>
        </is>
      </c>
      <c r="D3937" s="23" t="n">
        <v>4.4</v>
      </c>
      <c r="E3937" s="24" t="n">
        <v>42</v>
      </c>
      <c r="F3937" s="24">
        <f>D3937*E3937</f>
        <v/>
      </c>
      <c r="G3937" s="22" t="n"/>
    </row>
    <row r="3938">
      <c r="A3938" s="22" t="inlineStr">
        <is>
          <t>0685</t>
        </is>
      </c>
      <c r="B3938" s="11" t="inlineStr">
        <is>
          <t>Oxidised mild steel screws 25 mm</t>
        </is>
      </c>
      <c r="C3938" s="22" t="inlineStr">
        <is>
          <t>100 Nos</t>
        </is>
      </c>
      <c r="D3938" s="23" t="n">
        <v>1.25</v>
      </c>
      <c r="E3938" s="24" t="n">
        <v>36</v>
      </c>
      <c r="F3938" s="24">
        <f>D3938*E3938</f>
        <v/>
      </c>
      <c r="G3938" s="22" t="n"/>
    </row>
    <row r="3939">
      <c r="A3939" s="22" t="inlineStr">
        <is>
          <t>0111</t>
        </is>
      </c>
      <c r="B3939" s="11" t="inlineStr">
        <is>
          <t>Carpenter 1st class</t>
        </is>
      </c>
      <c r="C3939" s="22" t="inlineStr">
        <is>
          <t>day</t>
        </is>
      </c>
      <c r="D3939" s="23" t="n">
        <v>0.5</v>
      </c>
      <c r="E3939" s="24" t="n">
        <v>738</v>
      </c>
      <c r="F3939" s="24">
        <f>D3939*E3939</f>
        <v/>
      </c>
      <c r="G3939" s="22" t="n"/>
    </row>
    <row r="3940">
      <c r="A3940" s="22" t="inlineStr">
        <is>
          <t>0114</t>
        </is>
      </c>
      <c r="B3940" s="11" t="inlineStr">
        <is>
          <t>Beldar</t>
        </is>
      </c>
      <c r="C3940" s="22" t="inlineStr">
        <is>
          <t>day</t>
        </is>
      </c>
      <c r="D3940" s="23" t="n">
        <v>0.5</v>
      </c>
      <c r="E3940" s="24" t="n">
        <v>558</v>
      </c>
      <c r="F3940" s="24">
        <f>D3940*E3940</f>
        <v/>
      </c>
      <c r="G3940" s="22" t="n"/>
    </row>
    <row r="3941">
      <c r="A3941" s="22" t="inlineStr">
        <is>
          <t>0130</t>
        </is>
      </c>
      <c r="B3941" s="11" t="inlineStr">
        <is>
          <t>Mistry</t>
        </is>
      </c>
      <c r="C3941" s="22" t="inlineStr">
        <is>
          <t>day</t>
        </is>
      </c>
      <c r="D3941" s="23" t="n">
        <v>0.07000000000000001</v>
      </c>
      <c r="E3941" s="24" t="n">
        <v>738</v>
      </c>
      <c r="F3941" s="24">
        <f>D3941*E3941</f>
        <v/>
      </c>
      <c r="G3941" s="22" t="n"/>
    </row>
    <row r="3942">
      <c r="A3942" s="22" t="inlineStr">
        <is>
          <t>7271</t>
        </is>
      </c>
      <c r="B3942" s="11" t="inlineStr">
        <is>
          <t>IInd class teak wood lipping 25 mm wide x 12 mm thick</t>
        </is>
      </c>
      <c r="C3942" s="22" t="inlineStr">
        <is>
          <t>metre</t>
        </is>
      </c>
      <c r="D3942" s="23" t="n">
        <v>7</v>
      </c>
      <c r="E3942" s="24" t="n">
        <v>29</v>
      </c>
      <c r="F3942" s="24">
        <f>D3942*E3942</f>
        <v/>
      </c>
      <c r="G3942" s="22" t="n"/>
    </row>
    <row r="3943">
      <c r="A3943" s="8" t="inlineStr">
        <is>
          <t>Calculated W - SUM of the Amount column above</t>
        </is>
      </c>
      <c r="B3943" s="9" t="n"/>
      <c r="C3943" s="9" t="n"/>
      <c r="D3943" s="9" t="n"/>
      <c r="E3943" s="9" t="n"/>
      <c r="F3943" s="25">
        <f>SUM(F3935:F3942)</f>
        <v/>
      </c>
      <c r="G3943" s="9" t="n"/>
    </row>
    <row r="3944">
      <c r="A3944" s="26" t="inlineStr">
        <is>
          <t>W as printed in the DAR</t>
        </is>
      </c>
      <c r="B3944" s="22" t="n"/>
      <c r="C3944" s="22" t="n"/>
      <c r="D3944" s="22" t="n"/>
      <c r="E3944" s="22" t="n"/>
      <c r="F3944" s="27" t="n">
        <v>3171.74</v>
      </c>
      <c r="G3944" s="22" t="n"/>
    </row>
    <row r="3945">
      <c r="A3945" s="26" t="inlineStr">
        <is>
          <t>Difference (calculated - printed)</t>
        </is>
      </c>
      <c r="B3945" s="22" t="n"/>
      <c r="C3945" s="22" t="n"/>
      <c r="D3945" s="22" t="n"/>
      <c r="E3945" s="22" t="n"/>
      <c r="F3945" s="27">
        <f>F3943-F3944</f>
        <v/>
      </c>
      <c r="G3945" s="22" t="n"/>
    </row>
    <row r="3946">
      <c r="A3946" s="29" t="inlineStr">
        <is>
          <t>SAY (Rs.) - final DAR rate as printed (fixed value, not computed)</t>
        </is>
      </c>
      <c r="B3946" s="30" t="n"/>
      <c r="C3946" s="30" t="n"/>
      <c r="D3946" s="30" t="n"/>
      <c r="E3946" s="30" t="n"/>
      <c r="F3946" s="31" t="n">
        <v>1928.9</v>
      </c>
      <c r="G3946" s="30" t="n"/>
    </row>
    <row r="3948" ht="47.5" customHeight="1">
      <c r="A3948" s="8" t="inlineStr">
        <is>
          <t>9.130</t>
        </is>
      </c>
      <c r="B3948" s="17"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is>
      </c>
      <c r="C3948" s="9" t="n"/>
      <c r="D3948" s="9" t="n"/>
      <c r="E3948" s="9" t="n"/>
      <c r="F3948" s="9" t="n"/>
      <c r="G3948" s="9" t="n"/>
    </row>
    <row r="3949" ht="18.5" customHeight="1">
      <c r="A3949" s="18" t="inlineStr">
        <is>
          <t>9.130.1</t>
        </is>
      </c>
      <c r="B3949" s="19" t="inlineStr">
        <is>
          <t>With decorative veneering on one side and commercial veneering on other side</t>
        </is>
      </c>
      <c r="C3949" s="20" t="n"/>
      <c r="D3949" s="20" t="n"/>
      <c r="E3949" s="20" t="n"/>
      <c r="F3949" s="20" t="n"/>
      <c r="G3949" s="20" t="n"/>
    </row>
    <row r="3950">
      <c r="A3950" s="21" t="inlineStr">
        <is>
          <t>Details of cost for 2.2 sqm   |   Source: CivilDAR_2019_Vol_1.pdf, page 597</t>
        </is>
      </c>
    </row>
    <row r="3951">
      <c r="A3951" s="5" t="inlineStr">
        <is>
          <t>Code</t>
        </is>
      </c>
      <c r="B3951" s="5" t="inlineStr">
        <is>
          <t>Description</t>
        </is>
      </c>
      <c r="C3951" s="5" t="inlineStr">
        <is>
          <t>Unit</t>
        </is>
      </c>
      <c r="D3951" s="5" t="inlineStr">
        <is>
          <t>Quantity</t>
        </is>
      </c>
      <c r="E3951" s="5" t="inlineStr">
        <is>
          <t>Rate (Rs.)</t>
        </is>
      </c>
      <c r="F3951" s="5" t="inlineStr">
        <is>
          <t>Amount (Rs.)</t>
        </is>
      </c>
      <c r="G3951" s="5" t="inlineStr">
        <is>
          <t>Note</t>
        </is>
      </c>
    </row>
    <row r="3952">
      <c r="A3952" s="22" t="inlineStr">
        <is>
          <t>7269</t>
        </is>
      </c>
      <c r="B3952" s="11" t="inlineStr">
        <is>
          <t>25 mm thick particle board</t>
        </is>
      </c>
      <c r="C3952" s="22" t="inlineStr">
        <is>
          <t>sqm</t>
        </is>
      </c>
      <c r="D3952" s="23" t="n">
        <v>2.2</v>
      </c>
      <c r="E3952" s="24" t="n">
        <v>460</v>
      </c>
      <c r="F3952" s="24">
        <f>D3952*E3952</f>
        <v/>
      </c>
      <c r="G3952" s="22" t="n"/>
    </row>
    <row r="3953">
      <c r="A3953" s="22" t="inlineStr">
        <is>
          <t>0346</t>
        </is>
      </c>
      <c r="B3953" s="11" t="inlineStr">
        <is>
          <t>Extra for veneered particle board with Teak veneering on one side and commercial veneered on other side</t>
        </is>
      </c>
      <c r="C3953" s="22" t="inlineStr">
        <is>
          <t>sqm</t>
        </is>
      </c>
      <c r="D3953" s="23" t="n">
        <v>2.2</v>
      </c>
      <c r="E3953" s="24" t="n">
        <v>230</v>
      </c>
      <c r="F3953" s="24">
        <f>D3953*E3953</f>
        <v/>
      </c>
      <c r="G3953" s="22" t="n"/>
    </row>
    <row r="3954">
      <c r="A3954" s="22" t="inlineStr">
        <is>
          <t>9977</t>
        </is>
      </c>
      <c r="B3954" s="11" t="inlineStr">
        <is>
          <t>CARRIAGE</t>
        </is>
      </c>
      <c r="C3954" s="22" t="inlineStr">
        <is>
          <t>L.S.</t>
        </is>
      </c>
      <c r="D3954" s="23" t="n">
        <v>29.64</v>
      </c>
      <c r="E3954" s="24" t="n">
        <v>2</v>
      </c>
      <c r="F3954" s="24">
        <f>D3954*E3954</f>
        <v/>
      </c>
      <c r="G3954" s="22" t="n"/>
    </row>
    <row r="3955">
      <c r="A3955" s="22" t="inlineStr">
        <is>
          <t>8678</t>
        </is>
      </c>
      <c r="B3955" s="11" t="inlineStr">
        <is>
          <t>1mm thick 35mm wide bright finished stainless steel piano hinges .</t>
        </is>
      </c>
      <c r="C3955" s="22" t="inlineStr">
        <is>
          <t>metre</t>
        </is>
      </c>
      <c r="D3955" s="23" t="n">
        <v>4.4</v>
      </c>
      <c r="E3955" s="24" t="n">
        <v>42</v>
      </c>
      <c r="F3955" s="24">
        <f>D3955*E3955</f>
        <v/>
      </c>
      <c r="G3955" s="22" t="n"/>
    </row>
    <row r="3956">
      <c r="A3956" s="22" t="inlineStr">
        <is>
          <t>0685</t>
        </is>
      </c>
      <c r="B3956" s="11" t="inlineStr">
        <is>
          <t>Oxidised mild steel screws 25 mm</t>
        </is>
      </c>
      <c r="C3956" s="22" t="inlineStr">
        <is>
          <t>100 Nos</t>
        </is>
      </c>
      <c r="D3956" s="23" t="n">
        <v>1.25</v>
      </c>
      <c r="E3956" s="24" t="n">
        <v>36</v>
      </c>
      <c r="F3956" s="24">
        <f>D3956*E3956</f>
        <v/>
      </c>
      <c r="G3956" s="22" t="n"/>
    </row>
    <row r="3957">
      <c r="A3957" s="22" t="inlineStr">
        <is>
          <t>0111</t>
        </is>
      </c>
      <c r="B3957" s="11" t="inlineStr">
        <is>
          <t>Carpenter 1st class</t>
        </is>
      </c>
      <c r="C3957" s="22" t="inlineStr">
        <is>
          <t>day</t>
        </is>
      </c>
      <c r="D3957" s="23" t="n">
        <v>0.5</v>
      </c>
      <c r="E3957" s="24" t="n">
        <v>738</v>
      </c>
      <c r="F3957" s="24">
        <f>D3957*E3957</f>
        <v/>
      </c>
      <c r="G3957" s="22" t="n"/>
    </row>
    <row r="3958">
      <c r="A3958" s="22" t="inlineStr">
        <is>
          <t>0114</t>
        </is>
      </c>
      <c r="B3958" s="11" t="inlineStr">
        <is>
          <t>Beldar</t>
        </is>
      </c>
      <c r="C3958" s="22" t="inlineStr">
        <is>
          <t>day</t>
        </is>
      </c>
      <c r="D3958" s="23" t="n">
        <v>0.5</v>
      </c>
      <c r="E3958" s="24" t="n">
        <v>558</v>
      </c>
      <c r="F3958" s="24">
        <f>D3958*E3958</f>
        <v/>
      </c>
      <c r="G3958" s="22" t="n"/>
    </row>
    <row r="3959">
      <c r="A3959" s="22" t="inlineStr">
        <is>
          <t>0130</t>
        </is>
      </c>
      <c r="B3959" s="11" t="inlineStr">
        <is>
          <t>Mistry</t>
        </is>
      </c>
      <c r="C3959" s="22" t="inlineStr">
        <is>
          <t>day</t>
        </is>
      </c>
      <c r="D3959" s="23" t="n">
        <v>0.07000000000000001</v>
      </c>
      <c r="E3959" s="24" t="n">
        <v>738</v>
      </c>
      <c r="F3959" s="24">
        <f>D3959*E3959</f>
        <v/>
      </c>
      <c r="G3959" s="22" t="n"/>
    </row>
    <row r="3960">
      <c r="A3960" s="22" t="inlineStr">
        <is>
          <t>7271</t>
        </is>
      </c>
      <c r="B3960" s="11" t="inlineStr">
        <is>
          <t>IInd class teak wood lipping 25 mm wide x 12 mm thick</t>
        </is>
      </c>
      <c r="C3960" s="22" t="inlineStr">
        <is>
          <t>metre</t>
        </is>
      </c>
      <c r="D3960" s="23" t="n">
        <v>7</v>
      </c>
      <c r="E3960" s="24" t="n">
        <v>29</v>
      </c>
      <c r="F3960" s="24">
        <f>D3960*E3960</f>
        <v/>
      </c>
      <c r="G3960" s="22" t="n"/>
    </row>
    <row r="3961">
      <c r="A3961" s="8" t="inlineStr">
        <is>
          <t>Calculated W - SUM of the Amount column above</t>
        </is>
      </c>
      <c r="B3961" s="9" t="n"/>
      <c r="C3961" s="9" t="n"/>
      <c r="D3961" s="9" t="n"/>
      <c r="E3961" s="9" t="n"/>
      <c r="F3961" s="25">
        <f>SUM(F3952:F3960)</f>
        <v/>
      </c>
      <c r="G3961" s="9" t="n"/>
    </row>
    <row r="3962">
      <c r="A3962" s="26" t="inlineStr">
        <is>
          <t>W as printed in the DAR</t>
        </is>
      </c>
      <c r="B3962" s="22" t="n"/>
      <c r="C3962" s="22" t="n"/>
      <c r="D3962" s="22" t="n"/>
      <c r="E3962" s="22" t="n"/>
      <c r="F3962" s="27" t="n">
        <v>2709.74</v>
      </c>
      <c r="G3962" s="22" t="n"/>
    </row>
    <row r="3963">
      <c r="A3963" s="26" t="inlineStr">
        <is>
          <t>Difference (calculated - printed)</t>
        </is>
      </c>
      <c r="B3963" s="22" t="n"/>
      <c r="C3963" s="22" t="n"/>
      <c r="D3963" s="22" t="n"/>
      <c r="E3963" s="22" t="n"/>
      <c r="F3963" s="27">
        <f>F3961-F3962</f>
        <v/>
      </c>
      <c r="G3963" s="22" t="n"/>
    </row>
    <row r="3964">
      <c r="A3964" s="29" t="inlineStr">
        <is>
          <t>SAY (Rs.) - final DAR rate as printed (fixed value, not computed)</t>
        </is>
      </c>
      <c r="B3964" s="30" t="n"/>
      <c r="C3964" s="30" t="n"/>
      <c r="D3964" s="30" t="n"/>
      <c r="E3964" s="30" t="n"/>
      <c r="F3964" s="31" t="n">
        <v>1647.95</v>
      </c>
      <c r="G3964" s="30" t="n"/>
    </row>
    <row r="3966" ht="47.5" customHeight="1">
      <c r="A3966" s="8" t="inlineStr">
        <is>
          <t>9.130</t>
        </is>
      </c>
      <c r="B3966" s="17"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is>
      </c>
      <c r="C3966" s="9" t="n"/>
      <c r="D3966" s="9" t="n"/>
      <c r="E3966" s="9" t="n"/>
      <c r="F3966" s="9" t="n"/>
      <c r="G3966" s="9" t="n"/>
    </row>
    <row r="3967" ht="18.5" customHeight="1">
      <c r="A3967" s="18" t="inlineStr">
        <is>
          <t>9.130.2</t>
        </is>
      </c>
      <c r="B3967" s="19" t="inlineStr">
        <is>
          <t>With non decorative veneering on both sides</t>
        </is>
      </c>
      <c r="C3967" s="20" t="n"/>
      <c r="D3967" s="20" t="n"/>
      <c r="E3967" s="20" t="n"/>
      <c r="F3967" s="20" t="n"/>
      <c r="G3967" s="20" t="n"/>
    </row>
    <row r="3968">
      <c r="A3968" s="21" t="inlineStr">
        <is>
          <t>Details of cost for 2.2 sqm   |   Source: CivilDAR_2019_Vol_1.pdf, page 598</t>
        </is>
      </c>
    </row>
    <row r="3969">
      <c r="A3969" s="5" t="inlineStr">
        <is>
          <t>Code</t>
        </is>
      </c>
      <c r="B3969" s="5" t="inlineStr">
        <is>
          <t>Description</t>
        </is>
      </c>
      <c r="C3969" s="5" t="inlineStr">
        <is>
          <t>Unit</t>
        </is>
      </c>
      <c r="D3969" s="5" t="inlineStr">
        <is>
          <t>Quantity</t>
        </is>
      </c>
      <c r="E3969" s="5" t="inlineStr">
        <is>
          <t>Rate (Rs.)</t>
        </is>
      </c>
      <c r="F3969" s="5" t="inlineStr">
        <is>
          <t>Amount (Rs.)</t>
        </is>
      </c>
      <c r="G3969" s="5" t="inlineStr">
        <is>
          <t>Note</t>
        </is>
      </c>
    </row>
    <row r="3970">
      <c r="A3970" s="22" t="inlineStr">
        <is>
          <t>7269</t>
        </is>
      </c>
      <c r="B3970" s="11" t="inlineStr">
        <is>
          <t>25 mm thick particle board</t>
        </is>
      </c>
      <c r="C3970" s="22" t="inlineStr">
        <is>
          <t>sqm</t>
        </is>
      </c>
      <c r="D3970" s="23" t="n">
        <v>2.2</v>
      </c>
      <c r="E3970" s="24" t="n">
        <v>460</v>
      </c>
      <c r="F3970" s="24">
        <f>D3970*E3970</f>
        <v/>
      </c>
      <c r="G3970" s="22" t="n"/>
    </row>
    <row r="3971">
      <c r="A3971" s="22" t="inlineStr">
        <is>
          <t>0347</t>
        </is>
      </c>
      <c r="B3971" s="11" t="inlineStr">
        <is>
          <t>Extra for veneered particle board with Commercial veneering on both sides</t>
        </is>
      </c>
      <c r="C3971" s="22" t="inlineStr">
        <is>
          <t>sqm</t>
        </is>
      </c>
      <c r="D3971" s="23" t="n">
        <v>2.2</v>
      </c>
      <c r="E3971" s="24" t="n">
        <v>155</v>
      </c>
      <c r="F3971" s="24">
        <f>D3971*E3971</f>
        <v/>
      </c>
      <c r="G3971" s="22" t="n"/>
    </row>
    <row r="3972">
      <c r="A3972" s="22" t="inlineStr">
        <is>
          <t>9977</t>
        </is>
      </c>
      <c r="B3972" s="11" t="inlineStr">
        <is>
          <t>CARRIAGE</t>
        </is>
      </c>
      <c r="C3972" s="22" t="inlineStr">
        <is>
          <t>L.S.</t>
        </is>
      </c>
      <c r="D3972" s="23" t="n">
        <v>29.64</v>
      </c>
      <c r="E3972" s="24" t="n">
        <v>2</v>
      </c>
      <c r="F3972" s="24">
        <f>D3972*E3972</f>
        <v/>
      </c>
      <c r="G3972" s="22" t="n"/>
    </row>
    <row r="3973">
      <c r="A3973" s="22" t="inlineStr">
        <is>
          <t>8678</t>
        </is>
      </c>
      <c r="B3973" s="11" t="inlineStr">
        <is>
          <t>1mm thick 35mm wide bright finished stainless steel piano hinges .</t>
        </is>
      </c>
      <c r="C3973" s="22" t="inlineStr">
        <is>
          <t>metre</t>
        </is>
      </c>
      <c r="D3973" s="23" t="n">
        <v>4.4</v>
      </c>
      <c r="E3973" s="24" t="n">
        <v>42</v>
      </c>
      <c r="F3973" s="24">
        <f>D3973*E3973</f>
        <v/>
      </c>
      <c r="G3973" s="22" t="n"/>
    </row>
    <row r="3974">
      <c r="A3974" s="22" t="inlineStr">
        <is>
          <t>0685</t>
        </is>
      </c>
      <c r="B3974" s="11" t="inlineStr">
        <is>
          <t>Oxidised mild steel screws 25 mm</t>
        </is>
      </c>
      <c r="C3974" s="22" t="inlineStr">
        <is>
          <t>100 Nos</t>
        </is>
      </c>
      <c r="D3974" s="23" t="n">
        <v>1.25</v>
      </c>
      <c r="E3974" s="24" t="n">
        <v>36</v>
      </c>
      <c r="F3974" s="24">
        <f>D3974*E3974</f>
        <v/>
      </c>
      <c r="G3974" s="22" t="n"/>
    </row>
    <row r="3975">
      <c r="A3975" s="22" t="inlineStr">
        <is>
          <t>0111</t>
        </is>
      </c>
      <c r="B3975" s="11" t="inlineStr">
        <is>
          <t>Carpenter 1st class</t>
        </is>
      </c>
      <c r="C3975" s="22" t="inlineStr">
        <is>
          <t>day</t>
        </is>
      </c>
      <c r="D3975" s="23" t="n">
        <v>0.5</v>
      </c>
      <c r="E3975" s="24" t="n">
        <v>738</v>
      </c>
      <c r="F3975" s="24">
        <f>D3975*E3975</f>
        <v/>
      </c>
      <c r="G3975" s="22" t="n"/>
    </row>
    <row r="3976">
      <c r="A3976" s="22" t="inlineStr">
        <is>
          <t>0114</t>
        </is>
      </c>
      <c r="B3976" s="11" t="inlineStr">
        <is>
          <t>Beldar</t>
        </is>
      </c>
      <c r="C3976" s="22" t="inlineStr">
        <is>
          <t>day</t>
        </is>
      </c>
      <c r="D3976" s="23" t="n">
        <v>0.5</v>
      </c>
      <c r="E3976" s="24" t="n">
        <v>558</v>
      </c>
      <c r="F3976" s="24">
        <f>D3976*E3976</f>
        <v/>
      </c>
      <c r="G3976" s="22" t="n"/>
    </row>
    <row r="3977">
      <c r="A3977" s="22" t="inlineStr">
        <is>
          <t>0130</t>
        </is>
      </c>
      <c r="B3977" s="11" t="inlineStr">
        <is>
          <t>Mistry</t>
        </is>
      </c>
      <c r="C3977" s="22" t="inlineStr">
        <is>
          <t>day</t>
        </is>
      </c>
      <c r="D3977" s="23" t="n">
        <v>0.07000000000000001</v>
      </c>
      <c r="E3977" s="24" t="n">
        <v>738</v>
      </c>
      <c r="F3977" s="24">
        <f>D3977*E3977</f>
        <v/>
      </c>
      <c r="G3977" s="22" t="n"/>
    </row>
    <row r="3978">
      <c r="A3978" s="22" t="inlineStr">
        <is>
          <t>7271</t>
        </is>
      </c>
      <c r="B3978" s="11" t="inlineStr">
        <is>
          <t>IInd class teak wood lipping 25 mm wide x 12 mm thick</t>
        </is>
      </c>
      <c r="C3978" s="22" t="inlineStr">
        <is>
          <t>metre</t>
        </is>
      </c>
      <c r="D3978" s="23" t="n">
        <v>7</v>
      </c>
      <c r="E3978" s="24" t="n">
        <v>29</v>
      </c>
      <c r="F3978" s="24">
        <f>D3978*E3978</f>
        <v/>
      </c>
      <c r="G3978" s="22" t="n"/>
    </row>
    <row r="3979">
      <c r="A3979" s="8" t="inlineStr">
        <is>
          <t>Calculated W - SUM of the Amount column above</t>
        </is>
      </c>
      <c r="B3979" s="9" t="n"/>
      <c r="C3979" s="9" t="n"/>
      <c r="D3979" s="9" t="n"/>
      <c r="E3979" s="9" t="n"/>
      <c r="F3979" s="25">
        <f>SUM(F3970:F3978)</f>
        <v/>
      </c>
      <c r="G3979" s="9" t="n"/>
    </row>
    <row r="3980">
      <c r="A3980" s="26" t="inlineStr">
        <is>
          <t>W as printed in the DAR</t>
        </is>
      </c>
      <c r="B3980" s="22" t="n"/>
      <c r="C3980" s="22" t="n"/>
      <c r="D3980" s="22" t="n"/>
      <c r="E3980" s="22" t="n"/>
      <c r="F3980" s="27" t="n">
        <v>2544.74</v>
      </c>
      <c r="G3980" s="22" t="n"/>
    </row>
    <row r="3981">
      <c r="A3981" s="26" t="inlineStr">
        <is>
          <t>Difference (calculated - printed)</t>
        </is>
      </c>
      <c r="B3981" s="22" t="n"/>
      <c r="C3981" s="22" t="n"/>
      <c r="D3981" s="22" t="n"/>
      <c r="E3981" s="22" t="n"/>
      <c r="F3981" s="27">
        <f>F3979-F3980</f>
        <v/>
      </c>
      <c r="G3981" s="22" t="n"/>
    </row>
    <row r="3982">
      <c r="A3982" s="29" t="inlineStr">
        <is>
          <t>SAY (Rs.) - final DAR rate as printed (fixed value, not computed)</t>
        </is>
      </c>
      <c r="B3982" s="30" t="n"/>
      <c r="C3982" s="30" t="n"/>
      <c r="D3982" s="30" t="n"/>
      <c r="E3982" s="30" t="n"/>
      <c r="F3982" s="31" t="n">
        <v>1547.6</v>
      </c>
      <c r="G3982" s="30" t="n"/>
    </row>
    <row r="3984" ht="91" customHeight="1">
      <c r="A3984" s="8" t="inlineStr">
        <is>
          <t>9.131</t>
        </is>
      </c>
      <c r="B3984" s="17" t="inlineStr">
        <is>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Engineer-in-Charge (Cost of 'U' beading and hinges will be paid for separately).</t>
        </is>
      </c>
      <c r="C3984" s="9" t="n"/>
      <c r="D3984" s="9" t="n"/>
      <c r="E3984" s="9" t="n"/>
      <c r="F3984" s="9" t="n"/>
      <c r="G3984" s="9" t="n"/>
    </row>
    <row r="3985" ht="18.5" customHeight="1">
      <c r="A3985" s="18" t="inlineStr">
        <is>
          <t>9.131.1</t>
        </is>
      </c>
      <c r="B3985" s="19" t="inlineStr">
        <is>
          <t>25 mm thick</t>
        </is>
      </c>
      <c r="C3985" s="20" t="n"/>
      <c r="D3985" s="20" t="n"/>
      <c r="E3985" s="20" t="n"/>
      <c r="F3985" s="20" t="n"/>
      <c r="G3985" s="20" t="n"/>
    </row>
    <row r="3986">
      <c r="A3986" s="21" t="inlineStr">
        <is>
          <t>Details of cost for 2.1 sqm   |   Source: CivilDAR_2019_Vol_1.pdf, page 598</t>
        </is>
      </c>
    </row>
    <row r="3987">
      <c r="A3987" s="5" t="inlineStr">
        <is>
          <t>Code</t>
        </is>
      </c>
      <c r="B3987" s="5" t="inlineStr">
        <is>
          <t>Description</t>
        </is>
      </c>
      <c r="C3987" s="5" t="inlineStr">
        <is>
          <t>Unit</t>
        </is>
      </c>
      <c r="D3987" s="5" t="inlineStr">
        <is>
          <t>Quantity</t>
        </is>
      </c>
      <c r="E3987" s="5" t="inlineStr">
        <is>
          <t>Rate (Rs.)</t>
        </is>
      </c>
      <c r="F3987" s="5" t="inlineStr">
        <is>
          <t>Amount (Rs.)</t>
        </is>
      </c>
      <c r="G3987" s="5" t="inlineStr">
        <is>
          <t>Note</t>
        </is>
      </c>
    </row>
    <row r="3988">
      <c r="A3988" s="22" t="inlineStr">
        <is>
          <t>7445</t>
        </is>
      </c>
      <c r="B3988" s="11" t="inlineStr">
        <is>
          <t>25 mm prelaminated flush door both side decorative</t>
        </is>
      </c>
      <c r="C3988" s="22" t="inlineStr">
        <is>
          <t>sqm</t>
        </is>
      </c>
      <c r="D3988" s="23" t="n">
        <v>2.21</v>
      </c>
      <c r="E3988" s="24" t="n">
        <v>800</v>
      </c>
      <c r="F3988" s="24">
        <f>D3988*E3988</f>
        <v/>
      </c>
      <c r="G3988" s="22" t="n"/>
    </row>
    <row r="3989">
      <c r="A3989" s="22" t="inlineStr">
        <is>
          <t>7443</t>
        </is>
      </c>
      <c r="B3989" s="11" t="inlineStr">
        <is>
          <t>Aluminium single cleat of size 30x32x3</t>
        </is>
      </c>
      <c r="C3989" s="22" t="inlineStr">
        <is>
          <t>each</t>
        </is>
      </c>
      <c r="D3989" s="23" t="n">
        <v>4</v>
      </c>
      <c r="E3989" s="24" t="n">
        <v>14</v>
      </c>
      <c r="F3989" s="24">
        <f>D3989*E3989</f>
        <v/>
      </c>
      <c r="G3989" s="22" t="n"/>
    </row>
    <row r="3990">
      <c r="A3990" s="22" t="inlineStr">
        <is>
          <t>7444</t>
        </is>
      </c>
      <c r="B3990" s="11" t="inlineStr">
        <is>
          <t>Aluminium grip strip of size 50x12x2</t>
        </is>
      </c>
      <c r="C3990" s="22" t="inlineStr">
        <is>
          <t>each</t>
        </is>
      </c>
      <c r="D3990" s="23" t="n">
        <v>8</v>
      </c>
      <c r="E3990" s="24" t="n">
        <v>11</v>
      </c>
      <c r="F3990" s="24">
        <f>D3990*E3990</f>
        <v/>
      </c>
      <c r="G3990" s="22" t="n"/>
    </row>
    <row r="3991">
      <c r="A3991" s="22" t="inlineStr">
        <is>
          <t>0834</t>
        </is>
      </c>
      <c r="B3991" s="11" t="inlineStr">
        <is>
          <t>Synthetic enamel paint in all shades except black or chocolate shade</t>
        </is>
      </c>
      <c r="C3991" s="22" t="inlineStr">
        <is>
          <t>litre</t>
        </is>
      </c>
      <c r="D3991" s="23" t="n">
        <v>0.15</v>
      </c>
      <c r="E3991" s="24" t="n">
        <v>160</v>
      </c>
      <c r="F3991" s="24">
        <f>D3991*E3991</f>
        <v/>
      </c>
      <c r="G3991" s="22" t="n"/>
    </row>
    <row r="3992">
      <c r="A3992" s="22" t="inlineStr">
        <is>
          <t>9988</t>
        </is>
      </c>
      <c r="B3992" s="11" t="inlineStr">
        <is>
          <t>Carriage of materials including loading and unloading</t>
        </is>
      </c>
      <c r="C3992" s="22" t="inlineStr">
        <is>
          <t>L.S.</t>
        </is>
      </c>
      <c r="D3992" s="23" t="n">
        <v>19.5</v>
      </c>
      <c r="E3992" s="24" t="n">
        <v>2</v>
      </c>
      <c r="F3992" s="24">
        <f>D3992*E3992</f>
        <v/>
      </c>
      <c r="G3992" s="22" t="n"/>
    </row>
    <row r="3993">
      <c r="A3993" s="22" t="inlineStr">
        <is>
          <t>9999</t>
        </is>
      </c>
      <c r="B3993" s="11" t="inlineStr">
        <is>
          <t>Sundries and screws etc.</t>
        </is>
      </c>
      <c r="C3993" s="22" t="inlineStr">
        <is>
          <t>L.S.</t>
        </is>
      </c>
      <c r="D3993" s="23" t="n">
        <v>39</v>
      </c>
      <c r="E3993" s="24" t="n">
        <v>2</v>
      </c>
      <c r="F3993" s="24">
        <f>D3993*E3993</f>
        <v/>
      </c>
      <c r="G3993" s="22" t="n"/>
    </row>
    <row r="3994">
      <c r="A3994" s="22" t="inlineStr">
        <is>
          <t>0112</t>
        </is>
      </c>
      <c r="B3994" s="11" t="inlineStr">
        <is>
          <t>Carpenter 2nd class</t>
        </is>
      </c>
      <c r="C3994" s="22" t="inlineStr">
        <is>
          <t>day</t>
        </is>
      </c>
      <c r="D3994" s="23" t="n">
        <v>0.27</v>
      </c>
      <c r="E3994" s="24" t="n">
        <v>679</v>
      </c>
      <c r="F3994" s="24">
        <f>D3994*E3994</f>
        <v/>
      </c>
      <c r="G3994" s="22" t="n"/>
    </row>
    <row r="3995">
      <c r="A3995" s="22" t="inlineStr">
        <is>
          <t>0114</t>
        </is>
      </c>
      <c r="B3995" s="11" t="inlineStr">
        <is>
          <t>Beldar</t>
        </is>
      </c>
      <c r="C3995" s="22" t="inlineStr">
        <is>
          <t>day</t>
        </is>
      </c>
      <c r="D3995" s="23" t="n">
        <v>0.3</v>
      </c>
      <c r="E3995" s="24" t="n">
        <v>558</v>
      </c>
      <c r="F3995" s="24">
        <f>D3995*E3995</f>
        <v/>
      </c>
      <c r="G3995" s="22" t="n"/>
    </row>
    <row r="3996">
      <c r="A3996" s="8" t="inlineStr">
        <is>
          <t>Calculated W - SUM of the Amount column above</t>
        </is>
      </c>
      <c r="B3996" s="9" t="n"/>
      <c r="C3996" s="9" t="n"/>
      <c r="D3996" s="9" t="n"/>
      <c r="E3996" s="9" t="n"/>
      <c r="F3996" s="25">
        <f>SUM(F3988:F3995)</f>
        <v/>
      </c>
      <c r="G3996" s="9" t="n"/>
    </row>
    <row r="3997">
      <c r="A3997" s="26" t="inlineStr">
        <is>
          <t>W as printed in the DAR</t>
        </is>
      </c>
      <c r="B3997" s="22" t="n"/>
      <c r="C3997" s="22" t="n"/>
      <c r="D3997" s="22" t="n"/>
      <c r="E3997" s="22" t="n"/>
      <c r="F3997" s="27" t="n">
        <v>2403.73</v>
      </c>
      <c r="G3997" s="22" t="n"/>
    </row>
    <row r="3998">
      <c r="A3998" s="26" t="inlineStr">
        <is>
          <t>Difference (calculated - printed)</t>
        </is>
      </c>
      <c r="B3998" s="22" t="n"/>
      <c r="C3998" s="22" t="n"/>
      <c r="D3998" s="22" t="n"/>
      <c r="E3998" s="22" t="n"/>
      <c r="F3998" s="27">
        <f>F3996-F3997</f>
        <v/>
      </c>
      <c r="G3998" s="22" t="n"/>
    </row>
    <row r="3999">
      <c r="A3999" s="29" t="inlineStr">
        <is>
          <t>SAY (Rs.) - final DAR rate as printed (fixed value, not computed)</t>
        </is>
      </c>
      <c r="B3999" s="30" t="n"/>
      <c r="C3999" s="30" t="n"/>
      <c r="D3999" s="30" t="n"/>
      <c r="E3999" s="30" t="n"/>
      <c r="F3999" s="31" t="n">
        <v>1531.45</v>
      </c>
      <c r="G3999" s="30" t="n"/>
    </row>
    <row r="4001" ht="33" customHeight="1">
      <c r="A4001" s="18" t="inlineStr">
        <is>
          <t>9.132</t>
        </is>
      </c>
      <c r="B4001" s="19" t="inlineStr">
        <is>
          <t>Providing and fixing aluminum U beading of required size to Pre-laminated/flush door shutter, including fixing etc. complete as per direction of Engineer-in-charge.</t>
        </is>
      </c>
      <c r="C4001" s="20" t="n"/>
      <c r="D4001" s="20" t="n"/>
      <c r="E4001" s="20" t="n"/>
      <c r="F4001" s="20" t="n"/>
      <c r="G4001" s="20" t="n"/>
    </row>
    <row r="4002">
      <c r="A4002" s="21" t="inlineStr">
        <is>
          <t>Details of cost for 1 kg   |   Source: CivilDAR_2019_Vol_1.pdf, page 599</t>
        </is>
      </c>
    </row>
    <row r="4003">
      <c r="A4003" s="5" t="inlineStr">
        <is>
          <t>Code</t>
        </is>
      </c>
      <c r="B4003" s="5" t="inlineStr">
        <is>
          <t>Description</t>
        </is>
      </c>
      <c r="C4003" s="5" t="inlineStr">
        <is>
          <t>Unit</t>
        </is>
      </c>
      <c r="D4003" s="5" t="inlineStr">
        <is>
          <t>Quantity</t>
        </is>
      </c>
      <c r="E4003" s="5" t="inlineStr">
        <is>
          <t>Rate (Rs.)</t>
        </is>
      </c>
      <c r="F4003" s="5" t="inlineStr">
        <is>
          <t>Amount (Rs.)</t>
        </is>
      </c>
      <c r="G4003" s="5" t="inlineStr">
        <is>
          <t>Note</t>
        </is>
      </c>
    </row>
    <row r="4004">
      <c r="A4004" s="22" t="inlineStr">
        <is>
          <t>7449</t>
        </is>
      </c>
      <c r="B4004" s="11" t="inlineStr">
        <is>
          <t>Aluminium U beading</t>
        </is>
      </c>
      <c r="C4004" s="22" t="inlineStr">
        <is>
          <t>kilogram</t>
        </is>
      </c>
      <c r="D4004" s="23" t="n">
        <v>1.1</v>
      </c>
      <c r="E4004" s="24" t="n">
        <v>210</v>
      </c>
      <c r="F4004" s="24">
        <f>D4004*E4004</f>
        <v/>
      </c>
      <c r="G4004" s="22" t="n"/>
    </row>
    <row r="4005">
      <c r="A4005" s="22" t="inlineStr">
        <is>
          <t>9999</t>
        </is>
      </c>
      <c r="B4005" s="11" t="inlineStr">
        <is>
          <t>Anodized 15 micron</t>
        </is>
      </c>
      <c r="C4005" s="22" t="inlineStr">
        <is>
          <t>L.S.</t>
        </is>
      </c>
      <c r="D4005" s="23" t="n">
        <v>65</v>
      </c>
      <c r="E4005" s="24" t="n">
        <v>2</v>
      </c>
      <c r="F4005" s="24">
        <f>D4005*E4005</f>
        <v/>
      </c>
      <c r="G4005" s="22" t="n"/>
    </row>
    <row r="4006">
      <c r="A4006" s="22" t="inlineStr">
        <is>
          <t>9999</t>
        </is>
      </c>
      <c r="B4006" s="11" t="inlineStr">
        <is>
          <t>Sundries including screws, fixing, carriage etc.</t>
        </is>
      </c>
      <c r="C4006" s="22" t="inlineStr">
        <is>
          <t>L.S.</t>
        </is>
      </c>
      <c r="D4006" s="23" t="n">
        <v>13</v>
      </c>
      <c r="E4006" s="24" t="n">
        <v>2</v>
      </c>
      <c r="F4006" s="24">
        <f>D4006*E4006</f>
        <v/>
      </c>
      <c r="G4006" s="22" t="n"/>
    </row>
    <row r="4007">
      <c r="A4007" s="8" t="inlineStr">
        <is>
          <t>Calculated W - SUM of the Amount column above</t>
        </is>
      </c>
      <c r="B4007" s="9" t="n"/>
      <c r="C4007" s="9" t="n"/>
      <c r="D4007" s="9" t="n"/>
      <c r="E4007" s="9" t="n"/>
      <c r="F4007" s="25">
        <f>SUM(F4004:F4006)</f>
        <v/>
      </c>
      <c r="G4007" s="9" t="n"/>
    </row>
    <row r="4008">
      <c r="A4008" s="26" t="inlineStr">
        <is>
          <t>W as printed in the DAR</t>
        </is>
      </c>
      <c r="B4008" s="22" t="n"/>
      <c r="C4008" s="22" t="n"/>
      <c r="D4008" s="22" t="n"/>
      <c r="E4008" s="22" t="n"/>
      <c r="F4008" s="27" t="n">
        <v>387</v>
      </c>
      <c r="G4008" s="22" t="n"/>
    </row>
    <row r="4009">
      <c r="A4009" s="26" t="inlineStr">
        <is>
          <t>Difference (calculated - printed)</t>
        </is>
      </c>
      <c r="B4009" s="22" t="n"/>
      <c r="C4009" s="22" t="n"/>
      <c r="D4009" s="22" t="n"/>
      <c r="E4009" s="22" t="n"/>
      <c r="F4009" s="27">
        <f>F4007-F4008</f>
        <v/>
      </c>
      <c r="G4009" s="22" t="n"/>
    </row>
    <row r="4010">
      <c r="A4010" s="29" t="inlineStr">
        <is>
          <t>SAY (Rs.) - final DAR rate as printed (fixed value, not computed)</t>
        </is>
      </c>
      <c r="B4010" s="30" t="n"/>
      <c r="C4010" s="30" t="n"/>
      <c r="D4010" s="30" t="n"/>
      <c r="E4010" s="30" t="n"/>
      <c r="F4010" s="31" t="n">
        <v>517.8</v>
      </c>
      <c r="G4010" s="30" t="n"/>
    </row>
    <row r="4012" ht="105.5" customHeight="1">
      <c r="A4012" s="8" t="inlineStr">
        <is>
          <t>9.133</t>
        </is>
      </c>
      <c r="B4012" s="17"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is>
      </c>
      <c r="C4012" s="9" t="n"/>
      <c r="D4012" s="9" t="n"/>
      <c r="E4012" s="9" t="n"/>
      <c r="F4012" s="9" t="n"/>
      <c r="G4012" s="9" t="n"/>
    </row>
    <row r="4013" ht="47.5" customHeight="1">
      <c r="A4013" s="8" t="inlineStr">
        <is>
          <t>9.133.1</t>
        </is>
      </c>
      <c r="B4013" s="17" t="inlineStr">
        <is>
          <t>Tapered edge calcium silicate board made with calcareous &amp; siliceous materials reinforced with cellulose fiber manufactured through autoclaving process to give stable crystalline structure with compressive strength 225 kg/ sq.cm, Bending strength 100 kg/sq.cm.</t>
        </is>
      </c>
      <c r="C4013" s="9" t="n"/>
      <c r="D4013" s="9" t="n"/>
      <c r="E4013" s="9" t="n"/>
      <c r="F4013" s="9" t="n"/>
      <c r="G4013" s="9" t="n"/>
    </row>
    <row r="4014" ht="18.5" customHeight="1">
      <c r="A4014" s="18" t="inlineStr">
        <is>
          <t>9.133.1.1</t>
        </is>
      </c>
      <c r="B4014" s="19" t="inlineStr">
        <is>
          <t>10 mm thick</t>
        </is>
      </c>
      <c r="C4014" s="20" t="n"/>
      <c r="D4014" s="20" t="n"/>
      <c r="E4014" s="20" t="n"/>
      <c r="F4014" s="20" t="n"/>
      <c r="G4014" s="20" t="n"/>
    </row>
    <row r="4015">
      <c r="A4015" s="21" t="inlineStr">
        <is>
          <t>Details of cost for 11.16 sqm   |   Source: CivilDAR_2019_Vol_1.pdf, page 600</t>
        </is>
      </c>
    </row>
    <row r="4016">
      <c r="A4016" s="5" t="inlineStr">
        <is>
          <t>Code</t>
        </is>
      </c>
      <c r="B4016" s="5" t="inlineStr">
        <is>
          <t>Description</t>
        </is>
      </c>
      <c r="C4016" s="5" t="inlineStr">
        <is>
          <t>Unit</t>
        </is>
      </c>
      <c r="D4016" s="5" t="inlineStr">
        <is>
          <t>Quantity</t>
        </is>
      </c>
      <c r="E4016" s="5" t="inlineStr">
        <is>
          <t>Rate (Rs.)</t>
        </is>
      </c>
      <c r="F4016" s="5" t="inlineStr">
        <is>
          <t>Amount (Rs.)</t>
        </is>
      </c>
      <c r="G4016" s="5" t="inlineStr">
        <is>
          <t>Note</t>
        </is>
      </c>
    </row>
    <row r="4017">
      <c r="A4017" s="22" t="inlineStr">
        <is>
          <t>8700</t>
        </is>
      </c>
      <c r="B4017" s="11" t="inlineStr">
        <is>
          <t>10 mm thick calcium silicate board.</t>
        </is>
      </c>
      <c r="C4017" s="22" t="inlineStr">
        <is>
          <t>sqm</t>
        </is>
      </c>
      <c r="D4017" s="23" t="n">
        <v>12.28</v>
      </c>
      <c r="E4017" s="24" t="n">
        <v>420</v>
      </c>
      <c r="F4017" s="24">
        <f>D4017*E4017</f>
        <v/>
      </c>
      <c r="G4017" s="22" t="n"/>
    </row>
    <row r="4018">
      <c r="A4018" s="22" t="inlineStr">
        <is>
          <t>8720</t>
        </is>
      </c>
      <c r="B4018" s="11" t="inlineStr">
        <is>
          <t>Ceiling sections 0.55 mm thick having a knurled web of 51.55mm and two flanges of 26mm each with lips of 10.55mm.</t>
        </is>
      </c>
      <c r="C4018" s="22" t="inlineStr">
        <is>
          <t>metre</t>
        </is>
      </c>
      <c r="D4018" s="23" t="n">
        <v>19.66</v>
      </c>
      <c r="E4018" s="24" t="n">
        <v>35</v>
      </c>
      <c r="F4018" s="24">
        <f>D4018*E4018</f>
        <v/>
      </c>
      <c r="G4018" s="22" t="n"/>
    </row>
    <row r="4019">
      <c r="A4019" s="22" t="inlineStr">
        <is>
          <t>8721</t>
        </is>
      </c>
      <c r="B4019" s="11" t="inlineStr">
        <is>
          <t>Perimeter channel having one flange of 20mm and another flange of 30mm with thickness of 0.55mm and web of length 27mm</t>
        </is>
      </c>
      <c r="C4019" s="22" t="inlineStr">
        <is>
          <t>metre</t>
        </is>
      </c>
      <c r="D4019" s="23" t="n">
        <v>9.6</v>
      </c>
      <c r="E4019" s="24" t="n">
        <v>22</v>
      </c>
      <c r="F4019" s="24">
        <f>D4019*E4019</f>
        <v/>
      </c>
      <c r="G4019" s="22" t="n"/>
    </row>
    <row r="4020">
      <c r="A4020" s="22" t="inlineStr">
        <is>
          <t>8722</t>
        </is>
      </c>
      <c r="B4020" s="11" t="inlineStr">
        <is>
          <t>Nylon sleeves &amp; wooden screws (40mm)</t>
        </is>
      </c>
      <c r="C4020" s="22" t="inlineStr">
        <is>
          <t>each</t>
        </is>
      </c>
      <c r="D4020" s="23" t="n">
        <v>42</v>
      </c>
      <c r="E4020" s="24" t="n">
        <v>2</v>
      </c>
      <c r="F4020" s="24">
        <f>D4020*E4020</f>
        <v/>
      </c>
      <c r="G4020" s="22" t="n"/>
    </row>
    <row r="4021">
      <c r="A4021" s="22" t="inlineStr">
        <is>
          <t>8723</t>
        </is>
      </c>
      <c r="B4021" s="11" t="inlineStr">
        <is>
          <t>Counter sunk ribbed head screw 25 mm</t>
        </is>
      </c>
      <c r="C4021" s="22" t="inlineStr">
        <is>
          <t>100 Nos</t>
        </is>
      </c>
      <c r="D4021" s="23" t="n">
        <v>1.76</v>
      </c>
      <c r="E4021" s="24" t="n">
        <v>68</v>
      </c>
      <c r="F4021" s="24">
        <f>D4021*E4021</f>
        <v/>
      </c>
      <c r="G4021" s="22" t="n"/>
    </row>
    <row r="4022">
      <c r="A4022" s="22" t="inlineStr">
        <is>
          <t>9999</t>
        </is>
      </c>
      <c r="B4022" s="11" t="inlineStr">
        <is>
          <t>Jointing compound</t>
        </is>
      </c>
      <c r="C4022" s="22" t="inlineStr">
        <is>
          <t>L.S.</t>
        </is>
      </c>
      <c r="D4022" s="23" t="n">
        <v>20.8</v>
      </c>
      <c r="E4022" s="24" t="n">
        <v>2</v>
      </c>
      <c r="F4022" s="24">
        <f>D4022*E4022</f>
        <v/>
      </c>
      <c r="G4022" s="22" t="n"/>
    </row>
    <row r="4023">
      <c r="A4023" s="22" t="inlineStr">
        <is>
          <t>7018</t>
        </is>
      </c>
      <c r="B4023" s="11" t="inlineStr">
        <is>
          <t>Joint tape roll</t>
        </is>
      </c>
      <c r="C4023" s="22" t="inlineStr">
        <is>
          <t>roll</t>
        </is>
      </c>
      <c r="D4023" s="23" t="n">
        <v>0.19</v>
      </c>
      <c r="E4023" s="24" t="n">
        <v>100</v>
      </c>
      <c r="F4023" s="24">
        <f>D4023*E4023</f>
        <v/>
      </c>
      <c r="G4023" s="22" t="n"/>
    </row>
    <row r="4024">
      <c r="A4024" s="22" t="inlineStr">
        <is>
          <t>9999</t>
        </is>
      </c>
      <c r="B4024" s="11" t="inlineStr">
        <is>
          <t>Sundries i/c rawl plug, scaffolfing etc.</t>
        </is>
      </c>
      <c r="C4024" s="22" t="inlineStr">
        <is>
          <t>L.S.</t>
        </is>
      </c>
      <c r="D4024" s="23" t="n">
        <v>52</v>
      </c>
      <c r="E4024" s="24" t="n">
        <v>2</v>
      </c>
      <c r="F4024" s="24">
        <f>D4024*E4024</f>
        <v/>
      </c>
      <c r="G4024" s="22" t="n"/>
    </row>
    <row r="4025">
      <c r="A4025" s="22" t="inlineStr">
        <is>
          <t>9977</t>
        </is>
      </c>
      <c r="B4025" s="11" t="inlineStr">
        <is>
          <t>Carriage of materials</t>
        </is>
      </c>
      <c r="C4025" s="22" t="inlineStr">
        <is>
          <t>L.S.</t>
        </is>
      </c>
      <c r="D4025" s="23" t="n">
        <v>26</v>
      </c>
      <c r="E4025" s="24" t="n">
        <v>2</v>
      </c>
      <c r="F4025" s="24">
        <f>D4025*E4025</f>
        <v/>
      </c>
      <c r="G4025" s="22" t="n"/>
    </row>
    <row r="4026">
      <c r="A4026" s="22" t="inlineStr">
        <is>
          <t>0111</t>
        </is>
      </c>
      <c r="B4026" s="11" t="inlineStr">
        <is>
          <t>Carpenter 1st class</t>
        </is>
      </c>
      <c r="C4026" s="22" t="inlineStr">
        <is>
          <t>day</t>
        </is>
      </c>
      <c r="D4026" s="23" t="n">
        <v>3.8</v>
      </c>
      <c r="E4026" s="24" t="n">
        <v>738</v>
      </c>
      <c r="F4026" s="24">
        <f>D4026*E4026</f>
        <v/>
      </c>
      <c r="G4026" s="22" t="n"/>
    </row>
    <row r="4027">
      <c r="A4027" s="22" t="inlineStr">
        <is>
          <t>0114</t>
        </is>
      </c>
      <c r="B4027" s="11" t="inlineStr">
        <is>
          <t>Beldar</t>
        </is>
      </c>
      <c r="C4027" s="22" t="inlineStr">
        <is>
          <t>day</t>
        </is>
      </c>
      <c r="D4027" s="23" t="n">
        <v>4.6</v>
      </c>
      <c r="E4027" s="24" t="n">
        <v>558</v>
      </c>
      <c r="F4027" s="24">
        <f>D4027*E4027</f>
        <v/>
      </c>
      <c r="G4027" s="22" t="n"/>
    </row>
    <row r="4028">
      <c r="A4028" s="8" t="inlineStr">
        <is>
          <t>Calculated W - SUM of the Amount column above</t>
        </is>
      </c>
      <c r="B4028" s="9" t="n"/>
      <c r="C4028" s="9" t="n"/>
      <c r="D4028" s="9" t="n"/>
      <c r="E4028" s="9" t="n"/>
      <c r="F4028" s="25">
        <f>SUM(F4017:F4027)</f>
        <v/>
      </c>
      <c r="G4028" s="9" t="n"/>
    </row>
    <row r="4029">
      <c r="A4029" s="26" t="inlineStr">
        <is>
          <t>W as printed in the DAR</t>
        </is>
      </c>
      <c r="B4029" s="22" t="n"/>
      <c r="C4029" s="22" t="n"/>
      <c r="D4029" s="22" t="n"/>
      <c r="E4029" s="22" t="n"/>
      <c r="F4029" s="27" t="n">
        <v>11848.38</v>
      </c>
      <c r="G4029" s="22" t="n"/>
    </row>
    <row r="4030">
      <c r="A4030" s="26" t="inlineStr">
        <is>
          <t>Difference (calculated - printed)</t>
        </is>
      </c>
      <c r="B4030" s="22" t="n"/>
      <c r="C4030" s="22" t="n"/>
      <c r="D4030" s="22" t="n"/>
      <c r="E4030" s="22" t="n"/>
      <c r="F4030" s="27">
        <f>F4028-F4029</f>
        <v/>
      </c>
      <c r="G4030" s="22" t="n"/>
    </row>
    <row r="4031">
      <c r="A4031" s="29" t="inlineStr">
        <is>
          <t>SAY (Rs.) - final DAR rate as printed (fixed value, not computed)</t>
        </is>
      </c>
      <c r="B4031" s="30" t="n"/>
      <c r="C4031" s="30" t="n"/>
      <c r="D4031" s="30" t="n"/>
      <c r="E4031" s="30" t="n"/>
      <c r="F4031" s="31" t="n">
        <v>1420.45</v>
      </c>
      <c r="G4031" s="30" t="n"/>
    </row>
    <row r="4033" ht="105.5" customHeight="1">
      <c r="A4033" s="8" t="inlineStr">
        <is>
          <t>9.133</t>
        </is>
      </c>
      <c r="B4033" s="17"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is>
      </c>
      <c r="C4033" s="9" t="n"/>
      <c r="D4033" s="9" t="n"/>
      <c r="E4033" s="9" t="n"/>
      <c r="F4033" s="9" t="n"/>
      <c r="G4033" s="9" t="n"/>
    </row>
    <row r="4034" ht="18.5" customHeight="1">
      <c r="A4034" s="8" t="inlineStr">
        <is>
          <t>9.133.2</t>
        </is>
      </c>
      <c r="B4034" s="17" t="inlineStr">
        <is>
          <t>Multipurpose cement board reinforced with suitable fibre cement screw.</t>
        </is>
      </c>
      <c r="C4034" s="9" t="n"/>
      <c r="D4034" s="9" t="n"/>
      <c r="E4034" s="9" t="n"/>
      <c r="F4034" s="9" t="n"/>
      <c r="G4034" s="9" t="n"/>
    </row>
    <row r="4035" ht="18.5" customHeight="1">
      <c r="A4035" s="18" t="inlineStr">
        <is>
          <t>9.133.2.1</t>
        </is>
      </c>
      <c r="B4035" s="19" t="inlineStr">
        <is>
          <t>8 mm thick cement fibre board as per IS : 14862</t>
        </is>
      </c>
      <c r="C4035" s="20" t="n"/>
      <c r="D4035" s="20" t="n"/>
      <c r="E4035" s="20" t="n"/>
      <c r="F4035" s="20" t="n"/>
      <c r="G4035" s="20" t="n"/>
    </row>
    <row r="4036">
      <c r="A4036" s="21" t="inlineStr">
        <is>
          <t>Details of cost for 11.16 sqm   |   Source: CivilDAR_2019_Vol_1.pdf, page 601</t>
        </is>
      </c>
    </row>
    <row r="4037">
      <c r="A4037" s="5" t="inlineStr">
        <is>
          <t>Code</t>
        </is>
      </c>
      <c r="B4037" s="5" t="inlineStr">
        <is>
          <t>Description</t>
        </is>
      </c>
      <c r="C4037" s="5" t="inlineStr">
        <is>
          <t>Unit</t>
        </is>
      </c>
      <c r="D4037" s="5" t="inlineStr">
        <is>
          <t>Quantity</t>
        </is>
      </c>
      <c r="E4037" s="5" t="inlineStr">
        <is>
          <t>Rate (Rs.)</t>
        </is>
      </c>
      <c r="F4037" s="5" t="inlineStr">
        <is>
          <t>Amount (Rs.)</t>
        </is>
      </c>
      <c r="G4037" s="5" t="inlineStr">
        <is>
          <t>Note</t>
        </is>
      </c>
    </row>
    <row r="4038">
      <c r="A4038" s="22" t="inlineStr">
        <is>
          <t>0237</t>
        </is>
      </c>
      <c r="B4038" s="11" t="inlineStr">
        <is>
          <t>Multi purpose fibre (high impact poly propelene reinforced) cement board 8mm thick.</t>
        </is>
      </c>
      <c r="C4038" s="22" t="inlineStr">
        <is>
          <t>sqm</t>
        </is>
      </c>
      <c r="D4038" s="23" t="n">
        <v>12.28</v>
      </c>
      <c r="E4038" s="24" t="n">
        <v>220</v>
      </c>
      <c r="F4038" s="24">
        <f>D4038*E4038</f>
        <v/>
      </c>
      <c r="G4038" s="22" t="n"/>
    </row>
    <row r="4039">
      <c r="A4039" s="22" t="inlineStr">
        <is>
          <t>8720</t>
        </is>
      </c>
      <c r="B4039" s="11" t="inlineStr">
        <is>
          <t>Ceiling sections 0.55 mm thick having a knurled web of 51.55mm and two flanges of 26mm each with lips of 10.55mm.</t>
        </is>
      </c>
      <c r="C4039" s="22" t="inlineStr">
        <is>
          <t>metre</t>
        </is>
      </c>
      <c r="D4039" s="23" t="n">
        <v>19.66</v>
      </c>
      <c r="E4039" s="24" t="n">
        <v>35</v>
      </c>
      <c r="F4039" s="24">
        <f>D4039*E4039</f>
        <v/>
      </c>
      <c r="G4039" s="22" t="n"/>
    </row>
    <row r="4040">
      <c r="A4040" s="22" t="inlineStr">
        <is>
          <t>8721</t>
        </is>
      </c>
      <c r="B4040" s="11" t="inlineStr">
        <is>
          <t>Perimeter channel having one flange of 20mm and another flange of 30mm with thickness of 0.55mm and web of length 27mm.</t>
        </is>
      </c>
      <c r="C4040" s="22" t="inlineStr">
        <is>
          <t>metre</t>
        </is>
      </c>
      <c r="D4040" s="23" t="n">
        <v>9.6</v>
      </c>
      <c r="E4040" s="24" t="n">
        <v>22</v>
      </c>
      <c r="F4040" s="24">
        <f>D4040*E4040</f>
        <v/>
      </c>
      <c r="G4040" s="22" t="n"/>
    </row>
    <row r="4041">
      <c r="A4041" s="22" t="inlineStr">
        <is>
          <t>8722</t>
        </is>
      </c>
      <c r="B4041" s="11" t="inlineStr">
        <is>
          <t>Nylon sleeves &amp; wooden screws (40mm)</t>
        </is>
      </c>
      <c r="C4041" s="22" t="inlineStr">
        <is>
          <t>each</t>
        </is>
      </c>
      <c r="D4041" s="23" t="n">
        <v>42</v>
      </c>
      <c r="E4041" s="24" t="n">
        <v>2</v>
      </c>
      <c r="F4041" s="24">
        <f>D4041*E4041</f>
        <v/>
      </c>
      <c r="G4041" s="22" t="n"/>
    </row>
    <row r="4042">
      <c r="A4042" s="22" t="inlineStr">
        <is>
          <t>8723</t>
        </is>
      </c>
      <c r="B4042" s="11" t="inlineStr">
        <is>
          <t>Counter sunk ribbed head screw 25 mm</t>
        </is>
      </c>
      <c r="C4042" s="22" t="inlineStr">
        <is>
          <t>100 Nos</t>
        </is>
      </c>
      <c r="D4042" s="23" t="n">
        <v>1.76</v>
      </c>
      <c r="E4042" s="24" t="n">
        <v>68</v>
      </c>
      <c r="F4042" s="24">
        <f>D4042*E4042</f>
        <v/>
      </c>
      <c r="G4042" s="22" t="n"/>
    </row>
    <row r="4043">
      <c r="A4043" s="22" t="inlineStr">
        <is>
          <t>9999</t>
        </is>
      </c>
      <c r="B4043" s="11" t="inlineStr">
        <is>
          <t>Jointing compound</t>
        </is>
      </c>
      <c r="C4043" s="22" t="inlineStr">
        <is>
          <t>L.S.</t>
        </is>
      </c>
      <c r="D4043" s="23" t="n">
        <v>20.8</v>
      </c>
      <c r="E4043" s="24" t="n">
        <v>2</v>
      </c>
      <c r="F4043" s="24">
        <f>D4043*E4043</f>
        <v/>
      </c>
      <c r="G4043" s="22" t="n"/>
    </row>
    <row r="4044">
      <c r="A4044" s="22" t="inlineStr">
        <is>
          <t>7018</t>
        </is>
      </c>
      <c r="B4044" s="11" t="inlineStr">
        <is>
          <t>Joint tape roll</t>
        </is>
      </c>
      <c r="C4044" s="22" t="inlineStr">
        <is>
          <t>roll</t>
        </is>
      </c>
      <c r="D4044" s="23" t="n">
        <v>0.19</v>
      </c>
      <c r="E4044" s="24" t="n">
        <v>100</v>
      </c>
      <c r="F4044" s="24">
        <f>D4044*E4044</f>
        <v/>
      </c>
      <c r="G4044" s="22" t="n"/>
    </row>
    <row r="4045">
      <c r="A4045" s="22" t="inlineStr">
        <is>
          <t>9999</t>
        </is>
      </c>
      <c r="B4045" s="11" t="inlineStr">
        <is>
          <t>Sundries i/c rawl plug, scaffolfing etc.</t>
        </is>
      </c>
      <c r="C4045" s="22" t="inlineStr">
        <is>
          <t>L.S.</t>
        </is>
      </c>
      <c r="D4045" s="23" t="n">
        <v>52</v>
      </c>
      <c r="E4045" s="24" t="n">
        <v>2</v>
      </c>
      <c r="F4045" s="24">
        <f>D4045*E4045</f>
        <v/>
      </c>
      <c r="G4045" s="22" t="n"/>
    </row>
    <row r="4046">
      <c r="A4046" s="22" t="inlineStr">
        <is>
          <t>9977</t>
        </is>
      </c>
      <c r="B4046" s="11" t="inlineStr">
        <is>
          <t>Carriage of materials</t>
        </is>
      </c>
      <c r="C4046" s="22" t="inlineStr">
        <is>
          <t>L.S.</t>
        </is>
      </c>
      <c r="D4046" s="23" t="n">
        <v>26</v>
      </c>
      <c r="E4046" s="24" t="n">
        <v>2</v>
      </c>
      <c r="F4046" s="24">
        <f>D4046*E4046</f>
        <v/>
      </c>
      <c r="G4046" s="22" t="n"/>
    </row>
    <row r="4047">
      <c r="A4047" s="22" t="inlineStr">
        <is>
          <t>0111</t>
        </is>
      </c>
      <c r="B4047" s="11" t="inlineStr">
        <is>
          <t>Carpenter 1st class</t>
        </is>
      </c>
      <c r="C4047" s="22" t="inlineStr">
        <is>
          <t>day</t>
        </is>
      </c>
      <c r="D4047" s="23" t="n">
        <v>3.8</v>
      </c>
      <c r="E4047" s="24" t="n">
        <v>738</v>
      </c>
      <c r="F4047" s="24">
        <f>D4047*E4047</f>
        <v/>
      </c>
      <c r="G4047" s="22" t="n"/>
    </row>
    <row r="4048">
      <c r="A4048" s="22" t="inlineStr">
        <is>
          <t>0114</t>
        </is>
      </c>
      <c r="B4048" s="11" t="inlineStr">
        <is>
          <t>Beldar</t>
        </is>
      </c>
      <c r="C4048" s="22" t="inlineStr">
        <is>
          <t>day</t>
        </is>
      </c>
      <c r="D4048" s="23" t="n">
        <v>4.6</v>
      </c>
      <c r="E4048" s="24" t="n">
        <v>558</v>
      </c>
      <c r="F4048" s="24">
        <f>D4048*E4048</f>
        <v/>
      </c>
      <c r="G4048" s="22" t="n"/>
    </row>
    <row r="4049">
      <c r="A4049" s="8" t="inlineStr">
        <is>
          <t>Calculated W - SUM of the Amount column above</t>
        </is>
      </c>
      <c r="B4049" s="9" t="n"/>
      <c r="C4049" s="9" t="n"/>
      <c r="D4049" s="9" t="n"/>
      <c r="E4049" s="9" t="n"/>
      <c r="F4049" s="25">
        <f>SUM(F4038:F4048)</f>
        <v/>
      </c>
      <c r="G4049" s="9" t="n"/>
    </row>
    <row r="4050">
      <c r="A4050" s="26" t="inlineStr">
        <is>
          <t>W as printed in the DAR</t>
        </is>
      </c>
      <c r="B4050" s="22" t="n"/>
      <c r="C4050" s="22" t="n"/>
      <c r="D4050" s="22" t="n"/>
      <c r="E4050" s="22" t="n"/>
      <c r="F4050" s="27" t="n">
        <v>9392.379999999999</v>
      </c>
      <c r="G4050" s="22" t="n"/>
    </row>
    <row r="4051">
      <c r="A4051" s="26" t="inlineStr">
        <is>
          <t>Difference (calculated - printed)</t>
        </is>
      </c>
      <c r="B4051" s="22" t="n"/>
      <c r="C4051" s="22" t="n"/>
      <c r="D4051" s="22" t="n"/>
      <c r="E4051" s="22" t="n"/>
      <c r="F4051" s="27">
        <f>F4049-F4050</f>
        <v/>
      </c>
      <c r="G4051" s="22" t="n"/>
    </row>
    <row r="4052">
      <c r="A4052" s="29" t="inlineStr">
        <is>
          <t>SAY (Rs.) - final DAR rate as printed (fixed value, not computed)</t>
        </is>
      </c>
      <c r="B4052" s="30" t="n"/>
      <c r="C4052" s="30" t="n"/>
      <c r="D4052" s="30" t="n"/>
      <c r="E4052" s="30" t="n"/>
      <c r="F4052" s="31" t="n">
        <v>1126</v>
      </c>
      <c r="G4052" s="30" t="n"/>
    </row>
    <row r="4054" ht="105.5" customHeight="1">
      <c r="A4054" s="8" t="inlineStr">
        <is>
          <t>9.133</t>
        </is>
      </c>
      <c r="B4054" s="17"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is>
      </c>
      <c r="C4054" s="9" t="n"/>
      <c r="D4054" s="9" t="n"/>
      <c r="E4054" s="9" t="n"/>
      <c r="F4054" s="9" t="n"/>
      <c r="G4054" s="9" t="n"/>
    </row>
    <row r="4055" ht="18.5" customHeight="1">
      <c r="A4055" s="8" t="inlineStr">
        <is>
          <t>9.133.2</t>
        </is>
      </c>
      <c r="B4055" s="17" t="inlineStr">
        <is>
          <t>Multipurpose cement board reinforced with suitable fibre cement screw.</t>
        </is>
      </c>
      <c r="C4055" s="9" t="n"/>
      <c r="D4055" s="9" t="n"/>
      <c r="E4055" s="9" t="n"/>
      <c r="F4055" s="9" t="n"/>
      <c r="G4055" s="9" t="n"/>
    </row>
    <row r="4056" ht="18.5" customHeight="1">
      <c r="A4056" s="18" t="inlineStr">
        <is>
          <t>9.133.2.2</t>
        </is>
      </c>
      <c r="B4056" s="19" t="inlineStr">
        <is>
          <t>8 mm thick Cement bonded wood particle board as per IS:14276</t>
        </is>
      </c>
      <c r="C4056" s="20" t="n"/>
      <c r="D4056" s="20" t="n"/>
      <c r="E4056" s="20" t="n"/>
      <c r="F4056" s="20" t="n"/>
      <c r="G4056" s="20" t="n"/>
    </row>
    <row r="4057">
      <c r="A4057" s="21" t="inlineStr">
        <is>
          <t>Details of cost for 11.16 sqm   |   Source: CivilDAR_2019_Vol_1.pdf, page 601</t>
        </is>
      </c>
    </row>
    <row r="4058">
      <c r="A4058" s="5" t="inlineStr">
        <is>
          <t>Code</t>
        </is>
      </c>
      <c r="B4058" s="5" t="inlineStr">
        <is>
          <t>Description</t>
        </is>
      </c>
      <c r="C4058" s="5" t="inlineStr">
        <is>
          <t>Unit</t>
        </is>
      </c>
      <c r="D4058" s="5" t="inlineStr">
        <is>
          <t>Quantity</t>
        </is>
      </c>
      <c r="E4058" s="5" t="inlineStr">
        <is>
          <t>Rate (Rs.)</t>
        </is>
      </c>
      <c r="F4058" s="5" t="inlineStr">
        <is>
          <t>Amount (Rs.)</t>
        </is>
      </c>
      <c r="G4058" s="5" t="inlineStr">
        <is>
          <t>Note</t>
        </is>
      </c>
    </row>
    <row r="4059">
      <c r="A4059" s="22" t="inlineStr">
        <is>
          <t>0243</t>
        </is>
      </c>
      <c r="B4059" s="11" t="inlineStr">
        <is>
          <t>Multipurpose cement bonded wood particle board 8mm thick</t>
        </is>
      </c>
      <c r="C4059" s="22" t="inlineStr">
        <is>
          <t>Sqm</t>
        </is>
      </c>
      <c r="D4059" s="23" t="n">
        <v>12.28</v>
      </c>
      <c r="E4059" s="24" t="n">
        <v>215</v>
      </c>
      <c r="F4059" s="24">
        <f>D4059*E4059</f>
        <v/>
      </c>
      <c r="G4059" s="22" t="n"/>
    </row>
    <row r="4060">
      <c r="A4060" s="22" t="inlineStr">
        <is>
          <t>8720</t>
        </is>
      </c>
      <c r="B4060" s="11" t="inlineStr">
        <is>
          <t>Ceiling sections 0.55 mm thick having a knurled web of 51.55 mm and two flanges of 26 mm each with lips of 10.55 mm</t>
        </is>
      </c>
      <c r="C4060" s="22" t="inlineStr">
        <is>
          <t>metre</t>
        </is>
      </c>
      <c r="D4060" s="23" t="n">
        <v>19.66</v>
      </c>
      <c r="E4060" s="24" t="n">
        <v>35</v>
      </c>
      <c r="F4060" s="24">
        <f>D4060*E4060</f>
        <v/>
      </c>
      <c r="G4060" s="22" t="n"/>
    </row>
    <row r="4061">
      <c r="A4061" s="22" t="inlineStr">
        <is>
          <t>8721</t>
        </is>
      </c>
      <c r="B4061" s="11" t="inlineStr">
        <is>
          <t>Perimeter channel having one flange of 20 mm and another flange of 30 mm with thickness of 0.55 mm and web of length 27 mm</t>
        </is>
      </c>
      <c r="C4061" s="22" t="inlineStr">
        <is>
          <t>metre</t>
        </is>
      </c>
      <c r="D4061" s="23" t="n">
        <v>9.6</v>
      </c>
      <c r="E4061" s="24" t="n">
        <v>22</v>
      </c>
      <c r="F4061" s="24">
        <f>D4061*E4061</f>
        <v/>
      </c>
      <c r="G4061" s="22" t="n"/>
    </row>
    <row r="4062">
      <c r="A4062" s="22" t="inlineStr">
        <is>
          <t>8722</t>
        </is>
      </c>
      <c r="B4062" s="11" t="inlineStr">
        <is>
          <t>Nylon sleeves &amp; wooden screws (40 mm)</t>
        </is>
      </c>
      <c r="C4062" s="22" t="inlineStr">
        <is>
          <t>each</t>
        </is>
      </c>
      <c r="D4062" s="23" t="n">
        <v>42</v>
      </c>
      <c r="E4062" s="24" t="n">
        <v>2</v>
      </c>
      <c r="F4062" s="24">
        <f>D4062*E4062</f>
        <v/>
      </c>
      <c r="G4062" s="22" t="n"/>
    </row>
    <row r="4063">
      <c r="A4063" s="22" t="inlineStr">
        <is>
          <t>8723</t>
        </is>
      </c>
      <c r="B4063" s="11" t="inlineStr">
        <is>
          <t>Counter sunk ribbed head screw 25 mm</t>
        </is>
      </c>
      <c r="C4063" s="22" t="inlineStr">
        <is>
          <t>100 Nos</t>
        </is>
      </c>
      <c r="D4063" s="23" t="n">
        <v>1.76</v>
      </c>
      <c r="E4063" s="24" t="n">
        <v>68</v>
      </c>
      <c r="F4063" s="24">
        <f>D4063*E4063</f>
        <v/>
      </c>
      <c r="G4063" s="22" t="n"/>
    </row>
    <row r="4064">
      <c r="A4064" s="22" t="inlineStr">
        <is>
          <t>9999</t>
        </is>
      </c>
      <c r="B4064" s="11" t="inlineStr">
        <is>
          <t>Jointing compound</t>
        </is>
      </c>
      <c r="C4064" s="22" t="inlineStr">
        <is>
          <t>L.S</t>
        </is>
      </c>
      <c r="D4064" s="23" t="n">
        <v>20.8</v>
      </c>
      <c r="E4064" s="24" t="n">
        <v>2</v>
      </c>
      <c r="F4064" s="24">
        <f>D4064*E4064</f>
        <v/>
      </c>
      <c r="G4064" s="22" t="n"/>
    </row>
    <row r="4065">
      <c r="A4065" s="22" t="inlineStr">
        <is>
          <t>7018</t>
        </is>
      </c>
      <c r="B4065" s="11" t="inlineStr">
        <is>
          <t>Joint tape roll each</t>
        </is>
      </c>
      <c r="C4065" s="22" t="inlineStr">
        <is>
          <t>roll</t>
        </is>
      </c>
      <c r="D4065" s="23" t="n">
        <v>0.19</v>
      </c>
      <c r="E4065" s="24" t="n">
        <v>100</v>
      </c>
      <c r="F4065" s="24">
        <f>D4065*E4065</f>
        <v/>
      </c>
      <c r="G4065" s="22" t="n"/>
    </row>
    <row r="4066">
      <c r="A4066" s="22" t="inlineStr">
        <is>
          <t>9999</t>
        </is>
      </c>
      <c r="B4066" s="11" t="inlineStr">
        <is>
          <t>Sundries i/c rawl plug. Scaffolding etc.</t>
        </is>
      </c>
      <c r="C4066" s="22" t="inlineStr">
        <is>
          <t>L.S</t>
        </is>
      </c>
      <c r="D4066" s="23" t="n">
        <v>52</v>
      </c>
      <c r="E4066" s="24" t="n">
        <v>2</v>
      </c>
      <c r="F4066" s="24">
        <f>D4066*E4066</f>
        <v/>
      </c>
      <c r="G4066" s="22" t="n"/>
    </row>
    <row r="4067">
      <c r="A4067" s="22" t="inlineStr">
        <is>
          <t>9999</t>
        </is>
      </c>
      <c r="B4067" s="11" t="inlineStr">
        <is>
          <t>Carriage of materials</t>
        </is>
      </c>
      <c r="C4067" s="22" t="inlineStr">
        <is>
          <t>L.S</t>
        </is>
      </c>
      <c r="D4067" s="23" t="n">
        <v>26</v>
      </c>
      <c r="E4067" s="24" t="n">
        <v>2</v>
      </c>
      <c r="F4067" s="24">
        <f>D4067*E4067</f>
        <v/>
      </c>
      <c r="G4067" s="22" t="n"/>
    </row>
    <row r="4068">
      <c r="A4068" s="22" t="inlineStr">
        <is>
          <t>0111</t>
        </is>
      </c>
      <c r="B4068" s="11" t="inlineStr">
        <is>
          <t>Carpenter 1 st class</t>
        </is>
      </c>
      <c r="C4068" s="22" t="inlineStr">
        <is>
          <t>day</t>
        </is>
      </c>
      <c r="D4068" s="23" t="n">
        <v>3.8</v>
      </c>
      <c r="E4068" s="24" t="n">
        <v>738</v>
      </c>
      <c r="F4068" s="24">
        <f>D4068*E4068</f>
        <v/>
      </c>
      <c r="G4068" s="22" t="n"/>
    </row>
    <row r="4069">
      <c r="A4069" s="22" t="inlineStr">
        <is>
          <t>0114</t>
        </is>
      </c>
      <c r="B4069" s="11" t="inlineStr">
        <is>
          <t>Beldar</t>
        </is>
      </c>
      <c r="C4069" s="22" t="inlineStr">
        <is>
          <t>day</t>
        </is>
      </c>
      <c r="D4069" s="23" t="n">
        <v>4.6</v>
      </c>
      <c r="E4069" s="24" t="n">
        <v>558</v>
      </c>
      <c r="F4069" s="24">
        <f>D4069*E4069</f>
        <v/>
      </c>
      <c r="G4069" s="22" t="n"/>
    </row>
    <row r="4070">
      <c r="A4070" s="8" t="inlineStr">
        <is>
          <t>Calculated W - SUM of the Amount column above</t>
        </is>
      </c>
      <c r="B4070" s="9" t="n"/>
      <c r="C4070" s="9" t="n"/>
      <c r="D4070" s="9" t="n"/>
      <c r="E4070" s="9" t="n"/>
      <c r="F4070" s="25">
        <f>SUM(F4059:F4069)</f>
        <v/>
      </c>
      <c r="G4070" s="9" t="n"/>
    </row>
    <row r="4071">
      <c r="A4071" s="26" t="inlineStr">
        <is>
          <t>W as printed in the DAR</t>
        </is>
      </c>
      <c r="B4071" s="22" t="n"/>
      <c r="C4071" s="22" t="n"/>
      <c r="D4071" s="22" t="n"/>
      <c r="E4071" s="22" t="n"/>
      <c r="F4071" s="27" t="n">
        <v>9330.98</v>
      </c>
      <c r="G4071" s="22" t="n"/>
    </row>
    <row r="4072">
      <c r="A4072" s="26" t="inlineStr">
        <is>
          <t>Difference (calculated - printed)</t>
        </is>
      </c>
      <c r="B4072" s="22" t="n"/>
      <c r="C4072" s="22" t="n"/>
      <c r="D4072" s="22" t="n"/>
      <c r="E4072" s="22" t="n"/>
      <c r="F4072" s="27">
        <f>F4070-F4071</f>
        <v/>
      </c>
      <c r="G4072" s="22" t="n"/>
    </row>
    <row r="4073">
      <c r="A4073" s="29" t="inlineStr">
        <is>
          <t>SAY (Rs.) - final DAR rate as printed (fixed value, not computed)</t>
        </is>
      </c>
      <c r="B4073" s="30" t="n"/>
      <c r="C4073" s="30" t="n"/>
      <c r="D4073" s="30" t="n"/>
      <c r="E4073" s="30" t="n"/>
      <c r="F4073" s="31" t="n">
        <v>1118.65</v>
      </c>
      <c r="G4073" s="30" t="n"/>
    </row>
    <row r="4075" ht="105.5" customHeight="1">
      <c r="A4075" s="8" t="inlineStr">
        <is>
          <t>9.133</t>
        </is>
      </c>
      <c r="B4075" s="17"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is>
      </c>
      <c r="C4075" s="9" t="n"/>
      <c r="D4075" s="9" t="n"/>
      <c r="E4075" s="9" t="n"/>
      <c r="F4075" s="9" t="n"/>
      <c r="G4075" s="9" t="n"/>
    </row>
    <row r="4076" ht="18.5" customHeight="1">
      <c r="A4076" s="8" t="inlineStr">
        <is>
          <t>9.133.3</t>
        </is>
      </c>
      <c r="B4076" s="17" t="inlineStr">
        <is>
          <t>Plain Gypsum plaster board conforming to IS: 2095 (Part -1) : 2011 (Board with BIS certification marks).</t>
        </is>
      </c>
      <c r="C4076" s="9" t="n"/>
      <c r="D4076" s="9" t="n"/>
      <c r="E4076" s="9" t="n"/>
      <c r="F4076" s="9" t="n"/>
      <c r="G4076" s="9" t="n"/>
    </row>
    <row r="4077" ht="18.5" customHeight="1">
      <c r="A4077" s="18" t="inlineStr">
        <is>
          <t>9.133.3.1</t>
        </is>
      </c>
      <c r="B4077" s="19" t="inlineStr">
        <is>
          <t>12.5 mm thick</t>
        </is>
      </c>
      <c r="C4077" s="20" t="n"/>
      <c r="D4077" s="20" t="n"/>
      <c r="E4077" s="20" t="n"/>
      <c r="F4077" s="20" t="n"/>
      <c r="G4077" s="20" t="n"/>
    </row>
    <row r="4078">
      <c r="A4078" s="21" t="inlineStr">
        <is>
          <t>Details of cost for 11.16 sqm   |   Source: CivilDAR_2019_Vol_1.pdf, page 602</t>
        </is>
      </c>
    </row>
    <row r="4079">
      <c r="A4079" s="5" t="inlineStr">
        <is>
          <t>Code</t>
        </is>
      </c>
      <c r="B4079" s="5" t="inlineStr">
        <is>
          <t>Description</t>
        </is>
      </c>
      <c r="C4079" s="5" t="inlineStr">
        <is>
          <t>Unit</t>
        </is>
      </c>
      <c r="D4079" s="5" t="inlineStr">
        <is>
          <t>Quantity</t>
        </is>
      </c>
      <c r="E4079" s="5" t="inlineStr">
        <is>
          <t>Rate (Rs.)</t>
        </is>
      </c>
      <c r="F4079" s="5" t="inlineStr">
        <is>
          <t>Amount (Rs.)</t>
        </is>
      </c>
      <c r="G4079" s="5" t="inlineStr">
        <is>
          <t>Note</t>
        </is>
      </c>
    </row>
    <row r="4080">
      <c r="A4080" s="22" t="inlineStr">
        <is>
          <t>7009</t>
        </is>
      </c>
      <c r="B4080" s="11" t="inlineStr">
        <is>
          <t>12.5 mm thick Plain Gypsum plaster board</t>
        </is>
      </c>
      <c r="C4080" s="22" t="inlineStr">
        <is>
          <t>sqm</t>
        </is>
      </c>
      <c r="D4080" s="23" t="n">
        <v>12.28</v>
      </c>
      <c r="E4080" s="24" t="n">
        <v>155</v>
      </c>
      <c r="F4080" s="24">
        <f>D4080*E4080</f>
        <v/>
      </c>
      <c r="G4080" s="22" t="n"/>
    </row>
    <row r="4081">
      <c r="A4081" s="22" t="inlineStr">
        <is>
          <t>8720</t>
        </is>
      </c>
      <c r="B4081" s="11" t="inlineStr">
        <is>
          <t>Ceiling sections 0.55 mm thick having a knurled web of 51.55mm and two flanges of 26mm each with lips of 10.55mm.</t>
        </is>
      </c>
      <c r="C4081" s="22" t="inlineStr">
        <is>
          <t>metre</t>
        </is>
      </c>
      <c r="D4081" s="23" t="n">
        <v>19.66</v>
      </c>
      <c r="E4081" s="24" t="n">
        <v>35</v>
      </c>
      <c r="F4081" s="24">
        <f>D4081*E4081</f>
        <v/>
      </c>
      <c r="G4081" s="22" t="n"/>
    </row>
    <row r="4082">
      <c r="A4082" s="22" t="inlineStr">
        <is>
          <t>8721</t>
        </is>
      </c>
      <c r="B4082" s="11" t="inlineStr">
        <is>
          <t>Perimeter channel having one flange of 20mm and another flange of 30mm with thickness of 0.55mm and web of length 27mm.</t>
        </is>
      </c>
      <c r="C4082" s="22" t="inlineStr">
        <is>
          <t>metre</t>
        </is>
      </c>
      <c r="D4082" s="23" t="n">
        <v>9.6</v>
      </c>
      <c r="E4082" s="24" t="n">
        <v>22</v>
      </c>
      <c r="F4082" s="24">
        <f>D4082*E4082</f>
        <v/>
      </c>
      <c r="G4082" s="22" t="n"/>
    </row>
    <row r="4083">
      <c r="A4083" s="22" t="inlineStr">
        <is>
          <t>8722</t>
        </is>
      </c>
      <c r="B4083" s="11" t="inlineStr">
        <is>
          <t>Nylon sleeves &amp; wooden screws (40mm)</t>
        </is>
      </c>
      <c r="C4083" s="22" t="inlineStr">
        <is>
          <t>each</t>
        </is>
      </c>
      <c r="D4083" s="23" t="n">
        <v>42</v>
      </c>
      <c r="E4083" s="24" t="n">
        <v>2</v>
      </c>
      <c r="F4083" s="24">
        <f>D4083*E4083</f>
        <v/>
      </c>
      <c r="G4083" s="22" t="n"/>
    </row>
    <row r="4084">
      <c r="A4084" s="22" t="inlineStr">
        <is>
          <t>8723</t>
        </is>
      </c>
      <c r="B4084" s="11" t="inlineStr">
        <is>
          <t>Counter sunk ribbed head screw 25 mm</t>
        </is>
      </c>
      <c r="C4084" s="22" t="inlineStr">
        <is>
          <t>100 Nos</t>
        </is>
      </c>
      <c r="D4084" s="23" t="n">
        <v>1.76</v>
      </c>
      <c r="E4084" s="24" t="n">
        <v>68</v>
      </c>
      <c r="F4084" s="24">
        <f>D4084*E4084</f>
        <v/>
      </c>
      <c r="G4084" s="22" t="n"/>
    </row>
    <row r="4085">
      <c r="A4085" s="22" t="inlineStr">
        <is>
          <t>9999</t>
        </is>
      </c>
      <c r="B4085" s="11" t="inlineStr">
        <is>
          <t>Jointing compound</t>
        </is>
      </c>
      <c r="C4085" s="22" t="inlineStr">
        <is>
          <t>L.S.</t>
        </is>
      </c>
      <c r="D4085" s="23" t="n">
        <v>20.8</v>
      </c>
      <c r="E4085" s="24" t="n">
        <v>2</v>
      </c>
      <c r="F4085" s="24">
        <f>D4085*E4085</f>
        <v/>
      </c>
      <c r="G4085" s="22" t="n"/>
    </row>
    <row r="4086">
      <c r="A4086" s="22" t="inlineStr">
        <is>
          <t>7018</t>
        </is>
      </c>
      <c r="B4086" s="11" t="inlineStr">
        <is>
          <t>Joint tape roll</t>
        </is>
      </c>
      <c r="C4086" s="22" t="inlineStr">
        <is>
          <t>roll</t>
        </is>
      </c>
      <c r="D4086" s="23" t="n">
        <v>0.19</v>
      </c>
      <c r="E4086" s="24" t="n">
        <v>100</v>
      </c>
      <c r="F4086" s="24">
        <f>D4086*E4086</f>
        <v/>
      </c>
      <c r="G4086" s="22" t="n"/>
    </row>
    <row r="4087">
      <c r="A4087" s="22" t="inlineStr">
        <is>
          <t>9999</t>
        </is>
      </c>
      <c r="B4087" s="11" t="inlineStr">
        <is>
          <t>Sundries i/c rawl plug, scaffolfing etc.</t>
        </is>
      </c>
      <c r="C4087" s="22" t="inlineStr">
        <is>
          <t>L.S.</t>
        </is>
      </c>
      <c r="D4087" s="23" t="n">
        <v>52</v>
      </c>
      <c r="E4087" s="24" t="n">
        <v>2</v>
      </c>
      <c r="F4087" s="24">
        <f>D4087*E4087</f>
        <v/>
      </c>
      <c r="G4087" s="22" t="n"/>
    </row>
    <row r="4088">
      <c r="A4088" s="22" t="inlineStr">
        <is>
          <t>9977</t>
        </is>
      </c>
      <c r="B4088" s="11" t="inlineStr">
        <is>
          <t>Carriage of materials</t>
        </is>
      </c>
      <c r="C4088" s="22" t="inlineStr">
        <is>
          <t>L.S.</t>
        </is>
      </c>
      <c r="D4088" s="23" t="n">
        <v>26</v>
      </c>
      <c r="E4088" s="24" t="n">
        <v>2</v>
      </c>
      <c r="F4088" s="24">
        <f>D4088*E4088</f>
        <v/>
      </c>
      <c r="G4088" s="22" t="n"/>
    </row>
    <row r="4089">
      <c r="A4089" s="22" t="inlineStr">
        <is>
          <t>0111</t>
        </is>
      </c>
      <c r="B4089" s="11" t="inlineStr">
        <is>
          <t>Carpenter 1st class</t>
        </is>
      </c>
      <c r="C4089" s="22" t="inlineStr">
        <is>
          <t>day</t>
        </is>
      </c>
      <c r="D4089" s="23" t="n">
        <v>3.8</v>
      </c>
      <c r="E4089" s="24" t="n">
        <v>738</v>
      </c>
      <c r="F4089" s="24">
        <f>D4089*E4089</f>
        <v/>
      </c>
      <c r="G4089" s="22" t="n"/>
    </row>
    <row r="4090">
      <c r="A4090" s="22" t="inlineStr">
        <is>
          <t>0114</t>
        </is>
      </c>
      <c r="B4090" s="11" t="inlineStr">
        <is>
          <t>Beldar</t>
        </is>
      </c>
      <c r="C4090" s="22" t="inlineStr">
        <is>
          <t>day</t>
        </is>
      </c>
      <c r="D4090" s="23" t="n">
        <v>4.6</v>
      </c>
      <c r="E4090" s="24" t="n">
        <v>558</v>
      </c>
      <c r="F4090" s="24">
        <f>D4090*E4090</f>
        <v/>
      </c>
      <c r="G4090" s="22" t="n"/>
    </row>
    <row r="4091">
      <c r="A4091" s="8" t="inlineStr">
        <is>
          <t>Calculated W - SUM of the Amount column above</t>
        </is>
      </c>
      <c r="B4091" s="9" t="n"/>
      <c r="C4091" s="9" t="n"/>
      <c r="D4091" s="9" t="n"/>
      <c r="E4091" s="9" t="n"/>
      <c r="F4091" s="25">
        <f>SUM(F4080:F4090)</f>
        <v/>
      </c>
      <c r="G4091" s="9" t="n"/>
    </row>
    <row r="4092">
      <c r="A4092" s="26" t="inlineStr">
        <is>
          <t>W as printed in the DAR</t>
        </is>
      </c>
      <c r="B4092" s="22" t="n"/>
      <c r="C4092" s="22" t="n"/>
      <c r="D4092" s="22" t="n"/>
      <c r="E4092" s="22" t="n"/>
      <c r="F4092" s="27" t="n">
        <v>8594.18</v>
      </c>
      <c r="G4092" s="22" t="n"/>
    </row>
    <row r="4093">
      <c r="A4093" s="26" t="inlineStr">
        <is>
          <t>Difference (calculated - printed)</t>
        </is>
      </c>
      <c r="B4093" s="22" t="n"/>
      <c r="C4093" s="22" t="n"/>
      <c r="D4093" s="22" t="n"/>
      <c r="E4093" s="22" t="n"/>
      <c r="F4093" s="27">
        <f>F4091-F4092</f>
        <v/>
      </c>
      <c r="G4093" s="22" t="n"/>
    </row>
    <row r="4094">
      <c r="A4094" s="29" t="inlineStr">
        <is>
          <t>SAY (Rs.) - final DAR rate as printed (fixed value, not computed)</t>
        </is>
      </c>
      <c r="B4094" s="30" t="n"/>
      <c r="C4094" s="30" t="n"/>
      <c r="D4094" s="30" t="n"/>
      <c r="E4094" s="30" t="n"/>
      <c r="F4094" s="31" t="n">
        <v>1030.35</v>
      </c>
      <c r="G4094" s="30" t="n"/>
    </row>
    <row r="4096" ht="33" customHeight="1">
      <c r="A4096" s="8" t="inlineStr">
        <is>
          <t>9.134</t>
        </is>
      </c>
      <c r="B4096" s="17" t="inlineStr">
        <is>
          <t>Providing and fixing wire gauge shutters using stainless steel grade 304 wire gauge with wire of dia 0.5 mm and average width of aperture 1.4 mm in both directions for doors, windows and clerestory windows with necessary screws :</t>
        </is>
      </c>
      <c r="C4096" s="9" t="n"/>
      <c r="D4096" s="9" t="n"/>
      <c r="E4096" s="9" t="n"/>
      <c r="F4096" s="9" t="n"/>
      <c r="G4096" s="9" t="n"/>
    </row>
    <row r="4097" ht="18.5" customHeight="1">
      <c r="A4097" s="8" t="inlineStr">
        <is>
          <t>9.134.1</t>
        </is>
      </c>
      <c r="B4097" s="17" t="inlineStr">
        <is>
          <t>35 mm thick shutters</t>
        </is>
      </c>
      <c r="C4097" s="9" t="n"/>
      <c r="D4097" s="9" t="n"/>
      <c r="E4097" s="9" t="n"/>
      <c r="F4097" s="9" t="n"/>
      <c r="G4097" s="9" t="n"/>
    </row>
    <row r="4098" ht="18.5" customHeight="1">
      <c r="A4098" s="8" t="inlineStr">
        <is>
          <t>9.134.1.1</t>
        </is>
      </c>
      <c r="B4098" s="17" t="inlineStr">
        <is>
          <t>with ISI marked M.S. pressed butt hinges bright finished of required size</t>
        </is>
      </c>
      <c r="C4098" s="9" t="n"/>
      <c r="D4098" s="9" t="n"/>
      <c r="E4098" s="9" t="n"/>
      <c r="F4098" s="9" t="n"/>
      <c r="G4098" s="9" t="n"/>
    </row>
    <row r="4099" ht="18.5" customHeight="1">
      <c r="A4099" s="18" t="inlineStr">
        <is>
          <t>9.134.1.1.1</t>
        </is>
      </c>
      <c r="B4099" s="19" t="inlineStr">
        <is>
          <t>Second class teak wood</t>
        </is>
      </c>
      <c r="C4099" s="20" t="n"/>
      <c r="D4099" s="20" t="n"/>
      <c r="E4099" s="20" t="n"/>
      <c r="F4099" s="20" t="n"/>
      <c r="G4099" s="20" t="n"/>
    </row>
    <row r="4100">
      <c r="A4100" s="21" t="inlineStr">
        <is>
          <t>Details of cost for 2.16 sqm   |   Source: CivilDAR_2019_Vol_1.pdf, page 603</t>
        </is>
      </c>
    </row>
    <row r="4101">
      <c r="A4101" s="5" t="inlineStr">
        <is>
          <t>Code</t>
        </is>
      </c>
      <c r="B4101" s="5" t="inlineStr">
        <is>
          <t>Description</t>
        </is>
      </c>
      <c r="C4101" s="5" t="inlineStr">
        <is>
          <t>Unit</t>
        </is>
      </c>
      <c r="D4101" s="5" t="inlineStr">
        <is>
          <t>Quantity</t>
        </is>
      </c>
      <c r="E4101" s="5" t="inlineStr">
        <is>
          <t>Rate (Rs.)</t>
        </is>
      </c>
      <c r="F4101" s="5" t="inlineStr">
        <is>
          <t>Amount (Rs.)</t>
        </is>
      </c>
      <c r="G4101" s="5" t="inlineStr">
        <is>
          <t>Note</t>
        </is>
      </c>
    </row>
    <row r="4102">
      <c r="A4102" s="22" t="inlineStr">
        <is>
          <t>1190</t>
        </is>
      </c>
      <c r="B4102" s="11" t="inlineStr">
        <is>
          <t>Second class teak wood in planks</t>
        </is>
      </c>
      <c r="C4102" s="22" t="inlineStr">
        <is>
          <t>10 cudm</t>
        </is>
      </c>
      <c r="D4102" s="23" t="n">
        <v>5.14</v>
      </c>
      <c r="E4102" s="24" t="n">
        <v>791</v>
      </c>
      <c r="F4102" s="24">
        <f>D4102*E4102</f>
        <v/>
      </c>
      <c r="G4102" s="22" t="n"/>
    </row>
    <row r="4103">
      <c r="A4103" s="22" t="inlineStr">
        <is>
          <t>8737</t>
        </is>
      </c>
      <c r="B4103" s="11" t="inlineStr">
        <is>
          <t>Stainless steel wire guage (Grade-304) aperture 1.4mm and 0.50 mm dia wire</t>
        </is>
      </c>
      <c r="C4103" s="22" t="inlineStr">
        <is>
          <t>sqm</t>
        </is>
      </c>
      <c r="D4103" s="23" t="n">
        <v>1.41</v>
      </c>
      <c r="E4103" s="24" t="n">
        <v>400</v>
      </c>
      <c r="F4103" s="24">
        <f>D4103*E4103</f>
        <v/>
      </c>
      <c r="G4103" s="22" t="n"/>
    </row>
    <row r="4104">
      <c r="A4104" s="22" t="inlineStr">
        <is>
          <t>0595</t>
        </is>
      </c>
      <c r="B4104" s="11" t="inlineStr">
        <is>
          <t>Bright finished or black enamelled mild steel butt hinges 100x58x1.90 mm</t>
        </is>
      </c>
      <c r="C4104" s="22" t="inlineStr">
        <is>
          <t>10 Nos</t>
        </is>
      </c>
      <c r="D4104" s="23" t="n">
        <v>0.6</v>
      </c>
      <c r="E4104" s="24" t="n">
        <v>80</v>
      </c>
      <c r="F4104" s="24">
        <f>D4104*E4104</f>
        <v/>
      </c>
      <c r="G4104" s="22" t="n"/>
    </row>
    <row r="4105">
      <c r="A4105" s="22" t="inlineStr">
        <is>
          <t>0597</t>
        </is>
      </c>
      <c r="B4105" s="11" t="inlineStr">
        <is>
          <t>Bright finished or black enamelled mild steel butt hinges50x37x1.50 mm</t>
        </is>
      </c>
      <c r="C4105" s="22" t="inlineStr">
        <is>
          <t>10 Nos</t>
        </is>
      </c>
      <c r="D4105" s="23" t="n">
        <v>0.2</v>
      </c>
      <c r="E4105" s="24" t="n">
        <v>49</v>
      </c>
      <c r="F4105" s="24">
        <f>D4105*E4105</f>
        <v/>
      </c>
      <c r="G4105" s="22" t="n"/>
    </row>
    <row r="4106">
      <c r="A4106" s="22" t="inlineStr">
        <is>
          <t>0637</t>
        </is>
      </c>
      <c r="B4106" s="11" t="inlineStr">
        <is>
          <t>Bright finished or black enamelled mild steel screws 40 mm</t>
        </is>
      </c>
      <c r="C4106" s="22" t="inlineStr">
        <is>
          <t>100 Nos</t>
        </is>
      </c>
      <c r="D4106" s="23" t="n">
        <v>0.48</v>
      </c>
      <c r="E4106" s="24" t="n">
        <v>60</v>
      </c>
      <c r="F4106" s="24">
        <f>D4106*E4106</f>
        <v/>
      </c>
      <c r="G4106" s="22" t="n"/>
    </row>
    <row r="4107">
      <c r="A4107" s="22" t="inlineStr">
        <is>
          <t>0640</t>
        </is>
      </c>
      <c r="B4107" s="11" t="inlineStr">
        <is>
          <t>Bright finished or black enamelled mild steel screws 20 mm</t>
        </is>
      </c>
      <c r="C4107" s="22" t="inlineStr">
        <is>
          <t>100 Nos</t>
        </is>
      </c>
      <c r="D4107" s="23" t="n">
        <v>0.08</v>
      </c>
      <c r="E4107" s="24" t="n">
        <v>30</v>
      </c>
      <c r="F4107" s="24">
        <f>D4107*E4107</f>
        <v/>
      </c>
      <c r="G4107" s="22" t="n"/>
    </row>
    <row r="4108">
      <c r="A4108" s="22" t="inlineStr">
        <is>
          <t>2204</t>
        </is>
      </c>
      <c r="B4108" s="11" t="inlineStr">
        <is>
          <t>Carriage of Timber</t>
        </is>
      </c>
      <c r="C4108" s="22" t="inlineStr">
        <is>
          <t>cum</t>
        </is>
      </c>
      <c r="D4108" s="23" t="n">
        <v>0.0514</v>
      </c>
      <c r="E4108" s="24" t="n">
        <v>118.59</v>
      </c>
      <c r="F4108" s="24">
        <f>D4108*E4108</f>
        <v/>
      </c>
      <c r="G4108" s="22" t="n"/>
    </row>
    <row r="4109">
      <c r="A4109" s="22" t="inlineStr">
        <is>
          <t>0111</t>
        </is>
      </c>
      <c r="B4109" s="11" t="inlineStr">
        <is>
          <t>Carpenter 1st class</t>
        </is>
      </c>
      <c r="C4109" s="22" t="inlineStr">
        <is>
          <t>day</t>
        </is>
      </c>
      <c r="D4109" s="23" t="n">
        <v>1.3</v>
      </c>
      <c r="E4109" s="24" t="n">
        <v>738</v>
      </c>
      <c r="F4109" s="24">
        <f>D4109*E4109</f>
        <v/>
      </c>
      <c r="G4109" s="22" t="n"/>
    </row>
    <row r="4110">
      <c r="A4110" s="22" t="inlineStr">
        <is>
          <t>0112</t>
        </is>
      </c>
      <c r="B4110" s="11" t="inlineStr">
        <is>
          <t>Carpenter 2nd class</t>
        </is>
      </c>
      <c r="C4110" s="22" t="inlineStr">
        <is>
          <t>day</t>
        </is>
      </c>
      <c r="D4110" s="23" t="n">
        <v>0.9</v>
      </c>
      <c r="E4110" s="24" t="n">
        <v>679</v>
      </c>
      <c r="F4110" s="24">
        <f>D4110*E4110</f>
        <v/>
      </c>
      <c r="G4110" s="22" t="n"/>
    </row>
    <row r="4111">
      <c r="A4111" s="22" t="inlineStr">
        <is>
          <t>0114</t>
        </is>
      </c>
      <c r="B4111" s="11" t="inlineStr">
        <is>
          <t>Beldar</t>
        </is>
      </c>
      <c r="C4111" s="22" t="inlineStr">
        <is>
          <t>day</t>
        </is>
      </c>
      <c r="D4111" s="23" t="n">
        <v>1.05</v>
      </c>
      <c r="E4111" s="24" t="n">
        <v>558</v>
      </c>
      <c r="F4111" s="24">
        <f>D4111*E4111</f>
        <v/>
      </c>
      <c r="G4111" s="22" t="n"/>
    </row>
    <row r="4112">
      <c r="A4112" s="22" t="inlineStr">
        <is>
          <t>0130</t>
        </is>
      </c>
      <c r="B4112" s="11" t="inlineStr">
        <is>
          <t>Mistry</t>
        </is>
      </c>
      <c r="C4112" s="22" t="inlineStr">
        <is>
          <t>day</t>
        </is>
      </c>
      <c r="D4112" s="23" t="n">
        <v>0.105</v>
      </c>
      <c r="E4112" s="24" t="n">
        <v>738</v>
      </c>
      <c r="F4112" s="24">
        <f>D4112*E4112</f>
        <v/>
      </c>
      <c r="G4112" s="22" t="n"/>
    </row>
    <row r="4113">
      <c r="A4113" s="22" t="inlineStr">
        <is>
          <t>9999</t>
        </is>
      </c>
      <c r="B4113" s="11" t="inlineStr">
        <is>
          <t>Sundries</t>
        </is>
      </c>
      <c r="C4113" s="22" t="inlineStr">
        <is>
          <t>L.S.</t>
        </is>
      </c>
      <c r="D4113" s="23" t="n">
        <v>33.8</v>
      </c>
      <c r="E4113" s="24" t="n">
        <v>2</v>
      </c>
      <c r="F4113" s="24">
        <f>D4113*E4113</f>
        <v/>
      </c>
      <c r="G4113" s="22" t="n"/>
    </row>
    <row r="4114">
      <c r="A4114" s="8" t="inlineStr">
        <is>
          <t>Calculated W - SUM of the Amount column above</t>
        </is>
      </c>
      <c r="B4114" s="9" t="n"/>
      <c r="C4114" s="9" t="n"/>
      <c r="D4114" s="9" t="n"/>
      <c r="E4114" s="9" t="n"/>
      <c r="F4114" s="25">
        <f>SUM(F4102:F4113)</f>
        <v/>
      </c>
      <c r="G4114" s="9" t="n"/>
    </row>
    <row r="4115">
      <c r="A4115" s="26" t="inlineStr">
        <is>
          <t>W as printed in the DAR</t>
        </is>
      </c>
      <c r="B4115" s="22" t="n"/>
      <c r="C4115" s="22" t="n"/>
      <c r="D4115" s="22" t="n"/>
      <c r="E4115" s="22" t="n"/>
      <c r="F4115" s="27" t="n">
        <v>7026.33</v>
      </c>
      <c r="G4115" s="22" t="n"/>
    </row>
    <row r="4116">
      <c r="A4116" s="26" t="inlineStr">
        <is>
          <t>Difference (calculated - printed)</t>
        </is>
      </c>
      <c r="B4116" s="22" t="n"/>
      <c r="C4116" s="22" t="n"/>
      <c r="D4116" s="22" t="n"/>
      <c r="E4116" s="22" t="n"/>
      <c r="F4116" s="27">
        <f>F4114-F4115</f>
        <v/>
      </c>
      <c r="G4116" s="22" t="n"/>
    </row>
    <row r="4117">
      <c r="A4117" s="29" t="inlineStr">
        <is>
          <t>SAY (Rs.) - final DAR rate as printed (fixed value, not computed)</t>
        </is>
      </c>
      <c r="B4117" s="30" t="n"/>
      <c r="C4117" s="30" t="n"/>
      <c r="D4117" s="30" t="n"/>
      <c r="E4117" s="30" t="n"/>
      <c r="F4117" s="31" t="n">
        <v>4352.2</v>
      </c>
      <c r="G4117" s="30" t="n"/>
    </row>
    <row r="4119" ht="33" customHeight="1">
      <c r="A4119" s="8" t="inlineStr">
        <is>
          <t>9.134</t>
        </is>
      </c>
      <c r="B4119" s="17" t="inlineStr">
        <is>
          <t>Providing and fixing wire gauge shutters using stainless steel grade 304 wire gauge with wire of dia 0.5 mm and average width of aperture 1.4 mm in both directions for doors, windows and clerestory windows with necessary screws :</t>
        </is>
      </c>
      <c r="C4119" s="9" t="n"/>
      <c r="D4119" s="9" t="n"/>
      <c r="E4119" s="9" t="n"/>
      <c r="F4119" s="9" t="n"/>
      <c r="G4119" s="9" t="n"/>
    </row>
    <row r="4120" ht="18.5" customHeight="1">
      <c r="A4120" s="8" t="inlineStr">
        <is>
          <t>9.134.1</t>
        </is>
      </c>
      <c r="B4120" s="17" t="inlineStr">
        <is>
          <t>35 mm thick shutters</t>
        </is>
      </c>
      <c r="C4120" s="9" t="n"/>
      <c r="D4120" s="9" t="n"/>
      <c r="E4120" s="9" t="n"/>
      <c r="F4120" s="9" t="n"/>
      <c r="G4120" s="9" t="n"/>
    </row>
    <row r="4121" ht="18.5" customHeight="1">
      <c r="A4121" s="8" t="inlineStr">
        <is>
          <t>9.134.1.1</t>
        </is>
      </c>
      <c r="B4121" s="17" t="inlineStr">
        <is>
          <t>with ISI marked M.S. pressed butt hinges bright finished of required size</t>
        </is>
      </c>
      <c r="C4121" s="9" t="n"/>
      <c r="D4121" s="9" t="n"/>
      <c r="E4121" s="9" t="n"/>
      <c r="F4121" s="9" t="n"/>
      <c r="G4121" s="9" t="n"/>
    </row>
    <row r="4122" ht="18.5" customHeight="1">
      <c r="A4122" s="18" t="inlineStr">
        <is>
          <t>9.134.1.1.2</t>
        </is>
      </c>
      <c r="B4122" s="19" t="inlineStr">
        <is>
          <t>Kiln seasoned and chemically treated hollock wood</t>
        </is>
      </c>
      <c r="C4122" s="20" t="n"/>
      <c r="D4122" s="20" t="n"/>
      <c r="E4122" s="20" t="n"/>
      <c r="F4122" s="20" t="n"/>
      <c r="G4122" s="20" t="n"/>
    </row>
    <row r="4123">
      <c r="A4123" s="21" t="inlineStr">
        <is>
          <t>Details of cost for 2.16 sqm   |   Source: CivilDAR_2019_Vol_1.pdf, page 604</t>
        </is>
      </c>
    </row>
    <row r="4124">
      <c r="A4124" s="5" t="inlineStr">
        <is>
          <t>Code</t>
        </is>
      </c>
      <c r="B4124" s="5" t="inlineStr">
        <is>
          <t>Description</t>
        </is>
      </c>
      <c r="C4124" s="5" t="inlineStr">
        <is>
          <t>Unit</t>
        </is>
      </c>
      <c r="D4124" s="5" t="inlineStr">
        <is>
          <t>Quantity</t>
        </is>
      </c>
      <c r="E4124" s="5" t="inlineStr">
        <is>
          <t>Rate (Rs.)</t>
        </is>
      </c>
      <c r="F4124" s="5" t="inlineStr">
        <is>
          <t>Amount (Rs.)</t>
        </is>
      </c>
      <c r="G4124" s="5" t="inlineStr">
        <is>
          <t>Note</t>
        </is>
      </c>
    </row>
    <row r="4125">
      <c r="A4125" s="22" t="inlineStr">
        <is>
          <t>2505</t>
        </is>
      </c>
      <c r="B4125" s="11" t="inlineStr">
        <is>
          <t>Hollock wood in planks</t>
        </is>
      </c>
      <c r="C4125" s="22" t="inlineStr">
        <is>
          <t>10 cudm</t>
        </is>
      </c>
      <c r="D4125" s="23" t="n">
        <v>5.14</v>
      </c>
      <c r="E4125" s="24" t="n">
        <v>390</v>
      </c>
      <c r="F4125" s="24">
        <f>D4125*E4125</f>
        <v/>
      </c>
      <c r="G4125" s="22" t="n"/>
    </row>
    <row r="4126">
      <c r="A4126" s="22" t="inlineStr">
        <is>
          <t>2204</t>
        </is>
      </c>
      <c r="B4126" s="11" t="inlineStr">
        <is>
          <t>Carriage of Timber</t>
        </is>
      </c>
      <c r="C4126" s="22" t="inlineStr">
        <is>
          <t>cum</t>
        </is>
      </c>
      <c r="D4126" s="23" t="n">
        <v>0.0514</v>
      </c>
      <c r="E4126" s="24" t="n">
        <v>118.59</v>
      </c>
      <c r="F4126" s="24">
        <f>D4126*E4126</f>
        <v/>
      </c>
      <c r="G4126" s="22" t="n"/>
    </row>
    <row r="4127">
      <c r="A4127" s="22" t="inlineStr">
        <is>
          <t>2504</t>
        </is>
      </c>
      <c r="B4127" s="11" t="inlineStr">
        <is>
          <t>Kiln seasoning of timber</t>
        </is>
      </c>
      <c r="C4127" s="22" t="inlineStr">
        <is>
          <t>cum</t>
        </is>
      </c>
      <c r="D4127" s="23" t="n">
        <v>0.0514</v>
      </c>
      <c r="E4127" s="24" t="n">
        <v>750</v>
      </c>
      <c r="F4127" s="24">
        <f>D4127*E4127</f>
        <v/>
      </c>
      <c r="G4127" s="22" t="n"/>
    </row>
    <row r="4128">
      <c r="A4128" s="22" t="inlineStr">
        <is>
          <t>9999</t>
        </is>
      </c>
      <c r="B4128" s="11" t="inlineStr">
        <is>
          <t>Chemical treatment</t>
        </is>
      </c>
      <c r="C4128" s="22" t="inlineStr">
        <is>
          <t>L.S.</t>
        </is>
      </c>
      <c r="D4128" s="23" t="n">
        <v>8.970000000000001</v>
      </c>
      <c r="E4128" s="24" t="n">
        <v>2</v>
      </c>
      <c r="F4128" s="24">
        <f>D4128*E4128</f>
        <v/>
      </c>
      <c r="G4128" s="22" t="n"/>
    </row>
    <row r="4129">
      <c r="A4129" s="22" t="inlineStr">
        <is>
          <t>8737</t>
        </is>
      </c>
      <c r="B4129" s="11" t="inlineStr">
        <is>
          <t>Stainless steel wire guage (Grade-304) aperture 1.4mm and 0.50 mm dia wire</t>
        </is>
      </c>
      <c r="C4129" s="22" t="inlineStr">
        <is>
          <t>sqm</t>
        </is>
      </c>
      <c r="D4129" s="23" t="n">
        <v>1.41</v>
      </c>
      <c r="E4129" s="24" t="n">
        <v>400</v>
      </c>
      <c r="F4129" s="24">
        <f>D4129*E4129</f>
        <v/>
      </c>
      <c r="G4129" s="22" t="n"/>
    </row>
    <row r="4130">
      <c r="A4130" s="22" t="inlineStr">
        <is>
          <t>0595</t>
        </is>
      </c>
      <c r="B4130" s="11" t="inlineStr">
        <is>
          <t>Bright finished or black enamelled mild steel butt hinges 100x58x1.90 mm</t>
        </is>
      </c>
      <c r="C4130" s="22" t="inlineStr">
        <is>
          <t>10 Nos</t>
        </is>
      </c>
      <c r="D4130" s="23" t="n">
        <v>0.6</v>
      </c>
      <c r="E4130" s="24" t="n">
        <v>80</v>
      </c>
      <c r="F4130" s="24">
        <f>D4130*E4130</f>
        <v/>
      </c>
      <c r="G4130" s="22" t="n"/>
    </row>
    <row r="4131">
      <c r="A4131" s="22" t="inlineStr">
        <is>
          <t>0597</t>
        </is>
      </c>
      <c r="B4131" s="11" t="inlineStr">
        <is>
          <t>Bright finished or black enamelled mild steel butt hinges50x37x1.50 mm</t>
        </is>
      </c>
      <c r="C4131" s="22" t="inlineStr">
        <is>
          <t>10 Nos</t>
        </is>
      </c>
      <c r="D4131" s="23" t="n">
        <v>0.2</v>
      </c>
      <c r="E4131" s="24" t="n">
        <v>49</v>
      </c>
      <c r="F4131" s="24">
        <f>D4131*E4131</f>
        <v/>
      </c>
      <c r="G4131" s="22" t="n"/>
    </row>
    <row r="4132">
      <c r="A4132" s="22" t="inlineStr">
        <is>
          <t>0637</t>
        </is>
      </c>
      <c r="B4132" s="11" t="inlineStr">
        <is>
          <t>Bright finished or black enamelled mild steel screws 40 mm</t>
        </is>
      </c>
      <c r="C4132" s="22" t="inlineStr">
        <is>
          <t>100 Nos</t>
        </is>
      </c>
      <c r="D4132" s="23" t="n">
        <v>0.48</v>
      </c>
      <c r="E4132" s="24" t="n">
        <v>60</v>
      </c>
      <c r="F4132" s="24">
        <f>D4132*E4132</f>
        <v/>
      </c>
      <c r="G4132" s="22" t="n"/>
    </row>
    <row r="4133">
      <c r="A4133" s="22" t="inlineStr">
        <is>
          <t>0640</t>
        </is>
      </c>
      <c r="B4133" s="11" t="inlineStr">
        <is>
          <t>Bright finished or black enamelled mild steel screws 20 mm</t>
        </is>
      </c>
      <c r="C4133" s="22" t="inlineStr">
        <is>
          <t>100 Nos</t>
        </is>
      </c>
      <c r="D4133" s="23" t="n">
        <v>0.08</v>
      </c>
      <c r="E4133" s="24" t="n">
        <v>30</v>
      </c>
      <c r="F4133" s="24">
        <f>D4133*E4133</f>
        <v/>
      </c>
      <c r="G4133" s="22" t="n"/>
    </row>
    <row r="4134">
      <c r="A4134" s="22" t="inlineStr">
        <is>
          <t>0111</t>
        </is>
      </c>
      <c r="B4134" s="11" t="inlineStr">
        <is>
          <t>Carpenter 1st class</t>
        </is>
      </c>
      <c r="C4134" s="22" t="inlineStr">
        <is>
          <t>day</t>
        </is>
      </c>
      <c r="D4134" s="23" t="n">
        <v>1.3</v>
      </c>
      <c r="E4134" s="24" t="n">
        <v>738</v>
      </c>
      <c r="F4134" s="24">
        <f>D4134*E4134</f>
        <v/>
      </c>
      <c r="G4134" s="22" t="n"/>
    </row>
    <row r="4135">
      <c r="A4135" s="22" t="inlineStr">
        <is>
          <t>0112</t>
        </is>
      </c>
      <c r="B4135" s="11" t="inlineStr">
        <is>
          <t>Carpenter 2nd class</t>
        </is>
      </c>
      <c r="C4135" s="22" t="inlineStr">
        <is>
          <t>day</t>
        </is>
      </c>
      <c r="D4135" s="23" t="n">
        <v>0.9</v>
      </c>
      <c r="E4135" s="24" t="n">
        <v>679</v>
      </c>
      <c r="F4135" s="24">
        <f>D4135*E4135</f>
        <v/>
      </c>
      <c r="G4135" s="22" t="n"/>
    </row>
    <row r="4136">
      <c r="A4136" s="22" t="inlineStr">
        <is>
          <t>0114</t>
        </is>
      </c>
      <c r="B4136" s="11" t="inlineStr">
        <is>
          <t>Beldar</t>
        </is>
      </c>
      <c r="C4136" s="22" t="inlineStr">
        <is>
          <t>day</t>
        </is>
      </c>
      <c r="D4136" s="23" t="n">
        <v>1.05</v>
      </c>
      <c r="E4136" s="24" t="n">
        <v>558</v>
      </c>
      <c r="F4136" s="24">
        <f>D4136*E4136</f>
        <v/>
      </c>
      <c r="G4136" s="22" t="n"/>
    </row>
    <row r="4137">
      <c r="A4137" s="22" t="inlineStr">
        <is>
          <t>0130</t>
        </is>
      </c>
      <c r="B4137" s="11" t="inlineStr">
        <is>
          <t>Mistry</t>
        </is>
      </c>
      <c r="C4137" s="22" t="inlineStr">
        <is>
          <t>day</t>
        </is>
      </c>
      <c r="D4137" s="23" t="n">
        <v>0.105</v>
      </c>
      <c r="E4137" s="24" t="n">
        <v>738</v>
      </c>
      <c r="F4137" s="24">
        <f>D4137*E4137</f>
        <v/>
      </c>
      <c r="G4137" s="22" t="n"/>
    </row>
    <row r="4138">
      <c r="A4138" s="22" t="inlineStr">
        <is>
          <t>9999</t>
        </is>
      </c>
      <c r="B4138" s="11" t="inlineStr">
        <is>
          <t>Sundries</t>
        </is>
      </c>
      <c r="C4138" s="22" t="inlineStr">
        <is>
          <t>L.S.</t>
        </is>
      </c>
      <c r="D4138" s="23" t="n">
        <v>33.8</v>
      </c>
      <c r="E4138" s="24" t="n">
        <v>2</v>
      </c>
      <c r="F4138" s="24">
        <f>D4138*E4138</f>
        <v/>
      </c>
      <c r="G4138" s="22" t="n"/>
    </row>
    <row r="4139">
      <c r="A4139" s="8" t="inlineStr">
        <is>
          <t>Calculated W - SUM of the Amount column above</t>
        </is>
      </c>
      <c r="B4139" s="9" t="n"/>
      <c r="C4139" s="9" t="n"/>
      <c r="D4139" s="9" t="n"/>
      <c r="E4139" s="9" t="n"/>
      <c r="F4139" s="25">
        <f>SUM(F4125:F4138)</f>
        <v/>
      </c>
      <c r="G4139" s="9" t="n"/>
    </row>
    <row r="4140">
      <c r="A4140" s="26" t="inlineStr">
        <is>
          <t>W as printed in the DAR</t>
        </is>
      </c>
      <c r="B4140" s="22" t="n"/>
      <c r="C4140" s="22" t="n"/>
      <c r="D4140" s="22" t="n"/>
      <c r="E4140" s="22" t="n"/>
      <c r="F4140" s="27" t="n">
        <v>5021.68</v>
      </c>
      <c r="G4140" s="22" t="n"/>
    </row>
    <row r="4141">
      <c r="A4141" s="26" t="inlineStr">
        <is>
          <t>Difference (calculated - printed)</t>
        </is>
      </c>
      <c r="B4141" s="22" t="n"/>
      <c r="C4141" s="22" t="n"/>
      <c r="D4141" s="22" t="n"/>
      <c r="E4141" s="22" t="n"/>
      <c r="F4141" s="27">
        <f>F4139-F4140</f>
        <v/>
      </c>
      <c r="G4141" s="22" t="n"/>
    </row>
    <row r="4142">
      <c r="A4142" s="29" t="inlineStr">
        <is>
          <t>SAY (Rs.) - final DAR rate as printed (fixed value, not computed)</t>
        </is>
      </c>
      <c r="B4142" s="30" t="n"/>
      <c r="C4142" s="30" t="n"/>
      <c r="D4142" s="30" t="n"/>
      <c r="E4142" s="30" t="n"/>
      <c r="F4142" s="31" t="n">
        <v>3110.5</v>
      </c>
      <c r="G4142" s="30" t="n"/>
    </row>
    <row r="4144" ht="33" customHeight="1">
      <c r="A4144" s="8" t="inlineStr">
        <is>
          <t>9.134</t>
        </is>
      </c>
      <c r="B4144" s="17" t="inlineStr">
        <is>
          <t>Providing and fixing wire gauge shutters using stainless steel grade 304 wire gauge with wire of dia 0.5 mm and average width of aperture 1.4 mm in both directions for doors, windows and clerestory windows with necessary screws :</t>
        </is>
      </c>
      <c r="C4144" s="9" t="n"/>
      <c r="D4144" s="9" t="n"/>
      <c r="E4144" s="9" t="n"/>
      <c r="F4144" s="9" t="n"/>
      <c r="G4144" s="9" t="n"/>
    </row>
    <row r="4145" ht="18.5" customHeight="1">
      <c r="A4145" s="8" t="inlineStr">
        <is>
          <t>9.134.1</t>
        </is>
      </c>
      <c r="B4145" s="17" t="inlineStr">
        <is>
          <t>35 mm thick shutters</t>
        </is>
      </c>
      <c r="C4145" s="9" t="n"/>
      <c r="D4145" s="9" t="n"/>
      <c r="E4145" s="9" t="n"/>
      <c r="F4145" s="9" t="n"/>
      <c r="G4145" s="9" t="n"/>
    </row>
    <row r="4146" ht="18.5" customHeight="1">
      <c r="A4146" s="8" t="inlineStr">
        <is>
          <t>9.134.1.1</t>
        </is>
      </c>
      <c r="B4146" s="17" t="inlineStr">
        <is>
          <t>with ISI marked M.S. pressed butt hinges bright finished of required size</t>
        </is>
      </c>
      <c r="C4146" s="9" t="n"/>
      <c r="D4146" s="9" t="n"/>
      <c r="E4146" s="9" t="n"/>
      <c r="F4146" s="9" t="n"/>
      <c r="G4146" s="9" t="n"/>
    </row>
    <row r="4147" ht="18.5" customHeight="1">
      <c r="A4147" s="18" t="inlineStr">
        <is>
          <t>9.134.1.1.3</t>
        </is>
      </c>
      <c r="B4147" s="19" t="inlineStr">
        <is>
          <t>Kiln seasoned selected class of sheesham wood</t>
        </is>
      </c>
      <c r="C4147" s="20" t="n"/>
      <c r="D4147" s="20" t="n"/>
      <c r="E4147" s="20" t="n"/>
      <c r="F4147" s="20" t="n"/>
      <c r="G4147" s="20" t="n"/>
    </row>
    <row r="4148">
      <c r="A4148" s="21" t="inlineStr">
        <is>
          <t>Details of cost for 2.16 sqm   |   Source: CivilDAR_2019_Vol_1.pdf, page 605</t>
        </is>
      </c>
    </row>
    <row r="4149">
      <c r="A4149" s="5" t="inlineStr">
        <is>
          <t>Code</t>
        </is>
      </c>
      <c r="B4149" s="5" t="inlineStr">
        <is>
          <t>Description</t>
        </is>
      </c>
      <c r="C4149" s="5" t="inlineStr">
        <is>
          <t>Unit</t>
        </is>
      </c>
      <c r="D4149" s="5" t="inlineStr">
        <is>
          <t>Quantity</t>
        </is>
      </c>
      <c r="E4149" s="5" t="inlineStr">
        <is>
          <t>Rate (Rs.)</t>
        </is>
      </c>
      <c r="F4149" s="5" t="inlineStr">
        <is>
          <t>Amount (Rs.)</t>
        </is>
      </c>
      <c r="G4149" s="5" t="inlineStr">
        <is>
          <t>Note</t>
        </is>
      </c>
    </row>
    <row r="4150">
      <c r="A4150" s="22" t="inlineStr">
        <is>
          <t>1200</t>
        </is>
      </c>
      <c r="B4150" s="11" t="inlineStr">
        <is>
          <t>Kiln seasoned selected sheesum wood planks</t>
        </is>
      </c>
      <c r="C4150" s="22" t="inlineStr">
        <is>
          <t>10 cudm</t>
        </is>
      </c>
      <c r="D4150" s="23" t="n">
        <v>5.14</v>
      </c>
      <c r="E4150" s="24" t="n">
        <v>650</v>
      </c>
      <c r="F4150" s="24">
        <f>D4150*E4150</f>
        <v/>
      </c>
      <c r="G4150" s="22" t="n"/>
    </row>
    <row r="4151">
      <c r="A4151" s="22" t="inlineStr">
        <is>
          <t>2204</t>
        </is>
      </c>
      <c r="B4151" s="11" t="inlineStr">
        <is>
          <t>Carriage of Timber</t>
        </is>
      </c>
      <c r="C4151" s="22" t="inlineStr">
        <is>
          <t>cum</t>
        </is>
      </c>
      <c r="D4151" s="23" t="n">
        <v>0.0514</v>
      </c>
      <c r="E4151" s="24" t="n">
        <v>118.59</v>
      </c>
      <c r="F4151" s="24">
        <f>D4151*E4151</f>
        <v/>
      </c>
      <c r="G4151" s="22" t="n"/>
    </row>
    <row r="4152">
      <c r="A4152" s="22" t="inlineStr">
        <is>
          <t>2504</t>
        </is>
      </c>
      <c r="B4152" s="11" t="inlineStr">
        <is>
          <t>Kiln seasoning of timber</t>
        </is>
      </c>
      <c r="C4152" s="22" t="inlineStr">
        <is>
          <t>cum</t>
        </is>
      </c>
      <c r="D4152" s="23" t="n">
        <v>0.0514</v>
      </c>
      <c r="E4152" s="24" t="n">
        <v>750</v>
      </c>
      <c r="F4152" s="24">
        <f>D4152*E4152</f>
        <v/>
      </c>
      <c r="G4152" s="22" t="n"/>
    </row>
    <row r="4153">
      <c r="A4153" s="22" t="inlineStr">
        <is>
          <t>8737</t>
        </is>
      </c>
      <c r="B4153" s="11" t="inlineStr">
        <is>
          <t>Stainless steel wire guage (Grade-304) aperture 1.4mm and 0.50 mm dia wire</t>
        </is>
      </c>
      <c r="C4153" s="22" t="inlineStr">
        <is>
          <t>sqm</t>
        </is>
      </c>
      <c r="D4153" s="23" t="n">
        <v>1.41</v>
      </c>
      <c r="E4153" s="24" t="n">
        <v>400</v>
      </c>
      <c r="F4153" s="24">
        <f>D4153*E4153</f>
        <v/>
      </c>
      <c r="G4153" s="22" t="n"/>
    </row>
    <row r="4154">
      <c r="A4154" s="22" t="inlineStr">
        <is>
          <t>0595</t>
        </is>
      </c>
      <c r="B4154" s="11" t="inlineStr">
        <is>
          <t>Bright finished or black enamelled mild steel butt hinges 100x58x1.90 mm</t>
        </is>
      </c>
      <c r="C4154" s="22" t="inlineStr">
        <is>
          <t>10 Nos</t>
        </is>
      </c>
      <c r="D4154" s="23" t="n">
        <v>0.6</v>
      </c>
      <c r="E4154" s="24" t="n">
        <v>80</v>
      </c>
      <c r="F4154" s="24">
        <f>D4154*E4154</f>
        <v/>
      </c>
      <c r="G4154" s="22" t="n"/>
    </row>
    <row r="4155">
      <c r="A4155" s="22" t="inlineStr">
        <is>
          <t>0597</t>
        </is>
      </c>
      <c r="B4155" s="11" t="inlineStr">
        <is>
          <t>Bright finished or black enamelled mild steel butt hinges50x37x1.50 mm</t>
        </is>
      </c>
      <c r="C4155" s="22" t="inlineStr">
        <is>
          <t>10 Nos</t>
        </is>
      </c>
      <c r="D4155" s="23" t="n">
        <v>0.2</v>
      </c>
      <c r="E4155" s="24" t="n">
        <v>49</v>
      </c>
      <c r="F4155" s="24">
        <f>D4155*E4155</f>
        <v/>
      </c>
      <c r="G4155" s="22" t="n"/>
    </row>
    <row r="4156">
      <c r="A4156" s="22" t="inlineStr">
        <is>
          <t>0637</t>
        </is>
      </c>
      <c r="B4156" s="11" t="inlineStr">
        <is>
          <t>Bright finished or black enamelled mild steel screws 40 mm</t>
        </is>
      </c>
      <c r="C4156" s="22" t="inlineStr">
        <is>
          <t>100 Nos</t>
        </is>
      </c>
      <c r="D4156" s="23" t="n">
        <v>0.48</v>
      </c>
      <c r="E4156" s="24" t="n">
        <v>60</v>
      </c>
      <c r="F4156" s="24">
        <f>D4156*E4156</f>
        <v/>
      </c>
      <c r="G4156" s="22" t="n"/>
    </row>
    <row r="4157">
      <c r="A4157" s="22" t="inlineStr">
        <is>
          <t>0640</t>
        </is>
      </c>
      <c r="B4157" s="11" t="inlineStr">
        <is>
          <t>Bright finished or black enamelled mild steel screws 20 mm</t>
        </is>
      </c>
      <c r="C4157" s="22" t="inlineStr">
        <is>
          <t>100 Nos</t>
        </is>
      </c>
      <c r="D4157" s="23" t="n">
        <v>0.08</v>
      </c>
      <c r="E4157" s="24" t="n">
        <v>30</v>
      </c>
      <c r="F4157" s="24">
        <f>D4157*E4157</f>
        <v/>
      </c>
      <c r="G4157" s="22" t="n"/>
    </row>
    <row r="4158">
      <c r="A4158" s="22" t="inlineStr">
        <is>
          <t>0111</t>
        </is>
      </c>
      <c r="B4158" s="11" t="inlineStr">
        <is>
          <t>Carpenter 1st class</t>
        </is>
      </c>
      <c r="C4158" s="22" t="inlineStr">
        <is>
          <t>day</t>
        </is>
      </c>
      <c r="D4158" s="23" t="n">
        <v>1.3</v>
      </c>
      <c r="E4158" s="24" t="n">
        <v>738</v>
      </c>
      <c r="F4158" s="24">
        <f>D4158*E4158</f>
        <v/>
      </c>
      <c r="G4158" s="22" t="n"/>
    </row>
    <row r="4159">
      <c r="A4159" s="22" t="inlineStr">
        <is>
          <t>0112</t>
        </is>
      </c>
      <c r="B4159" s="11" t="inlineStr">
        <is>
          <t>Carpenter 2nd class</t>
        </is>
      </c>
      <c r="C4159" s="22" t="inlineStr">
        <is>
          <t>day</t>
        </is>
      </c>
      <c r="D4159" s="23" t="n">
        <v>0.9</v>
      </c>
      <c r="E4159" s="24" t="n">
        <v>679</v>
      </c>
      <c r="F4159" s="24">
        <f>D4159*E4159</f>
        <v/>
      </c>
      <c r="G4159" s="22" t="n"/>
    </row>
    <row r="4160">
      <c r="A4160" s="22" t="inlineStr">
        <is>
          <t>0114</t>
        </is>
      </c>
      <c r="B4160" s="11" t="inlineStr">
        <is>
          <t>Beldar</t>
        </is>
      </c>
      <c r="C4160" s="22" t="inlineStr">
        <is>
          <t>day</t>
        </is>
      </c>
      <c r="D4160" s="23" t="n">
        <v>1.05</v>
      </c>
      <c r="E4160" s="24" t="n">
        <v>558</v>
      </c>
      <c r="F4160" s="24">
        <f>D4160*E4160</f>
        <v/>
      </c>
      <c r="G4160" s="22" t="n"/>
    </row>
    <row r="4161">
      <c r="A4161" s="22" t="inlineStr">
        <is>
          <t>0130</t>
        </is>
      </c>
      <c r="B4161" s="11" t="inlineStr">
        <is>
          <t>Mistry</t>
        </is>
      </c>
      <c r="C4161" s="22" t="inlineStr">
        <is>
          <t>day</t>
        </is>
      </c>
      <c r="D4161" s="23" t="n">
        <v>0.105</v>
      </c>
      <c r="E4161" s="24" t="n">
        <v>738</v>
      </c>
      <c r="F4161" s="24">
        <f>D4161*E4161</f>
        <v/>
      </c>
      <c r="G4161" s="22" t="n"/>
    </row>
    <row r="4162">
      <c r="A4162" s="22" t="inlineStr">
        <is>
          <t>9999</t>
        </is>
      </c>
      <c r="B4162" s="11" t="inlineStr">
        <is>
          <t>Sundries</t>
        </is>
      </c>
      <c r="C4162" s="22" t="inlineStr">
        <is>
          <t>L.S.</t>
        </is>
      </c>
      <c r="D4162" s="23" t="n">
        <v>33.8</v>
      </c>
      <c r="E4162" s="24" t="n">
        <v>2</v>
      </c>
      <c r="F4162" s="24">
        <f>D4162*E4162</f>
        <v/>
      </c>
      <c r="G4162" s="22" t="n"/>
    </row>
    <row r="4163">
      <c r="A4163" s="8" t="inlineStr">
        <is>
          <t>Calculated W - SUM of the Amount column above</t>
        </is>
      </c>
      <c r="B4163" s="9" t="n"/>
      <c r="C4163" s="9" t="n"/>
      <c r="D4163" s="9" t="n"/>
      <c r="E4163" s="9" t="n"/>
      <c r="F4163" s="25">
        <f>SUM(F4150:F4162)</f>
        <v/>
      </c>
      <c r="G4163" s="9" t="n"/>
    </row>
    <row r="4164">
      <c r="A4164" s="26" t="inlineStr">
        <is>
          <t>W as printed in the DAR</t>
        </is>
      </c>
      <c r="B4164" s="22" t="n"/>
      <c r="C4164" s="22" t="n"/>
      <c r="D4164" s="22" t="n"/>
      <c r="E4164" s="22" t="n"/>
      <c r="F4164" s="27" t="n">
        <v>6340.14</v>
      </c>
      <c r="G4164" s="22" t="n"/>
    </row>
    <row r="4165">
      <c r="A4165" s="26" t="inlineStr">
        <is>
          <t>Difference (calculated - printed)</t>
        </is>
      </c>
      <c r="B4165" s="22" t="n"/>
      <c r="C4165" s="22" t="n"/>
      <c r="D4165" s="22" t="n"/>
      <c r="E4165" s="22" t="n"/>
      <c r="F4165" s="27">
        <f>F4163-F4164</f>
        <v/>
      </c>
      <c r="G4165" s="22" t="n"/>
    </row>
    <row r="4166">
      <c r="A4166" s="29" t="inlineStr">
        <is>
          <t>SAY (Rs.) - final DAR rate as printed (fixed value, not computed)</t>
        </is>
      </c>
      <c r="B4166" s="30" t="n"/>
      <c r="C4166" s="30" t="n"/>
      <c r="D4166" s="30" t="n"/>
      <c r="E4166" s="30" t="n"/>
      <c r="F4166" s="31" t="n">
        <v>3927.2</v>
      </c>
      <c r="G4166" s="30" t="n"/>
    </row>
    <row r="4168" ht="33" customHeight="1">
      <c r="A4168" s="8" t="inlineStr">
        <is>
          <t>9.134</t>
        </is>
      </c>
      <c r="B4168" s="17" t="inlineStr">
        <is>
          <t>Providing and fixing wire gauge shutters using stainless steel grade 304 wire gauge with wire of dia 0.5 mm and average width of aperture 1.4 mm in both directions for doors, windows and clerestory windows with necessary screws :</t>
        </is>
      </c>
      <c r="C4168" s="9" t="n"/>
      <c r="D4168" s="9" t="n"/>
      <c r="E4168" s="9" t="n"/>
      <c r="F4168" s="9" t="n"/>
      <c r="G4168" s="9" t="n"/>
    </row>
    <row r="4169" ht="18.5" customHeight="1">
      <c r="A4169" s="8" t="inlineStr">
        <is>
          <t>9.134.1</t>
        </is>
      </c>
      <c r="B4169" s="17" t="inlineStr">
        <is>
          <t>35 mm thick shutters</t>
        </is>
      </c>
      <c r="C4169" s="9" t="n"/>
      <c r="D4169" s="9" t="n"/>
      <c r="E4169" s="9" t="n"/>
      <c r="F4169" s="9" t="n"/>
      <c r="G4169" s="9" t="n"/>
    </row>
    <row r="4170" ht="18.5" customHeight="1">
      <c r="A4170" s="8" t="inlineStr">
        <is>
          <t>9.134.1.2</t>
        </is>
      </c>
      <c r="B4170" s="17" t="inlineStr">
        <is>
          <t>With ISI marked stainless steel butt hinges of required size</t>
        </is>
      </c>
      <c r="C4170" s="9" t="n"/>
      <c r="D4170" s="9" t="n"/>
      <c r="E4170" s="9" t="n"/>
      <c r="F4170" s="9" t="n"/>
      <c r="G4170" s="9" t="n"/>
    </row>
    <row r="4171" ht="18.5" customHeight="1">
      <c r="A4171" s="18" t="inlineStr">
        <is>
          <t>9.134.1.2.1</t>
        </is>
      </c>
      <c r="B4171" s="19" t="inlineStr">
        <is>
          <t>Second class teak wood</t>
        </is>
      </c>
      <c r="C4171" s="20" t="n"/>
      <c r="D4171" s="20" t="n"/>
      <c r="E4171" s="20" t="n"/>
      <c r="F4171" s="20" t="n"/>
      <c r="G4171" s="20" t="n"/>
    </row>
    <row r="4172">
      <c r="A4172" s="21" t="inlineStr">
        <is>
          <t>Details of cost for 2.16 sqm   |   Source: CivilDAR_2019_Vol_1.pdf, page 606</t>
        </is>
      </c>
    </row>
    <row r="4173">
      <c r="A4173" s="5" t="inlineStr">
        <is>
          <t>Code</t>
        </is>
      </c>
      <c r="B4173" s="5" t="inlineStr">
        <is>
          <t>Description</t>
        </is>
      </c>
      <c r="C4173" s="5" t="inlineStr">
        <is>
          <t>Unit</t>
        </is>
      </c>
      <c r="D4173" s="5" t="inlineStr">
        <is>
          <t>Quantity</t>
        </is>
      </c>
      <c r="E4173" s="5" t="inlineStr">
        <is>
          <t>Rate (Rs.)</t>
        </is>
      </c>
      <c r="F4173" s="5" t="inlineStr">
        <is>
          <t>Amount (Rs.)</t>
        </is>
      </c>
      <c r="G4173" s="5" t="inlineStr">
        <is>
          <t>Note</t>
        </is>
      </c>
    </row>
    <row r="4174">
      <c r="A4174" s="22" t="inlineStr">
        <is>
          <t>1190</t>
        </is>
      </c>
      <c r="B4174" s="11" t="inlineStr">
        <is>
          <t>Second class teak wood in planks</t>
        </is>
      </c>
      <c r="C4174" s="22" t="inlineStr">
        <is>
          <t>10 cudm</t>
        </is>
      </c>
      <c r="D4174" s="23" t="n">
        <v>5.14</v>
      </c>
      <c r="E4174" s="24" t="n">
        <v>791</v>
      </c>
      <c r="F4174" s="24">
        <f>D4174*E4174</f>
        <v/>
      </c>
      <c r="G4174" s="22" t="n"/>
    </row>
    <row r="4175">
      <c r="A4175" s="22" t="inlineStr">
        <is>
          <t>8737</t>
        </is>
      </c>
      <c r="B4175" s="11" t="inlineStr">
        <is>
          <t>Stainless steel wire guage (Grade-304) aperture 1.4mm and 0.50 mm dia wire</t>
        </is>
      </c>
      <c r="C4175" s="22" t="inlineStr">
        <is>
          <t>sqm</t>
        </is>
      </c>
      <c r="D4175" s="23" t="n">
        <v>1.41</v>
      </c>
      <c r="E4175" s="24" t="n">
        <v>400</v>
      </c>
      <c r="F4175" s="24">
        <f>D4175*E4175</f>
        <v/>
      </c>
      <c r="G4175" s="22" t="n"/>
    </row>
    <row r="4176">
      <c r="A4176" s="22" t="inlineStr">
        <is>
          <t>8220</t>
        </is>
      </c>
      <c r="B4176" s="11" t="inlineStr">
        <is>
          <t>Stainless steel butt hinges (heavy weight) 100x60x2.5 mm IS : 12817 marked</t>
        </is>
      </c>
      <c r="C4176" s="22" t="inlineStr">
        <is>
          <t>10 Nos</t>
        </is>
      </c>
      <c r="D4176" s="23" t="n">
        <v>0.6</v>
      </c>
      <c r="E4176" s="24" t="n">
        <v>255</v>
      </c>
      <c r="F4176" s="24">
        <f>D4176*E4176</f>
        <v/>
      </c>
      <c r="G4176" s="22" t="n"/>
    </row>
    <row r="4177">
      <c r="A4177" s="22" t="inlineStr">
        <is>
          <t>8218</t>
        </is>
      </c>
      <c r="B4177" s="11" t="inlineStr">
        <is>
          <t>Stainless steel butt hinges 50x37x 1.5 mm IS : 12817 marked</t>
        </is>
      </c>
      <c r="C4177" s="22" t="inlineStr">
        <is>
          <t>10 Nos</t>
        </is>
      </c>
      <c r="D4177" s="23" t="n">
        <v>0.2</v>
      </c>
      <c r="E4177" s="24" t="n">
        <v>135</v>
      </c>
      <c r="F4177" s="24">
        <f>D4177*E4177</f>
        <v/>
      </c>
      <c r="G4177" s="22" t="n"/>
    </row>
    <row r="4178">
      <c r="A4178" s="22" t="inlineStr">
        <is>
          <t>8211</t>
        </is>
      </c>
      <c r="B4178" s="11" t="inlineStr">
        <is>
          <t>Stainless steel screws 40 mm</t>
        </is>
      </c>
      <c r="C4178" s="22" t="inlineStr">
        <is>
          <t>100 Nos</t>
        </is>
      </c>
      <c r="D4178" s="23" t="n">
        <v>0.48</v>
      </c>
      <c r="E4178" s="24" t="n">
        <v>215</v>
      </c>
      <c r="F4178" s="24">
        <f>D4178*E4178</f>
        <v/>
      </c>
      <c r="G4178" s="22" t="n"/>
    </row>
    <row r="4179">
      <c r="A4179" s="22" t="inlineStr">
        <is>
          <t>8214</t>
        </is>
      </c>
      <c r="B4179" s="11" t="inlineStr">
        <is>
          <t>Stainless steel screws 20 mm</t>
        </is>
      </c>
      <c r="C4179" s="22" t="inlineStr">
        <is>
          <t>100 Nos</t>
        </is>
      </c>
      <c r="D4179" s="23" t="n">
        <v>0.08</v>
      </c>
      <c r="E4179" s="24" t="n">
        <v>125</v>
      </c>
      <c r="F4179" s="24">
        <f>D4179*E4179</f>
        <v/>
      </c>
      <c r="G4179" s="22" t="n"/>
    </row>
    <row r="4180">
      <c r="A4180" s="22" t="inlineStr">
        <is>
          <t>2204</t>
        </is>
      </c>
      <c r="B4180" s="11" t="inlineStr">
        <is>
          <t>Carriage of Timber</t>
        </is>
      </c>
      <c r="C4180" s="22" t="inlineStr">
        <is>
          <t>cum</t>
        </is>
      </c>
      <c r="D4180" s="23" t="n">
        <v>0.0514</v>
      </c>
      <c r="E4180" s="24" t="n">
        <v>118.59</v>
      </c>
      <c r="F4180" s="24">
        <f>D4180*E4180</f>
        <v/>
      </c>
      <c r="G4180" s="22" t="n"/>
    </row>
    <row r="4181">
      <c r="A4181" s="22" t="inlineStr">
        <is>
          <t>0111</t>
        </is>
      </c>
      <c r="B4181" s="11" t="inlineStr">
        <is>
          <t>Carpenter 1st class</t>
        </is>
      </c>
      <c r="C4181" s="22" t="inlineStr">
        <is>
          <t>day</t>
        </is>
      </c>
      <c r="D4181" s="23" t="n">
        <v>1.3</v>
      </c>
      <c r="E4181" s="24" t="n">
        <v>738</v>
      </c>
      <c r="F4181" s="24">
        <f>D4181*E4181</f>
        <v/>
      </c>
      <c r="G4181" s="22" t="n"/>
    </row>
    <row r="4182">
      <c r="A4182" s="22" t="inlineStr">
        <is>
          <t>0112</t>
        </is>
      </c>
      <c r="B4182" s="11" t="inlineStr">
        <is>
          <t>Carpenter 2nd class</t>
        </is>
      </c>
      <c r="C4182" s="22" t="inlineStr">
        <is>
          <t>day</t>
        </is>
      </c>
      <c r="D4182" s="23" t="n">
        <v>0.9</v>
      </c>
      <c r="E4182" s="24" t="n">
        <v>679</v>
      </c>
      <c r="F4182" s="24">
        <f>D4182*E4182</f>
        <v/>
      </c>
      <c r="G4182" s="22" t="n"/>
    </row>
    <row r="4183">
      <c r="A4183" s="22" t="inlineStr">
        <is>
          <t>0114</t>
        </is>
      </c>
      <c r="B4183" s="11" t="inlineStr">
        <is>
          <t>Beldar</t>
        </is>
      </c>
      <c r="C4183" s="22" t="inlineStr">
        <is>
          <t>day</t>
        </is>
      </c>
      <c r="D4183" s="23" t="n">
        <v>1.05</v>
      </c>
      <c r="E4183" s="24" t="n">
        <v>558</v>
      </c>
      <c r="F4183" s="24">
        <f>D4183*E4183</f>
        <v/>
      </c>
      <c r="G4183" s="22" t="n"/>
    </row>
    <row r="4184">
      <c r="A4184" s="22" t="inlineStr">
        <is>
          <t>0130</t>
        </is>
      </c>
      <c r="B4184" s="11" t="inlineStr">
        <is>
          <t>Mistry</t>
        </is>
      </c>
      <c r="C4184" s="22" t="inlineStr">
        <is>
          <t>day</t>
        </is>
      </c>
      <c r="D4184" s="23" t="n">
        <v>0.105</v>
      </c>
      <c r="E4184" s="24" t="n">
        <v>738</v>
      </c>
      <c r="F4184" s="24">
        <f>D4184*E4184</f>
        <v/>
      </c>
      <c r="G4184" s="22" t="n"/>
    </row>
    <row r="4185">
      <c r="A4185" s="22" t="inlineStr">
        <is>
          <t>9999</t>
        </is>
      </c>
      <c r="B4185" s="11" t="inlineStr">
        <is>
          <t>Sundries</t>
        </is>
      </c>
      <c r="C4185" s="22" t="inlineStr">
        <is>
          <t>L.S.</t>
        </is>
      </c>
      <c r="D4185" s="23" t="n">
        <v>33.8</v>
      </c>
      <c r="E4185" s="24" t="n">
        <v>2</v>
      </c>
      <c r="F4185" s="24">
        <f>D4185*E4185</f>
        <v/>
      </c>
      <c r="G4185" s="22" t="n"/>
    </row>
    <row r="4186">
      <c r="A4186" s="8" t="inlineStr">
        <is>
          <t>Calculated W - SUM of the Amount column above</t>
        </is>
      </c>
      <c r="B4186" s="9" t="n"/>
      <c r="C4186" s="9" t="n"/>
      <c r="D4186" s="9" t="n"/>
      <c r="E4186" s="9" t="n"/>
      <c r="F4186" s="25">
        <f>SUM(F4174:F4185)</f>
        <v/>
      </c>
      <c r="G4186" s="9" t="n"/>
    </row>
    <row r="4187">
      <c r="A4187" s="26" t="inlineStr">
        <is>
          <t>W as printed in the DAR</t>
        </is>
      </c>
      <c r="B4187" s="22" t="n"/>
      <c r="C4187" s="22" t="n"/>
      <c r="D4187" s="22" t="n"/>
      <c r="E4187" s="22" t="n"/>
      <c r="F4187" s="27" t="n">
        <v>7230.53</v>
      </c>
      <c r="G4187" s="22" t="n"/>
    </row>
    <row r="4188">
      <c r="A4188" s="26" t="inlineStr">
        <is>
          <t>Difference (calculated - printed)</t>
        </is>
      </c>
      <c r="B4188" s="22" t="n"/>
      <c r="C4188" s="22" t="n"/>
      <c r="D4188" s="22" t="n"/>
      <c r="E4188" s="22" t="n"/>
      <c r="F4188" s="27">
        <f>F4186-F4187</f>
        <v/>
      </c>
      <c r="G4188" s="22" t="n"/>
    </row>
    <row r="4189">
      <c r="A4189" s="29" t="inlineStr">
        <is>
          <t>SAY (Rs.) - final DAR rate as printed (fixed value, not computed)</t>
        </is>
      </c>
      <c r="B4189" s="30" t="n"/>
      <c r="C4189" s="30" t="n"/>
      <c r="D4189" s="30" t="n"/>
      <c r="E4189" s="30" t="n"/>
      <c r="F4189" s="31" t="n">
        <v>4478.7</v>
      </c>
      <c r="G4189" s="30" t="n"/>
    </row>
    <row r="4191" ht="33" customHeight="1">
      <c r="A4191" s="8" t="inlineStr">
        <is>
          <t>9.134</t>
        </is>
      </c>
      <c r="B4191" s="17" t="inlineStr">
        <is>
          <t>Providing and fixing wire gauge shutters using stainless steel grade 304 wire gauge with wire of dia 0.5 mm and average width of aperture 1.4 mm in both directions for doors, windows and clerestory windows with necessary screws :</t>
        </is>
      </c>
      <c r="C4191" s="9" t="n"/>
      <c r="D4191" s="9" t="n"/>
      <c r="E4191" s="9" t="n"/>
      <c r="F4191" s="9" t="n"/>
      <c r="G4191" s="9" t="n"/>
    </row>
    <row r="4192" ht="18.5" customHeight="1">
      <c r="A4192" s="8" t="inlineStr">
        <is>
          <t>9.134.1</t>
        </is>
      </c>
      <c r="B4192" s="17" t="inlineStr">
        <is>
          <t>35 mm thick shutters</t>
        </is>
      </c>
      <c r="C4192" s="9" t="n"/>
      <c r="D4192" s="9" t="n"/>
      <c r="E4192" s="9" t="n"/>
      <c r="F4192" s="9" t="n"/>
      <c r="G4192" s="9" t="n"/>
    </row>
    <row r="4193" ht="18.5" customHeight="1">
      <c r="A4193" s="8" t="inlineStr">
        <is>
          <t>9.134.1.2</t>
        </is>
      </c>
      <c r="B4193" s="17" t="inlineStr">
        <is>
          <t>With ISI marked stainless steel butt hinges of required size</t>
        </is>
      </c>
      <c r="C4193" s="9" t="n"/>
      <c r="D4193" s="9" t="n"/>
      <c r="E4193" s="9" t="n"/>
      <c r="F4193" s="9" t="n"/>
      <c r="G4193" s="9" t="n"/>
    </row>
    <row r="4194" ht="18.5" customHeight="1">
      <c r="A4194" s="18" t="inlineStr">
        <is>
          <t>9.134.1.2.2</t>
        </is>
      </c>
      <c r="B4194" s="19" t="inlineStr">
        <is>
          <t>Kiln seasoned and chemically treated hollock wood</t>
        </is>
      </c>
      <c r="C4194" s="20" t="n"/>
      <c r="D4194" s="20" t="n"/>
      <c r="E4194" s="20" t="n"/>
      <c r="F4194" s="20" t="n"/>
      <c r="G4194" s="20" t="n"/>
    </row>
    <row r="4195">
      <c r="A4195" s="21" t="inlineStr">
        <is>
          <t>Details of cost for 2.16 sqm   |   Source: CivilDAR_2019_Vol_1.pdf, page 607</t>
        </is>
      </c>
    </row>
    <row r="4196">
      <c r="A4196" s="5" t="inlineStr">
        <is>
          <t>Code</t>
        </is>
      </c>
      <c r="B4196" s="5" t="inlineStr">
        <is>
          <t>Description</t>
        </is>
      </c>
      <c r="C4196" s="5" t="inlineStr">
        <is>
          <t>Unit</t>
        </is>
      </c>
      <c r="D4196" s="5" t="inlineStr">
        <is>
          <t>Quantity</t>
        </is>
      </c>
      <c r="E4196" s="5" t="inlineStr">
        <is>
          <t>Rate (Rs.)</t>
        </is>
      </c>
      <c r="F4196" s="5" t="inlineStr">
        <is>
          <t>Amount (Rs.)</t>
        </is>
      </c>
      <c r="G4196" s="5" t="inlineStr">
        <is>
          <t>Note</t>
        </is>
      </c>
    </row>
    <row r="4197">
      <c r="A4197" s="22" t="inlineStr">
        <is>
          <t>2505</t>
        </is>
      </c>
      <c r="B4197" s="11" t="inlineStr">
        <is>
          <t>Hollock wood in planks</t>
        </is>
      </c>
      <c r="C4197" s="22" t="inlineStr">
        <is>
          <t>10 cudm</t>
        </is>
      </c>
      <c r="D4197" s="23" t="n">
        <v>5.14</v>
      </c>
      <c r="E4197" s="24" t="n">
        <v>390</v>
      </c>
      <c r="F4197" s="24">
        <f>D4197*E4197</f>
        <v/>
      </c>
      <c r="G4197" s="22" t="n"/>
    </row>
    <row r="4198">
      <c r="A4198" s="22" t="inlineStr">
        <is>
          <t>2504</t>
        </is>
      </c>
      <c r="B4198" s="11" t="inlineStr">
        <is>
          <t>Kiln seasoning of timber</t>
        </is>
      </c>
      <c r="C4198" s="22" t="inlineStr">
        <is>
          <t>cum</t>
        </is>
      </c>
      <c r="D4198" s="23" t="n">
        <v>0.0514</v>
      </c>
      <c r="E4198" s="24" t="n">
        <v>750</v>
      </c>
      <c r="F4198" s="24">
        <f>D4198*E4198</f>
        <v/>
      </c>
      <c r="G4198" s="22" t="n"/>
    </row>
    <row r="4199">
      <c r="A4199" s="22" t="inlineStr">
        <is>
          <t>9999</t>
        </is>
      </c>
      <c r="B4199" s="11" t="inlineStr">
        <is>
          <t>Chemical treatment</t>
        </is>
      </c>
      <c r="C4199" s="22" t="inlineStr">
        <is>
          <t>L.S.</t>
        </is>
      </c>
      <c r="D4199" s="23" t="n">
        <v>8.970000000000001</v>
      </c>
      <c r="E4199" s="24" t="n">
        <v>2</v>
      </c>
      <c r="F4199" s="24">
        <f>D4199*E4199</f>
        <v/>
      </c>
      <c r="G4199" s="22" t="n"/>
    </row>
    <row r="4200">
      <c r="A4200" s="22" t="inlineStr">
        <is>
          <t>8737</t>
        </is>
      </c>
      <c r="B4200" s="11" t="inlineStr">
        <is>
          <t>Stainless steel wire guage (Grade-304) aperture 1.4mm and 0.50 mm dia wire</t>
        </is>
      </c>
      <c r="C4200" s="22" t="inlineStr">
        <is>
          <t>sqm</t>
        </is>
      </c>
      <c r="D4200" s="23" t="n">
        <v>1.41</v>
      </c>
      <c r="E4200" s="24" t="n">
        <v>400</v>
      </c>
      <c r="F4200" s="24">
        <f>D4200*E4200</f>
        <v/>
      </c>
      <c r="G4200" s="22" t="n"/>
    </row>
    <row r="4201">
      <c r="A4201" s="22" t="inlineStr">
        <is>
          <t>8220</t>
        </is>
      </c>
      <c r="B4201" s="11" t="inlineStr">
        <is>
          <t>Stainless steel butt hinges (heavy weight) 100x60x2.5 mm IS : 12817 marked</t>
        </is>
      </c>
      <c r="C4201" s="22" t="inlineStr">
        <is>
          <t>10 Nos</t>
        </is>
      </c>
      <c r="D4201" s="23" t="n">
        <v>0.6</v>
      </c>
      <c r="E4201" s="24" t="n">
        <v>255</v>
      </c>
      <c r="F4201" s="24">
        <f>D4201*E4201</f>
        <v/>
      </c>
      <c r="G4201" s="22" t="n"/>
    </row>
    <row r="4202">
      <c r="A4202" s="22" t="inlineStr">
        <is>
          <t>8218</t>
        </is>
      </c>
      <c r="B4202" s="11" t="inlineStr">
        <is>
          <t>Stainless steel butt hinges 50x37x 1.5 mm IS : 12817 marked</t>
        </is>
      </c>
      <c r="C4202" s="22" t="inlineStr">
        <is>
          <t>10 Nos</t>
        </is>
      </c>
      <c r="D4202" s="23" t="n">
        <v>0.2</v>
      </c>
      <c r="E4202" s="24" t="n">
        <v>135</v>
      </c>
      <c r="F4202" s="24">
        <f>D4202*E4202</f>
        <v/>
      </c>
      <c r="G4202" s="22" t="n"/>
    </row>
    <row r="4203">
      <c r="A4203" s="22" t="inlineStr">
        <is>
          <t>8211</t>
        </is>
      </c>
      <c r="B4203" s="11" t="inlineStr">
        <is>
          <t>Stainless steel screws 40 mm</t>
        </is>
      </c>
      <c r="C4203" s="22" t="inlineStr">
        <is>
          <t>100 Nos</t>
        </is>
      </c>
      <c r="D4203" s="23" t="n">
        <v>0.48</v>
      </c>
      <c r="E4203" s="24" t="n">
        <v>215</v>
      </c>
      <c r="F4203" s="24">
        <f>D4203*E4203</f>
        <v/>
      </c>
      <c r="G4203" s="22" t="n"/>
    </row>
    <row r="4204">
      <c r="A4204" s="22" t="inlineStr">
        <is>
          <t>8214</t>
        </is>
      </c>
      <c r="B4204" s="11" t="inlineStr">
        <is>
          <t>Stainless steel screws 20 mm</t>
        </is>
      </c>
      <c r="C4204" s="22" t="inlineStr">
        <is>
          <t>100 Nos</t>
        </is>
      </c>
      <c r="D4204" s="23" t="n">
        <v>0.08</v>
      </c>
      <c r="E4204" s="24" t="n">
        <v>125</v>
      </c>
      <c r="F4204" s="24">
        <f>D4204*E4204</f>
        <v/>
      </c>
      <c r="G4204" s="22" t="n"/>
    </row>
    <row r="4205">
      <c r="A4205" s="22" t="inlineStr">
        <is>
          <t>2204</t>
        </is>
      </c>
      <c r="B4205" s="11" t="inlineStr">
        <is>
          <t>Carriage of Timber</t>
        </is>
      </c>
      <c r="C4205" s="22" t="inlineStr">
        <is>
          <t>cum</t>
        </is>
      </c>
      <c r="D4205" s="23" t="n">
        <v>0.0514</v>
      </c>
      <c r="E4205" s="24" t="n">
        <v>118.59</v>
      </c>
      <c r="F4205" s="24">
        <f>D4205*E4205</f>
        <v/>
      </c>
      <c r="G4205" s="22" t="n"/>
    </row>
    <row r="4206">
      <c r="A4206" s="22" t="inlineStr">
        <is>
          <t>0111</t>
        </is>
      </c>
      <c r="B4206" s="11" t="inlineStr">
        <is>
          <t>Carpenter 1st class</t>
        </is>
      </c>
      <c r="C4206" s="22" t="inlineStr">
        <is>
          <t>day</t>
        </is>
      </c>
      <c r="D4206" s="23" t="n">
        <v>1.3</v>
      </c>
      <c r="E4206" s="24" t="n">
        <v>738</v>
      </c>
      <c r="F4206" s="24">
        <f>D4206*E4206</f>
        <v/>
      </c>
      <c r="G4206" s="22" t="n"/>
    </row>
    <row r="4207">
      <c r="A4207" s="22" t="inlineStr">
        <is>
          <t>0112</t>
        </is>
      </c>
      <c r="B4207" s="11" t="inlineStr">
        <is>
          <t>Carpenter 2nd class</t>
        </is>
      </c>
      <c r="C4207" s="22" t="inlineStr">
        <is>
          <t>day</t>
        </is>
      </c>
      <c r="D4207" s="23" t="n">
        <v>0.9</v>
      </c>
      <c r="E4207" s="24" t="n">
        <v>679</v>
      </c>
      <c r="F4207" s="24">
        <f>D4207*E4207</f>
        <v/>
      </c>
      <c r="G4207" s="22" t="n"/>
    </row>
    <row r="4208">
      <c r="A4208" s="22" t="inlineStr">
        <is>
          <t>0114</t>
        </is>
      </c>
      <c r="B4208" s="11" t="inlineStr">
        <is>
          <t>Beldar</t>
        </is>
      </c>
      <c r="C4208" s="22" t="inlineStr">
        <is>
          <t>day</t>
        </is>
      </c>
      <c r="D4208" s="23" t="n">
        <v>1.05</v>
      </c>
      <c r="E4208" s="24" t="n">
        <v>558</v>
      </c>
      <c r="F4208" s="24">
        <f>D4208*E4208</f>
        <v/>
      </c>
      <c r="G4208" s="22" t="n"/>
    </row>
    <row r="4209">
      <c r="A4209" s="22" t="inlineStr">
        <is>
          <t>0130</t>
        </is>
      </c>
      <c r="B4209" s="11" t="inlineStr">
        <is>
          <t>Mistry</t>
        </is>
      </c>
      <c r="C4209" s="22" t="inlineStr">
        <is>
          <t>day</t>
        </is>
      </c>
      <c r="D4209" s="23" t="n">
        <v>0.105</v>
      </c>
      <c r="E4209" s="24" t="n">
        <v>738</v>
      </c>
      <c r="F4209" s="24">
        <f>D4209*E4209</f>
        <v/>
      </c>
      <c r="G4209" s="22" t="n"/>
    </row>
    <row r="4210">
      <c r="A4210" s="22" t="inlineStr">
        <is>
          <t>9999</t>
        </is>
      </c>
      <c r="B4210" s="11" t="inlineStr">
        <is>
          <t>Sundries</t>
        </is>
      </c>
      <c r="C4210" s="22" t="inlineStr">
        <is>
          <t>L.S.</t>
        </is>
      </c>
      <c r="D4210" s="23" t="n">
        <v>33.8</v>
      </c>
      <c r="E4210" s="24" t="n">
        <v>2</v>
      </c>
      <c r="F4210" s="24">
        <f>D4210*E4210</f>
        <v/>
      </c>
      <c r="G4210" s="22" t="n"/>
    </row>
    <row r="4211">
      <c r="A4211" s="8" t="inlineStr">
        <is>
          <t>Calculated W - SUM of the Amount column above</t>
        </is>
      </c>
      <c r="B4211" s="9" t="n"/>
      <c r="C4211" s="9" t="n"/>
      <c r="D4211" s="9" t="n"/>
      <c r="E4211" s="9" t="n"/>
      <c r="F4211" s="25">
        <f>SUM(F4197:F4210)</f>
        <v/>
      </c>
      <c r="G4211" s="9" t="n"/>
    </row>
    <row r="4212">
      <c r="A4212" s="26" t="inlineStr">
        <is>
          <t>W as printed in the DAR</t>
        </is>
      </c>
      <c r="B4212" s="22" t="n"/>
      <c r="C4212" s="22" t="n"/>
      <c r="D4212" s="22" t="n"/>
      <c r="E4212" s="22" t="n"/>
      <c r="F4212" s="27" t="n">
        <v>5225.88</v>
      </c>
      <c r="G4212" s="22" t="n"/>
    </row>
    <row r="4213">
      <c r="A4213" s="26" t="inlineStr">
        <is>
          <t>Difference (calculated - printed)</t>
        </is>
      </c>
      <c r="B4213" s="22" t="n"/>
      <c r="C4213" s="22" t="n"/>
      <c r="D4213" s="22" t="n"/>
      <c r="E4213" s="22" t="n"/>
      <c r="F4213" s="27">
        <f>F4211-F4212</f>
        <v/>
      </c>
      <c r="G4213" s="22" t="n"/>
    </row>
    <row r="4214">
      <c r="A4214" s="29" t="inlineStr">
        <is>
          <t>SAY (Rs.) - final DAR rate as printed (fixed value, not computed)</t>
        </is>
      </c>
      <c r="B4214" s="30" t="n"/>
      <c r="C4214" s="30" t="n"/>
      <c r="D4214" s="30" t="n"/>
      <c r="E4214" s="30" t="n"/>
      <c r="F4214" s="31" t="n">
        <v>3237</v>
      </c>
      <c r="G4214" s="30" t="n"/>
    </row>
    <row r="4216" ht="33" customHeight="1">
      <c r="A4216" s="8" t="inlineStr">
        <is>
          <t>9.134</t>
        </is>
      </c>
      <c r="B4216" s="17" t="inlineStr">
        <is>
          <t>Providing and fixing wire gauge shutters using stainless steel grade 304 wire gauge with wire of dia 0.5 mm and average width of aperture 1.4 mm in both directions for doors, windows and clerestory windows with necessary screws :</t>
        </is>
      </c>
      <c r="C4216" s="9" t="n"/>
      <c r="D4216" s="9" t="n"/>
      <c r="E4216" s="9" t="n"/>
      <c r="F4216" s="9" t="n"/>
      <c r="G4216" s="9" t="n"/>
    </row>
    <row r="4217" ht="18.5" customHeight="1">
      <c r="A4217" s="8" t="inlineStr">
        <is>
          <t>9.134.1</t>
        </is>
      </c>
      <c r="B4217" s="17" t="inlineStr">
        <is>
          <t>35 mm thick shutters</t>
        </is>
      </c>
      <c r="C4217" s="9" t="n"/>
      <c r="D4217" s="9" t="n"/>
      <c r="E4217" s="9" t="n"/>
      <c r="F4217" s="9" t="n"/>
      <c r="G4217" s="9" t="n"/>
    </row>
    <row r="4218" ht="18.5" customHeight="1">
      <c r="A4218" s="8" t="inlineStr">
        <is>
          <t>9.134.1.2</t>
        </is>
      </c>
      <c r="B4218" s="17" t="inlineStr">
        <is>
          <t>With ISI marked stainless steel butt hinges of required size</t>
        </is>
      </c>
      <c r="C4218" s="9" t="n"/>
      <c r="D4218" s="9" t="n"/>
      <c r="E4218" s="9" t="n"/>
      <c r="F4218" s="9" t="n"/>
      <c r="G4218" s="9" t="n"/>
    </row>
    <row r="4219" ht="18.5" customHeight="1">
      <c r="A4219" s="18" t="inlineStr">
        <is>
          <t>9.134.1.2.3</t>
        </is>
      </c>
      <c r="B4219" s="19" t="inlineStr">
        <is>
          <t>Kiln seasoned selected class of sheesham wood</t>
        </is>
      </c>
      <c r="C4219" s="20" t="n"/>
      <c r="D4219" s="20" t="n"/>
      <c r="E4219" s="20" t="n"/>
      <c r="F4219" s="20" t="n"/>
      <c r="G4219" s="20" t="n"/>
    </row>
    <row r="4220">
      <c r="A4220" s="21" t="inlineStr">
        <is>
          <t>Details of cost for 2.16 sqm   |   Source: CivilDAR_2019_Vol_1.pdf, page 608</t>
        </is>
      </c>
    </row>
    <row r="4221">
      <c r="A4221" s="5" t="inlineStr">
        <is>
          <t>Code</t>
        </is>
      </c>
      <c r="B4221" s="5" t="inlineStr">
        <is>
          <t>Description</t>
        </is>
      </c>
      <c r="C4221" s="5" t="inlineStr">
        <is>
          <t>Unit</t>
        </is>
      </c>
      <c r="D4221" s="5" t="inlineStr">
        <is>
          <t>Quantity</t>
        </is>
      </c>
      <c r="E4221" s="5" t="inlineStr">
        <is>
          <t>Rate (Rs.)</t>
        </is>
      </c>
      <c r="F4221" s="5" t="inlineStr">
        <is>
          <t>Amount (Rs.)</t>
        </is>
      </c>
      <c r="G4221" s="5" t="inlineStr">
        <is>
          <t>Note</t>
        </is>
      </c>
    </row>
    <row r="4222">
      <c r="A4222" s="22" t="inlineStr">
        <is>
          <t>1200</t>
        </is>
      </c>
      <c r="B4222" s="11" t="inlineStr">
        <is>
          <t>Kiln seasoned selected sheesum wood planks</t>
        </is>
      </c>
      <c r="C4222" s="22" t="inlineStr">
        <is>
          <t>10 cudm</t>
        </is>
      </c>
      <c r="D4222" s="23" t="n">
        <v>5.14</v>
      </c>
      <c r="E4222" s="24" t="n">
        <v>650</v>
      </c>
      <c r="F4222" s="24">
        <f>D4222*E4222</f>
        <v/>
      </c>
      <c r="G4222" s="22" t="n"/>
    </row>
    <row r="4223">
      <c r="A4223" s="22" t="inlineStr">
        <is>
          <t>2504</t>
        </is>
      </c>
      <c r="B4223" s="11" t="inlineStr">
        <is>
          <t>Kiln seasoning of timber</t>
        </is>
      </c>
      <c r="C4223" s="22" t="inlineStr">
        <is>
          <t>cum</t>
        </is>
      </c>
      <c r="D4223" s="23" t="n">
        <v>0.0514</v>
      </c>
      <c r="E4223" s="24" t="n">
        <v>750</v>
      </c>
      <c r="F4223" s="24">
        <f>D4223*E4223</f>
        <v/>
      </c>
      <c r="G4223" s="22" t="n"/>
    </row>
    <row r="4224">
      <c r="A4224" s="22" t="inlineStr">
        <is>
          <t>8737</t>
        </is>
      </c>
      <c r="B4224" s="11" t="inlineStr">
        <is>
          <t>Stainless steel wire guage (Grade-304) aperture 1.4mm and 0.50 mm dia wire</t>
        </is>
      </c>
      <c r="C4224" s="22" t="inlineStr">
        <is>
          <t>sqm</t>
        </is>
      </c>
      <c r="D4224" s="23" t="n">
        <v>1.41</v>
      </c>
      <c r="E4224" s="24" t="n">
        <v>400</v>
      </c>
      <c r="F4224" s="24">
        <f>D4224*E4224</f>
        <v/>
      </c>
      <c r="G4224" s="22" t="n"/>
    </row>
    <row r="4225">
      <c r="A4225" s="22" t="inlineStr">
        <is>
          <t>8220</t>
        </is>
      </c>
      <c r="B4225" s="11" t="inlineStr">
        <is>
          <t>Stainless steel butt hinges (heavy weight) 100x60x2.5 mm IS : 12817 marked</t>
        </is>
      </c>
      <c r="C4225" s="22" t="inlineStr">
        <is>
          <t>10 Nos</t>
        </is>
      </c>
      <c r="D4225" s="23" t="n">
        <v>0.6</v>
      </c>
      <c r="E4225" s="24" t="n">
        <v>255</v>
      </c>
      <c r="F4225" s="24">
        <f>D4225*E4225</f>
        <v/>
      </c>
      <c r="G4225" s="22" t="n"/>
    </row>
    <row r="4226">
      <c r="A4226" s="22" t="inlineStr">
        <is>
          <t>8218</t>
        </is>
      </c>
      <c r="B4226" s="11" t="inlineStr">
        <is>
          <t>Stainless steel butt hinges 50x37x 1.5 mm IS : 12817 marked</t>
        </is>
      </c>
      <c r="C4226" s="22" t="inlineStr">
        <is>
          <t>10 Nos</t>
        </is>
      </c>
      <c r="D4226" s="23" t="n">
        <v>0.2</v>
      </c>
      <c r="E4226" s="24" t="n">
        <v>135</v>
      </c>
      <c r="F4226" s="24">
        <f>D4226*E4226</f>
        <v/>
      </c>
      <c r="G4226" s="22" t="n"/>
    </row>
    <row r="4227">
      <c r="A4227" s="22" t="inlineStr">
        <is>
          <t>8211</t>
        </is>
      </c>
      <c r="B4227" s="11" t="inlineStr">
        <is>
          <t>Stainless steel screws 40 mm</t>
        </is>
      </c>
      <c r="C4227" s="22" t="inlineStr">
        <is>
          <t>100 Nos</t>
        </is>
      </c>
      <c r="D4227" s="23" t="n">
        <v>0.48</v>
      </c>
      <c r="E4227" s="24" t="n">
        <v>215</v>
      </c>
      <c r="F4227" s="24">
        <f>D4227*E4227</f>
        <v/>
      </c>
      <c r="G4227" s="22" t="n"/>
    </row>
    <row r="4228">
      <c r="A4228" s="22" t="inlineStr">
        <is>
          <t>8214</t>
        </is>
      </c>
      <c r="B4228" s="11" t="inlineStr">
        <is>
          <t>Stainless steel screws 20 mm</t>
        </is>
      </c>
      <c r="C4228" s="22" t="inlineStr">
        <is>
          <t>100 Nos</t>
        </is>
      </c>
      <c r="D4228" s="23" t="n">
        <v>0.08</v>
      </c>
      <c r="E4228" s="24" t="n">
        <v>125</v>
      </c>
      <c r="F4228" s="24">
        <f>D4228*E4228</f>
        <v/>
      </c>
      <c r="G4228" s="22" t="n"/>
    </row>
    <row r="4229">
      <c r="A4229" s="22" t="inlineStr">
        <is>
          <t>2204</t>
        </is>
      </c>
      <c r="B4229" s="11" t="inlineStr">
        <is>
          <t>Carriage of Timber</t>
        </is>
      </c>
      <c r="C4229" s="22" t="inlineStr">
        <is>
          <t>cum</t>
        </is>
      </c>
      <c r="D4229" s="23" t="n">
        <v>0.0514</v>
      </c>
      <c r="E4229" s="24" t="n">
        <v>118.59</v>
      </c>
      <c r="F4229" s="24">
        <f>D4229*E4229</f>
        <v/>
      </c>
      <c r="G4229" s="22" t="n"/>
    </row>
    <row r="4230">
      <c r="A4230" s="22" t="inlineStr">
        <is>
          <t>0111</t>
        </is>
      </c>
      <c r="B4230" s="11" t="inlineStr">
        <is>
          <t>Carpenter 1st class</t>
        </is>
      </c>
      <c r="C4230" s="22" t="inlineStr">
        <is>
          <t>day</t>
        </is>
      </c>
      <c r="D4230" s="23" t="n">
        <v>1.3</v>
      </c>
      <c r="E4230" s="24" t="n">
        <v>738</v>
      </c>
      <c r="F4230" s="24">
        <f>D4230*E4230</f>
        <v/>
      </c>
      <c r="G4230" s="22" t="n"/>
    </row>
    <row r="4231">
      <c r="A4231" s="22" t="inlineStr">
        <is>
          <t>0112</t>
        </is>
      </c>
      <c r="B4231" s="11" t="inlineStr">
        <is>
          <t>Carpenter 2nd class</t>
        </is>
      </c>
      <c r="C4231" s="22" t="inlineStr">
        <is>
          <t>day</t>
        </is>
      </c>
      <c r="D4231" s="23" t="n">
        <v>0.9</v>
      </c>
      <c r="E4231" s="24" t="n">
        <v>679</v>
      </c>
      <c r="F4231" s="24">
        <f>D4231*E4231</f>
        <v/>
      </c>
      <c r="G4231" s="22" t="n"/>
    </row>
    <row r="4232">
      <c r="A4232" s="22" t="inlineStr">
        <is>
          <t>0114</t>
        </is>
      </c>
      <c r="B4232" s="11" t="inlineStr">
        <is>
          <t>Beldar</t>
        </is>
      </c>
      <c r="C4232" s="22" t="inlineStr">
        <is>
          <t>day</t>
        </is>
      </c>
      <c r="D4232" s="23" t="n">
        <v>1.05</v>
      </c>
      <c r="E4232" s="24" t="n">
        <v>558</v>
      </c>
      <c r="F4232" s="24">
        <f>D4232*E4232</f>
        <v/>
      </c>
      <c r="G4232" s="22" t="n"/>
    </row>
    <row r="4233">
      <c r="A4233" s="22" t="inlineStr">
        <is>
          <t>0130</t>
        </is>
      </c>
      <c r="B4233" s="11" t="inlineStr">
        <is>
          <t>Mistry</t>
        </is>
      </c>
      <c r="C4233" s="22" t="inlineStr">
        <is>
          <t>day</t>
        </is>
      </c>
      <c r="D4233" s="23" t="n">
        <v>0.105</v>
      </c>
      <c r="E4233" s="24" t="n">
        <v>738</v>
      </c>
      <c r="F4233" s="24">
        <f>D4233*E4233</f>
        <v/>
      </c>
      <c r="G4233" s="22" t="n"/>
    </row>
    <row r="4234">
      <c r="A4234" s="22" t="inlineStr">
        <is>
          <t>9999</t>
        </is>
      </c>
      <c r="B4234" s="11" t="inlineStr">
        <is>
          <t>Sundries</t>
        </is>
      </c>
      <c r="C4234" s="22" t="inlineStr">
        <is>
          <t>L.S.</t>
        </is>
      </c>
      <c r="D4234" s="23" t="n">
        <v>33.8</v>
      </c>
      <c r="E4234" s="24" t="n">
        <v>2</v>
      </c>
      <c r="F4234" s="24">
        <f>D4234*E4234</f>
        <v/>
      </c>
      <c r="G4234" s="22" t="n"/>
    </row>
    <row r="4235">
      <c r="A4235" s="8" t="inlineStr">
        <is>
          <t>Calculated W - SUM of the Amount column above</t>
        </is>
      </c>
      <c r="B4235" s="9" t="n"/>
      <c r="C4235" s="9" t="n"/>
      <c r="D4235" s="9" t="n"/>
      <c r="E4235" s="9" t="n"/>
      <c r="F4235" s="25">
        <f>SUM(F4222:F4234)</f>
        <v/>
      </c>
      <c r="G4235" s="9" t="n"/>
    </row>
    <row r="4236">
      <c r="A4236" s="26" t="inlineStr">
        <is>
          <t>W as printed in the DAR</t>
        </is>
      </c>
      <c r="B4236" s="22" t="n"/>
      <c r="C4236" s="22" t="n"/>
      <c r="D4236" s="22" t="n"/>
      <c r="E4236" s="22" t="n"/>
      <c r="F4236" s="27" t="n">
        <v>6544.34</v>
      </c>
      <c r="G4236" s="22" t="n"/>
    </row>
    <row r="4237">
      <c r="A4237" s="26" t="inlineStr">
        <is>
          <t>Difference (calculated - printed)</t>
        </is>
      </c>
      <c r="B4237" s="22" t="n"/>
      <c r="C4237" s="22" t="n"/>
      <c r="D4237" s="22" t="n"/>
      <c r="E4237" s="22" t="n"/>
      <c r="F4237" s="27">
        <f>F4235-F4236</f>
        <v/>
      </c>
      <c r="G4237" s="22" t="n"/>
    </row>
    <row r="4238">
      <c r="A4238" s="29" t="inlineStr">
        <is>
          <t>SAY (Rs.) - final DAR rate as printed (fixed value, not computed)</t>
        </is>
      </c>
      <c r="B4238" s="30" t="n"/>
      <c r="C4238" s="30" t="n"/>
      <c r="D4238" s="30" t="n"/>
      <c r="E4238" s="30" t="n"/>
      <c r="F4238" s="31" t="n">
        <v>4053.65</v>
      </c>
      <c r="G4238" s="30" t="n"/>
    </row>
    <row r="4240" ht="33" customHeight="1">
      <c r="A4240" s="8" t="inlineStr">
        <is>
          <t>9.134</t>
        </is>
      </c>
      <c r="B4240" s="17" t="inlineStr">
        <is>
          <t>Providing and fixing wire gauge shutters using stainless steel grade 304 wire gauge with wire of dia 0.5 mm and average width of aperture 1.4 mm in both directions for doors, windows and clerestory windows with necessary screws :</t>
        </is>
      </c>
      <c r="C4240" s="9" t="n"/>
      <c r="D4240" s="9" t="n"/>
      <c r="E4240" s="9" t="n"/>
      <c r="F4240" s="9" t="n"/>
      <c r="G4240" s="9" t="n"/>
    </row>
    <row r="4241" ht="18.5" customHeight="1">
      <c r="A4241" s="8" t="inlineStr">
        <is>
          <t>9.134.2</t>
        </is>
      </c>
      <c r="B4241" s="17" t="inlineStr">
        <is>
          <t>30 mm thick shutters</t>
        </is>
      </c>
      <c r="C4241" s="9" t="n"/>
      <c r="D4241" s="9" t="n"/>
      <c r="E4241" s="9" t="n"/>
      <c r="F4241" s="9" t="n"/>
      <c r="G4241" s="9" t="n"/>
    </row>
    <row r="4242" ht="18.5" customHeight="1">
      <c r="A4242" s="8" t="inlineStr">
        <is>
          <t>9.134.2.1</t>
        </is>
      </c>
      <c r="B4242" s="17" t="inlineStr">
        <is>
          <t>with ISI marked M.S. pressed butt hinges bright finished of required size</t>
        </is>
      </c>
      <c r="C4242" s="9" t="n"/>
      <c r="D4242" s="9" t="n"/>
      <c r="E4242" s="9" t="n"/>
      <c r="F4242" s="9" t="n"/>
      <c r="G4242" s="9" t="n"/>
    </row>
    <row r="4243" ht="18.5" customHeight="1">
      <c r="A4243" s="18" t="inlineStr">
        <is>
          <t>9.134.2.1.1</t>
        </is>
      </c>
      <c r="B4243" s="19" t="inlineStr">
        <is>
          <t>Second class teak wood</t>
        </is>
      </c>
      <c r="C4243" s="20" t="n"/>
      <c r="D4243" s="20" t="n"/>
      <c r="E4243" s="20" t="n"/>
      <c r="F4243" s="20" t="n"/>
      <c r="G4243" s="20" t="n"/>
    </row>
    <row r="4244">
      <c r="A4244" s="21" t="inlineStr">
        <is>
          <t>Details of cost for 2.16 sqm   |   Source: CivilDAR_2019_Vol_1.pdf, page 609</t>
        </is>
      </c>
    </row>
    <row r="4245">
      <c r="A4245" s="5" t="inlineStr">
        <is>
          <t>Code</t>
        </is>
      </c>
      <c r="B4245" s="5" t="inlineStr">
        <is>
          <t>Description</t>
        </is>
      </c>
      <c r="C4245" s="5" t="inlineStr">
        <is>
          <t>Unit</t>
        </is>
      </c>
      <c r="D4245" s="5" t="inlineStr">
        <is>
          <t>Quantity</t>
        </is>
      </c>
      <c r="E4245" s="5" t="inlineStr">
        <is>
          <t>Rate (Rs.)</t>
        </is>
      </c>
      <c r="F4245" s="5" t="inlineStr">
        <is>
          <t>Amount (Rs.)</t>
        </is>
      </c>
      <c r="G4245" s="5" t="inlineStr">
        <is>
          <t>Note</t>
        </is>
      </c>
    </row>
    <row r="4246">
      <c r="A4246" s="22" t="inlineStr">
        <is>
          <t>1190</t>
        </is>
      </c>
      <c r="B4246" s="11" t="inlineStr">
        <is>
          <t>Second class teak wood in planks</t>
        </is>
      </c>
      <c r="C4246" s="22" t="inlineStr">
        <is>
          <t>10 cudm</t>
        </is>
      </c>
      <c r="D4246" s="23" t="n">
        <v>4.4</v>
      </c>
      <c r="E4246" s="24" t="n">
        <v>791</v>
      </c>
      <c r="F4246" s="24">
        <f>D4246*E4246</f>
        <v/>
      </c>
      <c r="G4246" s="22" t="n"/>
    </row>
    <row r="4247">
      <c r="A4247" s="22" t="inlineStr">
        <is>
          <t>2204</t>
        </is>
      </c>
      <c r="B4247" s="11" t="inlineStr">
        <is>
          <t>Carriage of Timber</t>
        </is>
      </c>
      <c r="C4247" s="22" t="inlineStr">
        <is>
          <t>cum</t>
        </is>
      </c>
      <c r="D4247" s="23" t="n">
        <v>0.044</v>
      </c>
      <c r="E4247" s="24" t="n">
        <v>118.59</v>
      </c>
      <c r="F4247" s="24">
        <f>D4247*E4247</f>
        <v/>
      </c>
      <c r="G4247" s="22" t="n"/>
    </row>
    <row r="4248">
      <c r="A4248" s="22" t="inlineStr">
        <is>
          <t>8737</t>
        </is>
      </c>
      <c r="B4248" s="11" t="inlineStr">
        <is>
          <t>Stainless steel wire guage (Grade-304) aperture 1.4mm and 0.50 mm dia wire</t>
        </is>
      </c>
      <c r="C4248" s="22" t="inlineStr">
        <is>
          <t>sqm</t>
        </is>
      </c>
      <c r="D4248" s="23" t="n">
        <v>1.41</v>
      </c>
      <c r="E4248" s="24" t="n">
        <v>400</v>
      </c>
      <c r="F4248" s="24">
        <f>D4248*E4248</f>
        <v/>
      </c>
      <c r="G4248" s="22" t="n"/>
    </row>
    <row r="4249">
      <c r="A4249" s="22" t="inlineStr">
        <is>
          <t>0595</t>
        </is>
      </c>
      <c r="B4249" s="11" t="inlineStr">
        <is>
          <t>Bright finished or black enamelled mild steel butt hinges 100x58x1.90 mm</t>
        </is>
      </c>
      <c r="C4249" s="22" t="inlineStr">
        <is>
          <t>10 Nos</t>
        </is>
      </c>
      <c r="D4249" s="23" t="n">
        <v>0.6</v>
      </c>
      <c r="E4249" s="24" t="n">
        <v>80</v>
      </c>
      <c r="F4249" s="24">
        <f>D4249*E4249</f>
        <v/>
      </c>
      <c r="G4249" s="22" t="n"/>
    </row>
    <row r="4250">
      <c r="A4250" s="22" t="inlineStr">
        <is>
          <t>0597</t>
        </is>
      </c>
      <c r="B4250" s="11" t="inlineStr">
        <is>
          <t>Bright finished or black enamelled mild steel butt hinges50x37x1.50 mm</t>
        </is>
      </c>
      <c r="C4250" s="22" t="inlineStr">
        <is>
          <t>10 Nos</t>
        </is>
      </c>
      <c r="D4250" s="23" t="n">
        <v>0.2</v>
      </c>
      <c r="E4250" s="24" t="n">
        <v>49</v>
      </c>
      <c r="F4250" s="24">
        <f>D4250*E4250</f>
        <v/>
      </c>
      <c r="G4250" s="22" t="n"/>
    </row>
    <row r="4251">
      <c r="A4251" s="22" t="inlineStr">
        <is>
          <t>0637</t>
        </is>
      </c>
      <c r="B4251" s="11" t="inlineStr">
        <is>
          <t>Bright finished or black enamelled mild steel screws 40 mm</t>
        </is>
      </c>
      <c r="C4251" s="22" t="inlineStr">
        <is>
          <t>100 Nos</t>
        </is>
      </c>
      <c r="D4251" s="23" t="n">
        <v>0.48</v>
      </c>
      <c r="E4251" s="24" t="n">
        <v>60</v>
      </c>
      <c r="F4251" s="24">
        <f>D4251*E4251</f>
        <v/>
      </c>
      <c r="G4251" s="22" t="n"/>
    </row>
    <row r="4252">
      <c r="A4252" s="22" t="inlineStr">
        <is>
          <t>0640</t>
        </is>
      </c>
      <c r="B4252" s="11" t="inlineStr">
        <is>
          <t>Bright finished or black enamelled mild steel screws 20 mm</t>
        </is>
      </c>
      <c r="C4252" s="22" t="inlineStr">
        <is>
          <t>100 Nos</t>
        </is>
      </c>
      <c r="D4252" s="23" t="n">
        <v>0.08</v>
      </c>
      <c r="E4252" s="24" t="n">
        <v>30</v>
      </c>
      <c r="F4252" s="24">
        <f>D4252*E4252</f>
        <v/>
      </c>
      <c r="G4252" s="22" t="n"/>
    </row>
    <row r="4253">
      <c r="A4253" s="22" t="inlineStr">
        <is>
          <t>0111</t>
        </is>
      </c>
      <c r="B4253" s="11" t="inlineStr">
        <is>
          <t>Carpenter 1st class</t>
        </is>
      </c>
      <c r="C4253" s="22" t="inlineStr">
        <is>
          <t>day</t>
        </is>
      </c>
      <c r="D4253" s="23" t="n">
        <v>1.2</v>
      </c>
      <c r="E4253" s="24" t="n">
        <v>738</v>
      </c>
      <c r="F4253" s="24">
        <f>D4253*E4253</f>
        <v/>
      </c>
      <c r="G4253" s="22" t="n"/>
    </row>
    <row r="4254">
      <c r="A4254" s="22" t="inlineStr">
        <is>
          <t>0112</t>
        </is>
      </c>
      <c r="B4254" s="11" t="inlineStr">
        <is>
          <t>Carpenter 2nd class</t>
        </is>
      </c>
      <c r="C4254" s="22" t="inlineStr">
        <is>
          <t>day</t>
        </is>
      </c>
      <c r="D4254" s="23" t="n">
        <v>0.8</v>
      </c>
      <c r="E4254" s="24" t="n">
        <v>679</v>
      </c>
      <c r="F4254" s="24">
        <f>D4254*E4254</f>
        <v/>
      </c>
      <c r="G4254" s="22" t="n"/>
    </row>
    <row r="4255">
      <c r="A4255" s="22" t="inlineStr">
        <is>
          <t>0114</t>
        </is>
      </c>
      <c r="B4255" s="11" t="inlineStr">
        <is>
          <t>Beldar</t>
        </is>
      </c>
      <c r="C4255" s="22" t="inlineStr">
        <is>
          <t>day</t>
        </is>
      </c>
      <c r="D4255" s="23" t="n">
        <v>1</v>
      </c>
      <c r="E4255" s="24" t="n">
        <v>558</v>
      </c>
      <c r="F4255" s="24">
        <f>D4255*E4255</f>
        <v/>
      </c>
      <c r="G4255" s="22" t="n"/>
    </row>
    <row r="4256">
      <c r="A4256" s="22" t="inlineStr">
        <is>
          <t>0130</t>
        </is>
      </c>
      <c r="B4256" s="11" t="inlineStr">
        <is>
          <t>Mistry</t>
        </is>
      </c>
      <c r="C4256" s="22" t="inlineStr">
        <is>
          <t>day</t>
        </is>
      </c>
      <c r="D4256" s="23" t="n">
        <v>0.1</v>
      </c>
      <c r="E4256" s="24" t="n">
        <v>738</v>
      </c>
      <c r="F4256" s="24">
        <f>D4256*E4256</f>
        <v/>
      </c>
      <c r="G4256" s="22" t="n"/>
    </row>
    <row r="4257">
      <c r="A4257" s="22" t="inlineStr">
        <is>
          <t>9999</t>
        </is>
      </c>
      <c r="B4257" s="11" t="inlineStr">
        <is>
          <t>Sundries</t>
        </is>
      </c>
      <c r="C4257" s="22" t="inlineStr">
        <is>
          <t>L.S.</t>
        </is>
      </c>
      <c r="D4257" s="23" t="n">
        <v>33.8</v>
      </c>
      <c r="E4257" s="24" t="n">
        <v>2</v>
      </c>
      <c r="F4257" s="24">
        <f>D4257*E4257</f>
        <v/>
      </c>
      <c r="G4257" s="22" t="n"/>
    </row>
    <row r="4258">
      <c r="A4258" s="8" t="inlineStr">
        <is>
          <t>Calculated W - SUM of the Amount column above</t>
        </is>
      </c>
      <c r="B4258" s="9" t="n"/>
      <c r="C4258" s="9" t="n"/>
      <c r="D4258" s="9" t="n"/>
      <c r="E4258" s="9" t="n"/>
      <c r="F4258" s="25">
        <f>SUM(F4246:F4257)</f>
        <v/>
      </c>
      <c r="G4258" s="9" t="n"/>
    </row>
    <row r="4259">
      <c r="A4259" s="26" t="inlineStr">
        <is>
          <t>W as printed in the DAR</t>
        </is>
      </c>
      <c r="B4259" s="22" t="n"/>
      <c r="C4259" s="22" t="n"/>
      <c r="D4259" s="22" t="n"/>
      <c r="E4259" s="22" t="n"/>
      <c r="F4259" s="27" t="n">
        <v>6266.82</v>
      </c>
      <c r="G4259" s="22" t="n"/>
    </row>
    <row r="4260">
      <c r="A4260" s="26" t="inlineStr">
        <is>
          <t>Difference (calculated - printed)</t>
        </is>
      </c>
      <c r="B4260" s="22" t="n"/>
      <c r="C4260" s="22" t="n"/>
      <c r="D4260" s="22" t="n"/>
      <c r="E4260" s="22" t="n"/>
      <c r="F4260" s="27">
        <f>F4258-F4259</f>
        <v/>
      </c>
      <c r="G4260" s="22" t="n"/>
    </row>
    <row r="4261">
      <c r="A4261" s="29" t="inlineStr">
        <is>
          <t>SAY (Rs.) - final DAR rate as printed (fixed value, not computed)</t>
        </is>
      </c>
      <c r="B4261" s="30" t="n"/>
      <c r="C4261" s="30" t="n"/>
      <c r="D4261" s="30" t="n"/>
      <c r="E4261" s="30" t="n"/>
      <c r="F4261" s="31" t="n">
        <v>3881.75</v>
      </c>
      <c r="G4261" s="30" t="n"/>
    </row>
    <row r="4263" ht="33" customHeight="1">
      <c r="A4263" s="8" t="inlineStr">
        <is>
          <t>9.134</t>
        </is>
      </c>
      <c r="B4263" s="17" t="inlineStr">
        <is>
          <t>Providing and fixing wire gauge shutters using stainless steel grade 304 wire gauge with wire of dia 0.5 mm and average width of aperture 1.4 mm in both directions for doors, windows and clerestory windows with necessary screws :</t>
        </is>
      </c>
      <c r="C4263" s="9" t="n"/>
      <c r="D4263" s="9" t="n"/>
      <c r="E4263" s="9" t="n"/>
      <c r="F4263" s="9" t="n"/>
      <c r="G4263" s="9" t="n"/>
    </row>
    <row r="4264" ht="18.5" customHeight="1">
      <c r="A4264" s="8" t="inlineStr">
        <is>
          <t>9.134.2</t>
        </is>
      </c>
      <c r="B4264" s="17" t="inlineStr">
        <is>
          <t>30 mm thick shutters</t>
        </is>
      </c>
      <c r="C4264" s="9" t="n"/>
      <c r="D4264" s="9" t="n"/>
      <c r="E4264" s="9" t="n"/>
      <c r="F4264" s="9" t="n"/>
      <c r="G4264" s="9" t="n"/>
    </row>
    <row r="4265" ht="18.5" customHeight="1">
      <c r="A4265" s="8" t="inlineStr">
        <is>
          <t>9.134.2.1</t>
        </is>
      </c>
      <c r="B4265" s="17" t="inlineStr">
        <is>
          <t>with ISI marked M.S. pressed butt hinges bright finished of required size</t>
        </is>
      </c>
      <c r="C4265" s="9" t="n"/>
      <c r="D4265" s="9" t="n"/>
      <c r="E4265" s="9" t="n"/>
      <c r="F4265" s="9" t="n"/>
      <c r="G4265" s="9" t="n"/>
    </row>
    <row r="4266" ht="18.5" customHeight="1">
      <c r="A4266" s="18" t="inlineStr">
        <is>
          <t>9.134.2.1.2</t>
        </is>
      </c>
      <c r="B4266" s="19" t="inlineStr">
        <is>
          <t>Kiln seasoned and chemically treated hollock wood</t>
        </is>
      </c>
      <c r="C4266" s="20" t="n"/>
      <c r="D4266" s="20" t="n"/>
      <c r="E4266" s="20" t="n"/>
      <c r="F4266" s="20" t="n"/>
      <c r="G4266" s="20" t="n"/>
    </row>
    <row r="4267">
      <c r="A4267" s="21" t="inlineStr">
        <is>
          <t>Details of cost for 2.16 sqm   |   Source: CivilDAR_2019_Vol_1.pdf, page 610</t>
        </is>
      </c>
    </row>
    <row r="4268">
      <c r="A4268" s="5" t="inlineStr">
        <is>
          <t>Code</t>
        </is>
      </c>
      <c r="B4268" s="5" t="inlineStr">
        <is>
          <t>Description</t>
        </is>
      </c>
      <c r="C4268" s="5" t="inlineStr">
        <is>
          <t>Unit</t>
        </is>
      </c>
      <c r="D4268" s="5" t="inlineStr">
        <is>
          <t>Quantity</t>
        </is>
      </c>
      <c r="E4268" s="5" t="inlineStr">
        <is>
          <t>Rate (Rs.)</t>
        </is>
      </c>
      <c r="F4268" s="5" t="inlineStr">
        <is>
          <t>Amount (Rs.)</t>
        </is>
      </c>
      <c r="G4268" s="5" t="inlineStr">
        <is>
          <t>Note</t>
        </is>
      </c>
    </row>
    <row r="4269">
      <c r="A4269" s="22" t="inlineStr">
        <is>
          <t>2505</t>
        </is>
      </c>
      <c r="B4269" s="11" t="inlineStr">
        <is>
          <t>Hollock wood in planks</t>
        </is>
      </c>
      <c r="C4269" s="22" t="inlineStr">
        <is>
          <t>10 cudm</t>
        </is>
      </c>
      <c r="D4269" s="23" t="n">
        <v>4.4</v>
      </c>
      <c r="E4269" s="24" t="n">
        <v>390</v>
      </c>
      <c r="F4269" s="24">
        <f>D4269*E4269</f>
        <v/>
      </c>
      <c r="G4269" s="22" t="n"/>
    </row>
    <row r="4270">
      <c r="A4270" s="22" t="inlineStr">
        <is>
          <t>2204</t>
        </is>
      </c>
      <c r="B4270" s="11" t="inlineStr">
        <is>
          <t>Carriage of Timber</t>
        </is>
      </c>
      <c r="C4270" s="22" t="inlineStr">
        <is>
          <t>cum</t>
        </is>
      </c>
      <c r="D4270" s="23" t="n">
        <v>0.044</v>
      </c>
      <c r="E4270" s="24" t="n">
        <v>118.59</v>
      </c>
      <c r="F4270" s="24">
        <f>D4270*E4270</f>
        <v/>
      </c>
      <c r="G4270" s="22" t="n"/>
    </row>
    <row r="4271">
      <c r="A4271" s="22" t="inlineStr">
        <is>
          <t>2504</t>
        </is>
      </c>
      <c r="B4271" s="11" t="inlineStr">
        <is>
          <t>Kiln seasoning of timber</t>
        </is>
      </c>
      <c r="C4271" s="22" t="inlineStr">
        <is>
          <t>cum</t>
        </is>
      </c>
      <c r="D4271" s="23" t="n">
        <v>0.044</v>
      </c>
      <c r="E4271" s="24" t="n">
        <v>750</v>
      </c>
      <c r="F4271" s="24">
        <f>D4271*E4271</f>
        <v/>
      </c>
      <c r="G4271" s="22" t="n"/>
    </row>
    <row r="4272">
      <c r="A4272" s="22" t="inlineStr">
        <is>
          <t>9999</t>
        </is>
      </c>
      <c r="B4272" s="11" t="inlineStr">
        <is>
          <t>Chemical treatment</t>
        </is>
      </c>
      <c r="C4272" s="22" t="inlineStr">
        <is>
          <t>L.S.</t>
        </is>
      </c>
      <c r="D4272" s="23" t="n">
        <v>8.970000000000001</v>
      </c>
      <c r="E4272" s="24" t="n">
        <v>2</v>
      </c>
      <c r="F4272" s="24">
        <f>D4272*E4272</f>
        <v/>
      </c>
      <c r="G4272" s="22" t="n"/>
    </row>
    <row r="4273">
      <c r="A4273" s="22" t="inlineStr">
        <is>
          <t>8737</t>
        </is>
      </c>
      <c r="B4273" s="11" t="inlineStr">
        <is>
          <t>Stainless steel wire guage (Grade-304) aperture 1.4mm and 0.50 mm dia wire</t>
        </is>
      </c>
      <c r="C4273" s="22" t="inlineStr">
        <is>
          <t>sqm</t>
        </is>
      </c>
      <c r="D4273" s="23" t="n">
        <v>1.41</v>
      </c>
      <c r="E4273" s="24" t="n">
        <v>400</v>
      </c>
      <c r="F4273" s="24">
        <f>D4273*E4273</f>
        <v/>
      </c>
      <c r="G4273" s="22" t="n"/>
    </row>
    <row r="4274">
      <c r="A4274" s="22" t="inlineStr">
        <is>
          <t>0595</t>
        </is>
      </c>
      <c r="B4274" s="11" t="inlineStr">
        <is>
          <t>Bright finished or black enamelled mild steel butt hinges 100x58x1.90 mm</t>
        </is>
      </c>
      <c r="C4274" s="22" t="inlineStr">
        <is>
          <t>10 Nos</t>
        </is>
      </c>
      <c r="D4274" s="23" t="n">
        <v>0.6</v>
      </c>
      <c r="E4274" s="24" t="n">
        <v>80</v>
      </c>
      <c r="F4274" s="24">
        <f>D4274*E4274</f>
        <v/>
      </c>
      <c r="G4274" s="22" t="n"/>
    </row>
    <row r="4275">
      <c r="A4275" s="22" t="inlineStr">
        <is>
          <t>0597</t>
        </is>
      </c>
      <c r="B4275" s="11" t="inlineStr">
        <is>
          <t>Bright finished or black enamelled mild steel butt hinges50x37x1.50 mm</t>
        </is>
      </c>
      <c r="C4275" s="22" t="inlineStr">
        <is>
          <t>10 Nos</t>
        </is>
      </c>
      <c r="D4275" s="23" t="n">
        <v>0.2</v>
      </c>
      <c r="E4275" s="24" t="n">
        <v>49</v>
      </c>
      <c r="F4275" s="24">
        <f>D4275*E4275</f>
        <v/>
      </c>
      <c r="G4275" s="22" t="n"/>
    </row>
    <row r="4276">
      <c r="A4276" s="22" t="inlineStr">
        <is>
          <t>0637</t>
        </is>
      </c>
      <c r="B4276" s="11" t="inlineStr">
        <is>
          <t>Bright finished or black enamelled mild steel screws 40 mm</t>
        </is>
      </c>
      <c r="C4276" s="22" t="inlineStr">
        <is>
          <t>100 Nos</t>
        </is>
      </c>
      <c r="D4276" s="23" t="n">
        <v>0.48</v>
      </c>
      <c r="E4276" s="24" t="n">
        <v>60</v>
      </c>
      <c r="F4276" s="24">
        <f>D4276*E4276</f>
        <v/>
      </c>
      <c r="G4276" s="22" t="n"/>
    </row>
    <row r="4277">
      <c r="A4277" s="22" t="inlineStr">
        <is>
          <t>0640</t>
        </is>
      </c>
      <c r="B4277" s="11" t="inlineStr">
        <is>
          <t>Bright finished or black enamelled mild steel screws 20 mm</t>
        </is>
      </c>
      <c r="C4277" s="22" t="inlineStr">
        <is>
          <t>100 Nos</t>
        </is>
      </c>
      <c r="D4277" s="23" t="n">
        <v>0.08</v>
      </c>
      <c r="E4277" s="24" t="n">
        <v>30</v>
      </c>
      <c r="F4277" s="24">
        <f>D4277*E4277</f>
        <v/>
      </c>
      <c r="G4277" s="22" t="n"/>
    </row>
    <row r="4278">
      <c r="A4278" s="22" t="inlineStr">
        <is>
          <t>0111</t>
        </is>
      </c>
      <c r="B4278" s="11" t="inlineStr">
        <is>
          <t>Carpenter 1st class</t>
        </is>
      </c>
      <c r="C4278" s="22" t="inlineStr">
        <is>
          <t>day</t>
        </is>
      </c>
      <c r="D4278" s="23" t="n">
        <v>1.2</v>
      </c>
      <c r="E4278" s="24" t="n">
        <v>738</v>
      </c>
      <c r="F4278" s="24">
        <f>D4278*E4278</f>
        <v/>
      </c>
      <c r="G4278" s="22" t="n"/>
    </row>
    <row r="4279">
      <c r="A4279" s="22" t="inlineStr">
        <is>
          <t>0112</t>
        </is>
      </c>
      <c r="B4279" s="11" t="inlineStr">
        <is>
          <t>Carpenter 2nd class</t>
        </is>
      </c>
      <c r="C4279" s="22" t="inlineStr">
        <is>
          <t>day</t>
        </is>
      </c>
      <c r="D4279" s="23" t="n">
        <v>0.8</v>
      </c>
      <c r="E4279" s="24" t="n">
        <v>679</v>
      </c>
      <c r="F4279" s="24">
        <f>D4279*E4279</f>
        <v/>
      </c>
      <c r="G4279" s="22" t="n"/>
    </row>
    <row r="4280">
      <c r="A4280" s="22" t="inlineStr">
        <is>
          <t>0114</t>
        </is>
      </c>
      <c r="B4280" s="11" t="inlineStr">
        <is>
          <t>Beldar</t>
        </is>
      </c>
      <c r="C4280" s="22" t="inlineStr">
        <is>
          <t>day</t>
        </is>
      </c>
      <c r="D4280" s="23" t="n">
        <v>1</v>
      </c>
      <c r="E4280" s="24" t="n">
        <v>558</v>
      </c>
      <c r="F4280" s="24">
        <f>D4280*E4280</f>
        <v/>
      </c>
      <c r="G4280" s="22" t="n"/>
    </row>
    <row r="4281">
      <c r="A4281" s="22" t="inlineStr">
        <is>
          <t>0130</t>
        </is>
      </c>
      <c r="B4281" s="11" t="inlineStr">
        <is>
          <t>Mistry</t>
        </is>
      </c>
      <c r="C4281" s="22" t="inlineStr">
        <is>
          <t>day</t>
        </is>
      </c>
      <c r="D4281" s="23" t="n">
        <v>0.1</v>
      </c>
      <c r="E4281" s="24" t="n">
        <v>738</v>
      </c>
      <c r="F4281" s="24">
        <f>D4281*E4281</f>
        <v/>
      </c>
      <c r="G4281" s="22" t="n"/>
    </row>
    <row r="4282">
      <c r="A4282" s="22" t="inlineStr">
        <is>
          <t>9999</t>
        </is>
      </c>
      <c r="B4282" s="11" t="inlineStr">
        <is>
          <t>Sundries</t>
        </is>
      </c>
      <c r="C4282" s="22" t="inlineStr">
        <is>
          <t>L.S.</t>
        </is>
      </c>
      <c r="D4282" s="23" t="n">
        <v>33.8</v>
      </c>
      <c r="E4282" s="24" t="n">
        <v>2</v>
      </c>
      <c r="F4282" s="24">
        <f>D4282*E4282</f>
        <v/>
      </c>
      <c r="G4282" s="22" t="n"/>
    </row>
    <row r="4283">
      <c r="A4283" s="8" t="inlineStr">
        <is>
          <t>Calculated W - SUM of the Amount column above</t>
        </is>
      </c>
      <c r="B4283" s="9" t="n"/>
      <c r="C4283" s="9" t="n"/>
      <c r="D4283" s="9" t="n"/>
      <c r="E4283" s="9" t="n"/>
      <c r="F4283" s="25">
        <f>SUM(F4269:F4282)</f>
        <v/>
      </c>
      <c r="G4283" s="9" t="n"/>
    </row>
    <row r="4284">
      <c r="A4284" s="26" t="inlineStr">
        <is>
          <t>W as printed in the DAR</t>
        </is>
      </c>
      <c r="B4284" s="22" t="n"/>
      <c r="C4284" s="22" t="n"/>
      <c r="D4284" s="22" t="n"/>
      <c r="E4284" s="22" t="n"/>
      <c r="F4284" s="27" t="n">
        <v>4553.36</v>
      </c>
      <c r="G4284" s="22" t="n"/>
    </row>
    <row r="4285">
      <c r="A4285" s="26" t="inlineStr">
        <is>
          <t>Difference (calculated - printed)</t>
        </is>
      </c>
      <c r="B4285" s="22" t="n"/>
      <c r="C4285" s="22" t="n"/>
      <c r="D4285" s="22" t="n"/>
      <c r="E4285" s="22" t="n"/>
      <c r="F4285" s="27">
        <f>F4283-F4284</f>
        <v/>
      </c>
      <c r="G4285" s="22" t="n"/>
    </row>
    <row r="4286">
      <c r="A4286" s="29" t="inlineStr">
        <is>
          <t>SAY (Rs.) - final DAR rate as printed (fixed value, not computed)</t>
        </is>
      </c>
      <c r="B4286" s="30" t="n"/>
      <c r="C4286" s="30" t="n"/>
      <c r="D4286" s="30" t="n"/>
      <c r="E4286" s="30" t="n"/>
      <c r="F4286" s="31" t="n">
        <v>2820.4</v>
      </c>
      <c r="G4286" s="30" t="n"/>
    </row>
    <row r="4288" ht="33" customHeight="1">
      <c r="A4288" s="8" t="inlineStr">
        <is>
          <t>9.134</t>
        </is>
      </c>
      <c r="B4288" s="17" t="inlineStr">
        <is>
          <t>Providing and fixing wire gauge shutters using stainless steel grade 304 wire gauge with wire of dia 0.5 mm and average width of aperture 1.4 mm in both directions for doors, windows and clerestory windows with necessary screws :</t>
        </is>
      </c>
      <c r="C4288" s="9" t="n"/>
      <c r="D4288" s="9" t="n"/>
      <c r="E4288" s="9" t="n"/>
      <c r="F4288" s="9" t="n"/>
      <c r="G4288" s="9" t="n"/>
    </row>
    <row r="4289" ht="18.5" customHeight="1">
      <c r="A4289" s="8" t="inlineStr">
        <is>
          <t>9.134.2</t>
        </is>
      </c>
      <c r="B4289" s="17" t="inlineStr">
        <is>
          <t>30 mm thick shutters</t>
        </is>
      </c>
      <c r="C4289" s="9" t="n"/>
      <c r="D4289" s="9" t="n"/>
      <c r="E4289" s="9" t="n"/>
      <c r="F4289" s="9" t="n"/>
      <c r="G4289" s="9" t="n"/>
    </row>
    <row r="4290" ht="18.5" customHeight="1">
      <c r="A4290" s="8" t="inlineStr">
        <is>
          <t>9.134.2.1</t>
        </is>
      </c>
      <c r="B4290" s="17" t="inlineStr">
        <is>
          <t>with ISI marked M.S. pressed butt hinges bright finished of required size</t>
        </is>
      </c>
      <c r="C4290" s="9" t="n"/>
      <c r="D4290" s="9" t="n"/>
      <c r="E4290" s="9" t="n"/>
      <c r="F4290" s="9" t="n"/>
      <c r="G4290" s="9" t="n"/>
    </row>
    <row r="4291" ht="18.5" customHeight="1">
      <c r="A4291" s="18" t="inlineStr">
        <is>
          <t>9.134.2.1.3</t>
        </is>
      </c>
      <c r="B4291" s="19" t="inlineStr">
        <is>
          <t>Kiln seasoned selected class of sheesham wood</t>
        </is>
      </c>
      <c r="C4291" s="20" t="n"/>
      <c r="D4291" s="20" t="n"/>
      <c r="E4291" s="20" t="n"/>
      <c r="F4291" s="20" t="n"/>
      <c r="G4291" s="20" t="n"/>
    </row>
    <row r="4292">
      <c r="A4292" s="21" t="inlineStr">
        <is>
          <t>Details of cost for 2.16 sqm   |   Source: CivilDAR_2019_Vol_1.pdf, page 611</t>
        </is>
      </c>
    </row>
    <row r="4293">
      <c r="A4293" s="5" t="inlineStr">
        <is>
          <t>Code</t>
        </is>
      </c>
      <c r="B4293" s="5" t="inlineStr">
        <is>
          <t>Description</t>
        </is>
      </c>
      <c r="C4293" s="5" t="inlineStr">
        <is>
          <t>Unit</t>
        </is>
      </c>
      <c r="D4293" s="5" t="inlineStr">
        <is>
          <t>Quantity</t>
        </is>
      </c>
      <c r="E4293" s="5" t="inlineStr">
        <is>
          <t>Rate (Rs.)</t>
        </is>
      </c>
      <c r="F4293" s="5" t="inlineStr">
        <is>
          <t>Amount (Rs.)</t>
        </is>
      </c>
      <c r="G4293" s="5" t="inlineStr">
        <is>
          <t>Note</t>
        </is>
      </c>
    </row>
    <row r="4294">
      <c r="A4294" s="22" t="inlineStr">
        <is>
          <t>1200</t>
        </is>
      </c>
      <c r="B4294" s="11" t="inlineStr">
        <is>
          <t>Kiln seasoned selected sheesum wood planks</t>
        </is>
      </c>
      <c r="C4294" s="22" t="inlineStr">
        <is>
          <t>10 cudm</t>
        </is>
      </c>
      <c r="D4294" s="23" t="n">
        <v>4.4</v>
      </c>
      <c r="E4294" s="24" t="n">
        <v>650</v>
      </c>
      <c r="F4294" s="24">
        <f>D4294*E4294</f>
        <v/>
      </c>
      <c r="G4294" s="22" t="n"/>
    </row>
    <row r="4295">
      <c r="A4295" s="22" t="inlineStr">
        <is>
          <t>2204</t>
        </is>
      </c>
      <c r="B4295" s="11" t="inlineStr">
        <is>
          <t>Carriage of Timber</t>
        </is>
      </c>
      <c r="C4295" s="22" t="inlineStr">
        <is>
          <t>cum</t>
        </is>
      </c>
      <c r="D4295" s="23" t="n">
        <v>0.044</v>
      </c>
      <c r="E4295" s="24" t="n">
        <v>118.59</v>
      </c>
      <c r="F4295" s="24">
        <f>D4295*E4295</f>
        <v/>
      </c>
      <c r="G4295" s="22" t="n"/>
    </row>
    <row r="4296">
      <c r="A4296" s="22" t="inlineStr">
        <is>
          <t>2504</t>
        </is>
      </c>
      <c r="B4296" s="11" t="inlineStr">
        <is>
          <t>Kiln seasoning of timber</t>
        </is>
      </c>
      <c r="C4296" s="22" t="inlineStr">
        <is>
          <t>cum</t>
        </is>
      </c>
      <c r="D4296" s="23" t="n">
        <v>0.044</v>
      </c>
      <c r="E4296" s="24" t="n">
        <v>750</v>
      </c>
      <c r="F4296" s="24">
        <f>D4296*E4296</f>
        <v/>
      </c>
      <c r="G4296" s="22" t="n"/>
    </row>
    <row r="4297">
      <c r="A4297" s="22" t="inlineStr">
        <is>
          <t>8737</t>
        </is>
      </c>
      <c r="B4297" s="11" t="inlineStr">
        <is>
          <t>Stainless steel wire guage (Grade-304) aperture 1.4mm and 0.50 mm dia wire</t>
        </is>
      </c>
      <c r="C4297" s="22" t="inlineStr">
        <is>
          <t>sqm</t>
        </is>
      </c>
      <c r="D4297" s="23" t="n">
        <v>1.41</v>
      </c>
      <c r="E4297" s="24" t="n">
        <v>400</v>
      </c>
      <c r="F4297" s="24">
        <f>D4297*E4297</f>
        <v/>
      </c>
      <c r="G4297" s="22" t="n"/>
    </row>
    <row r="4298">
      <c r="A4298" s="22" t="inlineStr">
        <is>
          <t>0595</t>
        </is>
      </c>
      <c r="B4298" s="11" t="inlineStr">
        <is>
          <t>Bright finished or black enamelled mild steel butt hinges 100x58x1.90 mm</t>
        </is>
      </c>
      <c r="C4298" s="22" t="inlineStr">
        <is>
          <t>10 Nos</t>
        </is>
      </c>
      <c r="D4298" s="23" t="n">
        <v>0.6</v>
      </c>
      <c r="E4298" s="24" t="n">
        <v>80</v>
      </c>
      <c r="F4298" s="24">
        <f>D4298*E4298</f>
        <v/>
      </c>
      <c r="G4298" s="22" t="n"/>
    </row>
    <row r="4299">
      <c r="A4299" s="22" t="inlineStr">
        <is>
          <t>0597</t>
        </is>
      </c>
      <c r="B4299" s="11" t="inlineStr">
        <is>
          <t>Bright finished or black enamelled mild steel butt hinges50x37x1.50 mm</t>
        </is>
      </c>
      <c r="C4299" s="22" t="inlineStr">
        <is>
          <t>10 Nos</t>
        </is>
      </c>
      <c r="D4299" s="23" t="n">
        <v>0.2</v>
      </c>
      <c r="E4299" s="24" t="n">
        <v>49</v>
      </c>
      <c r="F4299" s="24">
        <f>D4299*E4299</f>
        <v/>
      </c>
      <c r="G4299" s="22" t="n"/>
    </row>
    <row r="4300">
      <c r="A4300" s="22" t="inlineStr">
        <is>
          <t>0637</t>
        </is>
      </c>
      <c r="B4300" s="11" t="inlineStr">
        <is>
          <t>Bright finished or black enamelled mild steel screws 40 mm</t>
        </is>
      </c>
      <c r="C4300" s="22" t="inlineStr">
        <is>
          <t>100 Nos</t>
        </is>
      </c>
      <c r="D4300" s="23" t="n">
        <v>0.48</v>
      </c>
      <c r="E4300" s="24" t="n">
        <v>60</v>
      </c>
      <c r="F4300" s="24">
        <f>D4300*E4300</f>
        <v/>
      </c>
      <c r="G4300" s="22" t="n"/>
    </row>
    <row r="4301">
      <c r="A4301" s="22" t="inlineStr">
        <is>
          <t>0640</t>
        </is>
      </c>
      <c r="B4301" s="11" t="inlineStr">
        <is>
          <t>Bright finished or black enamelled mild steel screws 20 mm</t>
        </is>
      </c>
      <c r="C4301" s="22" t="inlineStr">
        <is>
          <t>100 Nos</t>
        </is>
      </c>
      <c r="D4301" s="23" t="n">
        <v>0.08</v>
      </c>
      <c r="E4301" s="24" t="n">
        <v>30</v>
      </c>
      <c r="F4301" s="24">
        <f>D4301*E4301</f>
        <v/>
      </c>
      <c r="G4301" s="22" t="n"/>
    </row>
    <row r="4302">
      <c r="A4302" s="22" t="inlineStr">
        <is>
          <t>0111</t>
        </is>
      </c>
      <c r="B4302" s="11" t="inlineStr">
        <is>
          <t>Carpenter 1st class</t>
        </is>
      </c>
      <c r="C4302" s="22" t="inlineStr">
        <is>
          <t>day</t>
        </is>
      </c>
      <c r="D4302" s="23" t="n">
        <v>1.2</v>
      </c>
      <c r="E4302" s="24" t="n">
        <v>738</v>
      </c>
      <c r="F4302" s="24">
        <f>D4302*E4302</f>
        <v/>
      </c>
      <c r="G4302" s="22" t="n"/>
    </row>
    <row r="4303">
      <c r="A4303" s="22" t="inlineStr">
        <is>
          <t>0112</t>
        </is>
      </c>
      <c r="B4303" s="11" t="inlineStr">
        <is>
          <t>Carpenter 2nd class</t>
        </is>
      </c>
      <c r="C4303" s="22" t="inlineStr">
        <is>
          <t>day</t>
        </is>
      </c>
      <c r="D4303" s="23" t="n">
        <v>0.8</v>
      </c>
      <c r="E4303" s="24" t="n">
        <v>679</v>
      </c>
      <c r="F4303" s="24">
        <f>D4303*E4303</f>
        <v/>
      </c>
      <c r="G4303" s="22" t="n"/>
    </row>
    <row r="4304">
      <c r="A4304" s="22" t="inlineStr">
        <is>
          <t>0114</t>
        </is>
      </c>
      <c r="B4304" s="11" t="inlineStr">
        <is>
          <t>Beldar</t>
        </is>
      </c>
      <c r="C4304" s="22" t="inlineStr">
        <is>
          <t>day</t>
        </is>
      </c>
      <c r="D4304" s="23" t="n">
        <v>1</v>
      </c>
      <c r="E4304" s="24" t="n">
        <v>558</v>
      </c>
      <c r="F4304" s="24">
        <f>D4304*E4304</f>
        <v/>
      </c>
      <c r="G4304" s="22" t="n"/>
    </row>
    <row r="4305">
      <c r="A4305" s="22" t="inlineStr">
        <is>
          <t>0130</t>
        </is>
      </c>
      <c r="B4305" s="11" t="inlineStr">
        <is>
          <t>Mistry</t>
        </is>
      </c>
      <c r="C4305" s="22" t="inlineStr">
        <is>
          <t>day</t>
        </is>
      </c>
      <c r="D4305" s="23" t="n">
        <v>0.1</v>
      </c>
      <c r="E4305" s="24" t="n">
        <v>738</v>
      </c>
      <c r="F4305" s="24">
        <f>D4305*E4305</f>
        <v/>
      </c>
      <c r="G4305" s="22" t="n"/>
    </row>
    <row r="4306">
      <c r="A4306" s="22" t="inlineStr">
        <is>
          <t>9999</t>
        </is>
      </c>
      <c r="B4306" s="11" t="inlineStr">
        <is>
          <t>Sundries</t>
        </is>
      </c>
      <c r="C4306" s="22" t="inlineStr">
        <is>
          <t>L.S.</t>
        </is>
      </c>
      <c r="D4306" s="23" t="n">
        <v>33.8</v>
      </c>
      <c r="E4306" s="24" t="n">
        <v>2</v>
      </c>
      <c r="F4306" s="24">
        <f>D4306*E4306</f>
        <v/>
      </c>
      <c r="G4306" s="22" t="n"/>
    </row>
    <row r="4307">
      <c r="A4307" s="8" t="inlineStr">
        <is>
          <t>Calculated W - SUM of the Amount column above</t>
        </is>
      </c>
      <c r="B4307" s="9" t="n"/>
      <c r="C4307" s="9" t="n"/>
      <c r="D4307" s="9" t="n"/>
      <c r="E4307" s="9" t="n"/>
      <c r="F4307" s="25">
        <f>SUM(F4294:F4306)</f>
        <v/>
      </c>
      <c r="G4307" s="9" t="n"/>
    </row>
    <row r="4308">
      <c r="A4308" s="26" t="inlineStr">
        <is>
          <t>W as printed in the DAR</t>
        </is>
      </c>
      <c r="B4308" s="22" t="n"/>
      <c r="C4308" s="22" t="n"/>
      <c r="D4308" s="22" t="n"/>
      <c r="E4308" s="22" t="n"/>
      <c r="F4308" s="27" t="n">
        <v>5679.42</v>
      </c>
      <c r="G4308" s="22" t="n"/>
    </row>
    <row r="4309">
      <c r="A4309" s="26" t="inlineStr">
        <is>
          <t>Difference (calculated - printed)</t>
        </is>
      </c>
      <c r="B4309" s="22" t="n"/>
      <c r="C4309" s="22" t="n"/>
      <c r="D4309" s="22" t="n"/>
      <c r="E4309" s="22" t="n"/>
      <c r="F4309" s="27">
        <f>F4307-F4308</f>
        <v/>
      </c>
      <c r="G4309" s="22" t="n"/>
    </row>
    <row r="4310">
      <c r="A4310" s="29" t="inlineStr">
        <is>
          <t>SAY (Rs.) - final DAR rate as printed (fixed value, not computed)</t>
        </is>
      </c>
      <c r="B4310" s="30" t="n"/>
      <c r="C4310" s="30" t="n"/>
      <c r="D4310" s="30" t="n"/>
      <c r="E4310" s="30" t="n"/>
      <c r="F4310" s="31" t="n">
        <v>3517.9</v>
      </c>
      <c r="G4310" s="30" t="n"/>
    </row>
    <row r="4312" ht="33" customHeight="1">
      <c r="A4312" s="8" t="inlineStr">
        <is>
          <t>9.134</t>
        </is>
      </c>
      <c r="B4312" s="17" t="inlineStr">
        <is>
          <t>Providing and fixing wire gauge shutters using stainless steel grade 304 wire gauge with wire of dia 0.5 mm and average width of aperture 1.4 mm in both directions for doors, windows and clerestory windows with necessary screws :</t>
        </is>
      </c>
      <c r="C4312" s="9" t="n"/>
      <c r="D4312" s="9" t="n"/>
      <c r="E4312" s="9" t="n"/>
      <c r="F4312" s="9" t="n"/>
      <c r="G4312" s="9" t="n"/>
    </row>
    <row r="4313" ht="18.5" customHeight="1">
      <c r="A4313" s="8" t="inlineStr">
        <is>
          <t>9.134.2</t>
        </is>
      </c>
      <c r="B4313" s="17" t="inlineStr">
        <is>
          <t>30 mm thick shutters</t>
        </is>
      </c>
      <c r="C4313" s="9" t="n"/>
      <c r="D4313" s="9" t="n"/>
      <c r="E4313" s="9" t="n"/>
      <c r="F4313" s="9" t="n"/>
      <c r="G4313" s="9" t="n"/>
    </row>
    <row r="4314" ht="18.5" customHeight="1">
      <c r="A4314" s="8" t="inlineStr">
        <is>
          <t>9.134.2.2</t>
        </is>
      </c>
      <c r="B4314" s="17" t="inlineStr">
        <is>
          <t>With ISI marked stainless steel butt hinges of required size</t>
        </is>
      </c>
      <c r="C4314" s="9" t="n"/>
      <c r="D4314" s="9" t="n"/>
      <c r="E4314" s="9" t="n"/>
      <c r="F4314" s="9" t="n"/>
      <c r="G4314" s="9" t="n"/>
    </row>
    <row r="4315" ht="18.5" customHeight="1">
      <c r="A4315" s="18" t="inlineStr">
        <is>
          <t>9.134.2.2.1</t>
        </is>
      </c>
      <c r="B4315" s="19" t="inlineStr">
        <is>
          <t>Second class teak wood</t>
        </is>
      </c>
      <c r="C4315" s="20" t="n"/>
      <c r="D4315" s="20" t="n"/>
      <c r="E4315" s="20" t="n"/>
      <c r="F4315" s="20" t="n"/>
      <c r="G4315" s="20" t="n"/>
    </row>
    <row r="4316">
      <c r="A4316" s="21" t="inlineStr">
        <is>
          <t>Details of cost for 2.16 sqm   |   Source: CivilDAR_2019_Vol_1.pdf, page 612</t>
        </is>
      </c>
    </row>
    <row r="4317">
      <c r="A4317" s="5" t="inlineStr">
        <is>
          <t>Code</t>
        </is>
      </c>
      <c r="B4317" s="5" t="inlineStr">
        <is>
          <t>Description</t>
        </is>
      </c>
      <c r="C4317" s="5" t="inlineStr">
        <is>
          <t>Unit</t>
        </is>
      </c>
      <c r="D4317" s="5" t="inlineStr">
        <is>
          <t>Quantity</t>
        </is>
      </c>
      <c r="E4317" s="5" t="inlineStr">
        <is>
          <t>Rate (Rs.)</t>
        </is>
      </c>
      <c r="F4317" s="5" t="inlineStr">
        <is>
          <t>Amount (Rs.)</t>
        </is>
      </c>
      <c r="G4317" s="5" t="inlineStr">
        <is>
          <t>Note</t>
        </is>
      </c>
    </row>
    <row r="4318">
      <c r="A4318" s="22" t="inlineStr">
        <is>
          <t>1190</t>
        </is>
      </c>
      <c r="B4318" s="11" t="inlineStr">
        <is>
          <t>Second class teak wood in planks</t>
        </is>
      </c>
      <c r="C4318" s="22" t="inlineStr">
        <is>
          <t>10 cudm</t>
        </is>
      </c>
      <c r="D4318" s="23" t="n">
        <v>4.4</v>
      </c>
      <c r="E4318" s="24" t="n">
        <v>791</v>
      </c>
      <c r="F4318" s="24">
        <f>D4318*E4318</f>
        <v/>
      </c>
      <c r="G4318" s="22" t="n"/>
    </row>
    <row r="4319">
      <c r="A4319" s="22" t="inlineStr">
        <is>
          <t>2204</t>
        </is>
      </c>
      <c r="B4319" s="11" t="inlineStr">
        <is>
          <t>Carriage of Timber</t>
        </is>
      </c>
      <c r="C4319" s="22" t="inlineStr">
        <is>
          <t>cum</t>
        </is>
      </c>
      <c r="D4319" s="23" t="n">
        <v>0.044</v>
      </c>
      <c r="E4319" s="24" t="n">
        <v>118.59</v>
      </c>
      <c r="F4319" s="24">
        <f>D4319*E4319</f>
        <v/>
      </c>
      <c r="G4319" s="22" t="n"/>
    </row>
    <row r="4320">
      <c r="A4320" s="22" t="inlineStr">
        <is>
          <t>8737</t>
        </is>
      </c>
      <c r="B4320" s="11" t="inlineStr">
        <is>
          <t>Stainless steel wire guage (Grade-304) aperture 1.4mm and 0.50 mm dia wire</t>
        </is>
      </c>
      <c r="C4320" s="22" t="inlineStr">
        <is>
          <t>sqm</t>
        </is>
      </c>
      <c r="D4320" s="23" t="n">
        <v>1.41</v>
      </c>
      <c r="E4320" s="24" t="n">
        <v>400</v>
      </c>
      <c r="F4320" s="24">
        <f>D4320*E4320</f>
        <v/>
      </c>
      <c r="G4320" s="22" t="n"/>
    </row>
    <row r="4321">
      <c r="A4321" s="22" t="inlineStr">
        <is>
          <t>8220</t>
        </is>
      </c>
      <c r="B4321" s="11" t="inlineStr">
        <is>
          <t>Stainless steel butt hinges (heavy weight) 100x60x2.5 mm IS : 12817 marked</t>
        </is>
      </c>
      <c r="C4321" s="22" t="inlineStr">
        <is>
          <t>10 Nos</t>
        </is>
      </c>
      <c r="D4321" s="23" t="n">
        <v>0.6</v>
      </c>
      <c r="E4321" s="24" t="n">
        <v>255</v>
      </c>
      <c r="F4321" s="24">
        <f>D4321*E4321</f>
        <v/>
      </c>
      <c r="G4321" s="22" t="n"/>
    </row>
    <row r="4322">
      <c r="A4322" s="22" t="inlineStr">
        <is>
          <t>8218</t>
        </is>
      </c>
      <c r="B4322" s="11" t="inlineStr">
        <is>
          <t>Stainless steel butt hinges 50x37x 1.5 mm IS : 12817 marked</t>
        </is>
      </c>
      <c r="C4322" s="22" t="inlineStr">
        <is>
          <t>10 Nos</t>
        </is>
      </c>
      <c r="D4322" s="23" t="n">
        <v>0.2</v>
      </c>
      <c r="E4322" s="24" t="n">
        <v>135</v>
      </c>
      <c r="F4322" s="24">
        <f>D4322*E4322</f>
        <v/>
      </c>
      <c r="G4322" s="22" t="n"/>
    </row>
    <row r="4323">
      <c r="A4323" s="22" t="inlineStr">
        <is>
          <t>8211</t>
        </is>
      </c>
      <c r="B4323" s="11" t="inlineStr">
        <is>
          <t>Stainless steel screws 40 mm</t>
        </is>
      </c>
      <c r="C4323" s="22" t="inlineStr">
        <is>
          <t>100 Nos</t>
        </is>
      </c>
      <c r="D4323" s="23" t="n">
        <v>0.48</v>
      </c>
      <c r="E4323" s="24" t="n">
        <v>215</v>
      </c>
      <c r="F4323" s="24">
        <f>D4323*E4323</f>
        <v/>
      </c>
      <c r="G4323" s="22" t="n"/>
    </row>
    <row r="4324">
      <c r="A4324" s="22" t="inlineStr">
        <is>
          <t>8214</t>
        </is>
      </c>
      <c r="B4324" s="11" t="inlineStr">
        <is>
          <t>Stainless steel screws 20 mm</t>
        </is>
      </c>
      <c r="C4324" s="22" t="inlineStr">
        <is>
          <t>100 Nos</t>
        </is>
      </c>
      <c r="D4324" s="23" t="n">
        <v>0.08</v>
      </c>
      <c r="E4324" s="24" t="n">
        <v>125</v>
      </c>
      <c r="F4324" s="24">
        <f>D4324*E4324</f>
        <v/>
      </c>
      <c r="G4324" s="22" t="n"/>
    </row>
    <row r="4325">
      <c r="A4325" s="22" t="inlineStr">
        <is>
          <t>0111</t>
        </is>
      </c>
      <c r="B4325" s="11" t="inlineStr">
        <is>
          <t>Carpenter 1st class</t>
        </is>
      </c>
      <c r="C4325" s="22" t="inlineStr">
        <is>
          <t>day</t>
        </is>
      </c>
      <c r="D4325" s="23" t="n">
        <v>1.2</v>
      </c>
      <c r="E4325" s="24" t="n">
        <v>738</v>
      </c>
      <c r="F4325" s="24">
        <f>D4325*E4325</f>
        <v/>
      </c>
      <c r="G4325" s="22" t="n"/>
    </row>
    <row r="4326">
      <c r="A4326" s="22" t="inlineStr">
        <is>
          <t>0112</t>
        </is>
      </c>
      <c r="B4326" s="11" t="inlineStr">
        <is>
          <t>Carpenter 2nd class</t>
        </is>
      </c>
      <c r="C4326" s="22" t="inlineStr">
        <is>
          <t>day</t>
        </is>
      </c>
      <c r="D4326" s="23" t="n">
        <v>0.8</v>
      </c>
      <c r="E4326" s="24" t="n">
        <v>679</v>
      </c>
      <c r="F4326" s="24">
        <f>D4326*E4326</f>
        <v/>
      </c>
      <c r="G4326" s="22" t="n"/>
    </row>
    <row r="4327">
      <c r="A4327" s="22" t="inlineStr">
        <is>
          <t>0114</t>
        </is>
      </c>
      <c r="B4327" s="11" t="inlineStr">
        <is>
          <t>Beldar</t>
        </is>
      </c>
      <c r="C4327" s="22" t="inlineStr">
        <is>
          <t>day</t>
        </is>
      </c>
      <c r="D4327" s="23" t="n">
        <v>1</v>
      </c>
      <c r="E4327" s="24" t="n">
        <v>558</v>
      </c>
      <c r="F4327" s="24">
        <f>D4327*E4327</f>
        <v/>
      </c>
      <c r="G4327" s="22" t="n"/>
    </row>
    <row r="4328">
      <c r="A4328" s="22" t="inlineStr">
        <is>
          <t>0130</t>
        </is>
      </c>
      <c r="B4328" s="11" t="inlineStr">
        <is>
          <t>Mistry</t>
        </is>
      </c>
      <c r="C4328" s="22" t="inlineStr">
        <is>
          <t>day</t>
        </is>
      </c>
      <c r="D4328" s="23" t="n">
        <v>0.1</v>
      </c>
      <c r="E4328" s="24" t="n">
        <v>738</v>
      </c>
      <c r="F4328" s="24">
        <f>D4328*E4328</f>
        <v/>
      </c>
      <c r="G4328" s="22" t="n"/>
    </row>
    <row r="4329">
      <c r="A4329" s="22" t="inlineStr">
        <is>
          <t>9999</t>
        </is>
      </c>
      <c r="B4329" s="11" t="inlineStr">
        <is>
          <t>Sundries</t>
        </is>
      </c>
      <c r="C4329" s="22" t="inlineStr">
        <is>
          <t>L.S.</t>
        </is>
      </c>
      <c r="D4329" s="23" t="n">
        <v>33.8</v>
      </c>
      <c r="E4329" s="24" t="n">
        <v>2</v>
      </c>
      <c r="F4329" s="24">
        <f>D4329*E4329</f>
        <v/>
      </c>
      <c r="G4329" s="22" t="n"/>
    </row>
    <row r="4330">
      <c r="A4330" s="8" t="inlineStr">
        <is>
          <t>Calculated W - SUM of the Amount column above</t>
        </is>
      </c>
      <c r="B4330" s="9" t="n"/>
      <c r="C4330" s="9" t="n"/>
      <c r="D4330" s="9" t="n"/>
      <c r="E4330" s="9" t="n"/>
      <c r="F4330" s="25">
        <f>SUM(F4318:F4329)</f>
        <v/>
      </c>
      <c r="G4330" s="9" t="n"/>
    </row>
    <row r="4331">
      <c r="A4331" s="26" t="inlineStr">
        <is>
          <t>W as printed in the DAR</t>
        </is>
      </c>
      <c r="B4331" s="22" t="n"/>
      <c r="C4331" s="22" t="n"/>
      <c r="D4331" s="22" t="n"/>
      <c r="E4331" s="22" t="n"/>
      <c r="F4331" s="27" t="n">
        <v>6471.02</v>
      </c>
      <c r="G4331" s="22" t="n"/>
    </row>
    <row r="4332">
      <c r="A4332" s="26" t="inlineStr">
        <is>
          <t>Difference (calculated - printed)</t>
        </is>
      </c>
      <c r="B4332" s="22" t="n"/>
      <c r="C4332" s="22" t="n"/>
      <c r="D4332" s="22" t="n"/>
      <c r="E4332" s="22" t="n"/>
      <c r="F4332" s="27">
        <f>F4330-F4331</f>
        <v/>
      </c>
      <c r="G4332" s="22" t="n"/>
    </row>
    <row r="4333">
      <c r="A4333" s="29" t="inlineStr">
        <is>
          <t>SAY (Rs.) - final DAR rate as printed (fixed value, not computed)</t>
        </is>
      </c>
      <c r="B4333" s="30" t="n"/>
      <c r="C4333" s="30" t="n"/>
      <c r="D4333" s="30" t="n"/>
      <c r="E4333" s="30" t="n"/>
      <c r="F4333" s="31" t="n">
        <v>4008.25</v>
      </c>
      <c r="G4333" s="30" t="n"/>
    </row>
    <row r="4335" ht="33" customHeight="1">
      <c r="A4335" s="8" t="inlineStr">
        <is>
          <t>9.134</t>
        </is>
      </c>
      <c r="B4335" s="17" t="inlineStr">
        <is>
          <t>Providing and fixing wire gauge shutters using stainless steel grade 304 wire gauge with wire of dia 0.5 mm and average width of aperture 1.4 mm in both directions for doors, windows and clerestory windows with necessary screws :</t>
        </is>
      </c>
      <c r="C4335" s="9" t="n"/>
      <c r="D4335" s="9" t="n"/>
      <c r="E4335" s="9" t="n"/>
      <c r="F4335" s="9" t="n"/>
      <c r="G4335" s="9" t="n"/>
    </row>
    <row r="4336" ht="18.5" customHeight="1">
      <c r="A4336" s="8" t="inlineStr">
        <is>
          <t>9.134.2</t>
        </is>
      </c>
      <c r="B4336" s="17" t="inlineStr">
        <is>
          <t>30 mm thick shutters</t>
        </is>
      </c>
      <c r="C4336" s="9" t="n"/>
      <c r="D4336" s="9" t="n"/>
      <c r="E4336" s="9" t="n"/>
      <c r="F4336" s="9" t="n"/>
      <c r="G4336" s="9" t="n"/>
    </row>
    <row r="4337" ht="18.5" customHeight="1">
      <c r="A4337" s="8" t="inlineStr">
        <is>
          <t>9.134.2.2</t>
        </is>
      </c>
      <c r="B4337" s="17" t="inlineStr">
        <is>
          <t>With ISI marked stainless steel butt hinges of required size</t>
        </is>
      </c>
      <c r="C4337" s="9" t="n"/>
      <c r="D4337" s="9" t="n"/>
      <c r="E4337" s="9" t="n"/>
      <c r="F4337" s="9" t="n"/>
      <c r="G4337" s="9" t="n"/>
    </row>
    <row r="4338" ht="18.5" customHeight="1">
      <c r="A4338" s="18" t="inlineStr">
        <is>
          <t>9.134.2.2.2</t>
        </is>
      </c>
      <c r="B4338" s="19" t="inlineStr">
        <is>
          <t>Kiln seasoned and chemically treated hollock wood</t>
        </is>
      </c>
      <c r="C4338" s="20" t="n"/>
      <c r="D4338" s="20" t="n"/>
      <c r="E4338" s="20" t="n"/>
      <c r="F4338" s="20" t="n"/>
      <c r="G4338" s="20" t="n"/>
    </row>
    <row r="4339">
      <c r="A4339" s="21" t="inlineStr">
        <is>
          <t>Details of cost for 2.16 sqm   |   Source: CivilDAR_2019_Vol_1.pdf, page 613</t>
        </is>
      </c>
    </row>
    <row r="4340">
      <c r="A4340" s="5" t="inlineStr">
        <is>
          <t>Code</t>
        </is>
      </c>
      <c r="B4340" s="5" t="inlineStr">
        <is>
          <t>Description</t>
        </is>
      </c>
      <c r="C4340" s="5" t="inlineStr">
        <is>
          <t>Unit</t>
        </is>
      </c>
      <c r="D4340" s="5" t="inlineStr">
        <is>
          <t>Quantity</t>
        </is>
      </c>
      <c r="E4340" s="5" t="inlineStr">
        <is>
          <t>Rate (Rs.)</t>
        </is>
      </c>
      <c r="F4340" s="5" t="inlineStr">
        <is>
          <t>Amount (Rs.)</t>
        </is>
      </c>
      <c r="G4340" s="5" t="inlineStr">
        <is>
          <t>Note</t>
        </is>
      </c>
    </row>
    <row r="4341">
      <c r="A4341" s="22" t="inlineStr">
        <is>
          <t>2505</t>
        </is>
      </c>
      <c r="B4341" s="11" t="inlineStr">
        <is>
          <t>Hollock wood in planks</t>
        </is>
      </c>
      <c r="C4341" s="22" t="inlineStr">
        <is>
          <t>10 cudm</t>
        </is>
      </c>
      <c r="D4341" s="23" t="n">
        <v>4.4</v>
      </c>
      <c r="E4341" s="24" t="n">
        <v>390</v>
      </c>
      <c r="F4341" s="24">
        <f>D4341*E4341</f>
        <v/>
      </c>
      <c r="G4341" s="22" t="n"/>
    </row>
    <row r="4342">
      <c r="A4342" s="22" t="inlineStr">
        <is>
          <t>2504</t>
        </is>
      </c>
      <c r="B4342" s="11" t="inlineStr">
        <is>
          <t>Kiln seasoning of timber</t>
        </is>
      </c>
      <c r="C4342" s="22" t="inlineStr">
        <is>
          <t>cum</t>
        </is>
      </c>
      <c r="D4342" s="23" t="n">
        <v>0.044</v>
      </c>
      <c r="E4342" s="24" t="n">
        <v>750</v>
      </c>
      <c r="F4342" s="24">
        <f>D4342*E4342</f>
        <v/>
      </c>
      <c r="G4342" s="22" t="n"/>
    </row>
    <row r="4343">
      <c r="A4343" s="22" t="inlineStr">
        <is>
          <t>9999</t>
        </is>
      </c>
      <c r="B4343" s="11" t="inlineStr">
        <is>
          <t>Chemical treatment</t>
        </is>
      </c>
      <c r="C4343" s="22" t="inlineStr">
        <is>
          <t>L.S.</t>
        </is>
      </c>
      <c r="D4343" s="23" t="n">
        <v>9.1</v>
      </c>
      <c r="E4343" s="24" t="n">
        <v>2</v>
      </c>
      <c r="F4343" s="24">
        <f>D4343*E4343</f>
        <v/>
      </c>
      <c r="G4343" s="22" t="n"/>
    </row>
    <row r="4344">
      <c r="A4344" s="22" t="inlineStr">
        <is>
          <t>2204</t>
        </is>
      </c>
      <c r="B4344" s="11" t="inlineStr">
        <is>
          <t>Carriage of Timber</t>
        </is>
      </c>
      <c r="C4344" s="22" t="inlineStr">
        <is>
          <t>cum</t>
        </is>
      </c>
      <c r="D4344" s="23" t="n">
        <v>0.044</v>
      </c>
      <c r="E4344" s="24" t="n">
        <v>118.59</v>
      </c>
      <c r="F4344" s="24">
        <f>D4344*E4344</f>
        <v/>
      </c>
      <c r="G4344" s="22" t="n"/>
    </row>
    <row r="4345">
      <c r="A4345" s="22" t="inlineStr">
        <is>
          <t>8737</t>
        </is>
      </c>
      <c r="B4345" s="11" t="inlineStr">
        <is>
          <t>Stainless steel wire guage (Grade-304) aperture 1.4mm and 0.50 mm dia wire</t>
        </is>
      </c>
      <c r="C4345" s="22" t="inlineStr">
        <is>
          <t>sqm</t>
        </is>
      </c>
      <c r="D4345" s="23" t="n">
        <v>1.41</v>
      </c>
      <c r="E4345" s="24" t="n">
        <v>400</v>
      </c>
      <c r="F4345" s="24">
        <f>D4345*E4345</f>
        <v/>
      </c>
      <c r="G4345" s="22" t="n"/>
    </row>
    <row r="4346">
      <c r="A4346" s="22" t="inlineStr">
        <is>
          <t>8220</t>
        </is>
      </c>
      <c r="B4346" s="11" t="inlineStr">
        <is>
          <t>Stainless steel butt hinges (heavy weight) 100x60x2.5 mm IS : 12817 marked</t>
        </is>
      </c>
      <c r="C4346" s="22" t="inlineStr">
        <is>
          <t>10 Nos</t>
        </is>
      </c>
      <c r="D4346" s="23" t="n">
        <v>0.6</v>
      </c>
      <c r="E4346" s="24" t="n">
        <v>255</v>
      </c>
      <c r="F4346" s="24">
        <f>D4346*E4346</f>
        <v/>
      </c>
      <c r="G4346" s="22" t="n"/>
    </row>
    <row r="4347">
      <c r="A4347" s="22" t="inlineStr">
        <is>
          <t>8218</t>
        </is>
      </c>
      <c r="B4347" s="11" t="inlineStr">
        <is>
          <t>Stainless steel butt hinges 50x37x 1.5 mm IS : 12817 marked</t>
        </is>
      </c>
      <c r="C4347" s="22" t="inlineStr">
        <is>
          <t>10 Nos</t>
        </is>
      </c>
      <c r="D4347" s="23" t="n">
        <v>0.2</v>
      </c>
      <c r="E4347" s="24" t="n">
        <v>135</v>
      </c>
      <c r="F4347" s="24">
        <f>D4347*E4347</f>
        <v/>
      </c>
      <c r="G4347" s="22" t="n"/>
    </row>
    <row r="4348">
      <c r="A4348" s="22" t="inlineStr">
        <is>
          <t>8211</t>
        </is>
      </c>
      <c r="B4348" s="11" t="inlineStr">
        <is>
          <t>Stainless steel screws 40 mm</t>
        </is>
      </c>
      <c r="C4348" s="22" t="inlineStr">
        <is>
          <t>100 Nos</t>
        </is>
      </c>
      <c r="D4348" s="23" t="n">
        <v>0.48</v>
      </c>
      <c r="E4348" s="24" t="n">
        <v>215</v>
      </c>
      <c r="F4348" s="24">
        <f>D4348*E4348</f>
        <v/>
      </c>
      <c r="G4348" s="22" t="n"/>
    </row>
    <row r="4349">
      <c r="A4349" s="22" t="inlineStr">
        <is>
          <t>8214</t>
        </is>
      </c>
      <c r="B4349" s="11" t="inlineStr">
        <is>
          <t>Stainless steel screws 20 mm</t>
        </is>
      </c>
      <c r="C4349" s="22" t="inlineStr">
        <is>
          <t>100 Nos</t>
        </is>
      </c>
      <c r="D4349" s="23" t="n">
        <v>0.08</v>
      </c>
      <c r="E4349" s="24" t="n">
        <v>125</v>
      </c>
      <c r="F4349" s="24">
        <f>D4349*E4349</f>
        <v/>
      </c>
      <c r="G4349" s="22" t="n"/>
    </row>
    <row r="4350">
      <c r="A4350" s="22" t="inlineStr">
        <is>
          <t>0111</t>
        </is>
      </c>
      <c r="B4350" s="11" t="inlineStr">
        <is>
          <t>Carpenter 1st class</t>
        </is>
      </c>
      <c r="C4350" s="22" t="inlineStr">
        <is>
          <t>day</t>
        </is>
      </c>
      <c r="D4350" s="23" t="n">
        <v>1.2</v>
      </c>
      <c r="E4350" s="24" t="n">
        <v>738</v>
      </c>
      <c r="F4350" s="24">
        <f>D4350*E4350</f>
        <v/>
      </c>
      <c r="G4350" s="22" t="n"/>
    </row>
    <row r="4351">
      <c r="A4351" s="22" t="inlineStr">
        <is>
          <t>0112</t>
        </is>
      </c>
      <c r="B4351" s="11" t="inlineStr">
        <is>
          <t>Carpenter 2nd class</t>
        </is>
      </c>
      <c r="C4351" s="22" t="inlineStr">
        <is>
          <t>day</t>
        </is>
      </c>
      <c r="D4351" s="23" t="n">
        <v>0.8</v>
      </c>
      <c r="E4351" s="24" t="n">
        <v>679</v>
      </c>
      <c r="F4351" s="24">
        <f>D4351*E4351</f>
        <v/>
      </c>
      <c r="G4351" s="22" t="n"/>
    </row>
    <row r="4352">
      <c r="A4352" s="22" t="inlineStr">
        <is>
          <t>0114</t>
        </is>
      </c>
      <c r="B4352" s="11" t="inlineStr">
        <is>
          <t>Beldar</t>
        </is>
      </c>
      <c r="C4352" s="22" t="inlineStr">
        <is>
          <t>day</t>
        </is>
      </c>
      <c r="D4352" s="23" t="n">
        <v>1</v>
      </c>
      <c r="E4352" s="24" t="n">
        <v>558</v>
      </c>
      <c r="F4352" s="24">
        <f>D4352*E4352</f>
        <v/>
      </c>
      <c r="G4352" s="22" t="n"/>
    </row>
    <row r="4353">
      <c r="A4353" s="22" t="inlineStr">
        <is>
          <t>0130</t>
        </is>
      </c>
      <c r="B4353" s="11" t="inlineStr">
        <is>
          <t>Mistry</t>
        </is>
      </c>
      <c r="C4353" s="22" t="inlineStr">
        <is>
          <t>day</t>
        </is>
      </c>
      <c r="D4353" s="23" t="n">
        <v>0.1</v>
      </c>
      <c r="E4353" s="24" t="n">
        <v>738</v>
      </c>
      <c r="F4353" s="24">
        <f>D4353*E4353</f>
        <v/>
      </c>
      <c r="G4353" s="22" t="n"/>
    </row>
    <row r="4354">
      <c r="A4354" s="22" t="inlineStr">
        <is>
          <t>9999</t>
        </is>
      </c>
      <c r="B4354" s="11" t="inlineStr">
        <is>
          <t>Sundries</t>
        </is>
      </c>
      <c r="C4354" s="22" t="inlineStr">
        <is>
          <t>L.S.</t>
        </is>
      </c>
      <c r="D4354" s="23" t="n">
        <v>33.8</v>
      </c>
      <c r="E4354" s="24" t="n">
        <v>2</v>
      </c>
      <c r="F4354" s="24">
        <f>D4354*E4354</f>
        <v/>
      </c>
      <c r="G4354" s="22" t="n"/>
    </row>
    <row r="4355">
      <c r="A4355" s="8" t="inlineStr">
        <is>
          <t>Calculated W - SUM of the Amount column above</t>
        </is>
      </c>
      <c r="B4355" s="9" t="n"/>
      <c r="C4355" s="9" t="n"/>
      <c r="D4355" s="9" t="n"/>
      <c r="E4355" s="9" t="n"/>
      <c r="F4355" s="25">
        <f>SUM(F4341:F4354)</f>
        <v/>
      </c>
      <c r="G4355" s="9" t="n"/>
    </row>
    <row r="4356">
      <c r="A4356" s="26" t="inlineStr">
        <is>
          <t>W as printed in the DAR</t>
        </is>
      </c>
      <c r="B4356" s="22" t="n"/>
      <c r="C4356" s="22" t="n"/>
      <c r="D4356" s="22" t="n"/>
      <c r="E4356" s="22" t="n"/>
      <c r="F4356" s="27" t="n">
        <v>4757.82</v>
      </c>
      <c r="G4356" s="22" t="n"/>
    </row>
    <row r="4357">
      <c r="A4357" s="26" t="inlineStr">
        <is>
          <t>Difference (calculated - printed)</t>
        </is>
      </c>
      <c r="B4357" s="22" t="n"/>
      <c r="C4357" s="22" t="n"/>
      <c r="D4357" s="22" t="n"/>
      <c r="E4357" s="22" t="n"/>
      <c r="F4357" s="27">
        <f>F4355-F4356</f>
        <v/>
      </c>
      <c r="G4357" s="22" t="n"/>
    </row>
    <row r="4358">
      <c r="A4358" s="29" t="inlineStr">
        <is>
          <t>SAY (Rs.) - final DAR rate as printed (fixed value, not computed)</t>
        </is>
      </c>
      <c r="B4358" s="30" t="n"/>
      <c r="C4358" s="30" t="n"/>
      <c r="D4358" s="30" t="n"/>
      <c r="E4358" s="30" t="n"/>
      <c r="F4358" s="31" t="n">
        <v>2947.05</v>
      </c>
      <c r="G4358" s="30" t="n"/>
    </row>
    <row r="4360" ht="33" customHeight="1">
      <c r="A4360" s="8" t="inlineStr">
        <is>
          <t>9.134</t>
        </is>
      </c>
      <c r="B4360" s="17" t="inlineStr">
        <is>
          <t>Providing and fixing wire gauge shutters using stainless steel grade 304 wire gauge with wire of dia 0.5 mm and average width of aperture 1.4 mm in both directions for doors, windows and clerestory windows with necessary screws :</t>
        </is>
      </c>
      <c r="C4360" s="9" t="n"/>
      <c r="D4360" s="9" t="n"/>
      <c r="E4360" s="9" t="n"/>
      <c r="F4360" s="9" t="n"/>
      <c r="G4360" s="9" t="n"/>
    </row>
    <row r="4361" ht="18.5" customHeight="1">
      <c r="A4361" s="8" t="inlineStr">
        <is>
          <t>9.134.2</t>
        </is>
      </c>
      <c r="B4361" s="17" t="inlineStr">
        <is>
          <t>30 mm thick shutters</t>
        </is>
      </c>
      <c r="C4361" s="9" t="n"/>
      <c r="D4361" s="9" t="n"/>
      <c r="E4361" s="9" t="n"/>
      <c r="F4361" s="9" t="n"/>
      <c r="G4361" s="9" t="n"/>
    </row>
    <row r="4362" ht="18.5" customHeight="1">
      <c r="A4362" s="8" t="inlineStr">
        <is>
          <t>9.134.2.2</t>
        </is>
      </c>
      <c r="B4362" s="17" t="inlineStr">
        <is>
          <t>With ISI marked stainless steel butt hinges of required size</t>
        </is>
      </c>
      <c r="C4362" s="9" t="n"/>
      <c r="D4362" s="9" t="n"/>
      <c r="E4362" s="9" t="n"/>
      <c r="F4362" s="9" t="n"/>
      <c r="G4362" s="9" t="n"/>
    </row>
    <row r="4363" ht="18.5" customHeight="1">
      <c r="A4363" s="18" t="inlineStr">
        <is>
          <t>9.134.2.2.3</t>
        </is>
      </c>
      <c r="B4363" s="19" t="inlineStr">
        <is>
          <t>Kiln seasoned selected class of sheesham wood</t>
        </is>
      </c>
      <c r="C4363" s="20" t="n"/>
      <c r="D4363" s="20" t="n"/>
      <c r="E4363" s="20" t="n"/>
      <c r="F4363" s="20" t="n"/>
      <c r="G4363" s="20" t="n"/>
    </row>
    <row r="4364">
      <c r="A4364" s="21" t="inlineStr">
        <is>
          <t>Details of cost for 2.16 sqm   |   Source: CivilDAR_2019_Vol_1.pdf, page 614</t>
        </is>
      </c>
    </row>
    <row r="4365">
      <c r="A4365" s="5" t="inlineStr">
        <is>
          <t>Code</t>
        </is>
      </c>
      <c r="B4365" s="5" t="inlineStr">
        <is>
          <t>Description</t>
        </is>
      </c>
      <c r="C4365" s="5" t="inlineStr">
        <is>
          <t>Unit</t>
        </is>
      </c>
      <c r="D4365" s="5" t="inlineStr">
        <is>
          <t>Quantity</t>
        </is>
      </c>
      <c r="E4365" s="5" t="inlineStr">
        <is>
          <t>Rate (Rs.)</t>
        </is>
      </c>
      <c r="F4365" s="5" t="inlineStr">
        <is>
          <t>Amount (Rs.)</t>
        </is>
      </c>
      <c r="G4365" s="5" t="inlineStr">
        <is>
          <t>Note</t>
        </is>
      </c>
    </row>
    <row r="4366">
      <c r="A4366" s="22" t="inlineStr">
        <is>
          <t>1200</t>
        </is>
      </c>
      <c r="B4366" s="11" t="inlineStr">
        <is>
          <t>Kiln seasoned selected sheesum wood planks</t>
        </is>
      </c>
      <c r="C4366" s="22" t="inlineStr">
        <is>
          <t>10 cudm</t>
        </is>
      </c>
      <c r="D4366" s="23" t="n">
        <v>4.4</v>
      </c>
      <c r="E4366" s="24" t="n">
        <v>650</v>
      </c>
      <c r="F4366" s="24">
        <f>D4366*E4366</f>
        <v/>
      </c>
      <c r="G4366" s="22" t="n"/>
    </row>
    <row r="4367">
      <c r="A4367" s="22" t="inlineStr">
        <is>
          <t>2504</t>
        </is>
      </c>
      <c r="B4367" s="11" t="inlineStr">
        <is>
          <t>Kiln seasoning of timber</t>
        </is>
      </c>
      <c r="C4367" s="22" t="inlineStr">
        <is>
          <t>cum</t>
        </is>
      </c>
      <c r="D4367" s="23" t="n">
        <v>0.044</v>
      </c>
      <c r="E4367" s="24" t="n">
        <v>750</v>
      </c>
      <c r="F4367" s="24">
        <f>D4367*E4367</f>
        <v/>
      </c>
      <c r="G4367" s="22" t="n"/>
    </row>
    <row r="4368">
      <c r="A4368" s="22" t="inlineStr">
        <is>
          <t>2204</t>
        </is>
      </c>
      <c r="B4368" s="11" t="inlineStr">
        <is>
          <t>Carriage of Timber</t>
        </is>
      </c>
      <c r="C4368" s="22" t="inlineStr">
        <is>
          <t>cum</t>
        </is>
      </c>
      <c r="D4368" s="23" t="n">
        <v>0.044</v>
      </c>
      <c r="E4368" s="24" t="n">
        <v>118.59</v>
      </c>
      <c r="F4368" s="24">
        <f>D4368*E4368</f>
        <v/>
      </c>
      <c r="G4368" s="22" t="n"/>
    </row>
    <row r="4369">
      <c r="A4369" s="22" t="inlineStr">
        <is>
          <t>8737</t>
        </is>
      </c>
      <c r="B4369" s="11" t="inlineStr">
        <is>
          <t>Stainless steel wire guage (Grade-304) aperture 1.4mm and 0.50 mm dia wire</t>
        </is>
      </c>
      <c r="C4369" s="22" t="inlineStr">
        <is>
          <t>sqm</t>
        </is>
      </c>
      <c r="D4369" s="23" t="n">
        <v>1.41</v>
      </c>
      <c r="E4369" s="24" t="n">
        <v>400</v>
      </c>
      <c r="F4369" s="24">
        <f>D4369*E4369</f>
        <v/>
      </c>
      <c r="G4369" s="22" t="n"/>
    </row>
    <row r="4370">
      <c r="A4370" s="22" t="inlineStr">
        <is>
          <t>8220</t>
        </is>
      </c>
      <c r="B4370" s="11" t="inlineStr">
        <is>
          <t>Stainless steel butt hinges (heavy weight) 100x60x2.5 mm IS : 12817 marked</t>
        </is>
      </c>
      <c r="C4370" s="22" t="inlineStr">
        <is>
          <t>10 Nos</t>
        </is>
      </c>
      <c r="D4370" s="23" t="n">
        <v>0.6</v>
      </c>
      <c r="E4370" s="24" t="n">
        <v>255</v>
      </c>
      <c r="F4370" s="24">
        <f>D4370*E4370</f>
        <v/>
      </c>
      <c r="G4370" s="22" t="n"/>
    </row>
    <row r="4371">
      <c r="A4371" s="22" t="inlineStr">
        <is>
          <t>8218</t>
        </is>
      </c>
      <c r="B4371" s="11" t="inlineStr">
        <is>
          <t>Stainless steel butt hinges 50x37x 1.5 mm IS : 12817 marked</t>
        </is>
      </c>
      <c r="C4371" s="22" t="inlineStr">
        <is>
          <t>10 Nos</t>
        </is>
      </c>
      <c r="D4371" s="23" t="n">
        <v>0.2</v>
      </c>
      <c r="E4371" s="24" t="n">
        <v>135</v>
      </c>
      <c r="F4371" s="24">
        <f>D4371*E4371</f>
        <v/>
      </c>
      <c r="G4371" s="22" t="n"/>
    </row>
    <row r="4372">
      <c r="A4372" s="22" t="inlineStr">
        <is>
          <t>8211</t>
        </is>
      </c>
      <c r="B4372" s="11" t="inlineStr">
        <is>
          <t>Stainless steel screws 40 mm</t>
        </is>
      </c>
      <c r="C4372" s="22" t="inlineStr">
        <is>
          <t>100 Nos</t>
        </is>
      </c>
      <c r="D4372" s="23" t="n">
        <v>0.48</v>
      </c>
      <c r="E4372" s="24" t="n">
        <v>215</v>
      </c>
      <c r="F4372" s="24">
        <f>D4372*E4372</f>
        <v/>
      </c>
      <c r="G4372" s="22" t="n"/>
    </row>
    <row r="4373">
      <c r="A4373" s="22" t="inlineStr">
        <is>
          <t>8214</t>
        </is>
      </c>
      <c r="B4373" s="11" t="inlineStr">
        <is>
          <t>Stainless steel screws 20 mm</t>
        </is>
      </c>
      <c r="C4373" s="22" t="inlineStr">
        <is>
          <t>100 Nos</t>
        </is>
      </c>
      <c r="D4373" s="23" t="n">
        <v>0.08</v>
      </c>
      <c r="E4373" s="24" t="n">
        <v>125</v>
      </c>
      <c r="F4373" s="24">
        <f>D4373*E4373</f>
        <v/>
      </c>
      <c r="G4373" s="22" t="n"/>
    </row>
    <row r="4374">
      <c r="A4374" s="22" t="inlineStr">
        <is>
          <t>0111</t>
        </is>
      </c>
      <c r="B4374" s="11" t="inlineStr">
        <is>
          <t>Carpenter 1st class</t>
        </is>
      </c>
      <c r="C4374" s="22" t="inlineStr">
        <is>
          <t>day</t>
        </is>
      </c>
      <c r="D4374" s="23" t="n">
        <v>1.2</v>
      </c>
      <c r="E4374" s="24" t="n">
        <v>738</v>
      </c>
      <c r="F4374" s="24">
        <f>D4374*E4374</f>
        <v/>
      </c>
      <c r="G4374" s="22" t="n"/>
    </row>
    <row r="4375">
      <c r="A4375" s="22" t="inlineStr">
        <is>
          <t>0112</t>
        </is>
      </c>
      <c r="B4375" s="11" t="inlineStr">
        <is>
          <t>Carpenter 2nd class</t>
        </is>
      </c>
      <c r="C4375" s="22" t="inlineStr">
        <is>
          <t>day</t>
        </is>
      </c>
      <c r="D4375" s="23" t="n">
        <v>0.8</v>
      </c>
      <c r="E4375" s="24" t="n">
        <v>679</v>
      </c>
      <c r="F4375" s="24">
        <f>D4375*E4375</f>
        <v/>
      </c>
      <c r="G4375" s="22" t="n"/>
    </row>
    <row r="4376">
      <c r="A4376" s="22" t="inlineStr">
        <is>
          <t>0114</t>
        </is>
      </c>
      <c r="B4376" s="11" t="inlineStr">
        <is>
          <t>Beldar</t>
        </is>
      </c>
      <c r="C4376" s="22" t="inlineStr">
        <is>
          <t>day</t>
        </is>
      </c>
      <c r="D4376" s="23" t="n">
        <v>1</v>
      </c>
      <c r="E4376" s="24" t="n">
        <v>558</v>
      </c>
      <c r="F4376" s="24">
        <f>D4376*E4376</f>
        <v/>
      </c>
      <c r="G4376" s="22" t="n"/>
    </row>
    <row r="4377">
      <c r="A4377" s="22" t="inlineStr">
        <is>
          <t>0130</t>
        </is>
      </c>
      <c r="B4377" s="11" t="inlineStr">
        <is>
          <t>Mistry</t>
        </is>
      </c>
      <c r="C4377" s="22" t="inlineStr">
        <is>
          <t>day</t>
        </is>
      </c>
      <c r="D4377" s="23" t="n">
        <v>0.1</v>
      </c>
      <c r="E4377" s="24" t="n">
        <v>738</v>
      </c>
      <c r="F4377" s="24">
        <f>D4377*E4377</f>
        <v/>
      </c>
      <c r="G4377" s="22" t="n"/>
    </row>
    <row r="4378">
      <c r="A4378" s="22" t="inlineStr">
        <is>
          <t>9999</t>
        </is>
      </c>
      <c r="B4378" s="11" t="inlineStr">
        <is>
          <t>Sundries</t>
        </is>
      </c>
      <c r="C4378" s="22" t="inlineStr">
        <is>
          <t>L.S.</t>
        </is>
      </c>
      <c r="D4378" s="23" t="n">
        <v>33.8</v>
      </c>
      <c r="E4378" s="24" t="n">
        <v>2</v>
      </c>
      <c r="F4378" s="24">
        <f>D4378*E4378</f>
        <v/>
      </c>
      <c r="G4378" s="22" t="n"/>
    </row>
    <row r="4379">
      <c r="A4379" s="8" t="inlineStr">
        <is>
          <t>Calculated W - SUM of the Amount column above</t>
        </is>
      </c>
      <c r="B4379" s="9" t="n"/>
      <c r="C4379" s="9" t="n"/>
      <c r="D4379" s="9" t="n"/>
      <c r="E4379" s="9" t="n"/>
      <c r="F4379" s="25">
        <f>SUM(F4366:F4378)</f>
        <v/>
      </c>
      <c r="G4379" s="9" t="n"/>
    </row>
    <row r="4380">
      <c r="A4380" s="26" t="inlineStr">
        <is>
          <t>W as printed in the DAR</t>
        </is>
      </c>
      <c r="B4380" s="22" t="n"/>
      <c r="C4380" s="22" t="n"/>
      <c r="D4380" s="22" t="n"/>
      <c r="E4380" s="22" t="n"/>
      <c r="F4380" s="27" t="n">
        <v>5883.62</v>
      </c>
      <c r="G4380" s="22" t="n"/>
    </row>
    <row r="4381">
      <c r="A4381" s="26" t="inlineStr">
        <is>
          <t>Difference (calculated - printed)</t>
        </is>
      </c>
      <c r="B4381" s="22" t="n"/>
      <c r="C4381" s="22" t="n"/>
      <c r="D4381" s="22" t="n"/>
      <c r="E4381" s="22" t="n"/>
      <c r="F4381" s="27">
        <f>F4379-F4380</f>
        <v/>
      </c>
      <c r="G4381" s="22" t="n"/>
    </row>
    <row r="4382">
      <c r="A4382" s="29" t="inlineStr">
        <is>
          <t>SAY (Rs.) - final DAR rate as printed (fixed value, not computed)</t>
        </is>
      </c>
      <c r="B4382" s="30" t="n"/>
      <c r="C4382" s="30" t="n"/>
      <c r="D4382" s="30" t="n"/>
      <c r="E4382" s="30" t="n"/>
      <c r="F4382" s="31" t="n">
        <v>3644.4</v>
      </c>
      <c r="G4382" s="30" t="n"/>
    </row>
    <row r="4384" ht="33" customHeight="1">
      <c r="A4384" s="8" t="inlineStr">
        <is>
          <t>9.135</t>
        </is>
      </c>
      <c r="B4384" s="17" t="inlineStr">
        <is>
          <t>Providing and fixing fly proof stainless steel grade 304 wire gauge, to windows and clerestory windows using wire gauge with average width of aperture 1.4 mm in both directions with wire of dia. 0.50 mm all complete.</t>
        </is>
      </c>
      <c r="C4384" s="9" t="n"/>
      <c r="D4384" s="9" t="n"/>
      <c r="E4384" s="9" t="n"/>
      <c r="F4384" s="9" t="n"/>
      <c r="G4384" s="9" t="n"/>
    </row>
    <row r="4385" ht="18.5" customHeight="1">
      <c r="A4385" s="18" t="inlineStr">
        <is>
          <t>9.135.1</t>
        </is>
      </c>
      <c r="B4385" s="19" t="inlineStr">
        <is>
          <t>With 2nd class teak wood beading 62X19 mm</t>
        </is>
      </c>
      <c r="C4385" s="20" t="n"/>
      <c r="D4385" s="20" t="n"/>
      <c r="E4385" s="20" t="n"/>
      <c r="F4385" s="20" t="n"/>
      <c r="G4385" s="20" t="n"/>
    </row>
    <row r="4386">
      <c r="A4386" s="21" t="inlineStr">
        <is>
          <t>Details of cost for 1.54 sqm   |   Source: CivilDAR_2019_Vol_1.pdf, page 615</t>
        </is>
      </c>
    </row>
    <row r="4387">
      <c r="A4387" s="5" t="inlineStr">
        <is>
          <t>Code</t>
        </is>
      </c>
      <c r="B4387" s="5" t="inlineStr">
        <is>
          <t>Description</t>
        </is>
      </c>
      <c r="C4387" s="5" t="inlineStr">
        <is>
          <t>Unit</t>
        </is>
      </c>
      <c r="D4387" s="5" t="inlineStr">
        <is>
          <t>Quantity</t>
        </is>
      </c>
      <c r="E4387" s="5" t="inlineStr">
        <is>
          <t>Rate (Rs.)</t>
        </is>
      </c>
      <c r="F4387" s="5" t="inlineStr">
        <is>
          <t>Amount (Rs.)</t>
        </is>
      </c>
      <c r="G4387" s="5" t="inlineStr">
        <is>
          <t>Note</t>
        </is>
      </c>
    </row>
    <row r="4388">
      <c r="A4388" s="22" t="inlineStr">
        <is>
          <t>8737</t>
        </is>
      </c>
      <c r="B4388" s="11" t="inlineStr">
        <is>
          <t>Stainless steel wire guage (Grade-304) aperture 1.4mm and 0.50 mm dia wire</t>
        </is>
      </c>
      <c r="C4388" s="22" t="inlineStr">
        <is>
          <t>sqm</t>
        </is>
      </c>
      <c r="D4388" s="23" t="n">
        <v>1.69</v>
      </c>
      <c r="E4388" s="24" t="n">
        <v>400</v>
      </c>
      <c r="F4388" s="24">
        <f>D4388*E4388</f>
        <v/>
      </c>
      <c r="G4388" s="22" t="n"/>
    </row>
    <row r="4389">
      <c r="A4389" s="22" t="inlineStr">
        <is>
          <t>9977</t>
        </is>
      </c>
      <c r="B4389" s="11" t="inlineStr">
        <is>
          <t>Carriage of wire fabric</t>
        </is>
      </c>
      <c r="C4389" s="22" t="inlineStr">
        <is>
          <t>L.S.</t>
        </is>
      </c>
      <c r="D4389" s="23" t="n">
        <v>1.82</v>
      </c>
      <c r="E4389" s="24" t="n">
        <v>2</v>
      </c>
      <c r="F4389" s="24">
        <f>D4389*E4389</f>
        <v/>
      </c>
      <c r="G4389" s="22" t="n"/>
    </row>
    <row r="4390">
      <c r="A4390" s="22" t="inlineStr">
        <is>
          <t>1190</t>
        </is>
      </c>
      <c r="B4390" s="11" t="inlineStr">
        <is>
          <t>Second class teak wood in planks</t>
        </is>
      </c>
      <c r="C4390" s="22" t="inlineStr">
        <is>
          <t>10 cudm</t>
        </is>
      </c>
      <c r="D4390" s="23" t="n">
        <v>0.6</v>
      </c>
      <c r="E4390" s="24" t="n">
        <v>791</v>
      </c>
      <c r="F4390" s="24">
        <f>D4390*E4390</f>
        <v/>
      </c>
      <c r="G4390" s="22" t="n"/>
    </row>
    <row r="4391">
      <c r="A4391" s="22" t="inlineStr">
        <is>
          <t>2204</t>
        </is>
      </c>
      <c r="B4391" s="11" t="inlineStr">
        <is>
          <t>Carriage of Timber</t>
        </is>
      </c>
      <c r="C4391" s="22" t="inlineStr">
        <is>
          <t>cum</t>
        </is>
      </c>
      <c r="D4391" s="23" t="n">
        <v>0.006</v>
      </c>
      <c r="E4391" s="24" t="n">
        <v>118.59</v>
      </c>
      <c r="F4391" s="24">
        <f>D4391*E4391</f>
        <v/>
      </c>
      <c r="G4391" s="22" t="n"/>
    </row>
    <row r="4392">
      <c r="A4392" s="22" t="inlineStr">
        <is>
          <t>0112</t>
        </is>
      </c>
      <c r="B4392" s="11" t="inlineStr">
        <is>
          <t>Carpenter 2nd class</t>
        </is>
      </c>
      <c r="C4392" s="22" t="inlineStr">
        <is>
          <t>day</t>
        </is>
      </c>
      <c r="D4392" s="23" t="n">
        <v>0.33</v>
      </c>
      <c r="E4392" s="24" t="n">
        <v>679</v>
      </c>
      <c r="F4392" s="24">
        <f>D4392*E4392</f>
        <v/>
      </c>
      <c r="G4392" s="22" t="n"/>
    </row>
    <row r="4393">
      <c r="A4393" s="22" t="inlineStr">
        <is>
          <t>0114</t>
        </is>
      </c>
      <c r="B4393" s="11" t="inlineStr">
        <is>
          <t>Beldar</t>
        </is>
      </c>
      <c r="C4393" s="22" t="inlineStr">
        <is>
          <t>day</t>
        </is>
      </c>
      <c r="D4393" s="23" t="n">
        <v>0.25</v>
      </c>
      <c r="E4393" s="24" t="n">
        <v>558</v>
      </c>
      <c r="F4393" s="24">
        <f>D4393*E4393</f>
        <v/>
      </c>
      <c r="G4393" s="22" t="n"/>
    </row>
    <row r="4394">
      <c r="A4394" s="22" t="inlineStr">
        <is>
          <t>9999</t>
        </is>
      </c>
      <c r="B4394" s="11" t="inlineStr">
        <is>
          <t>Sundries</t>
        </is>
      </c>
      <c r="C4394" s="22" t="inlineStr">
        <is>
          <t>L.S.</t>
        </is>
      </c>
      <c r="D4394" s="23" t="n">
        <v>19.76</v>
      </c>
      <c r="E4394" s="24" t="n">
        <v>2</v>
      </c>
      <c r="F4394" s="24">
        <f>D4394*E4394</f>
        <v/>
      </c>
      <c r="G4394" s="22" t="n"/>
    </row>
    <row r="4395">
      <c r="A4395" s="8" t="inlineStr">
        <is>
          <t>Calculated W - SUM of the Amount column above</t>
        </is>
      </c>
      <c r="B4395" s="9" t="n"/>
      <c r="C4395" s="9" t="n"/>
      <c r="D4395" s="9" t="n"/>
      <c r="E4395" s="9" t="n"/>
      <c r="F4395" s="25">
        <f>SUM(F4388:F4394)</f>
        <v/>
      </c>
      <c r="G4395" s="9" t="n"/>
    </row>
    <row r="4396">
      <c r="A4396" s="26" t="inlineStr">
        <is>
          <t>W as printed in the DAR</t>
        </is>
      </c>
      <c r="B4396" s="22" t="n"/>
      <c r="C4396" s="22" t="n"/>
      <c r="D4396" s="22" t="n"/>
      <c r="E4396" s="22" t="n"/>
      <c r="F4396" s="27" t="n">
        <v>1558.04</v>
      </c>
      <c r="G4396" s="22" t="n"/>
    </row>
    <row r="4397">
      <c r="A4397" s="26" t="inlineStr">
        <is>
          <t>Difference (calculated - printed)</t>
        </is>
      </c>
      <c r="B4397" s="22" t="n"/>
      <c r="C4397" s="22" t="n"/>
      <c r="D4397" s="22" t="n"/>
      <c r="E4397" s="22" t="n"/>
      <c r="F4397" s="27">
        <f>F4395-F4396</f>
        <v/>
      </c>
      <c r="G4397" s="22" t="n"/>
    </row>
    <row r="4398">
      <c r="A4398" s="29" t="inlineStr">
        <is>
          <t>SAY (Rs.) - final DAR rate as printed (fixed value, not computed)</t>
        </is>
      </c>
      <c r="B4398" s="30" t="n"/>
      <c r="C4398" s="30" t="n"/>
      <c r="D4398" s="30" t="n"/>
      <c r="E4398" s="30" t="n"/>
      <c r="F4398" s="31" t="n">
        <v>1353.6</v>
      </c>
      <c r="G4398" s="30" t="n"/>
    </row>
    <row r="4400" ht="33" customHeight="1">
      <c r="A4400" s="8" t="inlineStr">
        <is>
          <t>9.135</t>
        </is>
      </c>
      <c r="B4400" s="17" t="inlineStr">
        <is>
          <t>Providing and fixing fly proof stainless steel grade 304 wire gauge, to windows and clerestory windows using wire gauge with average width of aperture 1.4 mm in both directions with wire of dia. 0.50 mm all complete.</t>
        </is>
      </c>
      <c r="C4400" s="9" t="n"/>
      <c r="D4400" s="9" t="n"/>
      <c r="E4400" s="9" t="n"/>
      <c r="F4400" s="9" t="n"/>
      <c r="G4400" s="9" t="n"/>
    </row>
    <row r="4401" ht="18.5" customHeight="1">
      <c r="A4401" s="18" t="inlineStr">
        <is>
          <t>9.135.2</t>
        </is>
      </c>
      <c r="B4401" s="19" t="inlineStr">
        <is>
          <t>With 12 mm mild steel U beading</t>
        </is>
      </c>
      <c r="C4401" s="20" t="n"/>
      <c r="D4401" s="20" t="n"/>
      <c r="E4401" s="20" t="n"/>
      <c r="F4401" s="20" t="n"/>
      <c r="G4401" s="20" t="n"/>
    </row>
    <row r="4402">
      <c r="A4402" s="21" t="inlineStr">
        <is>
          <t>Details of cost for 1.54 sqm   |   Source: CivilDAR_2019_Vol_1.pdf, page 616</t>
        </is>
      </c>
    </row>
    <row r="4403">
      <c r="A4403" s="5" t="inlineStr">
        <is>
          <t>Code</t>
        </is>
      </c>
      <c r="B4403" s="5" t="inlineStr">
        <is>
          <t>Description</t>
        </is>
      </c>
      <c r="C4403" s="5" t="inlineStr">
        <is>
          <t>Unit</t>
        </is>
      </c>
      <c r="D4403" s="5" t="inlineStr">
        <is>
          <t>Quantity</t>
        </is>
      </c>
      <c r="E4403" s="5" t="inlineStr">
        <is>
          <t>Rate (Rs.)</t>
        </is>
      </c>
      <c r="F4403" s="5" t="inlineStr">
        <is>
          <t>Amount (Rs.)</t>
        </is>
      </c>
      <c r="G4403" s="5" t="inlineStr">
        <is>
          <t>Note</t>
        </is>
      </c>
    </row>
    <row r="4404">
      <c r="A4404" s="22" t="inlineStr">
        <is>
          <t>8737</t>
        </is>
      </c>
      <c r="B4404" s="11" t="inlineStr">
        <is>
          <t>Stainless steel wire guage (Grade-304) aperture 1.4mm and 0.50 mm dia wire</t>
        </is>
      </c>
      <c r="C4404" s="22" t="inlineStr">
        <is>
          <t>sqm</t>
        </is>
      </c>
      <c r="D4404" s="23" t="n">
        <v>1.69</v>
      </c>
      <c r="E4404" s="24" t="n">
        <v>400</v>
      </c>
      <c r="F4404" s="24">
        <f>D4404*E4404</f>
        <v/>
      </c>
      <c r="G4404" s="22" t="n"/>
    </row>
    <row r="4405">
      <c r="A4405" s="22" t="inlineStr">
        <is>
          <t>9977</t>
        </is>
      </c>
      <c r="B4405" s="11" t="inlineStr">
        <is>
          <t>Carriage of wire fabric</t>
        </is>
      </c>
      <c r="C4405" s="22" t="inlineStr">
        <is>
          <t>L.S.</t>
        </is>
      </c>
      <c r="D4405" s="23" t="n">
        <v>1.82</v>
      </c>
      <c r="E4405" s="24" t="n">
        <v>2</v>
      </c>
      <c r="F4405" s="24">
        <f>D4405*E4405</f>
        <v/>
      </c>
      <c r="G4405" s="22" t="n"/>
    </row>
    <row r="4406">
      <c r="A4406" s="22" t="inlineStr">
        <is>
          <t>7349</t>
        </is>
      </c>
      <c r="B4406" s="11" t="inlineStr">
        <is>
          <t>12 mm M.S. 'U' beading</t>
        </is>
      </c>
      <c r="C4406" s="22" t="inlineStr">
        <is>
          <t>metre</t>
        </is>
      </c>
      <c r="D4406" s="23" t="n">
        <v>5</v>
      </c>
      <c r="E4406" s="24" t="n">
        <v>14</v>
      </c>
      <c r="F4406" s="24">
        <f>D4406*E4406</f>
        <v/>
      </c>
      <c r="G4406" s="22" t="n"/>
    </row>
    <row r="4407">
      <c r="A4407" s="22" t="inlineStr">
        <is>
          <t>0112</t>
        </is>
      </c>
      <c r="B4407" s="11" t="inlineStr">
        <is>
          <t>Carpenter 2nd class</t>
        </is>
      </c>
      <c r="C4407" s="22" t="inlineStr">
        <is>
          <t>day</t>
        </is>
      </c>
      <c r="D4407" s="23" t="n">
        <v>0.33</v>
      </c>
      <c r="E4407" s="24" t="n">
        <v>679</v>
      </c>
      <c r="F4407" s="24">
        <f>D4407*E4407</f>
        <v/>
      </c>
      <c r="G4407" s="22" t="n"/>
    </row>
    <row r="4408">
      <c r="A4408" s="22" t="inlineStr">
        <is>
          <t>0114</t>
        </is>
      </c>
      <c r="B4408" s="11" t="inlineStr">
        <is>
          <t>Beldar</t>
        </is>
      </c>
      <c r="C4408" s="22" t="inlineStr">
        <is>
          <t>day</t>
        </is>
      </c>
      <c r="D4408" s="23" t="n">
        <v>0.25</v>
      </c>
      <c r="E4408" s="24" t="n">
        <v>558</v>
      </c>
      <c r="F4408" s="24">
        <f>D4408*E4408</f>
        <v/>
      </c>
      <c r="G4408" s="22" t="n"/>
    </row>
    <row r="4409">
      <c r="A4409" s="22" t="inlineStr">
        <is>
          <t>9999</t>
        </is>
      </c>
      <c r="B4409" s="11" t="inlineStr">
        <is>
          <t>Sundries</t>
        </is>
      </c>
      <c r="C4409" s="22" t="inlineStr">
        <is>
          <t>L.S.</t>
        </is>
      </c>
      <c r="D4409" s="23" t="n">
        <v>19.76</v>
      </c>
      <c r="E4409" s="24" t="n">
        <v>2</v>
      </c>
      <c r="F4409" s="24">
        <f>D4409*E4409</f>
        <v/>
      </c>
      <c r="G4409" s="22" t="n"/>
    </row>
    <row r="4410">
      <c r="A4410" s="8" t="inlineStr">
        <is>
          <t>Calculated W - SUM of the Amount column above</t>
        </is>
      </c>
      <c r="B4410" s="9" t="n"/>
      <c r="C4410" s="9" t="n"/>
      <c r="D4410" s="9" t="n"/>
      <c r="E4410" s="9" t="n"/>
      <c r="F4410" s="25">
        <f>SUM(F4404:F4409)</f>
        <v/>
      </c>
      <c r="G4410" s="9" t="n"/>
    </row>
    <row r="4411">
      <c r="A4411" s="26" t="inlineStr">
        <is>
          <t>W as printed in the DAR</t>
        </is>
      </c>
      <c r="B4411" s="22" t="n"/>
      <c r="C4411" s="22" t="n"/>
      <c r="D4411" s="22" t="n"/>
      <c r="E4411" s="22" t="n"/>
      <c r="F4411" s="27" t="n">
        <v>1152.73</v>
      </c>
      <c r="G4411" s="22" t="n"/>
    </row>
    <row r="4412">
      <c r="A4412" s="26" t="inlineStr">
        <is>
          <t>Difference (calculated - printed)</t>
        </is>
      </c>
      <c r="B4412" s="22" t="n"/>
      <c r="C4412" s="22" t="n"/>
      <c r="D4412" s="22" t="n"/>
      <c r="E4412" s="22" t="n"/>
      <c r="F4412" s="27">
        <f>F4410-F4411</f>
        <v/>
      </c>
      <c r="G4412" s="22" t="n"/>
    </row>
    <row r="4413">
      <c r="A4413" s="29" t="inlineStr">
        <is>
          <t>SAY (Rs.) - final DAR rate as printed (fixed value, not computed)</t>
        </is>
      </c>
      <c r="B4413" s="30" t="n"/>
      <c r="C4413" s="30" t="n"/>
      <c r="D4413" s="30" t="n"/>
      <c r="E4413" s="30" t="n"/>
      <c r="F4413" s="31" t="n">
        <v>1001.5</v>
      </c>
      <c r="G4413" s="30" t="n"/>
    </row>
    <row r="4415" ht="76.5" customHeight="1">
      <c r="A4415" s="18" t="inlineStr">
        <is>
          <t>9.136</t>
        </is>
      </c>
      <c r="B4415" s="19" t="inlineStr">
        <is>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is>
      </c>
      <c r="C4415" s="20" t="n"/>
      <c r="D4415" s="20" t="n"/>
      <c r="E4415" s="20" t="n"/>
      <c r="F4415" s="20" t="n"/>
      <c r="G4415" s="20" t="n"/>
    </row>
    <row r="4416">
      <c r="A4416" s="21" t="inlineStr">
        <is>
          <t>Details of cost for 9.1 metres   |   Source: CivilDAR_2019_Vol_1.pdf, page 617</t>
        </is>
      </c>
    </row>
    <row r="4417">
      <c r="A4417" s="5" t="inlineStr">
        <is>
          <t>Code</t>
        </is>
      </c>
      <c r="B4417" s="5" t="inlineStr">
        <is>
          <t>Description</t>
        </is>
      </c>
      <c r="C4417" s="5" t="inlineStr">
        <is>
          <t>Unit</t>
        </is>
      </c>
      <c r="D4417" s="5" t="inlineStr">
        <is>
          <t>Quantity</t>
        </is>
      </c>
      <c r="E4417" s="5" t="inlineStr">
        <is>
          <t>Rate (Rs.)</t>
        </is>
      </c>
      <c r="F4417" s="5" t="inlineStr">
        <is>
          <t>Amount (Rs.)</t>
        </is>
      </c>
      <c r="G4417" s="5" t="inlineStr">
        <is>
          <t>Note</t>
        </is>
      </c>
    </row>
    <row r="4418">
      <c r="A4418" s="22" t="inlineStr">
        <is>
          <t>8738</t>
        </is>
      </c>
      <c r="B4418" s="11" t="inlineStr">
        <is>
          <t>Factory made door frame fire rated ( 60 minutes) made with 16 SWG G.I. Sheet of section 143 mm x 57 mm duly filled with vermuculite based concrete mix</t>
        </is>
      </c>
      <c r="C4418" s="22" t="inlineStr">
        <is>
          <t>metre</t>
        </is>
      </c>
      <c r="D4418" s="23" t="n">
        <v>9.1</v>
      </c>
      <c r="E4418" s="24" t="n">
        <v>1050</v>
      </c>
      <c r="F4418" s="24">
        <f>D4418*E4418</f>
        <v/>
      </c>
      <c r="G4418" s="22" t="n"/>
    </row>
    <row r="4419">
      <c r="A4419" s="22" t="inlineStr">
        <is>
          <t>9999</t>
        </is>
      </c>
      <c r="B4419" s="11" t="inlineStr">
        <is>
          <t>Labour for fixing</t>
        </is>
      </c>
      <c r="C4419" s="22" t="inlineStr">
        <is>
          <t>L.S.</t>
        </is>
      </c>
      <c r="D4419" s="23" t="n">
        <v>130</v>
      </c>
      <c r="E4419" s="24" t="n">
        <v>2</v>
      </c>
      <c r="F4419" s="24">
        <f>D4419*E4419</f>
        <v/>
      </c>
      <c r="G4419" s="22" t="n"/>
    </row>
    <row r="4420">
      <c r="A4420" s="22" t="inlineStr">
        <is>
          <t>9988</t>
        </is>
      </c>
      <c r="B4420" s="11" t="inlineStr">
        <is>
          <t>Sundries and carriage</t>
        </is>
      </c>
      <c r="C4420" s="22" t="inlineStr">
        <is>
          <t>L.S.</t>
        </is>
      </c>
      <c r="D4420" s="23" t="n">
        <v>4.23</v>
      </c>
      <c r="E4420" s="24" t="n">
        <v>2</v>
      </c>
      <c r="F4420" s="24">
        <f>D4420*E4420</f>
        <v/>
      </c>
      <c r="G4420" s="22" t="n"/>
    </row>
    <row r="4421">
      <c r="A4421" s="8" t="inlineStr">
        <is>
          <t>Calculated W - SUM of the Amount column above</t>
        </is>
      </c>
      <c r="B4421" s="9" t="n"/>
      <c r="C4421" s="9" t="n"/>
      <c r="D4421" s="9" t="n"/>
      <c r="E4421" s="9" t="n"/>
      <c r="F4421" s="25">
        <f>SUM(F4418:F4420)</f>
        <v/>
      </c>
      <c r="G4421" s="9" t="n"/>
    </row>
    <row r="4422">
      <c r="A4422" s="26" t="inlineStr">
        <is>
          <t>W as printed in the DAR</t>
        </is>
      </c>
      <c r="B4422" s="22" t="n"/>
      <c r="C4422" s="22" t="n"/>
      <c r="D4422" s="22" t="n"/>
      <c r="E4422" s="22" t="n"/>
      <c r="F4422" s="27" t="n">
        <v>9823.459999999999</v>
      </c>
      <c r="G4422" s="22" t="n"/>
    </row>
    <row r="4423">
      <c r="A4423" s="26" t="inlineStr">
        <is>
          <t>Difference (calculated - printed)</t>
        </is>
      </c>
      <c r="B4423" s="22" t="n"/>
      <c r="C4423" s="22" t="n"/>
      <c r="D4423" s="22" t="n"/>
      <c r="E4423" s="22" t="n"/>
      <c r="F4423" s="27">
        <f>F4421-F4422</f>
        <v/>
      </c>
      <c r="G4423" s="22" t="n"/>
    </row>
    <row r="4424">
      <c r="A4424" s="29" t="inlineStr">
        <is>
          <t>SAY (Rs.) - final DAR rate as printed (fixed value, not computed)</t>
        </is>
      </c>
      <c r="B4424" s="30" t="n"/>
      <c r="C4424" s="30" t="n"/>
      <c r="D4424" s="30" t="n"/>
      <c r="E4424" s="30" t="n"/>
      <c r="F4424" s="31" t="n">
        <v>1444.3</v>
      </c>
      <c r="G4424" s="30" t="n"/>
    </row>
    <row r="4426" ht="91" customHeight="1">
      <c r="A4426" s="18" t="inlineStr">
        <is>
          <t>9.137</t>
        </is>
      </c>
      <c r="B4426" s="19" t="inlineStr">
        <is>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gm/m2) duly filled FR insulation material and fixing with necessary stainless steel ball bearing hinges of approved make, including applying a coat of approved fire resistant primer etc. all complete as per direction of Engineer-in-charge (panneling to be paid for separately).</t>
        </is>
      </c>
      <c r="C4426" s="20" t="n"/>
      <c r="D4426" s="20" t="n"/>
      <c r="E4426" s="20" t="n"/>
      <c r="F4426" s="20" t="n"/>
      <c r="G4426" s="20" t="n"/>
    </row>
    <row r="4427">
      <c r="A4427" s="21" t="inlineStr">
        <is>
          <t>Details of cost for 3.5 sqm   |   Source: CivilDAR_2019_Vol_1.pdf, page 617</t>
        </is>
      </c>
    </row>
    <row r="4428">
      <c r="A4428" s="5" t="inlineStr">
        <is>
          <t>Code</t>
        </is>
      </c>
      <c r="B4428" s="5" t="inlineStr">
        <is>
          <t>Description</t>
        </is>
      </c>
      <c r="C4428" s="5" t="inlineStr">
        <is>
          <t>Unit</t>
        </is>
      </c>
      <c r="D4428" s="5" t="inlineStr">
        <is>
          <t>Quantity</t>
        </is>
      </c>
      <c r="E4428" s="5" t="inlineStr">
        <is>
          <t>Rate (Rs.)</t>
        </is>
      </c>
      <c r="F4428" s="5" t="inlineStr">
        <is>
          <t>Amount (Rs.)</t>
        </is>
      </c>
      <c r="G4428" s="5" t="inlineStr">
        <is>
          <t>Note</t>
        </is>
      </c>
    </row>
    <row r="4429">
      <c r="A4429" s="22" t="inlineStr">
        <is>
          <t>8739</t>
        </is>
      </c>
      <c r="B4429" s="11" t="inlineStr">
        <is>
          <t>Fire rated door shuttere made with 16 SWG G.I. sheet( 60 minutes) without panel</t>
        </is>
      </c>
      <c r="C4429" s="22" t="inlineStr">
        <is>
          <t>sqm</t>
        </is>
      </c>
      <c r="D4429" s="23" t="n">
        <v>3.5</v>
      </c>
      <c r="E4429" s="24" t="n">
        <v>4500</v>
      </c>
      <c r="F4429" s="24">
        <f>D4429*E4429</f>
        <v/>
      </c>
      <c r="G4429" s="22" t="n"/>
    </row>
    <row r="4430">
      <c r="A4430" s="22" t="inlineStr">
        <is>
          <t>9999</t>
        </is>
      </c>
      <c r="B4430" s="11" t="inlineStr">
        <is>
          <t>Labour for fixing</t>
        </is>
      </c>
      <c r="C4430" s="22" t="inlineStr">
        <is>
          <t>L.S.</t>
        </is>
      </c>
      <c r="D4430" s="23" t="n">
        <v>180</v>
      </c>
      <c r="E4430" s="24" t="n">
        <v>2</v>
      </c>
      <c r="F4430" s="24">
        <f>D4430*E4430</f>
        <v/>
      </c>
      <c r="G4430" s="22" t="n"/>
    </row>
    <row r="4431">
      <c r="A4431" s="22" t="inlineStr">
        <is>
          <t>9988</t>
        </is>
      </c>
      <c r="B4431" s="11" t="inlineStr">
        <is>
          <t>Sundries &amp; Carriage</t>
        </is>
      </c>
      <c r="C4431" s="22" t="inlineStr">
        <is>
          <t>L.S.</t>
        </is>
      </c>
      <c r="D4431" s="23" t="n">
        <v>10</v>
      </c>
      <c r="E4431" s="24" t="n">
        <v>2</v>
      </c>
      <c r="F4431" s="24">
        <f>D4431*E4431</f>
        <v/>
      </c>
      <c r="G4431" s="22" t="n"/>
    </row>
    <row r="4432">
      <c r="A4432" s="8" t="inlineStr">
        <is>
          <t>Calculated W - SUM of the Amount column above</t>
        </is>
      </c>
      <c r="B4432" s="9" t="n"/>
      <c r="C4432" s="9" t="n"/>
      <c r="D4432" s="9" t="n"/>
      <c r="E4432" s="9" t="n"/>
      <c r="F4432" s="25">
        <f>SUM(F4429:F4431)</f>
        <v/>
      </c>
      <c r="G4432" s="9" t="n"/>
    </row>
    <row r="4433">
      <c r="A4433" s="26" t="inlineStr">
        <is>
          <t>W as printed in the DAR</t>
        </is>
      </c>
      <c r="B4433" s="22" t="n"/>
      <c r="C4433" s="22" t="n"/>
      <c r="D4433" s="22" t="n"/>
      <c r="E4433" s="22" t="n"/>
      <c r="F4433" s="27" t="n">
        <v>16130</v>
      </c>
      <c r="G4433" s="22" t="n"/>
    </row>
    <row r="4434">
      <c r="A4434" s="26" t="inlineStr">
        <is>
          <t>Difference (calculated - printed)</t>
        </is>
      </c>
      <c r="B4434" s="22" t="n"/>
      <c r="C4434" s="22" t="n"/>
      <c r="D4434" s="22" t="n"/>
      <c r="E4434" s="22" t="n"/>
      <c r="F4434" s="27">
        <f>F4432-F4433</f>
        <v/>
      </c>
      <c r="G4434" s="22" t="n"/>
    </row>
    <row r="4435">
      <c r="A4435" s="29" t="inlineStr">
        <is>
          <t>SAY (Rs.) - final DAR rate as printed (fixed value, not computed)</t>
        </is>
      </c>
      <c r="B4435" s="30" t="n"/>
      <c r="C4435" s="30" t="n"/>
      <c r="D4435" s="30" t="n"/>
      <c r="E4435" s="30" t="n"/>
      <c r="F4435" s="31" t="n">
        <v>6166</v>
      </c>
      <c r="G4435" s="30" t="n"/>
    </row>
    <row r="4437" ht="120" customHeight="1">
      <c r="A4437" s="18" t="inlineStr">
        <is>
          <t>9.138</t>
        </is>
      </c>
      <c r="B4437" s="19"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t>
        </is>
      </c>
      <c r="C4437" s="20" t="n"/>
      <c r="D4437" s="20" t="n"/>
      <c r="E4437" s="20" t="n"/>
      <c r="F4437" s="20" t="n"/>
      <c r="G4437" s="20" t="n"/>
    </row>
    <row r="4438" ht="18.5" customHeight="1">
      <c r="A4438" s="20" t="n"/>
      <c r="B4438" s="19" t="inlineStr">
        <is>
          <t>accredited</t>
        </is>
      </c>
      <c r="C4438" s="20" t="n"/>
      <c r="D4438" s="20" t="n"/>
      <c r="E4438" s="20" t="n"/>
      <c r="F4438" s="20" t="n"/>
      <c r="G4438" s="20" t="n"/>
    </row>
    <row r="4439">
      <c r="A4439" s="21" t="inlineStr">
        <is>
          <t>Details of cost for 2.46 sqm   |   Source: CivilDAR_2019_Vol_1.pdf, page 618</t>
        </is>
      </c>
    </row>
    <row r="4440">
      <c r="A4440" s="5" t="inlineStr">
        <is>
          <t>Code</t>
        </is>
      </c>
      <c r="B4440" s="5" t="inlineStr">
        <is>
          <t>Description</t>
        </is>
      </c>
      <c r="C4440" s="5" t="inlineStr">
        <is>
          <t>Unit</t>
        </is>
      </c>
      <c r="D4440" s="5" t="inlineStr">
        <is>
          <t>Quantity</t>
        </is>
      </c>
      <c r="E4440" s="5" t="inlineStr">
        <is>
          <t>Rate (Rs.)</t>
        </is>
      </c>
      <c r="F4440" s="5" t="inlineStr">
        <is>
          <t>Amount (Rs.)</t>
        </is>
      </c>
      <c r="G4440" s="5" t="inlineStr">
        <is>
          <t>Note</t>
        </is>
      </c>
    </row>
    <row r="4441">
      <c r="A4441" s="22" t="inlineStr">
        <is>
          <t>8760</t>
        </is>
      </c>
      <c r="B4441" s="11" t="inlineStr">
        <is>
          <t>Glass panes of required thickness having 60 minutes of fire resistance both integrity and radiation control (EW 60) and minimum 20 minutes of Insulation (EI 20)</t>
        </is>
      </c>
      <c r="C4441" s="22" t="inlineStr">
        <is>
          <t>sqm</t>
        </is>
      </c>
      <c r="D4441" s="23" t="n">
        <v>2.46</v>
      </c>
      <c r="E4441" s="24" t="n">
        <v>22500</v>
      </c>
      <c r="F4441" s="24">
        <f>D4441*E4441</f>
        <v/>
      </c>
      <c r="G4441" s="22" t="n"/>
    </row>
    <row r="4442">
      <c r="A4442" s="22" t="inlineStr">
        <is>
          <t>2641</t>
        </is>
      </c>
      <c r="B4442" s="11" t="inlineStr">
        <is>
          <t>G.I. U beading of 1.6 mm thick G.I. Sheet with M4x38mm SS screws</t>
        </is>
      </c>
      <c r="C4442" s="22" t="inlineStr">
        <is>
          <t>metre</t>
        </is>
      </c>
      <c r="D4442" s="23" t="n">
        <v>9.91</v>
      </c>
      <c r="E4442" s="24" t="n">
        <v>245</v>
      </c>
      <c r="F4442" s="24">
        <f>D4442*E4442</f>
        <v/>
      </c>
      <c r="G4442" s="22" t="n"/>
    </row>
    <row r="4443">
      <c r="A4443" s="22" t="inlineStr">
        <is>
          <t>2642</t>
        </is>
      </c>
      <c r="B4443" s="11" t="inlineStr">
        <is>
          <t>Ceramic tape 5x20 mm size</t>
        </is>
      </c>
      <c r="C4443" s="22" t="inlineStr">
        <is>
          <t>metre</t>
        </is>
      </c>
      <c r="D4443" s="23" t="n">
        <v>19.82</v>
      </c>
      <c r="E4443" s="24" t="n">
        <v>410</v>
      </c>
      <c r="F4443" s="24">
        <f>D4443*E4443</f>
        <v/>
      </c>
      <c r="G4443" s="22" t="n"/>
    </row>
    <row r="4444">
      <c r="A4444" s="22" t="inlineStr">
        <is>
          <t>9999</t>
        </is>
      </c>
      <c r="B4444" s="11" t="inlineStr">
        <is>
          <t>For fixing in position all complete</t>
        </is>
      </c>
      <c r="C4444" s="22" t="inlineStr">
        <is>
          <t>L.S.</t>
        </is>
      </c>
      <c r="D4444" s="23" t="n">
        <v>180</v>
      </c>
      <c r="E4444" s="24" t="n">
        <v>2</v>
      </c>
      <c r="F4444" s="24">
        <f>D4444*E4444</f>
        <v/>
      </c>
      <c r="G4444" s="22" t="n"/>
    </row>
    <row r="4445">
      <c r="A4445" s="22" t="inlineStr">
        <is>
          <t>9999</t>
        </is>
      </c>
      <c r="B4445" s="11" t="inlineStr">
        <is>
          <t>Sundries and carriage &amp; Calcium Silicate Blocks</t>
        </is>
      </c>
      <c r="C4445" s="22" t="inlineStr">
        <is>
          <t>L.S.</t>
        </is>
      </c>
      <c r="D4445" s="23" t="n">
        <v>10</v>
      </c>
      <c r="E4445" s="24" t="n">
        <v>2</v>
      </c>
      <c r="F4445" s="24">
        <f>D4445*E4445</f>
        <v/>
      </c>
      <c r="G4445" s="22" t="n"/>
    </row>
    <row r="4446">
      <c r="A4446" s="8" t="inlineStr">
        <is>
          <t>Calculated W - SUM of the Amount column above</t>
        </is>
      </c>
      <c r="B4446" s="9" t="n"/>
      <c r="C4446" s="9" t="n"/>
      <c r="D4446" s="9" t="n"/>
      <c r="E4446" s="9" t="n"/>
      <c r="F4446" s="25">
        <f>SUM(F4441:F4445)</f>
        <v/>
      </c>
      <c r="G4446" s="9" t="n"/>
    </row>
    <row r="4447">
      <c r="A4447" s="26" t="inlineStr">
        <is>
          <t>W as printed in the DAR</t>
        </is>
      </c>
      <c r="B4447" s="22" t="n"/>
      <c r="C4447" s="22" t="n"/>
      <c r="D4447" s="22" t="n"/>
      <c r="E4447" s="22" t="n"/>
      <c r="F4447" s="27" t="n">
        <v>66284.14999999999</v>
      </c>
      <c r="G4447" s="22" t="n"/>
    </row>
    <row r="4448">
      <c r="A4448" s="26" t="inlineStr">
        <is>
          <t>Difference (calculated - printed)</t>
        </is>
      </c>
      <c r="B4448" s="22" t="n"/>
      <c r="C4448" s="22" t="n"/>
      <c r="D4448" s="22" t="n"/>
      <c r="E4448" s="22" t="n"/>
      <c r="F4448" s="27">
        <f>F4446-F4447</f>
        <v/>
      </c>
      <c r="G4448" s="22" t="n"/>
    </row>
    <row r="4449">
      <c r="A4449" s="29" t="inlineStr">
        <is>
          <t>SAY (Rs.) - final DAR rate as printed (fixed value, not computed)</t>
        </is>
      </c>
      <c r="B4449" s="30" t="n"/>
      <c r="C4449" s="30" t="n"/>
      <c r="D4449" s="30" t="n"/>
      <c r="E4449" s="30" t="n"/>
      <c r="F4449" s="31" t="n">
        <v>36050.45</v>
      </c>
      <c r="G4449" s="30" t="n"/>
    </row>
    <row r="4451" ht="33" customHeight="1">
      <c r="A4451" s="18" t="inlineStr">
        <is>
          <t>9.139</t>
        </is>
      </c>
      <c r="B4451" s="19" t="inlineStr">
        <is>
          <t>Providing and fixing panic bar / latch (Double point) fitted with a single body, Trim Latch &amp; Lock on back side of the Panic Latch of reputed brand and manufacture to be approved by the Engineer- in- charge, all complete.</t>
        </is>
      </c>
      <c r="C4451" s="20" t="n"/>
      <c r="D4451" s="20" t="n"/>
      <c r="E4451" s="20" t="n"/>
      <c r="F4451" s="20" t="n"/>
      <c r="G4451" s="20" t="n"/>
    </row>
    <row r="4452">
      <c r="A4452" s="21" t="inlineStr">
        <is>
          <t>Details of cost for 1 no   |   Source: CivilDAR_2019_Vol_1.pdf, page 619</t>
        </is>
      </c>
    </row>
    <row r="4453">
      <c r="A4453" s="5" t="inlineStr">
        <is>
          <t>Code</t>
        </is>
      </c>
      <c r="B4453" s="5" t="inlineStr">
        <is>
          <t>Description</t>
        </is>
      </c>
      <c r="C4453" s="5" t="inlineStr">
        <is>
          <t>Unit</t>
        </is>
      </c>
      <c r="D4453" s="5" t="inlineStr">
        <is>
          <t>Quantity</t>
        </is>
      </c>
      <c r="E4453" s="5" t="inlineStr">
        <is>
          <t>Rate (Rs.)</t>
        </is>
      </c>
      <c r="F4453" s="5" t="inlineStr">
        <is>
          <t>Amount (Rs.)</t>
        </is>
      </c>
      <c r="G4453" s="5" t="inlineStr">
        <is>
          <t>Note</t>
        </is>
      </c>
    </row>
    <row r="4454">
      <c r="A4454" s="22" t="inlineStr">
        <is>
          <t>8744</t>
        </is>
      </c>
      <c r="B4454" s="11" t="inlineStr">
        <is>
          <t>Panic Bar / latch (Double point)</t>
        </is>
      </c>
      <c r="C4454" s="22" t="inlineStr">
        <is>
          <t>each</t>
        </is>
      </c>
      <c r="D4454" s="23" t="n">
        <v>1</v>
      </c>
      <c r="E4454" s="24" t="n">
        <v>5200</v>
      </c>
      <c r="F4454" s="24">
        <f>D4454*E4454</f>
        <v/>
      </c>
      <c r="G4454" s="22" t="n"/>
    </row>
    <row r="4455">
      <c r="A4455" s="22" t="inlineStr">
        <is>
          <t>0111</t>
        </is>
      </c>
      <c r="B4455" s="11" t="inlineStr">
        <is>
          <t>Carpenter 1st class</t>
        </is>
      </c>
      <c r="C4455" s="22" t="inlineStr">
        <is>
          <t>day</t>
        </is>
      </c>
      <c r="D4455" s="23" t="n">
        <v>0.17</v>
      </c>
      <c r="E4455" s="24" t="n">
        <v>738</v>
      </c>
      <c r="F4455" s="24">
        <f>D4455*E4455</f>
        <v/>
      </c>
      <c r="G4455" s="22" t="n"/>
    </row>
    <row r="4456">
      <c r="A4456" s="22" t="inlineStr">
        <is>
          <t>9977</t>
        </is>
      </c>
      <c r="B4456" s="11" t="inlineStr">
        <is>
          <t>Sundries (screws and carriage)</t>
        </is>
      </c>
      <c r="C4456" s="22" t="inlineStr">
        <is>
          <t>L.S.</t>
        </is>
      </c>
      <c r="D4456" s="23" t="n">
        <v>3.64</v>
      </c>
      <c r="E4456" s="24" t="n">
        <v>2</v>
      </c>
      <c r="F4456" s="24">
        <f>D4456*E4456</f>
        <v/>
      </c>
      <c r="G4456" s="22" t="n"/>
    </row>
    <row r="4457">
      <c r="A4457" s="8" t="inlineStr">
        <is>
          <t>Calculated W - SUM of the Amount column above</t>
        </is>
      </c>
      <c r="B4457" s="9" t="n"/>
      <c r="C4457" s="9" t="n"/>
      <c r="D4457" s="9" t="n"/>
      <c r="E4457" s="9" t="n"/>
      <c r="F4457" s="25">
        <f>SUM(F4454:F4456)</f>
        <v/>
      </c>
      <c r="G4457" s="9" t="n"/>
    </row>
    <row r="4458">
      <c r="A4458" s="26" t="inlineStr">
        <is>
          <t>W as printed in the DAR</t>
        </is>
      </c>
      <c r="B4458" s="22" t="n"/>
      <c r="C4458" s="22" t="n"/>
      <c r="D4458" s="22" t="n"/>
      <c r="E4458" s="22" t="n"/>
      <c r="F4458" s="27" t="n">
        <v>5332.74</v>
      </c>
      <c r="G4458" s="22" t="n"/>
    </row>
    <row r="4459">
      <c r="A4459" s="26" t="inlineStr">
        <is>
          <t>Difference (calculated - printed)</t>
        </is>
      </c>
      <c r="B4459" s="22" t="n"/>
      <c r="C4459" s="22" t="n"/>
      <c r="D4459" s="22" t="n"/>
      <c r="E4459" s="22" t="n"/>
      <c r="F4459" s="27">
        <f>F4457-F4458</f>
        <v/>
      </c>
      <c r="G4459" s="22" t="n"/>
    </row>
    <row r="4460">
      <c r="A4460" s="29" t="inlineStr">
        <is>
          <t>SAY (Rs.) - final DAR rate as printed (fixed value, not computed)</t>
        </is>
      </c>
      <c r="B4460" s="30" t="n"/>
      <c r="C4460" s="30" t="n"/>
      <c r="D4460" s="30" t="n"/>
      <c r="E4460" s="30" t="n"/>
      <c r="F4460" s="31" t="n">
        <v>7134.85</v>
      </c>
      <c r="G4460" s="30" t="n"/>
    </row>
    <row r="4462" ht="47.5" customHeight="1">
      <c r="A4462" s="8" t="inlineStr">
        <is>
          <t>9.140</t>
        </is>
      </c>
      <c r="B4462" s="17" t="inlineStr">
        <is>
          <t>Providing and fixing plain lining with necessary screws/nuts &amp; bolts/ nails, including a coat of approved primer on one face, and fixed on wooden /steel frame work, complete as per direction of Engineer-in- charge (Frame work shall be paid for separately).</t>
        </is>
      </c>
      <c r="C4462" s="9" t="n"/>
      <c r="D4462" s="9" t="n"/>
      <c r="E4462" s="9" t="n"/>
      <c r="F4462" s="9" t="n"/>
      <c r="G4462" s="9" t="n"/>
    </row>
    <row r="4463" ht="18.5" customHeight="1">
      <c r="A4463" s="18" t="inlineStr">
        <is>
          <t>9.140.1</t>
        </is>
      </c>
      <c r="B4463" s="19" t="inlineStr">
        <is>
          <t>12mm thick commercial ply conforming to IS : 1328 BWR type</t>
        </is>
      </c>
      <c r="C4463" s="20" t="n"/>
      <c r="D4463" s="20" t="n"/>
      <c r="E4463" s="20" t="n"/>
      <c r="F4463" s="20" t="n"/>
      <c r="G4463" s="20" t="n"/>
    </row>
    <row r="4464">
      <c r="A4464" s="21" t="inlineStr">
        <is>
          <t>Details of cost for 10 sqm   |   Source: CivilDAR_2019_Vol_1.pdf, page 620</t>
        </is>
      </c>
    </row>
    <row r="4465">
      <c r="A4465" s="5" t="inlineStr">
        <is>
          <t>Code</t>
        </is>
      </c>
      <c r="B4465" s="5" t="inlineStr">
        <is>
          <t>Description</t>
        </is>
      </c>
      <c r="C4465" s="5" t="inlineStr">
        <is>
          <t>Unit</t>
        </is>
      </c>
      <c r="D4465" s="5" t="inlineStr">
        <is>
          <t>Quantity</t>
        </is>
      </c>
      <c r="E4465" s="5" t="inlineStr">
        <is>
          <t>Rate (Rs.)</t>
        </is>
      </c>
      <c r="F4465" s="5" t="inlineStr">
        <is>
          <t>Amount (Rs.)</t>
        </is>
      </c>
      <c r="G4465" s="5" t="inlineStr">
        <is>
          <t>Note</t>
        </is>
      </c>
    </row>
    <row r="4466">
      <c r="A4466" s="22" t="inlineStr">
        <is>
          <t>2413</t>
        </is>
      </c>
      <c r="B4466" s="11" t="inlineStr">
        <is>
          <t>12 mm commercial ply</t>
        </is>
      </c>
      <c r="C4466" s="22" t="inlineStr">
        <is>
          <t>sqm</t>
        </is>
      </c>
      <c r="D4466" s="23" t="n">
        <v>11</v>
      </c>
      <c r="E4466" s="24" t="n">
        <v>500</v>
      </c>
      <c r="F4466" s="24">
        <f>D4466*E4466</f>
        <v/>
      </c>
      <c r="G4466" s="22" t="n"/>
    </row>
    <row r="4467">
      <c r="A4467" s="22" t="inlineStr">
        <is>
          <t>13.50.1</t>
        </is>
      </c>
      <c r="B4467" s="11" t="inlineStr">
        <is>
          <t>Rate as per item 13.50.1 - Applying priming coat - With ready mixed pink or Grey primer of approved brand and manufacture on wood work...</t>
        </is>
      </c>
      <c r="C4467" s="22" t="inlineStr">
        <is>
          <t>sqm</t>
        </is>
      </c>
      <c r="D4467" s="23" t="n">
        <v>10</v>
      </c>
      <c r="E4467" s="24" t="n">
        <v>57.05</v>
      </c>
      <c r="F4467" s="24">
        <f>D4467*E4467</f>
        <v/>
      </c>
      <c r="G4467" s="22" t="n"/>
    </row>
    <row r="4468">
      <c r="A4468" s="22" t="inlineStr">
        <is>
          <t>9999</t>
        </is>
      </c>
      <c r="B4468" s="11" t="inlineStr">
        <is>
          <t>Sundries and screws etc.</t>
        </is>
      </c>
      <c r="C4468" s="22" t="inlineStr">
        <is>
          <t>L.S.</t>
        </is>
      </c>
      <c r="D4468" s="23" t="n">
        <v>40.1</v>
      </c>
      <c r="E4468" s="24" t="n">
        <v>2</v>
      </c>
      <c r="F4468" s="24">
        <f>D4468*E4468</f>
        <v/>
      </c>
      <c r="G4468" s="22" t="n"/>
    </row>
    <row r="4469">
      <c r="A4469" s="22" t="inlineStr">
        <is>
          <t>0156</t>
        </is>
      </c>
      <c r="B4469" s="11" t="inlineStr">
        <is>
          <t>Carpenter (average)</t>
        </is>
      </c>
      <c r="C4469" s="22" t="inlineStr">
        <is>
          <t>day</t>
        </is>
      </c>
      <c r="D4469" s="23" t="n">
        <v>1.28</v>
      </c>
      <c r="E4469" s="24" t="n">
        <v>709</v>
      </c>
      <c r="F4469" s="24">
        <f>D4469*E4469</f>
        <v/>
      </c>
      <c r="G4469" s="22" t="n"/>
    </row>
    <row r="4470">
      <c r="A4470" s="22" t="inlineStr">
        <is>
          <t>0114</t>
        </is>
      </c>
      <c r="B4470" s="11" t="inlineStr">
        <is>
          <t>Beldar</t>
        </is>
      </c>
      <c r="C4470" s="22" t="inlineStr">
        <is>
          <t>day</t>
        </is>
      </c>
      <c r="D4470" s="23" t="n">
        <v>1.43</v>
      </c>
      <c r="E4470" s="24" t="n">
        <v>558</v>
      </c>
      <c r="F4470" s="24">
        <f>D4470*E4470</f>
        <v/>
      </c>
      <c r="G4470" s="22" t="n"/>
    </row>
    <row r="4471">
      <c r="A4471" s="22" t="inlineStr">
        <is>
          <t>9988</t>
        </is>
      </c>
      <c r="B4471" s="11" t="inlineStr">
        <is>
          <t>Sundries and carriage</t>
        </is>
      </c>
      <c r="C4471" s="22" t="inlineStr">
        <is>
          <t>L.S.</t>
        </is>
      </c>
      <c r="D4471" s="23" t="n">
        <v>33.56</v>
      </c>
      <c r="E4471" s="24" t="n">
        <v>2</v>
      </c>
      <c r="F4471" s="24">
        <f>D4471*E4471</f>
        <v/>
      </c>
      <c r="G4471" s="22" t="n"/>
    </row>
    <row r="4472">
      <c r="A4472" s="8" t="inlineStr">
        <is>
          <t>Calculated W - SUM of the Amount column above</t>
        </is>
      </c>
      <c r="B4472" s="9" t="n"/>
      <c r="C4472" s="9" t="n"/>
      <c r="D4472" s="9" t="n"/>
      <c r="E4472" s="9" t="n"/>
      <c r="F4472" s="25">
        <f>SUM(F4466:F4471)</f>
        <v/>
      </c>
      <c r="G4472" s="9" t="n"/>
    </row>
    <row r="4473">
      <c r="A4473" s="26" t="inlineStr">
        <is>
          <t>W as printed in the DAR</t>
        </is>
      </c>
      <c r="B4473" s="22" t="n"/>
      <c r="C4473" s="22" t="n"/>
      <c r="D4473" s="22" t="n"/>
      <c r="E4473" s="22" t="n"/>
      <c r="F4473" s="27" t="n">
        <v>7923.28</v>
      </c>
      <c r="G4473" s="22" t="n"/>
    </row>
    <row r="4474">
      <c r="A4474" s="26" t="inlineStr">
        <is>
          <t>Difference (calculated - printed)</t>
        </is>
      </c>
      <c r="B4474" s="22" t="n"/>
      <c r="C4474" s="22" t="n"/>
      <c r="D4474" s="22" t="n"/>
      <c r="E4474" s="22" t="n"/>
      <c r="F4474" s="27">
        <f>F4472-F4473</f>
        <v/>
      </c>
      <c r="G4474" s="22" t="n"/>
    </row>
    <row r="4475">
      <c r="A4475" s="29" t="inlineStr">
        <is>
          <t>SAY (Rs.) - final DAR rate as printed (fixed value, not computed)</t>
        </is>
      </c>
      <c r="B4475" s="30" t="n"/>
      <c r="C4475" s="30" t="n"/>
      <c r="D4475" s="30" t="n"/>
      <c r="E4475" s="30" t="n"/>
      <c r="F4475" s="31" t="n">
        <v>1040.8</v>
      </c>
      <c r="G4475" s="30" t="n"/>
    </row>
    <row r="4477" ht="62" customHeight="1">
      <c r="A4477" s="18" t="inlineStr">
        <is>
          <t>9.141</t>
        </is>
      </c>
      <c r="B4477" s="19" t="inlineStr">
        <is>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t>
        </is>
      </c>
      <c r="C4477" s="20" t="n"/>
      <c r="D4477" s="20" t="n"/>
      <c r="E4477" s="20" t="n"/>
      <c r="F4477" s="20" t="n"/>
      <c r="G4477" s="20" t="n"/>
    </row>
    <row r="4478">
      <c r="A4478" s="21" t="inlineStr">
        <is>
          <t>Details of cost for 5 metres   |   Source: CivilDAR_2019_Vol_1.pdf, page 620</t>
        </is>
      </c>
    </row>
    <row r="4479">
      <c r="A4479" s="5" t="inlineStr">
        <is>
          <t>Code</t>
        </is>
      </c>
      <c r="B4479" s="5" t="inlineStr">
        <is>
          <t>Description</t>
        </is>
      </c>
      <c r="C4479" s="5" t="inlineStr">
        <is>
          <t>Unit</t>
        </is>
      </c>
      <c r="D4479" s="5" t="inlineStr">
        <is>
          <t>Quantity</t>
        </is>
      </c>
      <c r="E4479" s="5" t="inlineStr">
        <is>
          <t>Rate (Rs.)</t>
        </is>
      </c>
      <c r="F4479" s="5" t="inlineStr">
        <is>
          <t>Amount (Rs.)</t>
        </is>
      </c>
      <c r="G4479" s="5" t="inlineStr">
        <is>
          <t>Note</t>
        </is>
      </c>
    </row>
    <row r="4480">
      <c r="A4480" s="22" t="inlineStr">
        <is>
          <t>8014</t>
        </is>
      </c>
      <c r="B4480" s="11" t="inlineStr">
        <is>
          <t>Factory made door frame of size 50x47mm with wall thickness 5 mm made of single piecs extruded profile</t>
        </is>
      </c>
      <c r="C4480" s="22" t="inlineStr">
        <is>
          <t>meter</t>
        </is>
      </c>
      <c r="D4480" s="23" t="n">
        <v>5</v>
      </c>
      <c r="E4480" s="24" t="n">
        <v>298.74</v>
      </c>
      <c r="F4480" s="24">
        <f>D4480*E4480</f>
        <v/>
      </c>
      <c r="G4480" s="22" t="n"/>
    </row>
    <row r="4481">
      <c r="A4481" s="22" t="inlineStr">
        <is>
          <t>0156</t>
        </is>
      </c>
      <c r="B4481" s="11" t="inlineStr">
        <is>
          <t>Carpenter (average)</t>
        </is>
      </c>
      <c r="C4481" s="22" t="inlineStr">
        <is>
          <t>day</t>
        </is>
      </c>
      <c r="D4481" s="23" t="n">
        <v>0.15</v>
      </c>
      <c r="E4481" s="24" t="n">
        <v>709</v>
      </c>
      <c r="F4481" s="24">
        <f>D4481*E4481</f>
        <v/>
      </c>
      <c r="G4481" s="22" t="n"/>
    </row>
    <row r="4482">
      <c r="A4482" s="22" t="inlineStr">
        <is>
          <t>0114</t>
        </is>
      </c>
      <c r="B4482" s="11" t="inlineStr">
        <is>
          <t>Beldar</t>
        </is>
      </c>
      <c r="C4482" s="22" t="inlineStr">
        <is>
          <t>day</t>
        </is>
      </c>
      <c r="D4482" s="23" t="n">
        <v>0.15</v>
      </c>
      <c r="E4482" s="24" t="n">
        <v>558</v>
      </c>
      <c r="F4482" s="24">
        <f>D4482*E4482</f>
        <v/>
      </c>
      <c r="G4482" s="22" t="n"/>
    </row>
    <row r="4483">
      <c r="A4483" s="22" t="inlineStr">
        <is>
          <t>9999</t>
        </is>
      </c>
      <c r="B4483" s="11" t="inlineStr">
        <is>
          <t>Sundries</t>
        </is>
      </c>
      <c r="C4483" s="22" t="inlineStr">
        <is>
          <t>L.S.</t>
        </is>
      </c>
      <c r="D4483" s="23" t="n">
        <v>11.65</v>
      </c>
      <c r="E4483" s="24" t="n">
        <v>2</v>
      </c>
      <c r="F4483" s="24">
        <f>D4483*E4483</f>
        <v/>
      </c>
      <c r="G4483" s="22" t="n"/>
    </row>
    <row r="4484">
      <c r="A4484" s="8" t="inlineStr">
        <is>
          <t>Calculated W - SUM of the Amount column above</t>
        </is>
      </c>
      <c r="B4484" s="9" t="n"/>
      <c r="C4484" s="9" t="n"/>
      <c r="D4484" s="9" t="n"/>
      <c r="E4484" s="9" t="n"/>
      <c r="F4484" s="25">
        <f>SUM(F4480:F4483)</f>
        <v/>
      </c>
      <c r="G4484" s="9" t="n"/>
    </row>
    <row r="4485">
      <c r="A4485" s="26" t="inlineStr">
        <is>
          <t>W as printed in the DAR</t>
        </is>
      </c>
      <c r="B4485" s="22" t="n"/>
      <c r="C4485" s="22" t="n"/>
      <c r="D4485" s="22" t="n"/>
      <c r="E4485" s="22" t="n"/>
      <c r="F4485" s="27" t="n">
        <v>1707.05</v>
      </c>
      <c r="G4485" s="22" t="n"/>
    </row>
    <row r="4486">
      <c r="A4486" s="26" t="inlineStr">
        <is>
          <t>Difference (calculated - printed)</t>
        </is>
      </c>
      <c r="B4486" s="22" t="n"/>
      <c r="C4486" s="22" t="n"/>
      <c r="D4486" s="22" t="n"/>
      <c r="E4486" s="22" t="n"/>
      <c r="F4486" s="27">
        <f>F4484-F4485</f>
        <v/>
      </c>
      <c r="G4486" s="22" t="n"/>
    </row>
    <row r="4487">
      <c r="A4487" s="29" t="inlineStr">
        <is>
          <t>SAY (Rs.) - final DAR rate as printed (fixed value, not computed)</t>
        </is>
      </c>
      <c r="B4487" s="30" t="n"/>
      <c r="C4487" s="30" t="n"/>
      <c r="D4487" s="30" t="n"/>
      <c r="E4487" s="30" t="n"/>
      <c r="F4487" s="31" t="n">
        <v>456.8</v>
      </c>
      <c r="G4487" s="30" t="n"/>
    </row>
    <row r="4489" ht="120" customHeight="1">
      <c r="A4489" s="8" t="inlineStr">
        <is>
          <t>9.142</t>
        </is>
      </c>
      <c r="B4489" s="17"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t>
        </is>
      </c>
      <c r="C4489" s="9" t="n"/>
      <c r="D4489" s="9" t="n"/>
      <c r="E4489" s="9" t="n"/>
      <c r="F4489" s="9" t="n"/>
      <c r="G4489" s="9" t="n"/>
    </row>
    <row r="4490" ht="18.5" customHeight="1">
      <c r="A4490" s="18" t="inlineStr">
        <is>
          <t>9.142.1</t>
        </is>
      </c>
      <c r="B4490" s="19" t="inlineStr">
        <is>
          <t>Non decorative finish (matt finish)</t>
        </is>
      </c>
      <c r="C4490" s="20" t="n"/>
      <c r="D4490" s="20" t="n"/>
      <c r="E4490" s="20" t="n"/>
      <c r="F4490" s="20" t="n"/>
      <c r="G4490" s="20" t="n"/>
    </row>
    <row r="4491">
      <c r="A4491" s="21" t="inlineStr">
        <is>
          <t>Details of cost for 2.38 sqm   |   Source: CivilDAR_2019_Vol_1.pdf, page 621</t>
        </is>
      </c>
    </row>
    <row r="4492">
      <c r="A4492" s="5" t="inlineStr">
        <is>
          <t>Code</t>
        </is>
      </c>
      <c r="B4492" s="5" t="inlineStr">
        <is>
          <t>Description</t>
        </is>
      </c>
      <c r="C4492" s="5" t="inlineStr">
        <is>
          <t>Unit</t>
        </is>
      </c>
      <c r="D4492" s="5" t="inlineStr">
        <is>
          <t>Quantity</t>
        </is>
      </c>
      <c r="E4492" s="5" t="inlineStr">
        <is>
          <t>Rate (Rs.)</t>
        </is>
      </c>
      <c r="F4492" s="5" t="inlineStr">
        <is>
          <t>Amount (Rs.)</t>
        </is>
      </c>
      <c r="G4492" s="5" t="inlineStr">
        <is>
          <t>Note</t>
        </is>
      </c>
    </row>
    <row r="4493">
      <c r="A4493" s="22" t="inlineStr">
        <is>
          <t>8735</t>
        </is>
      </c>
      <c r="B4493" s="11" t="inlineStr">
        <is>
          <t>35 mm thick factory made solid panel PVC door shutter of single pieceextruded profile non decorative finished (Matt finished)</t>
        </is>
      </c>
      <c r="C4493" s="22" t="inlineStr">
        <is>
          <t>sqm</t>
        </is>
      </c>
      <c r="D4493" s="23" t="n">
        <v>2.38</v>
      </c>
      <c r="E4493" s="24" t="n">
        <v>2150</v>
      </c>
      <c r="F4493" s="24">
        <f>D4493*E4493</f>
        <v/>
      </c>
      <c r="G4493" s="22" t="n"/>
    </row>
    <row r="4494">
      <c r="A4494" s="22" t="inlineStr">
        <is>
          <t>8100</t>
        </is>
      </c>
      <c r="B4494" s="11" t="inlineStr">
        <is>
          <t>Powder coated M.S. butt hinges 100mm X58mmX1.9mm</t>
        </is>
      </c>
      <c r="C4494" s="22" t="inlineStr">
        <is>
          <t>10 Nos</t>
        </is>
      </c>
      <c r="D4494" s="23" t="n">
        <v>0.4</v>
      </c>
      <c r="E4494" s="24" t="n">
        <v>123</v>
      </c>
      <c r="F4494" s="24">
        <f>D4494*E4494</f>
        <v/>
      </c>
      <c r="G4494" s="22" t="n"/>
    </row>
    <row r="4495">
      <c r="A4495" s="22" t="inlineStr">
        <is>
          <t>0637</t>
        </is>
      </c>
      <c r="B4495" s="11" t="inlineStr">
        <is>
          <t>Bright finished or black enamelled mild steel screws 40 mm</t>
        </is>
      </c>
      <c r="C4495" s="22" t="inlineStr">
        <is>
          <t>100 Nos</t>
        </is>
      </c>
      <c r="D4495" s="23" t="n">
        <v>0.48</v>
      </c>
      <c r="E4495" s="24" t="n">
        <v>60</v>
      </c>
      <c r="F4495" s="24">
        <f>D4495*E4495</f>
        <v/>
      </c>
      <c r="G4495" s="22" t="n"/>
    </row>
    <row r="4496">
      <c r="A4496" s="22" t="inlineStr">
        <is>
          <t>0640</t>
        </is>
      </c>
      <c r="B4496" s="11" t="inlineStr">
        <is>
          <t>Bright finished or black enamelled mild steel screws 20 mm</t>
        </is>
      </c>
      <c r="C4496" s="22" t="inlineStr">
        <is>
          <t>100 Nos</t>
        </is>
      </c>
      <c r="D4496" s="23" t="n">
        <v>0.08</v>
      </c>
      <c r="E4496" s="24" t="n">
        <v>30</v>
      </c>
      <c r="F4496" s="24">
        <f>D4496*E4496</f>
        <v/>
      </c>
      <c r="G4496" s="22" t="n"/>
    </row>
    <row r="4497">
      <c r="A4497" s="22" t="inlineStr">
        <is>
          <t>0156</t>
        </is>
      </c>
      <c r="B4497" s="11" t="inlineStr">
        <is>
          <t>Carpenter (average)</t>
        </is>
      </c>
      <c r="C4497" s="22" t="inlineStr">
        <is>
          <t>day</t>
        </is>
      </c>
      <c r="D4497" s="23" t="n">
        <v>0.4</v>
      </c>
      <c r="E4497" s="24" t="n">
        <v>709</v>
      </c>
      <c r="F4497" s="24">
        <f>D4497*E4497</f>
        <v/>
      </c>
      <c r="G4497" s="22" t="n"/>
    </row>
    <row r="4498">
      <c r="A4498" s="22" t="inlineStr">
        <is>
          <t>0114</t>
        </is>
      </c>
      <c r="B4498" s="11" t="inlineStr">
        <is>
          <t>Beldar</t>
        </is>
      </c>
      <c r="C4498" s="22" t="inlineStr">
        <is>
          <t>day</t>
        </is>
      </c>
      <c r="D4498" s="23" t="n">
        <v>0.4</v>
      </c>
      <c r="E4498" s="24" t="n">
        <v>558</v>
      </c>
      <c r="F4498" s="24">
        <f>D4498*E4498</f>
        <v/>
      </c>
      <c r="G4498" s="22" t="n"/>
    </row>
    <row r="4499">
      <c r="A4499" s="22" t="inlineStr">
        <is>
          <t>9999</t>
        </is>
      </c>
      <c r="B4499" s="11" t="inlineStr">
        <is>
          <t>Sundries</t>
        </is>
      </c>
      <c r="C4499" s="22" t="inlineStr">
        <is>
          <t>L.S.</t>
        </is>
      </c>
      <c r="D4499" s="23" t="n">
        <v>30.35</v>
      </c>
      <c r="E4499" s="24" t="n">
        <v>2</v>
      </c>
      <c r="F4499" s="24">
        <f>D4499*E4499</f>
        <v/>
      </c>
      <c r="G4499" s="22" t="n"/>
    </row>
    <row r="4500">
      <c r="A4500" s="8" t="inlineStr">
        <is>
          <t>Calculated W - SUM of the Amount column above</t>
        </is>
      </c>
      <c r="B4500" s="9" t="n"/>
      <c r="C4500" s="9" t="n"/>
      <c r="D4500" s="9" t="n"/>
      <c r="E4500" s="9" t="n"/>
      <c r="F4500" s="25">
        <f>SUM(F4493:F4499)</f>
        <v/>
      </c>
      <c r="G4500" s="9" t="n"/>
    </row>
    <row r="4501">
      <c r="A4501" s="26" t="inlineStr">
        <is>
          <t>W as printed in the DAR</t>
        </is>
      </c>
      <c r="B4501" s="22" t="n"/>
      <c r="C4501" s="22" t="n"/>
      <c r="D4501" s="22" t="n"/>
      <c r="E4501" s="22" t="n"/>
      <c r="F4501" s="27" t="n">
        <v>5764.9</v>
      </c>
      <c r="G4501" s="22" t="n"/>
    </row>
    <row r="4502">
      <c r="A4502" s="26" t="inlineStr">
        <is>
          <t>Difference (calculated - printed)</t>
        </is>
      </c>
      <c r="B4502" s="22" t="n"/>
      <c r="C4502" s="22" t="n"/>
      <c r="D4502" s="22" t="n"/>
      <c r="E4502" s="22" t="n"/>
      <c r="F4502" s="27">
        <f>F4500-F4501</f>
        <v/>
      </c>
      <c r="G4502" s="22" t="n"/>
    </row>
    <row r="4503">
      <c r="A4503" s="29" t="inlineStr">
        <is>
          <t>SAY (Rs.) - final DAR rate as printed (fixed value, not computed)</t>
        </is>
      </c>
      <c r="B4503" s="30" t="n"/>
      <c r="C4503" s="30" t="n"/>
      <c r="D4503" s="30" t="n"/>
      <c r="E4503" s="30" t="n"/>
      <c r="F4503" s="31" t="n">
        <v>3240.8</v>
      </c>
      <c r="G4503" s="30" t="n"/>
    </row>
    <row r="4505" ht="120" customHeight="1">
      <c r="A4505" s="8" t="inlineStr">
        <is>
          <t>9.142</t>
        </is>
      </c>
      <c r="B4505" s="17"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t>
        </is>
      </c>
      <c r="C4505" s="9" t="n"/>
      <c r="D4505" s="9" t="n"/>
      <c r="E4505" s="9" t="n"/>
      <c r="F4505" s="9" t="n"/>
      <c r="G4505" s="9" t="n"/>
    </row>
    <row r="4506" ht="18.5" customHeight="1">
      <c r="A4506" s="18" t="inlineStr">
        <is>
          <t>9.142.2</t>
        </is>
      </c>
      <c r="B4506" s="19" t="inlineStr">
        <is>
          <t>Decorative finish (wood grained finish)</t>
        </is>
      </c>
      <c r="C4506" s="20" t="n"/>
      <c r="D4506" s="20" t="n"/>
      <c r="E4506" s="20" t="n"/>
      <c r="F4506" s="20" t="n"/>
      <c r="G4506" s="20" t="n"/>
    </row>
    <row r="4507">
      <c r="A4507" s="21" t="inlineStr">
        <is>
          <t>Details of cost for 2.38 sqm   |   Source: CivilDAR_2019_Vol_1.pdf, page 622</t>
        </is>
      </c>
    </row>
    <row r="4508">
      <c r="A4508" s="5" t="inlineStr">
        <is>
          <t>Code</t>
        </is>
      </c>
      <c r="B4508" s="5" t="inlineStr">
        <is>
          <t>Description</t>
        </is>
      </c>
      <c r="C4508" s="5" t="inlineStr">
        <is>
          <t>Unit</t>
        </is>
      </c>
      <c r="D4508" s="5" t="inlineStr">
        <is>
          <t>Quantity</t>
        </is>
      </c>
      <c r="E4508" s="5" t="inlineStr">
        <is>
          <t>Rate (Rs.)</t>
        </is>
      </c>
      <c r="F4508" s="5" t="inlineStr">
        <is>
          <t>Amount (Rs.)</t>
        </is>
      </c>
      <c r="G4508" s="5" t="inlineStr">
        <is>
          <t>Note</t>
        </is>
      </c>
    </row>
    <row r="4509">
      <c r="A4509" s="22" t="inlineStr">
        <is>
          <t>8736</t>
        </is>
      </c>
      <c r="B4509" s="11" t="inlineStr">
        <is>
          <t>35 mm thick factory made solid panel PVC door shutter of single pieceextruded profile decorative finished (Wood grand finished)</t>
        </is>
      </c>
      <c r="C4509" s="22" t="inlineStr">
        <is>
          <t>sqm</t>
        </is>
      </c>
      <c r="D4509" s="23" t="n">
        <v>2.38</v>
      </c>
      <c r="E4509" s="24" t="n">
        <v>2600</v>
      </c>
      <c r="F4509" s="24">
        <f>D4509*E4509</f>
        <v/>
      </c>
      <c r="G4509" s="22" t="n"/>
    </row>
    <row r="4510">
      <c r="A4510" s="22" t="inlineStr">
        <is>
          <t>8100</t>
        </is>
      </c>
      <c r="B4510" s="11" t="inlineStr">
        <is>
          <t>Powder coated M.S. butt hinges 100mm X58mmX1.9mm</t>
        </is>
      </c>
      <c r="C4510" s="22" t="inlineStr">
        <is>
          <t>10 Nos</t>
        </is>
      </c>
      <c r="D4510" s="23" t="n">
        <v>0.4</v>
      </c>
      <c r="E4510" s="24" t="n">
        <v>123</v>
      </c>
      <c r="F4510" s="24">
        <f>D4510*E4510</f>
        <v/>
      </c>
      <c r="G4510" s="22" t="n"/>
    </row>
    <row r="4511">
      <c r="A4511" s="22" t="inlineStr">
        <is>
          <t>0637</t>
        </is>
      </c>
      <c r="B4511" s="11" t="inlineStr">
        <is>
          <t>Bright finished or black enamelled mild steel screws 40 mm</t>
        </is>
      </c>
      <c r="C4511" s="22" t="inlineStr">
        <is>
          <t>100 Nos</t>
        </is>
      </c>
      <c r="D4511" s="23" t="n">
        <v>0.48</v>
      </c>
      <c r="E4511" s="24" t="n">
        <v>60</v>
      </c>
      <c r="F4511" s="24">
        <f>D4511*E4511</f>
        <v/>
      </c>
      <c r="G4511" s="22" t="n"/>
    </row>
    <row r="4512">
      <c r="A4512" s="22" t="inlineStr">
        <is>
          <t>0640</t>
        </is>
      </c>
      <c r="B4512" s="11" t="inlineStr">
        <is>
          <t>Bright finished or black enamelled mild steel screws 20 mm</t>
        </is>
      </c>
      <c r="C4512" s="22" t="inlineStr">
        <is>
          <t>100 Nos</t>
        </is>
      </c>
      <c r="D4512" s="23" t="n">
        <v>0.08</v>
      </c>
      <c r="E4512" s="24" t="n">
        <v>30</v>
      </c>
      <c r="F4512" s="24">
        <f>D4512*E4512</f>
        <v/>
      </c>
      <c r="G4512" s="22" t="n"/>
    </row>
    <row r="4513">
      <c r="A4513" s="22" t="inlineStr">
        <is>
          <t>0156</t>
        </is>
      </c>
      <c r="B4513" s="11" t="inlineStr">
        <is>
          <t>Carpenter (average)</t>
        </is>
      </c>
      <c r="C4513" s="22" t="inlineStr">
        <is>
          <t>day</t>
        </is>
      </c>
      <c r="D4513" s="23" t="n">
        <v>0.4</v>
      </c>
      <c r="E4513" s="24" t="n">
        <v>709</v>
      </c>
      <c r="F4513" s="24">
        <f>D4513*E4513</f>
        <v/>
      </c>
      <c r="G4513" s="22" t="n"/>
    </row>
    <row r="4514">
      <c r="A4514" s="22" t="inlineStr">
        <is>
          <t>0114</t>
        </is>
      </c>
      <c r="B4514" s="11" t="inlineStr">
        <is>
          <t>Beldar</t>
        </is>
      </c>
      <c r="C4514" s="22" t="inlineStr">
        <is>
          <t>day</t>
        </is>
      </c>
      <c r="D4514" s="23" t="n">
        <v>0.4</v>
      </c>
      <c r="E4514" s="24" t="n">
        <v>558</v>
      </c>
      <c r="F4514" s="24">
        <f>D4514*E4514</f>
        <v/>
      </c>
      <c r="G4514" s="22" t="n"/>
    </row>
    <row r="4515">
      <c r="A4515" s="22" t="inlineStr">
        <is>
          <t>9999</t>
        </is>
      </c>
      <c r="B4515" s="11" t="inlineStr">
        <is>
          <t>Sundries</t>
        </is>
      </c>
      <c r="C4515" s="22" t="inlineStr">
        <is>
          <t>L.S.</t>
        </is>
      </c>
      <c r="D4515" s="23" t="n">
        <v>30.35</v>
      </c>
      <c r="E4515" s="24" t="n">
        <v>2</v>
      </c>
      <c r="F4515" s="24">
        <f>D4515*E4515</f>
        <v/>
      </c>
      <c r="G4515" s="22" t="n"/>
    </row>
    <row r="4516">
      <c r="A4516" s="8" t="inlineStr">
        <is>
          <t>Calculated W - SUM of the Amount column above</t>
        </is>
      </c>
      <c r="B4516" s="9" t="n"/>
      <c r="C4516" s="9" t="n"/>
      <c r="D4516" s="9" t="n"/>
      <c r="E4516" s="9" t="n"/>
      <c r="F4516" s="25">
        <f>SUM(F4509:F4515)</f>
        <v/>
      </c>
      <c r="G4516" s="9" t="n"/>
    </row>
    <row r="4517">
      <c r="A4517" s="26" t="inlineStr">
        <is>
          <t>W as printed in the DAR</t>
        </is>
      </c>
      <c r="B4517" s="22" t="n"/>
      <c r="C4517" s="22" t="n"/>
      <c r="D4517" s="22" t="n"/>
      <c r="E4517" s="22" t="n"/>
      <c r="F4517" s="27" t="n">
        <v>6835.9</v>
      </c>
      <c r="G4517" s="22" t="n"/>
    </row>
    <row r="4518">
      <c r="A4518" s="26" t="inlineStr">
        <is>
          <t>Difference (calculated - printed)</t>
        </is>
      </c>
      <c r="B4518" s="22" t="n"/>
      <c r="C4518" s="22" t="n"/>
      <c r="D4518" s="22" t="n"/>
      <c r="E4518" s="22" t="n"/>
      <c r="F4518" s="27">
        <f>F4516-F4517</f>
        <v/>
      </c>
      <c r="G4518" s="22" t="n"/>
    </row>
    <row r="4519">
      <c r="A4519" s="29" t="inlineStr">
        <is>
          <t>SAY (Rs.) - final DAR rate as printed (fixed value, not computed)</t>
        </is>
      </c>
      <c r="B4519" s="30" t="n"/>
      <c r="C4519" s="30" t="n"/>
      <c r="D4519" s="30" t="n"/>
      <c r="E4519" s="30" t="n"/>
      <c r="F4519" s="31" t="n">
        <v>3842.85</v>
      </c>
      <c r="G4519" s="30" t="n"/>
    </row>
    <row r="4521" ht="76.5" customHeight="1">
      <c r="A4521" s="18" t="inlineStr">
        <is>
          <t>9.143</t>
        </is>
      </c>
      <c r="B4521" s="19" t="inlineStr">
        <is>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is>
      </c>
      <c r="C4521" s="20" t="n"/>
      <c r="D4521" s="20" t="n"/>
      <c r="E4521" s="20" t="n"/>
      <c r="F4521" s="20" t="n"/>
      <c r="G4521" s="20" t="n"/>
    </row>
    <row r="4522">
      <c r="A4522" s="21" t="inlineStr">
        <is>
          <t>Details of cost for 5 metres   |   Source: CivilDAR_2019_Vol_1.pdf, page 623</t>
        </is>
      </c>
    </row>
    <row r="4523">
      <c r="A4523" s="5" t="inlineStr">
        <is>
          <t>Code</t>
        </is>
      </c>
      <c r="B4523" s="5" t="inlineStr">
        <is>
          <t>Description</t>
        </is>
      </c>
      <c r="C4523" s="5" t="inlineStr">
        <is>
          <t>Unit</t>
        </is>
      </c>
      <c r="D4523" s="5" t="inlineStr">
        <is>
          <t>Quantity</t>
        </is>
      </c>
      <c r="E4523" s="5" t="inlineStr">
        <is>
          <t>Rate (Rs.)</t>
        </is>
      </c>
      <c r="F4523" s="5" t="inlineStr">
        <is>
          <t>Amount (Rs.)</t>
        </is>
      </c>
      <c r="G4523" s="5" t="inlineStr">
        <is>
          <t>Note</t>
        </is>
      </c>
    </row>
    <row r="4524">
      <c r="A4524" s="22" t="inlineStr">
        <is>
          <t>8745</t>
        </is>
      </c>
      <c r="B4524" s="11" t="inlineStr">
        <is>
          <t>65mm x 55mm x 2mm thick Factory made door frame of PVC extruded section in white,grey or wooden finish</t>
        </is>
      </c>
      <c r="C4524" s="22" t="inlineStr">
        <is>
          <t>metre</t>
        </is>
      </c>
      <c r="D4524" s="23" t="n">
        <v>5</v>
      </c>
      <c r="E4524" s="24" t="n">
        <v>355</v>
      </c>
      <c r="F4524" s="24">
        <f>D4524*E4524</f>
        <v/>
      </c>
      <c r="G4524" s="22" t="n"/>
    </row>
    <row r="4525">
      <c r="A4525" s="22" t="inlineStr">
        <is>
          <t>0156</t>
        </is>
      </c>
      <c r="B4525" s="11" t="inlineStr">
        <is>
          <t>Carpenter (average)</t>
        </is>
      </c>
      <c r="C4525" s="22" t="inlineStr">
        <is>
          <t>day</t>
        </is>
      </c>
      <c r="D4525" s="23" t="n">
        <v>0.15</v>
      </c>
      <c r="E4525" s="24" t="n">
        <v>709</v>
      </c>
      <c r="F4525" s="24">
        <f>D4525*E4525</f>
        <v/>
      </c>
      <c r="G4525" s="22" t="n"/>
    </row>
    <row r="4526">
      <c r="A4526" s="22" t="inlineStr">
        <is>
          <t>0114</t>
        </is>
      </c>
      <c r="B4526" s="11" t="inlineStr">
        <is>
          <t>Beldar</t>
        </is>
      </c>
      <c r="C4526" s="22" t="inlineStr">
        <is>
          <t>day</t>
        </is>
      </c>
      <c r="D4526" s="23" t="n">
        <v>0.15</v>
      </c>
      <c r="E4526" s="24" t="n">
        <v>558</v>
      </c>
      <c r="F4526" s="24">
        <f>D4526*E4526</f>
        <v/>
      </c>
      <c r="G4526" s="22" t="n"/>
    </row>
    <row r="4527">
      <c r="A4527" s="22" t="inlineStr">
        <is>
          <t>9999</t>
        </is>
      </c>
      <c r="B4527" s="11" t="inlineStr">
        <is>
          <t>Sundries</t>
        </is>
      </c>
      <c r="C4527" s="22" t="inlineStr">
        <is>
          <t>L.S.</t>
        </is>
      </c>
      <c r="D4527" s="23" t="n">
        <v>4.68</v>
      </c>
      <c r="E4527" s="24" t="n">
        <v>2</v>
      </c>
      <c r="F4527" s="24">
        <f>D4527*E4527</f>
        <v/>
      </c>
      <c r="G4527" s="22" t="n"/>
    </row>
    <row r="4528">
      <c r="A4528" s="8" t="inlineStr">
        <is>
          <t>Calculated W - SUM of the Amount column above</t>
        </is>
      </c>
      <c r="B4528" s="9" t="n"/>
      <c r="C4528" s="9" t="n"/>
      <c r="D4528" s="9" t="n"/>
      <c r="E4528" s="9" t="n"/>
      <c r="F4528" s="25">
        <f>SUM(F4524:F4527)</f>
        <v/>
      </c>
      <c r="G4528" s="9" t="n"/>
    </row>
    <row r="4529">
      <c r="A4529" s="26" t="inlineStr">
        <is>
          <t>W as printed in the DAR</t>
        </is>
      </c>
      <c r="B4529" s="22" t="n"/>
      <c r="C4529" s="22" t="n"/>
      <c r="D4529" s="22" t="n"/>
      <c r="E4529" s="22" t="n"/>
      <c r="F4529" s="27" t="n">
        <v>1974.41</v>
      </c>
      <c r="G4529" s="22" t="n"/>
    </row>
    <row r="4530">
      <c r="A4530" s="26" t="inlineStr">
        <is>
          <t>Difference (calculated - printed)</t>
        </is>
      </c>
      <c r="B4530" s="22" t="n"/>
      <c r="C4530" s="22" t="n"/>
      <c r="D4530" s="22" t="n"/>
      <c r="E4530" s="22" t="n"/>
      <c r="F4530" s="27">
        <f>F4528-F4529</f>
        <v/>
      </c>
      <c r="G4530" s="22" t="n"/>
    </row>
    <row r="4531">
      <c r="A4531" s="29" t="inlineStr">
        <is>
          <t>SAY (Rs.) - final DAR rate as printed (fixed value, not computed)</t>
        </is>
      </c>
      <c r="B4531" s="30" t="n"/>
      <c r="C4531" s="30" t="n"/>
      <c r="D4531" s="30" t="n"/>
      <c r="E4531" s="30" t="n"/>
      <c r="F4531" s="31" t="n">
        <v>528.35</v>
      </c>
      <c r="G4531" s="30" t="n"/>
    </row>
    <row r="4533" ht="33" customHeight="1">
      <c r="A4533" s="18" t="inlineStr">
        <is>
          <t>9.144</t>
        </is>
      </c>
      <c r="B4533" s="19" t="inlineStr">
        <is>
          <t>Providing and fixing 37 mm thick factory made PVC door shutter, styles and rails made of PVC hollow section of size 100 mm x 37 mm with wall thickness 2 mm (±</t>
        </is>
      </c>
      <c r="C4533" s="20" t="n"/>
      <c r="D4533" s="20" t="n"/>
      <c r="E4533" s="20" t="n"/>
      <c r="F4533" s="20" t="n"/>
      <c r="G4533" s="20" t="n"/>
    </row>
    <row r="4534">
      <c r="A4534" s="21" t="inlineStr">
        <is>
          <t>Details of cost for 2.38 sqm   |   Source: CivilDAR_2019_Vol_1.pdf, page 624</t>
        </is>
      </c>
    </row>
    <row r="4535">
      <c r="A4535" s="5" t="inlineStr">
        <is>
          <t>Code</t>
        </is>
      </c>
      <c r="B4535" s="5" t="inlineStr">
        <is>
          <t>Description</t>
        </is>
      </c>
      <c r="C4535" s="5" t="inlineStr">
        <is>
          <t>Unit</t>
        </is>
      </c>
      <c r="D4535" s="5" t="inlineStr">
        <is>
          <t>Quantity</t>
        </is>
      </c>
      <c r="E4535" s="5" t="inlineStr">
        <is>
          <t>Rate (Rs.)</t>
        </is>
      </c>
      <c r="F4535" s="5" t="inlineStr">
        <is>
          <t>Amount (Rs.)</t>
        </is>
      </c>
      <c r="G4535" s="5" t="inlineStr">
        <is>
          <t>Note</t>
        </is>
      </c>
    </row>
    <row r="4536">
      <c r="A4536" s="22" t="inlineStr">
        <is>
          <t>8746</t>
        </is>
      </c>
      <c r="B4536" s="11" t="inlineStr">
        <is>
          <t>37 mm thick Factory made shutter with style,rails and panels of PVC extruded section in white or grey finish i/c carriage</t>
        </is>
      </c>
      <c r="C4536" s="22" t="inlineStr">
        <is>
          <t>sqm</t>
        </is>
      </c>
      <c r="D4536" s="23" t="n">
        <v>2.38</v>
      </c>
      <c r="E4536" s="24" t="n">
        <v>2400</v>
      </c>
      <c r="F4536" s="24">
        <f>D4536*E4536</f>
        <v/>
      </c>
      <c r="G4536" s="22" t="n"/>
    </row>
    <row r="4537">
      <c r="A4537" s="22" t="inlineStr">
        <is>
          <t>0156</t>
        </is>
      </c>
      <c r="B4537" s="11" t="inlineStr">
        <is>
          <t>Carpenter (average)</t>
        </is>
      </c>
      <c r="C4537" s="22" t="inlineStr">
        <is>
          <t>day</t>
        </is>
      </c>
      <c r="D4537" s="23" t="n">
        <v>0.4</v>
      </c>
      <c r="E4537" s="24" t="n">
        <v>709</v>
      </c>
      <c r="F4537" s="24">
        <f>D4537*E4537</f>
        <v/>
      </c>
      <c r="G4537" s="22" t="n"/>
    </row>
    <row r="4538">
      <c r="A4538" s="22" t="inlineStr">
        <is>
          <t>0114</t>
        </is>
      </c>
      <c r="B4538" s="11" t="inlineStr">
        <is>
          <t>Beldar</t>
        </is>
      </c>
      <c r="C4538" s="22" t="inlineStr">
        <is>
          <t>day</t>
        </is>
      </c>
      <c r="D4538" s="23" t="n">
        <v>0.4</v>
      </c>
      <c r="E4538" s="24" t="n">
        <v>558</v>
      </c>
      <c r="F4538" s="24">
        <f>D4538*E4538</f>
        <v/>
      </c>
      <c r="G4538" s="22" t="n"/>
    </row>
    <row r="4539">
      <c r="A4539" s="22" t="inlineStr">
        <is>
          <t>9999</t>
        </is>
      </c>
      <c r="B4539" s="11" t="inlineStr">
        <is>
          <t>Sundries</t>
        </is>
      </c>
      <c r="C4539" s="22" t="inlineStr">
        <is>
          <t>L.S.</t>
        </is>
      </c>
      <c r="D4539" s="23" t="n">
        <v>20.36</v>
      </c>
      <c r="E4539" s="24" t="n">
        <v>2</v>
      </c>
      <c r="F4539" s="24">
        <f>D4539*E4539</f>
        <v/>
      </c>
      <c r="G4539" s="22" t="n"/>
    </row>
    <row r="4540">
      <c r="A4540" s="8" t="inlineStr">
        <is>
          <t>Calculated W - SUM of the Amount column above</t>
        </is>
      </c>
      <c r="B4540" s="9" t="n"/>
      <c r="C4540" s="9" t="n"/>
      <c r="D4540" s="9" t="n"/>
      <c r="E4540" s="9" t="n"/>
      <c r="F4540" s="25">
        <f>SUM(F4536:F4539)</f>
        <v/>
      </c>
      <c r="G4540" s="9" t="n"/>
    </row>
    <row r="4541">
      <c r="A4541" s="26" t="inlineStr">
        <is>
          <t>W as printed in the DAR</t>
        </is>
      </c>
      <c r="B4541" s="22" t="n"/>
      <c r="C4541" s="22" t="n"/>
      <c r="D4541" s="22" t="n"/>
      <c r="E4541" s="22" t="n"/>
      <c r="F4541" s="27" t="n">
        <v>6259.52</v>
      </c>
      <c r="G4541" s="22" t="n"/>
    </row>
    <row r="4542">
      <c r="A4542" s="26" t="inlineStr">
        <is>
          <t>Difference (calculated - printed)</t>
        </is>
      </c>
      <c r="B4542" s="22" t="n"/>
      <c r="C4542" s="22" t="n"/>
      <c r="D4542" s="22" t="n"/>
      <c r="E4542" s="22" t="n"/>
      <c r="F4542" s="27">
        <f>F4540-F4541</f>
        <v/>
      </c>
      <c r="G4542" s="22" t="n"/>
    </row>
    <row r="4543">
      <c r="A4543" s="29" t="inlineStr">
        <is>
          <t>SAY (Rs.) - final DAR rate as printed (fixed value, not computed)</t>
        </is>
      </c>
      <c r="B4543" s="30" t="n"/>
      <c r="C4543" s="30" t="n"/>
      <c r="D4543" s="30" t="n"/>
      <c r="E4543" s="30" t="n"/>
      <c r="F4543" s="31" t="n">
        <v>3518.85</v>
      </c>
      <c r="G4543" s="30" t="n"/>
    </row>
    <row r="4545" ht="91" customHeight="1">
      <c r="A4545" s="18" t="inlineStr">
        <is>
          <t>9.145</t>
        </is>
      </c>
      <c r="B4545" s="19" t="inlineStr">
        <is>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is>
      </c>
      <c r="C4545" s="20" t="n"/>
      <c r="D4545" s="20" t="n"/>
      <c r="E4545" s="20" t="n"/>
      <c r="F4545" s="20" t="n"/>
      <c r="G4545" s="20" t="n"/>
    </row>
    <row r="4546">
      <c r="A4546" s="21" t="inlineStr">
        <is>
          <t>Details of cost for 5 metres   |   Source: CivilDAR_2019_Vol_1.pdf, page 624</t>
        </is>
      </c>
    </row>
    <row r="4547">
      <c r="A4547" s="5" t="inlineStr">
        <is>
          <t>Code</t>
        </is>
      </c>
      <c r="B4547" s="5" t="inlineStr">
        <is>
          <t>Description</t>
        </is>
      </c>
      <c r="C4547" s="5" t="inlineStr">
        <is>
          <t>Unit</t>
        </is>
      </c>
      <c r="D4547" s="5" t="inlineStr">
        <is>
          <t>Quantity</t>
        </is>
      </c>
      <c r="E4547" s="5" t="inlineStr">
        <is>
          <t>Rate (Rs.)</t>
        </is>
      </c>
      <c r="F4547" s="5" t="inlineStr">
        <is>
          <t>Amount (Rs.)</t>
        </is>
      </c>
      <c r="G4547" s="5" t="inlineStr">
        <is>
          <t>Note</t>
        </is>
      </c>
    </row>
    <row r="4548">
      <c r="A4548" s="22" t="inlineStr">
        <is>
          <t>8747</t>
        </is>
      </c>
      <c r="B4548" s="11" t="inlineStr">
        <is>
          <t>75mm x 53mm x 2.0mm thick Factory made door frame of PVC extruded section in white,grey or wooden finish</t>
        </is>
      </c>
      <c r="C4548" s="22" t="inlineStr">
        <is>
          <t>metre</t>
        </is>
      </c>
      <c r="D4548" s="23" t="n">
        <v>5</v>
      </c>
      <c r="E4548" s="24" t="n">
        <v>400</v>
      </c>
      <c r="F4548" s="24">
        <f>D4548*E4548</f>
        <v/>
      </c>
      <c r="G4548" s="22" t="n"/>
    </row>
    <row r="4549">
      <c r="A4549" s="22" t="inlineStr">
        <is>
          <t>0156</t>
        </is>
      </c>
      <c r="B4549" s="11" t="inlineStr">
        <is>
          <t>Carpenter (average)</t>
        </is>
      </c>
      <c r="C4549" s="22" t="inlineStr">
        <is>
          <t>day</t>
        </is>
      </c>
      <c r="D4549" s="23" t="n">
        <v>0.15</v>
      </c>
      <c r="E4549" s="24" t="n">
        <v>709</v>
      </c>
      <c r="F4549" s="24">
        <f>D4549*E4549</f>
        <v/>
      </c>
      <c r="G4549" s="22" t="n"/>
    </row>
    <row r="4550">
      <c r="A4550" s="22" t="inlineStr">
        <is>
          <t>0114</t>
        </is>
      </c>
      <c r="B4550" s="11" t="inlineStr">
        <is>
          <t>Beldar</t>
        </is>
      </c>
      <c r="C4550" s="22" t="inlineStr">
        <is>
          <t>day</t>
        </is>
      </c>
      <c r="D4550" s="23" t="n">
        <v>0.15</v>
      </c>
      <c r="E4550" s="24" t="n">
        <v>558</v>
      </c>
      <c r="F4550" s="24">
        <f>D4550*E4550</f>
        <v/>
      </c>
      <c r="G4550" s="22" t="n"/>
    </row>
    <row r="4551">
      <c r="A4551" s="22" t="inlineStr">
        <is>
          <t>9999</t>
        </is>
      </c>
      <c r="B4551" s="11" t="inlineStr">
        <is>
          <t>Sundries</t>
        </is>
      </c>
      <c r="C4551" s="22" t="inlineStr">
        <is>
          <t>L.S.</t>
        </is>
      </c>
      <c r="D4551" s="23" t="n">
        <v>4.68</v>
      </c>
      <c r="E4551" s="24" t="n">
        <v>2</v>
      </c>
      <c r="F4551" s="24">
        <f>D4551*E4551</f>
        <v/>
      </c>
      <c r="G4551" s="22" t="n"/>
    </row>
    <row r="4552">
      <c r="A4552" s="8" t="inlineStr">
        <is>
          <t>Calculated W - SUM of the Amount column above</t>
        </is>
      </c>
      <c r="B4552" s="9" t="n"/>
      <c r="C4552" s="9" t="n"/>
      <c r="D4552" s="9" t="n"/>
      <c r="E4552" s="9" t="n"/>
      <c r="F4552" s="25">
        <f>SUM(F4548:F4551)</f>
        <v/>
      </c>
      <c r="G4552" s="9" t="n"/>
    </row>
    <row r="4553">
      <c r="A4553" s="26" t="inlineStr">
        <is>
          <t>W as printed in the DAR</t>
        </is>
      </c>
      <c r="B4553" s="22" t="n"/>
      <c r="C4553" s="22" t="n"/>
      <c r="D4553" s="22" t="n"/>
      <c r="E4553" s="22" t="n"/>
      <c r="F4553" s="27" t="n">
        <v>2199.41</v>
      </c>
      <c r="G4553" s="22" t="n"/>
    </row>
    <row r="4554">
      <c r="A4554" s="26" t="inlineStr">
        <is>
          <t>Difference (calculated - printed)</t>
        </is>
      </c>
      <c r="B4554" s="22" t="n"/>
      <c r="C4554" s="22" t="n"/>
      <c r="D4554" s="22" t="n"/>
      <c r="E4554" s="22" t="n"/>
      <c r="F4554" s="27">
        <f>F4552-F4553</f>
        <v/>
      </c>
      <c r="G4554" s="22" t="n"/>
    </row>
    <row r="4555">
      <c r="A4555" s="29" t="inlineStr">
        <is>
          <t>SAY (Rs.) - final DAR rate as printed (fixed value, not computed)</t>
        </is>
      </c>
      <c r="B4555" s="30" t="n"/>
      <c r="C4555" s="30" t="n"/>
      <c r="D4555" s="30" t="n"/>
      <c r="E4555" s="30" t="n"/>
      <c r="F4555" s="31" t="n">
        <v>588.55</v>
      </c>
      <c r="G4555" s="30" t="n"/>
    </row>
    <row r="4557" ht="120" customHeight="1">
      <c r="A4557" s="18" t="inlineStr">
        <is>
          <t>9.146</t>
        </is>
      </c>
      <c r="B4557" s="19" t="inlineStr">
        <is>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t>
        </is>
      </c>
      <c r="C4557" s="20" t="n"/>
      <c r="D4557" s="20" t="n"/>
      <c r="E4557" s="20" t="n"/>
      <c r="F4557" s="20" t="n"/>
      <c r="G4557" s="20" t="n"/>
    </row>
    <row r="4558" ht="18.5" customHeight="1">
      <c r="A4558" s="20" t="n"/>
      <c r="B4558" s="19" t="inlineStr">
        <is>
          <t>laminated and inserting 2 nos 6 mm dia bright steel rod horizontally with</t>
        </is>
      </c>
      <c r="C4558" s="20" t="n"/>
      <c r="D4558" s="20" t="n"/>
      <c r="E4558" s="20" t="n"/>
      <c r="F4558" s="20" t="n"/>
      <c r="G4558" s="20" t="n"/>
    </row>
    <row r="4559">
      <c r="A4559" s="21" t="inlineStr">
        <is>
          <t>Details of cost for 2.38 sqm   |   Source: CivilDAR_2019_Vol_1.pdf, page 625</t>
        </is>
      </c>
    </row>
    <row r="4560">
      <c r="A4560" s="5" t="inlineStr">
        <is>
          <t>Code</t>
        </is>
      </c>
      <c r="B4560" s="5" t="inlineStr">
        <is>
          <t>Description</t>
        </is>
      </c>
      <c r="C4560" s="5" t="inlineStr">
        <is>
          <t>Unit</t>
        </is>
      </c>
      <c r="D4560" s="5" t="inlineStr">
        <is>
          <t>Quantity</t>
        </is>
      </c>
      <c r="E4560" s="5" t="inlineStr">
        <is>
          <t>Rate (Rs.)</t>
        </is>
      </c>
      <c r="F4560" s="5" t="inlineStr">
        <is>
          <t>Amount (Rs.)</t>
        </is>
      </c>
      <c r="G4560" s="5" t="inlineStr">
        <is>
          <t>Note</t>
        </is>
      </c>
    </row>
    <row r="4561">
      <c r="A4561" s="22" t="inlineStr">
        <is>
          <t>8748</t>
        </is>
      </c>
      <c r="B4561" s="11" t="inlineStr">
        <is>
          <t>37 mm thick Factory made fusion welded shutter with style,rails and panels of PVC extruded section in wooden finish.</t>
        </is>
      </c>
      <c r="C4561" s="22" t="inlineStr">
        <is>
          <t>sqm</t>
        </is>
      </c>
      <c r="D4561" s="23" t="n">
        <v>2.38</v>
      </c>
      <c r="E4561" s="24" t="n">
        <v>2600</v>
      </c>
      <c r="F4561" s="24">
        <f>D4561*E4561</f>
        <v/>
      </c>
      <c r="G4561" s="22" t="n"/>
    </row>
    <row r="4562">
      <c r="A4562" s="22" t="inlineStr">
        <is>
          <t>0156</t>
        </is>
      </c>
      <c r="B4562" s="11" t="inlineStr">
        <is>
          <t>Carpenter (average)</t>
        </is>
      </c>
      <c r="C4562" s="22" t="inlineStr">
        <is>
          <t>day</t>
        </is>
      </c>
      <c r="D4562" s="23" t="n">
        <v>0.4</v>
      </c>
      <c r="E4562" s="24" t="n">
        <v>709</v>
      </c>
      <c r="F4562" s="24">
        <f>D4562*E4562</f>
        <v/>
      </c>
      <c r="G4562" s="22" t="n"/>
    </row>
    <row r="4563">
      <c r="A4563" s="22" t="inlineStr">
        <is>
          <t>0114</t>
        </is>
      </c>
      <c r="B4563" s="11" t="inlineStr">
        <is>
          <t>Beldar</t>
        </is>
      </c>
      <c r="C4563" s="22" t="inlineStr">
        <is>
          <t>day</t>
        </is>
      </c>
      <c r="D4563" s="23" t="n">
        <v>0.4</v>
      </c>
      <c r="E4563" s="24" t="n">
        <v>558</v>
      </c>
      <c r="F4563" s="24">
        <f>D4563*E4563</f>
        <v/>
      </c>
      <c r="G4563" s="22" t="n"/>
    </row>
    <row r="4564">
      <c r="A4564" s="22" t="inlineStr">
        <is>
          <t>9999</t>
        </is>
      </c>
      <c r="B4564" s="11" t="inlineStr">
        <is>
          <t>Sundries</t>
        </is>
      </c>
      <c r="C4564" s="22" t="inlineStr">
        <is>
          <t>L.S.</t>
        </is>
      </c>
      <c r="D4564" s="23" t="n">
        <v>20.36</v>
      </c>
      <c r="E4564" s="24" t="n">
        <v>2</v>
      </c>
      <c r="F4564" s="24">
        <f>D4564*E4564</f>
        <v/>
      </c>
      <c r="G4564" s="22" t="n"/>
    </row>
    <row r="4565">
      <c r="A4565" s="8" t="inlineStr">
        <is>
          <t>Calculated W - SUM of the Amount column above</t>
        </is>
      </c>
      <c r="B4565" s="9" t="n"/>
      <c r="C4565" s="9" t="n"/>
      <c r="D4565" s="9" t="n"/>
      <c r="E4565" s="9" t="n"/>
      <c r="F4565" s="25">
        <f>SUM(F4561:F4564)</f>
        <v/>
      </c>
      <c r="G4565" s="9" t="n"/>
    </row>
    <row r="4566">
      <c r="A4566" s="26" t="inlineStr">
        <is>
          <t>W as printed in the DAR</t>
        </is>
      </c>
      <c r="B4566" s="22" t="n"/>
      <c r="C4566" s="22" t="n"/>
      <c r="D4566" s="22" t="n"/>
      <c r="E4566" s="22" t="n"/>
      <c r="F4566" s="27" t="n">
        <v>6735.52</v>
      </c>
      <c r="G4566" s="22" t="n"/>
    </row>
    <row r="4567">
      <c r="A4567" s="26" t="inlineStr">
        <is>
          <t>Difference (calculated - printed)</t>
        </is>
      </c>
      <c r="B4567" s="22" t="n"/>
      <c r="C4567" s="22" t="n"/>
      <c r="D4567" s="22" t="n"/>
      <c r="E4567" s="22" t="n"/>
      <c r="F4567" s="27">
        <f>F4565-F4566</f>
        <v/>
      </c>
      <c r="G4567" s="22" t="n"/>
    </row>
    <row r="4568">
      <c r="A4568" s="29" t="inlineStr">
        <is>
          <t>SAY (Rs.) - final DAR rate as printed (fixed value, not computed)</t>
        </is>
      </c>
      <c r="B4568" s="30" t="n"/>
      <c r="C4568" s="30" t="n"/>
      <c r="D4568" s="30" t="n"/>
      <c r="E4568" s="30" t="n"/>
      <c r="F4568" s="31" t="n">
        <v>3786.45</v>
      </c>
      <c r="G4568" s="30" t="n"/>
    </row>
    <row r="4570" ht="120" customHeight="1">
      <c r="A4570" s="8" t="inlineStr">
        <is>
          <t>9.147A</t>
        </is>
      </c>
      <c r="B4570"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570" s="9" t="n"/>
      <c r="D4570" s="9" t="n"/>
      <c r="E4570" s="9" t="n"/>
      <c r="F4570" s="9" t="n"/>
      <c r="G4570" s="9" t="n"/>
    </row>
    <row r="4571" ht="18.5" customHeight="1">
      <c r="A4571" s="9" t="n"/>
      <c r="B4571" s="17" t="inlineStr">
        <is>
          <t>frame and adjacent finished wall shall be filled with weather proof silicon</t>
        </is>
      </c>
      <c r="C4571" s="9" t="n"/>
      <c r="D4571" s="9" t="n"/>
      <c r="E4571" s="9" t="n"/>
      <c r="F4571" s="9" t="n"/>
      <c r="G4571" s="9" t="n"/>
    </row>
    <row r="4572" ht="47.5" customHeight="1">
      <c r="A4572" s="18" t="inlineStr">
        <is>
          <t>9.147A.1</t>
        </is>
      </c>
      <c r="B4572" s="19" t="inlineStr">
        <is>
          <t>Casement window single panel with S.S. friction hinges (300 x 19 x 1.9 mm), made of (small series) frame 47 x 50 mm &amp; sash 47 x 68 mm both having wall thickness of 1.9 ± 0.2 mm and single glass pane glazing bead of appropriate dimension. (Area of window upto 0.75 sqm.)</t>
        </is>
      </c>
      <c r="C4572" s="20" t="n"/>
      <c r="D4572" s="20" t="n"/>
      <c r="E4572" s="20" t="n"/>
      <c r="F4572" s="20" t="n"/>
      <c r="G4572" s="20" t="n"/>
    </row>
    <row r="4573">
      <c r="A4573" s="21" t="inlineStr">
        <is>
          <t>Details of cost for 0.68 sqm   |   Source: CivilDAR_2019_Vol_1.pdf, page 626</t>
        </is>
      </c>
    </row>
    <row r="4574">
      <c r="A4574" s="5" t="inlineStr">
        <is>
          <t>Code</t>
        </is>
      </c>
      <c r="B4574" s="5" t="inlineStr">
        <is>
          <t>Description</t>
        </is>
      </c>
      <c r="C4574" s="5" t="inlineStr">
        <is>
          <t>Unit</t>
        </is>
      </c>
      <c r="D4574" s="5" t="inlineStr">
        <is>
          <t>Quantity</t>
        </is>
      </c>
      <c r="E4574" s="5" t="inlineStr">
        <is>
          <t>Rate (Rs.)</t>
        </is>
      </c>
      <c r="F4574" s="5" t="inlineStr">
        <is>
          <t>Amount (Rs.)</t>
        </is>
      </c>
      <c r="G4574" s="5" t="inlineStr">
        <is>
          <t>Note</t>
        </is>
      </c>
    </row>
    <row r="4575">
      <c r="A4575" s="22" t="inlineStr">
        <is>
          <t>8121</t>
        </is>
      </c>
      <c r="B4575" s="11" t="inlineStr">
        <is>
          <t>uPVC extruded (small series) casement window frame size 47x50mm i/c 5% wastage</t>
        </is>
      </c>
      <c r="C4575" s="22" t="inlineStr">
        <is>
          <t>metre</t>
        </is>
      </c>
      <c r="D4575" s="23" t="n">
        <v>3.89</v>
      </c>
      <c r="E4575" s="24" t="n">
        <v>258.3</v>
      </c>
      <c r="F4575" s="24">
        <f>D4575*E4575</f>
        <v/>
      </c>
      <c r="G4575" s="22" t="n"/>
    </row>
    <row r="4576">
      <c r="A4576" s="22" t="inlineStr">
        <is>
          <t>8122</t>
        </is>
      </c>
      <c r="B4576" s="11" t="inlineStr">
        <is>
          <t>uPVC extruded (small series) casement window sash/window mullion size 47x68 mm i/c 5% wastage</t>
        </is>
      </c>
      <c r="C4576" s="22" t="inlineStr">
        <is>
          <t>metre</t>
        </is>
      </c>
      <c r="D4576" s="23" t="n">
        <v>3.68</v>
      </c>
      <c r="E4576" s="24" t="n">
        <v>282.9</v>
      </c>
      <c r="F4576" s="24">
        <f>D4576*E4576</f>
        <v/>
      </c>
      <c r="G4576" s="22" t="n"/>
    </row>
    <row r="4577">
      <c r="A4577" s="22" t="inlineStr">
        <is>
          <t>8125</t>
        </is>
      </c>
      <c r="B4577" s="11" t="inlineStr">
        <is>
          <t>uPVC extruded glazing bead of appropriate dimension for small series casement window Sash</t>
        </is>
      </c>
      <c r="C4577" s="22" t="inlineStr">
        <is>
          <t>metre</t>
        </is>
      </c>
      <c r="D4577" s="23" t="n">
        <v>3.49</v>
      </c>
      <c r="E4577" s="24" t="n">
        <v>98.40000000000001</v>
      </c>
      <c r="F4577" s="24">
        <f>D4577*E4577</f>
        <v/>
      </c>
      <c r="G4577" s="22" t="n"/>
    </row>
    <row r="4578">
      <c r="A4578" s="22" t="inlineStr">
        <is>
          <t>3991</t>
        </is>
      </c>
      <c r="B4578" s="11" t="inlineStr">
        <is>
          <t>Galvanized iron (1.6 ± 0.2 mm) thick reinforcement for small series casement window frame, sash, mullion i/c 5% wastage</t>
        </is>
      </c>
      <c r="C4578" s="22" t="inlineStr">
        <is>
          <t>metre</t>
        </is>
      </c>
      <c r="D4578" s="23" t="n">
        <v>6.97</v>
      </c>
      <c r="E4578" s="24" t="n">
        <v>66</v>
      </c>
      <c r="F4578" s="24">
        <f>D4578*E4578</f>
        <v/>
      </c>
      <c r="G4578" s="22" t="n"/>
    </row>
    <row r="4579">
      <c r="A4579" s="22" t="inlineStr">
        <is>
          <t>7390</t>
        </is>
      </c>
      <c r="B4579" s="11" t="inlineStr">
        <is>
          <t>EPDM Gasket for uPVC window i/c 5% wastage</t>
        </is>
      </c>
      <c r="C4579" s="22" t="inlineStr">
        <is>
          <t>metre</t>
        </is>
      </c>
      <c r="D4579" s="23" t="n">
        <v>14.55</v>
      </c>
      <c r="E4579" s="24" t="n">
        <v>19</v>
      </c>
      <c r="F4579" s="24">
        <f>D4579*E4579</f>
        <v/>
      </c>
      <c r="G4579" s="22" t="n"/>
    </row>
    <row r="4580">
      <c r="A4580" s="22" t="inlineStr">
        <is>
          <t>3995</t>
        </is>
      </c>
      <c r="B4580" s="11" t="inlineStr">
        <is>
          <t>G.I fasteners 100 x 8 mm</t>
        </is>
      </c>
      <c r="C4580" s="22" t="inlineStr">
        <is>
          <t>each</t>
        </is>
      </c>
      <c r="D4580" s="23" t="n">
        <v>8</v>
      </c>
      <c r="E4580" s="24" t="n">
        <v>14</v>
      </c>
      <c r="F4580" s="24">
        <f>D4580*E4580</f>
        <v/>
      </c>
      <c r="G4580" s="22" t="n"/>
    </row>
    <row r="4581">
      <c r="A4581" s="22" t="inlineStr">
        <is>
          <t>8757</t>
        </is>
      </c>
      <c r="B4581" s="11" t="inlineStr">
        <is>
          <t>Stainless steel friction hinges (SS-304 grade) size 300 x 19 x 1.9 mm for uPVC window</t>
        </is>
      </c>
      <c r="C4581" s="22" t="inlineStr">
        <is>
          <t>each</t>
        </is>
      </c>
      <c r="D4581" s="23" t="n">
        <v>2</v>
      </c>
      <c r="E4581" s="24" t="n">
        <v>245</v>
      </c>
      <c r="F4581" s="24">
        <f>D4581*E4581</f>
        <v/>
      </c>
      <c r="G4581" s="22" t="n"/>
    </row>
    <row r="4582">
      <c r="A4582" s="22" t="inlineStr">
        <is>
          <t>8750</t>
        </is>
      </c>
      <c r="B4582" s="11" t="inlineStr">
        <is>
          <t>Zinc alloy (white powder coated) casement handle for uPVC window</t>
        </is>
      </c>
      <c r="C4582" s="22" t="inlineStr">
        <is>
          <t>each</t>
        </is>
      </c>
      <c r="D4582" s="23" t="n">
        <v>1</v>
      </c>
      <c r="E4582" s="24" t="n">
        <v>130</v>
      </c>
      <c r="F4582" s="24">
        <f>D4582*E4582</f>
        <v/>
      </c>
      <c r="G4582" s="22" t="n"/>
    </row>
    <row r="4583">
      <c r="A4583" s="22" t="inlineStr">
        <is>
          <t>9999</t>
        </is>
      </c>
      <c r="B4583" s="11" t="inlineStr">
        <is>
          <t>Sundries, plastic packers, plastic caps, SS screws and carriage of material</t>
        </is>
      </c>
      <c r="C4583" s="22" t="inlineStr">
        <is>
          <t>L.S.</t>
        </is>
      </c>
      <c r="D4583" s="23" t="n">
        <v>170</v>
      </c>
      <c r="E4583" s="24" t="n">
        <v>2</v>
      </c>
      <c r="F4583" s="24">
        <f>D4583*E4583</f>
        <v/>
      </c>
      <c r="G4583" s="22" t="n"/>
    </row>
    <row r="4584">
      <c r="A4584" s="22" t="inlineStr">
        <is>
          <t>0162</t>
        </is>
      </c>
      <c r="B4584" s="11" t="inlineStr">
        <is>
          <t>Labour for fabrication of uPVC extruded casement windows including drilling holes, fixing of fittings &amp; hardwares, hire charges of drill machine and electricity charges etc.</t>
        </is>
      </c>
      <c r="C4584" s="22" t="inlineStr">
        <is>
          <t>sqm</t>
        </is>
      </c>
      <c r="D4584" s="23" t="n">
        <v>0.68</v>
      </c>
      <c r="E4584" s="24" t="n">
        <v>485</v>
      </c>
      <c r="F4584" s="24">
        <f>D4584*E4584</f>
        <v/>
      </c>
      <c r="G4584" s="22" t="n"/>
    </row>
    <row r="4585">
      <c r="A4585" s="22" t="inlineStr">
        <is>
          <t>0163</t>
        </is>
      </c>
      <c r="B4585" s="11" t="inlineStr">
        <is>
          <t>Labour for installation of uPVC extruded casement windows including scaffolding</t>
        </is>
      </c>
      <c r="C4585" s="22" t="inlineStr">
        <is>
          <t>sqm</t>
        </is>
      </c>
      <c r="D4585" s="23" t="n">
        <v>0.68</v>
      </c>
      <c r="E4585" s="24" t="n">
        <v>430</v>
      </c>
      <c r="F4585" s="24">
        <f>D4585*E4585</f>
        <v/>
      </c>
      <c r="G4585" s="22" t="n"/>
    </row>
    <row r="4586">
      <c r="A4586" s="8" t="inlineStr">
        <is>
          <t>Calculated W - SUM of the Amount column above</t>
        </is>
      </c>
      <c r="B4586" s="9" t="n"/>
      <c r="C4586" s="9" t="n"/>
      <c r="D4586" s="9" t="n"/>
      <c r="E4586" s="9" t="n"/>
      <c r="F4586" s="25">
        <f>SUM(F4575:F4585)</f>
        <v/>
      </c>
      <c r="G4586" s="9" t="n"/>
    </row>
    <row r="4587">
      <c r="A4587" s="26" t="inlineStr">
        <is>
          <t>W as printed in the DAR</t>
        </is>
      </c>
      <c r="B4587" s="22" t="n"/>
      <c r="C4587" s="22" t="n"/>
      <c r="D4587" s="22" t="n"/>
      <c r="E4587" s="22" t="n"/>
      <c r="F4587" s="27" t="n">
        <v>4819.95</v>
      </c>
      <c r="G4587" s="22" t="n"/>
    </row>
    <row r="4588">
      <c r="A4588" s="26" t="inlineStr">
        <is>
          <t>Difference (calculated - printed)</t>
        </is>
      </c>
      <c r="B4588" s="22" t="n"/>
      <c r="C4588" s="22" t="n"/>
      <c r="D4588" s="22" t="n"/>
      <c r="E4588" s="22" t="n"/>
      <c r="F4588" s="27">
        <f>F4586-F4587</f>
        <v/>
      </c>
      <c r="G4588" s="22" t="n"/>
    </row>
    <row r="4589">
      <c r="A4589" s="29" t="inlineStr">
        <is>
          <t>SAY (Rs.) - final DAR rate as printed (fixed value, not computed)</t>
        </is>
      </c>
      <c r="B4589" s="30" t="n"/>
      <c r="C4589" s="30" t="n"/>
      <c r="D4589" s="30" t="n"/>
      <c r="E4589" s="30" t="n"/>
      <c r="F4589" s="31" t="n">
        <v>9483.5</v>
      </c>
      <c r="G4589" s="30" t="n"/>
    </row>
    <row r="4591" ht="120" customHeight="1">
      <c r="A4591" s="8" t="inlineStr">
        <is>
          <t>9.147A</t>
        </is>
      </c>
      <c r="B4591"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591" s="9" t="n"/>
      <c r="D4591" s="9" t="n"/>
      <c r="E4591" s="9" t="n"/>
      <c r="F4591" s="9" t="n"/>
      <c r="G4591" s="9" t="n"/>
    </row>
    <row r="4592" ht="18.5" customHeight="1">
      <c r="A4592" s="9" t="n"/>
      <c r="B4592" s="17" t="inlineStr">
        <is>
          <t>frame and adjacent finished wall shall be filled with weather proof silicon</t>
        </is>
      </c>
      <c r="C4592" s="9" t="n"/>
      <c r="D4592" s="9" t="n"/>
      <c r="E4592" s="9" t="n"/>
      <c r="F4592" s="9" t="n"/>
      <c r="G4592" s="9" t="n"/>
    </row>
    <row r="4593" ht="47.5" customHeight="1">
      <c r="A4593" s="18" t="inlineStr">
        <is>
          <t>9.147A.2</t>
        </is>
      </c>
      <c r="B4593" s="19" t="inlineStr">
        <is>
          <t>Casement window double panels with S.S. friction hinges (300 x 19 x 1.9 mm) made of (small series) frame 47 x 50 mm, sash 47 x 68 mm &amp; mullion 47 x 68 mm all having wall thickness of 1.9 ± 0.2 mm and single glazing bead of appropriate dimension. (Area of window above 0.75 sqm upto 1.50 sqm).</t>
        </is>
      </c>
      <c r="C4593" s="20" t="n"/>
      <c r="D4593" s="20" t="n"/>
      <c r="E4593" s="20" t="n"/>
      <c r="F4593" s="20" t="n"/>
      <c r="G4593" s="20" t="n"/>
    </row>
    <row r="4594">
      <c r="A4594" s="21" t="inlineStr">
        <is>
          <t>Details of cost for 1.35 sqm   |   Source: CivilDAR_2019_Vol_1.pdf, page 627</t>
        </is>
      </c>
    </row>
    <row r="4595">
      <c r="A4595" s="5" t="inlineStr">
        <is>
          <t>Code</t>
        </is>
      </c>
      <c r="B4595" s="5" t="inlineStr">
        <is>
          <t>Description</t>
        </is>
      </c>
      <c r="C4595" s="5" t="inlineStr">
        <is>
          <t>Unit</t>
        </is>
      </c>
      <c r="D4595" s="5" t="inlineStr">
        <is>
          <t>Quantity</t>
        </is>
      </c>
      <c r="E4595" s="5" t="inlineStr">
        <is>
          <t>Rate (Rs.)</t>
        </is>
      </c>
      <c r="F4595" s="5" t="inlineStr">
        <is>
          <t>Amount (Rs.)</t>
        </is>
      </c>
      <c r="G4595" s="5" t="inlineStr">
        <is>
          <t>Note</t>
        </is>
      </c>
    </row>
    <row r="4596">
      <c r="A4596" s="22" t="inlineStr">
        <is>
          <t>8121</t>
        </is>
      </c>
      <c r="B4596" s="11" t="inlineStr">
        <is>
          <t>uPVC extruded (small series) casement window frame size 47x50mm i/c 5% wastage</t>
        </is>
      </c>
      <c r="C4596" s="22" t="inlineStr">
        <is>
          <t>metre</t>
        </is>
      </c>
      <c r="D4596" s="23" t="n">
        <v>4.94</v>
      </c>
      <c r="E4596" s="24" t="n">
        <v>258.3</v>
      </c>
      <c r="F4596" s="24">
        <f>D4596*E4596</f>
        <v/>
      </c>
      <c r="G4596" s="22" t="n"/>
    </row>
    <row r="4597">
      <c r="A4597" s="22" t="inlineStr">
        <is>
          <t>8122</t>
        </is>
      </c>
      <c r="B4597" s="11" t="inlineStr">
        <is>
          <t>uPVC extruded (small series) casement window sash/window Mullion size 47x68 mm i/c 5% wastage</t>
        </is>
      </c>
      <c r="C4597" s="22" t="inlineStr">
        <is>
          <t>metre</t>
        </is>
      </c>
      <c r="D4597" s="23" t="n">
        <v>8.859999999999999</v>
      </c>
      <c r="E4597" s="24" t="n">
        <v>282.9</v>
      </c>
      <c r="F4597" s="24">
        <f>D4597*E4597</f>
        <v/>
      </c>
      <c r="G4597" s="22" t="n"/>
    </row>
    <row r="4598">
      <c r="A4598" s="22" t="inlineStr">
        <is>
          <t>8125</t>
        </is>
      </c>
      <c r="B4598" s="11" t="inlineStr">
        <is>
          <t>uPVC extruded glazing bead of appropriate dimension for small series casement window Sash i/c 5% wastage</t>
        </is>
      </c>
      <c r="C4598" s="22" t="inlineStr">
        <is>
          <t>metre</t>
        </is>
      </c>
      <c r="D4598" s="23" t="n">
        <v>7.06</v>
      </c>
      <c r="E4598" s="24" t="n">
        <v>98.40000000000001</v>
      </c>
      <c r="F4598" s="24">
        <f>D4598*E4598</f>
        <v/>
      </c>
      <c r="G4598" s="22" t="n"/>
    </row>
    <row r="4599">
      <c r="A4599" s="22" t="inlineStr">
        <is>
          <t>3991</t>
        </is>
      </c>
      <c r="B4599" s="11" t="inlineStr">
        <is>
          <t>Galvanized iron (1.6 ± 0.2 mm) thick reinforcement for small series casement window frame, sash, mullion i/c 5% wastage</t>
        </is>
      </c>
      <c r="C4599" s="22" t="inlineStr">
        <is>
          <t>metre</t>
        </is>
      </c>
      <c r="D4599" s="23" t="n">
        <v>12.63</v>
      </c>
      <c r="E4599" s="24" t="n">
        <v>66</v>
      </c>
      <c r="F4599" s="24">
        <f>D4599*E4599</f>
        <v/>
      </c>
      <c r="G4599" s="22" t="n"/>
    </row>
    <row r="4600">
      <c r="A4600" s="22" t="inlineStr">
        <is>
          <t>7390</t>
        </is>
      </c>
      <c r="B4600" s="11" t="inlineStr">
        <is>
          <t>EPDM Gasket for uPVC window i/c 5% wastage</t>
        </is>
      </c>
      <c r="C4600" s="22" t="inlineStr">
        <is>
          <t>metre</t>
        </is>
      </c>
      <c r="D4600" s="23" t="n">
        <v>27.91</v>
      </c>
      <c r="E4600" s="24" t="n">
        <v>19</v>
      </c>
      <c r="F4600" s="24">
        <f>D4600*E4600</f>
        <v/>
      </c>
      <c r="G4600" s="22" t="n"/>
    </row>
    <row r="4601">
      <c r="A4601" s="22" t="inlineStr">
        <is>
          <t>3995</t>
        </is>
      </c>
      <c r="B4601" s="11" t="inlineStr">
        <is>
          <t>G.I fasteners 100 x 8 mm</t>
        </is>
      </c>
      <c r="C4601" s="22" t="inlineStr">
        <is>
          <t>each</t>
        </is>
      </c>
      <c r="D4601" s="23" t="n">
        <v>10</v>
      </c>
      <c r="E4601" s="24" t="n">
        <v>14</v>
      </c>
      <c r="F4601" s="24">
        <f>D4601*E4601</f>
        <v/>
      </c>
      <c r="G4601" s="22" t="n"/>
    </row>
    <row r="4602">
      <c r="A4602" s="22" t="inlineStr">
        <is>
          <t>8757</t>
        </is>
      </c>
      <c r="B4602" s="11" t="inlineStr">
        <is>
          <t>Stainless steel friction hinges (SS-304 grade) size 300 x 19 x 1.9 mm for uPVC window</t>
        </is>
      </c>
      <c r="C4602" s="22" t="inlineStr">
        <is>
          <t>each</t>
        </is>
      </c>
      <c r="D4602" s="23" t="n">
        <v>4</v>
      </c>
      <c r="E4602" s="24" t="n">
        <v>245</v>
      </c>
      <c r="F4602" s="24">
        <f>D4602*E4602</f>
        <v/>
      </c>
      <c r="G4602" s="22" t="n"/>
    </row>
    <row r="4603">
      <c r="A4603" s="22" t="inlineStr">
        <is>
          <t>8750</t>
        </is>
      </c>
      <c r="B4603" s="11" t="inlineStr">
        <is>
          <t>Zinc alloy (white powder coated) casement handle for uPVC window</t>
        </is>
      </c>
      <c r="C4603" s="22" t="inlineStr">
        <is>
          <t>each</t>
        </is>
      </c>
      <c r="D4603" s="23" t="n">
        <v>2</v>
      </c>
      <c r="E4603" s="24" t="n">
        <v>130</v>
      </c>
      <c r="F4603" s="24">
        <f>D4603*E4603</f>
        <v/>
      </c>
      <c r="G4603" s="22" t="n"/>
    </row>
    <row r="4604">
      <c r="A4604" s="22" t="inlineStr">
        <is>
          <t>9999</t>
        </is>
      </c>
      <c r="B4604" s="11" t="inlineStr">
        <is>
          <t>Sundries, plastic packers, plastic caps, SS screws and carriage of material</t>
        </is>
      </c>
      <c r="C4604" s="22" t="inlineStr">
        <is>
          <t>L.S.</t>
        </is>
      </c>
      <c r="D4604" s="23" t="n">
        <v>170</v>
      </c>
      <c r="E4604" s="24" t="n">
        <v>2</v>
      </c>
      <c r="F4604" s="24">
        <f>D4604*E4604</f>
        <v/>
      </c>
      <c r="G4604" s="22" t="n"/>
    </row>
    <row r="4605">
      <c r="A4605" s="22" t="inlineStr">
        <is>
          <t>0162</t>
        </is>
      </c>
      <c r="B4605" s="11" t="inlineStr">
        <is>
          <t>Labour for fabrication of uPVC extruded casement windows including drilling holes, fixing of fittings &amp; hardwares, hire charges of drill machine and electricity charges etc.</t>
        </is>
      </c>
      <c r="C4605" s="22" t="inlineStr">
        <is>
          <t>sqm</t>
        </is>
      </c>
      <c r="D4605" s="23" t="n">
        <v>1.35</v>
      </c>
      <c r="E4605" s="24" t="n">
        <v>485</v>
      </c>
      <c r="F4605" s="24">
        <f>D4605*E4605</f>
        <v/>
      </c>
      <c r="G4605" s="22" t="n"/>
    </row>
    <row r="4606">
      <c r="A4606" s="22" t="inlineStr">
        <is>
          <t>0163</t>
        </is>
      </c>
      <c r="B4606" s="11" t="inlineStr">
        <is>
          <t>Labour for installation of uPVC extruded casement windows including scaffolding</t>
        </is>
      </c>
      <c r="C4606" s="22" t="inlineStr">
        <is>
          <t>sqm</t>
        </is>
      </c>
      <c r="D4606" s="23" t="n">
        <v>1.35</v>
      </c>
      <c r="E4606" s="24" t="n">
        <v>430</v>
      </c>
      <c r="F4606" s="24">
        <f>D4606*E4606</f>
        <v/>
      </c>
      <c r="G4606" s="22" t="n"/>
    </row>
    <row r="4607">
      <c r="A4607" s="8" t="inlineStr">
        <is>
          <t>Calculated W - SUM of the Amount column above</t>
        </is>
      </c>
      <c r="B4607" s="9" t="n"/>
      <c r="C4607" s="9" t="n"/>
      <c r="D4607" s="9" t="n"/>
      <c r="E4607" s="9" t="n"/>
      <c r="F4607" s="25">
        <f>SUM(F4596:F4606)</f>
        <v/>
      </c>
      <c r="G4607" s="9" t="n"/>
    </row>
    <row r="4608">
      <c r="A4608" s="26" t="inlineStr">
        <is>
          <t>W as printed in the DAR</t>
        </is>
      </c>
      <c r="B4608" s="22" t="n"/>
      <c r="C4608" s="22" t="n"/>
      <c r="D4608" s="22" t="n"/>
      <c r="E4608" s="22" t="n"/>
      <c r="F4608" s="27" t="n">
        <v>8796.32</v>
      </c>
      <c r="G4608" s="22" t="n"/>
    </row>
    <row r="4609">
      <c r="A4609" s="26" t="inlineStr">
        <is>
          <t>Difference (calculated - printed)</t>
        </is>
      </c>
      <c r="B4609" s="22" t="n"/>
      <c r="C4609" s="22" t="n"/>
      <c r="D4609" s="22" t="n"/>
      <c r="E4609" s="22" t="n"/>
      <c r="F4609" s="27">
        <f>F4607-F4608</f>
        <v/>
      </c>
      <c r="G4609" s="22" t="n"/>
    </row>
    <row r="4610">
      <c r="A4610" s="29" t="inlineStr">
        <is>
          <t>SAY (Rs.) - final DAR rate as printed (fixed value, not computed)</t>
        </is>
      </c>
      <c r="B4610" s="30" t="n"/>
      <c r="C4610" s="30" t="n"/>
      <c r="D4610" s="30" t="n"/>
      <c r="E4610" s="30" t="n"/>
      <c r="F4610" s="31" t="n">
        <v>8717.700000000001</v>
      </c>
      <c r="G4610" s="30" t="n"/>
    </row>
    <row r="4612" ht="120" customHeight="1">
      <c r="A4612" s="8" t="inlineStr">
        <is>
          <t>9.147A</t>
        </is>
      </c>
      <c r="B4612"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612" s="9" t="n"/>
      <c r="D4612" s="9" t="n"/>
      <c r="E4612" s="9" t="n"/>
      <c r="F4612" s="9" t="n"/>
      <c r="G4612" s="9" t="n"/>
    </row>
    <row r="4613" ht="18.5" customHeight="1">
      <c r="A4613" s="9" t="n"/>
      <c r="B4613" s="17" t="inlineStr">
        <is>
          <t>frame and adjacent finished wall shall be filled with weather proof silicon</t>
        </is>
      </c>
      <c r="C4613" s="9" t="n"/>
      <c r="D4613" s="9" t="n"/>
      <c r="E4613" s="9" t="n"/>
      <c r="F4613" s="9" t="n"/>
      <c r="G4613" s="9" t="n"/>
    </row>
    <row r="4614" ht="47.5" customHeight="1">
      <c r="A4614" s="18" t="inlineStr">
        <is>
          <t>9.147A.3</t>
        </is>
      </c>
      <c r="B4614" s="19" t="inlineStr">
        <is>
          <t>Casement window double panels with top fixed with S.S. friction hinges (350 x 19 x 1.9 mm) made of (small series) frame 47 x 50 mm, sash 47 x 68 mm &amp; mullion 47 x 68 mm all having wall thickness of 1.9 ± 0.2 mm and single glazing bead of appropriate dimension. ( Area of window upto 2.50 sqm).</t>
        </is>
      </c>
      <c r="C4614" s="20" t="n"/>
      <c r="D4614" s="20" t="n"/>
      <c r="E4614" s="20" t="n"/>
      <c r="F4614" s="20" t="n"/>
      <c r="G4614" s="20" t="n"/>
    </row>
    <row r="4615">
      <c r="A4615" s="21" t="inlineStr">
        <is>
          <t>Details of cost for 2.16 sqm   |   Source: CivilDAR_2019_Vol_1.pdf, page 629</t>
        </is>
      </c>
    </row>
    <row r="4616">
      <c r="A4616" s="5" t="inlineStr">
        <is>
          <t>Code</t>
        </is>
      </c>
      <c r="B4616" s="5" t="inlineStr">
        <is>
          <t>Description</t>
        </is>
      </c>
      <c r="C4616" s="5" t="inlineStr">
        <is>
          <t>Unit</t>
        </is>
      </c>
      <c r="D4616" s="5" t="inlineStr">
        <is>
          <t>Quantity</t>
        </is>
      </c>
      <c r="E4616" s="5" t="inlineStr">
        <is>
          <t>Rate (Rs.)</t>
        </is>
      </c>
      <c r="F4616" s="5" t="inlineStr">
        <is>
          <t>Amount (Rs.)</t>
        </is>
      </c>
      <c r="G4616" s="5" t="inlineStr">
        <is>
          <t>Note</t>
        </is>
      </c>
    </row>
    <row r="4617">
      <c r="A4617" s="22" t="inlineStr">
        <is>
          <t>8121</t>
        </is>
      </c>
      <c r="B4617" s="11" t="inlineStr">
        <is>
          <t>uPVC extruded (small series) casement window frame size 47x50mm i/c 5% wastage</t>
        </is>
      </c>
      <c r="C4617" s="22" t="inlineStr">
        <is>
          <t>metre</t>
        </is>
      </c>
      <c r="D4617" s="23" t="n">
        <v>6.3</v>
      </c>
      <c r="E4617" s="24" t="n">
        <v>258.3</v>
      </c>
      <c r="F4617" s="24">
        <f>D4617*E4617</f>
        <v/>
      </c>
      <c r="G4617" s="22" t="n"/>
    </row>
    <row r="4618">
      <c r="A4618" s="22" t="inlineStr">
        <is>
          <t>8122</t>
        </is>
      </c>
      <c r="B4618" s="11" t="inlineStr">
        <is>
          <t>uPVC extruded (small series) casement window sash/window Mullion size 47x68mm i/c 5% wastage</t>
        </is>
      </c>
      <c r="C4618" s="22" t="inlineStr">
        <is>
          <t>metre</t>
        </is>
      </c>
      <c r="D4618" s="23" t="n">
        <v>9.800000000000001</v>
      </c>
      <c r="E4618" s="24" t="n">
        <v>282.9</v>
      </c>
      <c r="F4618" s="24">
        <f>D4618*E4618</f>
        <v/>
      </c>
      <c r="G4618" s="22" t="n"/>
    </row>
    <row r="4619">
      <c r="A4619" s="22" t="inlineStr">
        <is>
          <t>8125</t>
        </is>
      </c>
      <c r="B4619" s="11" t="inlineStr">
        <is>
          <t>uPVC extruded glazing bead of appropriate dimension for small series casement window Sash i/c 5% wastage</t>
        </is>
      </c>
      <c r="C4619" s="22" t="inlineStr">
        <is>
          <t>metre</t>
        </is>
      </c>
      <c r="D4619" s="23" t="n">
        <v>10.62</v>
      </c>
      <c r="E4619" s="24" t="n">
        <v>98.40000000000001</v>
      </c>
      <c r="F4619" s="24">
        <f>D4619*E4619</f>
        <v/>
      </c>
      <c r="G4619" s="22" t="n"/>
    </row>
    <row r="4620">
      <c r="A4620" s="22" t="inlineStr">
        <is>
          <t>3991</t>
        </is>
      </c>
      <c r="B4620" s="11" t="inlineStr">
        <is>
          <t>Galvanized iron (1.6 ± 0.2 mm) thick reinforcement for small series casement window frame, sash, mullion i/c 5% wastage</t>
        </is>
      </c>
      <c r="C4620" s="22" t="inlineStr">
        <is>
          <t>metre</t>
        </is>
      </c>
      <c r="D4620" s="23" t="n">
        <v>15.05</v>
      </c>
      <c r="E4620" s="24" t="n">
        <v>66</v>
      </c>
      <c r="F4620" s="24">
        <f>D4620*E4620</f>
        <v/>
      </c>
      <c r="G4620" s="22" t="n"/>
    </row>
    <row r="4621">
      <c r="A4621" s="22" t="inlineStr">
        <is>
          <t>7390</t>
        </is>
      </c>
      <c r="B4621" s="11" t="inlineStr">
        <is>
          <t>EPDM Gasket for uPVC window i/c 5% wastage</t>
        </is>
      </c>
      <c r="C4621" s="22" t="inlineStr">
        <is>
          <t>metre</t>
        </is>
      </c>
      <c r="D4621" s="23" t="n">
        <v>37.34</v>
      </c>
      <c r="E4621" s="24" t="n">
        <v>19</v>
      </c>
      <c r="F4621" s="24">
        <f>D4621*E4621</f>
        <v/>
      </c>
      <c r="G4621" s="22" t="n"/>
    </row>
    <row r="4622">
      <c r="A4622" s="22" t="inlineStr">
        <is>
          <t>3995</t>
        </is>
      </c>
      <c r="B4622" s="11" t="inlineStr">
        <is>
          <t>G.I fasteners 100 x 8 mm</t>
        </is>
      </c>
      <c r="C4622" s="22" t="inlineStr">
        <is>
          <t>each</t>
        </is>
      </c>
      <c r="D4622" s="23" t="n">
        <v>12</v>
      </c>
      <c r="E4622" s="24" t="n">
        <v>14</v>
      </c>
      <c r="F4622" s="24">
        <f>D4622*E4622</f>
        <v/>
      </c>
      <c r="G4622" s="22" t="n"/>
    </row>
    <row r="4623">
      <c r="A4623" s="22" t="inlineStr">
        <is>
          <t>8758</t>
        </is>
      </c>
      <c r="B4623" s="11" t="inlineStr">
        <is>
          <t>Stainless steel friction hinges (SS-304 grade) size 350 x 19 x 1.9 mm for uPVC window</t>
        </is>
      </c>
      <c r="C4623" s="22" t="inlineStr">
        <is>
          <t>each</t>
        </is>
      </c>
      <c r="D4623" s="23" t="n">
        <v>4</v>
      </c>
      <c r="E4623" s="24" t="n">
        <v>345</v>
      </c>
      <c r="F4623" s="24">
        <f>D4623*E4623</f>
        <v/>
      </c>
      <c r="G4623" s="22" t="n"/>
    </row>
    <row r="4624">
      <c r="A4624" s="22" t="inlineStr">
        <is>
          <t>8750</t>
        </is>
      </c>
      <c r="B4624" s="11" t="inlineStr">
        <is>
          <t>Zinc alloy (white powder coated) casement handle for uPVC window</t>
        </is>
      </c>
      <c r="C4624" s="22" t="inlineStr">
        <is>
          <t>each</t>
        </is>
      </c>
      <c r="D4624" s="23" t="n">
        <v>2</v>
      </c>
      <c r="E4624" s="24" t="n">
        <v>130</v>
      </c>
      <c r="F4624" s="24">
        <f>D4624*E4624</f>
        <v/>
      </c>
      <c r="G4624" s="22" t="n"/>
    </row>
    <row r="4625">
      <c r="A4625" s="22" t="inlineStr">
        <is>
          <t>9999</t>
        </is>
      </c>
      <c r="B4625" s="11" t="inlineStr">
        <is>
          <t>Sundries, plastic packers, plastic caps, SS screws and carriage of material</t>
        </is>
      </c>
      <c r="C4625" s="22" t="inlineStr">
        <is>
          <t>L.S.</t>
        </is>
      </c>
      <c r="D4625" s="23" t="n">
        <v>170</v>
      </c>
      <c r="E4625" s="24" t="n">
        <v>2</v>
      </c>
      <c r="F4625" s="24">
        <f>D4625*E4625</f>
        <v/>
      </c>
      <c r="G4625" s="22" t="n"/>
    </row>
    <row r="4626">
      <c r="A4626" s="22" t="inlineStr">
        <is>
          <t>0162</t>
        </is>
      </c>
      <c r="B4626" s="11" t="inlineStr">
        <is>
          <t>Labour for fabrication of uPVC extruded casement windows including drilling holes, fixing of fittings &amp; hardwares, hire charges of drill machine and electricity charges etc.</t>
        </is>
      </c>
      <c r="C4626" s="22" t="inlineStr">
        <is>
          <t>sqm</t>
        </is>
      </c>
      <c r="D4626" s="23" t="n">
        <v>2.16</v>
      </c>
      <c r="E4626" s="24" t="n">
        <v>485</v>
      </c>
      <c r="F4626" s="24">
        <f>D4626*E4626</f>
        <v/>
      </c>
      <c r="G4626" s="22" t="n"/>
    </row>
    <row r="4627">
      <c r="A4627" s="22" t="inlineStr">
        <is>
          <t>0163</t>
        </is>
      </c>
      <c r="B4627" s="11" t="inlineStr">
        <is>
          <t>Labour for installation of uPVC extruded casement windows including scaffolding</t>
        </is>
      </c>
      <c r="C4627" s="22" t="inlineStr">
        <is>
          <t>sqm</t>
        </is>
      </c>
      <c r="D4627" s="23" t="n">
        <v>2.16</v>
      </c>
      <c r="E4627" s="24" t="n">
        <v>430</v>
      </c>
      <c r="F4627" s="24">
        <f>D4627*E4627</f>
        <v/>
      </c>
      <c r="G4627" s="22" t="n"/>
    </row>
    <row r="4628">
      <c r="A4628" s="8" t="inlineStr">
        <is>
          <t>Calculated W - SUM of the Amount column above</t>
        </is>
      </c>
      <c r="B4628" s="9" t="n"/>
      <c r="C4628" s="9" t="n"/>
      <c r="D4628" s="9" t="n"/>
      <c r="E4628" s="9" t="n"/>
      <c r="F4628" s="25">
        <f>SUM(F4617:F4627)</f>
        <v/>
      </c>
      <c r="G4628" s="9" t="n"/>
    </row>
    <row r="4629">
      <c r="A4629" s="26" t="inlineStr">
        <is>
          <t>W as printed in the DAR</t>
        </is>
      </c>
      <c r="B4629" s="22" t="n"/>
      <c r="C4629" s="22" t="n"/>
      <c r="D4629" s="22" t="n"/>
      <c r="E4629" s="22" t="n"/>
      <c r="F4629" s="27" t="n">
        <v>11271.88</v>
      </c>
      <c r="G4629" s="22" t="n"/>
    </row>
    <row r="4630">
      <c r="A4630" s="26" t="inlineStr">
        <is>
          <t>Difference (calculated - printed)</t>
        </is>
      </c>
      <c r="B4630" s="22" t="n"/>
      <c r="C4630" s="22" t="n"/>
      <c r="D4630" s="22" t="n"/>
      <c r="E4630" s="22" t="n"/>
      <c r="F4630" s="27">
        <f>F4628-F4629</f>
        <v/>
      </c>
      <c r="G4630" s="22" t="n"/>
    </row>
    <row r="4631">
      <c r="A4631" s="29" t="inlineStr">
        <is>
          <t>SAY (Rs.) - final DAR rate as printed (fixed value, not computed)</t>
        </is>
      </c>
      <c r="B4631" s="30" t="n"/>
      <c r="C4631" s="30" t="n"/>
      <c r="D4631" s="30" t="n"/>
      <c r="E4631" s="30" t="n"/>
      <c r="F4631" s="31" t="n">
        <v>6982</v>
      </c>
      <c r="G4631" s="30" t="n"/>
    </row>
    <row r="4633" ht="120" customHeight="1">
      <c r="A4633" s="8" t="inlineStr">
        <is>
          <t>9.147A</t>
        </is>
      </c>
      <c r="B4633"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633" s="9" t="n"/>
      <c r="D4633" s="9" t="n"/>
      <c r="E4633" s="9" t="n"/>
      <c r="F4633" s="9" t="n"/>
      <c r="G4633" s="9" t="n"/>
    </row>
    <row r="4634" ht="18.5" customHeight="1">
      <c r="A4634" s="9" t="n"/>
      <c r="B4634" s="17" t="inlineStr">
        <is>
          <t>frame and adjacent finished wall shall be filled with weather proof silicon</t>
        </is>
      </c>
      <c r="C4634" s="9" t="n"/>
      <c r="D4634" s="9" t="n"/>
      <c r="E4634" s="9" t="n"/>
      <c r="F4634" s="9" t="n"/>
      <c r="G4634" s="9" t="n"/>
    </row>
    <row r="4635" ht="33" customHeight="1">
      <c r="A4635" s="18" t="inlineStr">
        <is>
          <t>9.147A.4</t>
        </is>
      </c>
      <c r="B4635" s="19" t="inlineStr">
        <is>
          <t>Casement window single panel with S.S. friction hinges (400 x 19 x 1.9 mm) made of (big series)frame 67 x 60 mm &amp; sash 67 x 80 mm both having wall thickness of</t>
        </is>
      </c>
      <c r="C4635" s="20" t="n"/>
      <c r="D4635" s="20" t="n"/>
      <c r="E4635" s="20" t="n"/>
      <c r="F4635" s="20" t="n"/>
      <c r="G4635" s="20" t="n"/>
    </row>
    <row r="4636">
      <c r="A4636" s="21" t="inlineStr">
        <is>
          <t>Details of cost for 0.95 sqm   |   Source: CivilDAR_2019_Vol_1.pdf, page 630</t>
        </is>
      </c>
    </row>
    <row r="4637">
      <c r="A4637" s="5" t="inlineStr">
        <is>
          <t>Code</t>
        </is>
      </c>
      <c r="B4637" s="5" t="inlineStr">
        <is>
          <t>Description</t>
        </is>
      </c>
      <c r="C4637" s="5" t="inlineStr">
        <is>
          <t>Unit</t>
        </is>
      </c>
      <c r="D4637" s="5" t="inlineStr">
        <is>
          <t>Quantity</t>
        </is>
      </c>
      <c r="E4637" s="5" t="inlineStr">
        <is>
          <t>Rate (Rs.)</t>
        </is>
      </c>
      <c r="F4637" s="5" t="inlineStr">
        <is>
          <t>Amount (Rs.)</t>
        </is>
      </c>
      <c r="G4637" s="5" t="inlineStr">
        <is>
          <t>Note</t>
        </is>
      </c>
    </row>
    <row r="4638">
      <c r="A4638" s="22" t="inlineStr">
        <is>
          <t>8126</t>
        </is>
      </c>
      <c r="B4638" s="11" t="inlineStr">
        <is>
          <t>uPVC extruded (big series) casement window frame size 67x60 mm i/c 5% wastage</t>
        </is>
      </c>
      <c r="C4638" s="22" t="inlineStr">
        <is>
          <t>metre</t>
        </is>
      </c>
      <c r="D4638" s="23" t="n">
        <v>4.31</v>
      </c>
      <c r="E4638" s="24" t="n">
        <v>319.8</v>
      </c>
      <c r="F4638" s="24">
        <f>D4638*E4638</f>
        <v/>
      </c>
      <c r="G4638" s="22" t="n"/>
    </row>
    <row r="4639">
      <c r="A4639" s="22" t="inlineStr">
        <is>
          <t>8128</t>
        </is>
      </c>
      <c r="B4639" s="11" t="inlineStr">
        <is>
          <t>uPVC extruded (big series) casement window sash/window mullion size 67x80 mm i/c 5% wastage</t>
        </is>
      </c>
      <c r="C4639" s="22" t="inlineStr">
        <is>
          <t>metre</t>
        </is>
      </c>
      <c r="D4639" s="23" t="n">
        <v>4.02</v>
      </c>
      <c r="E4639" s="24" t="n">
        <v>426.4</v>
      </c>
      <c r="F4639" s="24">
        <f>D4639*E4639</f>
        <v/>
      </c>
      <c r="G4639" s="22" t="n"/>
    </row>
    <row r="4640">
      <c r="A4640" s="22" t="inlineStr">
        <is>
          <t>8130</t>
        </is>
      </c>
      <c r="B4640" s="11" t="inlineStr">
        <is>
          <t>uPVC extruded glazing bead of appropriate dimension for big series casement window sash i/c 5% wastage</t>
        </is>
      </c>
      <c r="C4640" s="22" t="inlineStr">
        <is>
          <t>metre</t>
        </is>
      </c>
      <c r="D4640" s="23" t="n">
        <v>3.83</v>
      </c>
      <c r="E4640" s="24" t="n">
        <v>123</v>
      </c>
      <c r="F4640" s="24">
        <f>D4640*E4640</f>
        <v/>
      </c>
      <c r="G4640" s="22" t="n"/>
    </row>
    <row r="4641">
      <c r="A4641" s="22" t="inlineStr">
        <is>
          <t>3992</t>
        </is>
      </c>
      <c r="B4641" s="11" t="inlineStr">
        <is>
          <t>Galvanized iron (1.6 ± 0.2 mm) thick reinforcement for big series casement window frame, sash, mullion, i/c 5% wastage</t>
        </is>
      </c>
      <c r="C4641" s="22" t="inlineStr">
        <is>
          <t>metre</t>
        </is>
      </c>
      <c r="D4641" s="23" t="n">
        <v>7.73</v>
      </c>
      <c r="E4641" s="24" t="n">
        <v>71</v>
      </c>
      <c r="F4641" s="24">
        <f>D4641*E4641</f>
        <v/>
      </c>
      <c r="G4641" s="22" t="n"/>
    </row>
    <row r="4642">
      <c r="A4642" s="22" t="inlineStr">
        <is>
          <t>7390</t>
        </is>
      </c>
      <c r="B4642" s="11" t="inlineStr">
        <is>
          <t>EPDM Gasket for uPVC window i/c 5% wastage</t>
        </is>
      </c>
      <c r="C4642" s="22" t="inlineStr">
        <is>
          <t>metre</t>
        </is>
      </c>
      <c r="D4642" s="23" t="n">
        <v>15.99</v>
      </c>
      <c r="E4642" s="24" t="n">
        <v>19</v>
      </c>
      <c r="F4642" s="24">
        <f>D4642*E4642</f>
        <v/>
      </c>
      <c r="G4642" s="22" t="n"/>
    </row>
    <row r="4643">
      <c r="A4643" s="22" t="inlineStr">
        <is>
          <t>3995</t>
        </is>
      </c>
      <c r="B4643" s="11" t="inlineStr">
        <is>
          <t>G.I fasteners 100 x 8 mm</t>
        </is>
      </c>
      <c r="C4643" s="22" t="inlineStr">
        <is>
          <t>each</t>
        </is>
      </c>
      <c r="D4643" s="23" t="n">
        <v>10</v>
      </c>
      <c r="E4643" s="24" t="n">
        <v>14</v>
      </c>
      <c r="F4643" s="24">
        <f>D4643*E4643</f>
        <v/>
      </c>
      <c r="G4643" s="22" t="n"/>
    </row>
    <row r="4644">
      <c r="A4644" s="22" t="inlineStr">
        <is>
          <t>8759</t>
        </is>
      </c>
      <c r="B4644" s="11" t="inlineStr">
        <is>
          <t>Stainless steel friction hinges (SS-304 grade) size 400 x 19 x 1.9 mm for uPVC window</t>
        </is>
      </c>
      <c r="C4644" s="22" t="inlineStr">
        <is>
          <t>each</t>
        </is>
      </c>
      <c r="D4644" s="23" t="n">
        <v>2</v>
      </c>
      <c r="E4644" s="24" t="n">
        <v>365</v>
      </c>
      <c r="F4644" s="24">
        <f>D4644*E4644</f>
        <v/>
      </c>
      <c r="G4644" s="22" t="n"/>
    </row>
    <row r="4645">
      <c r="A4645" s="22" t="inlineStr">
        <is>
          <t>8750</t>
        </is>
      </c>
      <c r="B4645" s="11" t="inlineStr">
        <is>
          <t>Zinc alloy (white powder coated) casement handle for uPVC window</t>
        </is>
      </c>
      <c r="C4645" s="22" t="inlineStr">
        <is>
          <t>each</t>
        </is>
      </c>
      <c r="D4645" s="23" t="n">
        <v>1</v>
      </c>
      <c r="E4645" s="24" t="n">
        <v>130</v>
      </c>
      <c r="F4645" s="24">
        <f>D4645*E4645</f>
        <v/>
      </c>
      <c r="G4645" s="22" t="n"/>
    </row>
    <row r="4646">
      <c r="A4646" s="22" t="inlineStr">
        <is>
          <t>9999</t>
        </is>
      </c>
      <c r="B4646" s="11" t="inlineStr">
        <is>
          <t>Sundries, plastic packers, plastic caps, SS screws and carriage of material</t>
        </is>
      </c>
      <c r="C4646" s="22" t="inlineStr">
        <is>
          <t>L.S.</t>
        </is>
      </c>
      <c r="D4646" s="23" t="n">
        <v>170</v>
      </c>
      <c r="E4646" s="24" t="n">
        <v>2</v>
      </c>
      <c r="F4646" s="24">
        <f>D4646*E4646</f>
        <v/>
      </c>
      <c r="G4646" s="22" t="n"/>
    </row>
    <row r="4647">
      <c r="A4647" s="22" t="inlineStr">
        <is>
          <t>0162</t>
        </is>
      </c>
      <c r="B4647" s="11" t="inlineStr">
        <is>
          <t>Labour for fabrication of uPVC extruded casement windows including drilling holes, fixing of fittings &amp; hardwares, hire charges of drill machine and electricity charges etc.</t>
        </is>
      </c>
      <c r="C4647" s="22" t="inlineStr">
        <is>
          <t>sqm</t>
        </is>
      </c>
      <c r="D4647" s="23" t="n">
        <v>0.95</v>
      </c>
      <c r="E4647" s="24" t="n">
        <v>485</v>
      </c>
      <c r="F4647" s="24">
        <f>D4647*E4647</f>
        <v/>
      </c>
      <c r="G4647" s="22" t="n"/>
    </row>
    <row r="4648">
      <c r="A4648" s="22" t="inlineStr">
        <is>
          <t>0163</t>
        </is>
      </c>
      <c r="B4648" s="11" t="inlineStr">
        <is>
          <t>Labour for installation of uPVC extruded casement windows including scaffolding</t>
        </is>
      </c>
      <c r="C4648" s="22" t="inlineStr">
        <is>
          <t>sqm</t>
        </is>
      </c>
      <c r="D4648" s="23" t="n">
        <v>0.95</v>
      </c>
      <c r="E4648" s="24" t="n">
        <v>430</v>
      </c>
      <c r="F4648" s="24">
        <f>D4648*E4648</f>
        <v/>
      </c>
      <c r="G4648" s="22" t="n"/>
    </row>
    <row r="4649">
      <c r="A4649" s="8" t="inlineStr">
        <is>
          <t>Calculated W - SUM of the Amount column above</t>
        </is>
      </c>
      <c r="B4649" s="9" t="n"/>
      <c r="C4649" s="9" t="n"/>
      <c r="D4649" s="9" t="n"/>
      <c r="E4649" s="9" t="n"/>
      <c r="F4649" s="25">
        <f>SUM(F4638:F4648)</f>
        <v/>
      </c>
      <c r="G4649" s="9" t="n"/>
    </row>
    <row r="4650">
      <c r="A4650" s="26" t="inlineStr">
        <is>
          <t>W as printed in the DAR</t>
        </is>
      </c>
      <c r="B4650" s="22" t="n"/>
      <c r="C4650" s="22" t="n"/>
      <c r="D4650" s="22" t="n"/>
      <c r="E4650" s="22" t="n"/>
      <c r="F4650" s="27" t="n">
        <v>6625.45</v>
      </c>
      <c r="G4650" s="22" t="n"/>
    </row>
    <row r="4651">
      <c r="A4651" s="26" t="inlineStr">
        <is>
          <t>Difference (calculated - printed)</t>
        </is>
      </c>
      <c r="B4651" s="22" t="n"/>
      <c r="C4651" s="22" t="n"/>
      <c r="D4651" s="22" t="n"/>
      <c r="E4651" s="22" t="n"/>
      <c r="F4651" s="27">
        <f>F4649-F4650</f>
        <v/>
      </c>
      <c r="G4651" s="22" t="n"/>
    </row>
    <row r="4652">
      <c r="A4652" s="29" t="inlineStr">
        <is>
          <t>SAY (Rs.) - final DAR rate as printed (fixed value, not computed)</t>
        </is>
      </c>
      <c r="B4652" s="30" t="n"/>
      <c r="C4652" s="30" t="n"/>
      <c r="D4652" s="30" t="n"/>
      <c r="E4652" s="30" t="n"/>
      <c r="F4652" s="31" t="n">
        <v>9331</v>
      </c>
      <c r="G4652" s="30" t="n"/>
    </row>
    <row r="4654" ht="120" customHeight="1">
      <c r="A4654" s="8" t="inlineStr">
        <is>
          <t>9.147A</t>
        </is>
      </c>
      <c r="B4654"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654" s="9" t="n"/>
      <c r="D4654" s="9" t="n"/>
      <c r="E4654" s="9" t="n"/>
      <c r="F4654" s="9" t="n"/>
      <c r="G4654" s="9" t="n"/>
    </row>
    <row r="4655" ht="18.5" customHeight="1">
      <c r="A4655" s="9" t="n"/>
      <c r="B4655" s="17" t="inlineStr">
        <is>
          <t>frame and adjacent finished wall shall be filled with weather proof silicon</t>
        </is>
      </c>
      <c r="C4655" s="9" t="n"/>
      <c r="D4655" s="9" t="n"/>
      <c r="E4655" s="9" t="n"/>
      <c r="F4655" s="9" t="n"/>
      <c r="G4655" s="9" t="n"/>
    </row>
    <row r="4656" ht="47.5" customHeight="1">
      <c r="A4656" s="18" t="inlineStr">
        <is>
          <t>9.147A.5</t>
        </is>
      </c>
      <c r="B4656" s="19" t="inlineStr">
        <is>
          <t>Casement window double panels with S.S. friction hinges (350 x 19 x 1.9 mm) made of (big series)frame 67 x 60 mm &amp; sash / mullion 67 x 80 mm both having wall thickness of 2.3 ± 0.2 mm and single glazing bead/ double glazing bead of appropriate dimension. (Area of window above 1.50 sqm).</t>
        </is>
      </c>
      <c r="C4656" s="20" t="n"/>
      <c r="D4656" s="20" t="n"/>
      <c r="E4656" s="20" t="n"/>
      <c r="F4656" s="20" t="n"/>
      <c r="G4656" s="20" t="n"/>
    </row>
    <row r="4657">
      <c r="A4657" s="21" t="inlineStr">
        <is>
          <t>Details of cost for 1.62 sqm   |   Source: CivilDAR_2019_Vol_1.pdf, page 631</t>
        </is>
      </c>
    </row>
    <row r="4658">
      <c r="A4658" s="5" t="inlineStr">
        <is>
          <t>Code</t>
        </is>
      </c>
      <c r="B4658" s="5" t="inlineStr">
        <is>
          <t>Description</t>
        </is>
      </c>
      <c r="C4658" s="5" t="inlineStr">
        <is>
          <t>Unit</t>
        </is>
      </c>
      <c r="D4658" s="5" t="inlineStr">
        <is>
          <t>Quantity</t>
        </is>
      </c>
      <c r="E4658" s="5" t="inlineStr">
        <is>
          <t>Rate (Rs.)</t>
        </is>
      </c>
      <c r="F4658" s="5" t="inlineStr">
        <is>
          <t>Amount (Rs.)</t>
        </is>
      </c>
      <c r="G4658" s="5" t="inlineStr">
        <is>
          <t>Note</t>
        </is>
      </c>
    </row>
    <row r="4659">
      <c r="A4659" s="22" t="inlineStr">
        <is>
          <t>8126</t>
        </is>
      </c>
      <c r="B4659" s="11" t="inlineStr">
        <is>
          <t>uPVC extruded (big series) casement window frame size 67x60 mm i/c 5% wastage</t>
        </is>
      </c>
      <c r="C4659" s="22" t="inlineStr">
        <is>
          <t>metre</t>
        </is>
      </c>
      <c r="D4659" s="23" t="n">
        <v>5.36</v>
      </c>
      <c r="E4659" s="24" t="n">
        <v>319.8</v>
      </c>
      <c r="F4659" s="24">
        <f>D4659*E4659</f>
        <v/>
      </c>
      <c r="G4659" s="22" t="n"/>
    </row>
    <row r="4660">
      <c r="A4660" s="22" t="inlineStr">
        <is>
          <t>8128</t>
        </is>
      </c>
      <c r="B4660" s="11" t="inlineStr">
        <is>
          <t>uPVC extruded (big series) casement window sash/window mullion size 67x80 mm i/c 5% wastage</t>
        </is>
      </c>
      <c r="C4660" s="22" t="inlineStr">
        <is>
          <t>metre</t>
        </is>
      </c>
      <c r="D4660" s="23" t="n">
        <v>9.130000000000001</v>
      </c>
      <c r="E4660" s="24" t="n">
        <v>426.4</v>
      </c>
      <c r="F4660" s="24">
        <f>D4660*E4660</f>
        <v/>
      </c>
      <c r="G4660" s="22" t="n"/>
    </row>
    <row r="4661">
      <c r="A4661" s="22" t="inlineStr">
        <is>
          <t>8130</t>
        </is>
      </c>
      <c r="B4661" s="11" t="inlineStr">
        <is>
          <t>uPVC extruded glazing bead of appropriate dimension for big series casement window sash i/c 5% wastage</t>
        </is>
      </c>
      <c r="C4661" s="22" t="inlineStr">
        <is>
          <t>metre</t>
        </is>
      </c>
      <c r="D4661" s="23" t="n">
        <v>7.34</v>
      </c>
      <c r="E4661" s="24" t="n">
        <v>123</v>
      </c>
      <c r="F4661" s="24">
        <f>D4661*E4661</f>
        <v/>
      </c>
      <c r="G4661" s="22" t="n"/>
    </row>
    <row r="4662">
      <c r="A4662" s="22" t="inlineStr">
        <is>
          <t>3992</t>
        </is>
      </c>
      <c r="B4662" s="11" t="inlineStr">
        <is>
          <t>Galvanized iron (1.6 ± 0.2 mm) thick reinforcement for big series casement window frame, sash, mullion i/c 5% wastage</t>
        </is>
      </c>
      <c r="C4662" s="22" t="inlineStr">
        <is>
          <t>metre</t>
        </is>
      </c>
      <c r="D4662" s="23" t="n">
        <v>13.83</v>
      </c>
      <c r="E4662" s="24" t="n">
        <v>71</v>
      </c>
      <c r="F4662" s="24">
        <f>D4662*E4662</f>
        <v/>
      </c>
      <c r="G4662" s="22" t="n"/>
    </row>
    <row r="4663">
      <c r="A4663" s="22" t="inlineStr">
        <is>
          <t>7390</t>
        </is>
      </c>
      <c r="B4663" s="11" t="inlineStr">
        <is>
          <t>EPDM Gasket for uPVC window i/c 5% wastage</t>
        </is>
      </c>
      <c r="C4663" s="22" t="inlineStr">
        <is>
          <t>metre</t>
        </is>
      </c>
      <c r="D4663" s="23" t="n">
        <v>30.62</v>
      </c>
      <c r="E4663" s="24" t="n">
        <v>19</v>
      </c>
      <c r="F4663" s="24">
        <f>D4663*E4663</f>
        <v/>
      </c>
      <c r="G4663" s="22" t="n"/>
    </row>
    <row r="4664">
      <c r="A4664" s="22" t="inlineStr">
        <is>
          <t>3995</t>
        </is>
      </c>
      <c r="B4664" s="11" t="inlineStr">
        <is>
          <t>G.I fasteners 100 x 8 mm</t>
        </is>
      </c>
      <c r="C4664" s="22" t="inlineStr">
        <is>
          <t>each</t>
        </is>
      </c>
      <c r="D4664" s="23" t="n">
        <v>12</v>
      </c>
      <c r="E4664" s="24" t="n">
        <v>14</v>
      </c>
      <c r="F4664" s="24">
        <f>D4664*E4664</f>
        <v/>
      </c>
      <c r="G4664" s="22" t="n"/>
    </row>
    <row r="4665">
      <c r="A4665" s="22" t="inlineStr">
        <is>
          <t>8758</t>
        </is>
      </c>
      <c r="B4665" s="11" t="inlineStr">
        <is>
          <t>Stainless steel friction hinges (SS-304 grade) size 350 x 19 x 1.9 mm for uPVC window</t>
        </is>
      </c>
      <c r="C4665" s="22" t="inlineStr">
        <is>
          <t>each</t>
        </is>
      </c>
      <c r="D4665" s="23" t="n">
        <v>4</v>
      </c>
      <c r="E4665" s="24" t="n">
        <v>345</v>
      </c>
      <c r="F4665" s="24">
        <f>D4665*E4665</f>
        <v/>
      </c>
      <c r="G4665" s="22" t="n"/>
    </row>
    <row r="4666">
      <c r="A4666" s="22" t="inlineStr">
        <is>
          <t>8750</t>
        </is>
      </c>
      <c r="B4666" s="11" t="inlineStr">
        <is>
          <t>Zinc alloy (white powder coated) casement handle for uPVC window</t>
        </is>
      </c>
      <c r="C4666" s="22" t="inlineStr">
        <is>
          <t>each</t>
        </is>
      </c>
      <c r="D4666" s="23" t="n">
        <v>2</v>
      </c>
      <c r="E4666" s="24" t="n">
        <v>130</v>
      </c>
      <c r="F4666" s="24">
        <f>D4666*E4666</f>
        <v/>
      </c>
      <c r="G4666" s="22" t="n"/>
    </row>
    <row r="4667">
      <c r="A4667" s="22" t="inlineStr">
        <is>
          <t>9999</t>
        </is>
      </c>
      <c r="B4667" s="11" t="inlineStr">
        <is>
          <t>Sundries, plastic packers, plastic caps, SS screws and carriage of material</t>
        </is>
      </c>
      <c r="C4667" s="22" t="inlineStr">
        <is>
          <t>L.S.</t>
        </is>
      </c>
      <c r="D4667" s="23" t="n">
        <v>170</v>
      </c>
      <c r="E4667" s="24" t="n">
        <v>2</v>
      </c>
      <c r="F4667" s="24">
        <f>D4667*E4667</f>
        <v/>
      </c>
      <c r="G4667" s="22" t="n"/>
    </row>
    <row r="4668">
      <c r="A4668" s="22" t="inlineStr">
        <is>
          <t>0162</t>
        </is>
      </c>
      <c r="B4668" s="11" t="inlineStr">
        <is>
          <t>Labour for fabrication of uPVC extruded casement windows including drilling holes, fixing of fittings &amp; hardwares, hire charges of drill machine and electricity charges etc.</t>
        </is>
      </c>
      <c r="C4668" s="22" t="inlineStr">
        <is>
          <t>sqm</t>
        </is>
      </c>
      <c r="D4668" s="23" t="n">
        <v>1.62</v>
      </c>
      <c r="E4668" s="24" t="n">
        <v>485</v>
      </c>
      <c r="F4668" s="24">
        <f>D4668*E4668</f>
        <v/>
      </c>
      <c r="G4668" s="22" t="n"/>
    </row>
    <row r="4669">
      <c r="A4669" s="22" t="inlineStr">
        <is>
          <t>0163</t>
        </is>
      </c>
      <c r="B4669" s="11" t="inlineStr">
        <is>
          <t>Labour for installation of uPVC extruded casement windows including scaffolding</t>
        </is>
      </c>
      <c r="C4669" s="22" t="inlineStr">
        <is>
          <t>sqm</t>
        </is>
      </c>
      <c r="D4669" s="23" t="n">
        <v>1.62</v>
      </c>
      <c r="E4669" s="24" t="n">
        <v>430</v>
      </c>
      <c r="F4669" s="24">
        <f>D4669*E4669</f>
        <v/>
      </c>
      <c r="G4669" s="22" t="n"/>
    </row>
    <row r="4670">
      <c r="A4670" s="8" t="inlineStr">
        <is>
          <t>Calculated W - SUM of the Amount column above</t>
        </is>
      </c>
      <c r="B4670" s="9" t="n"/>
      <c r="C4670" s="9" t="n"/>
      <c r="D4670" s="9" t="n"/>
      <c r="E4670" s="9" t="n"/>
      <c r="F4670" s="25">
        <f>SUM(F4659:F4669)</f>
        <v/>
      </c>
      <c r="G4670" s="9" t="n"/>
    </row>
    <row r="4671">
      <c r="A4671" s="26" t="inlineStr">
        <is>
          <t>W as printed in the DAR</t>
        </is>
      </c>
      <c r="B4671" s="22" t="n"/>
      <c r="C4671" s="22" t="n"/>
      <c r="D4671" s="22" t="n"/>
      <c r="E4671" s="22" t="n"/>
      <c r="F4671" s="27" t="n">
        <v>11703.99</v>
      </c>
      <c r="G4671" s="22" t="n"/>
    </row>
    <row r="4672">
      <c r="A4672" s="26" t="inlineStr">
        <is>
          <t>Difference (calculated - printed)</t>
        </is>
      </c>
      <c r="B4672" s="22" t="n"/>
      <c r="C4672" s="22" t="n"/>
      <c r="D4672" s="22" t="n"/>
      <c r="E4672" s="22" t="n"/>
      <c r="F4672" s="27">
        <f>F4670-F4671</f>
        <v/>
      </c>
      <c r="G4672" s="22" t="n"/>
    </row>
    <row r="4673">
      <c r="A4673" s="29" t="inlineStr">
        <is>
          <t>SAY (Rs.) - final DAR rate as printed (fixed value, not computed)</t>
        </is>
      </c>
      <c r="B4673" s="30" t="n"/>
      <c r="C4673" s="30" t="n"/>
      <c r="D4673" s="30" t="n"/>
      <c r="E4673" s="30" t="n"/>
      <c r="F4673" s="31" t="n">
        <v>9666.200000000001</v>
      </c>
      <c r="G4673" s="30" t="n"/>
    </row>
    <row r="4675" ht="120" customHeight="1">
      <c r="A4675" s="8" t="inlineStr">
        <is>
          <t>9.147A</t>
        </is>
      </c>
      <c r="B4675" s="17" t="inlineStr">
        <is>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t>
        </is>
      </c>
      <c r="C4675" s="9" t="n"/>
      <c r="D4675" s="9" t="n"/>
      <c r="E4675" s="9" t="n"/>
      <c r="F4675" s="9" t="n"/>
      <c r="G4675" s="9" t="n"/>
    </row>
    <row r="4676" ht="18.5" customHeight="1">
      <c r="A4676" s="9" t="n"/>
      <c r="B4676" s="17" t="inlineStr">
        <is>
          <t>frame and adjacent finished wall shall be filled with weather proof silicon</t>
        </is>
      </c>
      <c r="C4676" s="9" t="n"/>
      <c r="D4676" s="9" t="n"/>
      <c r="E4676" s="9" t="n"/>
      <c r="F4676" s="9" t="n"/>
      <c r="G4676" s="9" t="n"/>
    </row>
    <row r="4677" ht="62" customHeight="1">
      <c r="A4677" s="18" t="inlineStr">
        <is>
          <t>9.147A.6</t>
        </is>
      </c>
      <c r="B4677" s="19" t="inlineStr">
        <is>
          <t>Casement cum fixed panel window having both end single casement panel, middle fixed panels and at top completely fixed ventilator with S.S friction hinges (350 x 19 x 1.9) made of (big series) frame 67 x 60 mm , sash 67 x 80 mm &amp; mullion 67 x 80 mm all having wall thickness of 2.3 ± 0.2 mm and single glazing bead/double glazing bead of appropriate dimension. (Area of window above</t>
        </is>
      </c>
      <c r="C4677" s="20" t="n"/>
      <c r="D4677" s="20" t="n"/>
      <c r="E4677" s="20" t="n"/>
      <c r="F4677" s="20" t="n"/>
      <c r="G4677" s="20" t="n"/>
    </row>
    <row r="4678">
      <c r="A4678" s="21" t="inlineStr">
        <is>
          <t>Details of cost for 4 sqm   |   Source: CivilDAR_2019_Vol_1.pdf, page 632</t>
        </is>
      </c>
    </row>
    <row r="4679">
      <c r="A4679" s="5" t="inlineStr">
        <is>
          <t>Code</t>
        </is>
      </c>
      <c r="B4679" s="5" t="inlineStr">
        <is>
          <t>Description</t>
        </is>
      </c>
      <c r="C4679" s="5" t="inlineStr">
        <is>
          <t>Unit</t>
        </is>
      </c>
      <c r="D4679" s="5" t="inlineStr">
        <is>
          <t>Quantity</t>
        </is>
      </c>
      <c r="E4679" s="5" t="inlineStr">
        <is>
          <t>Rate (Rs.)</t>
        </is>
      </c>
      <c r="F4679" s="5" t="inlineStr">
        <is>
          <t>Amount (Rs.)</t>
        </is>
      </c>
      <c r="G4679" s="5" t="inlineStr">
        <is>
          <t>Note</t>
        </is>
      </c>
    </row>
    <row r="4680">
      <c r="A4680" s="22" t="inlineStr">
        <is>
          <t>8126</t>
        </is>
      </c>
      <c r="B4680" s="11" t="inlineStr">
        <is>
          <t>uPVC extruded (big series) casement window frame size 67x60 mm i/c 5% wastage</t>
        </is>
      </c>
      <c r="C4680" s="22" t="inlineStr">
        <is>
          <t>metre</t>
        </is>
      </c>
      <c r="D4680" s="23" t="n">
        <v>8.609999999999999</v>
      </c>
      <c r="E4680" s="24" t="n">
        <v>319.8</v>
      </c>
      <c r="F4680" s="24">
        <f>D4680*E4680</f>
        <v/>
      </c>
      <c r="G4680" s="22" t="n"/>
    </row>
    <row r="4681">
      <c r="A4681" s="22" t="inlineStr">
        <is>
          <t>8128</t>
        </is>
      </c>
      <c r="B4681" s="11" t="inlineStr">
        <is>
          <t>uPVC extruded (big series) casement window sash/window mullion size 67x80 mm i/c 5% wastage</t>
        </is>
      </c>
      <c r="C4681" s="22" t="inlineStr">
        <is>
          <t>metre</t>
        </is>
      </c>
      <c r="D4681" s="23" t="n">
        <v>15.17</v>
      </c>
      <c r="E4681" s="24" t="n">
        <v>426.4</v>
      </c>
      <c r="F4681" s="24">
        <f>D4681*E4681</f>
        <v/>
      </c>
      <c r="G4681" s="22" t="n"/>
    </row>
    <row r="4682">
      <c r="A4682" s="22" t="inlineStr">
        <is>
          <t>8130</t>
        </is>
      </c>
      <c r="B4682" s="11" t="inlineStr">
        <is>
          <t>uPVC extruded glazing bead of appropriate dimension for big series casement window sash i/c 5% wastage</t>
        </is>
      </c>
      <c r="C4682" s="22" t="inlineStr">
        <is>
          <t>metre</t>
        </is>
      </c>
      <c r="D4682" s="23" t="n">
        <v>27.85</v>
      </c>
      <c r="E4682" s="24" t="n">
        <v>123</v>
      </c>
      <c r="F4682" s="24">
        <f>D4682*E4682</f>
        <v/>
      </c>
      <c r="G4682" s="22" t="n"/>
    </row>
    <row r="4683">
      <c r="A4683" s="22" t="inlineStr">
        <is>
          <t>3992</t>
        </is>
      </c>
      <c r="B4683" s="11" t="inlineStr">
        <is>
          <t>Galvanized iron (1.6 ± 0.2 mm) thick reinforcement for big series casement window frame, sash, mullion, big &amp; small series sliding window frame i/c 5% wastage</t>
        </is>
      </c>
      <c r="C4683" s="22" t="inlineStr">
        <is>
          <t>metre</t>
        </is>
      </c>
      <c r="D4683" s="23" t="n">
        <v>21.9</v>
      </c>
      <c r="E4683" s="24" t="n">
        <v>71</v>
      </c>
      <c r="F4683" s="24">
        <f>D4683*E4683</f>
        <v/>
      </c>
      <c r="G4683" s="22" t="n"/>
    </row>
    <row r="4684">
      <c r="A4684" s="22" t="inlineStr">
        <is>
          <t>7390</t>
        </is>
      </c>
      <c r="B4684" s="11" t="inlineStr">
        <is>
          <t>EPDM Gasket for uPVC window/door i/c 5% wastage</t>
        </is>
      </c>
      <c r="C4684" s="22" t="inlineStr">
        <is>
          <t>metre</t>
        </is>
      </c>
      <c r="D4684" s="23" t="n">
        <v>83.45</v>
      </c>
      <c r="E4684" s="24" t="n">
        <v>19</v>
      </c>
      <c r="F4684" s="24">
        <f>D4684*E4684</f>
        <v/>
      </c>
      <c r="G4684" s="22" t="n"/>
    </row>
    <row r="4685">
      <c r="A4685" s="22" t="inlineStr">
        <is>
          <t>3995</t>
        </is>
      </c>
      <c r="B4685" s="11" t="inlineStr">
        <is>
          <t>G.I fasteners 100 x 8 mm</t>
        </is>
      </c>
      <c r="C4685" s="22" t="inlineStr">
        <is>
          <t>each</t>
        </is>
      </c>
      <c r="D4685" s="23" t="n">
        <v>16</v>
      </c>
      <c r="E4685" s="24" t="n">
        <v>14</v>
      </c>
      <c r="F4685" s="24">
        <f>D4685*E4685</f>
        <v/>
      </c>
      <c r="G4685" s="22" t="n"/>
    </row>
    <row r="4686">
      <c r="A4686" s="22" t="inlineStr">
        <is>
          <t>8758</t>
        </is>
      </c>
      <c r="B4686" s="11" t="inlineStr">
        <is>
          <t>Stainless steel friction hinges (SS-304 grade) size 350 x 19 x 1.9 mm for uPVC window</t>
        </is>
      </c>
      <c r="C4686" s="22" t="inlineStr">
        <is>
          <t>each</t>
        </is>
      </c>
      <c r="D4686" s="23" t="n">
        <v>4</v>
      </c>
      <c r="E4686" s="24" t="n">
        <v>345</v>
      </c>
      <c r="F4686" s="24">
        <f>D4686*E4686</f>
        <v/>
      </c>
      <c r="G4686" s="22" t="n"/>
    </row>
    <row r="4687">
      <c r="A4687" s="22" t="inlineStr">
        <is>
          <t>8750</t>
        </is>
      </c>
      <c r="B4687" s="11" t="inlineStr">
        <is>
          <t>Zinc alloy (white powder coated) casement handle for uPVC window</t>
        </is>
      </c>
      <c r="C4687" s="22" t="inlineStr">
        <is>
          <t>each</t>
        </is>
      </c>
      <c r="D4687" s="23" t="n">
        <v>2</v>
      </c>
      <c r="E4687" s="24" t="n">
        <v>130</v>
      </c>
      <c r="F4687" s="24">
        <f>D4687*E4687</f>
        <v/>
      </c>
      <c r="G4687" s="22" t="n"/>
    </row>
    <row r="4688">
      <c r="A4688" s="22" t="inlineStr">
        <is>
          <t>9999</t>
        </is>
      </c>
      <c r="B4688" s="11" t="inlineStr">
        <is>
          <t>Sundries, plastic packers, plastic caps, SS screws and carriage of material</t>
        </is>
      </c>
      <c r="C4688" s="22" t="inlineStr">
        <is>
          <t>L.S.</t>
        </is>
      </c>
      <c r="D4688" s="23" t="n">
        <v>170</v>
      </c>
      <c r="E4688" s="24" t="n">
        <v>2</v>
      </c>
      <c r="F4688" s="24">
        <f>D4688*E4688</f>
        <v/>
      </c>
      <c r="G4688" s="22" t="n"/>
    </row>
    <row r="4689">
      <c r="A4689" s="22" t="inlineStr">
        <is>
          <t>0162</t>
        </is>
      </c>
      <c r="B4689" s="11" t="inlineStr">
        <is>
          <t>Labour for fabrication of uPVC extruded casement windows including drilling holes, fixing of fittings &amp; hardwares, hire charges of drill machine and electricity charges etc.</t>
        </is>
      </c>
      <c r="C4689" s="22" t="inlineStr">
        <is>
          <t>sqm</t>
        </is>
      </c>
      <c r="D4689" s="23" t="n">
        <v>4</v>
      </c>
      <c r="E4689" s="24" t="n">
        <v>485</v>
      </c>
      <c r="F4689" s="24">
        <f>D4689*E4689</f>
        <v/>
      </c>
      <c r="G4689" s="22" t="n"/>
    </row>
    <row r="4690">
      <c r="A4690" s="22" t="inlineStr">
        <is>
          <t>0163</t>
        </is>
      </c>
      <c r="B4690" s="11" t="inlineStr">
        <is>
          <t>Labour for installation of uPVC extruded casement windows including scaffolding</t>
        </is>
      </c>
      <c r="C4690" s="22" t="inlineStr">
        <is>
          <t>sqm</t>
        </is>
      </c>
      <c r="D4690" s="23" t="n">
        <v>4</v>
      </c>
      <c r="E4690" s="24" t="n">
        <v>430</v>
      </c>
      <c r="F4690" s="24">
        <f>D4690*E4690</f>
        <v/>
      </c>
      <c r="G4690" s="22" t="n"/>
    </row>
    <row r="4691">
      <c r="A4691" s="8" t="inlineStr">
        <is>
          <t>Calculated W - SUM of the Amount column above</t>
        </is>
      </c>
      <c r="B4691" s="9" t="n"/>
      <c r="C4691" s="9" t="n"/>
      <c r="D4691" s="9" t="n"/>
      <c r="E4691" s="9" t="n"/>
      <c r="F4691" s="25">
        <f>SUM(F4680:F4690)</f>
        <v/>
      </c>
      <c r="G4691" s="9" t="n"/>
    </row>
    <row r="4692">
      <c r="A4692" s="26" t="inlineStr">
        <is>
          <t>W as printed in the DAR</t>
        </is>
      </c>
      <c r="B4692" s="22" t="n"/>
      <c r="C4692" s="22" t="n"/>
      <c r="D4692" s="22" t="n"/>
      <c r="E4692" s="22" t="n"/>
      <c r="F4692" s="27" t="n">
        <v>21651.97</v>
      </c>
      <c r="G4692" s="22" t="n"/>
    </row>
    <row r="4693">
      <c r="A4693" s="26" t="inlineStr">
        <is>
          <t>Difference (calculated - printed)</t>
        </is>
      </c>
      <c r="B4693" s="22" t="n"/>
      <c r="C4693" s="22" t="n"/>
      <c r="D4693" s="22" t="n"/>
      <c r="E4693" s="22" t="n"/>
      <c r="F4693" s="27">
        <f>F4691-F4692</f>
        <v/>
      </c>
      <c r="G4693" s="22" t="n"/>
    </row>
    <row r="4694">
      <c r="A4694" s="29" t="inlineStr">
        <is>
          <t>SAY (Rs.) - final DAR rate as printed (fixed value, not computed)</t>
        </is>
      </c>
      <c r="B4694" s="30" t="n"/>
      <c r="C4694" s="30" t="n"/>
      <c r="D4694" s="30" t="n"/>
      <c r="E4694" s="30" t="n"/>
      <c r="F4694" s="31" t="n">
        <v>7242.25</v>
      </c>
      <c r="G4694" s="30" t="n"/>
    </row>
    <row r="4696" ht="120" customHeight="1">
      <c r="A4696" s="8" t="inlineStr">
        <is>
          <t>9.147B</t>
        </is>
      </c>
      <c r="B4696" s="17" t="inlineStr">
        <is>
          <t>Providing and fixing factory made uPVC white colour fixed glazed windows/ventilators comprising of uPVC multi-chambered frame and mullion (where ever required) extruded profiles duly reinforced with 1.60 ± 0.2 mm thick galvanized mild steel section made from roll forming process of required length (shape &amp; size according to uPVC profile), uPVC extruded glazing beads of appropriate dimension, EPDM gasket, G.I fasteners 100 x 8 mm size for fixing frame to finished wall, plastic packers, plastic caps and necessary stainless steel screws etc. Profile of frame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t>
        </is>
      </c>
      <c r="C4696" s="9" t="n"/>
      <c r="D4696" s="9" t="n"/>
      <c r="E4696" s="9" t="n"/>
      <c r="F4696" s="9" t="n"/>
      <c r="G4696" s="9" t="n"/>
    </row>
    <row r="4697" ht="18.5" customHeight="1">
      <c r="A4697" s="9" t="n"/>
      <c r="B4697" s="17" t="inlineStr">
        <is>
          <t>of approved quality, all complete as per approved drawing &amp; direction of Engineer-in-Charge.</t>
        </is>
      </c>
      <c r="C4697" s="9" t="n"/>
      <c r="D4697" s="9" t="n"/>
      <c r="E4697" s="9" t="n"/>
      <c r="F4697" s="9" t="n"/>
      <c r="G4697" s="9" t="n"/>
    </row>
    <row r="4698" ht="33" customHeight="1">
      <c r="A4698" s="18" t="inlineStr">
        <is>
          <t>9.147B.1</t>
        </is>
      </c>
      <c r="B4698" s="19" t="inlineStr">
        <is>
          <t>Fixed window / ventilator made of (small series) frame 47 x 50 mm &amp; mullion 47 x 68 mm both having wall thickness of 1.9 ± 0.2 mm and single glazing bead of appropriate dimension. (Area upto 0.75 sqm.)</t>
        </is>
      </c>
      <c r="C4698" s="20" t="n"/>
      <c r="D4698" s="20" t="n"/>
      <c r="E4698" s="20" t="n"/>
      <c r="F4698" s="20" t="n"/>
      <c r="G4698" s="20" t="n"/>
    </row>
    <row r="4699">
      <c r="A4699" s="21" t="inlineStr">
        <is>
          <t>Details of cost for 0.6 sqm   |   Source: CivilDAR_2019_Vol_1.pdf, page 634</t>
        </is>
      </c>
    </row>
    <row r="4700">
      <c r="A4700" s="5" t="inlineStr">
        <is>
          <t>Code</t>
        </is>
      </c>
      <c r="B4700" s="5" t="inlineStr">
        <is>
          <t>Description</t>
        </is>
      </c>
      <c r="C4700" s="5" t="inlineStr">
        <is>
          <t>Unit</t>
        </is>
      </c>
      <c r="D4700" s="5" t="inlineStr">
        <is>
          <t>Quantity</t>
        </is>
      </c>
      <c r="E4700" s="5" t="inlineStr">
        <is>
          <t>Rate (Rs.)</t>
        </is>
      </c>
      <c r="F4700" s="5" t="inlineStr">
        <is>
          <t>Amount (Rs.)</t>
        </is>
      </c>
      <c r="G4700" s="5" t="inlineStr">
        <is>
          <t>Note</t>
        </is>
      </c>
    </row>
    <row r="4701">
      <c r="A4701" s="22" t="inlineStr">
        <is>
          <t>8121</t>
        </is>
      </c>
      <c r="B4701" s="11" t="inlineStr">
        <is>
          <t>uPVC extruded (small series) fixed window frame size 47x50mm</t>
        </is>
      </c>
      <c r="C4701" s="22" t="inlineStr">
        <is>
          <t>metre</t>
        </is>
      </c>
      <c r="D4701" s="23" t="n">
        <v>3.57</v>
      </c>
      <c r="E4701" s="24" t="n">
        <v>258.3</v>
      </c>
      <c r="F4701" s="24">
        <f>D4701*E4701</f>
        <v/>
      </c>
      <c r="G4701" s="22" t="n"/>
    </row>
    <row r="4702">
      <c r="A4702" s="22" t="inlineStr">
        <is>
          <t>8122</t>
        </is>
      </c>
      <c r="B4702" s="11" t="inlineStr">
        <is>
          <t>uPVC extruded (small series) fixed window mullion size 47x68 mm</t>
        </is>
      </c>
      <c r="C4702" s="22" t="inlineStr">
        <is>
          <t>metre</t>
        </is>
      </c>
      <c r="D4702" s="23" t="n">
        <v>0.53</v>
      </c>
      <c r="E4702" s="24" t="n">
        <v>282.9</v>
      </c>
      <c r="F4702" s="24">
        <f>D4702*E4702</f>
        <v/>
      </c>
      <c r="G4702" s="22" t="n"/>
    </row>
    <row r="4703">
      <c r="A4703" s="22" t="inlineStr">
        <is>
          <t>8125</t>
        </is>
      </c>
      <c r="B4703" s="11" t="inlineStr">
        <is>
          <t>uPVC extruded glazing bead of appropriate dimension for small series fixed window Sash</t>
        </is>
      </c>
      <c r="C4703" s="22" t="inlineStr">
        <is>
          <t>metre</t>
        </is>
      </c>
      <c r="D4703" s="23" t="n">
        <v>3.99</v>
      </c>
      <c r="E4703" s="24" t="n">
        <v>98.40000000000001</v>
      </c>
      <c r="F4703" s="24">
        <f>D4703*E4703</f>
        <v/>
      </c>
      <c r="G4703" s="22" t="n"/>
    </row>
    <row r="4704">
      <c r="A4704" s="22" t="inlineStr">
        <is>
          <t>3991</t>
        </is>
      </c>
      <c r="B4704" s="11" t="inlineStr">
        <is>
          <t>Galvanized iron (1.6 ± 0.2 mm) thick reinforcement for small series fixed window frame and mullion i/c 5% wastage</t>
        </is>
      </c>
      <c r="C4704" s="22" t="inlineStr">
        <is>
          <t>metre</t>
        </is>
      </c>
      <c r="D4704" s="23" t="n">
        <v>4.25</v>
      </c>
      <c r="E4704" s="24" t="n">
        <v>66</v>
      </c>
      <c r="F4704" s="24">
        <f>D4704*E4704</f>
        <v/>
      </c>
      <c r="G4704" s="22" t="n"/>
    </row>
    <row r="4705">
      <c r="A4705" s="22" t="inlineStr">
        <is>
          <t>7390</t>
        </is>
      </c>
      <c r="B4705" s="11" t="inlineStr">
        <is>
          <t>EPDM Gasket for uPVC window i/c 5% wastage</t>
        </is>
      </c>
      <c r="C4705" s="22" t="inlineStr">
        <is>
          <t>metre</t>
        </is>
      </c>
      <c r="D4705" s="23" t="n">
        <v>8.380000000000001</v>
      </c>
      <c r="E4705" s="24" t="n">
        <v>19</v>
      </c>
      <c r="F4705" s="24">
        <f>D4705*E4705</f>
        <v/>
      </c>
      <c r="G4705" s="22" t="n"/>
    </row>
    <row r="4706">
      <c r="A4706" s="22" t="inlineStr">
        <is>
          <t>3995</t>
        </is>
      </c>
      <c r="B4706" s="11" t="inlineStr">
        <is>
          <t>G.I fasteners 100 x 8 mm</t>
        </is>
      </c>
      <c r="C4706" s="22" t="inlineStr">
        <is>
          <t>each</t>
        </is>
      </c>
      <c r="D4706" s="23" t="n">
        <v>8</v>
      </c>
      <c r="E4706" s="24" t="n">
        <v>14</v>
      </c>
      <c r="F4706" s="24">
        <f>D4706*E4706</f>
        <v/>
      </c>
      <c r="G4706" s="22" t="n"/>
    </row>
    <row r="4707">
      <c r="A4707" s="22" t="inlineStr">
        <is>
          <t>9999</t>
        </is>
      </c>
      <c r="B4707" s="11" t="inlineStr">
        <is>
          <t>Sundries, plastic packers, plastic caps, SS screws and carriage of material</t>
        </is>
      </c>
      <c r="C4707" s="22" t="inlineStr">
        <is>
          <t>L.S.</t>
        </is>
      </c>
      <c r="D4707" s="23" t="n">
        <v>170</v>
      </c>
      <c r="E4707" s="24" t="n">
        <v>2</v>
      </c>
      <c r="F4707" s="24">
        <f>D4707*E4707</f>
        <v/>
      </c>
      <c r="G4707" s="22" t="n"/>
    </row>
    <row r="4708">
      <c r="A4708" s="22" t="inlineStr">
        <is>
          <t>0162</t>
        </is>
      </c>
      <c r="B4708" s="11" t="inlineStr">
        <is>
          <t>Labour for fabrication of uPVC extruded fixed windows including drilling holes, fixing of fittings &amp; hardwares, hire charges of drill machine and electricity charges etc.</t>
        </is>
      </c>
      <c r="C4708" s="22" t="inlineStr">
        <is>
          <t>sqm</t>
        </is>
      </c>
      <c r="D4708" s="23" t="n">
        <v>0.6</v>
      </c>
      <c r="E4708" s="24" t="n">
        <v>485</v>
      </c>
      <c r="F4708" s="24">
        <f>D4708*E4708</f>
        <v/>
      </c>
      <c r="G4708" s="22" t="n"/>
    </row>
    <row r="4709">
      <c r="A4709" s="22" t="inlineStr">
        <is>
          <t>0163</t>
        </is>
      </c>
      <c r="B4709" s="11" t="inlineStr">
        <is>
          <t>Labour for installation of uPVC extruded fixed windows including scaffolding</t>
        </is>
      </c>
      <c r="C4709" s="22" t="inlineStr">
        <is>
          <t>sqm</t>
        </is>
      </c>
      <c r="D4709" s="23" t="n">
        <v>0.6</v>
      </c>
      <c r="E4709" s="24" t="n">
        <v>430</v>
      </c>
      <c r="F4709" s="24">
        <f>D4709*E4709</f>
        <v/>
      </c>
      <c r="G4709" s="22" t="n"/>
    </row>
    <row r="4710">
      <c r="A4710" s="8" t="inlineStr">
        <is>
          <t>Calculated W - SUM of the Amount column above</t>
        </is>
      </c>
      <c r="B4710" s="9" t="n"/>
      <c r="C4710" s="9" t="n"/>
      <c r="D4710" s="9" t="n"/>
      <c r="E4710" s="9" t="n"/>
      <c r="F4710" s="25">
        <f>SUM(F4701:F4709)</f>
        <v/>
      </c>
      <c r="G4710" s="9" t="n"/>
    </row>
    <row r="4711">
      <c r="A4711" s="26" t="inlineStr">
        <is>
          <t>W as printed in the DAR</t>
        </is>
      </c>
      <c r="B4711" s="22" t="n"/>
      <c r="C4711" s="22" t="n"/>
      <c r="D4711" s="22" t="n"/>
      <c r="E4711" s="22" t="n"/>
      <c r="F4711" s="27" t="n">
        <v>2905.4</v>
      </c>
      <c r="G4711" s="22" t="n"/>
    </row>
    <row r="4712">
      <c r="A4712" s="26" t="inlineStr">
        <is>
          <t>Difference (calculated - printed)</t>
        </is>
      </c>
      <c r="B4712" s="22" t="n"/>
      <c r="C4712" s="22" t="n"/>
      <c r="D4712" s="22" t="n"/>
      <c r="E4712" s="22" t="n"/>
      <c r="F4712" s="27">
        <f>F4710-F4711</f>
        <v/>
      </c>
      <c r="G4712" s="22" t="n"/>
    </row>
    <row r="4713">
      <c r="A4713" s="29" t="inlineStr">
        <is>
          <t>SAY (Rs.) - final DAR rate as printed (fixed value, not computed)</t>
        </is>
      </c>
      <c r="B4713" s="30" t="n"/>
      <c r="C4713" s="30" t="n"/>
      <c r="D4713" s="30" t="n"/>
      <c r="E4713" s="30" t="n"/>
      <c r="F4713" s="31" t="n">
        <v>6478.75</v>
      </c>
      <c r="G4713" s="30" t="n"/>
    </row>
    <row r="4715" ht="120" customHeight="1">
      <c r="A4715" s="8" t="inlineStr">
        <is>
          <t>9.147C</t>
        </is>
      </c>
      <c r="B4715" s="17" t="inlineStr">
        <is>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t>
        </is>
      </c>
      <c r="C4715" s="9" t="n"/>
      <c r="D4715" s="9" t="n"/>
      <c r="E4715" s="9" t="n"/>
      <c r="F4715" s="9" t="n"/>
      <c r="G4715" s="9" t="n"/>
    </row>
    <row r="4716" ht="18.5" customHeight="1">
      <c r="A4716" s="9" t="n"/>
      <c r="B4716" s="17" t="inlineStr">
        <is>
          <t>hardware's and drainage of water etc. After fixing frame the gap</t>
        </is>
      </c>
      <c r="C4716" s="9" t="n"/>
      <c r="D4716" s="9" t="n"/>
      <c r="E4716" s="9" t="n"/>
      <c r="F4716" s="9" t="n"/>
      <c r="G4716" s="9" t="n"/>
    </row>
    <row r="4717" ht="33" customHeight="1">
      <c r="A4717" s="18" t="inlineStr">
        <is>
          <t>9.147C.1</t>
        </is>
      </c>
      <c r="B4717" s="19" t="inlineStr">
        <is>
          <t>Casement door with 3D hinges made of (big series) frame 67 x 64 mm &amp; sash 67 x 110 mm both having wall thickness of 2.3 ± 0.2 mm and single glazing bead / double glazing bead of appropriate dimension. (Area of door upto</t>
        </is>
      </c>
      <c r="C4717" s="20" t="n"/>
      <c r="D4717" s="20" t="n"/>
      <c r="E4717" s="20" t="n"/>
      <c r="F4717" s="20" t="n"/>
      <c r="G4717" s="20" t="n"/>
    </row>
    <row r="4718">
      <c r="A4718" s="21" t="inlineStr">
        <is>
          <t>Details of cost for 1.89 sqm   |   Source: CivilDAR_2019_Vol_1.pdf, page 635</t>
        </is>
      </c>
    </row>
    <row r="4719">
      <c r="A4719" s="5" t="inlineStr">
        <is>
          <t>Code</t>
        </is>
      </c>
      <c r="B4719" s="5" t="inlineStr">
        <is>
          <t>Description</t>
        </is>
      </c>
      <c r="C4719" s="5" t="inlineStr">
        <is>
          <t>Unit</t>
        </is>
      </c>
      <c r="D4719" s="5" t="inlineStr">
        <is>
          <t>Quantity</t>
        </is>
      </c>
      <c r="E4719" s="5" t="inlineStr">
        <is>
          <t>Rate (Rs.)</t>
        </is>
      </c>
      <c r="F4719" s="5" t="inlineStr">
        <is>
          <t>Amount (Rs.)</t>
        </is>
      </c>
      <c r="G4719" s="5" t="inlineStr">
        <is>
          <t>Note</t>
        </is>
      </c>
    </row>
    <row r="4720">
      <c r="A4720" s="22" t="inlineStr">
        <is>
          <t>8127</t>
        </is>
      </c>
      <c r="B4720" s="11" t="inlineStr">
        <is>
          <t>uPVC extruded (big series) casement door frame size 67x64 mm i/c 5% wastage</t>
        </is>
      </c>
      <c r="C4720" s="22" t="inlineStr">
        <is>
          <t>metre</t>
        </is>
      </c>
      <c r="D4720" s="23" t="n">
        <v>5.36</v>
      </c>
      <c r="E4720" s="24" t="n">
        <v>360.8</v>
      </c>
      <c r="F4720" s="24">
        <f>D4720*E4720</f>
        <v/>
      </c>
      <c r="G4720" s="22" t="n"/>
    </row>
    <row r="4721">
      <c r="A4721" s="22" t="inlineStr">
        <is>
          <t>8129</t>
        </is>
      </c>
      <c r="B4721" s="11" t="inlineStr">
        <is>
          <t>uPVC extruded (big series) casement door sash size 67x110 mm i/c 5% wastage</t>
        </is>
      </c>
      <c r="C4721" s="22" t="inlineStr">
        <is>
          <t>metre</t>
        </is>
      </c>
      <c r="D4721" s="23" t="n">
        <v>6.02</v>
      </c>
      <c r="E4721" s="24" t="n">
        <v>516.6</v>
      </c>
      <c r="F4721" s="24">
        <f>D4721*E4721</f>
        <v/>
      </c>
      <c r="G4721" s="22" t="n"/>
    </row>
    <row r="4722">
      <c r="A4722" s="22" t="inlineStr">
        <is>
          <t>8130</t>
        </is>
      </c>
      <c r="B4722" s="11" t="inlineStr">
        <is>
          <t>uPVC extruded glazing bead of appropriate dimension for big series casement door sash i/c 5% wastage</t>
        </is>
      </c>
      <c r="C4722" s="22" t="inlineStr">
        <is>
          <t>metre</t>
        </is>
      </c>
      <c r="D4722" s="23" t="n">
        <v>5.22</v>
      </c>
      <c r="E4722" s="24" t="n">
        <v>123</v>
      </c>
      <c r="F4722" s="24">
        <f>D4722*E4722</f>
        <v/>
      </c>
      <c r="G4722" s="22" t="n"/>
    </row>
    <row r="4723">
      <c r="A4723" s="22" t="inlineStr">
        <is>
          <t>3992</t>
        </is>
      </c>
      <c r="B4723" s="11" t="inlineStr">
        <is>
          <t>Galvanized iron (1.6 ± 0.2 mm) thick reinforcement for big series casement window/door frame, sash, mullion, i/c 5% wastage</t>
        </is>
      </c>
      <c r="C4723" s="22" t="inlineStr">
        <is>
          <t>metre</t>
        </is>
      </c>
      <c r="D4723" s="23" t="n">
        <v>5.14</v>
      </c>
      <c r="E4723" s="24" t="n">
        <v>71</v>
      </c>
      <c r="F4723" s="24">
        <f>D4723*E4723</f>
        <v/>
      </c>
      <c r="G4723" s="22" t="n"/>
    </row>
    <row r="4724">
      <c r="A4724" s="22" t="inlineStr">
        <is>
          <t>3993</t>
        </is>
      </c>
      <c r="B4724" s="11" t="inlineStr">
        <is>
          <t>Galvanized iron (1.6 ± 0.2 mm) thick reinforcement for big series casement door sash i/c 5% wastage</t>
        </is>
      </c>
      <c r="C4724" s="22" t="inlineStr">
        <is>
          <t>metre</t>
        </is>
      </c>
      <c r="D4724" s="23" t="n">
        <v>5.72</v>
      </c>
      <c r="E4724" s="24" t="n">
        <v>97</v>
      </c>
      <c r="F4724" s="24">
        <f>D4724*E4724</f>
        <v/>
      </c>
      <c r="G4724" s="22" t="n"/>
    </row>
    <row r="4725">
      <c r="A4725" s="22" t="inlineStr">
        <is>
          <t>7390</t>
        </is>
      </c>
      <c r="B4725" s="11" t="inlineStr">
        <is>
          <t>EPDM Gasket for uPVC window/door i/c 5% wastage</t>
        </is>
      </c>
      <c r="C4725" s="22" t="inlineStr">
        <is>
          <t>metre</t>
        </is>
      </c>
      <c r="D4725" s="23" t="n">
        <v>22.91</v>
      </c>
      <c r="E4725" s="24" t="n">
        <v>19</v>
      </c>
      <c r="F4725" s="24">
        <f>D4725*E4725</f>
        <v/>
      </c>
      <c r="G4725" s="22" t="n"/>
    </row>
    <row r="4726">
      <c r="A4726" s="22" t="inlineStr">
        <is>
          <t>3995</t>
        </is>
      </c>
      <c r="B4726" s="11" t="inlineStr">
        <is>
          <t>G.I fasteners 100 x 8 mm</t>
        </is>
      </c>
      <c r="C4726" s="22" t="inlineStr">
        <is>
          <t>each</t>
        </is>
      </c>
      <c r="D4726" s="23" t="n">
        <v>10</v>
      </c>
      <c r="E4726" s="24" t="n">
        <v>14</v>
      </c>
      <c r="F4726" s="24">
        <f>D4726*E4726</f>
        <v/>
      </c>
      <c r="G4726" s="22" t="n"/>
    </row>
    <row r="4727">
      <c r="A4727" s="22" t="inlineStr">
        <is>
          <t>8116</t>
        </is>
      </c>
      <c r="B4727" s="11" t="inlineStr">
        <is>
          <t>Zinc alloy (white powder coated) 3D Hinges for uPVC door`</t>
        </is>
      </c>
      <c r="C4727" s="22" t="inlineStr">
        <is>
          <t>each</t>
        </is>
      </c>
      <c r="D4727" s="23" t="n">
        <v>3</v>
      </c>
      <c r="E4727" s="24" t="n">
        <v>451</v>
      </c>
      <c r="F4727" s="24">
        <f>D4727*E4727</f>
        <v/>
      </c>
      <c r="G4727" s="22" t="n"/>
    </row>
    <row r="4728">
      <c r="A4728" s="22" t="inlineStr">
        <is>
          <t>8117</t>
        </is>
      </c>
      <c r="B4728" s="11" t="inlineStr">
        <is>
          <t>Zinc alloy (white powder coated) handles with zinc plated mild steel multi point locking having transmission gear, cylinder with keeps and one side key for uPVC casement door each</t>
        </is>
      </c>
      <c r="C4728" s="22" t="inlineStr">
        <is>
          <t>set</t>
        </is>
      </c>
      <c r="D4728" s="23" t="n">
        <v>1</v>
      </c>
      <c r="E4728" s="24" t="n">
        <v>2296</v>
      </c>
      <c r="F4728" s="24">
        <f>D4728*E4728</f>
        <v/>
      </c>
      <c r="G4728" s="22" t="n"/>
    </row>
    <row r="4729">
      <c r="A4729" s="22" t="inlineStr">
        <is>
          <t>9999</t>
        </is>
      </c>
      <c r="B4729" s="11" t="inlineStr">
        <is>
          <t>Sundries, plastic packers, plastic caps, SS screws and carriage of material</t>
        </is>
      </c>
      <c r="C4729" s="22" t="inlineStr">
        <is>
          <t>L.S.</t>
        </is>
      </c>
      <c r="D4729" s="23" t="n">
        <v>170</v>
      </c>
      <c r="E4729" s="24" t="n">
        <v>2</v>
      </c>
      <c r="F4729" s="24">
        <f>D4729*E4729</f>
        <v/>
      </c>
      <c r="G4729" s="22" t="n"/>
    </row>
    <row r="4730">
      <c r="A4730" s="22" t="inlineStr">
        <is>
          <t>0162</t>
        </is>
      </c>
      <c r="B4730" s="11" t="inlineStr">
        <is>
          <t>Labour for fabrication of uPVC extruded casement/fixed windows/and door including drilling holes, fixing of fittings &amp; hardwares, hire charges of drill machine and electricity charges etc.</t>
        </is>
      </c>
      <c r="C4730" s="22" t="inlineStr">
        <is>
          <t>sqm</t>
        </is>
      </c>
      <c r="D4730" s="23" t="n">
        <v>1.89</v>
      </c>
      <c r="E4730" s="24" t="n">
        <v>485</v>
      </c>
      <c r="F4730" s="24">
        <f>D4730*E4730</f>
        <v/>
      </c>
      <c r="G4730" s="22" t="n"/>
    </row>
    <row r="4731">
      <c r="A4731" s="22" t="inlineStr">
        <is>
          <t>0163</t>
        </is>
      </c>
      <c r="B4731" s="11" t="inlineStr">
        <is>
          <t>Labour for installation of uPVC extruded casement windows and doors including scaffolding</t>
        </is>
      </c>
      <c r="C4731" s="22" t="inlineStr">
        <is>
          <t>sqm</t>
        </is>
      </c>
      <c r="D4731" s="23" t="n">
        <v>1.89</v>
      </c>
      <c r="E4731" s="24" t="n">
        <v>430</v>
      </c>
      <c r="F4731" s="24">
        <f>D4731*E4731</f>
        <v/>
      </c>
      <c r="G4731" s="22" t="n"/>
    </row>
    <row r="4732">
      <c r="A4732" s="8" t="inlineStr">
        <is>
          <t>Calculated W - SUM of the Amount column above</t>
        </is>
      </c>
      <c r="B4732" s="9" t="n"/>
      <c r="C4732" s="9" t="n"/>
      <c r="D4732" s="9" t="n"/>
      <c r="E4732" s="9" t="n"/>
      <c r="F4732" s="25">
        <f>SUM(F4720:F4731)</f>
        <v/>
      </c>
      <c r="G4732" s="9" t="n"/>
    </row>
    <row r="4733">
      <c r="A4733" s="26" t="inlineStr">
        <is>
          <t>W as printed in the DAR</t>
        </is>
      </c>
      <c r="B4733" s="22" t="n"/>
      <c r="C4733" s="22" t="n"/>
      <c r="D4733" s="22" t="n"/>
      <c r="E4733" s="22" t="n"/>
      <c r="F4733" s="27" t="n">
        <v>12899.3</v>
      </c>
      <c r="G4733" s="22" t="n"/>
    </row>
    <row r="4734">
      <c r="A4734" s="26" t="inlineStr">
        <is>
          <t>Difference (calculated - printed)</t>
        </is>
      </c>
      <c r="B4734" s="22" t="n"/>
      <c r="C4734" s="22" t="n"/>
      <c r="D4734" s="22" t="n"/>
      <c r="E4734" s="22" t="n"/>
      <c r="F4734" s="27">
        <f>F4732-F4733</f>
        <v/>
      </c>
      <c r="G4734" s="22" t="n"/>
    </row>
    <row r="4735">
      <c r="A4735" s="29" t="inlineStr">
        <is>
          <t>SAY (Rs.) - final DAR rate as printed (fixed value, not computed)</t>
        </is>
      </c>
      <c r="B4735" s="30" t="n"/>
      <c r="C4735" s="30" t="n"/>
      <c r="D4735" s="30" t="n"/>
      <c r="E4735" s="30" t="n"/>
      <c r="F4735" s="31" t="n">
        <v>9131.450000000001</v>
      </c>
      <c r="G4735" s="30" t="n"/>
    </row>
    <row r="4737" ht="120" customHeight="1">
      <c r="A4737" s="8" t="inlineStr">
        <is>
          <t>9.147C</t>
        </is>
      </c>
      <c r="B4737" s="17" t="inlineStr">
        <is>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t>
        </is>
      </c>
      <c r="C4737" s="9" t="n"/>
      <c r="D4737" s="9" t="n"/>
      <c r="E4737" s="9" t="n"/>
      <c r="F4737" s="9" t="n"/>
      <c r="G4737" s="9" t="n"/>
    </row>
    <row r="4738" ht="18.5" customHeight="1">
      <c r="A4738" s="9" t="n"/>
      <c r="B4738" s="17" t="inlineStr">
        <is>
          <t>hardware's and drainage of water etc. After fixing frame the gap</t>
        </is>
      </c>
      <c r="C4738" s="9" t="n"/>
      <c r="D4738" s="9" t="n"/>
      <c r="E4738" s="9" t="n"/>
      <c r="F4738" s="9" t="n"/>
      <c r="G4738" s="9" t="n"/>
    </row>
    <row r="4739" ht="47.5" customHeight="1">
      <c r="A4739" s="18" t="inlineStr">
        <is>
          <t>9.147C.2</t>
        </is>
      </c>
      <c r="B4739" s="19" t="inlineStr">
        <is>
          <t>Casement door with top hung ventilator with 3D and S.S. friction hinges (400 x 19 x 1.9 mm) made of (big series) frame 67 x 64 mm, sash 67 x 110 mm &amp; mullion 67 x 80 mm all having wall thickness of 2.3 ±. 0.2 mm and single glazing bead / double glazing bead of appropriate dimension.(Area of door upto 2.50 sqm)</t>
        </is>
      </c>
      <c r="C4739" s="20" t="n"/>
      <c r="D4739" s="20" t="n"/>
      <c r="E4739" s="20" t="n"/>
      <c r="F4739" s="20" t="n"/>
      <c r="G4739" s="20" t="n"/>
    </row>
    <row r="4740">
      <c r="A4740" s="21" t="inlineStr">
        <is>
          <t>Details of cost for 2.43 sqm   |   Source: CivilDAR_2019_Vol_1.pdf, page 637</t>
        </is>
      </c>
    </row>
    <row r="4741">
      <c r="A4741" s="5" t="inlineStr">
        <is>
          <t>Code</t>
        </is>
      </c>
      <c r="B4741" s="5" t="inlineStr">
        <is>
          <t>Description</t>
        </is>
      </c>
      <c r="C4741" s="5" t="inlineStr">
        <is>
          <t>Unit</t>
        </is>
      </c>
      <c r="D4741" s="5" t="inlineStr">
        <is>
          <t>Quantity</t>
        </is>
      </c>
      <c r="E4741" s="5" t="inlineStr">
        <is>
          <t>Rate (Rs.)</t>
        </is>
      </c>
      <c r="F4741" s="5" t="inlineStr">
        <is>
          <t>Amount (Rs.)</t>
        </is>
      </c>
      <c r="G4741" s="5" t="inlineStr">
        <is>
          <t>Note</t>
        </is>
      </c>
    </row>
    <row r="4742">
      <c r="A4742" s="22" t="inlineStr">
        <is>
          <t>8127</t>
        </is>
      </c>
      <c r="B4742" s="11" t="inlineStr">
        <is>
          <t>uPVC extruded (big series) casement door frame size 67x64 mm i/c 5% wastage</t>
        </is>
      </c>
      <c r="C4742" s="22" t="inlineStr">
        <is>
          <t>metre</t>
        </is>
      </c>
      <c r="D4742" s="23" t="n">
        <v>6.3</v>
      </c>
      <c r="E4742" s="24" t="n">
        <v>360.8</v>
      </c>
      <c r="F4742" s="24">
        <f>D4742*E4742</f>
        <v/>
      </c>
      <c r="G4742" s="22" t="n"/>
    </row>
    <row r="4743">
      <c r="A4743" s="22" t="inlineStr">
        <is>
          <t>8129</t>
        </is>
      </c>
      <c r="B4743" s="11" t="inlineStr">
        <is>
          <t>uPVC extruded (big series) casement door sash size 67x110 mm i/c 5% wastage</t>
        </is>
      </c>
      <c r="C4743" s="22" t="inlineStr">
        <is>
          <t>metre</t>
        </is>
      </c>
      <c r="D4743" s="23" t="n">
        <v>6.01</v>
      </c>
      <c r="E4743" s="24" t="n">
        <v>516.6</v>
      </c>
      <c r="F4743" s="24">
        <f>D4743*E4743</f>
        <v/>
      </c>
      <c r="G4743" s="22" t="n"/>
    </row>
    <row r="4744">
      <c r="A4744" s="22" t="inlineStr">
        <is>
          <t>8128</t>
        </is>
      </c>
      <c r="B4744" s="11" t="inlineStr">
        <is>
          <t>uPVC extruded (big series) casement door sash/mullion size 67x80 mm i/c 5% wastage</t>
        </is>
      </c>
      <c r="C4744" s="22" t="inlineStr">
        <is>
          <t>metre</t>
        </is>
      </c>
      <c r="D4744" s="23" t="n">
        <v>3.55</v>
      </c>
      <c r="E4744" s="24" t="n">
        <v>426.4</v>
      </c>
      <c r="F4744" s="24">
        <f>D4744*E4744</f>
        <v/>
      </c>
      <c r="G4744" s="22" t="n"/>
    </row>
    <row r="4745">
      <c r="A4745" s="22" t="inlineStr">
        <is>
          <t>8130</t>
        </is>
      </c>
      <c r="B4745" s="11" t="inlineStr">
        <is>
          <t>uPVC extruded glazing bead of appropriate dimension for big series casement door sash i/c 5% wastage</t>
        </is>
      </c>
      <c r="C4745" s="22" t="inlineStr">
        <is>
          <t>metre</t>
        </is>
      </c>
      <c r="D4745" s="23" t="n">
        <v>8.06</v>
      </c>
      <c r="E4745" s="24" t="n">
        <v>123</v>
      </c>
      <c r="F4745" s="24">
        <f>D4745*E4745</f>
        <v/>
      </c>
      <c r="G4745" s="22" t="n"/>
    </row>
    <row r="4746">
      <c r="A4746" s="22" t="inlineStr">
        <is>
          <t>3992</t>
        </is>
      </c>
      <c r="B4746" s="11" t="inlineStr">
        <is>
          <t>Galvanized iron (1.6 ± 0.2 mm) thick reinforcement for big series casement door frame, sash, mullion, i/c 5% wastage</t>
        </is>
      </c>
      <c r="C4746" s="22" t="inlineStr">
        <is>
          <t>metre</t>
        </is>
      </c>
      <c r="D4746" s="23" t="n">
        <v>9.26</v>
      </c>
      <c r="E4746" s="24" t="n">
        <v>71</v>
      </c>
      <c r="F4746" s="24">
        <f>D4746*E4746</f>
        <v/>
      </c>
      <c r="G4746" s="22" t="n"/>
    </row>
    <row r="4747">
      <c r="A4747" s="22" t="inlineStr">
        <is>
          <t>3993</t>
        </is>
      </c>
      <c r="B4747" s="11" t="inlineStr">
        <is>
          <t>Galvanized iron (1.6 ± 0.2 mm) thick reinforcement for big series casement door sash i/c 5% wastage</t>
        </is>
      </c>
      <c r="C4747" s="22" t="inlineStr">
        <is>
          <t>metre</t>
        </is>
      </c>
      <c r="D4747" s="23" t="n">
        <v>5.71</v>
      </c>
      <c r="E4747" s="24" t="n">
        <v>97</v>
      </c>
      <c r="F4747" s="24">
        <f>D4747*E4747</f>
        <v/>
      </c>
      <c r="G4747" s="22" t="n"/>
    </row>
    <row r="4748">
      <c r="A4748" s="22" t="inlineStr">
        <is>
          <t>7390</t>
        </is>
      </c>
      <c r="B4748" s="11" t="inlineStr">
        <is>
          <t>EPDM Gasket for uPVC window/door i/c 5% wastage</t>
        </is>
      </c>
      <c r="C4748" s="22" t="inlineStr">
        <is>
          <t>metre</t>
        </is>
      </c>
      <c r="D4748" s="23" t="n">
        <v>31.98</v>
      </c>
      <c r="E4748" s="24" t="n">
        <v>19</v>
      </c>
      <c r="F4748" s="24">
        <f>D4748*E4748</f>
        <v/>
      </c>
      <c r="G4748" s="22" t="n"/>
    </row>
    <row r="4749">
      <c r="A4749" s="22" t="inlineStr">
        <is>
          <t>3995</t>
        </is>
      </c>
      <c r="B4749" s="11" t="inlineStr">
        <is>
          <t>G.I fasteners 100 x 8 mm</t>
        </is>
      </c>
      <c r="C4749" s="22" t="inlineStr">
        <is>
          <t>each</t>
        </is>
      </c>
      <c r="D4749" s="23" t="n">
        <v>12</v>
      </c>
      <c r="E4749" s="24" t="n">
        <v>14</v>
      </c>
      <c r="F4749" s="24">
        <f>D4749*E4749</f>
        <v/>
      </c>
      <c r="G4749" s="22" t="n"/>
    </row>
    <row r="4750">
      <c r="A4750" s="22" t="inlineStr">
        <is>
          <t>8116</t>
        </is>
      </c>
      <c r="B4750" s="11" t="inlineStr">
        <is>
          <t>Zinc alloy (white powder coated) 3D Hinges for uPVC door</t>
        </is>
      </c>
      <c r="C4750" s="22" t="inlineStr">
        <is>
          <t>each</t>
        </is>
      </c>
      <c r="D4750" s="23" t="n">
        <v>3</v>
      </c>
      <c r="E4750" s="24" t="n">
        <v>451</v>
      </c>
      <c r="F4750" s="24">
        <f>D4750*E4750</f>
        <v/>
      </c>
      <c r="G4750" s="22" t="n"/>
    </row>
    <row r="4751">
      <c r="A4751" s="22" t="inlineStr">
        <is>
          <t>8117</t>
        </is>
      </c>
      <c r="B4751" s="11" t="inlineStr">
        <is>
          <t>Zinc alloy (white powder coated) handles with zinc plated mild steel multi point locking having transmission gear, cylinder with keeps and one side key for uPVC casement door each</t>
        </is>
      </c>
      <c r="C4751" s="22" t="inlineStr">
        <is>
          <t>set</t>
        </is>
      </c>
      <c r="D4751" s="23" t="n">
        <v>1</v>
      </c>
      <c r="E4751" s="24" t="n">
        <v>2296</v>
      </c>
      <c r="F4751" s="24">
        <f>D4751*E4751</f>
        <v/>
      </c>
      <c r="G4751" s="22" t="n"/>
    </row>
    <row r="4752">
      <c r="A4752" s="22" t="inlineStr">
        <is>
          <t>8759</t>
        </is>
      </c>
      <c r="B4752" s="11" t="inlineStr">
        <is>
          <t>Stainless steel friction hinges (SS-304 grade) size 400 x 19 x 1.9 mm for uPVC window</t>
        </is>
      </c>
      <c r="C4752" s="22" t="inlineStr">
        <is>
          <t>each</t>
        </is>
      </c>
      <c r="D4752" s="23" t="n">
        <v>2</v>
      </c>
      <c r="E4752" s="24" t="n">
        <v>365</v>
      </c>
      <c r="F4752" s="24">
        <f>D4752*E4752</f>
        <v/>
      </c>
      <c r="G4752" s="22" t="n"/>
    </row>
    <row r="4753">
      <c r="A4753" s="22" t="inlineStr">
        <is>
          <t>8750</t>
        </is>
      </c>
      <c r="B4753" s="11" t="inlineStr">
        <is>
          <t>Zinc alloy (white powder coated) casement handle for uPVC window/ door</t>
        </is>
      </c>
      <c r="C4753" s="22" t="inlineStr">
        <is>
          <t>each</t>
        </is>
      </c>
      <c r="D4753" s="23" t="n">
        <v>1</v>
      </c>
      <c r="E4753" s="24" t="n">
        <v>130</v>
      </c>
      <c r="F4753" s="24">
        <f>D4753*E4753</f>
        <v/>
      </c>
      <c r="G4753" s="22" t="n"/>
    </row>
    <row r="4754">
      <c r="A4754" s="22" t="inlineStr">
        <is>
          <t>9999</t>
        </is>
      </c>
      <c r="B4754" s="11" t="inlineStr">
        <is>
          <t>Sundries, plastic packers, plastic caps, SS screws and carriage of material</t>
        </is>
      </c>
      <c r="C4754" s="22" t="inlineStr">
        <is>
          <t>L.S.</t>
        </is>
      </c>
      <c r="D4754" s="23" t="n">
        <v>170</v>
      </c>
      <c r="E4754" s="24" t="n">
        <v>2</v>
      </c>
      <c r="F4754" s="24">
        <f>D4754*E4754</f>
        <v/>
      </c>
      <c r="G4754" s="22" t="n"/>
    </row>
    <row r="4755">
      <c r="A4755" s="22" t="inlineStr">
        <is>
          <t>0162</t>
        </is>
      </c>
      <c r="B4755" s="11" t="inlineStr">
        <is>
          <t>Labour for fabrication of uPVC extruded casement doors including drilling holes, fixing of fittings &amp; hardwares, hire charges of drill machine and electricity charges etc.</t>
        </is>
      </c>
      <c r="C4755" s="22" t="inlineStr">
        <is>
          <t>sqm</t>
        </is>
      </c>
      <c r="D4755" s="23" t="n">
        <v>2.43</v>
      </c>
      <c r="E4755" s="24" t="n">
        <v>485</v>
      </c>
      <c r="F4755" s="24">
        <f>D4755*E4755</f>
        <v/>
      </c>
      <c r="G4755" s="22" t="n"/>
    </row>
    <row r="4756">
      <c r="A4756" s="22" t="inlineStr">
        <is>
          <t>0163</t>
        </is>
      </c>
      <c r="B4756" s="11" t="inlineStr">
        <is>
          <t>Labour for installation of uPVC extruded casement ventilator and doors including scaffolding</t>
        </is>
      </c>
      <c r="C4756" s="22" t="inlineStr">
        <is>
          <t>sqm</t>
        </is>
      </c>
      <c r="D4756" s="23" t="n">
        <v>2.43</v>
      </c>
      <c r="E4756" s="24" t="n">
        <v>430</v>
      </c>
      <c r="F4756" s="24">
        <f>D4756*E4756</f>
        <v/>
      </c>
      <c r="G4756" s="22" t="n"/>
    </row>
    <row r="4757">
      <c r="A4757" s="8" t="inlineStr">
        <is>
          <t>Calculated W - SUM of the Amount column above</t>
        </is>
      </c>
      <c r="B4757" s="9" t="n"/>
      <c r="C4757" s="9" t="n"/>
      <c r="D4757" s="9" t="n"/>
      <c r="E4757" s="9" t="n"/>
      <c r="F4757" s="25">
        <f>SUM(F4742:F4756)</f>
        <v/>
      </c>
      <c r="G4757" s="9" t="n"/>
    </row>
    <row r="4758">
      <c r="A4758" s="26" t="inlineStr">
        <is>
          <t>W as printed in the DAR</t>
        </is>
      </c>
      <c r="B4758" s="22" t="n"/>
      <c r="C4758" s="22" t="n"/>
      <c r="D4758" s="22" t="n"/>
      <c r="E4758" s="22" t="n"/>
      <c r="F4758" s="27" t="n">
        <v>16942.31</v>
      </c>
      <c r="G4758" s="22" t="n"/>
    </row>
    <row r="4759">
      <c r="A4759" s="26" t="inlineStr">
        <is>
          <t>Difference (calculated - printed)</t>
        </is>
      </c>
      <c r="B4759" s="22" t="n"/>
      <c r="C4759" s="22" t="n"/>
      <c r="D4759" s="22" t="n"/>
      <c r="E4759" s="22" t="n"/>
      <c r="F4759" s="27">
        <f>F4757-F4758</f>
        <v/>
      </c>
      <c r="G4759" s="22" t="n"/>
    </row>
    <row r="4760">
      <c r="A4760" s="29" t="inlineStr">
        <is>
          <t>SAY (Rs.) - final DAR rate as printed (fixed value, not computed)</t>
        </is>
      </c>
      <c r="B4760" s="30" t="n"/>
      <c r="C4760" s="30" t="n"/>
      <c r="D4760" s="30" t="n"/>
      <c r="E4760" s="30" t="n"/>
      <c r="F4760" s="31" t="n">
        <v>9328.299999999999</v>
      </c>
      <c r="G4760" s="30" t="n"/>
    </row>
    <row r="4762" ht="18.5" customHeight="1">
      <c r="A4762" s="8" t="inlineStr">
        <is>
          <t>9.147D</t>
        </is>
      </c>
      <c r="B4762" s="17" t="inlineStr">
        <is>
          <t>Providing and fixing factory made uPVC white colour sliding glazed window upto</t>
        </is>
      </c>
      <c r="C4762" s="9" t="n"/>
      <c r="D4762" s="9" t="n"/>
      <c r="E4762" s="9" t="n"/>
      <c r="F4762" s="9" t="n"/>
      <c r="G4762" s="9" t="n"/>
    </row>
    <row r="4763" ht="33" customHeight="1">
      <c r="A4763" s="18" t="inlineStr">
        <is>
          <t>9.147D.1</t>
        </is>
      </c>
      <c r="B4763" s="19" t="inlineStr">
        <is>
          <t>Two track two panels sliding window made of (small series) frame 52 x 44 mm &amp;sash 32 x 60 mm both having wall thickness of 1.9 ± 0.2 mm and single glazing bead of appropriate dimension. (Area of window upto 1.75 sqm)</t>
        </is>
      </c>
      <c r="C4763" s="20" t="n"/>
      <c r="D4763" s="20" t="n"/>
      <c r="E4763" s="20" t="n"/>
      <c r="F4763" s="20" t="n"/>
      <c r="G4763" s="20" t="n"/>
    </row>
    <row r="4764">
      <c r="A4764" s="21" t="inlineStr">
        <is>
          <t>Details of cost for 1.62 sqm   |   Source: CivilDAR_2019_Vol_1.pdf, page 638</t>
        </is>
      </c>
    </row>
    <row r="4765">
      <c r="A4765" s="5" t="inlineStr">
        <is>
          <t>Code</t>
        </is>
      </c>
      <c r="B4765" s="5" t="inlineStr">
        <is>
          <t>Description</t>
        </is>
      </c>
      <c r="C4765" s="5" t="inlineStr">
        <is>
          <t>Unit</t>
        </is>
      </c>
      <c r="D4765" s="5" t="inlineStr">
        <is>
          <t>Quantity</t>
        </is>
      </c>
      <c r="E4765" s="5" t="inlineStr">
        <is>
          <t>Rate (Rs.)</t>
        </is>
      </c>
      <c r="F4765" s="5" t="inlineStr">
        <is>
          <t>Amount (Rs.)</t>
        </is>
      </c>
      <c r="G4765" s="5" t="inlineStr">
        <is>
          <t>Note</t>
        </is>
      </c>
    </row>
    <row r="4766">
      <c r="A4766" s="22" t="inlineStr">
        <is>
          <t>8133</t>
        </is>
      </c>
      <c r="B4766" s="11" t="inlineStr">
        <is>
          <t>uPVC extruded (small series) 2 track sliding window frame size 52x44 mm i/c 5% wastage</t>
        </is>
      </c>
      <c r="C4766" s="22" t="inlineStr">
        <is>
          <t>metre</t>
        </is>
      </c>
      <c r="D4766" s="23" t="n">
        <v>5.36</v>
      </c>
      <c r="E4766" s="24" t="n">
        <v>285</v>
      </c>
      <c r="F4766" s="24">
        <f>D4766*E4766</f>
        <v/>
      </c>
      <c r="G4766" s="22" t="n"/>
    </row>
    <row r="4767">
      <c r="A4767" s="22" t="inlineStr">
        <is>
          <t>8137</t>
        </is>
      </c>
      <c r="B4767" s="11" t="inlineStr">
        <is>
          <t>uPVC extruded (small series) 2 track sliding window sash size 32x60mm i/c 5% wastage</t>
        </is>
      </c>
      <c r="C4767" s="22" t="inlineStr">
        <is>
          <t>metre</t>
        </is>
      </c>
      <c r="D4767" s="23" t="n">
        <v>7.9</v>
      </c>
      <c r="E4767" s="24" t="n">
        <v>265</v>
      </c>
      <c r="F4767" s="24">
        <f>D4767*E4767</f>
        <v/>
      </c>
      <c r="G4767" s="22" t="n"/>
    </row>
    <row r="4768">
      <c r="A4768" s="22" t="inlineStr">
        <is>
          <t>8140</t>
        </is>
      </c>
      <c r="B4768" s="11" t="inlineStr">
        <is>
          <t>uPVC extruded interlock of appropriate dimension for small series sliding window sash i/c 5% wastage</t>
        </is>
      </c>
      <c r="C4768" s="22" t="inlineStr">
        <is>
          <t>metre</t>
        </is>
      </c>
      <c r="D4768" s="23" t="n">
        <v>2.69</v>
      </c>
      <c r="E4768" s="24" t="n">
        <v>80</v>
      </c>
      <c r="F4768" s="24">
        <f>D4768*E4768</f>
        <v/>
      </c>
      <c r="G4768" s="22" t="n"/>
    </row>
    <row r="4769">
      <c r="A4769" s="22" t="inlineStr">
        <is>
          <t>8131</t>
        </is>
      </c>
      <c r="B4769" s="11" t="inlineStr">
        <is>
          <t>uPVC extruded glazing bead of appropriate dimension for small series sliding window sash i/c 5% wastage</t>
        </is>
      </c>
      <c r="C4769" s="22" t="inlineStr">
        <is>
          <t>metre</t>
        </is>
      </c>
      <c r="D4769" s="23" t="n">
        <v>6.92</v>
      </c>
      <c r="E4769" s="24" t="n">
        <v>60</v>
      </c>
      <c r="F4769" s="24">
        <f>D4769*E4769</f>
        <v/>
      </c>
      <c r="G4769" s="22" t="n"/>
    </row>
    <row r="4770">
      <c r="A4770" s="22" t="inlineStr">
        <is>
          <t>3991</t>
        </is>
      </c>
      <c r="B4770" s="11" t="inlineStr">
        <is>
          <t>Galvanized iron (1.6 ± 0.2 mm) thick reinforcement for small series 2 track sliding window frame and sash i/c 5% wastage</t>
        </is>
      </c>
      <c r="C4770" s="22" t="inlineStr">
        <is>
          <t>metre</t>
        </is>
      </c>
      <c r="D4770" s="23" t="n">
        <v>12.36</v>
      </c>
      <c r="E4770" s="24" t="n">
        <v>66</v>
      </c>
      <c r="F4770" s="24">
        <f>D4770*E4770</f>
        <v/>
      </c>
      <c r="G4770" s="22" t="n"/>
    </row>
    <row r="4771">
      <c r="A4771" s="22" t="inlineStr">
        <is>
          <t>7390</t>
        </is>
      </c>
      <c r="B4771" s="11" t="inlineStr">
        <is>
          <t>EPDM Gasket for uPVC window/door i/c 5% wastage</t>
        </is>
      </c>
      <c r="C4771" s="22" t="inlineStr">
        <is>
          <t>metre</t>
        </is>
      </c>
      <c r="D4771" s="23" t="n">
        <v>13.84</v>
      </c>
      <c r="E4771" s="24" t="n">
        <v>19</v>
      </c>
      <c r="F4771" s="24">
        <f>D4771*E4771</f>
        <v/>
      </c>
      <c r="G4771" s="22" t="n"/>
    </row>
    <row r="4772">
      <c r="A4772" s="22" t="inlineStr">
        <is>
          <t>8773</t>
        </is>
      </c>
      <c r="B4772" s="11" t="inlineStr">
        <is>
          <t>Wool pile/ weather pile strip for uPVC sliding window i/c 5% wastage</t>
        </is>
      </c>
      <c r="C4772" s="22" t="inlineStr">
        <is>
          <t>metre</t>
        </is>
      </c>
      <c r="D4772" s="23" t="n">
        <v>18.48</v>
      </c>
      <c r="E4772" s="24" t="n">
        <v>20</v>
      </c>
      <c r="F4772" s="24">
        <f>D4772*E4772</f>
        <v/>
      </c>
      <c r="G4772" s="22" t="n"/>
    </row>
    <row r="4773">
      <c r="A4773" s="22" t="inlineStr">
        <is>
          <t>3995</t>
        </is>
      </c>
      <c r="B4773" s="11" t="inlineStr">
        <is>
          <t>G.I fasteners 100 x 8 mm</t>
        </is>
      </c>
      <c r="C4773" s="22" t="inlineStr">
        <is>
          <t>each</t>
        </is>
      </c>
      <c r="D4773" s="23" t="n">
        <v>12</v>
      </c>
      <c r="E4773" s="24" t="n">
        <v>14</v>
      </c>
      <c r="F4773" s="24">
        <f>D4773*E4773</f>
        <v/>
      </c>
      <c r="G4773" s="22" t="n"/>
    </row>
    <row r="4774">
      <c r="A4774" s="22" t="inlineStr">
        <is>
          <t>8751</t>
        </is>
      </c>
      <c r="B4774" s="11" t="inlineStr">
        <is>
          <t>Zinc alloy (white powder coated) touch lock with hook for uPVC window</t>
        </is>
      </c>
      <c r="C4774" s="22" t="inlineStr">
        <is>
          <t>each</t>
        </is>
      </c>
      <c r="D4774" s="23" t="n">
        <v>2</v>
      </c>
      <c r="E4774" s="24" t="n">
        <v>105</v>
      </c>
      <c r="F4774" s="24">
        <f>D4774*E4774</f>
        <v/>
      </c>
      <c r="G4774" s="22" t="n"/>
    </row>
    <row r="4775">
      <c r="A4775" s="22" t="inlineStr">
        <is>
          <t>8752</t>
        </is>
      </c>
      <c r="B4775" s="11" t="inlineStr">
        <is>
          <t>Zinc alloy body with single nylon roller (weight bearing capacity to be 40 Kg) for uPVC sliding window</t>
        </is>
      </c>
      <c r="C4775" s="22" t="inlineStr">
        <is>
          <t>each</t>
        </is>
      </c>
      <c r="D4775" s="23" t="n">
        <v>4</v>
      </c>
      <c r="E4775" s="24" t="n">
        <v>56</v>
      </c>
      <c r="F4775" s="24">
        <f>D4775*E4775</f>
        <v/>
      </c>
      <c r="G4775" s="22" t="n"/>
    </row>
    <row r="4776">
      <c r="A4776" s="22" t="inlineStr">
        <is>
          <t>9999</t>
        </is>
      </c>
      <c r="B4776" s="11" t="inlineStr">
        <is>
          <t>Sundries, plastic packers, plastic caps, SS screws and carriage of material</t>
        </is>
      </c>
      <c r="C4776" s="22" t="inlineStr">
        <is>
          <t>L.S.</t>
        </is>
      </c>
      <c r="D4776" s="23" t="n">
        <v>170</v>
      </c>
      <c r="E4776" s="24" t="n">
        <v>2</v>
      </c>
      <c r="F4776" s="24">
        <f>D4776*E4776</f>
        <v/>
      </c>
      <c r="G4776" s="22" t="n"/>
    </row>
    <row r="4777">
      <c r="A4777" s="22" t="inlineStr">
        <is>
          <t>0162</t>
        </is>
      </c>
      <c r="B4777" s="11" t="inlineStr">
        <is>
          <t>Labour for fabrication of uPVC extruded sliding windows including drilling holes, fixing of fittings &amp; hardwares, hire charges of drill machine and electricity charges etc.</t>
        </is>
      </c>
      <c r="C4777" s="22" t="inlineStr">
        <is>
          <t>sqm</t>
        </is>
      </c>
      <c r="D4777" s="23" t="n">
        <v>1.62</v>
      </c>
      <c r="E4777" s="24" t="n">
        <v>485</v>
      </c>
      <c r="F4777" s="24">
        <f>D4777*E4777</f>
        <v/>
      </c>
      <c r="G4777" s="22" t="n"/>
    </row>
    <row r="4778">
      <c r="A4778" s="22" t="inlineStr">
        <is>
          <t>0163</t>
        </is>
      </c>
      <c r="B4778" s="11" t="inlineStr">
        <is>
          <t>Labour for installation of uPVC extruded sliding windows including scaffolding</t>
        </is>
      </c>
      <c r="C4778" s="22" t="inlineStr">
        <is>
          <t>sqm</t>
        </is>
      </c>
      <c r="D4778" s="23" t="n">
        <v>1.62</v>
      </c>
      <c r="E4778" s="24" t="n">
        <v>430</v>
      </c>
      <c r="F4778" s="24">
        <f>D4778*E4778</f>
        <v/>
      </c>
      <c r="G4778" s="22" t="n"/>
    </row>
    <row r="4779">
      <c r="A4779" s="8" t="inlineStr">
        <is>
          <t>Calculated W - SUM of the Amount column above</t>
        </is>
      </c>
      <c r="B4779" s="9" t="n"/>
      <c r="C4779" s="9" t="n"/>
      <c r="D4779" s="9" t="n"/>
      <c r="E4779" s="9" t="n"/>
      <c r="F4779" s="25">
        <f>SUM(F4766:F4778)</f>
        <v/>
      </c>
      <c r="G4779" s="9" t="n"/>
    </row>
    <row r="4780">
      <c r="A4780" s="26" t="inlineStr">
        <is>
          <t>W as printed in the DAR</t>
        </is>
      </c>
      <c r="B4780" s="22" t="n"/>
      <c r="C4780" s="22" t="n"/>
      <c r="D4780" s="22" t="n"/>
      <c r="E4780" s="22" t="n"/>
      <c r="F4780" s="27" t="n">
        <v>8124.12</v>
      </c>
      <c r="G4780" s="22" t="n"/>
    </row>
    <row r="4781">
      <c r="A4781" s="26" t="inlineStr">
        <is>
          <t>Difference (calculated - printed)</t>
        </is>
      </c>
      <c r="B4781" s="22" t="n"/>
      <c r="C4781" s="22" t="n"/>
      <c r="D4781" s="22" t="n"/>
      <c r="E4781" s="22" t="n"/>
      <c r="F4781" s="27">
        <f>F4779-F4780</f>
        <v/>
      </c>
      <c r="G4781" s="22" t="n"/>
    </row>
    <row r="4782">
      <c r="A4782" s="29" t="inlineStr">
        <is>
          <t>SAY (Rs.) - final DAR rate as printed (fixed value, not computed)</t>
        </is>
      </c>
      <c r="B4782" s="30" t="n"/>
      <c r="C4782" s="30" t="n"/>
      <c r="D4782" s="30" t="n"/>
      <c r="E4782" s="30" t="n"/>
      <c r="F4782" s="31" t="n">
        <v>6709.6</v>
      </c>
      <c r="G4782" s="30" t="n"/>
    </row>
    <row r="4784" ht="18.5" customHeight="1">
      <c r="A4784" s="8" t="inlineStr">
        <is>
          <t>9.147D</t>
        </is>
      </c>
      <c r="B4784" s="17" t="inlineStr">
        <is>
          <t>Providing and fixing factory made uPVC white colour sliding glazed window upto</t>
        </is>
      </c>
      <c r="C4784" s="9" t="n"/>
      <c r="D4784" s="9" t="n"/>
      <c r="E4784" s="9" t="n"/>
      <c r="F4784" s="9" t="n"/>
      <c r="G4784" s="9" t="n"/>
    </row>
    <row r="4785" ht="47.5" customHeight="1">
      <c r="A4785" s="18" t="inlineStr">
        <is>
          <t>9.147D.2</t>
        </is>
      </c>
      <c r="B4785" s="19" t="inlineStr">
        <is>
          <t>Three track three panels sliding window with fly proof SS wire mesh (Two nos. glazed &amp; one no. wire mesh panels) made of (small series) frame 92 x 44 mm &amp; sash 32 x 60 mm both having wall thickness of 1.9 ± 0.2 mm and single glazing bead of appropriate dimension (Area of window upto 1.75 sqm).</t>
        </is>
      </c>
      <c r="C4785" s="20" t="n"/>
      <c r="D4785" s="20" t="n"/>
      <c r="E4785" s="20" t="n"/>
      <c r="F4785" s="20" t="n"/>
      <c r="G4785" s="20" t="n"/>
    </row>
    <row r="4786">
      <c r="A4786" s="21" t="inlineStr">
        <is>
          <t>Details of cost for 1.62 sqm   |   Source: CivilDAR_2019_Vol_1.pdf, page 640</t>
        </is>
      </c>
    </row>
    <row r="4787">
      <c r="A4787" s="5" t="inlineStr">
        <is>
          <t>Code</t>
        </is>
      </c>
      <c r="B4787" s="5" t="inlineStr">
        <is>
          <t>Description</t>
        </is>
      </c>
      <c r="C4787" s="5" t="inlineStr">
        <is>
          <t>Unit</t>
        </is>
      </c>
      <c r="D4787" s="5" t="inlineStr">
        <is>
          <t>Quantity</t>
        </is>
      </c>
      <c r="E4787" s="5" t="inlineStr">
        <is>
          <t>Rate (Rs.)</t>
        </is>
      </c>
      <c r="F4787" s="5" t="inlineStr">
        <is>
          <t>Amount (Rs.)</t>
        </is>
      </c>
      <c r="G4787" s="5" t="inlineStr">
        <is>
          <t>Note</t>
        </is>
      </c>
    </row>
    <row r="4788">
      <c r="A4788" s="22" t="inlineStr">
        <is>
          <t>8135</t>
        </is>
      </c>
      <c r="B4788" s="11" t="inlineStr">
        <is>
          <t>uPVC extruded (small series) 3 track sliding window frame size 92x44 mm i/c 5% wastage</t>
        </is>
      </c>
      <c r="C4788" s="22" t="inlineStr">
        <is>
          <t>metre</t>
        </is>
      </c>
      <c r="D4788" s="23" t="n">
        <v>5.06</v>
      </c>
      <c r="E4788" s="24" t="n">
        <v>380</v>
      </c>
      <c r="F4788" s="24">
        <f>D4788*E4788</f>
        <v/>
      </c>
      <c r="G4788" s="22" t="n"/>
    </row>
    <row r="4789">
      <c r="A4789" s="22" t="inlineStr">
        <is>
          <t>8137</t>
        </is>
      </c>
      <c r="B4789" s="11" t="inlineStr">
        <is>
          <t>uPVC extruded (small series) 3 track sliding window sash size 32x60mm i/c 5% wastage</t>
        </is>
      </c>
      <c r="C4789" s="22" t="inlineStr">
        <is>
          <t>metre</t>
        </is>
      </c>
      <c r="D4789" s="23" t="n">
        <v>11.84</v>
      </c>
      <c r="E4789" s="24" t="n">
        <v>265</v>
      </c>
      <c r="F4789" s="24">
        <f>D4789*E4789</f>
        <v/>
      </c>
      <c r="G4789" s="22" t="n"/>
    </row>
    <row r="4790">
      <c r="A4790" s="22" t="inlineStr">
        <is>
          <t>8140</t>
        </is>
      </c>
      <c r="B4790" s="11" t="inlineStr">
        <is>
          <t>uPVC extruded interlock of appropriate dimension for small series sliding window sash i/c 5% wastage</t>
        </is>
      </c>
      <c r="C4790" s="22" t="inlineStr">
        <is>
          <t>metre</t>
        </is>
      </c>
      <c r="D4790" s="23" t="n">
        <v>4.04</v>
      </c>
      <c r="E4790" s="24" t="n">
        <v>80</v>
      </c>
      <c r="F4790" s="24">
        <f>D4790*E4790</f>
        <v/>
      </c>
      <c r="G4790" s="22" t="n"/>
    </row>
    <row r="4791">
      <c r="A4791" s="22" t="inlineStr">
        <is>
          <t>8131</t>
        </is>
      </c>
      <c r="B4791" s="11" t="inlineStr">
        <is>
          <t>uPVC extruded glazing bead of appropriate dimension for small series sliding window sash i/c 5% wastage</t>
        </is>
      </c>
      <c r="C4791" s="22" t="inlineStr">
        <is>
          <t>metre</t>
        </is>
      </c>
      <c r="D4791" s="23" t="n">
        <v>10.38</v>
      </c>
      <c r="E4791" s="24" t="n">
        <v>60</v>
      </c>
      <c r="F4791" s="24">
        <f>D4791*E4791</f>
        <v/>
      </c>
      <c r="G4791" s="22" t="n"/>
    </row>
    <row r="4792">
      <c r="A4792" s="22" t="inlineStr">
        <is>
          <t>3991</t>
        </is>
      </c>
      <c r="B4792" s="11" t="inlineStr">
        <is>
          <t>Galvanized iron (1.6 ± 0.2 mm) thick reinforcement for small series sliding window frame and sash i/c 5% wastage</t>
        </is>
      </c>
      <c r="C4792" s="22" t="inlineStr">
        <is>
          <t>metre</t>
        </is>
      </c>
      <c r="D4792" s="23" t="n">
        <v>20.46</v>
      </c>
      <c r="E4792" s="24" t="n">
        <v>66</v>
      </c>
      <c r="F4792" s="24">
        <f>D4792*E4792</f>
        <v/>
      </c>
      <c r="G4792" s="22" t="n"/>
    </row>
    <row r="4793">
      <c r="A4793" s="22" t="inlineStr">
        <is>
          <t>7390</t>
        </is>
      </c>
      <c r="B4793" s="11" t="inlineStr">
        <is>
          <t>EPDM Gasket for uPVC window i/c 5% wastage</t>
        </is>
      </c>
      <c r="C4793" s="22" t="inlineStr">
        <is>
          <t>metre</t>
        </is>
      </c>
      <c r="D4793" s="23" t="n">
        <v>20.76</v>
      </c>
      <c r="E4793" s="24" t="n">
        <v>19</v>
      </c>
      <c r="F4793" s="24">
        <f>D4793*E4793</f>
        <v/>
      </c>
      <c r="G4793" s="22" t="n"/>
    </row>
    <row r="4794">
      <c r="A4794" s="22" t="inlineStr">
        <is>
          <t>8773</t>
        </is>
      </c>
      <c r="B4794" s="11" t="inlineStr">
        <is>
          <t>Wool pile/ weather pile strip for uPVC sliding window i/c 5% wastage</t>
        </is>
      </c>
      <c r="C4794" s="22" t="inlineStr">
        <is>
          <t>metre</t>
        </is>
      </c>
      <c r="D4794" s="23" t="n">
        <v>27.72</v>
      </c>
      <c r="E4794" s="24" t="n">
        <v>20</v>
      </c>
      <c r="F4794" s="24">
        <f>D4794*E4794</f>
        <v/>
      </c>
      <c r="G4794" s="22" t="n"/>
    </row>
    <row r="4795">
      <c r="A4795" s="22" t="inlineStr">
        <is>
          <t>3995</t>
        </is>
      </c>
      <c r="B4795" s="11" t="inlineStr">
        <is>
          <t>G.I fasteners 100 x 8 mm</t>
        </is>
      </c>
      <c r="C4795" s="22" t="inlineStr">
        <is>
          <t>each</t>
        </is>
      </c>
      <c r="D4795" s="23" t="n">
        <v>12</v>
      </c>
      <c r="E4795" s="24" t="n">
        <v>14</v>
      </c>
      <c r="F4795" s="24">
        <f>D4795*E4795</f>
        <v/>
      </c>
      <c r="G4795" s="22" t="n"/>
    </row>
    <row r="4796">
      <c r="A4796" s="22" t="inlineStr">
        <is>
          <t>8751</t>
        </is>
      </c>
      <c r="B4796" s="11" t="inlineStr">
        <is>
          <t>Zinc alloy (white powder coated) touch lock with hook for uPVC window</t>
        </is>
      </c>
      <c r="C4796" s="22" t="inlineStr">
        <is>
          <t>each</t>
        </is>
      </c>
      <c r="D4796" s="23" t="n">
        <v>2</v>
      </c>
      <c r="E4796" s="24" t="n">
        <v>105</v>
      </c>
      <c r="F4796" s="24">
        <f>D4796*E4796</f>
        <v/>
      </c>
      <c r="G4796" s="22" t="n"/>
    </row>
    <row r="4797">
      <c r="A4797" s="22" t="inlineStr">
        <is>
          <t>8752</t>
        </is>
      </c>
      <c r="B4797" s="11" t="inlineStr">
        <is>
          <t>Zinc alloy body with single nylon roller (weight bearing capacity to be 40 Kg) for uPVC sliding window</t>
        </is>
      </c>
      <c r="C4797" s="22" t="inlineStr">
        <is>
          <t>each</t>
        </is>
      </c>
      <c r="D4797" s="23" t="n">
        <v>6</v>
      </c>
      <c r="E4797" s="24" t="n">
        <v>56</v>
      </c>
      <c r="F4797" s="24">
        <f>D4797*E4797</f>
        <v/>
      </c>
      <c r="G4797" s="22" t="n"/>
    </row>
    <row r="4798">
      <c r="A4798" s="22" t="inlineStr">
        <is>
          <t>9999</t>
        </is>
      </c>
      <c r="B4798" s="11" t="inlineStr">
        <is>
          <t>Sundries, plastic packers, plastic caps, SS screws and carriage of material</t>
        </is>
      </c>
      <c r="C4798" s="22" t="inlineStr">
        <is>
          <t>L.S.</t>
        </is>
      </c>
      <c r="D4798" s="23" t="n">
        <v>170</v>
      </c>
      <c r="E4798" s="24" t="n">
        <v>2</v>
      </c>
      <c r="F4798" s="24">
        <f>D4798*E4798</f>
        <v/>
      </c>
      <c r="G4798" s="22" t="n"/>
    </row>
    <row r="4799">
      <c r="A4799" s="22" t="inlineStr">
        <is>
          <t>0162</t>
        </is>
      </c>
      <c r="B4799" s="11" t="inlineStr">
        <is>
          <t>Labour for fabrication of uPVC extruded sliding windows including drilling holes, fixing of fittings &amp; hardwares, hire charges of drill machine and electricity charges etc.</t>
        </is>
      </c>
      <c r="C4799" s="22" t="inlineStr">
        <is>
          <t>sqm</t>
        </is>
      </c>
      <c r="D4799" s="23" t="n">
        <v>1.62</v>
      </c>
      <c r="E4799" s="24" t="n">
        <v>485</v>
      </c>
      <c r="F4799" s="24">
        <f>D4799*E4799</f>
        <v/>
      </c>
      <c r="G4799" s="22" t="n"/>
    </row>
    <row r="4800">
      <c r="A4800" s="22" t="inlineStr">
        <is>
          <t>0163</t>
        </is>
      </c>
      <c r="B4800" s="11" t="inlineStr">
        <is>
          <t>Labour for installation of uPVC extruded sliding windows including scaffolding</t>
        </is>
      </c>
      <c r="C4800" s="22" t="inlineStr">
        <is>
          <t>sqm</t>
        </is>
      </c>
      <c r="D4800" s="23" t="n">
        <v>1.62</v>
      </c>
      <c r="E4800" s="24" t="n">
        <v>430</v>
      </c>
      <c r="F4800" s="24">
        <f>D4800*E4800</f>
        <v/>
      </c>
      <c r="G4800" s="22" t="n"/>
    </row>
    <row r="4801">
      <c r="A4801" s="8" t="inlineStr">
        <is>
          <t>Calculated W - SUM of the Amount column above</t>
        </is>
      </c>
      <c r="B4801" s="9" t="n"/>
      <c r="C4801" s="9" t="n"/>
      <c r="D4801" s="9" t="n"/>
      <c r="E4801" s="9" t="n"/>
      <c r="F4801" s="25">
        <f>SUM(F4788:F4800)</f>
        <v/>
      </c>
      <c r="G4801" s="9" t="n"/>
    </row>
    <row r="4802">
      <c r="A4802" s="26" t="inlineStr">
        <is>
          <t>W as printed in the DAR</t>
        </is>
      </c>
      <c r="B4802" s="22" t="n"/>
      <c r="C4802" s="22" t="n"/>
      <c r="D4802" s="22" t="n"/>
      <c r="E4802" s="22" t="n"/>
      <c r="F4802" s="27" t="n">
        <v>10841.9</v>
      </c>
      <c r="G4802" s="22" t="n"/>
    </row>
    <row r="4803">
      <c r="A4803" s="26" t="inlineStr">
        <is>
          <t>Difference (calculated - printed)</t>
        </is>
      </c>
      <c r="B4803" s="22" t="n"/>
      <c r="C4803" s="22" t="n"/>
      <c r="D4803" s="22" t="n"/>
      <c r="E4803" s="22" t="n"/>
      <c r="F4803" s="27">
        <f>F4801-F4802</f>
        <v/>
      </c>
      <c r="G4803" s="22" t="n"/>
    </row>
    <row r="4804">
      <c r="A4804" s="29" t="inlineStr">
        <is>
          <t>SAY (Rs.) - final DAR rate as printed (fixed value, not computed)</t>
        </is>
      </c>
      <c r="B4804" s="30" t="n"/>
      <c r="C4804" s="30" t="n"/>
      <c r="D4804" s="30" t="n"/>
      <c r="E4804" s="30" t="n"/>
      <c r="F4804" s="31" t="n">
        <v>8954.200000000001</v>
      </c>
      <c r="G4804" s="30" t="n"/>
    </row>
    <row r="4806" ht="18.5" customHeight="1">
      <c r="A4806" s="8" t="inlineStr">
        <is>
          <t>9.147D</t>
        </is>
      </c>
      <c r="B4806" s="17" t="inlineStr">
        <is>
          <t>Providing and fixing factory made uPVC white colour sliding glazed window upto</t>
        </is>
      </c>
      <c r="C4806" s="9" t="n"/>
      <c r="D4806" s="9" t="n"/>
      <c r="E4806" s="9" t="n"/>
      <c r="F4806" s="9" t="n"/>
      <c r="G4806" s="9" t="n"/>
    </row>
    <row r="4807" ht="33" customHeight="1">
      <c r="A4807" s="18" t="inlineStr">
        <is>
          <t>9.147D.3</t>
        </is>
      </c>
      <c r="B4807" s="19" t="inlineStr">
        <is>
          <t>Two track two panels sliding window made of (big series) frame 67 x 50 mm &amp; sash 46 x 62 mm both having wall thickness of 2.3 ± 0.2 mm and single glazing bead / double glazing bead of appropriate dimension . (Area of window above</t>
        </is>
      </c>
      <c r="C4807" s="20" t="n"/>
      <c r="D4807" s="20" t="n"/>
      <c r="E4807" s="20" t="n"/>
      <c r="F4807" s="20" t="n"/>
      <c r="G4807" s="20" t="n"/>
    </row>
    <row r="4808">
      <c r="A4808" s="21" t="inlineStr">
        <is>
          <t>Details of cost for 2.03 sqm   |   Source: CivilDAR_2019_Vol_1.pdf, page 641</t>
        </is>
      </c>
    </row>
    <row r="4809">
      <c r="A4809" s="5" t="inlineStr">
        <is>
          <t>Code</t>
        </is>
      </c>
      <c r="B4809" s="5" t="inlineStr">
        <is>
          <t>Description</t>
        </is>
      </c>
      <c r="C4809" s="5" t="inlineStr">
        <is>
          <t>Unit</t>
        </is>
      </c>
      <c r="D4809" s="5" t="inlineStr">
        <is>
          <t>Quantity</t>
        </is>
      </c>
      <c r="E4809" s="5" t="inlineStr">
        <is>
          <t>Rate (Rs.)</t>
        </is>
      </c>
      <c r="F4809" s="5" t="inlineStr">
        <is>
          <t>Amount (Rs.)</t>
        </is>
      </c>
      <c r="G4809" s="5" t="inlineStr">
        <is>
          <t>Note</t>
        </is>
      </c>
    </row>
    <row r="4810">
      <c r="A4810" s="22" t="inlineStr">
        <is>
          <t>8134</t>
        </is>
      </c>
      <c r="B4810" s="11" t="inlineStr">
        <is>
          <t>uPVC extruded (big series) 2 track sliding window frame size 67x50mm i/c 5% wastage</t>
        </is>
      </c>
      <c r="C4810" s="22" t="inlineStr">
        <is>
          <t>metre</t>
        </is>
      </c>
      <c r="D4810" s="23" t="n">
        <v>5.99</v>
      </c>
      <c r="E4810" s="24" t="n">
        <v>385</v>
      </c>
      <c r="F4810" s="24">
        <f>D4810*E4810</f>
        <v/>
      </c>
      <c r="G4810" s="22" t="n"/>
    </row>
    <row r="4811">
      <c r="A4811" s="22" t="inlineStr">
        <is>
          <t>8138</t>
        </is>
      </c>
      <c r="B4811" s="11" t="inlineStr">
        <is>
          <t>uPVC extruded (big series) 2 track sliding window sash size 46x62mm i/c 5% wastage</t>
        </is>
      </c>
      <c r="C4811" s="22" t="inlineStr">
        <is>
          <t>metre</t>
        </is>
      </c>
      <c r="D4811" s="23" t="n">
        <v>8.359999999999999</v>
      </c>
      <c r="E4811" s="24" t="n">
        <v>325</v>
      </c>
      <c r="F4811" s="24">
        <f>D4811*E4811</f>
        <v/>
      </c>
      <c r="G4811" s="22" t="n"/>
    </row>
    <row r="4812">
      <c r="A4812" s="22" t="inlineStr">
        <is>
          <t>8141</t>
        </is>
      </c>
      <c r="B4812" s="11" t="inlineStr">
        <is>
          <t>uPVC extruded interlock of appropriate dimension for big series sliding window sash i/c 5% wastage</t>
        </is>
      </c>
      <c r="C4812" s="22" t="inlineStr">
        <is>
          <t>metre</t>
        </is>
      </c>
      <c r="D4812" s="23" t="n">
        <v>2.65</v>
      </c>
      <c r="E4812" s="24" t="n">
        <v>90</v>
      </c>
      <c r="F4812" s="24">
        <f>D4812*E4812</f>
        <v/>
      </c>
      <c r="G4812" s="22" t="n"/>
    </row>
    <row r="4813">
      <c r="A4813" s="22" t="inlineStr">
        <is>
          <t>8132</t>
        </is>
      </c>
      <c r="B4813" s="11" t="inlineStr">
        <is>
          <t>uPVC extruded glazing bead of appropriate dimension for big series of sliding window Sash i/c 5% wastage</t>
        </is>
      </c>
      <c r="C4813" s="22" t="inlineStr">
        <is>
          <t>metre</t>
        </is>
      </c>
      <c r="D4813" s="23" t="n">
        <v>7.64</v>
      </c>
      <c r="E4813" s="24" t="n">
        <v>85</v>
      </c>
      <c r="F4813" s="24">
        <f>D4813*E4813</f>
        <v/>
      </c>
      <c r="G4813" s="22" t="n"/>
    </row>
    <row r="4814">
      <c r="A4814" s="22" t="inlineStr">
        <is>
          <t>3992</t>
        </is>
      </c>
      <c r="B4814" s="11" t="inlineStr">
        <is>
          <t>Galvanized iron (1.6 ± 0.2 mm) thick reinforcement for big series sliding window frame (2 track sliding window frame i/c 5% wastage)</t>
        </is>
      </c>
      <c r="C4814" s="22" t="inlineStr">
        <is>
          <t>metre</t>
        </is>
      </c>
      <c r="D4814" s="23" t="n">
        <v>5.69</v>
      </c>
      <c r="E4814" s="24" t="n">
        <v>71</v>
      </c>
      <c r="F4814" s="24">
        <f>D4814*E4814</f>
        <v/>
      </c>
      <c r="G4814" s="22" t="n"/>
    </row>
    <row r="4815">
      <c r="A4815" s="22" t="inlineStr">
        <is>
          <t>3994</t>
        </is>
      </c>
      <c r="B4815" s="11" t="inlineStr">
        <is>
          <t>Galvanized iron (1.6 ± 0.2 mm) thick reinforcement for big series sliding window sash (2 track sliding window sash i/c 5% wastage)</t>
        </is>
      </c>
      <c r="C4815" s="22" t="inlineStr">
        <is>
          <t>metre</t>
        </is>
      </c>
      <c r="D4815" s="23" t="n">
        <v>7.76</v>
      </c>
      <c r="E4815" s="24" t="n">
        <v>86</v>
      </c>
      <c r="F4815" s="24">
        <f>D4815*E4815</f>
        <v/>
      </c>
      <c r="G4815" s="22" t="n"/>
    </row>
    <row r="4816">
      <c r="A4816" s="22" t="inlineStr">
        <is>
          <t>7390</t>
        </is>
      </c>
      <c r="B4816" s="11" t="inlineStr">
        <is>
          <t>EPDM Gasket for uPVC window i/c 5% wastage</t>
        </is>
      </c>
      <c r="C4816" s="22" t="inlineStr">
        <is>
          <t>metre</t>
        </is>
      </c>
      <c r="D4816" s="23" t="n">
        <v>15.28</v>
      </c>
      <c r="E4816" s="24" t="n">
        <v>19</v>
      </c>
      <c r="F4816" s="24">
        <f>D4816*E4816</f>
        <v/>
      </c>
      <c r="G4816" s="22" t="n"/>
    </row>
    <row r="4817">
      <c r="A4817" s="22" t="inlineStr">
        <is>
          <t>8773</t>
        </is>
      </c>
      <c r="B4817" s="11" t="inlineStr">
        <is>
          <t>Wool pile/ weather pile strip for uPVC sliding window i/c 5% wastage</t>
        </is>
      </c>
      <c r="C4817" s="22" t="inlineStr">
        <is>
          <t>metre</t>
        </is>
      </c>
      <c r="D4817" s="23" t="n">
        <v>19.37</v>
      </c>
      <c r="E4817" s="24" t="n">
        <v>20</v>
      </c>
      <c r="F4817" s="24">
        <f>D4817*E4817</f>
        <v/>
      </c>
      <c r="G4817" s="22" t="n"/>
    </row>
    <row r="4818">
      <c r="A4818" s="22" t="inlineStr">
        <is>
          <t>3995</t>
        </is>
      </c>
      <c r="B4818" s="11" t="inlineStr">
        <is>
          <t>G.I fasteners 100 x 8 mm</t>
        </is>
      </c>
      <c r="C4818" s="22" t="inlineStr">
        <is>
          <t>each</t>
        </is>
      </c>
      <c r="D4818" s="23" t="n">
        <v>14</v>
      </c>
      <c r="E4818" s="24" t="n">
        <v>14</v>
      </c>
      <c r="F4818" s="24">
        <f>D4818*E4818</f>
        <v/>
      </c>
      <c r="G4818" s="22" t="n"/>
    </row>
    <row r="4819">
      <c r="A4819" s="22" t="inlineStr">
        <is>
          <t>8751</t>
        </is>
      </c>
      <c r="B4819" s="11" t="inlineStr">
        <is>
          <t>Zinc alloy (white powder coated) touch lock with hook for uPVC window</t>
        </is>
      </c>
      <c r="C4819" s="22" t="inlineStr">
        <is>
          <t>each</t>
        </is>
      </c>
      <c r="D4819" s="23" t="n">
        <v>2</v>
      </c>
      <c r="E4819" s="24" t="n">
        <v>105</v>
      </c>
      <c r="F4819" s="24">
        <f>D4819*E4819</f>
        <v/>
      </c>
      <c r="G4819" s="22" t="n"/>
    </row>
    <row r="4820">
      <c r="A4820" s="22" t="inlineStr">
        <is>
          <t>8752</t>
        </is>
      </c>
      <c r="B4820" s="11" t="inlineStr">
        <is>
          <t>Zinc alloy body with single nylon roller (weight bearing capacity to be 40 Kg) for uPVC sliding window</t>
        </is>
      </c>
      <c r="C4820" s="22" t="inlineStr">
        <is>
          <t>each</t>
        </is>
      </c>
      <c r="D4820" s="23" t="n">
        <v>4</v>
      </c>
      <c r="E4820" s="24" t="n">
        <v>56</v>
      </c>
      <c r="F4820" s="24">
        <f>D4820*E4820</f>
        <v/>
      </c>
      <c r="G4820" s="22" t="n"/>
    </row>
    <row r="4821">
      <c r="A4821" s="22" t="inlineStr">
        <is>
          <t>9999</t>
        </is>
      </c>
      <c r="B4821" s="11" t="inlineStr">
        <is>
          <t>Sundries, plastic packers, plastic caps, SS screws and carriage of material</t>
        </is>
      </c>
      <c r="C4821" s="22" t="inlineStr">
        <is>
          <t>L.S.</t>
        </is>
      </c>
      <c r="D4821" s="23" t="n">
        <v>170</v>
      </c>
      <c r="E4821" s="24" t="n">
        <v>2</v>
      </c>
      <c r="F4821" s="24">
        <f>D4821*E4821</f>
        <v/>
      </c>
      <c r="G4821" s="22" t="n"/>
    </row>
    <row r="4822">
      <c r="A4822" s="22" t="inlineStr">
        <is>
          <t>0162</t>
        </is>
      </c>
      <c r="B4822" s="11" t="inlineStr">
        <is>
          <t>Labour for fabrication of uPVC extruded sliding windows including drilling holes, fixing of fittings &amp; hardwares, hire charges of drill machine and electricity charges etc.</t>
        </is>
      </c>
      <c r="C4822" s="22" t="inlineStr">
        <is>
          <t>sqm</t>
        </is>
      </c>
      <c r="D4822" s="23" t="n">
        <v>2.03</v>
      </c>
      <c r="E4822" s="24" t="n">
        <v>485</v>
      </c>
      <c r="F4822" s="24">
        <f>D4822*E4822</f>
        <v/>
      </c>
      <c r="G4822" s="22" t="n"/>
    </row>
    <row r="4823">
      <c r="A4823" s="22" t="inlineStr">
        <is>
          <t>0163</t>
        </is>
      </c>
      <c r="B4823" s="11" t="inlineStr">
        <is>
          <t>Labour for installation of uPVC extruded sliding windows including scaffolding</t>
        </is>
      </c>
      <c r="C4823" s="22" t="inlineStr">
        <is>
          <t>sqm</t>
        </is>
      </c>
      <c r="D4823" s="23" t="n">
        <v>2.03</v>
      </c>
      <c r="E4823" s="24" t="n">
        <v>430</v>
      </c>
      <c r="F4823" s="24">
        <f>D4823*E4823</f>
        <v/>
      </c>
      <c r="G4823" s="22" t="n"/>
    </row>
    <row r="4824">
      <c r="A4824" s="8" t="inlineStr">
        <is>
          <t>Calculated W - SUM of the Amount column above</t>
        </is>
      </c>
      <c r="B4824" s="9" t="n"/>
      <c r="C4824" s="9" t="n"/>
      <c r="D4824" s="9" t="n"/>
      <c r="E4824" s="9" t="n"/>
      <c r="F4824" s="25">
        <f>SUM(F4810:F4823)</f>
        <v/>
      </c>
      <c r="G4824" s="9" t="n"/>
    </row>
    <row r="4825">
      <c r="A4825" s="26" t="inlineStr">
        <is>
          <t>W as printed in the DAR</t>
        </is>
      </c>
      <c r="B4825" s="22" t="n"/>
      <c r="C4825" s="22" t="n"/>
      <c r="D4825" s="22" t="n"/>
      <c r="E4825" s="22" t="n"/>
      <c r="F4825" s="27" t="n">
        <v>10487.57</v>
      </c>
      <c r="G4825" s="22" t="n"/>
    </row>
    <row r="4826">
      <c r="A4826" s="26" t="inlineStr">
        <is>
          <t>Difference (calculated - printed)</t>
        </is>
      </c>
      <c r="B4826" s="22" t="n"/>
      <c r="C4826" s="22" t="n"/>
      <c r="D4826" s="22" t="n"/>
      <c r="E4826" s="22" t="n"/>
      <c r="F4826" s="27">
        <f>F4824-F4825</f>
        <v/>
      </c>
      <c r="G4826" s="22" t="n"/>
    </row>
    <row r="4827">
      <c r="A4827" s="29" t="inlineStr">
        <is>
          <t>SAY (Rs.) - final DAR rate as printed (fixed value, not computed)</t>
        </is>
      </c>
      <c r="B4827" s="30" t="n"/>
      <c r="C4827" s="30" t="n"/>
      <c r="D4827" s="30" t="n"/>
      <c r="E4827" s="30" t="n"/>
      <c r="F4827" s="31" t="n">
        <v>6912.15</v>
      </c>
      <c r="G4827" s="30" t="n"/>
    </row>
    <row r="4829" ht="18.5" customHeight="1">
      <c r="A4829" s="8" t="inlineStr">
        <is>
          <t>9.147D</t>
        </is>
      </c>
      <c r="B4829" s="17" t="inlineStr">
        <is>
          <t>Providing and fixing factory made uPVC white colour sliding glazed window upto</t>
        </is>
      </c>
      <c r="C4829" s="9" t="n"/>
      <c r="D4829" s="9" t="n"/>
      <c r="E4829" s="9" t="n"/>
      <c r="F4829" s="9" t="n"/>
      <c r="G4829" s="9" t="n"/>
    </row>
    <row r="4830" ht="47.5" customHeight="1">
      <c r="A4830" s="18" t="inlineStr">
        <is>
          <t>9.147D.4</t>
        </is>
      </c>
      <c r="B4830" s="19" t="inlineStr">
        <is>
          <t>Three track three panels sliding window with fly proof S.S wire mesh (Two nos. glazed &amp; one no. wire mesh panels) made of (big series) frame 116 x 45 mm &amp; sash 46 x 62 mm both having wall thickness of 2.3 ± 0.2 mm and single glazing bead / double glazing bead of appropriate dimension. (Area of window above 1.75 sqm).</t>
        </is>
      </c>
      <c r="C4830" s="20" t="n"/>
      <c r="D4830" s="20" t="n"/>
      <c r="E4830" s="20" t="n"/>
      <c r="F4830" s="20" t="n"/>
      <c r="G4830" s="20" t="n"/>
    </row>
    <row r="4831">
      <c r="A4831" s="21" t="inlineStr">
        <is>
          <t>Details of cost for 2.43 sqm   |   Source: CivilDAR_2019_Vol_1.pdf, page 642</t>
        </is>
      </c>
    </row>
    <row r="4832">
      <c r="A4832" s="5" t="inlineStr">
        <is>
          <t>Code</t>
        </is>
      </c>
      <c r="B4832" s="5" t="inlineStr">
        <is>
          <t>Description</t>
        </is>
      </c>
      <c r="C4832" s="5" t="inlineStr">
        <is>
          <t>Unit</t>
        </is>
      </c>
      <c r="D4832" s="5" t="inlineStr">
        <is>
          <t>Quantity</t>
        </is>
      </c>
      <c r="E4832" s="5" t="inlineStr">
        <is>
          <t>Rate (Rs.)</t>
        </is>
      </c>
      <c r="F4832" s="5" t="inlineStr">
        <is>
          <t>Amount (Rs.)</t>
        </is>
      </c>
      <c r="G4832" s="5" t="inlineStr">
        <is>
          <t>Note</t>
        </is>
      </c>
    </row>
    <row r="4833">
      <c r="A4833" s="22" t="inlineStr">
        <is>
          <t>8136</t>
        </is>
      </c>
      <c r="B4833" s="11" t="inlineStr">
        <is>
          <t>uPVC extruded (big series) 3 track sliding window frame size 116x45mm i/c 5% wastage</t>
        </is>
      </c>
      <c r="C4833" s="22" t="inlineStr">
        <is>
          <t>metre</t>
        </is>
      </c>
      <c r="D4833" s="23" t="n">
        <v>6.62</v>
      </c>
      <c r="E4833" s="24" t="n">
        <v>530</v>
      </c>
      <c r="F4833" s="24">
        <f>D4833*E4833</f>
        <v/>
      </c>
      <c r="G4833" s="22" t="n"/>
    </row>
    <row r="4834">
      <c r="A4834" s="22" t="inlineStr">
        <is>
          <t>8139</t>
        </is>
      </c>
      <c r="B4834" s="11" t="inlineStr">
        <is>
          <t>uPVC extruded (big series) 3 track sliding window sash size 46x62mm i/c 5% wastage</t>
        </is>
      </c>
      <c r="C4834" s="22" t="inlineStr">
        <is>
          <t>metre</t>
        </is>
      </c>
      <c r="D4834" s="23" t="n">
        <v>13.49</v>
      </c>
      <c r="E4834" s="24" t="n">
        <v>325</v>
      </c>
      <c r="F4834" s="24">
        <f>D4834*E4834</f>
        <v/>
      </c>
      <c r="G4834" s="22" t="n"/>
    </row>
    <row r="4835">
      <c r="A4835" s="22" t="inlineStr">
        <is>
          <t>8141</t>
        </is>
      </c>
      <c r="B4835" s="11" t="inlineStr">
        <is>
          <t>uPVC extruded interlock of appropriate dimension for big series sliding window sash i/c 5% wastage</t>
        </is>
      </c>
      <c r="C4835" s="22" t="inlineStr">
        <is>
          <t>metre</t>
        </is>
      </c>
      <c r="D4835" s="23" t="n">
        <v>3.98</v>
      </c>
      <c r="E4835" s="24" t="n">
        <v>90</v>
      </c>
      <c r="F4835" s="24">
        <f>D4835*E4835</f>
        <v/>
      </c>
      <c r="G4835" s="22" t="n"/>
    </row>
    <row r="4836">
      <c r="A4836" s="22" t="inlineStr">
        <is>
          <t>8132</t>
        </is>
      </c>
      <c r="B4836" s="11" t="inlineStr">
        <is>
          <t>uPVC extruded glazing bead of appropriate dimension for big series of sliding window Sash i/c 5% wastage</t>
        </is>
      </c>
      <c r="C4836" s="22" t="inlineStr">
        <is>
          <t>metre</t>
        </is>
      </c>
      <c r="D4836" s="23" t="n">
        <v>11.91</v>
      </c>
      <c r="E4836" s="24" t="n">
        <v>85</v>
      </c>
      <c r="F4836" s="24">
        <f>D4836*E4836</f>
        <v/>
      </c>
      <c r="G4836" s="22" t="n"/>
    </row>
    <row r="4837">
      <c r="A4837" s="22" t="inlineStr">
        <is>
          <t>3992</t>
        </is>
      </c>
      <c r="B4837" s="11" t="inlineStr">
        <is>
          <t>Galvanized iron (1.6 ± 0.2 mm) thick reinforcement for big series sliding window frame (3 track sliding window frame i/c 5% wastage)</t>
        </is>
      </c>
      <c r="C4837" s="22" t="inlineStr">
        <is>
          <t>metre</t>
        </is>
      </c>
      <c r="D4837" s="23" t="n">
        <v>12.64</v>
      </c>
      <c r="E4837" s="24" t="n">
        <v>71</v>
      </c>
      <c r="F4837" s="24">
        <f>D4837*E4837</f>
        <v/>
      </c>
      <c r="G4837" s="22" t="n"/>
    </row>
    <row r="4838">
      <c r="A4838" s="22" t="inlineStr">
        <is>
          <t>3994</t>
        </is>
      </c>
      <c r="B4838" s="11" t="inlineStr">
        <is>
          <t>Galvanized iron (1.6 ± 0.2 mm) thick reinforcement for big series sliding window sash (3 track sliding window sash i/c 5% wastage)</t>
        </is>
      </c>
      <c r="C4838" s="22" t="inlineStr">
        <is>
          <t>metre</t>
        </is>
      </c>
      <c r="D4838" s="23" t="n">
        <v>12.59</v>
      </c>
      <c r="E4838" s="24" t="n">
        <v>86</v>
      </c>
      <c r="F4838" s="24">
        <f>D4838*E4838</f>
        <v/>
      </c>
      <c r="G4838" s="22" t="n"/>
    </row>
    <row r="4839">
      <c r="A4839" s="22" t="inlineStr">
        <is>
          <t>7390</t>
        </is>
      </c>
      <c r="B4839" s="11" t="inlineStr">
        <is>
          <t>EPDM Gasket for uPVC window i/c 5% wastage</t>
        </is>
      </c>
      <c r="C4839" s="22" t="inlineStr">
        <is>
          <t>metre</t>
        </is>
      </c>
      <c r="D4839" s="23" t="n">
        <v>23.81</v>
      </c>
      <c r="E4839" s="24" t="n">
        <v>19</v>
      </c>
      <c r="F4839" s="24">
        <f>D4839*E4839</f>
        <v/>
      </c>
      <c r="G4839" s="22" t="n"/>
    </row>
    <row r="4840">
      <c r="A4840" s="22" t="inlineStr">
        <is>
          <t>8773</t>
        </is>
      </c>
      <c r="B4840" s="11" t="inlineStr">
        <is>
          <t>Wool pile/ weather pile strip for uPVC sliding window i/c 5% wastage</t>
        </is>
      </c>
      <c r="C4840" s="22" t="inlineStr">
        <is>
          <t>metre</t>
        </is>
      </c>
      <c r="D4840" s="23" t="n">
        <v>30.96</v>
      </c>
      <c r="E4840" s="24" t="n">
        <v>20</v>
      </c>
      <c r="F4840" s="24">
        <f>D4840*E4840</f>
        <v/>
      </c>
      <c r="G4840" s="22" t="n"/>
    </row>
    <row r="4841">
      <c r="A4841" s="22" t="inlineStr">
        <is>
          <t>3995</t>
        </is>
      </c>
      <c r="B4841" s="11" t="inlineStr">
        <is>
          <t>G.I fasteners 100 x 8 mm</t>
        </is>
      </c>
      <c r="C4841" s="22" t="inlineStr">
        <is>
          <t>each</t>
        </is>
      </c>
      <c r="D4841" s="23" t="n">
        <v>16</v>
      </c>
      <c r="E4841" s="24" t="n">
        <v>14</v>
      </c>
      <c r="F4841" s="24">
        <f>D4841*E4841</f>
        <v/>
      </c>
      <c r="G4841" s="22" t="n"/>
    </row>
    <row r="4842">
      <c r="A4842" s="22" t="inlineStr">
        <is>
          <t>8751</t>
        </is>
      </c>
      <c r="B4842" s="11" t="inlineStr">
        <is>
          <t>Zinc alloy (white powder coated) touch lock with hook for uPVC window</t>
        </is>
      </c>
      <c r="C4842" s="22" t="inlineStr">
        <is>
          <t>each</t>
        </is>
      </c>
      <c r="D4842" s="23" t="n">
        <v>2</v>
      </c>
      <c r="E4842" s="24" t="n">
        <v>105</v>
      </c>
      <c r="F4842" s="24">
        <f>D4842*E4842</f>
        <v/>
      </c>
      <c r="G4842" s="22" t="n"/>
    </row>
    <row r="4843">
      <c r="A4843" s="22" t="inlineStr">
        <is>
          <t>8752</t>
        </is>
      </c>
      <c r="B4843" s="11" t="inlineStr">
        <is>
          <t>Zinc alloy body with single nylon roller (weight bearing capacity to be 40 Kg) for uPVC sliding window</t>
        </is>
      </c>
      <c r="C4843" s="22" t="inlineStr">
        <is>
          <t>each</t>
        </is>
      </c>
      <c r="D4843" s="23" t="n">
        <v>6</v>
      </c>
      <c r="E4843" s="24" t="n">
        <v>56</v>
      </c>
      <c r="F4843" s="24">
        <f>D4843*E4843</f>
        <v/>
      </c>
      <c r="G4843" s="22" t="n"/>
    </row>
    <row r="4844">
      <c r="A4844" s="22" t="inlineStr">
        <is>
          <t>9999</t>
        </is>
      </c>
      <c r="B4844" s="11" t="inlineStr">
        <is>
          <t>Sundries, plastic packers, plastic caps, SS screws and carriage of material</t>
        </is>
      </c>
      <c r="C4844" s="22" t="inlineStr">
        <is>
          <t>L.S.</t>
        </is>
      </c>
      <c r="D4844" s="23" t="n">
        <v>170</v>
      </c>
      <c r="E4844" s="24" t="n">
        <v>2</v>
      </c>
      <c r="F4844" s="24">
        <f>D4844*E4844</f>
        <v/>
      </c>
      <c r="G4844" s="22" t="n"/>
    </row>
    <row r="4845">
      <c r="A4845" s="22" t="inlineStr">
        <is>
          <t>0162</t>
        </is>
      </c>
      <c r="B4845" s="11" t="inlineStr">
        <is>
          <t>Labour for fabrication of uPVC extruded sliding windows including drilling holes, fixing of fittings &amp; hardwares, hire charges of drill machine and electricity charges etc.</t>
        </is>
      </c>
      <c r="C4845" s="22" t="inlineStr">
        <is>
          <t>sqm</t>
        </is>
      </c>
      <c r="D4845" s="23" t="n">
        <v>2.43</v>
      </c>
      <c r="E4845" s="24" t="n">
        <v>485</v>
      </c>
      <c r="F4845" s="24">
        <f>D4845*E4845</f>
        <v/>
      </c>
      <c r="G4845" s="22" t="n"/>
    </row>
    <row r="4846">
      <c r="A4846" s="22" t="inlineStr">
        <is>
          <t>0163</t>
        </is>
      </c>
      <c r="B4846" s="11" t="inlineStr">
        <is>
          <t>Labour for installation of uPVC extruded casement/ sliding windows including scaffolding</t>
        </is>
      </c>
      <c r="C4846" s="22" t="inlineStr">
        <is>
          <t>sqm</t>
        </is>
      </c>
      <c r="D4846" s="23" t="n">
        <v>2.43</v>
      </c>
      <c r="E4846" s="24" t="n">
        <v>430</v>
      </c>
      <c r="F4846" s="24">
        <f>D4846*E4846</f>
        <v/>
      </c>
      <c r="G4846" s="22" t="n"/>
    </row>
    <row r="4847">
      <c r="A4847" s="8" t="inlineStr">
        <is>
          <t>Calculated W - SUM of the Amount column above</t>
        </is>
      </c>
      <c r="B4847" s="9" t="n"/>
      <c r="C4847" s="9" t="n"/>
      <c r="D4847" s="9" t="n"/>
      <c r="E4847" s="9" t="n"/>
      <c r="F4847" s="25">
        <f>SUM(F4833:F4846)</f>
        <v/>
      </c>
      <c r="G4847" s="9" t="n"/>
    </row>
    <row r="4848">
      <c r="A4848" s="26" t="inlineStr">
        <is>
          <t>W as printed in the DAR</t>
        </is>
      </c>
      <c r="B4848" s="22" t="n"/>
      <c r="C4848" s="22" t="n"/>
      <c r="D4848" s="22" t="n"/>
      <c r="E4848" s="22" t="n"/>
      <c r="F4848" s="27" t="n">
        <v>15648.62</v>
      </c>
      <c r="G4848" s="22" t="n"/>
    </row>
    <row r="4849">
      <c r="A4849" s="26" t="inlineStr">
        <is>
          <t>Difference (calculated - printed)</t>
        </is>
      </c>
      <c r="B4849" s="22" t="n"/>
      <c r="C4849" s="22" t="n"/>
      <c r="D4849" s="22" t="n"/>
      <c r="E4849" s="22" t="n"/>
      <c r="F4849" s="27">
        <f>F4847-F4848</f>
        <v/>
      </c>
      <c r="G4849" s="22" t="n"/>
    </row>
    <row r="4850">
      <c r="A4850" s="29" t="inlineStr">
        <is>
          <t>SAY (Rs.) - final DAR rate as printed (fixed value, not computed)</t>
        </is>
      </c>
      <c r="B4850" s="30" t="n"/>
      <c r="C4850" s="30" t="n"/>
      <c r="D4850" s="30" t="n"/>
      <c r="E4850" s="30" t="n"/>
      <c r="F4850" s="31" t="n">
        <v>8616</v>
      </c>
      <c r="G4850" s="30" t="n"/>
    </row>
    <row r="4852" ht="18.5" customHeight="1">
      <c r="A4852" s="8" t="inlineStr">
        <is>
          <t>9.147D</t>
        </is>
      </c>
      <c r="B4852" s="17" t="inlineStr">
        <is>
          <t>Providing and fixing factory made uPVC white colour sliding glazed window upto</t>
        </is>
      </c>
      <c r="C4852" s="9" t="n"/>
      <c r="D4852" s="9" t="n"/>
      <c r="E4852" s="9" t="n"/>
      <c r="F4852" s="9" t="n"/>
      <c r="G4852" s="9" t="n"/>
    </row>
    <row r="4853" ht="33" customHeight="1">
      <c r="A4853" s="18" t="inlineStr">
        <is>
          <t>9.147D.5</t>
        </is>
      </c>
      <c r="B4853" s="19" t="inlineStr">
        <is>
          <t>Three track three panels sliding window made of (big series) frame 116 x 45 mm &amp; sash 46 x 62 mm both having wall thickness of 2.3 ± 0.2 mm and single glazing bead / double glazing bead of appropriate dimension. (Area of window above</t>
        </is>
      </c>
      <c r="C4853" s="20" t="n"/>
      <c r="D4853" s="20" t="n"/>
      <c r="E4853" s="20" t="n"/>
      <c r="F4853" s="20" t="n"/>
      <c r="G4853" s="20" t="n"/>
    </row>
    <row r="4854">
      <c r="A4854" s="21" t="inlineStr">
        <is>
          <t>Details of cost for 2.43 sqm   |   Source: CivilDAR_2019_Vol_1.pdf, page 643</t>
        </is>
      </c>
    </row>
    <row r="4855">
      <c r="A4855" s="5" t="inlineStr">
        <is>
          <t>Code</t>
        </is>
      </c>
      <c r="B4855" s="5" t="inlineStr">
        <is>
          <t>Description</t>
        </is>
      </c>
      <c r="C4855" s="5" t="inlineStr">
        <is>
          <t>Unit</t>
        </is>
      </c>
      <c r="D4855" s="5" t="inlineStr">
        <is>
          <t>Quantity</t>
        </is>
      </c>
      <c r="E4855" s="5" t="inlineStr">
        <is>
          <t>Rate (Rs.)</t>
        </is>
      </c>
      <c r="F4855" s="5" t="inlineStr">
        <is>
          <t>Amount (Rs.)</t>
        </is>
      </c>
      <c r="G4855" s="5" t="inlineStr">
        <is>
          <t>Note</t>
        </is>
      </c>
    </row>
    <row r="4856">
      <c r="A4856" s="22" t="inlineStr">
        <is>
          <t>8136</t>
        </is>
      </c>
      <c r="B4856" s="11" t="inlineStr">
        <is>
          <t>uPVC extruded (big series) 3 track sliding window frame size 116x45mm i/c 5% wastage</t>
        </is>
      </c>
      <c r="C4856" s="22" t="inlineStr">
        <is>
          <t>metre</t>
        </is>
      </c>
      <c r="D4856" s="23" t="n">
        <v>6.62</v>
      </c>
      <c r="E4856" s="24" t="n">
        <v>530</v>
      </c>
      <c r="F4856" s="24">
        <f>D4856*E4856</f>
        <v/>
      </c>
      <c r="G4856" s="22" t="n"/>
    </row>
    <row r="4857">
      <c r="A4857" s="22" t="inlineStr">
        <is>
          <t>8139</t>
        </is>
      </c>
      <c r="B4857" s="11" t="inlineStr">
        <is>
          <t>uPVC extruded (big series) 3 track sliding window sash size 46x62mm i/c 5% wastage</t>
        </is>
      </c>
      <c r="C4857" s="22" t="inlineStr">
        <is>
          <t>metre</t>
        </is>
      </c>
      <c r="D4857" s="23" t="n">
        <v>11.85</v>
      </c>
      <c r="E4857" s="24" t="n">
        <v>325</v>
      </c>
      <c r="F4857" s="24">
        <f>D4857*E4857</f>
        <v/>
      </c>
      <c r="G4857" s="22" t="n"/>
    </row>
    <row r="4858">
      <c r="A4858" s="22" t="inlineStr">
        <is>
          <t>8141</t>
        </is>
      </c>
      <c r="B4858" s="11" t="inlineStr">
        <is>
          <t>uPVC extruded interlock of appropriate dimension for big series sliding window sash i/c 5% wastage</t>
        </is>
      </c>
      <c r="C4858" s="22" t="inlineStr">
        <is>
          <t>metre</t>
        </is>
      </c>
      <c r="D4858" s="23" t="n">
        <v>5.3</v>
      </c>
      <c r="E4858" s="24" t="n">
        <v>90</v>
      </c>
      <c r="F4858" s="24">
        <f>D4858*E4858</f>
        <v/>
      </c>
      <c r="G4858" s="22" t="n"/>
    </row>
    <row r="4859">
      <c r="A4859" s="22" t="inlineStr">
        <is>
          <t>8132</t>
        </is>
      </c>
      <c r="B4859" s="11" t="inlineStr">
        <is>
          <t>uPVC extruded glazing bead of appropriate dimension for big series of sliding window Sash i/c 5% wastage</t>
        </is>
      </c>
      <c r="C4859" s="22" t="inlineStr">
        <is>
          <t>metre</t>
        </is>
      </c>
      <c r="D4859" s="23" t="n">
        <v>10.26</v>
      </c>
      <c r="E4859" s="24" t="n">
        <v>85</v>
      </c>
      <c r="F4859" s="24">
        <f>D4859*E4859</f>
        <v/>
      </c>
      <c r="G4859" s="22" t="n"/>
    </row>
    <row r="4860">
      <c r="A4860" s="22" t="inlineStr">
        <is>
          <t>3992</t>
        </is>
      </c>
      <c r="B4860" s="11" t="inlineStr">
        <is>
          <t>Galvanized iron (1.6 ± 0.2 mm) thick reinforcement for big series sliding window frame (3 track sliding window frame i/c 5% wastage)</t>
        </is>
      </c>
      <c r="C4860" s="22" t="inlineStr">
        <is>
          <t>metre</t>
        </is>
      </c>
      <c r="D4860" s="23" t="n">
        <v>12.64</v>
      </c>
      <c r="E4860" s="24" t="n">
        <v>71</v>
      </c>
      <c r="F4860" s="24">
        <f>D4860*E4860</f>
        <v/>
      </c>
      <c r="G4860" s="22" t="n"/>
    </row>
    <row r="4861">
      <c r="A4861" s="22" t="inlineStr">
        <is>
          <t>3994</t>
        </is>
      </c>
      <c r="B4861" s="11" t="inlineStr">
        <is>
          <t>Galvanized iron (1.6 ± 0.2 mm) thick reinforcement for big series sliding window sash (3 track sliding window sash i/c 5% wastage)</t>
        </is>
      </c>
      <c r="C4861" s="22" t="inlineStr">
        <is>
          <t>metre</t>
        </is>
      </c>
      <c r="D4861" s="23" t="n">
        <v>10.95</v>
      </c>
      <c r="E4861" s="24" t="n">
        <v>86</v>
      </c>
      <c r="F4861" s="24">
        <f>D4861*E4861</f>
        <v/>
      </c>
      <c r="G4861" s="22" t="n"/>
    </row>
    <row r="4862">
      <c r="A4862" s="22" t="inlineStr">
        <is>
          <t>7390</t>
        </is>
      </c>
      <c r="B4862" s="11" t="inlineStr">
        <is>
          <t>EPDM Gasket for uPVC window i/c 5% wastage</t>
        </is>
      </c>
      <c r="C4862" s="22" t="inlineStr">
        <is>
          <t>metre</t>
        </is>
      </c>
      <c r="D4862" s="23" t="n">
        <v>20.52</v>
      </c>
      <c r="E4862" s="24" t="n">
        <v>19</v>
      </c>
      <c r="F4862" s="24">
        <f>D4862*E4862</f>
        <v/>
      </c>
      <c r="G4862" s="22" t="n"/>
    </row>
    <row r="4863">
      <c r="A4863" s="22" t="inlineStr">
        <is>
          <t>8773</t>
        </is>
      </c>
      <c r="B4863" s="11" t="inlineStr">
        <is>
          <t>Wool pile/ weather pile strip for uPVC sliding window i/c 5% wastage</t>
        </is>
      </c>
      <c r="C4863" s="22" t="inlineStr">
        <is>
          <t>metre</t>
        </is>
      </c>
      <c r="D4863" s="23" t="n">
        <v>29</v>
      </c>
      <c r="E4863" s="24" t="n">
        <v>20</v>
      </c>
      <c r="F4863" s="24">
        <f>D4863*E4863</f>
        <v/>
      </c>
      <c r="G4863" s="22" t="n"/>
    </row>
    <row r="4864">
      <c r="A4864" s="22" t="inlineStr">
        <is>
          <t>3995</t>
        </is>
      </c>
      <c r="B4864" s="11" t="inlineStr">
        <is>
          <t>G.I fasteners 100 x 8 mm</t>
        </is>
      </c>
      <c r="C4864" s="22" t="inlineStr">
        <is>
          <t>each</t>
        </is>
      </c>
      <c r="D4864" s="23" t="n">
        <v>16</v>
      </c>
      <c r="E4864" s="24" t="n">
        <v>14</v>
      </c>
      <c r="F4864" s="24">
        <f>D4864*E4864</f>
        <v/>
      </c>
      <c r="G4864" s="22" t="n"/>
    </row>
    <row r="4865">
      <c r="A4865" s="22" t="inlineStr">
        <is>
          <t>8751</t>
        </is>
      </c>
      <c r="B4865" s="11" t="inlineStr">
        <is>
          <t>Zinc alloy (white powder coated) touch lock with hook for uPVC window</t>
        </is>
      </c>
      <c r="C4865" s="22" t="inlineStr">
        <is>
          <t>each</t>
        </is>
      </c>
      <c r="D4865" s="23" t="n">
        <v>2</v>
      </c>
      <c r="E4865" s="24" t="n">
        <v>105</v>
      </c>
      <c r="F4865" s="24">
        <f>D4865*E4865</f>
        <v/>
      </c>
      <c r="G4865" s="22" t="n"/>
    </row>
    <row r="4866">
      <c r="A4866" s="22" t="inlineStr">
        <is>
          <t>8752</t>
        </is>
      </c>
      <c r="B4866" s="11" t="inlineStr">
        <is>
          <t>Zinc alloy body with single nylon roller (weight bearing capacity to be 40 Kg) for uPVC sliding window</t>
        </is>
      </c>
      <c r="C4866" s="22" t="inlineStr">
        <is>
          <t>each</t>
        </is>
      </c>
      <c r="D4866" s="23" t="n">
        <v>6</v>
      </c>
      <c r="E4866" s="24" t="n">
        <v>56</v>
      </c>
      <c r="F4866" s="24">
        <f>D4866*E4866</f>
        <v/>
      </c>
      <c r="G4866" s="22" t="n"/>
    </row>
    <row r="4867">
      <c r="A4867" s="22" t="inlineStr">
        <is>
          <t>9999</t>
        </is>
      </c>
      <c r="B4867" s="11" t="inlineStr">
        <is>
          <t>Sundries, plastic packers, plastic caps, SS screws and carriage of material</t>
        </is>
      </c>
      <c r="C4867" s="22" t="inlineStr">
        <is>
          <t>L.S.</t>
        </is>
      </c>
      <c r="D4867" s="23" t="n">
        <v>170</v>
      </c>
      <c r="E4867" s="24" t="n">
        <v>2</v>
      </c>
      <c r="F4867" s="24">
        <f>D4867*E4867</f>
        <v/>
      </c>
      <c r="G4867" s="22" t="n"/>
    </row>
    <row r="4868">
      <c r="A4868" s="22" t="inlineStr">
        <is>
          <t>0162</t>
        </is>
      </c>
      <c r="B4868" s="11" t="inlineStr">
        <is>
          <t>Labour for fabrication of uPVC extruded sliding windows including drilling holes, fixing of fittings &amp; hardwares, hire charges of drill machine and electricity charges etc.</t>
        </is>
      </c>
      <c r="C4868" s="22" t="inlineStr">
        <is>
          <t>sqm</t>
        </is>
      </c>
      <c r="D4868" s="23" t="n">
        <v>2.43</v>
      </c>
      <c r="E4868" s="24" t="n">
        <v>485</v>
      </c>
      <c r="F4868" s="24">
        <f>D4868*E4868</f>
        <v/>
      </c>
      <c r="G4868" s="22" t="n"/>
    </row>
    <row r="4869">
      <c r="A4869" s="22" t="inlineStr">
        <is>
          <t>0163</t>
        </is>
      </c>
      <c r="B4869" s="11" t="inlineStr">
        <is>
          <t>Labour for installation of uPVC extruded sliding windows including scaffolding</t>
        </is>
      </c>
      <c r="C4869" s="22" t="inlineStr">
        <is>
          <t>sqm</t>
        </is>
      </c>
      <c r="D4869" s="23" t="n">
        <v>2.43</v>
      </c>
      <c r="E4869" s="24" t="n">
        <v>430</v>
      </c>
      <c r="F4869" s="24">
        <f>D4869*E4869</f>
        <v/>
      </c>
      <c r="G4869" s="22" t="n"/>
    </row>
    <row r="4870">
      <c r="A4870" s="8" t="inlineStr">
        <is>
          <t>Calculated W - SUM of the Amount column above</t>
        </is>
      </c>
      <c r="B4870" s="9" t="n"/>
      <c r="C4870" s="9" t="n"/>
      <c r="D4870" s="9" t="n"/>
      <c r="E4870" s="9" t="n"/>
      <c r="F4870" s="25">
        <f>SUM(F4856:F4869)</f>
        <v/>
      </c>
      <c r="G4870" s="9" t="n"/>
    </row>
    <row r="4871">
      <c r="A4871" s="26" t="inlineStr">
        <is>
          <t>W as printed in the DAR</t>
        </is>
      </c>
      <c r="B4871" s="22" t="n"/>
      <c r="C4871" s="22" t="n"/>
      <c r="D4871" s="22" t="n"/>
      <c r="E4871" s="22" t="n"/>
      <c r="F4871" s="27" t="n">
        <v>14851.42</v>
      </c>
      <c r="G4871" s="22" t="n"/>
    </row>
    <row r="4872">
      <c r="A4872" s="26" t="inlineStr">
        <is>
          <t>Difference (calculated - printed)</t>
        </is>
      </c>
      <c r="B4872" s="22" t="n"/>
      <c r="C4872" s="22" t="n"/>
      <c r="D4872" s="22" t="n"/>
      <c r="E4872" s="22" t="n"/>
      <c r="F4872" s="27">
        <f>F4870-F4871</f>
        <v/>
      </c>
      <c r="G4872" s="22" t="n"/>
    </row>
    <row r="4873">
      <c r="A4873" s="29" t="inlineStr">
        <is>
          <t>SAY (Rs.) - final DAR rate as printed (fixed value, not computed)</t>
        </is>
      </c>
      <c r="B4873" s="30" t="n"/>
      <c r="C4873" s="30" t="n"/>
      <c r="D4873" s="30" t="n"/>
      <c r="E4873" s="30" t="n"/>
      <c r="F4873" s="31" t="n">
        <v>8177.05</v>
      </c>
      <c r="G4873" s="30" t="n"/>
    </row>
    <row r="4875" ht="33" customHeight="1">
      <c r="A4875" s="8" t="inlineStr">
        <is>
          <t>9.147E</t>
        </is>
      </c>
      <c r="B4875" s="17" t="inlineStr">
        <is>
          <t>Providing and fixing factory made uPVC white colour sliding glazed window above 1.50 m in height dimension comprising of uPVC multi-chambered frame with in-built roller track and sash extruded profiles duly reinforced with 1.60 ±</t>
        </is>
      </c>
      <c r="C4875" s="9" t="n"/>
      <c r="D4875" s="9" t="n"/>
      <c r="E4875" s="9" t="n"/>
      <c r="F4875" s="9" t="n"/>
      <c r="G4875" s="9" t="n"/>
    </row>
    <row r="4876" ht="33" customHeight="1">
      <c r="A4876" s="18" t="inlineStr">
        <is>
          <t>9.147E.1</t>
        </is>
      </c>
      <c r="B4876" s="19" t="inlineStr">
        <is>
          <t>Two track two panels sliding window made of (big series) frame 67 x 50 mm &amp; sash 46 x 62 mm both having wall thickness of 2.3 ± 0.2 mm and single glazing bead / double glazing bead of appropriate dimension. (Area of window above</t>
        </is>
      </c>
      <c r="C4876" s="20" t="n"/>
      <c r="D4876" s="20" t="n"/>
      <c r="E4876" s="20" t="n"/>
      <c r="F4876" s="20" t="n"/>
      <c r="G4876" s="20" t="n"/>
    </row>
    <row r="4877">
      <c r="A4877" s="21" t="inlineStr">
        <is>
          <t>Details of cost for 3.6 sqm   |   Source: CivilDAR_2019_Vol_1.pdf, page 645</t>
        </is>
      </c>
    </row>
    <row r="4878">
      <c r="A4878" s="5" t="inlineStr">
        <is>
          <t>Code</t>
        </is>
      </c>
      <c r="B4878" s="5" t="inlineStr">
        <is>
          <t>Description</t>
        </is>
      </c>
      <c r="C4878" s="5" t="inlineStr">
        <is>
          <t>Unit</t>
        </is>
      </c>
      <c r="D4878" s="5" t="inlineStr">
        <is>
          <t>Quantity</t>
        </is>
      </c>
      <c r="E4878" s="5" t="inlineStr">
        <is>
          <t>Rate (Rs.)</t>
        </is>
      </c>
      <c r="F4878" s="5" t="inlineStr">
        <is>
          <t>Amount (Rs.)</t>
        </is>
      </c>
      <c r="G4878" s="5" t="inlineStr">
        <is>
          <t>Note</t>
        </is>
      </c>
    </row>
    <row r="4879">
      <c r="A4879" s="22" t="inlineStr">
        <is>
          <t>8134</t>
        </is>
      </c>
      <c r="B4879" s="11" t="inlineStr">
        <is>
          <t>uPVC extruded (big series) 2 track sliding window frame size 67x50mm i/c 5% wastage</t>
        </is>
      </c>
      <c r="C4879" s="22" t="inlineStr">
        <is>
          <t>metre</t>
        </is>
      </c>
      <c r="D4879" s="23" t="n">
        <v>8.19</v>
      </c>
      <c r="E4879" s="24" t="n">
        <v>385</v>
      </c>
      <c r="F4879" s="24">
        <f>D4879*E4879</f>
        <v/>
      </c>
      <c r="G4879" s="22" t="n"/>
    </row>
    <row r="4880">
      <c r="A4880" s="22" t="inlineStr">
        <is>
          <t>8138</t>
        </is>
      </c>
      <c r="B4880" s="11" t="inlineStr">
        <is>
          <t>uPVC extruded (big series) 2 track sliding window sash size 46x62mm i/c 5% wastage</t>
        </is>
      </c>
      <c r="C4880" s="22" t="inlineStr">
        <is>
          <t>metre</t>
        </is>
      </c>
      <c r="D4880" s="23" t="n">
        <v>12.77</v>
      </c>
      <c r="E4880" s="24" t="n">
        <v>325</v>
      </c>
      <c r="F4880" s="24">
        <f>D4880*E4880</f>
        <v/>
      </c>
      <c r="G4880" s="22" t="n"/>
    </row>
    <row r="4881">
      <c r="A4881" s="22" t="inlineStr">
        <is>
          <t>8141</t>
        </is>
      </c>
      <c r="B4881" s="11" t="inlineStr">
        <is>
          <t>uPVC extruded interlock of appropriate dimension for big series sliding window sash i/c 5% wastage</t>
        </is>
      </c>
      <c r="C4881" s="22" t="inlineStr">
        <is>
          <t>metre</t>
        </is>
      </c>
      <c r="D4881" s="23" t="n">
        <v>4.86</v>
      </c>
      <c r="E4881" s="24" t="n">
        <v>90</v>
      </c>
      <c r="F4881" s="24">
        <f>D4881*E4881</f>
        <v/>
      </c>
      <c r="G4881" s="22" t="n"/>
    </row>
    <row r="4882">
      <c r="A4882" s="22" t="inlineStr">
        <is>
          <t>8132</t>
        </is>
      </c>
      <c r="B4882" s="11" t="inlineStr">
        <is>
          <t>uPVC extruded glazing bead of appropriate dimension for big series of sliding window Sash i/c 5% wastage</t>
        </is>
      </c>
      <c r="C4882" s="22" t="inlineStr">
        <is>
          <t>metre</t>
        </is>
      </c>
      <c r="D4882" s="23" t="n">
        <v>12.04</v>
      </c>
      <c r="E4882" s="24" t="n">
        <v>85</v>
      </c>
      <c r="F4882" s="24">
        <f>D4882*E4882</f>
        <v/>
      </c>
      <c r="G4882" s="22" t="n"/>
    </row>
    <row r="4883">
      <c r="A4883" s="22" t="inlineStr">
        <is>
          <t>3992</t>
        </is>
      </c>
      <c r="B4883" s="11" t="inlineStr">
        <is>
          <t>Galvanized iron (1.6 ± 0.2 mm) thick reinforcement for big series sliding window frame (2 track sliding window frame i/c 5% wastage)</t>
        </is>
      </c>
      <c r="C4883" s="22" t="inlineStr">
        <is>
          <t>metre</t>
        </is>
      </c>
      <c r="D4883" s="23" t="n">
        <v>7.89</v>
      </c>
      <c r="E4883" s="24" t="n">
        <v>71</v>
      </c>
      <c r="F4883" s="24">
        <f>D4883*E4883</f>
        <v/>
      </c>
      <c r="G4883" s="22" t="n"/>
    </row>
    <row r="4884">
      <c r="A4884" s="22" t="inlineStr">
        <is>
          <t>3994</t>
        </is>
      </c>
      <c r="B4884" s="11" t="inlineStr">
        <is>
          <t>Galvanized iron (1.6 ± 0.2 mm) thick reinforcement for big series sliding window sash (2 track sliding window sash i/c 5% wastage)</t>
        </is>
      </c>
      <c r="C4884" s="22" t="inlineStr">
        <is>
          <t>metre</t>
        </is>
      </c>
      <c r="D4884" s="23" t="n">
        <v>12.17</v>
      </c>
      <c r="E4884" s="24" t="n">
        <v>86</v>
      </c>
      <c r="F4884" s="24">
        <f>D4884*E4884</f>
        <v/>
      </c>
      <c r="G4884" s="22" t="n"/>
    </row>
    <row r="4885">
      <c r="A4885" s="22" t="inlineStr">
        <is>
          <t>7390</t>
        </is>
      </c>
      <c r="B4885" s="11" t="inlineStr">
        <is>
          <t>EPDM Gasket for uPVC window i/c 5% wastage</t>
        </is>
      </c>
      <c r="C4885" s="22" t="inlineStr">
        <is>
          <t>metre</t>
        </is>
      </c>
      <c r="D4885" s="23" t="n">
        <v>24.08</v>
      </c>
      <c r="E4885" s="24" t="n">
        <v>19</v>
      </c>
      <c r="F4885" s="24">
        <f>D4885*E4885</f>
        <v/>
      </c>
      <c r="G4885" s="22" t="n"/>
    </row>
    <row r="4886">
      <c r="A4886" s="22" t="inlineStr">
        <is>
          <t>8773</t>
        </is>
      </c>
      <c r="B4886" s="11" t="inlineStr">
        <is>
          <t>Wool pile/ weather pile strip for uPVC sliding window i/c 5% wastage</t>
        </is>
      </c>
      <c r="C4886" s="22" t="inlineStr">
        <is>
          <t>metre</t>
        </is>
      </c>
      <c r="D4886" s="23" t="n">
        <v>30.4</v>
      </c>
      <c r="E4886" s="24" t="n">
        <v>20</v>
      </c>
      <c r="F4886" s="24">
        <f>D4886*E4886</f>
        <v/>
      </c>
      <c r="G4886" s="22" t="n"/>
    </row>
    <row r="4887">
      <c r="A4887" s="22" t="inlineStr">
        <is>
          <t>3995</t>
        </is>
      </c>
      <c r="B4887" s="11" t="inlineStr">
        <is>
          <t>G.I fasteners 100 x 8 mm</t>
        </is>
      </c>
      <c r="C4887" s="22" t="inlineStr">
        <is>
          <t>each</t>
        </is>
      </c>
      <c r="D4887" s="23" t="n">
        <v>16</v>
      </c>
      <c r="E4887" s="24" t="n">
        <v>14</v>
      </c>
      <c r="F4887" s="24">
        <f>D4887*E4887</f>
        <v/>
      </c>
      <c r="G4887" s="22" t="n"/>
    </row>
    <row r="4888">
      <c r="A4888" s="22" t="inlineStr">
        <is>
          <t>8118</t>
        </is>
      </c>
      <c r="B4888" s="11" t="inlineStr">
        <is>
          <t>Zinc alloy (white powder coated) handles along with zinc plated mild steel multi point locking having transmission gear with keeps for uPVC sliding window each</t>
        </is>
      </c>
      <c r="C4888" s="22" t="inlineStr">
        <is>
          <t>set</t>
        </is>
      </c>
      <c r="D4888" s="23" t="n">
        <v>2</v>
      </c>
      <c r="E4888" s="24" t="n">
        <v>1394</v>
      </c>
      <c r="F4888" s="24">
        <f>D4888*E4888</f>
        <v/>
      </c>
      <c r="G4888" s="22" t="n"/>
    </row>
    <row r="4889">
      <c r="A4889" s="22" t="inlineStr">
        <is>
          <t>8753</t>
        </is>
      </c>
      <c r="B4889" s="11" t="inlineStr">
        <is>
          <t>Stainless Steel (SS - 304) with adjustable double nylon roller (weight bearing capacity to be 120 Kg) for uPVC sliding window</t>
        </is>
      </c>
      <c r="C4889" s="22" t="inlineStr">
        <is>
          <t>each</t>
        </is>
      </c>
      <c r="D4889" s="23" t="n">
        <v>4</v>
      </c>
      <c r="E4889" s="24" t="n">
        <v>95</v>
      </c>
      <c r="F4889" s="24">
        <f>D4889*E4889</f>
        <v/>
      </c>
      <c r="G4889" s="22" t="n"/>
    </row>
    <row r="4890">
      <c r="A4890" s="22" t="inlineStr">
        <is>
          <t>9999</t>
        </is>
      </c>
      <c r="B4890" s="11" t="inlineStr">
        <is>
          <t>Sundries, plastic packers, plastic caps, SS screws and carriage of material</t>
        </is>
      </c>
      <c r="C4890" s="22" t="inlineStr">
        <is>
          <t>L.S.</t>
        </is>
      </c>
      <c r="D4890" s="23" t="n">
        <v>170</v>
      </c>
      <c r="E4890" s="24" t="n">
        <v>2</v>
      </c>
      <c r="F4890" s="24">
        <f>D4890*E4890</f>
        <v/>
      </c>
      <c r="G4890" s="22" t="n"/>
    </row>
    <row r="4891">
      <c r="A4891" s="22" t="inlineStr">
        <is>
          <t>0162</t>
        </is>
      </c>
      <c r="B4891" s="11" t="inlineStr">
        <is>
          <t>Labour for fabrication of uPVC extruded sliding windows including drilling holes, fixing of fittings &amp; hardwares, hire charges of drill machine and electricity charges etc.</t>
        </is>
      </c>
      <c r="C4891" s="22" t="inlineStr">
        <is>
          <t>sqm</t>
        </is>
      </c>
      <c r="D4891" s="23" t="n">
        <v>3.6</v>
      </c>
      <c r="E4891" s="24" t="n">
        <v>485</v>
      </c>
      <c r="F4891" s="24">
        <f>D4891*E4891</f>
        <v/>
      </c>
      <c r="G4891" s="22" t="n"/>
    </row>
    <row r="4892">
      <c r="A4892" s="22" t="inlineStr">
        <is>
          <t>0163</t>
        </is>
      </c>
      <c r="B4892" s="11" t="inlineStr">
        <is>
          <t>Labour for installation of uPVC extruded sliding windows including scaffolding</t>
        </is>
      </c>
      <c r="C4892" s="22" t="inlineStr">
        <is>
          <t>sqm</t>
        </is>
      </c>
      <c r="D4892" s="23" t="n">
        <v>3.6</v>
      </c>
      <c r="E4892" s="24" t="n">
        <v>430</v>
      </c>
      <c r="F4892" s="24">
        <f>D4892*E4892</f>
        <v/>
      </c>
      <c r="G4892" s="22" t="n"/>
    </row>
    <row r="4893">
      <c r="A4893" s="8" t="inlineStr">
        <is>
          <t>Calculated W - SUM of the Amount column above</t>
        </is>
      </c>
      <c r="B4893" s="9" t="n"/>
      <c r="C4893" s="9" t="n"/>
      <c r="D4893" s="9" t="n"/>
      <c r="E4893" s="9" t="n"/>
      <c r="F4893" s="25">
        <f>SUM(F4879:F4892)</f>
        <v/>
      </c>
      <c r="G4893" s="9" t="n"/>
    </row>
    <row r="4894">
      <c r="A4894" s="26" t="inlineStr">
        <is>
          <t>W as printed in the DAR</t>
        </is>
      </c>
      <c r="B4894" s="22" t="n"/>
      <c r="C4894" s="22" t="n"/>
      <c r="D4894" s="22" t="n"/>
      <c r="E4894" s="22" t="n"/>
      <c r="F4894" s="27" t="n">
        <v>18462.53</v>
      </c>
      <c r="G4894" s="22" t="n"/>
    </row>
    <row r="4895">
      <c r="A4895" s="26" t="inlineStr">
        <is>
          <t>Difference (calculated - printed)</t>
        </is>
      </c>
      <c r="B4895" s="22" t="n"/>
      <c r="C4895" s="22" t="n"/>
      <c r="D4895" s="22" t="n"/>
      <c r="E4895" s="22" t="n"/>
      <c r="F4895" s="27">
        <f>F4893-F4894</f>
        <v/>
      </c>
      <c r="G4895" s="22" t="n"/>
    </row>
    <row r="4896">
      <c r="A4896" s="29" t="inlineStr">
        <is>
          <t>SAY (Rs.) - final DAR rate as printed (fixed value, not computed)</t>
        </is>
      </c>
      <c r="B4896" s="30" t="n"/>
      <c r="C4896" s="30" t="n"/>
      <c r="D4896" s="30" t="n"/>
      <c r="E4896" s="30" t="n"/>
      <c r="F4896" s="31" t="n">
        <v>6861.6</v>
      </c>
      <c r="G4896" s="30" t="n"/>
    </row>
    <row r="4898" ht="33" customHeight="1">
      <c r="A4898" s="8" t="inlineStr">
        <is>
          <t>9.147E</t>
        </is>
      </c>
      <c r="B4898" s="17" t="inlineStr">
        <is>
          <t>Providing and fixing factory made uPVC white colour sliding glazed window above 1.50 m in height dimension comprising of uPVC multi-chambered frame with in-built roller track and sash extruded profiles duly reinforced with 1.60 ±</t>
        </is>
      </c>
      <c r="C4898" s="9" t="n"/>
      <c r="D4898" s="9" t="n"/>
      <c r="E4898" s="9" t="n"/>
      <c r="F4898" s="9" t="n"/>
      <c r="G4898" s="9" t="n"/>
    </row>
    <row r="4899" ht="33" customHeight="1">
      <c r="A4899" s="18" t="inlineStr">
        <is>
          <t>9.147E.2</t>
        </is>
      </c>
      <c r="B4899" s="19" t="inlineStr">
        <is>
          <t>Two track four panels sliding window made of (big series) frame 67 x 50 mm &amp; sash 46 x 62 mm both having wall thickness of 2.3 ± 0.2 mm and single glazing bead / double glazing bead of appropriate dimension. (Area of window above</t>
        </is>
      </c>
      <c r="C4899" s="20" t="n"/>
      <c r="D4899" s="20" t="n"/>
      <c r="E4899" s="20" t="n"/>
      <c r="F4899" s="20" t="n"/>
      <c r="G4899" s="20" t="n"/>
    </row>
    <row r="4900">
      <c r="A4900" s="21" t="inlineStr">
        <is>
          <t>Details of cost for 7.2 sqm   |   Source: CivilDAR_2019_Vol_1.pdf, page 646</t>
        </is>
      </c>
    </row>
    <row r="4901">
      <c r="A4901" s="5" t="inlineStr">
        <is>
          <t>Code</t>
        </is>
      </c>
      <c r="B4901" s="5" t="inlineStr">
        <is>
          <t>Description</t>
        </is>
      </c>
      <c r="C4901" s="5" t="inlineStr">
        <is>
          <t>Unit</t>
        </is>
      </c>
      <c r="D4901" s="5" t="inlineStr">
        <is>
          <t>Quantity</t>
        </is>
      </c>
      <c r="E4901" s="5" t="inlineStr">
        <is>
          <t>Rate (Rs.)</t>
        </is>
      </c>
      <c r="F4901" s="5" t="inlineStr">
        <is>
          <t>Amount (Rs.)</t>
        </is>
      </c>
      <c r="G4901" s="5" t="inlineStr">
        <is>
          <t>Note</t>
        </is>
      </c>
    </row>
    <row r="4902">
      <c r="A4902" s="22" t="inlineStr">
        <is>
          <t>8134</t>
        </is>
      </c>
      <c r="B4902" s="11" t="inlineStr">
        <is>
          <t>uPVC extruded (big series) 2 track sliding window frame size 67x50mm i/c 5% wastage</t>
        </is>
      </c>
      <c r="C4902" s="22" t="inlineStr">
        <is>
          <t>metre</t>
        </is>
      </c>
      <c r="D4902" s="23" t="n">
        <v>11.34</v>
      </c>
      <c r="E4902" s="24" t="n">
        <v>385</v>
      </c>
      <c r="F4902" s="24">
        <f>D4902*E4902</f>
        <v/>
      </c>
      <c r="G4902" s="22" t="n"/>
    </row>
    <row r="4903">
      <c r="A4903" s="22" t="inlineStr">
        <is>
          <t>8138</t>
        </is>
      </c>
      <c r="B4903" s="11" t="inlineStr">
        <is>
          <t>uPVC extruded (big series) 2 track sliding window sash size 46x62mm i/c 5% wastage</t>
        </is>
      </c>
      <c r="C4903" s="22" t="inlineStr">
        <is>
          <t>metre</t>
        </is>
      </c>
      <c r="D4903" s="23" t="n">
        <v>25.75</v>
      </c>
      <c r="E4903" s="24" t="n">
        <v>325</v>
      </c>
      <c r="F4903" s="24">
        <f>D4903*E4903</f>
        <v/>
      </c>
      <c r="G4903" s="22" t="n"/>
    </row>
    <row r="4904">
      <c r="A4904" s="22" t="inlineStr">
        <is>
          <t>8141</t>
        </is>
      </c>
      <c r="B4904" s="11" t="inlineStr">
        <is>
          <t>uPVC extruded interlock of appropriate dimension for big series sliding window sash i/c 5% wastage</t>
        </is>
      </c>
      <c r="C4904" s="22" t="inlineStr">
        <is>
          <t>metre</t>
        </is>
      </c>
      <c r="D4904" s="23" t="n">
        <v>9.710000000000001</v>
      </c>
      <c r="E4904" s="24" t="n">
        <v>90</v>
      </c>
      <c r="F4904" s="24">
        <f>D4904*E4904</f>
        <v/>
      </c>
      <c r="G4904" s="22" t="n"/>
    </row>
    <row r="4905">
      <c r="A4905" s="22" t="inlineStr">
        <is>
          <t>8142</t>
        </is>
      </c>
      <c r="B4905" s="11" t="inlineStr">
        <is>
          <t>uPVC extruded inline adaptor of appropriate dimension for big series sliding window sash i/c 5% wastage</t>
        </is>
      </c>
      <c r="C4905" s="22" t="inlineStr">
        <is>
          <t>metre</t>
        </is>
      </c>
      <c r="D4905" s="23" t="n">
        <v>2.4</v>
      </c>
      <c r="E4905" s="24" t="n">
        <v>90</v>
      </c>
      <c r="F4905" s="24">
        <f>D4905*E4905</f>
        <v/>
      </c>
      <c r="G4905" s="22" t="n"/>
    </row>
    <row r="4906">
      <c r="A4906" s="22" t="inlineStr">
        <is>
          <t>8132</t>
        </is>
      </c>
      <c r="B4906" s="11" t="inlineStr">
        <is>
          <t>uPVC extruded glazing bead of appropriate dimension for big series of sliding window Sash i/c 5% wastage</t>
        </is>
      </c>
      <c r="C4906" s="22" t="inlineStr">
        <is>
          <t>metre</t>
        </is>
      </c>
      <c r="D4906" s="23" t="n">
        <v>24.31</v>
      </c>
      <c r="E4906" s="24" t="n">
        <v>85</v>
      </c>
      <c r="F4906" s="24">
        <f>D4906*E4906</f>
        <v/>
      </c>
      <c r="G4906" s="22" t="n"/>
    </row>
    <row r="4907">
      <c r="A4907" s="22" t="inlineStr">
        <is>
          <t>3992</t>
        </is>
      </c>
      <c r="B4907" s="11" t="inlineStr">
        <is>
          <t>Galvanized iron (1.6 ± 0.2 mm) thick reinforcement for big series sliding window frame (2 track sliding window frame i/c 5% wastage)</t>
        </is>
      </c>
      <c r="C4907" s="22" t="inlineStr">
        <is>
          <t>metre</t>
        </is>
      </c>
      <c r="D4907" s="23" t="n">
        <v>11.04</v>
      </c>
      <c r="E4907" s="24" t="n">
        <v>71</v>
      </c>
      <c r="F4907" s="24">
        <f>D4907*E4907</f>
        <v/>
      </c>
      <c r="G4907" s="22" t="n"/>
    </row>
    <row r="4908">
      <c r="A4908" s="22" t="inlineStr">
        <is>
          <t>3994</t>
        </is>
      </c>
      <c r="B4908" s="11" t="inlineStr">
        <is>
          <t>Galvanized iron (1.6 ± 0.2 mm) thick reinforcement for big series sliding window sash (2 track sliding window sash i/c 5% wastage)</t>
        </is>
      </c>
      <c r="C4908" s="22" t="inlineStr">
        <is>
          <t>metre</t>
        </is>
      </c>
      <c r="D4908" s="23" t="n">
        <v>24.55</v>
      </c>
      <c r="E4908" s="24" t="n">
        <v>86</v>
      </c>
      <c r="F4908" s="24">
        <f>D4908*E4908</f>
        <v/>
      </c>
      <c r="G4908" s="22" t="n"/>
    </row>
    <row r="4909">
      <c r="A4909" s="22" t="inlineStr">
        <is>
          <t>7390</t>
        </is>
      </c>
      <c r="B4909" s="11" t="inlineStr">
        <is>
          <t>EPDM Gasket for uPVC window i/c 5% wastage</t>
        </is>
      </c>
      <c r="C4909" s="22" t="inlineStr">
        <is>
          <t>metre</t>
        </is>
      </c>
      <c r="D4909" s="23" t="n">
        <v>48.62</v>
      </c>
      <c r="E4909" s="24" t="n">
        <v>19</v>
      </c>
      <c r="F4909" s="24">
        <f>D4909*E4909</f>
        <v/>
      </c>
      <c r="G4909" s="22" t="n"/>
    </row>
    <row r="4910">
      <c r="A4910" s="22" t="inlineStr">
        <is>
          <t>8773</t>
        </is>
      </c>
      <c r="B4910" s="11" t="inlineStr">
        <is>
          <t>Wool pile/ weather pile strip for uPVC sliding window i/c 5% wastage</t>
        </is>
      </c>
      <c r="C4910" s="22" t="inlineStr">
        <is>
          <t>metre</t>
        </is>
      </c>
      <c r="D4910" s="23" t="n">
        <v>61.21</v>
      </c>
      <c r="E4910" s="24" t="n">
        <v>20</v>
      </c>
      <c r="F4910" s="24">
        <f>D4910*E4910</f>
        <v/>
      </c>
      <c r="G4910" s="22" t="n"/>
    </row>
    <row r="4911">
      <c r="A4911" s="22" t="inlineStr">
        <is>
          <t>3995</t>
        </is>
      </c>
      <c r="B4911" s="11" t="inlineStr">
        <is>
          <t>G.I fasteners 100 x 8 mm</t>
        </is>
      </c>
      <c r="C4911" s="22" t="inlineStr">
        <is>
          <t>each</t>
        </is>
      </c>
      <c r="D4911" s="23" t="n">
        <v>24</v>
      </c>
      <c r="E4911" s="24" t="n">
        <v>14</v>
      </c>
      <c r="F4911" s="24">
        <f>D4911*E4911</f>
        <v/>
      </c>
      <c r="G4911" s="22" t="n"/>
    </row>
    <row r="4912">
      <c r="A4912" s="22" t="inlineStr">
        <is>
          <t>8118</t>
        </is>
      </c>
      <c r="B4912" s="11" t="inlineStr">
        <is>
          <t>Zinc alloy (white powder coated) handles along with zinc plated mild steel multi point locking having transmission gear with keeps for uPVC sliding window each</t>
        </is>
      </c>
      <c r="C4912" s="22" t="inlineStr">
        <is>
          <t>set</t>
        </is>
      </c>
      <c r="D4912" s="23" t="n">
        <v>2</v>
      </c>
      <c r="E4912" s="24" t="n">
        <v>1394</v>
      </c>
      <c r="F4912" s="24">
        <f>D4912*E4912</f>
        <v/>
      </c>
      <c r="G4912" s="22" t="n"/>
    </row>
    <row r="4913">
      <c r="A4913" s="22" t="inlineStr">
        <is>
          <t>8753</t>
        </is>
      </c>
      <c r="B4913" s="11" t="inlineStr">
        <is>
          <t>Stainless Steel (SS - 304) with adjustable double nylon roller (weight bearing capacity to be 120 Kg) for uPVC sliding window</t>
        </is>
      </c>
      <c r="C4913" s="22" t="inlineStr">
        <is>
          <t>each</t>
        </is>
      </c>
      <c r="D4913" s="23" t="n">
        <v>8</v>
      </c>
      <c r="E4913" s="24" t="n">
        <v>95</v>
      </c>
      <c r="F4913" s="24">
        <f>D4913*E4913</f>
        <v/>
      </c>
      <c r="G4913" s="22" t="n"/>
    </row>
    <row r="4914">
      <c r="A4914" s="22" t="inlineStr">
        <is>
          <t>8754</t>
        </is>
      </c>
      <c r="B4914" s="11" t="inlineStr">
        <is>
          <t>Zinc alloy (white powder coated) cresent lock for uPVC sliding window</t>
        </is>
      </c>
      <c r="C4914" s="22" t="inlineStr">
        <is>
          <t>each</t>
        </is>
      </c>
      <c r="D4914" s="23" t="n">
        <v>2</v>
      </c>
      <c r="E4914" s="24" t="n">
        <v>115</v>
      </c>
      <c r="F4914" s="24">
        <f>D4914*E4914</f>
        <v/>
      </c>
      <c r="G4914" s="22" t="n"/>
    </row>
    <row r="4915">
      <c r="A4915" s="22" t="inlineStr">
        <is>
          <t>9999</t>
        </is>
      </c>
      <c r="B4915" s="11" t="inlineStr">
        <is>
          <t>Sundries, plastic packers, plastic caps, SS screws and carriage of material</t>
        </is>
      </c>
      <c r="C4915" s="22" t="inlineStr">
        <is>
          <t>L.S.</t>
        </is>
      </c>
      <c r="D4915" s="23" t="n">
        <v>170</v>
      </c>
      <c r="E4915" s="24" t="n">
        <v>2</v>
      </c>
      <c r="F4915" s="24">
        <f>D4915*E4915</f>
        <v/>
      </c>
      <c r="G4915" s="22" t="n"/>
    </row>
    <row r="4916">
      <c r="A4916" s="22" t="inlineStr">
        <is>
          <t>0162</t>
        </is>
      </c>
      <c r="B4916" s="11" t="inlineStr">
        <is>
          <t>Labour for fabrication of uPVC extruded sliding windows including drilling holes, fixing of fittings &amp; hardwares, hire charges of drill machine and electricity charges etc.</t>
        </is>
      </c>
      <c r="C4916" s="22" t="inlineStr">
        <is>
          <t>sqm</t>
        </is>
      </c>
      <c r="D4916" s="23" t="n">
        <v>7.2</v>
      </c>
      <c r="E4916" s="24" t="n">
        <v>485</v>
      </c>
      <c r="F4916" s="24">
        <f>D4916*E4916</f>
        <v/>
      </c>
      <c r="G4916" s="22" t="n"/>
    </row>
    <row r="4917">
      <c r="A4917" s="22" t="inlineStr">
        <is>
          <t>0163</t>
        </is>
      </c>
      <c r="B4917" s="11" t="inlineStr">
        <is>
          <t>Labour for installation of uPVC extruded sliding windows including scaffolding</t>
        </is>
      </c>
      <c r="C4917" s="22" t="inlineStr">
        <is>
          <t>sqm</t>
        </is>
      </c>
      <c r="D4917" s="23" t="n">
        <v>7.2</v>
      </c>
      <c r="E4917" s="24" t="n">
        <v>430</v>
      </c>
      <c r="F4917" s="24">
        <f>D4917*E4917</f>
        <v/>
      </c>
      <c r="G4917" s="22" t="n"/>
    </row>
    <row r="4918">
      <c r="A4918" s="8" t="inlineStr">
        <is>
          <t>Calculated W - SUM of the Amount column above</t>
        </is>
      </c>
      <c r="B4918" s="9" t="n"/>
      <c r="C4918" s="9" t="n"/>
      <c r="D4918" s="9" t="n"/>
      <c r="E4918" s="9" t="n"/>
      <c r="F4918" s="25">
        <f>SUM(F4902:F4917)</f>
        <v/>
      </c>
      <c r="G4918" s="9" t="n"/>
    </row>
    <row r="4919">
      <c r="A4919" s="26" t="inlineStr">
        <is>
          <t>W as printed in the DAR</t>
        </is>
      </c>
      <c r="B4919" s="22" t="n"/>
      <c r="C4919" s="22" t="n"/>
      <c r="D4919" s="22" t="n"/>
      <c r="E4919" s="22" t="n"/>
      <c r="F4919" s="27" t="n">
        <v>31976.02</v>
      </c>
      <c r="G4919" s="22" t="n"/>
    </row>
    <row r="4920">
      <c r="A4920" s="26" t="inlineStr">
        <is>
          <t>Difference (calculated - printed)</t>
        </is>
      </c>
      <c r="B4920" s="22" t="n"/>
      <c r="C4920" s="22" t="n"/>
      <c r="D4920" s="22" t="n"/>
      <c r="E4920" s="22" t="n"/>
      <c r="F4920" s="27">
        <f>F4918-F4919</f>
        <v/>
      </c>
      <c r="G4920" s="22" t="n"/>
    </row>
    <row r="4921">
      <c r="A4921" s="29" t="inlineStr">
        <is>
          <t>SAY (Rs.) - final DAR rate as printed (fixed value, not computed)</t>
        </is>
      </c>
      <c r="B4921" s="30" t="n"/>
      <c r="C4921" s="30" t="n"/>
      <c r="D4921" s="30" t="n"/>
      <c r="E4921" s="30" t="n"/>
      <c r="F4921" s="31" t="n">
        <v>5941.95</v>
      </c>
      <c r="G4921" s="30" t="n"/>
    </row>
    <row r="4923" ht="120" customHeight="1">
      <c r="A4923" s="8" t="inlineStr">
        <is>
          <t>9.147F</t>
        </is>
      </c>
      <c r="B4923" s="17" t="inlineStr">
        <is>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t>
        </is>
      </c>
      <c r="C4923" s="9" t="n"/>
      <c r="D4923" s="9" t="n"/>
      <c r="E4923" s="9" t="n"/>
      <c r="F4923" s="9" t="n"/>
      <c r="G4923" s="9" t="n"/>
    </row>
    <row r="4924" ht="18.5" customHeight="1">
      <c r="A4924" s="9" t="n"/>
      <c r="B4924" s="17" t="inlineStr">
        <is>
          <t>necessary stainless steel screws etc. Profile of frame &amp; sash shall be mitred cut and fusion</t>
        </is>
      </c>
      <c r="C4924" s="9" t="n"/>
      <c r="D4924" s="9" t="n"/>
      <c r="E4924" s="9" t="n"/>
      <c r="F4924" s="9" t="n"/>
      <c r="G4924" s="9" t="n"/>
    </row>
    <row r="4925" ht="33" customHeight="1">
      <c r="A4925" s="18" t="inlineStr">
        <is>
          <t>9.147F.1</t>
        </is>
      </c>
      <c r="B4925" s="19" t="inlineStr">
        <is>
          <t>Two track two panels sliding door made of (big series) frame 67 x 50 mm &amp; sash 46 x 82 mm both having wall thickness of 2.3 ± 0.2 mm and single glazing bead / double glazing bead of appropriate dimension. (Area of door above 2.00 sqm upto 5.00 sqm)</t>
        </is>
      </c>
      <c r="C4925" s="20" t="n"/>
      <c r="D4925" s="20" t="n"/>
      <c r="E4925" s="20" t="n"/>
      <c r="F4925" s="20" t="n"/>
      <c r="G4925" s="20" t="n"/>
    </row>
    <row r="4926">
      <c r="A4926" s="21" t="inlineStr">
        <is>
          <t>Details of cost for 4.2 sqm   |   Source: CivilDAR_2019_Vol_1.pdf, page 648</t>
        </is>
      </c>
    </row>
    <row r="4927">
      <c r="A4927" s="5" t="inlineStr">
        <is>
          <t>Code</t>
        </is>
      </c>
      <c r="B4927" s="5" t="inlineStr">
        <is>
          <t>Description</t>
        </is>
      </c>
      <c r="C4927" s="5" t="inlineStr">
        <is>
          <t>Unit</t>
        </is>
      </c>
      <c r="D4927" s="5" t="inlineStr">
        <is>
          <t>Quantity</t>
        </is>
      </c>
      <c r="E4927" s="5" t="inlineStr">
        <is>
          <t>Rate (Rs.)</t>
        </is>
      </c>
      <c r="F4927" s="5" t="inlineStr">
        <is>
          <t>Amount (Rs.)</t>
        </is>
      </c>
      <c r="G4927" s="5" t="inlineStr">
        <is>
          <t>Note</t>
        </is>
      </c>
    </row>
    <row r="4928">
      <c r="A4928" s="22" t="inlineStr">
        <is>
          <t>8134</t>
        </is>
      </c>
      <c r="B4928" s="11" t="inlineStr">
        <is>
          <t>uPVC extruded (big series) 2 track sliding door frame size 67x50mm i/c 5% wastage</t>
        </is>
      </c>
      <c r="C4928" s="22" t="inlineStr">
        <is>
          <t>metre</t>
        </is>
      </c>
      <c r="D4928" s="23" t="n">
        <v>8.609999999999999</v>
      </c>
      <c r="E4928" s="24" t="n">
        <v>385</v>
      </c>
      <c r="F4928" s="24">
        <f>D4928*E4928</f>
        <v/>
      </c>
      <c r="G4928" s="22" t="n"/>
    </row>
    <row r="4929">
      <c r="A4929" s="22" t="inlineStr">
        <is>
          <t>8143</t>
        </is>
      </c>
      <c r="B4929" s="11" t="inlineStr">
        <is>
          <t>uPVC extruded 2 track sliding door sash (big series) size 46x82mm i/c 5% wastage</t>
        </is>
      </c>
      <c r="C4929" s="22" t="inlineStr">
        <is>
          <t>metre</t>
        </is>
      </c>
      <c r="D4929" s="23" t="n">
        <v>12.6</v>
      </c>
      <c r="E4929" s="24" t="n">
        <v>350</v>
      </c>
      <c r="F4929" s="24">
        <f>D4929*E4929</f>
        <v/>
      </c>
      <c r="G4929" s="22" t="n"/>
    </row>
    <row r="4930">
      <c r="A4930" s="22" t="inlineStr">
        <is>
          <t>8141</t>
        </is>
      </c>
      <c r="B4930" s="11" t="inlineStr">
        <is>
          <t>uPVC extruded interlock of appropriate dimension for big series sliding door sash i/c 5% wastage</t>
        </is>
      </c>
      <c r="C4930" s="22" t="inlineStr">
        <is>
          <t>metre</t>
        </is>
      </c>
      <c r="D4930" s="23" t="n">
        <v>4.23</v>
      </c>
      <c r="E4930" s="24" t="n">
        <v>90</v>
      </c>
      <c r="F4930" s="24">
        <f>D4930*E4930</f>
        <v/>
      </c>
      <c r="G4930" s="22" t="n"/>
    </row>
    <row r="4931">
      <c r="A4931" s="22" t="inlineStr">
        <is>
          <t>8132</t>
        </is>
      </c>
      <c r="B4931" s="11" t="inlineStr">
        <is>
          <t>uPVC extruded glazing bead of appropriate dimension for big series of sliding door Sash i/c 5% wastage</t>
        </is>
      </c>
      <c r="C4931" s="22" t="inlineStr">
        <is>
          <t>metre</t>
        </is>
      </c>
      <c r="D4931" s="23" t="n">
        <v>11.54</v>
      </c>
      <c r="E4931" s="24" t="n">
        <v>85</v>
      </c>
      <c r="F4931" s="24">
        <f>D4931*E4931</f>
        <v/>
      </c>
      <c r="G4931" s="22" t="n"/>
    </row>
    <row r="4932">
      <c r="A4932" s="22" t="inlineStr">
        <is>
          <t>3992</t>
        </is>
      </c>
      <c r="B4932" s="11" t="inlineStr">
        <is>
          <t>Galvanized iron (1.6 ± 0.2 mm) thick reinforcement for big series sliding door frame (2 track sliding door frame i/c 5% wastage)</t>
        </is>
      </c>
      <c r="C4932" s="22" t="inlineStr">
        <is>
          <t>metre</t>
        </is>
      </c>
      <c r="D4932" s="23" t="n">
        <v>8.31</v>
      </c>
      <c r="E4932" s="24" t="n">
        <v>71</v>
      </c>
      <c r="F4932" s="24">
        <f>D4932*E4932</f>
        <v/>
      </c>
      <c r="G4932" s="22" t="n"/>
    </row>
    <row r="4933">
      <c r="A4933" s="22" t="inlineStr">
        <is>
          <t>3994</t>
        </is>
      </c>
      <c r="B4933" s="11" t="inlineStr">
        <is>
          <t>Galvanized iron (1.6 ± 0.2 mm) thick reinforcement for big series sliding door sash (2 track sliding door sash i/c 5% wastage)</t>
        </is>
      </c>
      <c r="C4933" s="22" t="inlineStr">
        <is>
          <t>metre</t>
        </is>
      </c>
      <c r="D4933" s="23" t="n">
        <v>12</v>
      </c>
      <c r="E4933" s="24" t="n">
        <v>86</v>
      </c>
      <c r="F4933" s="24">
        <f>D4933*E4933</f>
        <v/>
      </c>
      <c r="G4933" s="22" t="n"/>
    </row>
    <row r="4934">
      <c r="A4934" s="22" t="inlineStr">
        <is>
          <t>7390</t>
        </is>
      </c>
      <c r="B4934" s="11" t="inlineStr">
        <is>
          <t>EPDM Gasket for uPVC door i/c 5% wastage</t>
        </is>
      </c>
      <c r="C4934" s="22" t="inlineStr">
        <is>
          <t>metre</t>
        </is>
      </c>
      <c r="D4934" s="23" t="n">
        <v>23.08</v>
      </c>
      <c r="E4934" s="24" t="n">
        <v>19</v>
      </c>
      <c r="F4934" s="24">
        <f>D4934*E4934</f>
        <v/>
      </c>
      <c r="G4934" s="22" t="n"/>
    </row>
    <row r="4935">
      <c r="A4935" s="22" t="inlineStr">
        <is>
          <t>8773</t>
        </is>
      </c>
      <c r="B4935" s="11" t="inlineStr">
        <is>
          <t>Wool pile/ weather pile strip for uPVC sliding door i/c 5% wastage</t>
        </is>
      </c>
      <c r="C4935" s="22" t="inlineStr">
        <is>
          <t>metre</t>
        </is>
      </c>
      <c r="D4935" s="23" t="n">
        <v>29.43</v>
      </c>
      <c r="E4935" s="24" t="n">
        <v>20</v>
      </c>
      <c r="F4935" s="24">
        <f>D4935*E4935</f>
        <v/>
      </c>
      <c r="G4935" s="22" t="n"/>
    </row>
    <row r="4936">
      <c r="A4936" s="22" t="inlineStr">
        <is>
          <t>3995</t>
        </is>
      </c>
      <c r="B4936" s="11" t="inlineStr">
        <is>
          <t>G.I fasteners 100 x 8 mm</t>
        </is>
      </c>
      <c r="C4936" s="22" t="inlineStr">
        <is>
          <t>each</t>
        </is>
      </c>
      <c r="D4936" s="23" t="n">
        <v>18</v>
      </c>
      <c r="E4936" s="24" t="n">
        <v>14</v>
      </c>
      <c r="F4936" s="24">
        <f>D4936*E4936</f>
        <v/>
      </c>
      <c r="G4936" s="22" t="n"/>
    </row>
    <row r="4937">
      <c r="A4937" s="22" t="inlineStr">
        <is>
          <t>8119</t>
        </is>
      </c>
      <c r="B4937" s="11" t="inlineStr">
        <is>
          <t>Zinc alloy (white powder coated) handles with key along with zinc plated mild steel multi point locking having transmission gear with keeps for uPVC sliding door each</t>
        </is>
      </c>
      <c r="C4937" s="22" t="inlineStr">
        <is>
          <t>set</t>
        </is>
      </c>
      <c r="D4937" s="23" t="n">
        <v>2</v>
      </c>
      <c r="E4937" s="24" t="n">
        <v>1150</v>
      </c>
      <c r="F4937" s="24">
        <f>D4937*E4937</f>
        <v/>
      </c>
      <c r="G4937" s="22" t="n"/>
    </row>
    <row r="4938">
      <c r="A4938" s="22" t="inlineStr">
        <is>
          <t>8753</t>
        </is>
      </c>
      <c r="B4938" s="11" t="inlineStr">
        <is>
          <t>Stainless Steel (SS - 304) with adjustable double nylon roller (weight bearing capacity to be 120 Kg) for uPVC sliding door</t>
        </is>
      </c>
      <c r="C4938" s="22" t="inlineStr">
        <is>
          <t>each</t>
        </is>
      </c>
      <c r="D4938" s="23" t="n">
        <v>4</v>
      </c>
      <c r="E4938" s="24" t="n">
        <v>95</v>
      </c>
      <c r="F4938" s="24">
        <f>D4938*E4938</f>
        <v/>
      </c>
      <c r="G4938" s="22" t="n"/>
    </row>
    <row r="4939">
      <c r="A4939" s="22" t="inlineStr">
        <is>
          <t>9999</t>
        </is>
      </c>
      <c r="B4939" s="11" t="inlineStr">
        <is>
          <t>Sundries, plastic packers, plastic caps, SS screws and carriage of material</t>
        </is>
      </c>
      <c r="C4939" s="22" t="inlineStr">
        <is>
          <t>L.S.</t>
        </is>
      </c>
      <c r="D4939" s="23" t="n">
        <v>170</v>
      </c>
      <c r="E4939" s="24" t="n">
        <v>2</v>
      </c>
      <c r="F4939" s="24">
        <f>D4939*E4939</f>
        <v/>
      </c>
      <c r="G4939" s="22" t="n"/>
    </row>
    <row r="4940">
      <c r="A4940" s="22" t="inlineStr">
        <is>
          <t>0162</t>
        </is>
      </c>
      <c r="B4940" s="11" t="inlineStr">
        <is>
          <t>Labour for fabrication of uPVC extruded sliding doors including drilling holes, fixing of fittings &amp; hardwares, hire charges of drill machine and electricity charges etc.</t>
        </is>
      </c>
      <c r="C4940" s="22" t="inlineStr">
        <is>
          <t>sqm</t>
        </is>
      </c>
      <c r="D4940" s="23" t="n">
        <v>4.2</v>
      </c>
      <c r="E4940" s="24" t="n">
        <v>485</v>
      </c>
      <c r="F4940" s="24">
        <f>D4940*E4940</f>
        <v/>
      </c>
      <c r="G4940" s="22" t="n"/>
    </row>
    <row r="4941">
      <c r="A4941" s="22" t="inlineStr">
        <is>
          <t>0163</t>
        </is>
      </c>
      <c r="B4941" s="11" t="inlineStr">
        <is>
          <t>Labour for installation of uPVC extruded sliding doors including scaffolding</t>
        </is>
      </c>
      <c r="C4941" s="22" t="inlineStr">
        <is>
          <t>sqm</t>
        </is>
      </c>
      <c r="D4941" s="23" t="n">
        <v>4.2</v>
      </c>
      <c r="E4941" s="24" t="n">
        <v>430</v>
      </c>
      <c r="F4941" s="24">
        <f>D4941*E4941</f>
        <v/>
      </c>
      <c r="G4941" s="22" t="n"/>
    </row>
    <row r="4942">
      <c r="A4942" s="8" t="inlineStr">
        <is>
          <t>Calculated W - SUM of the Amount column above</t>
        </is>
      </c>
      <c r="B4942" s="9" t="n"/>
      <c r="C4942" s="9" t="n"/>
      <c r="D4942" s="9" t="n"/>
      <c r="E4942" s="9" t="n"/>
      <c r="F4942" s="25">
        <f>SUM(F4928:F4941)</f>
        <v/>
      </c>
      <c r="G4942" s="9" t="n"/>
    </row>
    <row r="4943">
      <c r="A4943" s="26" t="inlineStr">
        <is>
          <t>W as printed in the DAR</t>
        </is>
      </c>
      <c r="B4943" s="22" t="n"/>
      <c r="C4943" s="22" t="n"/>
      <c r="D4943" s="22" t="n"/>
      <c r="E4943" s="22" t="n"/>
      <c r="F4943" s="27" t="n">
        <v>18850.58</v>
      </c>
      <c r="G4943" s="22" t="n"/>
    </row>
    <row r="4944">
      <c r="A4944" s="26" t="inlineStr">
        <is>
          <t>Difference (calculated - printed)</t>
        </is>
      </c>
      <c r="B4944" s="22" t="n"/>
      <c r="C4944" s="22" t="n"/>
      <c r="D4944" s="22" t="n"/>
      <c r="E4944" s="22" t="n"/>
      <c r="F4944" s="27">
        <f>F4942-F4943</f>
        <v/>
      </c>
      <c r="G4944" s="22" t="n"/>
    </row>
    <row r="4945">
      <c r="A4945" s="29" t="inlineStr">
        <is>
          <t>SAY (Rs.) - final DAR rate as printed (fixed value, not computed)</t>
        </is>
      </c>
      <c r="B4945" s="30" t="n"/>
      <c r="C4945" s="30" t="n"/>
      <c r="D4945" s="30" t="n"/>
      <c r="E4945" s="30" t="n"/>
      <c r="F4945" s="31" t="n">
        <v>6005</v>
      </c>
      <c r="G4945" s="30" t="n"/>
    </row>
    <row r="4947" ht="120" customHeight="1">
      <c r="A4947" s="8" t="inlineStr">
        <is>
          <t>9.147F</t>
        </is>
      </c>
      <c r="B4947" s="17" t="inlineStr">
        <is>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t>
        </is>
      </c>
      <c r="C4947" s="9" t="n"/>
      <c r="D4947" s="9" t="n"/>
      <c r="E4947" s="9" t="n"/>
      <c r="F4947" s="9" t="n"/>
      <c r="G4947" s="9" t="n"/>
    </row>
    <row r="4948" ht="18.5" customHeight="1">
      <c r="A4948" s="9" t="n"/>
      <c r="B4948" s="17" t="inlineStr">
        <is>
          <t>necessary stainless steel screws etc. Profile of frame &amp; sash shall be mitred cut and fusion</t>
        </is>
      </c>
      <c r="C4948" s="9" t="n"/>
      <c r="D4948" s="9" t="n"/>
      <c r="E4948" s="9" t="n"/>
      <c r="F4948" s="9" t="n"/>
      <c r="G4948" s="9" t="n"/>
    </row>
    <row r="4949" ht="47.5" customHeight="1">
      <c r="A4949" s="18" t="inlineStr">
        <is>
          <t>9.147F.2</t>
        </is>
      </c>
      <c r="B4949" s="19" t="inlineStr">
        <is>
          <t>Two track four panels sliding door made of (big series) frame 67 x 50 mm &amp; sash 46 x 82 mm both having wall thickness of 2.3 ± 0.2 mm and single glazing bead / double glazing bead of appropriate dimension. (Area of door above 8.00 sqm upto 10.00 sqm).</t>
        </is>
      </c>
      <c r="C4949" s="20" t="n"/>
      <c r="D4949" s="20" t="n"/>
      <c r="E4949" s="20" t="n"/>
      <c r="F4949" s="20" t="n"/>
      <c r="G4949" s="20" t="n"/>
    </row>
    <row r="4950">
      <c r="A4950" s="21" t="inlineStr">
        <is>
          <t>Details of cost for 8.4 sqm   |   Source: CivilDAR_2019_Vol_1.pdf, page 650</t>
        </is>
      </c>
    </row>
    <row r="4951">
      <c r="A4951" s="5" t="inlineStr">
        <is>
          <t>Code</t>
        </is>
      </c>
      <c r="B4951" s="5" t="inlineStr">
        <is>
          <t>Description</t>
        </is>
      </c>
      <c r="C4951" s="5" t="inlineStr">
        <is>
          <t>Unit</t>
        </is>
      </c>
      <c r="D4951" s="5" t="inlineStr">
        <is>
          <t>Quantity</t>
        </is>
      </c>
      <c r="E4951" s="5" t="inlineStr">
        <is>
          <t>Rate (Rs.)</t>
        </is>
      </c>
      <c r="F4951" s="5" t="inlineStr">
        <is>
          <t>Amount (Rs.)</t>
        </is>
      </c>
      <c r="G4951" s="5" t="inlineStr">
        <is>
          <t>Note</t>
        </is>
      </c>
    </row>
    <row r="4952">
      <c r="A4952" s="22" t="inlineStr">
        <is>
          <t>8134</t>
        </is>
      </c>
      <c r="B4952" s="11" t="inlineStr">
        <is>
          <t>uPVC extruded (big series) 2 track sliding door frame size 67x50mm i/c 5% wastage</t>
        </is>
      </c>
      <c r="C4952" s="22" t="inlineStr">
        <is>
          <t>metre</t>
        </is>
      </c>
      <c r="D4952" s="23" t="n">
        <v>12.81</v>
      </c>
      <c r="E4952" s="24" t="n">
        <v>385</v>
      </c>
      <c r="F4952" s="24">
        <f>D4952*E4952</f>
        <v/>
      </c>
      <c r="G4952" s="22" t="n"/>
    </row>
    <row r="4953">
      <c r="A4953" s="22" t="inlineStr">
        <is>
          <t>8143</t>
        </is>
      </c>
      <c r="B4953" s="11" t="inlineStr">
        <is>
          <t>uPVC extruded 2 track sliding door sash (big series) size 46x82mm i/c 5% wastage</t>
        </is>
      </c>
      <c r="C4953" s="22" t="inlineStr">
        <is>
          <t>metre</t>
        </is>
      </c>
      <c r="D4953" s="23" t="n">
        <v>25.42</v>
      </c>
      <c r="E4953" s="24" t="n">
        <v>350</v>
      </c>
      <c r="F4953" s="24">
        <f>D4953*E4953</f>
        <v/>
      </c>
      <c r="G4953" s="22" t="n"/>
    </row>
    <row r="4954">
      <c r="A4954" s="22" t="inlineStr">
        <is>
          <t>8141</t>
        </is>
      </c>
      <c r="B4954" s="11" t="inlineStr">
        <is>
          <t>uPVC extruded interlock of appropriate dimension for big series sliding door sash i/c 5% wastage</t>
        </is>
      </c>
      <c r="C4954" s="22" t="inlineStr">
        <is>
          <t>metre</t>
        </is>
      </c>
      <c r="D4954" s="23" t="n">
        <v>8.449999999999999</v>
      </c>
      <c r="E4954" s="24" t="n">
        <v>90</v>
      </c>
      <c r="F4954" s="24">
        <f>D4954*E4954</f>
        <v/>
      </c>
      <c r="G4954" s="22" t="n"/>
    </row>
    <row r="4955">
      <c r="A4955" s="22" t="inlineStr">
        <is>
          <t>8142</t>
        </is>
      </c>
      <c r="B4955" s="11" t="inlineStr">
        <is>
          <t>uPVC extruded inline adaptor of appropriate dimension for big series sliding door sash</t>
        </is>
      </c>
      <c r="C4955" s="22" t="inlineStr">
        <is>
          <t>metre</t>
        </is>
      </c>
      <c r="D4955" s="23" t="n">
        <v>2.1</v>
      </c>
      <c r="E4955" s="24" t="n">
        <v>90</v>
      </c>
      <c r="F4955" s="24">
        <f>D4955*E4955</f>
        <v/>
      </c>
      <c r="G4955" s="22" t="n"/>
    </row>
    <row r="4956">
      <c r="A4956" s="22" t="inlineStr">
        <is>
          <t>8132</t>
        </is>
      </c>
      <c r="B4956" s="11" t="inlineStr">
        <is>
          <t>uPVC extruded glazing bead of appropriate dimension for big series of sliding door Sash</t>
        </is>
      </c>
      <c r="C4956" s="22" t="inlineStr">
        <is>
          <t>metre</t>
        </is>
      </c>
      <c r="D4956" s="23" t="n">
        <v>23.3</v>
      </c>
      <c r="E4956" s="24" t="n">
        <v>85</v>
      </c>
      <c r="F4956" s="24">
        <f>D4956*E4956</f>
        <v/>
      </c>
      <c r="G4956" s="22" t="n"/>
    </row>
    <row r="4957">
      <c r="A4957" s="22" t="inlineStr">
        <is>
          <t>3992</t>
        </is>
      </c>
      <c r="B4957" s="11" t="inlineStr">
        <is>
          <t>Galvanized iron (1.6 ± 0.2 mm) thick reinforcement for big series sliding door frame (2 track sliding door frame i/c 5% wastage)</t>
        </is>
      </c>
      <c r="C4957" s="22" t="inlineStr">
        <is>
          <t>metre</t>
        </is>
      </c>
      <c r="D4957" s="23" t="n">
        <v>12.51</v>
      </c>
      <c r="E4957" s="24" t="n">
        <v>71</v>
      </c>
      <c r="F4957" s="24">
        <f>D4957*E4957</f>
        <v/>
      </c>
      <c r="G4957" s="22" t="n"/>
    </row>
    <row r="4958">
      <c r="A4958" s="22" t="inlineStr">
        <is>
          <t>3994</t>
        </is>
      </c>
      <c r="B4958" s="11" t="inlineStr">
        <is>
          <t>Galvanized iron (1.6 ± 0.2 mm) thick reinforcement for big series sliding door sash (2 track sliding door sash i/c 5% wastage)</t>
        </is>
      </c>
      <c r="C4958" s="22" t="inlineStr">
        <is>
          <t>metre</t>
        </is>
      </c>
      <c r="D4958" s="23" t="n">
        <v>24.22</v>
      </c>
      <c r="E4958" s="24" t="n">
        <v>86</v>
      </c>
      <c r="F4958" s="24">
        <f>D4958*E4958</f>
        <v/>
      </c>
      <c r="G4958" s="22" t="n"/>
    </row>
    <row r="4959">
      <c r="A4959" s="22" t="inlineStr">
        <is>
          <t>7390</t>
        </is>
      </c>
      <c r="B4959" s="11" t="inlineStr">
        <is>
          <t>EPDM Gasket for uPVC door i/c 5% wastage</t>
        </is>
      </c>
      <c r="C4959" s="22" t="inlineStr">
        <is>
          <t>metre</t>
        </is>
      </c>
      <c r="D4959" s="23" t="n">
        <v>46.6</v>
      </c>
      <c r="E4959" s="24" t="n">
        <v>19</v>
      </c>
      <c r="F4959" s="24">
        <f>D4959*E4959</f>
        <v/>
      </c>
      <c r="G4959" s="22" t="n"/>
    </row>
    <row r="4960">
      <c r="A4960" s="22" t="inlineStr">
        <is>
          <t>8773</t>
        </is>
      </c>
      <c r="B4960" s="11" t="inlineStr">
        <is>
          <t>Wool pile/ weather pile strip for uPVC sliding door i/c 5% wastage</t>
        </is>
      </c>
      <c r="C4960" s="22" t="inlineStr">
        <is>
          <t>metre</t>
        </is>
      </c>
      <c r="D4960" s="23" t="n">
        <v>59.29</v>
      </c>
      <c r="E4960" s="24" t="n">
        <v>20</v>
      </c>
      <c r="F4960" s="24">
        <f>D4960*E4960</f>
        <v/>
      </c>
      <c r="G4960" s="22" t="n"/>
    </row>
    <row r="4961">
      <c r="A4961" s="22" t="inlineStr">
        <is>
          <t>3995</t>
        </is>
      </c>
      <c r="B4961" s="11" t="inlineStr">
        <is>
          <t>G.I fasteners 100 x 8 mm</t>
        </is>
      </c>
      <c r="C4961" s="22" t="inlineStr">
        <is>
          <t>each</t>
        </is>
      </c>
      <c r="D4961" s="23" t="n">
        <v>26</v>
      </c>
      <c r="E4961" s="24" t="n">
        <v>14</v>
      </c>
      <c r="F4961" s="24">
        <f>D4961*E4961</f>
        <v/>
      </c>
      <c r="G4961" s="22" t="n"/>
    </row>
    <row r="4962">
      <c r="A4962" s="22" t="inlineStr">
        <is>
          <t>8119</t>
        </is>
      </c>
      <c r="B4962" s="11" t="inlineStr">
        <is>
          <t>Zinc alloy (white powder coated) handles with key along with zinc plated mild steel multi point locking having transmission gear with keeps for uPVC sliding door each</t>
        </is>
      </c>
      <c r="C4962" s="22" t="inlineStr">
        <is>
          <t>set</t>
        </is>
      </c>
      <c r="D4962" s="23" t="n">
        <v>2</v>
      </c>
      <c r="E4962" s="24" t="n">
        <v>1150</v>
      </c>
      <c r="F4962" s="24">
        <f>D4962*E4962</f>
        <v/>
      </c>
      <c r="G4962" s="22" t="n"/>
    </row>
    <row r="4963">
      <c r="A4963" s="22" t="inlineStr">
        <is>
          <t>8753</t>
        </is>
      </c>
      <c r="B4963" s="11" t="inlineStr">
        <is>
          <t>Stainless Steel (SS - 304) with adjustable double nylon roller (weight bearing capacity to be 120 Kg) for uPVC sliding door</t>
        </is>
      </c>
      <c r="C4963" s="22" t="inlineStr">
        <is>
          <t>each</t>
        </is>
      </c>
      <c r="D4963" s="23" t="n">
        <v>8</v>
      </c>
      <c r="E4963" s="24" t="n">
        <v>95</v>
      </c>
      <c r="F4963" s="24">
        <f>D4963*E4963</f>
        <v/>
      </c>
      <c r="G4963" s="22" t="n"/>
    </row>
    <row r="4964">
      <c r="A4964" s="22" t="inlineStr">
        <is>
          <t>8754</t>
        </is>
      </c>
      <c r="B4964" s="11" t="inlineStr">
        <is>
          <t>Zinc alloy (white powder coated) cresent lock for uPVC sliding door</t>
        </is>
      </c>
      <c r="C4964" s="22" t="inlineStr">
        <is>
          <t>each</t>
        </is>
      </c>
      <c r="D4964" s="23" t="n">
        <v>2</v>
      </c>
      <c r="E4964" s="24" t="n">
        <v>115</v>
      </c>
      <c r="F4964" s="24">
        <f>D4964*E4964</f>
        <v/>
      </c>
      <c r="G4964" s="22" t="n"/>
    </row>
    <row r="4965">
      <c r="A4965" s="22" t="inlineStr">
        <is>
          <t>9999</t>
        </is>
      </c>
      <c r="B4965" s="11" t="inlineStr">
        <is>
          <t>Sundries, plastic packers, plastic caps, SS screws and carriage of material</t>
        </is>
      </c>
      <c r="C4965" s="22" t="inlineStr">
        <is>
          <t>L.S.</t>
        </is>
      </c>
      <c r="D4965" s="23" t="n">
        <v>170</v>
      </c>
      <c r="E4965" s="24" t="n">
        <v>2</v>
      </c>
      <c r="F4965" s="24">
        <f>D4965*E4965</f>
        <v/>
      </c>
      <c r="G4965" s="22" t="n"/>
    </row>
    <row r="4966">
      <c r="A4966" s="22" t="inlineStr">
        <is>
          <t>0162</t>
        </is>
      </c>
      <c r="B4966" s="11" t="inlineStr">
        <is>
          <t>Labour for fabrication of uPVC extruded sliding doors including drilling holes, fixing of fittings &amp; hardwares, hire charges of drill machine and electricity charges etc.</t>
        </is>
      </c>
      <c r="C4966" s="22" t="inlineStr">
        <is>
          <t>sqm</t>
        </is>
      </c>
      <c r="D4966" s="23" t="n">
        <v>8.4</v>
      </c>
      <c r="E4966" s="24" t="n">
        <v>485</v>
      </c>
      <c r="F4966" s="24">
        <f>D4966*E4966</f>
        <v/>
      </c>
      <c r="G4966" s="22" t="n"/>
    </row>
    <row r="4967">
      <c r="A4967" s="22" t="inlineStr">
        <is>
          <t>0163</t>
        </is>
      </c>
      <c r="B4967" s="11" t="inlineStr">
        <is>
          <t>Labour for installation of uPVC extruded sliding doors including scaffolding</t>
        </is>
      </c>
      <c r="C4967" s="22" t="inlineStr">
        <is>
          <t>sqm</t>
        </is>
      </c>
      <c r="D4967" s="23" t="n">
        <v>8.4</v>
      </c>
      <c r="E4967" s="24" t="n">
        <v>430</v>
      </c>
      <c r="F4967" s="24">
        <f>D4967*E4967</f>
        <v/>
      </c>
      <c r="G4967" s="22" t="n"/>
    </row>
    <row r="4968">
      <c r="A4968" s="8" t="inlineStr">
        <is>
          <t>Calculated W - SUM of the Amount column above</t>
        </is>
      </c>
      <c r="B4968" s="9" t="n"/>
      <c r="C4968" s="9" t="n"/>
      <c r="D4968" s="9" t="n"/>
      <c r="E4968" s="9" t="n"/>
      <c r="F4968" s="25">
        <f>SUM(F4952:F4967)</f>
        <v/>
      </c>
      <c r="G4968" s="9" t="n"/>
    </row>
    <row r="4969">
      <c r="A4969" s="26" t="inlineStr">
        <is>
          <t>W as printed in the DAR</t>
        </is>
      </c>
      <c r="B4969" s="22" t="n"/>
      <c r="C4969" s="22" t="n"/>
      <c r="D4969" s="22" t="n"/>
      <c r="E4969" s="22" t="n"/>
      <c r="F4969" s="27" t="n">
        <v>33481.18</v>
      </c>
      <c r="G4969" s="22" t="n"/>
    </row>
    <row r="4970">
      <c r="A4970" s="26" t="inlineStr">
        <is>
          <t>Difference (calculated - printed)</t>
        </is>
      </c>
      <c r="B4970" s="22" t="n"/>
      <c r="C4970" s="22" t="n"/>
      <c r="D4970" s="22" t="n"/>
      <c r="E4970" s="22" t="n"/>
      <c r="F4970" s="27">
        <f>F4968-F4969</f>
        <v/>
      </c>
      <c r="G4970" s="22" t="n"/>
    </row>
    <row r="4971">
      <c r="A4971" s="29" t="inlineStr">
        <is>
          <t>SAY (Rs.) - final DAR rate as printed (fixed value, not computed)</t>
        </is>
      </c>
      <c r="B4971" s="30" t="n"/>
      <c r="C4971" s="30" t="n"/>
      <c r="D4971" s="30" t="n"/>
      <c r="E4971" s="30" t="n"/>
      <c r="F4971" s="31" t="n">
        <v>5332.85</v>
      </c>
      <c r="G4971" s="30" t="n"/>
    </row>
    <row r="4973" ht="120" customHeight="1">
      <c r="A4973" s="8" t="inlineStr">
        <is>
          <t>9.147F</t>
        </is>
      </c>
      <c r="B4973" s="17" t="inlineStr">
        <is>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t>
        </is>
      </c>
      <c r="C4973" s="9" t="n"/>
      <c r="D4973" s="9" t="n"/>
      <c r="E4973" s="9" t="n"/>
      <c r="F4973" s="9" t="n"/>
      <c r="G4973" s="9" t="n"/>
    </row>
    <row r="4974" ht="18.5" customHeight="1">
      <c r="A4974" s="9" t="n"/>
      <c r="B4974" s="17" t="inlineStr">
        <is>
          <t>necessary stainless steel screws etc. Profile of frame &amp; sash shall be mitred cut and fusion</t>
        </is>
      </c>
      <c r="C4974" s="9" t="n"/>
      <c r="D4974" s="9" t="n"/>
      <c r="E4974" s="9" t="n"/>
      <c r="F4974" s="9" t="n"/>
      <c r="G4974" s="9" t="n"/>
    </row>
    <row r="4975" ht="33" customHeight="1">
      <c r="A4975" s="18" t="inlineStr">
        <is>
          <t>9.147F.3</t>
        </is>
      </c>
      <c r="B4975" s="19" t="inlineStr">
        <is>
          <t>Three track three panels sliding door made of (big series) frame 116 x 45 mm &amp; sash 46 x 82 mm both having wall thickness of 2.3 ± 0.2 mm and single glazing bead/ double glazing bead of appropriate dimension. (Area of door above 5.00 sqm)</t>
        </is>
      </c>
      <c r="C4975" s="20" t="n"/>
      <c r="D4975" s="20" t="n"/>
      <c r="E4975" s="20" t="n"/>
      <c r="F4975" s="20" t="n"/>
      <c r="G4975" s="20" t="n"/>
    </row>
    <row r="4976">
      <c r="A4976" s="21" t="inlineStr">
        <is>
          <t>Details of cost for 6.3 sqm   |   Source: CivilDAR_2019_Vol_1.pdf, page 651</t>
        </is>
      </c>
    </row>
    <row r="4977">
      <c r="A4977" s="5" t="inlineStr">
        <is>
          <t>Code</t>
        </is>
      </c>
      <c r="B4977" s="5" t="inlineStr">
        <is>
          <t>Description</t>
        </is>
      </c>
      <c r="C4977" s="5" t="inlineStr">
        <is>
          <t>Unit</t>
        </is>
      </c>
      <c r="D4977" s="5" t="inlineStr">
        <is>
          <t>Quantity</t>
        </is>
      </c>
      <c r="E4977" s="5" t="inlineStr">
        <is>
          <t>Rate (Rs.)</t>
        </is>
      </c>
      <c r="F4977" s="5" t="inlineStr">
        <is>
          <t>Amount (Rs.)</t>
        </is>
      </c>
      <c r="G4977" s="5" t="inlineStr">
        <is>
          <t>Note</t>
        </is>
      </c>
    </row>
    <row r="4978">
      <c r="A4978" s="22" t="inlineStr">
        <is>
          <t>8136</t>
        </is>
      </c>
      <c r="B4978" s="11" t="inlineStr">
        <is>
          <t>uPVC extruded (big series) 3 track sliding door frame size 116x45mm i/c 5% wastage</t>
        </is>
      </c>
      <c r="C4978" s="22" t="inlineStr">
        <is>
          <t>metre</t>
        </is>
      </c>
      <c r="D4978" s="23" t="n">
        <v>10.71</v>
      </c>
      <c r="E4978" s="24" t="n">
        <v>530</v>
      </c>
      <c r="F4978" s="24">
        <f>D4978*E4978</f>
        <v/>
      </c>
      <c r="G4978" s="22" t="n"/>
    </row>
    <row r="4979">
      <c r="A4979" s="22" t="inlineStr">
        <is>
          <t>8143</t>
        </is>
      </c>
      <c r="B4979" s="11" t="inlineStr">
        <is>
          <t>uPVC extruded 3 track sliding door sash (big series) size 46x82mm i/c 5% wastage</t>
        </is>
      </c>
      <c r="C4979" s="22" t="inlineStr">
        <is>
          <t>metre</t>
        </is>
      </c>
      <c r="D4979" s="23" t="n">
        <v>19.09</v>
      </c>
      <c r="E4979" s="24" t="n">
        <v>350</v>
      </c>
      <c r="F4979" s="24">
        <f>D4979*E4979</f>
        <v/>
      </c>
      <c r="G4979" s="22" t="n"/>
    </row>
    <row r="4980">
      <c r="A4980" s="22" t="inlineStr">
        <is>
          <t>8141</t>
        </is>
      </c>
      <c r="B4980" s="11" t="inlineStr">
        <is>
          <t>uPVC extruded interlock of appropriate dimension for big series sliding door sash i/c 5% wastage</t>
        </is>
      </c>
      <c r="C4980" s="22" t="inlineStr">
        <is>
          <t>metre</t>
        </is>
      </c>
      <c r="D4980" s="23" t="n">
        <v>8.449999999999999</v>
      </c>
      <c r="E4980" s="24" t="n">
        <v>90</v>
      </c>
      <c r="F4980" s="24">
        <f>D4980*E4980</f>
        <v/>
      </c>
      <c r="G4980" s="22" t="n"/>
    </row>
    <row r="4981">
      <c r="A4981" s="22" t="inlineStr">
        <is>
          <t>8132</t>
        </is>
      </c>
      <c r="B4981" s="11" t="inlineStr">
        <is>
          <t>uPVC extruded glazing bead of appropriate dimension for big series of sliding door i/c 5% wastage</t>
        </is>
      </c>
      <c r="C4981" s="22" t="inlineStr">
        <is>
          <t>metre</t>
        </is>
      </c>
      <c r="D4981" s="23" t="n">
        <v>17.51</v>
      </c>
      <c r="E4981" s="24" t="n">
        <v>85</v>
      </c>
      <c r="F4981" s="24">
        <f>D4981*E4981</f>
        <v/>
      </c>
      <c r="G4981" s="22" t="n"/>
    </row>
    <row r="4982">
      <c r="A4982" s="22" t="inlineStr">
        <is>
          <t>3992</t>
        </is>
      </c>
      <c r="B4982" s="11" t="inlineStr">
        <is>
          <t>Galvanized iron (1.6 ± 0.2 mm) thick reinforcement for big series sliding door frams (3 track sliding door frame i/c 5% wastage)</t>
        </is>
      </c>
      <c r="C4982" s="22" t="inlineStr">
        <is>
          <t>metre</t>
        </is>
      </c>
      <c r="D4982" s="23" t="n">
        <v>20.82</v>
      </c>
      <c r="E4982" s="24" t="n">
        <v>71</v>
      </c>
      <c r="F4982" s="24">
        <f>D4982*E4982</f>
        <v/>
      </c>
      <c r="G4982" s="22" t="n"/>
    </row>
    <row r="4983">
      <c r="A4983" s="22" t="inlineStr">
        <is>
          <t>3994</t>
        </is>
      </c>
      <c r="B4983" s="11" t="inlineStr">
        <is>
          <t>Galvanized iron (1.6 ± 0.2 mm) thick reinforcement for big series sliding door sash (3 track sliding door sash i/c 5% wastage)</t>
        </is>
      </c>
      <c r="C4983" s="22" t="inlineStr">
        <is>
          <t>metre</t>
        </is>
      </c>
      <c r="D4983" s="23" t="n">
        <v>18.19</v>
      </c>
      <c r="E4983" s="24" t="n">
        <v>86</v>
      </c>
      <c r="F4983" s="24">
        <f>D4983*E4983</f>
        <v/>
      </c>
      <c r="G4983" s="22" t="n"/>
    </row>
    <row r="4984">
      <c r="A4984" s="22" t="inlineStr">
        <is>
          <t>7390</t>
        </is>
      </c>
      <c r="B4984" s="11" t="inlineStr">
        <is>
          <t>EPDM Gasket for uPVC door i/c 5% wastage</t>
        </is>
      </c>
      <c r="C4984" s="22" t="inlineStr">
        <is>
          <t>metre</t>
        </is>
      </c>
      <c r="D4984" s="23" t="n">
        <v>35.01</v>
      </c>
      <c r="E4984" s="24" t="n">
        <v>19</v>
      </c>
      <c r="F4984" s="24">
        <f>D4984*E4984</f>
        <v/>
      </c>
      <c r="G4984" s="22" t="n"/>
    </row>
    <row r="4985">
      <c r="A4985" s="22" t="inlineStr">
        <is>
          <t>8773</t>
        </is>
      </c>
      <c r="B4985" s="11" t="inlineStr">
        <is>
          <t>Wool pile/ weather pile strip for uPVC sliding door i/c 5% wastage</t>
        </is>
      </c>
      <c r="C4985" s="22" t="inlineStr">
        <is>
          <t>metre</t>
        </is>
      </c>
      <c r="D4985" s="23" t="n">
        <v>46.63</v>
      </c>
      <c r="E4985" s="24" t="n">
        <v>20</v>
      </c>
      <c r="F4985" s="24">
        <f>D4985*E4985</f>
        <v/>
      </c>
      <c r="G4985" s="22" t="n"/>
    </row>
    <row r="4986">
      <c r="A4986" s="22" t="inlineStr">
        <is>
          <t>3995</t>
        </is>
      </c>
      <c r="B4986" s="11" t="inlineStr">
        <is>
          <t>G.I fasteners 100 x 8 mm</t>
        </is>
      </c>
      <c r="C4986" s="22" t="inlineStr">
        <is>
          <t>each</t>
        </is>
      </c>
      <c r="D4986" s="23" t="n">
        <v>24</v>
      </c>
      <c r="E4986" s="24" t="n">
        <v>14</v>
      </c>
      <c r="F4986" s="24">
        <f>D4986*E4986</f>
        <v/>
      </c>
      <c r="G4986" s="22" t="n"/>
    </row>
    <row r="4987">
      <c r="A4987" s="22" t="inlineStr">
        <is>
          <t>8119</t>
        </is>
      </c>
      <c r="B4987" s="11" t="inlineStr">
        <is>
          <t>Zinc alloy (white powder coated) handles with key along with zinc plated mild steel multi point locking having transmission gear with keeps for uPVC sliding door each</t>
        </is>
      </c>
      <c r="C4987" s="22" t="inlineStr">
        <is>
          <t>set</t>
        </is>
      </c>
      <c r="D4987" s="23" t="n">
        <v>2</v>
      </c>
      <c r="E4987" s="24" t="n">
        <v>1150</v>
      </c>
      <c r="F4987" s="24">
        <f>D4987*E4987</f>
        <v/>
      </c>
      <c r="G4987" s="22" t="n"/>
    </row>
    <row r="4988">
      <c r="A4988" s="22" t="inlineStr">
        <is>
          <t>8753</t>
        </is>
      </c>
      <c r="B4988" s="11" t="inlineStr">
        <is>
          <t>Stainless Steel (SS - 304) with adjustable double nylon roller (weight bearing capacity to be 120 Kg) for uPVC sliding door</t>
        </is>
      </c>
      <c r="C4988" s="22" t="inlineStr">
        <is>
          <t>each</t>
        </is>
      </c>
      <c r="D4988" s="23" t="n">
        <v>6</v>
      </c>
      <c r="E4988" s="24" t="n">
        <v>95</v>
      </c>
      <c r="F4988" s="24">
        <f>D4988*E4988</f>
        <v/>
      </c>
      <c r="G4988" s="22" t="n"/>
    </row>
    <row r="4989">
      <c r="A4989" s="22" t="inlineStr">
        <is>
          <t>9999</t>
        </is>
      </c>
      <c r="B4989" s="11" t="inlineStr">
        <is>
          <t>Sundries, plastic packers, plastic caps, SS screws and carriage of material</t>
        </is>
      </c>
      <c r="C4989" s="22" t="inlineStr">
        <is>
          <t>L.S.</t>
        </is>
      </c>
      <c r="D4989" s="23" t="n">
        <v>170</v>
      </c>
      <c r="E4989" s="24" t="n">
        <v>2</v>
      </c>
      <c r="F4989" s="24">
        <f>D4989*E4989</f>
        <v/>
      </c>
      <c r="G4989" s="22" t="n"/>
    </row>
    <row r="4990">
      <c r="A4990" s="22" t="inlineStr">
        <is>
          <t>0162</t>
        </is>
      </c>
      <c r="B4990" s="11" t="inlineStr">
        <is>
          <t>Labour for fabrication of uPVC extruded sliding doors including drilling holes, fixing of fittings &amp; hardwares, hire charges of drill machine and electricity charges etc.</t>
        </is>
      </c>
      <c r="C4990" s="22" t="inlineStr">
        <is>
          <t>sqm</t>
        </is>
      </c>
      <c r="D4990" s="23" t="n">
        <v>6.3</v>
      </c>
      <c r="E4990" s="24" t="n">
        <v>485</v>
      </c>
      <c r="F4990" s="24">
        <f>D4990*E4990</f>
        <v/>
      </c>
      <c r="G4990" s="22" t="n"/>
    </row>
    <row r="4991">
      <c r="A4991" s="22" t="inlineStr">
        <is>
          <t>0163</t>
        </is>
      </c>
      <c r="B4991" s="11" t="inlineStr">
        <is>
          <t>Labour for installation of uPVC extruded sliding doors including scaffolding</t>
        </is>
      </c>
      <c r="C4991" s="22" t="inlineStr">
        <is>
          <t>sqm</t>
        </is>
      </c>
      <c r="D4991" s="23" t="n">
        <v>6.3</v>
      </c>
      <c r="E4991" s="24" t="n">
        <v>430</v>
      </c>
      <c r="F4991" s="24">
        <f>D4991*E4991</f>
        <v/>
      </c>
      <c r="G4991" s="22" t="n"/>
    </row>
    <row r="4992">
      <c r="A4992" s="8" t="inlineStr">
        <is>
          <t>Calculated W - SUM of the Amount column above</t>
        </is>
      </c>
      <c r="B4992" s="9" t="n"/>
      <c r="C4992" s="9" t="n"/>
      <c r="D4992" s="9" t="n"/>
      <c r="E4992" s="9" t="n"/>
      <c r="F4992" s="25">
        <f>SUM(F4978:F4991)</f>
        <v/>
      </c>
      <c r="G4992" s="9" t="n"/>
    </row>
    <row r="4993">
      <c r="A4993" s="26" t="inlineStr">
        <is>
          <t>W as printed in the DAR</t>
        </is>
      </c>
      <c r="B4993" s="22" t="n"/>
      <c r="C4993" s="22" t="n"/>
      <c r="D4993" s="22" t="n"/>
      <c r="E4993" s="22" t="n"/>
      <c r="F4993" s="27" t="n">
        <v>28557.5</v>
      </c>
      <c r="G4993" s="22" t="n"/>
    </row>
    <row r="4994">
      <c r="A4994" s="26" t="inlineStr">
        <is>
          <t>Difference (calculated - printed)</t>
        </is>
      </c>
      <c r="B4994" s="22" t="n"/>
      <c r="C4994" s="22" t="n"/>
      <c r="D4994" s="22" t="n"/>
      <c r="E4994" s="22" t="n"/>
      <c r="F4994" s="27">
        <f>F4992-F4993</f>
        <v/>
      </c>
      <c r="G4994" s="22" t="n"/>
    </row>
    <row r="4995">
      <c r="A4995" s="29" t="inlineStr">
        <is>
          <t>SAY (Rs.) - final DAR rate as printed (fixed value, not computed)</t>
        </is>
      </c>
      <c r="B4995" s="30" t="n"/>
      <c r="C4995" s="30" t="n"/>
      <c r="D4995" s="30" t="n"/>
      <c r="E4995" s="30" t="n"/>
      <c r="F4995" s="31" t="n">
        <v>6064.8</v>
      </c>
      <c r="G4995" s="30" t="n"/>
    </row>
    <row r="4997" ht="120" customHeight="1">
      <c r="A4997" s="8" t="inlineStr">
        <is>
          <t>9.147F</t>
        </is>
      </c>
      <c r="B4997" s="17" t="inlineStr">
        <is>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t>
        </is>
      </c>
      <c r="C4997" s="9" t="n"/>
      <c r="D4997" s="9" t="n"/>
      <c r="E4997" s="9" t="n"/>
      <c r="F4997" s="9" t="n"/>
      <c r="G4997" s="9" t="n"/>
    </row>
    <row r="4998" ht="18.5" customHeight="1">
      <c r="A4998" s="9" t="n"/>
      <c r="B4998" s="17" t="inlineStr">
        <is>
          <t>necessary stainless steel screws etc. Profile of frame &amp; sash shall be mitred cut and fusion</t>
        </is>
      </c>
      <c r="C4998" s="9" t="n"/>
      <c r="D4998" s="9" t="n"/>
      <c r="E4998" s="9" t="n"/>
      <c r="F4998" s="9" t="n"/>
      <c r="G4998" s="9" t="n"/>
    </row>
    <row r="4999" ht="47.5" customHeight="1">
      <c r="A4999" s="18" t="inlineStr">
        <is>
          <t>9.147F.4</t>
        </is>
      </c>
      <c r="B4999" s="19" t="inlineStr">
        <is>
          <t>Three track three panels sliding door with fly proof S.S wire mesh (Two nos. glazed &amp; one no. wire mesh panels) made of (big series) frame 116 x 45 mm &amp; sash 46 x 82 mm both having wall thickness of 2.3 ± 0.2 mm and single glazing bead / double glazing bead of appropriate dimension. (Area of door above 2.00 sqm upto 5.00 sqm)</t>
        </is>
      </c>
      <c r="C4999" s="20" t="n"/>
      <c r="D4999" s="20" t="n"/>
      <c r="E4999" s="20" t="n"/>
      <c r="F4999" s="20" t="n"/>
      <c r="G4999" s="20" t="n"/>
    </row>
    <row r="5000">
      <c r="A5000" s="21" t="inlineStr">
        <is>
          <t>Details of cost for 4.2 sqm   |   Source: CivilDAR_2019_Vol_1.pdf, page 652</t>
        </is>
      </c>
    </row>
    <row r="5001">
      <c r="A5001" s="5" t="inlineStr">
        <is>
          <t>Code</t>
        </is>
      </c>
      <c r="B5001" s="5" t="inlineStr">
        <is>
          <t>Description</t>
        </is>
      </c>
      <c r="C5001" s="5" t="inlineStr">
        <is>
          <t>Unit</t>
        </is>
      </c>
      <c r="D5001" s="5" t="inlineStr">
        <is>
          <t>Quantity</t>
        </is>
      </c>
      <c r="E5001" s="5" t="inlineStr">
        <is>
          <t>Rate (Rs.)</t>
        </is>
      </c>
      <c r="F5001" s="5" t="inlineStr">
        <is>
          <t>Amount (Rs.)</t>
        </is>
      </c>
      <c r="G5001" s="5" t="inlineStr">
        <is>
          <t>Note</t>
        </is>
      </c>
    </row>
    <row r="5002">
      <c r="A5002" s="22" t="inlineStr">
        <is>
          <t>8136</t>
        </is>
      </c>
      <c r="B5002" s="11" t="inlineStr">
        <is>
          <t>uPVC extruded (big series) 3 track sliding door frame size 116x45mm i/c 5% wastage</t>
        </is>
      </c>
      <c r="C5002" s="22" t="inlineStr">
        <is>
          <t>metre</t>
        </is>
      </c>
      <c r="D5002" s="23" t="n">
        <v>8.609999999999999</v>
      </c>
      <c r="E5002" s="24" t="n">
        <v>530</v>
      </c>
      <c r="F5002" s="24">
        <f>D5002*E5002</f>
        <v/>
      </c>
      <c r="G5002" s="22" t="n"/>
    </row>
    <row r="5003">
      <c r="A5003" s="22" t="inlineStr">
        <is>
          <t>8143</t>
        </is>
      </c>
      <c r="B5003" s="11" t="inlineStr">
        <is>
          <t>uPVC extruded 3 track sliding door sash (big series) size 46x82mm i/c 5% wastage</t>
        </is>
      </c>
      <c r="C5003" s="22" t="inlineStr">
        <is>
          <t>metre</t>
        </is>
      </c>
      <c r="D5003" s="23" t="n">
        <v>18.9</v>
      </c>
      <c r="E5003" s="24" t="n">
        <v>350</v>
      </c>
      <c r="F5003" s="24">
        <f>D5003*E5003</f>
        <v/>
      </c>
      <c r="G5003" s="22" t="n"/>
    </row>
    <row r="5004">
      <c r="A5004" s="22" t="inlineStr">
        <is>
          <t>8141</t>
        </is>
      </c>
      <c r="B5004" s="11" t="inlineStr">
        <is>
          <t>uPVC extruded interlock of appropriate dimension for big series sliding door sash i/c 5% wastage</t>
        </is>
      </c>
      <c r="C5004" s="22" t="inlineStr">
        <is>
          <t>metre</t>
        </is>
      </c>
      <c r="D5004" s="23" t="n">
        <v>6.34</v>
      </c>
      <c r="E5004" s="24" t="n">
        <v>90</v>
      </c>
      <c r="F5004" s="24">
        <f>D5004*E5004</f>
        <v/>
      </c>
      <c r="G5004" s="22" t="n"/>
    </row>
    <row r="5005">
      <c r="A5005" s="22" t="inlineStr">
        <is>
          <t>8132</t>
        </is>
      </c>
      <c r="B5005" s="11" t="inlineStr">
        <is>
          <t>uPVC extruded glazing bead of appropriate dimension for big series of sliding door Sash i/c 5% wastage</t>
        </is>
      </c>
      <c r="C5005" s="22" t="inlineStr">
        <is>
          <t>metre</t>
        </is>
      </c>
      <c r="D5005" s="23" t="n">
        <v>17.82</v>
      </c>
      <c r="E5005" s="24" t="n">
        <v>85</v>
      </c>
      <c r="F5005" s="24">
        <f>D5005*E5005</f>
        <v/>
      </c>
      <c r="G5005" s="22" t="n"/>
    </row>
    <row r="5006">
      <c r="A5006" s="22" t="inlineStr">
        <is>
          <t>3992</t>
        </is>
      </c>
      <c r="B5006" s="11" t="inlineStr">
        <is>
          <t>Galvanized iron (1.6 ± 0.2 mm) thick reinforcement for big series sliding door frame (3 track sliding door frame i/c 5% wastage)</t>
        </is>
      </c>
      <c r="C5006" s="22" t="inlineStr">
        <is>
          <t>metre</t>
        </is>
      </c>
      <c r="D5006" s="23" t="n">
        <v>8.31</v>
      </c>
      <c r="E5006" s="24" t="n">
        <v>71</v>
      </c>
      <c r="F5006" s="24">
        <f>D5006*E5006</f>
        <v/>
      </c>
      <c r="G5006" s="22" t="n"/>
    </row>
    <row r="5007">
      <c r="A5007" s="22" t="inlineStr">
        <is>
          <t>3994</t>
        </is>
      </c>
      <c r="B5007" s="11" t="inlineStr">
        <is>
          <t>Galvanized iron (1.6 ± 0.2 mm) thick reinforcement for big series sliding door sash (3 track sliding door sash i/c 5% wastage)</t>
        </is>
      </c>
      <c r="C5007" s="22" t="inlineStr">
        <is>
          <t>metre</t>
        </is>
      </c>
      <c r="D5007" s="23" t="n">
        <v>18</v>
      </c>
      <c r="E5007" s="24" t="n">
        <v>86</v>
      </c>
      <c r="F5007" s="24">
        <f>D5007*E5007</f>
        <v/>
      </c>
      <c r="G5007" s="22" t="n"/>
    </row>
    <row r="5008">
      <c r="A5008" s="22" t="inlineStr">
        <is>
          <t>7390</t>
        </is>
      </c>
      <c r="B5008" s="11" t="inlineStr">
        <is>
          <t>EPDM Gasket for uPVC door i/c 5% wastage</t>
        </is>
      </c>
      <c r="C5008" s="22" t="inlineStr">
        <is>
          <t>metre</t>
        </is>
      </c>
      <c r="D5008" s="23" t="n">
        <v>36.64</v>
      </c>
      <c r="E5008" s="24" t="n">
        <v>19</v>
      </c>
      <c r="F5008" s="24">
        <f>D5008*E5008</f>
        <v/>
      </c>
      <c r="G5008" s="22" t="n"/>
    </row>
    <row r="5009">
      <c r="A5009" s="22" t="inlineStr">
        <is>
          <t>8773</t>
        </is>
      </c>
      <c r="B5009" s="11" t="inlineStr">
        <is>
          <t>Wool pile/ weather pile strip for uPVC sliding door i/c 5% wastage</t>
        </is>
      </c>
      <c r="C5009" s="22" t="inlineStr">
        <is>
          <t>metre</t>
        </is>
      </c>
      <c r="D5009" s="23" t="n">
        <v>44.14</v>
      </c>
      <c r="E5009" s="24" t="n">
        <v>20</v>
      </c>
      <c r="F5009" s="24">
        <f>D5009*E5009</f>
        <v/>
      </c>
      <c r="G5009" s="22" t="n"/>
    </row>
    <row r="5010">
      <c r="A5010" s="22" t="inlineStr">
        <is>
          <t>3995</t>
        </is>
      </c>
      <c r="B5010" s="11" t="inlineStr">
        <is>
          <t>G.I fasteners 100 x 8 mm</t>
        </is>
      </c>
      <c r="C5010" s="22" t="inlineStr">
        <is>
          <t>each</t>
        </is>
      </c>
      <c r="D5010" s="23" t="n">
        <v>18</v>
      </c>
      <c r="E5010" s="24" t="n">
        <v>14</v>
      </c>
      <c r="F5010" s="24">
        <f>D5010*E5010</f>
        <v/>
      </c>
      <c r="G5010" s="22" t="n"/>
    </row>
    <row r="5011">
      <c r="A5011" s="22" t="inlineStr">
        <is>
          <t>8119</t>
        </is>
      </c>
      <c r="B5011" s="11" t="inlineStr">
        <is>
          <t>Zinc alloy (white powder coated) handles with key along with zinc plated mild steel multi point locking having transmission gear with keeps for uPVC sliding door each</t>
        </is>
      </c>
      <c r="C5011" s="22" t="inlineStr">
        <is>
          <t>set</t>
        </is>
      </c>
      <c r="D5011" s="23" t="n">
        <v>2</v>
      </c>
      <c r="E5011" s="24" t="n">
        <v>1150</v>
      </c>
      <c r="F5011" s="24">
        <f>D5011*E5011</f>
        <v/>
      </c>
      <c r="G5011" s="22" t="n"/>
    </row>
    <row r="5012">
      <c r="A5012" s="22" t="inlineStr">
        <is>
          <t>8749</t>
        </is>
      </c>
      <c r="B5012" s="11" t="inlineStr">
        <is>
          <t>Zinc alloy (white powder coated) touch lock with hook for wire mesh shutter</t>
        </is>
      </c>
      <c r="C5012" s="22" t="inlineStr">
        <is>
          <t>each</t>
        </is>
      </c>
      <c r="D5012" s="23" t="n">
        <v>1</v>
      </c>
      <c r="E5012" s="24" t="n">
        <v>120</v>
      </c>
      <c r="F5012" s="24">
        <f>D5012*E5012</f>
        <v/>
      </c>
      <c r="G5012" s="22" t="n"/>
    </row>
    <row r="5013">
      <c r="A5013" s="22" t="inlineStr">
        <is>
          <t>8753</t>
        </is>
      </c>
      <c r="B5013" s="11" t="inlineStr">
        <is>
          <t>Stainless Steel (SS - 304) with adjustable double nylon roller (weight bearing capacity to be 120 Kg) for uPVC sliding door</t>
        </is>
      </c>
      <c r="C5013" s="22" t="inlineStr">
        <is>
          <t>each</t>
        </is>
      </c>
      <c r="D5013" s="23" t="n">
        <v>6</v>
      </c>
      <c r="E5013" s="24" t="n">
        <v>95</v>
      </c>
      <c r="F5013" s="24">
        <f>D5013*E5013</f>
        <v/>
      </c>
      <c r="G5013" s="22" t="n"/>
    </row>
    <row r="5014">
      <c r="A5014" s="22" t="inlineStr">
        <is>
          <t>9999</t>
        </is>
      </c>
      <c r="B5014" s="11" t="inlineStr">
        <is>
          <t>Sundries, plastic packers, plastic caps, SS screws and carriage of material</t>
        </is>
      </c>
      <c r="C5014" s="22" t="inlineStr">
        <is>
          <t>L.S.</t>
        </is>
      </c>
      <c r="D5014" s="23" t="n">
        <v>170</v>
      </c>
      <c r="E5014" s="24" t="n">
        <v>2</v>
      </c>
      <c r="F5014" s="24">
        <f>D5014*E5014</f>
        <v/>
      </c>
      <c r="G5014" s="22" t="n"/>
    </row>
    <row r="5015">
      <c r="A5015" s="22" t="inlineStr">
        <is>
          <t>0162</t>
        </is>
      </c>
      <c r="B5015" s="11" t="inlineStr">
        <is>
          <t>Labour for fabrication of uPVC extruded sliding doors including drilling holes, fixing of fittings &amp; hardwares, hire charges of drill machine and electricity charges etc.</t>
        </is>
      </c>
      <c r="C5015" s="22" t="inlineStr">
        <is>
          <t>sqm</t>
        </is>
      </c>
      <c r="D5015" s="23" t="n">
        <v>4.2</v>
      </c>
      <c r="E5015" s="24" t="n">
        <v>485</v>
      </c>
      <c r="F5015" s="24">
        <f>D5015*E5015</f>
        <v/>
      </c>
      <c r="G5015" s="22" t="n"/>
    </row>
    <row r="5016">
      <c r="A5016" s="22" t="inlineStr">
        <is>
          <t>0163</t>
        </is>
      </c>
      <c r="B5016" s="11" t="inlineStr">
        <is>
          <t>Labour for installation of uPVC extruded sliding doors including scaffolding</t>
        </is>
      </c>
      <c r="C5016" s="22" t="inlineStr">
        <is>
          <t>sqm</t>
        </is>
      </c>
      <c r="D5016" s="23" t="n">
        <v>4.2</v>
      </c>
      <c r="E5016" s="24" t="n">
        <v>430</v>
      </c>
      <c r="F5016" s="24">
        <f>D5016*E5016</f>
        <v/>
      </c>
      <c r="G5016" s="22" t="n"/>
    </row>
    <row r="5017">
      <c r="A5017" s="8" t="inlineStr">
        <is>
          <t>Calculated W - SUM of the Amount column above</t>
        </is>
      </c>
      <c r="B5017" s="9" t="n"/>
      <c r="C5017" s="9" t="n"/>
      <c r="D5017" s="9" t="n"/>
      <c r="E5017" s="9" t="n"/>
      <c r="F5017" s="25">
        <f>SUM(F5002:F5016)</f>
        <v/>
      </c>
      <c r="G5017" s="9" t="n"/>
    </row>
    <row r="5018">
      <c r="A5018" s="26" t="inlineStr">
        <is>
          <t>W as printed in the DAR</t>
        </is>
      </c>
      <c r="B5018" s="22" t="n"/>
      <c r="C5018" s="22" t="n"/>
      <c r="D5018" s="22" t="n"/>
      <c r="E5018" s="22" t="n"/>
      <c r="F5018" s="27" t="n">
        <v>24405.57</v>
      </c>
      <c r="G5018" s="22" t="n"/>
    </row>
    <row r="5019">
      <c r="A5019" s="26" t="inlineStr">
        <is>
          <t>Difference (calculated - printed)</t>
        </is>
      </c>
      <c r="B5019" s="22" t="n"/>
      <c r="C5019" s="22" t="n"/>
      <c r="D5019" s="22" t="n"/>
      <c r="E5019" s="22" t="n"/>
      <c r="F5019" s="27">
        <f>F5017-F5018</f>
        <v/>
      </c>
      <c r="G5019" s="22" t="n"/>
    </row>
    <row r="5020">
      <c r="A5020" s="29" t="inlineStr">
        <is>
          <t>SAY (Rs.) - final DAR rate as printed (fixed value, not computed)</t>
        </is>
      </c>
      <c r="B5020" s="30" t="n"/>
      <c r="C5020" s="30" t="n"/>
      <c r="D5020" s="30" t="n"/>
      <c r="E5020" s="30" t="n"/>
      <c r="F5020" s="31" t="n">
        <v>7774.55</v>
      </c>
      <c r="G5020" s="30" t="n"/>
    </row>
    <row r="5022" ht="33" customHeight="1">
      <c r="A5022" s="8" t="inlineStr">
        <is>
          <t>9.148</t>
        </is>
      </c>
      <c r="B5022" s="17" t="inlineStr">
        <is>
          <t>Providing and fixing stainless steel (SS-304 grade) friction hinges to the side/ top hung uPVC windows, of approved quality, with necessary stainless steel screws etc. as per direction of Engineer-in-charge.</t>
        </is>
      </c>
      <c r="C5022" s="9" t="n"/>
      <c r="D5022" s="9" t="n"/>
      <c r="E5022" s="9" t="n"/>
      <c r="F5022" s="9" t="n"/>
      <c r="G5022" s="9" t="n"/>
    </row>
    <row r="5023" ht="18.5" customHeight="1">
      <c r="A5023" s="18" t="inlineStr">
        <is>
          <t>9.148.1</t>
        </is>
      </c>
      <c r="B5023" s="19" t="inlineStr">
        <is>
          <t>200 x 19 x 1.9 mm</t>
        </is>
      </c>
      <c r="C5023" s="20" t="n"/>
      <c r="D5023" s="20" t="n"/>
      <c r="E5023" s="20" t="n"/>
      <c r="F5023" s="20" t="n"/>
      <c r="G5023" s="20" t="n"/>
    </row>
    <row r="5024">
      <c r="A5024" s="21" t="inlineStr">
        <is>
          <t>Details of cost for 10 nos   |   Source: CivilDAR_2019_Vol_1.pdf, page 654</t>
        </is>
      </c>
    </row>
    <row r="5025">
      <c r="A5025" s="5" t="inlineStr">
        <is>
          <t>Code</t>
        </is>
      </c>
      <c r="B5025" s="5" t="inlineStr">
        <is>
          <t>Description</t>
        </is>
      </c>
      <c r="C5025" s="5" t="inlineStr">
        <is>
          <t>Unit</t>
        </is>
      </c>
      <c r="D5025" s="5" t="inlineStr">
        <is>
          <t>Quantity</t>
        </is>
      </c>
      <c r="E5025" s="5" t="inlineStr">
        <is>
          <t>Rate (Rs.)</t>
        </is>
      </c>
      <c r="F5025" s="5" t="inlineStr">
        <is>
          <t>Amount (Rs.)</t>
        </is>
      </c>
      <c r="G5025" s="5" t="inlineStr">
        <is>
          <t>Note</t>
        </is>
      </c>
    </row>
    <row r="5026">
      <c r="A5026" s="22" t="inlineStr">
        <is>
          <t>8755</t>
        </is>
      </c>
      <c r="B5026" s="11" t="inlineStr">
        <is>
          <t>Stainless steel friction hinge of size 200 mm x 19 x 1.9 mm for uPVC windows</t>
        </is>
      </c>
      <c r="C5026" s="22" t="inlineStr">
        <is>
          <t>each</t>
        </is>
      </c>
      <c r="D5026" s="23" t="n">
        <v>10</v>
      </c>
      <c r="E5026" s="24" t="n">
        <v>205</v>
      </c>
      <c r="F5026" s="24">
        <f>D5026*E5026</f>
        <v/>
      </c>
      <c r="G5026" s="22" t="n"/>
    </row>
    <row r="5027">
      <c r="A5027" s="22" t="inlineStr">
        <is>
          <t>8647</t>
        </is>
      </c>
      <c r="B5027" s="11" t="inlineStr">
        <is>
          <t>Stainless steel screws 30mm x4mm.</t>
        </is>
      </c>
      <c r="C5027" s="22" t="inlineStr">
        <is>
          <t>100 Nos</t>
        </is>
      </c>
      <c r="D5027" s="23" t="n">
        <v>0.4</v>
      </c>
      <c r="E5027" s="24" t="n">
        <v>32</v>
      </c>
      <c r="F5027" s="24">
        <f>D5027*E5027</f>
        <v/>
      </c>
      <c r="G5027" s="22" t="n"/>
    </row>
    <row r="5028">
      <c r="A5028" s="22" t="inlineStr">
        <is>
          <t>9977</t>
        </is>
      </c>
      <c r="B5028" s="11" t="inlineStr">
        <is>
          <t>Carriage of materials</t>
        </is>
      </c>
      <c r="C5028" s="22" t="inlineStr">
        <is>
          <t>L.S.</t>
        </is>
      </c>
      <c r="D5028" s="23" t="n">
        <v>2.73</v>
      </c>
      <c r="E5028" s="24" t="n">
        <v>2</v>
      </c>
      <c r="F5028" s="24">
        <f>D5028*E5028</f>
        <v/>
      </c>
      <c r="G5028" s="22" t="n"/>
    </row>
    <row r="5029">
      <c r="A5029" s="22" t="inlineStr">
        <is>
          <t>0112</t>
        </is>
      </c>
      <c r="B5029" s="11" t="inlineStr">
        <is>
          <t>Carpenter 2nd class</t>
        </is>
      </c>
      <c r="C5029" s="22" t="inlineStr">
        <is>
          <t>day</t>
        </is>
      </c>
      <c r="D5029" s="23" t="n">
        <v>0.14</v>
      </c>
      <c r="E5029" s="24" t="n">
        <v>679</v>
      </c>
      <c r="F5029" s="24">
        <f>D5029*E5029</f>
        <v/>
      </c>
      <c r="G5029" s="22" t="n"/>
    </row>
    <row r="5030">
      <c r="A5030" s="22" t="inlineStr">
        <is>
          <t>0114</t>
        </is>
      </c>
      <c r="B5030" s="11" t="inlineStr">
        <is>
          <t>Beldar</t>
        </is>
      </c>
      <c r="C5030" s="22" t="inlineStr">
        <is>
          <t>day</t>
        </is>
      </c>
      <c r="D5030" s="23" t="n">
        <v>0.14</v>
      </c>
      <c r="E5030" s="24" t="n">
        <v>558</v>
      </c>
      <c r="F5030" s="24">
        <f>D5030*E5030</f>
        <v/>
      </c>
      <c r="G5030" s="22" t="n"/>
    </row>
    <row r="5031">
      <c r="A5031" s="8" t="inlineStr">
        <is>
          <t>Calculated W - SUM of the Amount column above</t>
        </is>
      </c>
      <c r="B5031" s="9" t="n"/>
      <c r="C5031" s="9" t="n"/>
      <c r="D5031" s="9" t="n"/>
      <c r="E5031" s="9" t="n"/>
      <c r="F5031" s="25">
        <f>SUM(F5026:F5030)</f>
        <v/>
      </c>
      <c r="G5031" s="9" t="n"/>
    </row>
    <row r="5032">
      <c r="A5032" s="26" t="inlineStr">
        <is>
          <t>W as printed in the DAR</t>
        </is>
      </c>
      <c r="B5032" s="22" t="n"/>
      <c r="C5032" s="22" t="n"/>
      <c r="D5032" s="22" t="n"/>
      <c r="E5032" s="22" t="n"/>
      <c r="F5032" s="27" t="n">
        <v>2241.44</v>
      </c>
      <c r="G5032" s="22" t="n"/>
    </row>
    <row r="5033">
      <c r="A5033" s="26" t="inlineStr">
        <is>
          <t>Difference (calculated - printed)</t>
        </is>
      </c>
      <c r="B5033" s="22" t="n"/>
      <c r="C5033" s="22" t="n"/>
      <c r="D5033" s="22" t="n"/>
      <c r="E5033" s="22" t="n"/>
      <c r="F5033" s="27">
        <f>F5031-F5032</f>
        <v/>
      </c>
      <c r="G5033" s="22" t="n"/>
    </row>
    <row r="5034">
      <c r="A5034" s="29" t="inlineStr">
        <is>
          <t>SAY (Rs.) - final DAR rate as printed (fixed value, not computed)</t>
        </is>
      </c>
      <c r="B5034" s="30" t="n"/>
      <c r="C5034" s="30" t="n"/>
      <c r="D5034" s="30" t="n"/>
      <c r="E5034" s="30" t="n"/>
      <c r="F5034" s="31" t="n">
        <v>299.9</v>
      </c>
      <c r="G5034" s="30" t="n"/>
    </row>
    <row r="5036" ht="33" customHeight="1">
      <c r="A5036" s="8" t="inlineStr">
        <is>
          <t>9.148</t>
        </is>
      </c>
      <c r="B5036" s="17" t="inlineStr">
        <is>
          <t>Providing and fixing stainless steel (SS-304 grade) friction hinges to the side/ top hung uPVC windows, of approved quality, with necessary stainless steel screws etc. as per direction of Engineer-in-charge.</t>
        </is>
      </c>
      <c r="C5036" s="9" t="n"/>
      <c r="D5036" s="9" t="n"/>
      <c r="E5036" s="9" t="n"/>
      <c r="F5036" s="9" t="n"/>
      <c r="G5036" s="9" t="n"/>
    </row>
    <row r="5037" ht="18.5" customHeight="1">
      <c r="A5037" s="18" t="inlineStr">
        <is>
          <t>9.148.2</t>
        </is>
      </c>
      <c r="B5037" s="19" t="inlineStr">
        <is>
          <t>250 x 19 x 1.9 mm</t>
        </is>
      </c>
      <c r="C5037" s="20" t="n"/>
      <c r="D5037" s="20" t="n"/>
      <c r="E5037" s="20" t="n"/>
      <c r="F5037" s="20" t="n"/>
      <c r="G5037" s="20" t="n"/>
    </row>
    <row r="5038">
      <c r="A5038" s="21" t="inlineStr">
        <is>
          <t>Details of cost for 10 nos   |   Source: CivilDAR_2019_Vol_1.pdf, page 654</t>
        </is>
      </c>
    </row>
    <row r="5039">
      <c r="A5039" s="5" t="inlineStr">
        <is>
          <t>Code</t>
        </is>
      </c>
      <c r="B5039" s="5" t="inlineStr">
        <is>
          <t>Description</t>
        </is>
      </c>
      <c r="C5039" s="5" t="inlineStr">
        <is>
          <t>Unit</t>
        </is>
      </c>
      <c r="D5039" s="5" t="inlineStr">
        <is>
          <t>Quantity</t>
        </is>
      </c>
      <c r="E5039" s="5" t="inlineStr">
        <is>
          <t>Rate (Rs.)</t>
        </is>
      </c>
      <c r="F5039" s="5" t="inlineStr">
        <is>
          <t>Amount (Rs.)</t>
        </is>
      </c>
      <c r="G5039" s="5" t="inlineStr">
        <is>
          <t>Note</t>
        </is>
      </c>
    </row>
    <row r="5040">
      <c r="A5040" s="22" t="inlineStr">
        <is>
          <t>8756</t>
        </is>
      </c>
      <c r="B5040" s="11" t="inlineStr">
        <is>
          <t>Stainless steel friction hinge of size 250 mm x 19 x 1.9 mm for uPVC windows</t>
        </is>
      </c>
      <c r="C5040" s="22" t="inlineStr">
        <is>
          <t>each</t>
        </is>
      </c>
      <c r="D5040" s="23" t="n">
        <v>10</v>
      </c>
      <c r="E5040" s="24" t="n">
        <v>230</v>
      </c>
      <c r="F5040" s="24">
        <f>D5040*E5040</f>
        <v/>
      </c>
      <c r="G5040" s="22" t="n"/>
    </row>
    <row r="5041">
      <c r="A5041" s="22" t="inlineStr">
        <is>
          <t>8647</t>
        </is>
      </c>
      <c r="B5041" s="11" t="inlineStr">
        <is>
          <t>Stainless steel screws 30mm x4mm.</t>
        </is>
      </c>
      <c r="C5041" s="22" t="inlineStr">
        <is>
          <t>100 Nos</t>
        </is>
      </c>
      <c r="D5041" s="23" t="n">
        <v>0.4</v>
      </c>
      <c r="E5041" s="24" t="n">
        <v>32</v>
      </c>
      <c r="F5041" s="24">
        <f>D5041*E5041</f>
        <v/>
      </c>
      <c r="G5041" s="22" t="n"/>
    </row>
    <row r="5042">
      <c r="A5042" s="22" t="inlineStr">
        <is>
          <t>9977</t>
        </is>
      </c>
      <c r="B5042" s="11" t="inlineStr">
        <is>
          <t>Carriage of materials</t>
        </is>
      </c>
      <c r="C5042" s="22" t="inlineStr">
        <is>
          <t>L.S.</t>
        </is>
      </c>
      <c r="D5042" s="23" t="n">
        <v>2.73</v>
      </c>
      <c r="E5042" s="24" t="n">
        <v>2</v>
      </c>
      <c r="F5042" s="24">
        <f>D5042*E5042</f>
        <v/>
      </c>
      <c r="G5042" s="22" t="n"/>
    </row>
    <row r="5043">
      <c r="A5043" s="22" t="inlineStr">
        <is>
          <t>0112</t>
        </is>
      </c>
      <c r="B5043" s="11" t="inlineStr">
        <is>
          <t>Carpenter 2nd class</t>
        </is>
      </c>
      <c r="C5043" s="22" t="inlineStr">
        <is>
          <t>day</t>
        </is>
      </c>
      <c r="D5043" s="23" t="n">
        <v>0.14</v>
      </c>
      <c r="E5043" s="24" t="n">
        <v>679</v>
      </c>
      <c r="F5043" s="24">
        <f>D5043*E5043</f>
        <v/>
      </c>
      <c r="G5043" s="22" t="n"/>
    </row>
    <row r="5044">
      <c r="A5044" s="22" t="inlineStr">
        <is>
          <t>0114</t>
        </is>
      </c>
      <c r="B5044" s="11" t="inlineStr">
        <is>
          <t>Beldar</t>
        </is>
      </c>
      <c r="C5044" s="22" t="inlineStr">
        <is>
          <t>day</t>
        </is>
      </c>
      <c r="D5044" s="23" t="n">
        <v>0.14</v>
      </c>
      <c r="E5044" s="24" t="n">
        <v>558</v>
      </c>
      <c r="F5044" s="24">
        <f>D5044*E5044</f>
        <v/>
      </c>
      <c r="G5044" s="22" t="n"/>
    </row>
    <row r="5045">
      <c r="A5045" s="8" t="inlineStr">
        <is>
          <t>Calculated W - SUM of the Amount column above</t>
        </is>
      </c>
      <c r="B5045" s="9" t="n"/>
      <c r="C5045" s="9" t="n"/>
      <c r="D5045" s="9" t="n"/>
      <c r="E5045" s="9" t="n"/>
      <c r="F5045" s="25">
        <f>SUM(F5040:F5044)</f>
        <v/>
      </c>
      <c r="G5045" s="9" t="n"/>
    </row>
    <row r="5046">
      <c r="A5046" s="26" t="inlineStr">
        <is>
          <t>W as printed in the DAR</t>
        </is>
      </c>
      <c r="B5046" s="22" t="n"/>
      <c r="C5046" s="22" t="n"/>
      <c r="D5046" s="22" t="n"/>
      <c r="E5046" s="22" t="n"/>
      <c r="F5046" s="27" t="n">
        <v>2491.44</v>
      </c>
      <c r="G5046" s="22" t="n"/>
    </row>
    <row r="5047">
      <c r="A5047" s="26" t="inlineStr">
        <is>
          <t>Difference (calculated - printed)</t>
        </is>
      </c>
      <c r="B5047" s="22" t="n"/>
      <c r="C5047" s="22" t="n"/>
      <c r="D5047" s="22" t="n"/>
      <c r="E5047" s="22" t="n"/>
      <c r="F5047" s="27">
        <f>F5045-F5046</f>
        <v/>
      </c>
      <c r="G5047" s="22" t="n"/>
    </row>
    <row r="5048">
      <c r="A5048" s="29" t="inlineStr">
        <is>
          <t>SAY (Rs.) - final DAR rate as printed (fixed value, not computed)</t>
        </is>
      </c>
      <c r="B5048" s="30" t="n"/>
      <c r="C5048" s="30" t="n"/>
      <c r="D5048" s="30" t="n"/>
      <c r="E5048" s="30" t="n"/>
      <c r="F5048" s="31" t="n">
        <v>333.35</v>
      </c>
      <c r="G5048" s="30" t="n"/>
    </row>
    <row r="5050" ht="33" customHeight="1">
      <c r="A5050" s="8" t="inlineStr">
        <is>
          <t>9.148</t>
        </is>
      </c>
      <c r="B5050" s="17" t="inlineStr">
        <is>
          <t>Providing and fixing stainless steel (SS-304 grade) friction hinges to the side/ top hung uPVC windows, of approved quality, with necessary stainless steel screws etc. as per direction of Engineer-in-charge.</t>
        </is>
      </c>
      <c r="C5050" s="9" t="n"/>
      <c r="D5050" s="9" t="n"/>
      <c r="E5050" s="9" t="n"/>
      <c r="F5050" s="9" t="n"/>
      <c r="G5050" s="9" t="n"/>
    </row>
    <row r="5051" ht="18.5" customHeight="1">
      <c r="A5051" s="18" t="inlineStr">
        <is>
          <t>9.148.3</t>
        </is>
      </c>
      <c r="B5051" s="19" t="inlineStr">
        <is>
          <t>300 x 19 x 1.9 mm</t>
        </is>
      </c>
      <c r="C5051" s="20" t="n"/>
      <c r="D5051" s="20" t="n"/>
      <c r="E5051" s="20" t="n"/>
      <c r="F5051" s="20" t="n"/>
      <c r="G5051" s="20" t="n"/>
    </row>
    <row r="5052">
      <c r="A5052" s="21" t="inlineStr">
        <is>
          <t>Details of cost for 10 nos   |   Source: CivilDAR_2019_Vol_1.pdf, page 655</t>
        </is>
      </c>
    </row>
    <row r="5053">
      <c r="A5053" s="5" t="inlineStr">
        <is>
          <t>Code</t>
        </is>
      </c>
      <c r="B5053" s="5" t="inlineStr">
        <is>
          <t>Description</t>
        </is>
      </c>
      <c r="C5053" s="5" t="inlineStr">
        <is>
          <t>Unit</t>
        </is>
      </c>
      <c r="D5053" s="5" t="inlineStr">
        <is>
          <t>Quantity</t>
        </is>
      </c>
      <c r="E5053" s="5" t="inlineStr">
        <is>
          <t>Rate (Rs.)</t>
        </is>
      </c>
      <c r="F5053" s="5" t="inlineStr">
        <is>
          <t>Amount (Rs.)</t>
        </is>
      </c>
      <c r="G5053" s="5" t="inlineStr">
        <is>
          <t>Note</t>
        </is>
      </c>
    </row>
    <row r="5054">
      <c r="A5054" s="22" t="inlineStr">
        <is>
          <t>8757</t>
        </is>
      </c>
      <c r="B5054" s="11" t="inlineStr">
        <is>
          <t>Stainless steel friction hinge of size 300 mm x 19 x 1.9 mm for uPVC windows</t>
        </is>
      </c>
      <c r="C5054" s="22" t="inlineStr">
        <is>
          <t>each</t>
        </is>
      </c>
      <c r="D5054" s="23" t="n">
        <v>10</v>
      </c>
      <c r="E5054" s="24" t="n">
        <v>245</v>
      </c>
      <c r="F5054" s="24">
        <f>D5054*E5054</f>
        <v/>
      </c>
      <c r="G5054" s="22" t="n"/>
    </row>
    <row r="5055">
      <c r="A5055" s="22" t="inlineStr">
        <is>
          <t>8647</t>
        </is>
      </c>
      <c r="B5055" s="11" t="inlineStr">
        <is>
          <t>Stainless steel screws 30mm x4mm.</t>
        </is>
      </c>
      <c r="C5055" s="22" t="inlineStr">
        <is>
          <t>100 Nos</t>
        </is>
      </c>
      <c r="D5055" s="23" t="n">
        <v>0.4</v>
      </c>
      <c r="E5055" s="24" t="n">
        <v>32</v>
      </c>
      <c r="F5055" s="24">
        <f>D5055*E5055</f>
        <v/>
      </c>
      <c r="G5055" s="22" t="n"/>
    </row>
    <row r="5056">
      <c r="A5056" s="22" t="inlineStr">
        <is>
          <t>9977</t>
        </is>
      </c>
      <c r="B5056" s="11" t="inlineStr">
        <is>
          <t>Carriage of materials</t>
        </is>
      </c>
      <c r="C5056" s="22" t="inlineStr">
        <is>
          <t>L.S.</t>
        </is>
      </c>
      <c r="D5056" s="23" t="n">
        <v>2.73</v>
      </c>
      <c r="E5056" s="24" t="n">
        <v>2</v>
      </c>
      <c r="F5056" s="24">
        <f>D5056*E5056</f>
        <v/>
      </c>
      <c r="G5056" s="22" t="n"/>
    </row>
    <row r="5057">
      <c r="A5057" s="22" t="inlineStr">
        <is>
          <t>0112</t>
        </is>
      </c>
      <c r="B5057" s="11" t="inlineStr">
        <is>
          <t>Carpenter 2nd class</t>
        </is>
      </c>
      <c r="C5057" s="22" t="inlineStr">
        <is>
          <t>day</t>
        </is>
      </c>
      <c r="D5057" s="23" t="n">
        <v>0.14</v>
      </c>
      <c r="E5057" s="24" t="n">
        <v>679</v>
      </c>
      <c r="F5057" s="24">
        <f>D5057*E5057</f>
        <v/>
      </c>
      <c r="G5057" s="22" t="n"/>
    </row>
    <row r="5058">
      <c r="A5058" s="22" t="inlineStr">
        <is>
          <t>0114</t>
        </is>
      </c>
      <c r="B5058" s="11" t="inlineStr">
        <is>
          <t>Beldar</t>
        </is>
      </c>
      <c r="C5058" s="22" t="inlineStr">
        <is>
          <t>day</t>
        </is>
      </c>
      <c r="D5058" s="23" t="n">
        <v>0.14</v>
      </c>
      <c r="E5058" s="24" t="n">
        <v>558</v>
      </c>
      <c r="F5058" s="24">
        <f>D5058*E5058</f>
        <v/>
      </c>
      <c r="G5058" s="22" t="n"/>
    </row>
    <row r="5059">
      <c r="A5059" s="8" t="inlineStr">
        <is>
          <t>Calculated W - SUM of the Amount column above</t>
        </is>
      </c>
      <c r="B5059" s="9" t="n"/>
      <c r="C5059" s="9" t="n"/>
      <c r="D5059" s="9" t="n"/>
      <c r="E5059" s="9" t="n"/>
      <c r="F5059" s="25">
        <f>SUM(F5054:F5058)</f>
        <v/>
      </c>
      <c r="G5059" s="9" t="n"/>
    </row>
    <row r="5060">
      <c r="A5060" s="26" t="inlineStr">
        <is>
          <t>W as printed in the DAR</t>
        </is>
      </c>
      <c r="B5060" s="22" t="n"/>
      <c r="C5060" s="22" t="n"/>
      <c r="D5060" s="22" t="n"/>
      <c r="E5060" s="22" t="n"/>
      <c r="F5060" s="27" t="n">
        <v>2641.44</v>
      </c>
      <c r="G5060" s="22" t="n"/>
    </row>
    <row r="5061">
      <c r="A5061" s="26" t="inlineStr">
        <is>
          <t>Difference (calculated - printed)</t>
        </is>
      </c>
      <c r="B5061" s="22" t="n"/>
      <c r="C5061" s="22" t="n"/>
      <c r="D5061" s="22" t="n"/>
      <c r="E5061" s="22" t="n"/>
      <c r="F5061" s="27">
        <f>F5059-F5060</f>
        <v/>
      </c>
      <c r="G5061" s="22" t="n"/>
    </row>
    <row r="5062">
      <c r="A5062" s="29" t="inlineStr">
        <is>
          <t>SAY (Rs.) - final DAR rate as printed (fixed value, not computed)</t>
        </is>
      </c>
      <c r="B5062" s="30" t="n"/>
      <c r="C5062" s="30" t="n"/>
      <c r="D5062" s="30" t="n"/>
      <c r="E5062" s="30" t="n"/>
      <c r="F5062" s="31" t="n">
        <v>353.4</v>
      </c>
      <c r="G5062" s="30" t="n"/>
    </row>
    <row r="5064" ht="33" customHeight="1">
      <c r="A5064" s="8" t="inlineStr">
        <is>
          <t>9.148</t>
        </is>
      </c>
      <c r="B5064" s="17" t="inlineStr">
        <is>
          <t>Providing and fixing stainless steel (SS-304 grade) friction hinges to the side/ top hung uPVC windows, of approved quality, with necessary stainless steel screws etc. as per direction of Engineer-in-charge.</t>
        </is>
      </c>
      <c r="C5064" s="9" t="n"/>
      <c r="D5064" s="9" t="n"/>
      <c r="E5064" s="9" t="n"/>
      <c r="F5064" s="9" t="n"/>
      <c r="G5064" s="9" t="n"/>
    </row>
    <row r="5065" ht="18.5" customHeight="1">
      <c r="A5065" s="18" t="inlineStr">
        <is>
          <t>9.148.4</t>
        </is>
      </c>
      <c r="B5065" s="19" t="inlineStr">
        <is>
          <t>350 x 19 x 1.9 mm</t>
        </is>
      </c>
      <c r="C5065" s="20" t="n"/>
      <c r="D5065" s="20" t="n"/>
      <c r="E5065" s="20" t="n"/>
      <c r="F5065" s="20" t="n"/>
      <c r="G5065" s="20" t="n"/>
    </row>
    <row r="5066">
      <c r="A5066" s="21" t="inlineStr">
        <is>
          <t>Details of cost for 10 nos   |   Source: CivilDAR_2019_Vol_1.pdf, page 655</t>
        </is>
      </c>
    </row>
    <row r="5067">
      <c r="A5067" s="5" t="inlineStr">
        <is>
          <t>Code</t>
        </is>
      </c>
      <c r="B5067" s="5" t="inlineStr">
        <is>
          <t>Description</t>
        </is>
      </c>
      <c r="C5067" s="5" t="inlineStr">
        <is>
          <t>Unit</t>
        </is>
      </c>
      <c r="D5067" s="5" t="inlineStr">
        <is>
          <t>Quantity</t>
        </is>
      </c>
      <c r="E5067" s="5" t="inlineStr">
        <is>
          <t>Rate (Rs.)</t>
        </is>
      </c>
      <c r="F5067" s="5" t="inlineStr">
        <is>
          <t>Amount (Rs.)</t>
        </is>
      </c>
      <c r="G5067" s="5" t="inlineStr">
        <is>
          <t>Note</t>
        </is>
      </c>
    </row>
    <row r="5068">
      <c r="A5068" s="22" t="inlineStr">
        <is>
          <t>8758</t>
        </is>
      </c>
      <c r="B5068" s="11" t="inlineStr">
        <is>
          <t>Stainless steel friction hinge of size 350 mm x 19 x 1.9 mm for uPVC windows</t>
        </is>
      </c>
      <c r="C5068" s="22" t="inlineStr">
        <is>
          <t>each</t>
        </is>
      </c>
      <c r="D5068" s="23" t="n">
        <v>10</v>
      </c>
      <c r="E5068" s="24" t="n">
        <v>345</v>
      </c>
      <c r="F5068" s="24">
        <f>D5068*E5068</f>
        <v/>
      </c>
      <c r="G5068" s="22" t="n"/>
    </row>
    <row r="5069">
      <c r="A5069" s="22" t="inlineStr">
        <is>
          <t>8647</t>
        </is>
      </c>
      <c r="B5069" s="11" t="inlineStr">
        <is>
          <t>Stainless steel screws 30mm x4mm.</t>
        </is>
      </c>
      <c r="C5069" s="22" t="inlineStr">
        <is>
          <t>100 Nos</t>
        </is>
      </c>
      <c r="D5069" s="23" t="n">
        <v>0.4</v>
      </c>
      <c r="E5069" s="24" t="n">
        <v>32</v>
      </c>
      <c r="F5069" s="24">
        <f>D5069*E5069</f>
        <v/>
      </c>
      <c r="G5069" s="22" t="n"/>
    </row>
    <row r="5070">
      <c r="A5070" s="22" t="inlineStr">
        <is>
          <t>9977</t>
        </is>
      </c>
      <c r="B5070" s="11" t="inlineStr">
        <is>
          <t>Carriage of materials</t>
        </is>
      </c>
      <c r="C5070" s="22" t="inlineStr">
        <is>
          <t>L.S.</t>
        </is>
      </c>
      <c r="D5070" s="23" t="n">
        <v>2.73</v>
      </c>
      <c r="E5070" s="24" t="n">
        <v>2</v>
      </c>
      <c r="F5070" s="24">
        <f>D5070*E5070</f>
        <v/>
      </c>
      <c r="G5070" s="22" t="n"/>
    </row>
    <row r="5071">
      <c r="A5071" s="22" t="inlineStr">
        <is>
          <t>0112</t>
        </is>
      </c>
      <c r="B5071" s="11" t="inlineStr">
        <is>
          <t>Carpenter 2nd class</t>
        </is>
      </c>
      <c r="C5071" s="22" t="inlineStr">
        <is>
          <t>day</t>
        </is>
      </c>
      <c r="D5071" s="23" t="n">
        <v>0.14</v>
      </c>
      <c r="E5071" s="24" t="n">
        <v>679</v>
      </c>
      <c r="F5071" s="24">
        <f>D5071*E5071</f>
        <v/>
      </c>
      <c r="G5071" s="22" t="n"/>
    </row>
    <row r="5072">
      <c r="A5072" s="22" t="inlineStr">
        <is>
          <t>0114</t>
        </is>
      </c>
      <c r="B5072" s="11" t="inlineStr">
        <is>
          <t>Beldar</t>
        </is>
      </c>
      <c r="C5072" s="22" t="inlineStr">
        <is>
          <t>day</t>
        </is>
      </c>
      <c r="D5072" s="23" t="n">
        <v>0.14</v>
      </c>
      <c r="E5072" s="24" t="n">
        <v>558</v>
      </c>
      <c r="F5072" s="24">
        <f>D5072*E5072</f>
        <v/>
      </c>
      <c r="G5072" s="22" t="n"/>
    </row>
    <row r="5073">
      <c r="A5073" s="8" t="inlineStr">
        <is>
          <t>Calculated W - SUM of the Amount column above</t>
        </is>
      </c>
      <c r="B5073" s="9" t="n"/>
      <c r="C5073" s="9" t="n"/>
      <c r="D5073" s="9" t="n"/>
      <c r="E5073" s="9" t="n"/>
      <c r="F5073" s="25">
        <f>SUM(F5068:F5072)</f>
        <v/>
      </c>
      <c r="G5073" s="9" t="n"/>
    </row>
    <row r="5074">
      <c r="A5074" s="26" t="inlineStr">
        <is>
          <t>W as printed in the DAR</t>
        </is>
      </c>
      <c r="B5074" s="22" t="n"/>
      <c r="C5074" s="22" t="n"/>
      <c r="D5074" s="22" t="n"/>
      <c r="E5074" s="22" t="n"/>
      <c r="F5074" s="27" t="n">
        <v>3641.44</v>
      </c>
      <c r="G5074" s="22" t="n"/>
    </row>
    <row r="5075">
      <c r="A5075" s="26" t="inlineStr">
        <is>
          <t>Difference (calculated - printed)</t>
        </is>
      </c>
      <c r="B5075" s="22" t="n"/>
      <c r="C5075" s="22" t="n"/>
      <c r="D5075" s="22" t="n"/>
      <c r="E5075" s="22" t="n"/>
      <c r="F5075" s="27">
        <f>F5073-F5074</f>
        <v/>
      </c>
      <c r="G5075" s="22" t="n"/>
    </row>
    <row r="5076">
      <c r="A5076" s="29" t="inlineStr">
        <is>
          <t>SAY (Rs.) - final DAR rate as printed (fixed value, not computed)</t>
        </is>
      </c>
      <c r="B5076" s="30" t="n"/>
      <c r="C5076" s="30" t="n"/>
      <c r="D5076" s="30" t="n"/>
      <c r="E5076" s="30" t="n"/>
      <c r="F5076" s="31" t="n">
        <v>487.2</v>
      </c>
      <c r="G5076" s="30" t="n"/>
    </row>
    <row r="5078" ht="33" customHeight="1">
      <c r="A5078" s="8" t="inlineStr">
        <is>
          <t>9.148</t>
        </is>
      </c>
      <c r="B5078" s="17" t="inlineStr">
        <is>
          <t>Providing and fixing stainless steel (SS-304 grade) friction hinges to the side/ top hung uPVC windows, of approved quality, with necessary stainless steel screws etc. as per direction of Engineer-in-charge.</t>
        </is>
      </c>
      <c r="C5078" s="9" t="n"/>
      <c r="D5078" s="9" t="n"/>
      <c r="E5078" s="9" t="n"/>
      <c r="F5078" s="9" t="n"/>
      <c r="G5078" s="9" t="n"/>
    </row>
    <row r="5079" ht="18.5" customHeight="1">
      <c r="A5079" s="18" t="inlineStr">
        <is>
          <t>9.148.5</t>
        </is>
      </c>
      <c r="B5079" s="19" t="inlineStr">
        <is>
          <t>400 x 19 x 1.9 mm</t>
        </is>
      </c>
      <c r="C5079" s="20" t="n"/>
      <c r="D5079" s="20" t="n"/>
      <c r="E5079" s="20" t="n"/>
      <c r="F5079" s="20" t="n"/>
      <c r="G5079" s="20" t="n"/>
    </row>
    <row r="5080">
      <c r="A5080" s="21" t="inlineStr">
        <is>
          <t>Details of cost for 10 nos   |   Source: CivilDAR_2019_Vol_1.pdf, page 656</t>
        </is>
      </c>
    </row>
    <row r="5081">
      <c r="A5081" s="5" t="inlineStr">
        <is>
          <t>Code</t>
        </is>
      </c>
      <c r="B5081" s="5" t="inlineStr">
        <is>
          <t>Description</t>
        </is>
      </c>
      <c r="C5081" s="5" t="inlineStr">
        <is>
          <t>Unit</t>
        </is>
      </c>
      <c r="D5081" s="5" t="inlineStr">
        <is>
          <t>Quantity</t>
        </is>
      </c>
      <c r="E5081" s="5" t="inlineStr">
        <is>
          <t>Rate (Rs.)</t>
        </is>
      </c>
      <c r="F5081" s="5" t="inlineStr">
        <is>
          <t>Amount (Rs.)</t>
        </is>
      </c>
      <c r="G5081" s="5" t="inlineStr">
        <is>
          <t>Note</t>
        </is>
      </c>
    </row>
    <row r="5082">
      <c r="A5082" s="22" t="inlineStr">
        <is>
          <t>8759</t>
        </is>
      </c>
      <c r="B5082" s="11" t="inlineStr">
        <is>
          <t>Stainless steel friction hinge of size 400 mm x 19 x 1.9 mm for uPVC windows</t>
        </is>
      </c>
      <c r="C5082" s="22" t="inlineStr">
        <is>
          <t>each</t>
        </is>
      </c>
      <c r="D5082" s="23" t="n">
        <v>10</v>
      </c>
      <c r="E5082" s="24" t="n">
        <v>365</v>
      </c>
      <c r="F5082" s="24">
        <f>D5082*E5082</f>
        <v/>
      </c>
      <c r="G5082" s="22" t="n"/>
    </row>
    <row r="5083">
      <c r="A5083" s="22" t="inlineStr">
        <is>
          <t>8647</t>
        </is>
      </c>
      <c r="B5083" s="11" t="inlineStr">
        <is>
          <t>Stainless steal screws 30mm x4mm.</t>
        </is>
      </c>
      <c r="C5083" s="22" t="inlineStr">
        <is>
          <t>100 Nos</t>
        </is>
      </c>
      <c r="D5083" s="23" t="n">
        <v>0.4</v>
      </c>
      <c r="E5083" s="24" t="n">
        <v>32</v>
      </c>
      <c r="F5083" s="24">
        <f>D5083*E5083</f>
        <v/>
      </c>
      <c r="G5083" s="22" t="n"/>
    </row>
    <row r="5084">
      <c r="A5084" s="22" t="inlineStr">
        <is>
          <t>9977</t>
        </is>
      </c>
      <c r="B5084" s="11" t="inlineStr">
        <is>
          <t>Carriage of materials</t>
        </is>
      </c>
      <c r="C5084" s="22" t="inlineStr">
        <is>
          <t>L.S.</t>
        </is>
      </c>
      <c r="D5084" s="23" t="n">
        <v>2.73</v>
      </c>
      <c r="E5084" s="24" t="n">
        <v>2</v>
      </c>
      <c r="F5084" s="24">
        <f>D5084*E5084</f>
        <v/>
      </c>
      <c r="G5084" s="22" t="n"/>
    </row>
    <row r="5085">
      <c r="A5085" s="22" t="inlineStr">
        <is>
          <t>0112</t>
        </is>
      </c>
      <c r="B5085" s="11" t="inlineStr">
        <is>
          <t>Carpenter 2nd class</t>
        </is>
      </c>
      <c r="C5085" s="22" t="inlineStr">
        <is>
          <t>day</t>
        </is>
      </c>
      <c r="D5085" s="23" t="n">
        <v>0.14</v>
      </c>
      <c r="E5085" s="24" t="n">
        <v>679</v>
      </c>
      <c r="F5085" s="24">
        <f>D5085*E5085</f>
        <v/>
      </c>
      <c r="G5085" s="22" t="n"/>
    </row>
    <row r="5086">
      <c r="A5086" s="22" t="inlineStr">
        <is>
          <t>0114</t>
        </is>
      </c>
      <c r="B5086" s="11" t="inlineStr">
        <is>
          <t>Beldar</t>
        </is>
      </c>
      <c r="C5086" s="22" t="inlineStr">
        <is>
          <t>day</t>
        </is>
      </c>
      <c r="D5086" s="23" t="n">
        <v>0.14</v>
      </c>
      <c r="E5086" s="24" t="n">
        <v>558</v>
      </c>
      <c r="F5086" s="24">
        <f>D5086*E5086</f>
        <v/>
      </c>
      <c r="G5086" s="22" t="n"/>
    </row>
    <row r="5087">
      <c r="A5087" s="8" t="inlineStr">
        <is>
          <t>Calculated W - SUM of the Amount column above</t>
        </is>
      </c>
      <c r="B5087" s="9" t="n"/>
      <c r="C5087" s="9" t="n"/>
      <c r="D5087" s="9" t="n"/>
      <c r="E5087" s="9" t="n"/>
      <c r="F5087" s="25">
        <f>SUM(F5082:F5086)</f>
        <v/>
      </c>
      <c r="G5087" s="9" t="n"/>
    </row>
    <row r="5088">
      <c r="A5088" s="26" t="inlineStr">
        <is>
          <t>W as printed in the DAR</t>
        </is>
      </c>
      <c r="B5088" s="22" t="n"/>
      <c r="C5088" s="22" t="n"/>
      <c r="D5088" s="22" t="n"/>
      <c r="E5088" s="22" t="n"/>
      <c r="F5088" s="27" t="n">
        <v>3841.44</v>
      </c>
      <c r="G5088" s="22" t="n"/>
    </row>
    <row r="5089">
      <c r="A5089" s="26" t="inlineStr">
        <is>
          <t>Difference (calculated - printed)</t>
        </is>
      </c>
      <c r="B5089" s="22" t="n"/>
      <c r="C5089" s="22" t="n"/>
      <c r="D5089" s="22" t="n"/>
      <c r="E5089" s="22" t="n"/>
      <c r="F5089" s="27">
        <f>F5087-F5088</f>
        <v/>
      </c>
      <c r="G5089" s="22" t="n"/>
    </row>
    <row r="5090">
      <c r="A5090" s="29" t="inlineStr">
        <is>
          <t>SAY (Rs.) - final DAR rate as printed (fixed value, not computed)</t>
        </is>
      </c>
      <c r="B5090" s="30" t="n"/>
      <c r="C5090" s="30" t="n"/>
      <c r="D5090" s="30" t="n"/>
      <c r="E5090" s="30" t="n"/>
      <c r="F5090" s="31" t="n">
        <v>513.95</v>
      </c>
      <c r="G5090" s="30" t="n"/>
    </row>
    <row r="5092" ht="33" customHeight="1">
      <c r="A5092" s="18" t="inlineStr">
        <is>
          <t>9.149</t>
        </is>
      </c>
      <c r="B5092" s="19" t="inlineStr">
        <is>
          <t>Providing and fixing casement handle made of zinc alloyed (white powder coated) for uPVC casement window with necessary screws etc. complete.</t>
        </is>
      </c>
      <c r="C5092" s="20" t="n"/>
      <c r="D5092" s="20" t="n"/>
      <c r="E5092" s="20" t="n"/>
      <c r="F5092" s="20" t="n"/>
      <c r="G5092" s="20" t="n"/>
    </row>
    <row r="5093">
      <c r="A5093" s="21" t="inlineStr">
        <is>
          <t>Details of cost for 10 nos   |   Source: CivilDAR_2019_Vol_1.pdf, page 656</t>
        </is>
      </c>
    </row>
    <row r="5094">
      <c r="A5094" s="5" t="inlineStr">
        <is>
          <t>Code</t>
        </is>
      </c>
      <c r="B5094" s="5" t="inlineStr">
        <is>
          <t>Description</t>
        </is>
      </c>
      <c r="C5094" s="5" t="inlineStr">
        <is>
          <t>Unit</t>
        </is>
      </c>
      <c r="D5094" s="5" t="inlineStr">
        <is>
          <t>Quantity</t>
        </is>
      </c>
      <c r="E5094" s="5" t="inlineStr">
        <is>
          <t>Rate (Rs.)</t>
        </is>
      </c>
      <c r="F5094" s="5" t="inlineStr">
        <is>
          <t>Amount (Rs.)</t>
        </is>
      </c>
      <c r="G5094" s="5" t="inlineStr">
        <is>
          <t>Note</t>
        </is>
      </c>
    </row>
    <row r="5095">
      <c r="A5095" s="22" t="inlineStr">
        <is>
          <t>8750</t>
        </is>
      </c>
      <c r="B5095" s="11" t="inlineStr">
        <is>
          <t>Zinc alloy (white powder coated) casement handle for uPVC windows</t>
        </is>
      </c>
      <c r="C5095" s="22" t="inlineStr">
        <is>
          <t>each</t>
        </is>
      </c>
      <c r="D5095" s="23" t="n">
        <v>10</v>
      </c>
      <c r="E5095" s="24" t="n">
        <v>130</v>
      </c>
      <c r="F5095" s="24">
        <f>D5095*E5095</f>
        <v/>
      </c>
      <c r="G5095" s="22" t="n"/>
    </row>
    <row r="5096">
      <c r="A5096" s="22" t="inlineStr">
        <is>
          <t>9977</t>
        </is>
      </c>
      <c r="B5096" s="11" t="inlineStr">
        <is>
          <t>Carriage of materials</t>
        </is>
      </c>
      <c r="C5096" s="22" t="inlineStr">
        <is>
          <t>L.S.</t>
        </is>
      </c>
      <c r="D5096" s="23" t="n">
        <v>4.42</v>
      </c>
      <c r="E5096" s="24" t="n">
        <v>2</v>
      </c>
      <c r="F5096" s="24">
        <f>D5096*E5096</f>
        <v/>
      </c>
      <c r="G5096" s="22" t="n"/>
    </row>
    <row r="5097">
      <c r="A5097" s="22" t="inlineStr">
        <is>
          <t>9999</t>
        </is>
      </c>
      <c r="B5097" s="11" t="inlineStr">
        <is>
          <t>Sundries(Screws)</t>
        </is>
      </c>
      <c r="C5097" s="22" t="inlineStr">
        <is>
          <t>L.S.</t>
        </is>
      </c>
      <c r="D5097" s="23" t="n">
        <v>3</v>
      </c>
      <c r="E5097" s="24" t="n">
        <v>2</v>
      </c>
      <c r="F5097" s="24">
        <f>D5097*E5097</f>
        <v/>
      </c>
      <c r="G5097" s="22" t="n"/>
    </row>
    <row r="5098">
      <c r="A5098" s="22" t="inlineStr">
        <is>
          <t>0156</t>
        </is>
      </c>
      <c r="B5098" s="11" t="inlineStr">
        <is>
          <t>Carpenter (average)</t>
        </is>
      </c>
      <c r="C5098" s="22" t="inlineStr">
        <is>
          <t>day</t>
        </is>
      </c>
      <c r="D5098" s="23" t="n">
        <v>0.125</v>
      </c>
      <c r="E5098" s="24" t="n">
        <v>709</v>
      </c>
      <c r="F5098" s="24">
        <f>D5098*E5098</f>
        <v/>
      </c>
      <c r="G5098" s="22" t="n"/>
    </row>
    <row r="5099">
      <c r="A5099" s="8" t="inlineStr">
        <is>
          <t>Calculated W - SUM of the Amount column above</t>
        </is>
      </c>
      <c r="B5099" s="9" t="n"/>
      <c r="C5099" s="9" t="n"/>
      <c r="D5099" s="9" t="n"/>
      <c r="E5099" s="9" t="n"/>
      <c r="F5099" s="25">
        <f>SUM(F5095:F5098)</f>
        <v/>
      </c>
      <c r="G5099" s="9" t="n"/>
    </row>
    <row r="5100">
      <c r="A5100" s="26" t="inlineStr">
        <is>
          <t>W as printed in the DAR</t>
        </is>
      </c>
      <c r="B5100" s="22" t="n"/>
      <c r="C5100" s="22" t="n"/>
      <c r="D5100" s="22" t="n"/>
      <c r="E5100" s="22" t="n"/>
      <c r="F5100" s="27" t="n">
        <v>1403.47</v>
      </c>
      <c r="G5100" s="22" t="n"/>
    </row>
    <row r="5101">
      <c r="A5101" s="26" t="inlineStr">
        <is>
          <t>Difference (calculated - printed)</t>
        </is>
      </c>
      <c r="B5101" s="22" t="n"/>
      <c r="C5101" s="22" t="n"/>
      <c r="D5101" s="22" t="n"/>
      <c r="E5101" s="22" t="n"/>
      <c r="F5101" s="27">
        <f>F5099-F5100</f>
        <v/>
      </c>
      <c r="G5101" s="22" t="n"/>
    </row>
    <row r="5102">
      <c r="A5102" s="29" t="inlineStr">
        <is>
          <t>SAY (Rs.) - final DAR rate as printed (fixed value, not computed)</t>
        </is>
      </c>
      <c r="B5102" s="30" t="n"/>
      <c r="C5102" s="30" t="n"/>
      <c r="D5102" s="30" t="n"/>
      <c r="E5102" s="30" t="n"/>
      <c r="F5102" s="31" t="n">
        <v>187.75</v>
      </c>
      <c r="G5102" s="30" t="n"/>
    </row>
    <row r="5104" ht="33" customHeight="1">
      <c r="A5104" s="18" t="inlineStr">
        <is>
          <t>9.150</t>
        </is>
      </c>
      <c r="B5104" s="19" t="inlineStr">
        <is>
          <t>Providing and fixing zinc alloyed (white powder coated) touch lock for uPVC sliding window with necessary screws etc. complete.</t>
        </is>
      </c>
      <c r="C5104" s="20" t="n"/>
      <c r="D5104" s="20" t="n"/>
      <c r="E5104" s="20" t="n"/>
      <c r="F5104" s="20" t="n"/>
      <c r="G5104" s="20" t="n"/>
    </row>
    <row r="5105">
      <c r="A5105" s="21" t="inlineStr">
        <is>
          <t>Details of cost for 10 nos   |   Source: CivilDAR_2019_Vol_1.pdf, page 657</t>
        </is>
      </c>
    </row>
    <row r="5106">
      <c r="A5106" s="5" t="inlineStr">
        <is>
          <t>Code</t>
        </is>
      </c>
      <c r="B5106" s="5" t="inlineStr">
        <is>
          <t>Description</t>
        </is>
      </c>
      <c r="C5106" s="5" t="inlineStr">
        <is>
          <t>Unit</t>
        </is>
      </c>
      <c r="D5106" s="5" t="inlineStr">
        <is>
          <t>Quantity</t>
        </is>
      </c>
      <c r="E5106" s="5" t="inlineStr">
        <is>
          <t>Rate (Rs.)</t>
        </is>
      </c>
      <c r="F5106" s="5" t="inlineStr">
        <is>
          <t>Amount (Rs.)</t>
        </is>
      </c>
      <c r="G5106" s="5" t="inlineStr">
        <is>
          <t>Note</t>
        </is>
      </c>
    </row>
    <row r="5107">
      <c r="A5107" s="22" t="inlineStr">
        <is>
          <t>8751</t>
        </is>
      </c>
      <c r="B5107" s="11" t="inlineStr">
        <is>
          <t>Zinc alloy (white powder coated) Touch Lock for uPVC windows</t>
        </is>
      </c>
      <c r="C5107" s="22" t="inlineStr">
        <is>
          <t>each</t>
        </is>
      </c>
      <c r="D5107" s="23" t="n">
        <v>10</v>
      </c>
      <c r="E5107" s="24" t="n">
        <v>105</v>
      </c>
      <c r="F5107" s="24">
        <f>D5107*E5107</f>
        <v/>
      </c>
      <c r="G5107" s="22" t="n"/>
    </row>
    <row r="5108">
      <c r="A5108" s="22" t="inlineStr">
        <is>
          <t>9977</t>
        </is>
      </c>
      <c r="B5108" s="11" t="inlineStr">
        <is>
          <t>Carriage of materials</t>
        </is>
      </c>
      <c r="C5108" s="22" t="inlineStr">
        <is>
          <t>L.S.</t>
        </is>
      </c>
      <c r="D5108" s="23" t="n">
        <v>4.42</v>
      </c>
      <c r="E5108" s="24" t="n">
        <v>2</v>
      </c>
      <c r="F5108" s="24">
        <f>D5108*E5108</f>
        <v/>
      </c>
      <c r="G5108" s="22" t="n"/>
    </row>
    <row r="5109">
      <c r="A5109" s="22" t="inlineStr">
        <is>
          <t>9999</t>
        </is>
      </c>
      <c r="B5109" s="11" t="inlineStr">
        <is>
          <t>Sundries(Screws)</t>
        </is>
      </c>
      <c r="C5109" s="22" t="inlineStr">
        <is>
          <t>L.S.</t>
        </is>
      </c>
      <c r="D5109" s="23" t="n">
        <v>3</v>
      </c>
      <c r="E5109" s="24" t="n">
        <v>2</v>
      </c>
      <c r="F5109" s="24">
        <f>D5109*E5109</f>
        <v/>
      </c>
      <c r="G5109" s="22" t="n"/>
    </row>
    <row r="5110">
      <c r="A5110" s="22" t="inlineStr">
        <is>
          <t>0156</t>
        </is>
      </c>
      <c r="B5110" s="11" t="inlineStr">
        <is>
          <t>Carpenter (average)</t>
        </is>
      </c>
      <c r="C5110" s="22" t="inlineStr">
        <is>
          <t>day</t>
        </is>
      </c>
      <c r="D5110" s="23" t="n">
        <v>0.125</v>
      </c>
      <c r="E5110" s="24" t="n">
        <v>709</v>
      </c>
      <c r="F5110" s="24">
        <f>D5110*E5110</f>
        <v/>
      </c>
      <c r="G5110" s="22" t="n"/>
    </row>
    <row r="5111">
      <c r="A5111" s="8" t="inlineStr">
        <is>
          <t>Calculated W - SUM of the Amount column above</t>
        </is>
      </c>
      <c r="B5111" s="9" t="n"/>
      <c r="C5111" s="9" t="n"/>
      <c r="D5111" s="9" t="n"/>
      <c r="E5111" s="9" t="n"/>
      <c r="F5111" s="25">
        <f>SUM(F5107:F5110)</f>
        <v/>
      </c>
      <c r="G5111" s="9" t="n"/>
    </row>
    <row r="5112">
      <c r="A5112" s="26" t="inlineStr">
        <is>
          <t>W as printed in the DAR</t>
        </is>
      </c>
      <c r="B5112" s="22" t="n"/>
      <c r="C5112" s="22" t="n"/>
      <c r="D5112" s="22" t="n"/>
      <c r="E5112" s="22" t="n"/>
      <c r="F5112" s="27" t="n">
        <v>1153.47</v>
      </c>
      <c r="G5112" s="22" t="n"/>
    </row>
    <row r="5113">
      <c r="A5113" s="26" t="inlineStr">
        <is>
          <t>Difference (calculated - printed)</t>
        </is>
      </c>
      <c r="B5113" s="22" t="n"/>
      <c r="C5113" s="22" t="n"/>
      <c r="D5113" s="22" t="n"/>
      <c r="E5113" s="22" t="n"/>
      <c r="F5113" s="27">
        <f>F5111-F5112</f>
        <v/>
      </c>
      <c r="G5113" s="22" t="n"/>
    </row>
    <row r="5114">
      <c r="A5114" s="29" t="inlineStr">
        <is>
          <t>SAY (Rs.) - final DAR rate as printed (fixed value, not computed)</t>
        </is>
      </c>
      <c r="B5114" s="30" t="n"/>
      <c r="C5114" s="30" t="n"/>
      <c r="D5114" s="30" t="n"/>
      <c r="E5114" s="30" t="n"/>
      <c r="F5114" s="31" t="n">
        <v>154.35</v>
      </c>
      <c r="G5114" s="30" t="n"/>
    </row>
    <row r="5116" ht="18.5" customHeight="1">
      <c r="A5116" s="18" t="inlineStr">
        <is>
          <t>9.151</t>
        </is>
      </c>
      <c r="B5116" s="19" t="inlineStr">
        <is>
          <t>Providing and fixing steel roller for uPVC sliding window with necessary screws etc. complete.</t>
        </is>
      </c>
      <c r="C5116" s="20" t="n"/>
      <c r="D5116" s="20" t="n"/>
      <c r="E5116" s="20" t="n"/>
      <c r="F5116" s="20" t="n"/>
      <c r="G5116" s="20" t="n"/>
    </row>
    <row r="5117">
      <c r="A5117" s="21" t="inlineStr">
        <is>
          <t>Details of cost for 10 nos   |   Source: CivilDAR_2019_Vol_1.pdf, page 657</t>
        </is>
      </c>
    </row>
    <row r="5118">
      <c r="A5118" s="5" t="inlineStr">
        <is>
          <t>Code</t>
        </is>
      </c>
      <c r="B5118" s="5" t="inlineStr">
        <is>
          <t>Description</t>
        </is>
      </c>
      <c r="C5118" s="5" t="inlineStr">
        <is>
          <t>Unit</t>
        </is>
      </c>
      <c r="D5118" s="5" t="inlineStr">
        <is>
          <t>Quantity</t>
        </is>
      </c>
      <c r="E5118" s="5" t="inlineStr">
        <is>
          <t>Rate (Rs.)</t>
        </is>
      </c>
      <c r="F5118" s="5" t="inlineStr">
        <is>
          <t>Amount (Rs.)</t>
        </is>
      </c>
      <c r="G5118" s="5" t="inlineStr">
        <is>
          <t>Note</t>
        </is>
      </c>
    </row>
    <row r="5119">
      <c r="A5119" s="22" t="inlineStr">
        <is>
          <t>8752</t>
        </is>
      </c>
      <c r="B5119" s="11" t="inlineStr">
        <is>
          <t>Zinc alloy rollers for uPVC windows</t>
        </is>
      </c>
      <c r="C5119" s="22" t="inlineStr">
        <is>
          <t>each</t>
        </is>
      </c>
      <c r="D5119" s="23" t="n">
        <v>10</v>
      </c>
      <c r="E5119" s="24" t="n">
        <v>56</v>
      </c>
      <c r="F5119" s="24">
        <f>D5119*E5119</f>
        <v/>
      </c>
      <c r="G5119" s="22" t="n"/>
    </row>
    <row r="5120">
      <c r="A5120" s="22" t="inlineStr">
        <is>
          <t>9977</t>
        </is>
      </c>
      <c r="B5120" s="11" t="inlineStr">
        <is>
          <t>Carriage of materials</t>
        </is>
      </c>
      <c r="C5120" s="22" t="inlineStr">
        <is>
          <t>L.S.</t>
        </is>
      </c>
      <c r="D5120" s="23" t="n">
        <v>4.42</v>
      </c>
      <c r="E5120" s="24" t="n">
        <v>2</v>
      </c>
      <c r="F5120" s="24">
        <f>D5120*E5120</f>
        <v/>
      </c>
      <c r="G5120" s="22" t="n"/>
    </row>
    <row r="5121">
      <c r="A5121" s="22" t="inlineStr">
        <is>
          <t>9999</t>
        </is>
      </c>
      <c r="B5121" s="11" t="inlineStr">
        <is>
          <t>Sundries(Screws)</t>
        </is>
      </c>
      <c r="C5121" s="22" t="inlineStr">
        <is>
          <t>L.S.</t>
        </is>
      </c>
      <c r="D5121" s="23" t="n">
        <v>3</v>
      </c>
      <c r="E5121" s="24" t="n">
        <v>2</v>
      </c>
      <c r="F5121" s="24">
        <f>D5121*E5121</f>
        <v/>
      </c>
      <c r="G5121" s="22" t="n"/>
    </row>
    <row r="5122">
      <c r="A5122" s="22" t="inlineStr">
        <is>
          <t>0156</t>
        </is>
      </c>
      <c r="B5122" s="11" t="inlineStr">
        <is>
          <t>Carpenter (average)</t>
        </is>
      </c>
      <c r="C5122" s="22" t="inlineStr">
        <is>
          <t>day</t>
        </is>
      </c>
      <c r="D5122" s="23" t="n">
        <v>0.125</v>
      </c>
      <c r="E5122" s="24" t="n">
        <v>709</v>
      </c>
      <c r="F5122" s="24">
        <f>D5122*E5122</f>
        <v/>
      </c>
      <c r="G5122" s="22" t="n"/>
    </row>
    <row r="5123">
      <c r="A5123" s="8" t="inlineStr">
        <is>
          <t>Calculated W - SUM of the Amount column above</t>
        </is>
      </c>
      <c r="B5123" s="9" t="n"/>
      <c r="C5123" s="9" t="n"/>
      <c r="D5123" s="9" t="n"/>
      <c r="E5123" s="9" t="n"/>
      <c r="F5123" s="25">
        <f>SUM(F5119:F5122)</f>
        <v/>
      </c>
      <c r="G5123" s="9" t="n"/>
    </row>
    <row r="5124">
      <c r="A5124" s="26" t="inlineStr">
        <is>
          <t>W as printed in the DAR</t>
        </is>
      </c>
      <c r="B5124" s="22" t="n"/>
      <c r="C5124" s="22" t="n"/>
      <c r="D5124" s="22" t="n"/>
      <c r="E5124" s="22" t="n"/>
      <c r="F5124" s="27" t="n">
        <v>663.47</v>
      </c>
      <c r="G5124" s="22" t="n"/>
    </row>
    <row r="5125">
      <c r="A5125" s="26" t="inlineStr">
        <is>
          <t>Difference (calculated - printed)</t>
        </is>
      </c>
      <c r="B5125" s="22" t="n"/>
      <c r="C5125" s="22" t="n"/>
      <c r="D5125" s="22" t="n"/>
      <c r="E5125" s="22" t="n"/>
      <c r="F5125" s="27">
        <f>F5123-F5124</f>
        <v/>
      </c>
      <c r="G5125" s="22" t="n"/>
    </row>
    <row r="5126">
      <c r="A5126" s="29" t="inlineStr">
        <is>
          <t>SAY (Rs.) - final DAR rate as printed (fixed value, not computed)</t>
        </is>
      </c>
      <c r="B5126" s="30" t="n"/>
      <c r="C5126" s="30" t="n"/>
      <c r="D5126" s="30" t="n"/>
      <c r="E5126" s="30" t="n"/>
      <c r="F5126" s="31" t="n">
        <v>88.75</v>
      </c>
      <c r="G5126" s="30" t="n"/>
    </row>
    <row r="5128" ht="18.5" customHeight="1">
      <c r="A5128" s="18" t="inlineStr">
        <is>
          <t>9.152</t>
        </is>
      </c>
      <c r="B5128" s="19" t="inlineStr">
        <is>
          <t>Providing and fixing steel roller for uPVC sliding door with necessary screws etc. complete.</t>
        </is>
      </c>
      <c r="C5128" s="20" t="n"/>
      <c r="D5128" s="20" t="n"/>
      <c r="E5128" s="20" t="n"/>
      <c r="F5128" s="20" t="n"/>
      <c r="G5128" s="20" t="n"/>
    </row>
    <row r="5129">
      <c r="A5129" s="21" t="inlineStr">
        <is>
          <t>Details of cost for 10 nos   |   Source: CivilDAR_2019_Vol_1.pdf, page 658</t>
        </is>
      </c>
    </row>
    <row r="5130">
      <c r="A5130" s="5" t="inlineStr">
        <is>
          <t>Code</t>
        </is>
      </c>
      <c r="B5130" s="5" t="inlineStr">
        <is>
          <t>Description</t>
        </is>
      </c>
      <c r="C5130" s="5" t="inlineStr">
        <is>
          <t>Unit</t>
        </is>
      </c>
      <c r="D5130" s="5" t="inlineStr">
        <is>
          <t>Quantity</t>
        </is>
      </c>
      <c r="E5130" s="5" t="inlineStr">
        <is>
          <t>Rate (Rs.)</t>
        </is>
      </c>
      <c r="F5130" s="5" t="inlineStr">
        <is>
          <t>Amount (Rs.)</t>
        </is>
      </c>
      <c r="G5130" s="5" t="inlineStr">
        <is>
          <t>Note</t>
        </is>
      </c>
    </row>
    <row r="5131">
      <c r="A5131" s="22" t="inlineStr">
        <is>
          <t>8753</t>
        </is>
      </c>
      <c r="B5131" s="11" t="inlineStr">
        <is>
          <t>Zinc alloy rollers for uPVC door</t>
        </is>
      </c>
      <c r="C5131" s="22" t="inlineStr">
        <is>
          <t>each</t>
        </is>
      </c>
      <c r="D5131" s="23" t="n">
        <v>10</v>
      </c>
      <c r="E5131" s="24" t="n">
        <v>95</v>
      </c>
      <c r="F5131" s="24">
        <f>D5131*E5131</f>
        <v/>
      </c>
      <c r="G5131" s="22" t="n"/>
    </row>
    <row r="5132">
      <c r="A5132" s="22" t="inlineStr">
        <is>
          <t>9977</t>
        </is>
      </c>
      <c r="B5132" s="11" t="inlineStr">
        <is>
          <t>Carriage of materials</t>
        </is>
      </c>
      <c r="C5132" s="22" t="inlineStr">
        <is>
          <t>L.S.</t>
        </is>
      </c>
      <c r="D5132" s="23" t="n">
        <v>4.42</v>
      </c>
      <c r="E5132" s="24" t="n">
        <v>2</v>
      </c>
      <c r="F5132" s="24">
        <f>D5132*E5132</f>
        <v/>
      </c>
      <c r="G5132" s="22" t="n"/>
    </row>
    <row r="5133">
      <c r="A5133" s="22" t="inlineStr">
        <is>
          <t>9999</t>
        </is>
      </c>
      <c r="B5133" s="11" t="inlineStr">
        <is>
          <t>Sundries(Screws)</t>
        </is>
      </c>
      <c r="C5133" s="22" t="inlineStr">
        <is>
          <t>L.S.</t>
        </is>
      </c>
      <c r="D5133" s="23" t="n">
        <v>3</v>
      </c>
      <c r="E5133" s="24" t="n">
        <v>2</v>
      </c>
      <c r="F5133" s="24">
        <f>D5133*E5133</f>
        <v/>
      </c>
      <c r="G5133" s="22" t="n"/>
    </row>
    <row r="5134">
      <c r="A5134" s="22" t="inlineStr">
        <is>
          <t>0156</t>
        </is>
      </c>
      <c r="B5134" s="11" t="inlineStr">
        <is>
          <t>Carpenter (average)</t>
        </is>
      </c>
      <c r="C5134" s="22" t="inlineStr">
        <is>
          <t>day</t>
        </is>
      </c>
      <c r="D5134" s="23" t="n">
        <v>0.125</v>
      </c>
      <c r="E5134" s="24" t="n">
        <v>709</v>
      </c>
      <c r="F5134" s="24">
        <f>D5134*E5134</f>
        <v/>
      </c>
      <c r="G5134" s="22" t="n"/>
    </row>
    <row r="5135">
      <c r="A5135" s="8" t="inlineStr">
        <is>
          <t>Calculated W - SUM of the Amount column above</t>
        </is>
      </c>
      <c r="B5135" s="9" t="n"/>
      <c r="C5135" s="9" t="n"/>
      <c r="D5135" s="9" t="n"/>
      <c r="E5135" s="9" t="n"/>
      <c r="F5135" s="25">
        <f>SUM(F5131:F5134)</f>
        <v/>
      </c>
      <c r="G5135" s="9" t="n"/>
    </row>
    <row r="5136">
      <c r="A5136" s="26" t="inlineStr">
        <is>
          <t>W as printed in the DAR</t>
        </is>
      </c>
      <c r="B5136" s="22" t="n"/>
      <c r="C5136" s="22" t="n"/>
      <c r="D5136" s="22" t="n"/>
      <c r="E5136" s="22" t="n"/>
      <c r="F5136" s="27" t="n">
        <v>1053.47</v>
      </c>
      <c r="G5136" s="22" t="n"/>
    </row>
    <row r="5137">
      <c r="A5137" s="26" t="inlineStr">
        <is>
          <t>Difference (calculated - printed)</t>
        </is>
      </c>
      <c r="B5137" s="22" t="n"/>
      <c r="C5137" s="22" t="n"/>
      <c r="D5137" s="22" t="n"/>
      <c r="E5137" s="22" t="n"/>
      <c r="F5137" s="27">
        <f>F5135-F5136</f>
        <v/>
      </c>
      <c r="G5137" s="22" t="n"/>
    </row>
    <row r="5138">
      <c r="A5138" s="29" t="inlineStr">
        <is>
          <t>SAY (Rs.) - final DAR rate as printed (fixed value, not computed)</t>
        </is>
      </c>
      <c r="B5138" s="30" t="n"/>
      <c r="C5138" s="30" t="n"/>
      <c r="D5138" s="30" t="n"/>
      <c r="E5138" s="30" t="n"/>
      <c r="F5138" s="31" t="n">
        <v>140.95</v>
      </c>
      <c r="G5138" s="30" t="n"/>
    </row>
    <row r="5140" ht="33" customHeight="1">
      <c r="A5140" s="18" t="inlineStr">
        <is>
          <t>9.153</t>
        </is>
      </c>
      <c r="B5140" s="19" t="inlineStr">
        <is>
          <t>Providing and fixing steel (white power coated) crescent lock for uPVC sliding window/ door with necessary screws etc. complete.</t>
        </is>
      </c>
      <c r="C5140" s="20" t="n"/>
      <c r="D5140" s="20" t="n"/>
      <c r="E5140" s="20" t="n"/>
      <c r="F5140" s="20" t="n"/>
      <c r="G5140" s="20" t="n"/>
    </row>
    <row r="5141">
      <c r="A5141" s="21" t="inlineStr">
        <is>
          <t>Details of cost for 10 nos   |   Source: CivilDAR_2019_Vol_1.pdf, page 658</t>
        </is>
      </c>
    </row>
    <row r="5142">
      <c r="A5142" s="5" t="inlineStr">
        <is>
          <t>Code</t>
        </is>
      </c>
      <c r="B5142" s="5" t="inlineStr">
        <is>
          <t>Description</t>
        </is>
      </c>
      <c r="C5142" s="5" t="inlineStr">
        <is>
          <t>Unit</t>
        </is>
      </c>
      <c r="D5142" s="5" t="inlineStr">
        <is>
          <t>Quantity</t>
        </is>
      </c>
      <c r="E5142" s="5" t="inlineStr">
        <is>
          <t>Rate (Rs.)</t>
        </is>
      </c>
      <c r="F5142" s="5" t="inlineStr">
        <is>
          <t>Amount (Rs.)</t>
        </is>
      </c>
      <c r="G5142" s="5" t="inlineStr">
        <is>
          <t>Note</t>
        </is>
      </c>
    </row>
    <row r="5143">
      <c r="A5143" s="22" t="inlineStr">
        <is>
          <t>8754</t>
        </is>
      </c>
      <c r="B5143" s="11" t="inlineStr">
        <is>
          <t>Zinc alloy (white powder coated) casement lock for uPVC windows</t>
        </is>
      </c>
      <c r="C5143" s="22" t="inlineStr">
        <is>
          <t>each</t>
        </is>
      </c>
      <c r="D5143" s="23" t="n">
        <v>10</v>
      </c>
      <c r="E5143" s="24" t="n">
        <v>115</v>
      </c>
      <c r="F5143" s="24">
        <f>D5143*E5143</f>
        <v/>
      </c>
      <c r="G5143" s="22" t="n"/>
    </row>
    <row r="5144">
      <c r="A5144" s="22" t="inlineStr">
        <is>
          <t>9977</t>
        </is>
      </c>
      <c r="B5144" s="11" t="inlineStr">
        <is>
          <t>Carriage of materials</t>
        </is>
      </c>
      <c r="C5144" s="22" t="inlineStr">
        <is>
          <t>L.S.</t>
        </is>
      </c>
      <c r="D5144" s="23" t="n">
        <v>4.42</v>
      </c>
      <c r="E5144" s="24" t="n">
        <v>2</v>
      </c>
      <c r="F5144" s="24">
        <f>D5144*E5144</f>
        <v/>
      </c>
      <c r="G5144" s="22" t="n"/>
    </row>
    <row r="5145">
      <c r="A5145" s="22" t="inlineStr">
        <is>
          <t>9999</t>
        </is>
      </c>
      <c r="B5145" s="11" t="inlineStr">
        <is>
          <t>Sundries(Screws)</t>
        </is>
      </c>
      <c r="C5145" s="22" t="inlineStr">
        <is>
          <t>L.S.</t>
        </is>
      </c>
      <c r="D5145" s="23" t="n">
        <v>3</v>
      </c>
      <c r="E5145" s="24" t="n">
        <v>2</v>
      </c>
      <c r="F5145" s="24">
        <f>D5145*E5145</f>
        <v/>
      </c>
      <c r="G5145" s="22" t="n"/>
    </row>
    <row r="5146">
      <c r="A5146" s="22" t="inlineStr">
        <is>
          <t>0156</t>
        </is>
      </c>
      <c r="B5146" s="11" t="inlineStr">
        <is>
          <t>Carpenter (average)</t>
        </is>
      </c>
      <c r="C5146" s="22" t="inlineStr">
        <is>
          <t>day</t>
        </is>
      </c>
      <c r="D5146" s="23" t="n">
        <v>0.125</v>
      </c>
      <c r="E5146" s="24" t="n">
        <v>709</v>
      </c>
      <c r="F5146" s="24">
        <f>D5146*E5146</f>
        <v/>
      </c>
      <c r="G5146" s="22" t="n"/>
    </row>
    <row r="5147">
      <c r="A5147" s="8" t="inlineStr">
        <is>
          <t>Calculated W - SUM of the Amount column above</t>
        </is>
      </c>
      <c r="B5147" s="9" t="n"/>
      <c r="C5147" s="9" t="n"/>
      <c r="D5147" s="9" t="n"/>
      <c r="E5147" s="9" t="n"/>
      <c r="F5147" s="25">
        <f>SUM(F5143:F5146)</f>
        <v/>
      </c>
      <c r="G5147" s="9" t="n"/>
    </row>
    <row r="5148">
      <c r="A5148" s="26" t="inlineStr">
        <is>
          <t>W as printed in the DAR</t>
        </is>
      </c>
      <c r="B5148" s="22" t="n"/>
      <c r="C5148" s="22" t="n"/>
      <c r="D5148" s="22" t="n"/>
      <c r="E5148" s="22" t="n"/>
      <c r="F5148" s="27" t="n">
        <v>1253.47</v>
      </c>
      <c r="G5148" s="22" t="n"/>
    </row>
    <row r="5149">
      <c r="A5149" s="26" t="inlineStr">
        <is>
          <t>Difference (calculated - printed)</t>
        </is>
      </c>
      <c r="B5149" s="22" t="n"/>
      <c r="C5149" s="22" t="n"/>
      <c r="D5149" s="22" t="n"/>
      <c r="E5149" s="22" t="n"/>
      <c r="F5149" s="27">
        <f>F5147-F5148</f>
        <v/>
      </c>
      <c r="G5149" s="22" t="n"/>
    </row>
    <row r="5150">
      <c r="A5150" s="29" t="inlineStr">
        <is>
          <t>SAY (Rs.) - final DAR rate as printed (fixed value, not computed)</t>
        </is>
      </c>
      <c r="B5150" s="30" t="n"/>
      <c r="C5150" s="30" t="n"/>
      <c r="D5150" s="30" t="n"/>
      <c r="E5150" s="30" t="n"/>
      <c r="F5150" s="31" t="n">
        <v>167.7</v>
      </c>
      <c r="G5150" s="30" t="n"/>
    </row>
    <row r="5152" ht="91" customHeight="1">
      <c r="A5152" s="18" t="inlineStr">
        <is>
          <t>9.154</t>
        </is>
      </c>
      <c r="B5152" s="19" t="inlineStr">
        <is>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is>
      </c>
      <c r="C5152" s="20" t="n"/>
      <c r="D5152" s="20" t="n"/>
      <c r="E5152" s="20" t="n"/>
      <c r="F5152" s="20" t="n"/>
      <c r="G5152" s="20" t="n"/>
    </row>
    <row r="5153">
      <c r="A5153" s="21" t="inlineStr">
        <is>
          <t>Details of cost for 58.35 kg   |   Source: CivilDAR_2019_Vol_1.pdf, page 659</t>
        </is>
      </c>
    </row>
    <row r="5154">
      <c r="A5154" s="5" t="inlineStr">
        <is>
          <t>Code</t>
        </is>
      </c>
      <c r="B5154" s="5" t="inlineStr">
        <is>
          <t>Description</t>
        </is>
      </c>
      <c r="C5154" s="5" t="inlineStr">
        <is>
          <t>Unit</t>
        </is>
      </c>
      <c r="D5154" s="5" t="inlineStr">
        <is>
          <t>Quantity</t>
        </is>
      </c>
      <c r="E5154" s="5" t="inlineStr">
        <is>
          <t>Rate (Rs.)</t>
        </is>
      </c>
      <c r="F5154" s="5" t="inlineStr">
        <is>
          <t>Amount (Rs.)</t>
        </is>
      </c>
      <c r="G5154" s="5" t="inlineStr">
        <is>
          <t>Note</t>
        </is>
      </c>
    </row>
    <row r="5155">
      <c r="A5155" s="22" t="inlineStr">
        <is>
          <t>4009</t>
        </is>
      </c>
      <c r="B5155" s="11" t="inlineStr">
        <is>
          <t>Mild steel tubes hot finished welded type</t>
        </is>
      </c>
      <c r="C5155" s="22" t="inlineStr">
        <is>
          <t>kilogram</t>
        </is>
      </c>
      <c r="D5155" s="23" t="n">
        <v>61.27</v>
      </c>
      <c r="E5155" s="24" t="n">
        <v>57</v>
      </c>
      <c r="F5155" s="24">
        <f>D5155*E5155</f>
        <v/>
      </c>
      <c r="G5155" s="22" t="n"/>
    </row>
    <row r="5156">
      <c r="A5156" s="22" t="inlineStr">
        <is>
          <t>8776</t>
        </is>
      </c>
      <c r="B5156" s="11" t="inlineStr">
        <is>
          <t>Stainless steel dash fastener of 8 mm dia and 75 mm long bolt</t>
        </is>
      </c>
      <c r="C5156" s="22" t="inlineStr">
        <is>
          <t>each</t>
        </is>
      </c>
      <c r="D5156" s="23" t="n">
        <v>20</v>
      </c>
      <c r="E5156" s="24" t="n">
        <v>15</v>
      </c>
      <c r="F5156" s="24">
        <f>D5156*E5156</f>
        <v/>
      </c>
      <c r="G5156" s="22" t="n"/>
    </row>
    <row r="5157">
      <c r="A5157" s="22" t="inlineStr">
        <is>
          <t>13.50.3</t>
        </is>
      </c>
      <c r="B5157" s="11" t="inlineStr">
        <is>
          <t>Rate as per item 13.50.3 - Applying priming coat - With ready mixed red oxide zinc chromate primer of approved brand and manufacture o...</t>
        </is>
      </c>
      <c r="C5157" s="22" t="inlineStr">
        <is>
          <t>sqm</t>
        </is>
      </c>
      <c r="D5157" s="23" t="n">
        <v>4.8</v>
      </c>
      <c r="E5157" s="24" t="n">
        <v>50.7</v>
      </c>
      <c r="F5157" s="24">
        <f>D5157*E5157</f>
        <v/>
      </c>
      <c r="G5157" s="22" t="n"/>
    </row>
    <row r="5158">
      <c r="A5158" s="22" t="inlineStr">
        <is>
          <t>0116</t>
        </is>
      </c>
      <c r="B5158" s="11" t="inlineStr">
        <is>
          <t>Fitter (grade 1)</t>
        </is>
      </c>
      <c r="C5158" s="22" t="inlineStr">
        <is>
          <t>day</t>
        </is>
      </c>
      <c r="D5158" s="23" t="n">
        <v>0.4</v>
      </c>
      <c r="E5158" s="24" t="n">
        <v>738</v>
      </c>
      <c r="F5158" s="24">
        <f>D5158*E5158</f>
        <v/>
      </c>
      <c r="G5158" s="22" t="n"/>
    </row>
    <row r="5159">
      <c r="A5159" s="22" t="inlineStr">
        <is>
          <t>0103</t>
        </is>
      </c>
      <c r="B5159" s="11" t="inlineStr">
        <is>
          <t>Blacksmith 2nd class</t>
        </is>
      </c>
      <c r="C5159" s="22" t="inlineStr">
        <is>
          <t>day</t>
        </is>
      </c>
      <c r="D5159" s="23" t="n">
        <v>0.53</v>
      </c>
      <c r="E5159" s="24" t="n">
        <v>679</v>
      </c>
      <c r="F5159" s="24">
        <f>D5159*E5159</f>
        <v/>
      </c>
      <c r="G5159" s="22" t="n"/>
    </row>
    <row r="5160">
      <c r="A5160" s="22" t="inlineStr">
        <is>
          <t>0114</t>
        </is>
      </c>
      <c r="B5160" s="11" t="inlineStr">
        <is>
          <t>Beldar</t>
        </is>
      </c>
      <c r="C5160" s="22" t="inlineStr">
        <is>
          <t>day</t>
        </is>
      </c>
      <c r="D5160" s="23" t="n">
        <v>1.23</v>
      </c>
      <c r="E5160" s="24" t="n">
        <v>558</v>
      </c>
      <c r="F5160" s="24">
        <f>D5160*E5160</f>
        <v/>
      </c>
      <c r="G5160" s="22" t="n"/>
    </row>
    <row r="5161">
      <c r="A5161" s="22" t="inlineStr">
        <is>
          <t>0100</t>
        </is>
      </c>
      <c r="B5161" s="11" t="inlineStr">
        <is>
          <t>Bandhani</t>
        </is>
      </c>
      <c r="C5161" s="22" t="inlineStr">
        <is>
          <t>day</t>
        </is>
      </c>
      <c r="D5161" s="23" t="n">
        <v>0.06</v>
      </c>
      <c r="E5161" s="24" t="n">
        <v>617</v>
      </c>
      <c r="F5161" s="24">
        <f>D5161*E5161</f>
        <v/>
      </c>
      <c r="G5161" s="22" t="n"/>
    </row>
    <row r="5162">
      <c r="A5162" s="22" t="inlineStr">
        <is>
          <t>9999</t>
        </is>
      </c>
      <c r="B5162" s="11" t="inlineStr">
        <is>
          <t>Sundries</t>
        </is>
      </c>
      <c r="C5162" s="22" t="inlineStr">
        <is>
          <t>L.S.</t>
        </is>
      </c>
      <c r="D5162" s="23" t="n">
        <v>33.56</v>
      </c>
      <c r="E5162" s="24" t="n">
        <v>2</v>
      </c>
      <c r="F5162" s="24">
        <f>D5162*E5162</f>
        <v/>
      </c>
      <c r="G5162" s="22" t="n"/>
    </row>
    <row r="5163">
      <c r="A5163" s="8" t="inlineStr">
        <is>
          <t>Calculated W - SUM of the Amount column above</t>
        </is>
      </c>
      <c r="B5163" s="9" t="n"/>
      <c r="C5163" s="9" t="n"/>
      <c r="D5163" s="9" t="n"/>
      <c r="E5163" s="9" t="n"/>
      <c r="F5163" s="25">
        <f>SUM(F5155:F5162)</f>
        <v/>
      </c>
      <c r="G5163" s="9" t="n"/>
    </row>
    <row r="5164">
      <c r="A5164" s="26" t="inlineStr">
        <is>
          <t>W as printed in the DAR</t>
        </is>
      </c>
      <c r="B5164" s="22" t="n"/>
      <c r="C5164" s="22" t="n"/>
      <c r="D5164" s="22" t="n"/>
      <c r="E5164" s="22" t="n"/>
      <c r="F5164" s="27" t="n">
        <v>5481.3</v>
      </c>
      <c r="G5164" s="22" t="n"/>
    </row>
    <row r="5165">
      <c r="A5165" s="26" t="inlineStr">
        <is>
          <t>Difference (calculated - printed)</t>
        </is>
      </c>
      <c r="B5165" s="22" t="n"/>
      <c r="C5165" s="22" t="n"/>
      <c r="D5165" s="22" t="n"/>
      <c r="E5165" s="22" t="n"/>
      <c r="F5165" s="27">
        <f>F5163-F5164</f>
        <v/>
      </c>
      <c r="G5165" s="22" t="n"/>
    </row>
    <row r="5166">
      <c r="A5166" s="29" t="inlineStr">
        <is>
          <t>SAY (Rs.) - final DAR rate as printed (fixed value, not computed)</t>
        </is>
      </c>
      <c r="B5166" s="30" t="n"/>
      <c r="C5166" s="30" t="n"/>
      <c r="D5166" s="30" t="n"/>
      <c r="E5166" s="30" t="n"/>
      <c r="F5166" s="31" t="n">
        <v>124.25</v>
      </c>
      <c r="G5166" s="30" t="n"/>
    </row>
    <row r="5168" ht="62" customHeight="1">
      <c r="A5168" s="18" t="inlineStr">
        <is>
          <t>9.155</t>
        </is>
      </c>
      <c r="B5168" s="19" t="inlineStr">
        <is>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t>
        </is>
      </c>
      <c r="C5168" s="20" t="n"/>
      <c r="D5168" s="20" t="n"/>
      <c r="E5168" s="20" t="n"/>
      <c r="F5168" s="20" t="n"/>
      <c r="G5168" s="20" t="n"/>
    </row>
    <row r="5169">
      <c r="A5169" s="21" t="inlineStr">
        <is>
          <t>Details of cost for 0.66 sqm   |   Source: CivilDAR_2019_Vol_1.pdf, page 660</t>
        </is>
      </c>
    </row>
    <row r="5170">
      <c r="A5170" s="5" t="inlineStr">
        <is>
          <t>Code</t>
        </is>
      </c>
      <c r="B5170" s="5" t="inlineStr">
        <is>
          <t>Description</t>
        </is>
      </c>
      <c r="C5170" s="5" t="inlineStr">
        <is>
          <t>Unit</t>
        </is>
      </c>
      <c r="D5170" s="5" t="inlineStr">
        <is>
          <t>Quantity</t>
        </is>
      </c>
      <c r="E5170" s="5" t="inlineStr">
        <is>
          <t>Rate (Rs.)</t>
        </is>
      </c>
      <c r="F5170" s="5" t="inlineStr">
        <is>
          <t>Amount (Rs.)</t>
        </is>
      </c>
      <c r="G5170" s="5" t="inlineStr">
        <is>
          <t>Note</t>
        </is>
      </c>
    </row>
    <row r="5171">
      <c r="A5171" s="22" t="inlineStr">
        <is>
          <t>2484</t>
        </is>
      </c>
      <c r="B5171" s="11" t="inlineStr">
        <is>
          <t>Pre-laminated with decorative lamination on both side exterior Grade - I MDF Board 12 mm thick confirming to IS:14587</t>
        </is>
      </c>
      <c r="C5171" s="22" t="inlineStr">
        <is>
          <t>sqm</t>
        </is>
      </c>
      <c r="D5171" s="23" t="n">
        <v>0.8</v>
      </c>
      <c r="E5171" s="24" t="n">
        <v>460</v>
      </c>
      <c r="F5171" s="24">
        <f>D5171*E5171</f>
        <v/>
      </c>
      <c r="G5171" s="22" t="n"/>
    </row>
    <row r="5172">
      <c r="A5172" s="22" t="inlineStr">
        <is>
          <t>9999</t>
        </is>
      </c>
      <c r="B5172" s="11" t="inlineStr">
        <is>
          <t>Sundries (Carriage of MDF board)</t>
        </is>
      </c>
      <c r="C5172" s="22" t="inlineStr">
        <is>
          <t>L.S.</t>
        </is>
      </c>
      <c r="D5172" s="23" t="n">
        <v>1.82</v>
      </c>
      <c r="E5172" s="24" t="n">
        <v>2</v>
      </c>
      <c r="F5172" s="24">
        <f>D5172*E5172</f>
        <v/>
      </c>
      <c r="G5172" s="22" t="n"/>
    </row>
    <row r="5173">
      <c r="A5173" s="22" t="inlineStr">
        <is>
          <t>0111</t>
        </is>
      </c>
      <c r="B5173" s="11" t="inlineStr">
        <is>
          <t>Carpenter 1 st class</t>
        </is>
      </c>
      <c r="C5173" s="22" t="inlineStr">
        <is>
          <t>day</t>
        </is>
      </c>
      <c r="D5173" s="23" t="n">
        <v>0.57</v>
      </c>
      <c r="E5173" s="24" t="n">
        <v>738</v>
      </c>
      <c r="F5173" s="24">
        <f>D5173*E5173</f>
        <v/>
      </c>
      <c r="G5173" s="22" t="n"/>
    </row>
    <row r="5174">
      <c r="A5174" s="22" t="inlineStr">
        <is>
          <t>9999</t>
        </is>
      </c>
      <c r="B5174" s="11" t="inlineStr">
        <is>
          <t>Sundries</t>
        </is>
      </c>
      <c r="C5174" s="22" t="inlineStr">
        <is>
          <t>L.S.</t>
        </is>
      </c>
      <c r="D5174" s="23" t="n">
        <v>4.42</v>
      </c>
      <c r="E5174" s="24" t="n">
        <v>2</v>
      </c>
      <c r="F5174" s="24">
        <f>D5174*E5174</f>
        <v/>
      </c>
      <c r="G5174" s="22" t="n"/>
    </row>
    <row r="5175">
      <c r="A5175" s="8" t="inlineStr">
        <is>
          <t>Calculated W - SUM of the Amount column above</t>
        </is>
      </c>
      <c r="B5175" s="9" t="n"/>
      <c r="C5175" s="9" t="n"/>
      <c r="D5175" s="9" t="n"/>
      <c r="E5175" s="9" t="n"/>
      <c r="F5175" s="25">
        <f>SUM(F5171:F5174)</f>
        <v/>
      </c>
      <c r="G5175" s="9" t="n"/>
    </row>
    <row r="5176">
      <c r="A5176" s="26" t="inlineStr">
        <is>
          <t>W as printed in the DAR</t>
        </is>
      </c>
      <c r="B5176" s="22" t="n"/>
      <c r="C5176" s="22" t="n"/>
      <c r="D5176" s="22" t="n"/>
      <c r="E5176" s="22" t="n"/>
      <c r="F5176" s="27" t="n">
        <v>801.14</v>
      </c>
      <c r="G5176" s="22" t="n"/>
    </row>
    <row r="5177">
      <c r="A5177" s="26" t="inlineStr">
        <is>
          <t>Difference (calculated - printed)</t>
        </is>
      </c>
      <c r="B5177" s="22" t="n"/>
      <c r="C5177" s="22" t="n"/>
      <c r="D5177" s="22" t="n"/>
      <c r="E5177" s="22" t="n"/>
      <c r="F5177" s="27">
        <f>F5175-F5176</f>
        <v/>
      </c>
      <c r="G5177" s="22" t="n"/>
    </row>
    <row r="5178">
      <c r="A5178" s="29" t="inlineStr">
        <is>
          <t>SAY (Rs.) - final DAR rate as printed (fixed value, not computed)</t>
        </is>
      </c>
      <c r="B5178" s="30" t="n"/>
      <c r="C5178" s="30" t="n"/>
      <c r="D5178" s="30" t="n"/>
      <c r="E5178" s="30" t="n"/>
      <c r="F5178" s="31" t="n">
        <v>1624.05</v>
      </c>
      <c r="G5178" s="30" t="n"/>
    </row>
    <row r="5180" ht="33" customHeight="1">
      <c r="A5180" s="8" t="inlineStr">
        <is>
          <t>9.156</t>
        </is>
      </c>
      <c r="B5180" s="17" t="inlineStr">
        <is>
          <t>Providing and fixing Pre -laminated medium density fibre board exterior grade (Grade-I) IS:14587:1998 marked, to frame, backing or studding with screws etc. complete ( Frames, backing or studding to be paid separately).</t>
        </is>
      </c>
      <c r="C5180" s="9" t="n"/>
      <c r="D5180" s="9" t="n"/>
      <c r="E5180" s="9" t="n"/>
      <c r="F5180" s="9" t="n"/>
      <c r="G5180" s="9" t="n"/>
    </row>
    <row r="5181" ht="18.5" customHeight="1">
      <c r="A5181" s="18" t="inlineStr">
        <is>
          <t>9.156.1</t>
        </is>
      </c>
      <c r="B5181" s="19" t="inlineStr">
        <is>
          <t>Pre-laminated with decorative lamination on both side exterior Grade - I MDF Board 12 mm thick confirming to IS:14587</t>
        </is>
      </c>
      <c r="C5181" s="20" t="n"/>
      <c r="D5181" s="20" t="n"/>
      <c r="E5181" s="20" t="n"/>
      <c r="F5181" s="20" t="n"/>
      <c r="G5181" s="20" t="n"/>
    </row>
    <row r="5182">
      <c r="A5182" s="21" t="inlineStr">
        <is>
          <t>Details of cost for 7 sqm   |   Source: CivilDAR_2019_Vol_1.pdf, page 660</t>
        </is>
      </c>
    </row>
    <row r="5183">
      <c r="A5183" s="5" t="inlineStr">
        <is>
          <t>Code</t>
        </is>
      </c>
      <c r="B5183" s="5" t="inlineStr">
        <is>
          <t>Description</t>
        </is>
      </c>
      <c r="C5183" s="5" t="inlineStr">
        <is>
          <t>Unit</t>
        </is>
      </c>
      <c r="D5183" s="5" t="inlineStr">
        <is>
          <t>Quantity</t>
        </is>
      </c>
      <c r="E5183" s="5" t="inlineStr">
        <is>
          <t>Rate (Rs.)</t>
        </is>
      </c>
      <c r="F5183" s="5" t="inlineStr">
        <is>
          <t>Amount (Rs.)</t>
        </is>
      </c>
      <c r="G5183" s="5" t="inlineStr">
        <is>
          <t>Note</t>
        </is>
      </c>
    </row>
    <row r="5184">
      <c r="A5184" s="22" t="inlineStr">
        <is>
          <t>2484</t>
        </is>
      </c>
      <c r="B5184" s="11" t="inlineStr">
        <is>
          <t>Pre-laminated with decorative lamination on both side exterior Grade - I MDF Board 12 mm thick confirming to IS:14587</t>
        </is>
      </c>
      <c r="C5184" s="22" t="inlineStr">
        <is>
          <t>sqm</t>
        </is>
      </c>
      <c r="D5184" s="23" t="n">
        <v>7.35</v>
      </c>
      <c r="E5184" s="24" t="n">
        <v>460</v>
      </c>
      <c r="F5184" s="24">
        <f>D5184*E5184</f>
        <v/>
      </c>
      <c r="G5184" s="22" t="n"/>
    </row>
    <row r="5185">
      <c r="A5185" s="22" t="inlineStr">
        <is>
          <t>9999</t>
        </is>
      </c>
      <c r="B5185" s="11" t="inlineStr">
        <is>
          <t>Sundries (Carriage of MDF board)</t>
        </is>
      </c>
      <c r="C5185" s="22" t="inlineStr">
        <is>
          <t>L.S.</t>
        </is>
      </c>
      <c r="D5185" s="23" t="n">
        <v>13.52</v>
      </c>
      <c r="E5185" s="24" t="n">
        <v>2</v>
      </c>
      <c r="F5185" s="24">
        <f>D5185*E5185</f>
        <v/>
      </c>
      <c r="G5185" s="22" t="n"/>
    </row>
    <row r="5186">
      <c r="A5186" s="22" t="inlineStr">
        <is>
          <t>9999</t>
        </is>
      </c>
      <c r="B5186" s="11" t="inlineStr">
        <is>
          <t>Sundries and screws</t>
        </is>
      </c>
      <c r="C5186" s="22" t="inlineStr">
        <is>
          <t>L.S.</t>
        </is>
      </c>
      <c r="D5186" s="23" t="n">
        <v>26.91</v>
      </c>
      <c r="E5186" s="24" t="n">
        <v>2</v>
      </c>
      <c r="F5186" s="24">
        <f>D5186*E5186</f>
        <v/>
      </c>
      <c r="G5186" s="22" t="n"/>
    </row>
    <row r="5187">
      <c r="A5187" s="22" t="inlineStr">
        <is>
          <t>0112</t>
        </is>
      </c>
      <c r="B5187" s="11" t="inlineStr">
        <is>
          <t>Carpenter 2nd class</t>
        </is>
      </c>
      <c r="C5187" s="22" t="inlineStr">
        <is>
          <t>day</t>
        </is>
      </c>
      <c r="D5187" s="23" t="n">
        <v>0.9</v>
      </c>
      <c r="E5187" s="24" t="n">
        <v>679</v>
      </c>
      <c r="F5187" s="24">
        <f>D5187*E5187</f>
        <v/>
      </c>
      <c r="G5187" s="22" t="n"/>
    </row>
    <row r="5188">
      <c r="A5188" s="22" t="inlineStr">
        <is>
          <t>0114</t>
        </is>
      </c>
      <c r="B5188" s="11" t="inlineStr">
        <is>
          <t>Beldar</t>
        </is>
      </c>
      <c r="C5188" s="22" t="inlineStr">
        <is>
          <t>day</t>
        </is>
      </c>
      <c r="D5188" s="23" t="n">
        <v>1</v>
      </c>
      <c r="E5188" s="24" t="n">
        <v>558</v>
      </c>
      <c r="F5188" s="24">
        <f>D5188*E5188</f>
        <v/>
      </c>
      <c r="G5188" s="22" t="n"/>
    </row>
    <row r="5189">
      <c r="A5189" s="8" t="inlineStr">
        <is>
          <t>Calculated W - SUM of the Amount column above</t>
        </is>
      </c>
      <c r="B5189" s="9" t="n"/>
      <c r="C5189" s="9" t="n"/>
      <c r="D5189" s="9" t="n"/>
      <c r="E5189" s="9" t="n"/>
      <c r="F5189" s="25">
        <f>SUM(F5184:F5188)</f>
        <v/>
      </c>
      <c r="G5189" s="9" t="n"/>
    </row>
    <row r="5190">
      <c r="A5190" s="26" t="inlineStr">
        <is>
          <t>W as printed in the DAR</t>
        </is>
      </c>
      <c r="B5190" s="22" t="n"/>
      <c r="C5190" s="22" t="n"/>
      <c r="D5190" s="22" t="n"/>
      <c r="E5190" s="22" t="n"/>
      <c r="F5190" s="27" t="n">
        <v>4630.96</v>
      </c>
      <c r="G5190" s="22" t="n"/>
    </row>
    <row r="5191">
      <c r="A5191" s="26" t="inlineStr">
        <is>
          <t>Difference (calculated - printed)</t>
        </is>
      </c>
      <c r="B5191" s="22" t="n"/>
      <c r="C5191" s="22" t="n"/>
      <c r="D5191" s="22" t="n"/>
      <c r="E5191" s="22" t="n"/>
      <c r="F5191" s="27">
        <f>F5189-F5190</f>
        <v/>
      </c>
      <c r="G5191" s="22" t="n"/>
    </row>
    <row r="5192">
      <c r="A5192" s="29" t="inlineStr">
        <is>
          <t>SAY (Rs.) - final DAR rate as printed (fixed value, not computed)</t>
        </is>
      </c>
      <c r="B5192" s="30" t="n"/>
      <c r="C5192" s="30" t="n"/>
      <c r="D5192" s="30" t="n"/>
      <c r="E5192" s="30" t="n"/>
      <c r="F5192" s="31" t="n">
        <v>885.15</v>
      </c>
      <c r="G5192" s="30" t="n"/>
    </row>
    <row r="5194" ht="33" customHeight="1">
      <c r="A5194" s="8" t="inlineStr">
        <is>
          <t>9.156</t>
        </is>
      </c>
      <c r="B5194" s="17" t="inlineStr">
        <is>
          <t>Providing and fixing Pre -laminated medium density fibre board exterior grade (Grade-I) IS:14587:1998 marked, to frame, backing or studding with screws etc. complete ( Frames, backing or studding to be paid separately).</t>
        </is>
      </c>
      <c r="C5194" s="9" t="n"/>
      <c r="D5194" s="9" t="n"/>
      <c r="E5194" s="9" t="n"/>
      <c r="F5194" s="9" t="n"/>
      <c r="G5194" s="9" t="n"/>
    </row>
    <row r="5195" ht="18.5" customHeight="1">
      <c r="A5195" s="18" t="inlineStr">
        <is>
          <t>9.156.2</t>
        </is>
      </c>
      <c r="B5195" s="19" t="inlineStr">
        <is>
          <t>Pre-laminated with decorative lamination on both side exterior Grade - I MDF Board 18 mm thick confirming to IS:14587</t>
        </is>
      </c>
      <c r="C5195" s="20" t="n"/>
      <c r="D5195" s="20" t="n"/>
      <c r="E5195" s="20" t="n"/>
      <c r="F5195" s="20" t="n"/>
      <c r="G5195" s="20" t="n"/>
    </row>
    <row r="5196">
      <c r="A5196" s="21" t="inlineStr">
        <is>
          <t>Details of cost for 7 sqm   |   Source: CivilDAR_2019_Vol_1.pdf, page 661</t>
        </is>
      </c>
    </row>
    <row r="5197">
      <c r="A5197" s="5" t="inlineStr">
        <is>
          <t>Code</t>
        </is>
      </c>
      <c r="B5197" s="5" t="inlineStr">
        <is>
          <t>Description</t>
        </is>
      </c>
      <c r="C5197" s="5" t="inlineStr">
        <is>
          <t>Unit</t>
        </is>
      </c>
      <c r="D5197" s="5" t="inlineStr">
        <is>
          <t>Quantity</t>
        </is>
      </c>
      <c r="E5197" s="5" t="inlineStr">
        <is>
          <t>Rate (Rs.)</t>
        </is>
      </c>
      <c r="F5197" s="5" t="inlineStr">
        <is>
          <t>Amount (Rs.)</t>
        </is>
      </c>
      <c r="G5197" s="5" t="inlineStr">
        <is>
          <t>Note</t>
        </is>
      </c>
    </row>
    <row r="5198">
      <c r="A5198" s="22" t="inlineStr">
        <is>
          <t>2485</t>
        </is>
      </c>
      <c r="B5198" s="11" t="inlineStr">
        <is>
          <t>Pre-laminated with decorative lamination on both side exterior Grade - I MDF Board 18 mm thick confirming to IS:14587</t>
        </is>
      </c>
      <c r="C5198" s="22" t="inlineStr">
        <is>
          <t>sqm</t>
        </is>
      </c>
      <c r="D5198" s="23" t="n">
        <v>7.35</v>
      </c>
      <c r="E5198" s="24" t="n">
        <v>597</v>
      </c>
      <c r="F5198" s="24">
        <f>D5198*E5198</f>
        <v/>
      </c>
      <c r="G5198" s="22" t="n"/>
    </row>
    <row r="5199">
      <c r="A5199" s="22" t="inlineStr">
        <is>
          <t>9999</t>
        </is>
      </c>
      <c r="B5199" s="11" t="inlineStr">
        <is>
          <t>Sundries (Carriage of MDF board)</t>
        </is>
      </c>
      <c r="C5199" s="22" t="inlineStr">
        <is>
          <t>L.S.</t>
        </is>
      </c>
      <c r="D5199" s="23" t="n">
        <v>19.76</v>
      </c>
      <c r="E5199" s="24" t="n">
        <v>2</v>
      </c>
      <c r="F5199" s="24">
        <f>D5199*E5199</f>
        <v/>
      </c>
      <c r="G5199" s="22" t="n"/>
    </row>
    <row r="5200">
      <c r="A5200" s="22" t="inlineStr">
        <is>
          <t>9999</t>
        </is>
      </c>
      <c r="B5200" s="11" t="inlineStr">
        <is>
          <t>Sundries and screws</t>
        </is>
      </c>
      <c r="C5200" s="22" t="inlineStr">
        <is>
          <t>L.S.</t>
        </is>
      </c>
      <c r="D5200" s="23" t="n">
        <v>26.91</v>
      </c>
      <c r="E5200" s="24" t="n">
        <v>2</v>
      </c>
      <c r="F5200" s="24">
        <f>D5200*E5200</f>
        <v/>
      </c>
      <c r="G5200" s="22" t="n"/>
    </row>
    <row r="5201">
      <c r="A5201" s="22" t="inlineStr">
        <is>
          <t>0112</t>
        </is>
      </c>
      <c r="B5201" s="11" t="inlineStr">
        <is>
          <t>Carpenter 2nd class</t>
        </is>
      </c>
      <c r="C5201" s="22" t="inlineStr">
        <is>
          <t>day</t>
        </is>
      </c>
      <c r="D5201" s="23" t="n">
        <v>0.9</v>
      </c>
      <c r="E5201" s="24" t="n">
        <v>679</v>
      </c>
      <c r="F5201" s="24">
        <f>D5201*E5201</f>
        <v/>
      </c>
      <c r="G5201" s="22" t="n"/>
    </row>
    <row r="5202">
      <c r="A5202" s="22" t="inlineStr">
        <is>
          <t>0114</t>
        </is>
      </c>
      <c r="B5202" s="11" t="inlineStr">
        <is>
          <t>Beldar</t>
        </is>
      </c>
      <c r="C5202" s="22" t="inlineStr">
        <is>
          <t>day</t>
        </is>
      </c>
      <c r="D5202" s="23" t="n">
        <v>1</v>
      </c>
      <c r="E5202" s="24" t="n">
        <v>558</v>
      </c>
      <c r="F5202" s="24">
        <f>D5202*E5202</f>
        <v/>
      </c>
      <c r="G5202" s="22" t="n"/>
    </row>
    <row r="5203">
      <c r="A5203" s="8" t="inlineStr">
        <is>
          <t>Calculated W - SUM of the Amount column above</t>
        </is>
      </c>
      <c r="B5203" s="9" t="n"/>
      <c r="C5203" s="9" t="n"/>
      <c r="D5203" s="9" t="n"/>
      <c r="E5203" s="9" t="n"/>
      <c r="F5203" s="25">
        <f>SUM(F5198:F5202)</f>
        <v/>
      </c>
      <c r="G5203" s="9" t="n"/>
    </row>
    <row r="5204">
      <c r="A5204" s="26" t="inlineStr">
        <is>
          <t>W as printed in the DAR</t>
        </is>
      </c>
      <c r="B5204" s="22" t="n"/>
      <c r="C5204" s="22" t="n"/>
      <c r="D5204" s="22" t="n"/>
      <c r="E5204" s="22" t="n"/>
      <c r="F5204" s="27" t="n">
        <v>5650.39</v>
      </c>
      <c r="G5204" s="22" t="n"/>
    </row>
    <row r="5205">
      <c r="A5205" s="26" t="inlineStr">
        <is>
          <t>Difference (calculated - printed)</t>
        </is>
      </c>
      <c r="B5205" s="22" t="n"/>
      <c r="C5205" s="22" t="n"/>
      <c r="D5205" s="22" t="n"/>
      <c r="E5205" s="22" t="n"/>
      <c r="F5205" s="27">
        <f>F5203-F5204</f>
        <v/>
      </c>
      <c r="G5205" s="22" t="n"/>
    </row>
    <row r="5206">
      <c r="A5206" s="29" t="inlineStr">
        <is>
          <t>SAY (Rs.) - final DAR rate as printed (fixed value, not computed)</t>
        </is>
      </c>
      <c r="B5206" s="30" t="n"/>
      <c r="C5206" s="30" t="n"/>
      <c r="D5206" s="30" t="n"/>
      <c r="E5206" s="30" t="n"/>
      <c r="F5206" s="31" t="n">
        <v>1080</v>
      </c>
      <c r="G5206" s="30" t="n"/>
    </row>
    <row r="5208" ht="47.5" customHeight="1">
      <c r="A5208" s="8" t="inlineStr">
        <is>
          <t>9.157</t>
        </is>
      </c>
      <c r="B5208" s="17" t="inlineStr">
        <is>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is>
      </c>
      <c r="C5208" s="9" t="n"/>
      <c r="D5208" s="9" t="n"/>
      <c r="E5208" s="9" t="n"/>
      <c r="F5208" s="9" t="n"/>
      <c r="G5208" s="9" t="n"/>
    </row>
    <row r="5209" ht="33" customHeight="1">
      <c r="A5209" s="18" t="inlineStr">
        <is>
          <t>9.157.1</t>
        </is>
      </c>
      <c r="B5209" s="19" t="inlineStr">
        <is>
          <t>Pre-laminated with decorative lamination one side and other side balancing lamination exterior Grade - I MDF Board 18 mm thick confirming to IS:14587</t>
        </is>
      </c>
      <c r="C5209" s="20" t="n"/>
      <c r="D5209" s="20" t="n"/>
      <c r="E5209" s="20" t="n"/>
      <c r="F5209" s="20" t="n"/>
      <c r="G5209" s="20" t="n"/>
    </row>
    <row r="5210">
      <c r="A5210" s="21" t="inlineStr">
        <is>
          <t>Details of cost for 0.6 sqm   |   Source: CivilDAR_2019_Vol_1.pdf, page 662</t>
        </is>
      </c>
    </row>
    <row r="5211">
      <c r="A5211" s="5" t="inlineStr">
        <is>
          <t>Code</t>
        </is>
      </c>
      <c r="B5211" s="5" t="inlineStr">
        <is>
          <t>Description</t>
        </is>
      </c>
      <c r="C5211" s="5" t="inlineStr">
        <is>
          <t>Unit</t>
        </is>
      </c>
      <c r="D5211" s="5" t="inlineStr">
        <is>
          <t>Quantity</t>
        </is>
      </c>
      <c r="E5211" s="5" t="inlineStr">
        <is>
          <t>Rate (Rs.)</t>
        </is>
      </c>
      <c r="F5211" s="5" t="inlineStr">
        <is>
          <t>Amount (Rs.)</t>
        </is>
      </c>
      <c r="G5211" s="5" t="inlineStr">
        <is>
          <t>Note</t>
        </is>
      </c>
    </row>
    <row r="5212">
      <c r="A5212" s="22" t="inlineStr">
        <is>
          <t>2488</t>
        </is>
      </c>
      <c r="B5212" s="11" t="inlineStr">
        <is>
          <t>Pre-laminated with decorative lamination one side and other side balancing lamination exterior Grade - I MDF Board 18 mm thick confirming to IS:14587</t>
        </is>
      </c>
      <c r="C5212" s="22" t="inlineStr">
        <is>
          <t>sqm</t>
        </is>
      </c>
      <c r="D5212" s="23" t="n">
        <v>0.63</v>
      </c>
      <c r="E5212" s="24" t="n">
        <v>565</v>
      </c>
      <c r="F5212" s="24">
        <f>D5212*E5212</f>
        <v/>
      </c>
      <c r="G5212" s="22" t="n"/>
    </row>
    <row r="5213">
      <c r="A5213" s="22" t="inlineStr">
        <is>
          <t>2489</t>
        </is>
      </c>
      <c r="B5213" s="11" t="inlineStr">
        <is>
          <t>PVC edge bending tape 2.00 mm thick</t>
        </is>
      </c>
      <c r="C5213" s="22" t="inlineStr">
        <is>
          <t>metre</t>
        </is>
      </c>
      <c r="D5213" s="23" t="n">
        <v>3</v>
      </c>
      <c r="E5213" s="24" t="n">
        <v>20</v>
      </c>
      <c r="F5213" s="24">
        <f>D5213*E5213</f>
        <v/>
      </c>
      <c r="G5213" s="22" t="n"/>
    </row>
    <row r="5214">
      <c r="A5214" s="22" t="inlineStr">
        <is>
          <t>9999</t>
        </is>
      </c>
      <c r="B5214" s="11" t="inlineStr">
        <is>
          <t>Sundries (Carriage of MDF board)</t>
        </is>
      </c>
      <c r="C5214" s="22" t="inlineStr">
        <is>
          <t>L.S.</t>
        </is>
      </c>
      <c r="D5214" s="23" t="n">
        <v>0.91</v>
      </c>
      <c r="E5214" s="24" t="n">
        <v>2</v>
      </c>
      <c r="F5214" s="24">
        <f>D5214*E5214</f>
        <v/>
      </c>
      <c r="G5214" s="22" t="n"/>
    </row>
    <row r="5215">
      <c r="A5215" s="22" t="inlineStr">
        <is>
          <t>0112</t>
        </is>
      </c>
      <c r="B5215" s="11" t="inlineStr">
        <is>
          <t>Carpenter 2nd class</t>
        </is>
      </c>
      <c r="C5215" s="22" t="inlineStr">
        <is>
          <t>day</t>
        </is>
      </c>
      <c r="D5215" s="23" t="n">
        <v>0.11</v>
      </c>
      <c r="E5215" s="24" t="n">
        <v>679</v>
      </c>
      <c r="F5215" s="24">
        <f>D5215*E5215</f>
        <v/>
      </c>
      <c r="G5215" s="22" t="n"/>
    </row>
    <row r="5216">
      <c r="A5216" s="22" t="inlineStr">
        <is>
          <t>0114</t>
        </is>
      </c>
      <c r="B5216" s="11" t="inlineStr">
        <is>
          <t>Beldar</t>
        </is>
      </c>
      <c r="C5216" s="22" t="inlineStr">
        <is>
          <t>day</t>
        </is>
      </c>
      <c r="D5216" s="23" t="n">
        <v>0.06</v>
      </c>
      <c r="E5216" s="24" t="n">
        <v>558</v>
      </c>
      <c r="F5216" s="24">
        <f>D5216*E5216</f>
        <v/>
      </c>
      <c r="G5216" s="22" t="n"/>
    </row>
    <row r="5217">
      <c r="A5217" s="22" t="inlineStr">
        <is>
          <t>9999</t>
        </is>
      </c>
      <c r="B5217" s="11" t="inlineStr">
        <is>
          <t>Sundries and screws</t>
        </is>
      </c>
      <c r="C5217" s="22" t="inlineStr">
        <is>
          <t>L.S.</t>
        </is>
      </c>
      <c r="D5217" s="23" t="n">
        <v>7.8</v>
      </c>
      <c r="E5217" s="24" t="n">
        <v>2</v>
      </c>
      <c r="F5217" s="24">
        <f>D5217*E5217</f>
        <v/>
      </c>
      <c r="G5217" s="22" t="n"/>
    </row>
    <row r="5218">
      <c r="A5218" s="8" t="inlineStr">
        <is>
          <t>Calculated W - SUM of the Amount column above</t>
        </is>
      </c>
      <c r="B5218" s="9" t="n"/>
      <c r="C5218" s="9" t="n"/>
      <c r="D5218" s="9" t="n"/>
      <c r="E5218" s="9" t="n"/>
      <c r="F5218" s="25">
        <f>SUM(F5212:F5217)</f>
        <v/>
      </c>
      <c r="G5218" s="9" t="n"/>
    </row>
    <row r="5219">
      <c r="A5219" s="26" t="inlineStr">
        <is>
          <t>W as printed in the DAR</t>
        </is>
      </c>
      <c r="B5219" s="22" t="n"/>
      <c r="C5219" s="22" t="n"/>
      <c r="D5219" s="22" t="n"/>
      <c r="E5219" s="22" t="n"/>
      <c r="F5219" s="27" t="n">
        <v>541.54</v>
      </c>
      <c r="G5219" s="22" t="n"/>
    </row>
    <row r="5220">
      <c r="A5220" s="26" t="inlineStr">
        <is>
          <t>Difference (calculated - printed)</t>
        </is>
      </c>
      <c r="B5220" s="22" t="n"/>
      <c r="C5220" s="22" t="n"/>
      <c r="D5220" s="22" t="n"/>
      <c r="E5220" s="22" t="n"/>
      <c r="F5220" s="27">
        <f>F5218-F5219</f>
        <v/>
      </c>
      <c r="G5220" s="22" t="n"/>
    </row>
    <row r="5221">
      <c r="A5221" s="29" t="inlineStr">
        <is>
          <t>SAY (Rs.) - final DAR rate as printed (fixed value, not computed)</t>
        </is>
      </c>
      <c r="B5221" s="30" t="n"/>
      <c r="C5221" s="30" t="n"/>
      <c r="D5221" s="30" t="n"/>
      <c r="E5221" s="30" t="n"/>
      <c r="F5221" s="31" t="n">
        <v>1207.6</v>
      </c>
      <c r="G5221" s="30" t="n"/>
    </row>
    <row r="5223" ht="47.5" customHeight="1">
      <c r="A5223" s="8" t="inlineStr">
        <is>
          <t>9.157</t>
        </is>
      </c>
      <c r="B5223" s="17" t="inlineStr">
        <is>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is>
      </c>
      <c r="C5223" s="9" t="n"/>
      <c r="D5223" s="9" t="n"/>
      <c r="E5223" s="9" t="n"/>
      <c r="F5223" s="9" t="n"/>
      <c r="G5223" s="9" t="n"/>
    </row>
    <row r="5224" ht="33" customHeight="1">
      <c r="A5224" s="18" t="inlineStr">
        <is>
          <t>9.157.2</t>
        </is>
      </c>
      <c r="B5224" s="19" t="inlineStr">
        <is>
          <t>Pre-laminated with decorative lamination one side and other side balancing lamination exterior Grade - I MDF Board 25 mm thick confirming to IS:14587</t>
        </is>
      </c>
      <c r="C5224" s="20" t="n"/>
      <c r="D5224" s="20" t="n"/>
      <c r="E5224" s="20" t="n"/>
      <c r="F5224" s="20" t="n"/>
      <c r="G5224" s="20" t="n"/>
    </row>
    <row r="5225">
      <c r="A5225" s="21" t="inlineStr">
        <is>
          <t>Details of cost for 0.6 sqm   |   Source: CivilDAR_2019_Vol_1.pdf, page 662</t>
        </is>
      </c>
    </row>
    <row r="5226">
      <c r="A5226" s="5" t="inlineStr">
        <is>
          <t>Code</t>
        </is>
      </c>
      <c r="B5226" s="5" t="inlineStr">
        <is>
          <t>Description</t>
        </is>
      </c>
      <c r="C5226" s="5" t="inlineStr">
        <is>
          <t>Unit</t>
        </is>
      </c>
      <c r="D5226" s="5" t="inlineStr">
        <is>
          <t>Quantity</t>
        </is>
      </c>
      <c r="E5226" s="5" t="inlineStr">
        <is>
          <t>Rate (Rs.)</t>
        </is>
      </c>
      <c r="F5226" s="5" t="inlineStr">
        <is>
          <t>Amount (Rs.)</t>
        </is>
      </c>
      <c r="G5226" s="5" t="inlineStr">
        <is>
          <t>Note</t>
        </is>
      </c>
    </row>
    <row r="5227">
      <c r="A5227" s="22" t="inlineStr">
        <is>
          <t>2486</t>
        </is>
      </c>
      <c r="B5227" s="11" t="inlineStr">
        <is>
          <t>Pre-laminated with decorative lamination one side and other side balancing lamination exterior Grade - I MDF Board 25 mm thick confirming to IS:14587</t>
        </is>
      </c>
      <c r="C5227" s="22" t="inlineStr">
        <is>
          <t>sqm</t>
        </is>
      </c>
      <c r="D5227" s="23" t="n">
        <v>0.63</v>
      </c>
      <c r="E5227" s="24" t="n">
        <v>860</v>
      </c>
      <c r="F5227" s="24">
        <f>D5227*E5227</f>
        <v/>
      </c>
      <c r="G5227" s="22" t="n"/>
    </row>
    <row r="5228">
      <c r="A5228" s="22" t="inlineStr">
        <is>
          <t>2489</t>
        </is>
      </c>
      <c r="B5228" s="11" t="inlineStr">
        <is>
          <t>PVC edge bending tape 2.00 mm thick</t>
        </is>
      </c>
      <c r="C5228" s="22" t="inlineStr">
        <is>
          <t>metre</t>
        </is>
      </c>
      <c r="D5228" s="23" t="n">
        <v>3</v>
      </c>
      <c r="E5228" s="24" t="n">
        <v>20</v>
      </c>
      <c r="F5228" s="24">
        <f>D5228*E5228</f>
        <v/>
      </c>
      <c r="G5228" s="22" t="n"/>
    </row>
    <row r="5229">
      <c r="A5229" s="22" t="inlineStr">
        <is>
          <t>9999</t>
        </is>
      </c>
      <c r="B5229" s="11" t="inlineStr">
        <is>
          <t>Sundries (Carriage of MDF board)</t>
        </is>
      </c>
      <c r="C5229" s="22" t="inlineStr">
        <is>
          <t>L.S.</t>
        </is>
      </c>
      <c r="D5229" s="23" t="n">
        <v>1.82</v>
      </c>
      <c r="E5229" s="24" t="n">
        <v>2</v>
      </c>
      <c r="F5229" s="24">
        <f>D5229*E5229</f>
        <v/>
      </c>
      <c r="G5229" s="22" t="n"/>
    </row>
    <row r="5230">
      <c r="A5230" s="22" t="inlineStr">
        <is>
          <t>0112</t>
        </is>
      </c>
      <c r="B5230" s="11" t="inlineStr">
        <is>
          <t>Carpenter 2nd class</t>
        </is>
      </c>
      <c r="C5230" s="22" t="inlineStr">
        <is>
          <t>day</t>
        </is>
      </c>
      <c r="D5230" s="23" t="n">
        <v>0.11</v>
      </c>
      <c r="E5230" s="24" t="n">
        <v>679</v>
      </c>
      <c r="F5230" s="24">
        <f>D5230*E5230</f>
        <v/>
      </c>
      <c r="G5230" s="22" t="n"/>
    </row>
    <row r="5231">
      <c r="A5231" s="22" t="inlineStr">
        <is>
          <t>0114</t>
        </is>
      </c>
      <c r="B5231" s="11" t="inlineStr">
        <is>
          <t>Beldar</t>
        </is>
      </c>
      <c r="C5231" s="22" t="inlineStr">
        <is>
          <t>day</t>
        </is>
      </c>
      <c r="D5231" s="23" t="n">
        <v>0.06</v>
      </c>
      <c r="E5231" s="24" t="n">
        <v>558</v>
      </c>
      <c r="F5231" s="24">
        <f>D5231*E5231</f>
        <v/>
      </c>
      <c r="G5231" s="22" t="n"/>
    </row>
    <row r="5232">
      <c r="A5232" s="22" t="inlineStr">
        <is>
          <t>9999</t>
        </is>
      </c>
      <c r="B5232" s="11" t="inlineStr">
        <is>
          <t>Sundries and screws</t>
        </is>
      </c>
      <c r="C5232" s="22" t="inlineStr">
        <is>
          <t>L.S.</t>
        </is>
      </c>
      <c r="D5232" s="23" t="n">
        <v>7.8</v>
      </c>
      <c r="E5232" s="24" t="n">
        <v>2</v>
      </c>
      <c r="F5232" s="24">
        <f>D5232*E5232</f>
        <v/>
      </c>
      <c r="G5232" s="22" t="n"/>
    </row>
    <row r="5233">
      <c r="A5233" s="8" t="inlineStr">
        <is>
          <t>Calculated W - SUM of the Amount column above</t>
        </is>
      </c>
      <c r="B5233" s="9" t="n"/>
      <c r="C5233" s="9" t="n"/>
      <c r="D5233" s="9" t="n"/>
      <c r="E5233" s="9" t="n"/>
      <c r="F5233" s="25">
        <f>SUM(F5227:F5232)</f>
        <v/>
      </c>
      <c r="G5233" s="9" t="n"/>
    </row>
    <row r="5234">
      <c r="A5234" s="26" t="inlineStr">
        <is>
          <t>W as printed in the DAR</t>
        </is>
      </c>
      <c r="B5234" s="22" t="n"/>
      <c r="C5234" s="22" t="n"/>
      <c r="D5234" s="22" t="n"/>
      <c r="E5234" s="22" t="n"/>
      <c r="F5234" s="27" t="n">
        <v>729.21</v>
      </c>
      <c r="G5234" s="22" t="n"/>
    </row>
    <row r="5235">
      <c r="A5235" s="26" t="inlineStr">
        <is>
          <t>Difference (calculated - printed)</t>
        </is>
      </c>
      <c r="B5235" s="22" t="n"/>
      <c r="C5235" s="22" t="n"/>
      <c r="D5235" s="22" t="n"/>
      <c r="E5235" s="22" t="n"/>
      <c r="F5235" s="27">
        <f>F5233-F5234</f>
        <v/>
      </c>
      <c r="G5235" s="22" t="n"/>
    </row>
    <row r="5236">
      <c r="A5236" s="29" t="inlineStr">
        <is>
          <t>SAY (Rs.) - final DAR rate as printed (fixed value, not computed)</t>
        </is>
      </c>
      <c r="B5236" s="30" t="n"/>
      <c r="C5236" s="30" t="n"/>
      <c r="D5236" s="30" t="n"/>
      <c r="E5236" s="30" t="n"/>
      <c r="F5236" s="31" t="n">
        <v>1626.05</v>
      </c>
      <c r="G5236" s="30" t="n"/>
    </row>
    <row r="5238" ht="33" customHeight="1">
      <c r="A5238" s="8" t="inlineStr">
        <is>
          <t>9.158</t>
        </is>
      </c>
      <c r="B5238" s="17" t="inlineStr">
        <is>
          <t>Providing and fixing in wall lining medium density fibre board IS: 14587:1998 marked, Pre-laminated one side decorative lamination and other side balancing lamination, with necessary fixing arrangement and screws etc. complete.</t>
        </is>
      </c>
      <c r="C5238" s="9" t="n"/>
      <c r="D5238" s="9" t="n"/>
      <c r="E5238" s="9" t="n"/>
      <c r="F5238" s="9" t="n"/>
      <c r="G5238" s="9" t="n"/>
    </row>
    <row r="5239" ht="18.5" customHeight="1">
      <c r="A5239" s="18" t="inlineStr">
        <is>
          <t>9.158.1</t>
        </is>
      </c>
      <c r="B5239" s="19" t="inlineStr">
        <is>
          <t>12 mm thick.</t>
        </is>
      </c>
      <c r="C5239" s="20" t="n"/>
      <c r="D5239" s="20" t="n"/>
      <c r="E5239" s="20" t="n"/>
      <c r="F5239" s="20" t="n"/>
      <c r="G5239" s="20" t="n"/>
    </row>
    <row r="5240">
      <c r="A5240" s="21" t="inlineStr">
        <is>
          <t>Details of cost for 10 sqm   |   Source: CivilDAR_2019_Vol_1.pdf, page 663</t>
        </is>
      </c>
    </row>
    <row r="5241">
      <c r="A5241" s="5" t="inlineStr">
        <is>
          <t>Code</t>
        </is>
      </c>
      <c r="B5241" s="5" t="inlineStr">
        <is>
          <t>Description</t>
        </is>
      </c>
      <c r="C5241" s="5" t="inlineStr">
        <is>
          <t>Unit</t>
        </is>
      </c>
      <c r="D5241" s="5" t="inlineStr">
        <is>
          <t>Quantity</t>
        </is>
      </c>
      <c r="E5241" s="5" t="inlineStr">
        <is>
          <t>Rate (Rs.)</t>
        </is>
      </c>
      <c r="F5241" s="5" t="inlineStr">
        <is>
          <t>Amount (Rs.)</t>
        </is>
      </c>
      <c r="G5241" s="5" t="inlineStr">
        <is>
          <t>Note</t>
        </is>
      </c>
    </row>
    <row r="5242">
      <c r="A5242" s="22" t="inlineStr">
        <is>
          <t>2487</t>
        </is>
      </c>
      <c r="B5242" s="11" t="inlineStr">
        <is>
          <t>Pre-laminated with decorative lamination one side and other side balancing lamination exterior Grade - I MDF Board 12 mm thick confirming to IS:14587</t>
        </is>
      </c>
      <c r="C5242" s="22" t="inlineStr">
        <is>
          <t>sqm</t>
        </is>
      </c>
      <c r="D5242" s="23" t="n">
        <v>11</v>
      </c>
      <c r="E5242" s="24" t="n">
        <v>430</v>
      </c>
      <c r="F5242" s="24">
        <f>D5242*E5242</f>
        <v/>
      </c>
      <c r="G5242" s="22" t="n"/>
    </row>
    <row r="5243">
      <c r="A5243" s="22" t="inlineStr">
        <is>
          <t>9999</t>
        </is>
      </c>
      <c r="B5243" s="11" t="inlineStr">
        <is>
          <t>Sundries (Carriage of MDF board)</t>
        </is>
      </c>
      <c r="C5243" s="22" t="inlineStr">
        <is>
          <t>L.S.</t>
        </is>
      </c>
      <c r="D5243" s="23" t="n">
        <v>13.52</v>
      </c>
      <c r="E5243" s="24" t="n">
        <v>2</v>
      </c>
      <c r="F5243" s="24">
        <f>D5243*E5243</f>
        <v/>
      </c>
      <c r="G5243" s="22" t="n"/>
    </row>
    <row r="5244">
      <c r="A5244" s="22" t="inlineStr">
        <is>
          <t>9999</t>
        </is>
      </c>
      <c r="B5244" s="11" t="inlineStr">
        <is>
          <t>Sundries and screws</t>
        </is>
      </c>
      <c r="C5244" s="22" t="inlineStr">
        <is>
          <t>L.S.</t>
        </is>
      </c>
      <c r="D5244" s="23" t="n">
        <v>26.91</v>
      </c>
      <c r="E5244" s="24" t="n">
        <v>2</v>
      </c>
      <c r="F5244" s="24">
        <f>D5244*E5244</f>
        <v/>
      </c>
      <c r="G5244" s="22" t="n"/>
    </row>
    <row r="5245">
      <c r="A5245" s="22" t="inlineStr">
        <is>
          <t>0112</t>
        </is>
      </c>
      <c r="B5245" s="11" t="inlineStr">
        <is>
          <t>Carpenter 2nd class</t>
        </is>
      </c>
      <c r="C5245" s="22" t="inlineStr">
        <is>
          <t>day</t>
        </is>
      </c>
      <c r="D5245" s="23" t="n">
        <v>1.28</v>
      </c>
      <c r="E5245" s="24" t="n">
        <v>679</v>
      </c>
      <c r="F5245" s="24">
        <f>D5245*E5245</f>
        <v/>
      </c>
      <c r="G5245" s="22" t="n"/>
    </row>
    <row r="5246">
      <c r="A5246" s="22" t="inlineStr">
        <is>
          <t>0114</t>
        </is>
      </c>
      <c r="B5246" s="11" t="inlineStr">
        <is>
          <t>Beldar</t>
        </is>
      </c>
      <c r="C5246" s="22" t="inlineStr">
        <is>
          <t>day</t>
        </is>
      </c>
      <c r="D5246" s="23" t="n">
        <v>1.43</v>
      </c>
      <c r="E5246" s="24" t="n">
        <v>558</v>
      </c>
      <c r="F5246" s="24">
        <f>D5246*E5246</f>
        <v/>
      </c>
      <c r="G5246" s="22" t="n"/>
    </row>
    <row r="5247">
      <c r="A5247" s="22" t="inlineStr">
        <is>
          <t>7048</t>
        </is>
      </c>
      <c r="B5247" s="11" t="inlineStr">
        <is>
          <t>Rawl plug 50 mm (designation 10 nos)</t>
        </is>
      </c>
      <c r="C5247" s="22" t="inlineStr">
        <is>
          <t>each</t>
        </is>
      </c>
      <c r="D5247" s="23" t="n">
        <v>55</v>
      </c>
      <c r="E5247" s="24" t="n">
        <v>25</v>
      </c>
      <c r="F5247" s="24">
        <f>D5247*E5247</f>
        <v/>
      </c>
      <c r="G5247" s="22" t="n"/>
    </row>
    <row r="5248">
      <c r="A5248" s="8" t="inlineStr">
        <is>
          <t>Calculated W - SUM of the Amount column above</t>
        </is>
      </c>
      <c r="B5248" s="9" t="n"/>
      <c r="C5248" s="9" t="n"/>
      <c r="D5248" s="9" t="n"/>
      <c r="E5248" s="9" t="n"/>
      <c r="F5248" s="25">
        <f>SUM(F5242:F5247)</f>
        <v/>
      </c>
      <c r="G5248" s="9" t="n"/>
    </row>
    <row r="5249">
      <c r="A5249" s="26" t="inlineStr">
        <is>
          <t>W as printed in the DAR</t>
        </is>
      </c>
      <c r="B5249" s="22" t="n"/>
      <c r="C5249" s="22" t="n"/>
      <c r="D5249" s="22" t="n"/>
      <c r="E5249" s="22" t="n"/>
      <c r="F5249" s="27" t="n">
        <v>7852.92</v>
      </c>
      <c r="G5249" s="22" t="n"/>
    </row>
    <row r="5250">
      <c r="A5250" s="26" t="inlineStr">
        <is>
          <t>Difference (calculated - printed)</t>
        </is>
      </c>
      <c r="B5250" s="22" t="n"/>
      <c r="C5250" s="22" t="n"/>
      <c r="D5250" s="22" t="n"/>
      <c r="E5250" s="22" t="n"/>
      <c r="F5250" s="27">
        <f>F5248-F5249</f>
        <v/>
      </c>
      <c r="G5250" s="22" t="n"/>
    </row>
    <row r="5251">
      <c r="A5251" s="29" t="inlineStr">
        <is>
          <t>SAY (Rs.) - final DAR rate as printed (fixed value, not computed)</t>
        </is>
      </c>
      <c r="B5251" s="30" t="n"/>
      <c r="C5251" s="30" t="n"/>
      <c r="D5251" s="30" t="n"/>
      <c r="E5251" s="30" t="n"/>
      <c r="F5251" s="31" t="n">
        <v>1050.65</v>
      </c>
      <c r="G5251" s="30" t="n"/>
    </row>
    <row r="5253" ht="33" customHeight="1">
      <c r="A5253" s="8" t="inlineStr">
        <is>
          <t>9.158</t>
        </is>
      </c>
      <c r="B5253" s="17" t="inlineStr">
        <is>
          <t>Providing and fixing in wall lining medium density fibre board IS: 14587:1998 marked, Pre-laminated one side decorative lamination and other side balancing lamination, with necessary fixing arrangement and screws etc. complete.</t>
        </is>
      </c>
      <c r="C5253" s="9" t="n"/>
      <c r="D5253" s="9" t="n"/>
      <c r="E5253" s="9" t="n"/>
      <c r="F5253" s="9" t="n"/>
      <c r="G5253" s="9" t="n"/>
    </row>
    <row r="5254" ht="18.5" customHeight="1">
      <c r="A5254" s="18" t="inlineStr">
        <is>
          <t>9.158.2</t>
        </is>
      </c>
      <c r="B5254" s="19" t="inlineStr">
        <is>
          <t>18 mm thick.</t>
        </is>
      </c>
      <c r="C5254" s="20" t="n"/>
      <c r="D5254" s="20" t="n"/>
      <c r="E5254" s="20" t="n"/>
      <c r="F5254" s="20" t="n"/>
      <c r="G5254" s="20" t="n"/>
    </row>
    <row r="5255">
      <c r="A5255" s="21" t="inlineStr">
        <is>
          <t>Details of cost for 10 sqm   |   Source: CivilDAR_2019_Vol_1.pdf, page 664</t>
        </is>
      </c>
    </row>
    <row r="5256">
      <c r="A5256" s="5" t="inlineStr">
        <is>
          <t>Code</t>
        </is>
      </c>
      <c r="B5256" s="5" t="inlineStr">
        <is>
          <t>Description</t>
        </is>
      </c>
      <c r="C5256" s="5" t="inlineStr">
        <is>
          <t>Unit</t>
        </is>
      </c>
      <c r="D5256" s="5" t="inlineStr">
        <is>
          <t>Quantity</t>
        </is>
      </c>
      <c r="E5256" s="5" t="inlineStr">
        <is>
          <t>Rate (Rs.)</t>
        </is>
      </c>
      <c r="F5256" s="5" t="inlineStr">
        <is>
          <t>Amount (Rs.)</t>
        </is>
      </c>
      <c r="G5256" s="5" t="inlineStr">
        <is>
          <t>Note</t>
        </is>
      </c>
    </row>
    <row r="5257">
      <c r="A5257" s="22" t="inlineStr">
        <is>
          <t>2488</t>
        </is>
      </c>
      <c r="B5257" s="11" t="inlineStr">
        <is>
          <t>Pre-laminated with decorative lamination one side and other side balancing lamination exterior Grade - I MDF Board 18 mm thick confirming to IS:14587</t>
        </is>
      </c>
      <c r="C5257" s="22" t="inlineStr">
        <is>
          <t>sqm</t>
        </is>
      </c>
      <c r="D5257" s="23" t="n">
        <v>11</v>
      </c>
      <c r="E5257" s="24" t="n">
        <v>565</v>
      </c>
      <c r="F5257" s="24">
        <f>D5257*E5257</f>
        <v/>
      </c>
      <c r="G5257" s="22" t="n"/>
    </row>
    <row r="5258">
      <c r="A5258" s="22" t="inlineStr">
        <is>
          <t>9999</t>
        </is>
      </c>
      <c r="B5258" s="11" t="inlineStr">
        <is>
          <t>Sundries (Carriage of MDF board)</t>
        </is>
      </c>
      <c r="C5258" s="22" t="inlineStr">
        <is>
          <t>L.S.</t>
        </is>
      </c>
      <c r="D5258" s="23" t="n">
        <v>13.52</v>
      </c>
      <c r="E5258" s="24" t="n">
        <v>2</v>
      </c>
      <c r="F5258" s="24">
        <f>D5258*E5258</f>
        <v/>
      </c>
      <c r="G5258" s="22" t="n"/>
    </row>
    <row r="5259">
      <c r="A5259" s="22" t="inlineStr">
        <is>
          <t>9999</t>
        </is>
      </c>
      <c r="B5259" s="11" t="inlineStr">
        <is>
          <t>Sundries and screws</t>
        </is>
      </c>
      <c r="C5259" s="22" t="inlineStr">
        <is>
          <t>L.S.</t>
        </is>
      </c>
      <c r="D5259" s="23" t="n">
        <v>26.91</v>
      </c>
      <c r="E5259" s="24" t="n">
        <v>2</v>
      </c>
      <c r="F5259" s="24">
        <f>D5259*E5259</f>
        <v/>
      </c>
      <c r="G5259" s="22" t="n"/>
    </row>
    <row r="5260">
      <c r="A5260" s="22" t="inlineStr">
        <is>
          <t>0112</t>
        </is>
      </c>
      <c r="B5260" s="11" t="inlineStr">
        <is>
          <t>Carpenter 2nd class</t>
        </is>
      </c>
      <c r="C5260" s="22" t="inlineStr">
        <is>
          <t>day</t>
        </is>
      </c>
      <c r="D5260" s="23" t="n">
        <v>1.28</v>
      </c>
      <c r="E5260" s="24" t="n">
        <v>679</v>
      </c>
      <c r="F5260" s="24">
        <f>D5260*E5260</f>
        <v/>
      </c>
      <c r="G5260" s="22" t="n"/>
    </row>
    <row r="5261">
      <c r="A5261" s="22" t="inlineStr">
        <is>
          <t>0114</t>
        </is>
      </c>
      <c r="B5261" s="11" t="inlineStr">
        <is>
          <t>Beldar</t>
        </is>
      </c>
      <c r="C5261" s="22" t="inlineStr">
        <is>
          <t>day</t>
        </is>
      </c>
      <c r="D5261" s="23" t="n">
        <v>1.43</v>
      </c>
      <c r="E5261" s="24" t="n">
        <v>558</v>
      </c>
      <c r="F5261" s="24">
        <f>D5261*E5261</f>
        <v/>
      </c>
      <c r="G5261" s="22" t="n"/>
    </row>
    <row r="5262">
      <c r="A5262" s="22" t="inlineStr">
        <is>
          <t>7048</t>
        </is>
      </c>
      <c r="B5262" s="11" t="inlineStr">
        <is>
          <t>Rawl plug 50 mm (designation 10 nos)</t>
        </is>
      </c>
      <c r="C5262" s="22" t="inlineStr">
        <is>
          <t>each</t>
        </is>
      </c>
      <c r="D5262" s="23" t="n">
        <v>55</v>
      </c>
      <c r="E5262" s="24" t="n">
        <v>25</v>
      </c>
      <c r="F5262" s="24">
        <f>D5262*E5262</f>
        <v/>
      </c>
      <c r="G5262" s="22" t="n"/>
    </row>
    <row r="5263">
      <c r="A5263" s="8" t="inlineStr">
        <is>
          <t>Calculated W - SUM of the Amount column above</t>
        </is>
      </c>
      <c r="B5263" s="9" t="n"/>
      <c r="C5263" s="9" t="n"/>
      <c r="D5263" s="9" t="n"/>
      <c r="E5263" s="9" t="n"/>
      <c r="F5263" s="25">
        <f>SUM(F5257:F5262)</f>
        <v/>
      </c>
      <c r="G5263" s="9" t="n"/>
    </row>
    <row r="5264">
      <c r="A5264" s="26" t="inlineStr">
        <is>
          <t>W as printed in the DAR</t>
        </is>
      </c>
      <c r="B5264" s="22" t="n"/>
      <c r="C5264" s="22" t="n"/>
      <c r="D5264" s="22" t="n"/>
      <c r="E5264" s="22" t="n"/>
      <c r="F5264" s="27" t="n">
        <v>9337.92</v>
      </c>
      <c r="G5264" s="22" t="n"/>
    </row>
    <row r="5265">
      <c r="A5265" s="26" t="inlineStr">
        <is>
          <t>Difference (calculated - printed)</t>
        </is>
      </c>
      <c r="B5265" s="22" t="n"/>
      <c r="C5265" s="22" t="n"/>
      <c r="D5265" s="22" t="n"/>
      <c r="E5265" s="22" t="n"/>
      <c r="F5265" s="27">
        <f>F5263-F5264</f>
        <v/>
      </c>
      <c r="G5265" s="22" t="n"/>
    </row>
    <row r="5266">
      <c r="A5266" s="29" t="inlineStr">
        <is>
          <t>SAY (Rs.) - final DAR rate as printed (fixed value, not computed)</t>
        </is>
      </c>
      <c r="B5266" s="30" t="n"/>
      <c r="C5266" s="30" t="n"/>
      <c r="D5266" s="30" t="n"/>
      <c r="E5266" s="30" t="n"/>
      <c r="F5266" s="31" t="n">
        <v>1249.35</v>
      </c>
      <c r="G5266" s="30" t="n"/>
    </row>
    <row r="5268" ht="33" customHeight="1">
      <c r="A5268" s="8" t="inlineStr">
        <is>
          <t>9.158</t>
        </is>
      </c>
      <c r="B5268" s="17" t="inlineStr">
        <is>
          <t>Providing and fixing in wall lining medium density fibre board IS: 14587:1998 marked, Pre-laminated one side decorative lamination and other side balancing lamination, with necessary fixing arrangement and screws etc. complete.</t>
        </is>
      </c>
      <c r="C5268" s="9" t="n"/>
      <c r="D5268" s="9" t="n"/>
      <c r="E5268" s="9" t="n"/>
      <c r="F5268" s="9" t="n"/>
      <c r="G5268" s="9" t="n"/>
    </row>
    <row r="5269" ht="18.5" customHeight="1">
      <c r="A5269" s="18" t="inlineStr">
        <is>
          <t>9.158.3</t>
        </is>
      </c>
      <c r="B5269" s="19" t="inlineStr">
        <is>
          <t>25 mm thick.</t>
        </is>
      </c>
      <c r="C5269" s="20" t="n"/>
      <c r="D5269" s="20" t="n"/>
      <c r="E5269" s="20" t="n"/>
      <c r="F5269" s="20" t="n"/>
      <c r="G5269" s="20" t="n"/>
    </row>
    <row r="5270">
      <c r="A5270" s="21" t="inlineStr">
        <is>
          <t>Details of cost for 10 sqm   |   Source: CivilDAR_2019_Vol_1.pdf, page 665</t>
        </is>
      </c>
    </row>
    <row r="5271">
      <c r="A5271" s="5" t="inlineStr">
        <is>
          <t>Code</t>
        </is>
      </c>
      <c r="B5271" s="5" t="inlineStr">
        <is>
          <t>Description</t>
        </is>
      </c>
      <c r="C5271" s="5" t="inlineStr">
        <is>
          <t>Unit</t>
        </is>
      </c>
      <c r="D5271" s="5" t="inlineStr">
        <is>
          <t>Quantity</t>
        </is>
      </c>
      <c r="E5271" s="5" t="inlineStr">
        <is>
          <t>Rate (Rs.)</t>
        </is>
      </c>
      <c r="F5271" s="5" t="inlineStr">
        <is>
          <t>Amount (Rs.)</t>
        </is>
      </c>
      <c r="G5271" s="5" t="inlineStr">
        <is>
          <t>Note</t>
        </is>
      </c>
    </row>
    <row r="5272">
      <c r="A5272" s="22" t="inlineStr">
        <is>
          <t>2486</t>
        </is>
      </c>
      <c r="B5272" s="11" t="inlineStr">
        <is>
          <t>Pre-laminated with decorative lamination one side and other side balancing lamination exterior Grade - I MDF Board 25 mm thick confirming to IS:14587</t>
        </is>
      </c>
      <c r="C5272" s="22" t="inlineStr">
        <is>
          <t>sqm</t>
        </is>
      </c>
      <c r="D5272" s="23" t="n">
        <v>11</v>
      </c>
      <c r="E5272" s="24" t="n">
        <v>860</v>
      </c>
      <c r="F5272" s="24">
        <f>D5272*E5272</f>
        <v/>
      </c>
      <c r="G5272" s="22" t="n"/>
    </row>
    <row r="5273">
      <c r="A5273" s="22" t="inlineStr">
        <is>
          <t>9999</t>
        </is>
      </c>
      <c r="B5273" s="11" t="inlineStr">
        <is>
          <t>Sundries (Carriage of MDF board)</t>
        </is>
      </c>
      <c r="C5273" s="22" t="inlineStr">
        <is>
          <t>L.S.</t>
        </is>
      </c>
      <c r="D5273" s="23" t="n">
        <v>13.52</v>
      </c>
      <c r="E5273" s="24" t="n">
        <v>2</v>
      </c>
      <c r="F5273" s="24">
        <f>D5273*E5273</f>
        <v/>
      </c>
      <c r="G5273" s="22" t="n"/>
    </row>
    <row r="5274">
      <c r="A5274" s="22" t="inlineStr">
        <is>
          <t>9999</t>
        </is>
      </c>
      <c r="B5274" s="11" t="inlineStr">
        <is>
          <t>Sundries and screws</t>
        </is>
      </c>
      <c r="C5274" s="22" t="inlineStr">
        <is>
          <t>L.S.</t>
        </is>
      </c>
      <c r="D5274" s="23" t="n">
        <v>26.91</v>
      </c>
      <c r="E5274" s="24" t="n">
        <v>2</v>
      </c>
      <c r="F5274" s="24">
        <f>D5274*E5274</f>
        <v/>
      </c>
      <c r="G5274" s="22" t="n"/>
    </row>
    <row r="5275">
      <c r="A5275" s="22" t="inlineStr">
        <is>
          <t>0112</t>
        </is>
      </c>
      <c r="B5275" s="11" t="inlineStr">
        <is>
          <t>Carpenter 2nd class</t>
        </is>
      </c>
      <c r="C5275" s="22" t="inlineStr">
        <is>
          <t>day</t>
        </is>
      </c>
      <c r="D5275" s="23" t="n">
        <v>1.28</v>
      </c>
      <c r="E5275" s="24" t="n">
        <v>679</v>
      </c>
      <c r="F5275" s="24">
        <f>D5275*E5275</f>
        <v/>
      </c>
      <c r="G5275" s="22" t="n"/>
    </row>
    <row r="5276">
      <c r="A5276" s="22" t="inlineStr">
        <is>
          <t>0114</t>
        </is>
      </c>
      <c r="B5276" s="11" t="inlineStr">
        <is>
          <t>Beldar</t>
        </is>
      </c>
      <c r="C5276" s="22" t="inlineStr">
        <is>
          <t>day</t>
        </is>
      </c>
      <c r="D5276" s="23" t="n">
        <v>1.43</v>
      </c>
      <c r="E5276" s="24" t="n">
        <v>558</v>
      </c>
      <c r="F5276" s="24">
        <f>D5276*E5276</f>
        <v/>
      </c>
      <c r="G5276" s="22" t="n"/>
    </row>
    <row r="5277">
      <c r="A5277" s="22" t="inlineStr">
        <is>
          <t>7048</t>
        </is>
      </c>
      <c r="B5277" s="11" t="inlineStr">
        <is>
          <t>Rawl plug 50 mm (designation 10 nos)</t>
        </is>
      </c>
      <c r="C5277" s="22" t="inlineStr">
        <is>
          <t>each</t>
        </is>
      </c>
      <c r="D5277" s="23" t="n">
        <v>55</v>
      </c>
      <c r="E5277" s="24" t="n">
        <v>25</v>
      </c>
      <c r="F5277" s="24">
        <f>D5277*E5277</f>
        <v/>
      </c>
      <c r="G5277" s="22" t="n"/>
    </row>
    <row r="5278">
      <c r="A5278" s="8" t="inlineStr">
        <is>
          <t>Calculated W - SUM of the Amount column above</t>
        </is>
      </c>
      <c r="B5278" s="9" t="n"/>
      <c r="C5278" s="9" t="n"/>
      <c r="D5278" s="9" t="n"/>
      <c r="E5278" s="9" t="n"/>
      <c r="F5278" s="25">
        <f>SUM(F5272:F5277)</f>
        <v/>
      </c>
      <c r="G5278" s="9" t="n"/>
    </row>
    <row r="5279">
      <c r="A5279" s="26" t="inlineStr">
        <is>
          <t>W as printed in the DAR</t>
        </is>
      </c>
      <c r="B5279" s="22" t="n"/>
      <c r="C5279" s="22" t="n"/>
      <c r="D5279" s="22" t="n"/>
      <c r="E5279" s="22" t="n"/>
      <c r="F5279" s="27" t="n">
        <v>12582.92</v>
      </c>
      <c r="G5279" s="22" t="n"/>
    </row>
    <row r="5280">
      <c r="A5280" s="26" t="inlineStr">
        <is>
          <t>Difference (calculated - printed)</t>
        </is>
      </c>
      <c r="B5280" s="22" t="n"/>
      <c r="C5280" s="22" t="n"/>
      <c r="D5280" s="22" t="n"/>
      <c r="E5280" s="22" t="n"/>
      <c r="F5280" s="27">
        <f>F5278-F5279</f>
        <v/>
      </c>
      <c r="G5280" s="22" t="n"/>
    </row>
    <row r="5281">
      <c r="A5281" s="29" t="inlineStr">
        <is>
          <t>SAY (Rs.) - final DAR rate as printed (fixed value, not computed)</t>
        </is>
      </c>
      <c r="B5281" s="30" t="n"/>
      <c r="C5281" s="30" t="n"/>
      <c r="D5281" s="30" t="n"/>
      <c r="E5281" s="30" t="n"/>
      <c r="F5281" s="31" t="n">
        <v>1683.5</v>
      </c>
      <c r="G5281" s="30" t="n"/>
    </row>
    <row r="5283" ht="62" customHeight="1">
      <c r="A5283" s="18" t="inlineStr">
        <is>
          <t>9.159</t>
        </is>
      </c>
      <c r="B5283" s="19" t="inlineStr">
        <is>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is>
      </c>
      <c r="C5283" s="20" t="n"/>
      <c r="D5283" s="20" t="n"/>
      <c r="E5283" s="20" t="n"/>
      <c r="F5283" s="20" t="n"/>
      <c r="G5283" s="20" t="n"/>
    </row>
    <row r="5284">
      <c r="A5284" s="21" t="inlineStr">
        <is>
          <t>Details of cost for 2.2 sqm   |   Source: CivilDAR_2019_Vol_1.pdf, page 665</t>
        </is>
      </c>
    </row>
    <row r="5285">
      <c r="A5285" s="5" t="inlineStr">
        <is>
          <t>Code</t>
        </is>
      </c>
      <c r="B5285" s="5" t="inlineStr">
        <is>
          <t>Description</t>
        </is>
      </c>
      <c r="C5285" s="5" t="inlineStr">
        <is>
          <t>Unit</t>
        </is>
      </c>
      <c r="D5285" s="5" t="inlineStr">
        <is>
          <t>Quantity</t>
        </is>
      </c>
      <c r="E5285" s="5" t="inlineStr">
        <is>
          <t>Rate (Rs.)</t>
        </is>
      </c>
      <c r="F5285" s="5" t="inlineStr">
        <is>
          <t>Amount (Rs.)</t>
        </is>
      </c>
      <c r="G5285" s="5" t="inlineStr">
        <is>
          <t>Note</t>
        </is>
      </c>
    </row>
    <row r="5286">
      <c r="A5286" s="22" t="inlineStr">
        <is>
          <t>2486</t>
        </is>
      </c>
      <c r="B5286" s="11" t="inlineStr">
        <is>
          <t>Pre-laminated with decorative lamination one side and other side balancing lamination exterior Grade - I MDF Board 25 mm thick confirming to IS:14587</t>
        </is>
      </c>
      <c r="C5286" s="22" t="inlineStr">
        <is>
          <t>sqm</t>
        </is>
      </c>
      <c r="D5286" s="23" t="n">
        <v>2.2</v>
      </c>
      <c r="E5286" s="24" t="n">
        <v>860</v>
      </c>
      <c r="F5286" s="24">
        <f>D5286*E5286</f>
        <v/>
      </c>
      <c r="G5286" s="22" t="n"/>
    </row>
    <row r="5287">
      <c r="A5287" s="22" t="inlineStr">
        <is>
          <t>9999</t>
        </is>
      </c>
      <c r="B5287" s="11" t="inlineStr">
        <is>
          <t>Sundries (Carriage of MDF board)</t>
        </is>
      </c>
      <c r="C5287" s="22" t="inlineStr">
        <is>
          <t>L.S.</t>
        </is>
      </c>
      <c r="D5287" s="23" t="n">
        <v>26.94</v>
      </c>
      <c r="E5287" s="24" t="n">
        <v>2</v>
      </c>
      <c r="F5287" s="24">
        <f>D5287*E5287</f>
        <v/>
      </c>
      <c r="G5287" s="22" t="n"/>
    </row>
    <row r="5288">
      <c r="A5288" s="22" t="inlineStr">
        <is>
          <t>2489</t>
        </is>
      </c>
      <c r="B5288" s="11" t="inlineStr">
        <is>
          <t>PVC edge bending tape 2.00 mm thick</t>
        </is>
      </c>
      <c r="C5288" s="22" t="inlineStr">
        <is>
          <t>metre</t>
        </is>
      </c>
      <c r="D5288" s="23" t="n">
        <v>6.4</v>
      </c>
      <c r="E5288" s="24" t="n">
        <v>20</v>
      </c>
      <c r="F5288" s="24">
        <f>D5288*E5288</f>
        <v/>
      </c>
      <c r="G5288" s="22" t="n"/>
    </row>
    <row r="5289">
      <c r="A5289" s="22" t="inlineStr">
        <is>
          <t>0608</t>
        </is>
      </c>
      <c r="B5289" s="11" t="inlineStr">
        <is>
          <t>Nickel plated bright finished mild steel piano hinges 1 mm thick 25 mm wide</t>
        </is>
      </c>
      <c r="C5289" s="22" t="inlineStr">
        <is>
          <t>metre</t>
        </is>
      </c>
      <c r="D5289" s="23" t="n">
        <v>4.4</v>
      </c>
      <c r="E5289" s="24" t="n">
        <v>39</v>
      </c>
      <c r="F5289" s="24">
        <f>D5289*E5289</f>
        <v/>
      </c>
      <c r="G5289" s="22" t="n"/>
    </row>
    <row r="5290">
      <c r="A5290" s="22" t="inlineStr">
        <is>
          <t>0639</t>
        </is>
      </c>
      <c r="B5290" s="11" t="inlineStr">
        <is>
          <t>Bright finished or black enameled mild steel screws 25 mm</t>
        </is>
      </c>
      <c r="C5290" s="22" t="inlineStr">
        <is>
          <t>100 Nos</t>
        </is>
      </c>
      <c r="D5290" s="23" t="n">
        <v>1.25</v>
      </c>
      <c r="E5290" s="24" t="n">
        <v>36</v>
      </c>
      <c r="F5290" s="24">
        <f>D5290*E5290</f>
        <v/>
      </c>
      <c r="G5290" s="22" t="n"/>
    </row>
    <row r="5291">
      <c r="A5291" s="22" t="inlineStr">
        <is>
          <t>0156</t>
        </is>
      </c>
      <c r="B5291" s="11" t="inlineStr">
        <is>
          <t>Carpenter (average)</t>
        </is>
      </c>
      <c r="C5291" s="22" t="inlineStr">
        <is>
          <t>day</t>
        </is>
      </c>
      <c r="D5291" s="23" t="n">
        <v>0.55</v>
      </c>
      <c r="E5291" s="24" t="n">
        <v>709</v>
      </c>
      <c r="F5291" s="24">
        <f>D5291*E5291</f>
        <v/>
      </c>
      <c r="G5291" s="22" t="n"/>
    </row>
    <row r="5292">
      <c r="A5292" s="22" t="inlineStr">
        <is>
          <t>0114</t>
        </is>
      </c>
      <c r="B5292" s="11" t="inlineStr">
        <is>
          <t>Beldar</t>
        </is>
      </c>
      <c r="C5292" s="22" t="inlineStr">
        <is>
          <t>day</t>
        </is>
      </c>
      <c r="D5292" s="23" t="n">
        <v>0.55</v>
      </c>
      <c r="E5292" s="24" t="n">
        <v>558</v>
      </c>
      <c r="F5292" s="24">
        <f>D5292*E5292</f>
        <v/>
      </c>
      <c r="G5292" s="22" t="n"/>
    </row>
    <row r="5293">
      <c r="A5293" s="8" t="inlineStr">
        <is>
          <t>Calculated W - SUM of the Amount column above</t>
        </is>
      </c>
      <c r="B5293" s="9" t="n"/>
      <c r="C5293" s="9" t="n"/>
      <c r="D5293" s="9" t="n"/>
      <c r="E5293" s="9" t="n"/>
      <c r="F5293" s="25">
        <f>SUM(F5286:F5292)</f>
        <v/>
      </c>
      <c r="G5293" s="9" t="n"/>
    </row>
    <row r="5294">
      <c r="A5294" s="26" t="inlineStr">
        <is>
          <t>W as printed in the DAR</t>
        </is>
      </c>
      <c r="B5294" s="22" t="n"/>
      <c r="C5294" s="22" t="n"/>
      <c r="D5294" s="22" t="n"/>
      <c r="E5294" s="22" t="n"/>
      <c r="F5294" s="27" t="n">
        <v>2987.33</v>
      </c>
      <c r="G5294" s="22" t="n"/>
    </row>
    <row r="5295">
      <c r="A5295" s="26" t="inlineStr">
        <is>
          <t>Difference (calculated - printed)</t>
        </is>
      </c>
      <c r="B5295" s="22" t="n"/>
      <c r="C5295" s="22" t="n"/>
      <c r="D5295" s="22" t="n"/>
      <c r="E5295" s="22" t="n"/>
      <c r="F5295" s="27">
        <f>F5293-F5294</f>
        <v/>
      </c>
      <c r="G5295" s="22" t="n"/>
    </row>
    <row r="5296">
      <c r="A5296" s="29" t="inlineStr">
        <is>
          <t>SAY (Rs.) - final DAR rate as printed (fixed value, not computed)</t>
        </is>
      </c>
      <c r="B5296" s="30" t="n"/>
      <c r="C5296" s="30" t="n"/>
      <c r="D5296" s="30" t="n"/>
      <c r="E5296" s="30" t="n"/>
      <c r="F5296" s="31" t="n">
        <v>1816.75</v>
      </c>
      <c r="G5296" s="30" t="n"/>
    </row>
    <row r="5298" ht="62" customHeight="1">
      <c r="A5298" s="8" t="inlineStr">
        <is>
          <t>9.160</t>
        </is>
      </c>
      <c r="B5298" s="17"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is>
      </c>
      <c r="C5298" s="9" t="n"/>
      <c r="D5298" s="9" t="n"/>
      <c r="E5298" s="9" t="n"/>
      <c r="F5298" s="9" t="n"/>
      <c r="G5298" s="9" t="n"/>
    </row>
    <row r="5299" ht="18.5" customHeight="1">
      <c r="A5299" s="18" t="inlineStr">
        <is>
          <t>9.160.1</t>
        </is>
      </c>
      <c r="B5299" s="19" t="inlineStr">
        <is>
          <t>18 mm thick.</t>
        </is>
      </c>
      <c r="C5299" s="20" t="n"/>
      <c r="D5299" s="20" t="n"/>
      <c r="E5299" s="20" t="n"/>
      <c r="F5299" s="20" t="n"/>
      <c r="G5299" s="20" t="n"/>
    </row>
    <row r="5300">
      <c r="A5300" s="21" t="inlineStr">
        <is>
          <t>Details of cost for 6 sqm   |   Source: CivilDAR_2019_Vol_1.pdf, page 666</t>
        </is>
      </c>
    </row>
    <row r="5301">
      <c r="A5301" s="5" t="inlineStr">
        <is>
          <t>Code</t>
        </is>
      </c>
      <c r="B5301" s="5" t="inlineStr">
        <is>
          <t>Description</t>
        </is>
      </c>
      <c r="C5301" s="5" t="inlineStr">
        <is>
          <t>Unit</t>
        </is>
      </c>
      <c r="D5301" s="5" t="inlineStr">
        <is>
          <t>Quantity</t>
        </is>
      </c>
      <c r="E5301" s="5" t="inlineStr">
        <is>
          <t>Rate (Rs.)</t>
        </is>
      </c>
      <c r="F5301" s="5" t="inlineStr">
        <is>
          <t>Amount (Rs.)</t>
        </is>
      </c>
      <c r="G5301" s="5" t="inlineStr">
        <is>
          <t>Note</t>
        </is>
      </c>
    </row>
    <row r="5302">
      <c r="A5302" s="22" t="inlineStr">
        <is>
          <t>2488</t>
        </is>
      </c>
      <c r="B5302" s="11" t="inlineStr">
        <is>
          <t>Pre-laminated with decorative lamination one side and other side balancing lamination exterior Grade - I MDF Board 18 mm thick confirming to IS:14587</t>
        </is>
      </c>
      <c r="C5302" s="22" t="inlineStr">
        <is>
          <t>sqm</t>
        </is>
      </c>
      <c r="D5302" s="23" t="n">
        <v>6.6</v>
      </c>
      <c r="E5302" s="24" t="n">
        <v>565</v>
      </c>
      <c r="F5302" s="24">
        <f>D5302*E5302</f>
        <v/>
      </c>
      <c r="G5302" s="22" t="n"/>
    </row>
    <row r="5303">
      <c r="A5303" s="22" t="inlineStr">
        <is>
          <t>9999</t>
        </is>
      </c>
      <c r="B5303" s="11" t="inlineStr">
        <is>
          <t>Sundries (Carriage of MDF board)</t>
        </is>
      </c>
      <c r="C5303" s="22" t="inlineStr">
        <is>
          <t>L.S.</t>
        </is>
      </c>
      <c r="D5303" s="23" t="n">
        <v>8.109999999999999</v>
      </c>
      <c r="E5303" s="24" t="n">
        <v>2</v>
      </c>
      <c r="F5303" s="24">
        <f>D5303*E5303</f>
        <v/>
      </c>
      <c r="G5303" s="22" t="n"/>
    </row>
    <row r="5304">
      <c r="A5304" s="22" t="inlineStr">
        <is>
          <t>2489</t>
        </is>
      </c>
      <c r="B5304" s="11" t="inlineStr">
        <is>
          <t>PVC edge bending tape 2.00 mm thick</t>
        </is>
      </c>
      <c r="C5304" s="22" t="inlineStr">
        <is>
          <t>metre</t>
        </is>
      </c>
      <c r="D5304" s="23" t="n">
        <v>30</v>
      </c>
      <c r="E5304" s="24" t="n">
        <v>20</v>
      </c>
      <c r="F5304" s="24">
        <f>D5304*E5304</f>
        <v/>
      </c>
      <c r="G5304" s="22" t="n"/>
    </row>
    <row r="5305">
      <c r="A5305" s="22" t="inlineStr">
        <is>
          <t>7048</t>
        </is>
      </c>
      <c r="B5305" s="11" t="inlineStr">
        <is>
          <t>Rawl plug 50 mm (designation 10 nos)</t>
        </is>
      </c>
      <c r="C5305" s="22" t="inlineStr">
        <is>
          <t>each</t>
        </is>
      </c>
      <c r="D5305" s="23" t="n">
        <v>102</v>
      </c>
      <c r="E5305" s="24" t="n">
        <v>25</v>
      </c>
      <c r="F5305" s="24">
        <f>D5305*E5305</f>
        <v/>
      </c>
      <c r="G5305" s="22" t="n"/>
    </row>
    <row r="5306">
      <c r="A5306" s="22" t="inlineStr">
        <is>
          <t>9999</t>
        </is>
      </c>
      <c r="B5306" s="11" t="inlineStr">
        <is>
          <t>Sundries (Labour for drilling hole)</t>
        </is>
      </c>
      <c r="C5306" s="22" t="inlineStr">
        <is>
          <t>L.S.</t>
        </is>
      </c>
      <c r="D5306" s="23" t="n">
        <v>130</v>
      </c>
      <c r="E5306" s="24" t="n">
        <v>2</v>
      </c>
      <c r="F5306" s="24">
        <f>D5306*E5306</f>
        <v/>
      </c>
      <c r="G5306" s="22" t="n"/>
    </row>
    <row r="5307">
      <c r="A5307" s="22" t="inlineStr">
        <is>
          <t>0112</t>
        </is>
      </c>
      <c r="B5307" s="11" t="inlineStr">
        <is>
          <t>Carpenter 2nd class</t>
        </is>
      </c>
      <c r="C5307" s="22" t="inlineStr">
        <is>
          <t>day</t>
        </is>
      </c>
      <c r="D5307" s="23" t="n">
        <v>0.77</v>
      </c>
      <c r="E5307" s="24" t="n">
        <v>679</v>
      </c>
      <c r="F5307" s="24">
        <f>D5307*E5307</f>
        <v/>
      </c>
      <c r="G5307" s="22" t="n"/>
    </row>
    <row r="5308">
      <c r="A5308" s="22" t="inlineStr">
        <is>
          <t>0114</t>
        </is>
      </c>
      <c r="B5308" s="11" t="inlineStr">
        <is>
          <t>Beldar</t>
        </is>
      </c>
      <c r="C5308" s="22" t="inlineStr">
        <is>
          <t>day</t>
        </is>
      </c>
      <c r="D5308" s="23" t="n">
        <v>0.86</v>
      </c>
      <c r="E5308" s="24" t="n">
        <v>558</v>
      </c>
      <c r="F5308" s="24">
        <f>D5308*E5308</f>
        <v/>
      </c>
      <c r="G5308" s="22" t="n"/>
    </row>
    <row r="5309">
      <c r="A5309" s="22" t="inlineStr">
        <is>
          <t>9999</t>
        </is>
      </c>
      <c r="B5309" s="11" t="inlineStr">
        <is>
          <t>Sundries ( screws and sand paper)</t>
        </is>
      </c>
      <c r="C5309" s="22" t="inlineStr">
        <is>
          <t>L.S.</t>
        </is>
      </c>
      <c r="D5309" s="23" t="n">
        <v>53.82</v>
      </c>
      <c r="E5309" s="24" t="n">
        <v>2</v>
      </c>
      <c r="F5309" s="24">
        <f>D5309*E5309</f>
        <v/>
      </c>
      <c r="G5309" s="22" t="n"/>
    </row>
    <row r="5310">
      <c r="A5310" s="8" t="inlineStr">
        <is>
          <t>Calculated W - SUM of the Amount column above</t>
        </is>
      </c>
      <c r="B5310" s="9" t="n"/>
      <c r="C5310" s="9" t="n"/>
      <c r="D5310" s="9" t="n"/>
      <c r="E5310" s="9" t="n"/>
      <c r="F5310" s="25">
        <f>SUM(F5302:F5309)</f>
        <v/>
      </c>
      <c r="G5310" s="9" t="n"/>
    </row>
    <row r="5311">
      <c r="A5311" s="26" t="inlineStr">
        <is>
          <t>W as printed in the DAR</t>
        </is>
      </c>
      <c r="B5311" s="22" t="n"/>
      <c r="C5311" s="22" t="n"/>
      <c r="D5311" s="22" t="n"/>
      <c r="E5311" s="22" t="n"/>
      <c r="F5311" s="27" t="n">
        <v>8265.57</v>
      </c>
      <c r="G5311" s="22" t="n"/>
    </row>
    <row r="5312">
      <c r="A5312" s="26" t="inlineStr">
        <is>
          <t>Difference (calculated - printed)</t>
        </is>
      </c>
      <c r="B5312" s="22" t="n"/>
      <c r="C5312" s="22" t="n"/>
      <c r="D5312" s="22" t="n"/>
      <c r="E5312" s="22" t="n"/>
      <c r="F5312" s="27">
        <f>F5310-F5311</f>
        <v/>
      </c>
      <c r="G5312" s="22" t="n"/>
    </row>
    <row r="5313">
      <c r="A5313" s="29" t="inlineStr">
        <is>
          <t>SAY (Rs.) - final DAR rate as printed (fixed value, not computed)</t>
        </is>
      </c>
      <c r="B5313" s="30" t="n"/>
      <c r="C5313" s="30" t="n"/>
      <c r="D5313" s="30" t="n"/>
      <c r="E5313" s="30" t="n"/>
      <c r="F5313" s="31" t="n">
        <v>1843.15</v>
      </c>
      <c r="G5313" s="30" t="n"/>
    </row>
    <row r="5315" ht="62" customHeight="1">
      <c r="A5315" s="8" t="inlineStr">
        <is>
          <t>9.160</t>
        </is>
      </c>
      <c r="B5315" s="17"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is>
      </c>
      <c r="C5315" s="9" t="n"/>
      <c r="D5315" s="9" t="n"/>
      <c r="E5315" s="9" t="n"/>
      <c r="F5315" s="9" t="n"/>
      <c r="G5315" s="9" t="n"/>
    </row>
    <row r="5316" ht="18.5" customHeight="1">
      <c r="A5316" s="18" t="inlineStr">
        <is>
          <t>9.160.2</t>
        </is>
      </c>
      <c r="B5316" s="19" t="inlineStr">
        <is>
          <t>25 mm thick.</t>
        </is>
      </c>
      <c r="C5316" s="20" t="n"/>
      <c r="D5316" s="20" t="n"/>
      <c r="E5316" s="20" t="n"/>
      <c r="F5316" s="20" t="n"/>
      <c r="G5316" s="20" t="n"/>
    </row>
    <row r="5317">
      <c r="A5317" s="21" t="inlineStr">
        <is>
          <t>Details of cost for 6 sqm   |   Source: CivilDAR_2019_Vol_1.pdf, page 667</t>
        </is>
      </c>
    </row>
    <row r="5318">
      <c r="A5318" s="5" t="inlineStr">
        <is>
          <t>Code</t>
        </is>
      </c>
      <c r="B5318" s="5" t="inlineStr">
        <is>
          <t>Description</t>
        </is>
      </c>
      <c r="C5318" s="5" t="inlineStr">
        <is>
          <t>Unit</t>
        </is>
      </c>
      <c r="D5318" s="5" t="inlineStr">
        <is>
          <t>Quantity</t>
        </is>
      </c>
      <c r="E5318" s="5" t="inlineStr">
        <is>
          <t>Rate (Rs.)</t>
        </is>
      </c>
      <c r="F5318" s="5" t="inlineStr">
        <is>
          <t>Amount (Rs.)</t>
        </is>
      </c>
      <c r="G5318" s="5" t="inlineStr">
        <is>
          <t>Note</t>
        </is>
      </c>
    </row>
    <row r="5319">
      <c r="A5319" s="22" t="inlineStr">
        <is>
          <t>2486</t>
        </is>
      </c>
      <c r="B5319" s="11" t="inlineStr">
        <is>
          <t>Pre-laminated with decorative lamination one side and other side balancing lamination exterior Grade - I MDF Board 25 mm thick confirming to IS:14587</t>
        </is>
      </c>
      <c r="C5319" s="22" t="inlineStr">
        <is>
          <t>sqm</t>
        </is>
      </c>
      <c r="D5319" s="23" t="n">
        <v>6.6</v>
      </c>
      <c r="E5319" s="24" t="n">
        <v>860</v>
      </c>
      <c r="F5319" s="24">
        <f>D5319*E5319</f>
        <v/>
      </c>
      <c r="G5319" s="22" t="n"/>
    </row>
    <row r="5320">
      <c r="A5320" s="22" t="inlineStr">
        <is>
          <t>9999</t>
        </is>
      </c>
      <c r="B5320" s="11" t="inlineStr">
        <is>
          <t>Sundries (Carriage of MDF board)</t>
        </is>
      </c>
      <c r="C5320" s="22" t="inlineStr">
        <is>
          <t>L.S.</t>
        </is>
      </c>
      <c r="D5320" s="23" t="n">
        <v>8.109999999999999</v>
      </c>
      <c r="E5320" s="24" t="n">
        <v>2</v>
      </c>
      <c r="F5320" s="24">
        <f>D5320*E5320</f>
        <v/>
      </c>
      <c r="G5320" s="22" t="n"/>
    </row>
    <row r="5321">
      <c r="A5321" s="22" t="inlineStr">
        <is>
          <t>2489</t>
        </is>
      </c>
      <c r="B5321" s="11" t="inlineStr">
        <is>
          <t>PVC edge bending tape 2.00 mm thick</t>
        </is>
      </c>
      <c r="C5321" s="22" t="inlineStr">
        <is>
          <t>metre</t>
        </is>
      </c>
      <c r="D5321" s="23" t="n">
        <v>30</v>
      </c>
      <c r="E5321" s="24" t="n">
        <v>20</v>
      </c>
      <c r="F5321" s="24">
        <f>D5321*E5321</f>
        <v/>
      </c>
      <c r="G5321" s="22" t="n"/>
    </row>
    <row r="5322">
      <c r="A5322" s="22" t="inlineStr">
        <is>
          <t>7048</t>
        </is>
      </c>
      <c r="B5322" s="11" t="inlineStr">
        <is>
          <t>Rawl plug 50 mm (designation 10 nos)</t>
        </is>
      </c>
      <c r="C5322" s="22" t="inlineStr">
        <is>
          <t>each</t>
        </is>
      </c>
      <c r="D5322" s="23" t="n">
        <v>102</v>
      </c>
      <c r="E5322" s="24" t="n">
        <v>25</v>
      </c>
      <c r="F5322" s="24">
        <f>D5322*E5322</f>
        <v/>
      </c>
      <c r="G5322" s="22" t="n"/>
    </row>
    <row r="5323">
      <c r="A5323" s="22" t="inlineStr">
        <is>
          <t>9999</t>
        </is>
      </c>
      <c r="B5323" s="11" t="inlineStr">
        <is>
          <t>Sundries (Labour for drilling hole)</t>
        </is>
      </c>
      <c r="C5323" s="22" t="inlineStr">
        <is>
          <t>L.S.</t>
        </is>
      </c>
      <c r="D5323" s="23" t="n">
        <v>130</v>
      </c>
      <c r="E5323" s="24" t="n">
        <v>2</v>
      </c>
      <c r="F5323" s="24">
        <f>D5323*E5323</f>
        <v/>
      </c>
      <c r="G5323" s="22" t="n"/>
    </row>
    <row r="5324">
      <c r="A5324" s="22" t="inlineStr">
        <is>
          <t>0112</t>
        </is>
      </c>
      <c r="B5324" s="11" t="inlineStr">
        <is>
          <t>Carpenter 2nd class</t>
        </is>
      </c>
      <c r="C5324" s="22" t="inlineStr">
        <is>
          <t>day</t>
        </is>
      </c>
      <c r="D5324" s="23" t="n">
        <v>0.77</v>
      </c>
      <c r="E5324" s="24" t="n">
        <v>679</v>
      </c>
      <c r="F5324" s="24">
        <f>D5324*E5324</f>
        <v/>
      </c>
      <c r="G5324" s="22" t="n"/>
    </row>
    <row r="5325">
      <c r="A5325" s="22" t="inlineStr">
        <is>
          <t>0114</t>
        </is>
      </c>
      <c r="B5325" s="11" t="inlineStr">
        <is>
          <t>Beldar</t>
        </is>
      </c>
      <c r="C5325" s="22" t="inlineStr">
        <is>
          <t>day</t>
        </is>
      </c>
      <c r="D5325" s="23" t="n">
        <v>0.86</v>
      </c>
      <c r="E5325" s="24" t="n">
        <v>558</v>
      </c>
      <c r="F5325" s="24">
        <f>D5325*E5325</f>
        <v/>
      </c>
      <c r="G5325" s="22" t="n"/>
    </row>
    <row r="5326">
      <c r="A5326" s="22" t="inlineStr">
        <is>
          <t>9999</t>
        </is>
      </c>
      <c r="B5326" s="11" t="inlineStr">
        <is>
          <t>Sundries ( screws and sand paper)</t>
        </is>
      </c>
      <c r="C5326" s="22" t="inlineStr">
        <is>
          <t>L.S.</t>
        </is>
      </c>
      <c r="D5326" s="23" t="n">
        <v>53.82</v>
      </c>
      <c r="E5326" s="24" t="n">
        <v>2</v>
      </c>
      <c r="F5326" s="24">
        <f>D5326*E5326</f>
        <v/>
      </c>
      <c r="G5326" s="22" t="n"/>
    </row>
    <row r="5327">
      <c r="A5327" s="8" t="inlineStr">
        <is>
          <t>Calculated W - SUM of the Amount column above</t>
        </is>
      </c>
      <c r="B5327" s="9" t="n"/>
      <c r="C5327" s="9" t="n"/>
      <c r="D5327" s="9" t="n"/>
      <c r="E5327" s="9" t="n"/>
      <c r="F5327" s="25">
        <f>SUM(F5319:F5326)</f>
        <v/>
      </c>
      <c r="G5327" s="9" t="n"/>
    </row>
    <row r="5328">
      <c r="A5328" s="26" t="inlineStr">
        <is>
          <t>W as printed in the DAR</t>
        </is>
      </c>
      <c r="B5328" s="22" t="n"/>
      <c r="C5328" s="22" t="n"/>
      <c r="D5328" s="22" t="n"/>
      <c r="E5328" s="22" t="n"/>
      <c r="F5328" s="27" t="n">
        <v>10212.57</v>
      </c>
      <c r="G5328" s="22" t="n"/>
    </row>
    <row r="5329">
      <c r="A5329" s="26" t="inlineStr">
        <is>
          <t>Difference (calculated - printed)</t>
        </is>
      </c>
      <c r="B5329" s="22" t="n"/>
      <c r="C5329" s="22" t="n"/>
      <c r="D5329" s="22" t="n"/>
      <c r="E5329" s="22" t="n"/>
      <c r="F5329" s="27">
        <f>F5327-F5328</f>
        <v/>
      </c>
      <c r="G5329" s="22" t="n"/>
    </row>
    <row r="5330">
      <c r="A5330" s="29" t="inlineStr">
        <is>
          <t>SAY (Rs.) - final DAR rate as printed (fixed value, not computed)</t>
        </is>
      </c>
      <c r="B5330" s="30" t="n"/>
      <c r="C5330" s="30" t="n"/>
      <c r="D5330" s="30" t="n"/>
      <c r="E5330" s="30" t="n"/>
      <c r="F5330" s="31" t="n">
        <v>2277.3</v>
      </c>
      <c r="G5330" s="30" t="n"/>
    </row>
    <row r="5332" ht="105.5" customHeight="1">
      <c r="A5332" s="18" t="inlineStr">
        <is>
          <t>9.161</t>
        </is>
      </c>
      <c r="B5332" s="19" t="inlineStr">
        <is>
          <t>Providing and fixing fire resistant door frame of section 50 x 60 mm on horizontal side &amp; 35 x 60 mm on vertical sides having built in rebate made out of 1.6 mm thick GI sheet ( Zinc coating not less than 120gm/m²) suitable for mounting 120 min Fire Rated Glazed Door Shutters. The frame shall be filled with Mineral wool Insulation having density min 96Kg/m³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t>
        </is>
      </c>
      <c r="C5332" s="20" t="n"/>
      <c r="D5332" s="20" t="n"/>
      <c r="E5332" s="20" t="n"/>
      <c r="F5332" s="20" t="n"/>
      <c r="G5332" s="20" t="n"/>
    </row>
    <row r="5333">
      <c r="A5333" s="21" t="inlineStr">
        <is>
          <t>Details of cost for 5.81 metre   |   Source: CivilDAR_2019_Vol_1.pdf, page 668</t>
        </is>
      </c>
    </row>
    <row r="5334">
      <c r="A5334" s="5" t="inlineStr">
        <is>
          <t>Code</t>
        </is>
      </c>
      <c r="B5334" s="5" t="inlineStr">
        <is>
          <t>Description</t>
        </is>
      </c>
      <c r="C5334" s="5" t="inlineStr">
        <is>
          <t>Unit</t>
        </is>
      </c>
      <c r="D5334" s="5" t="inlineStr">
        <is>
          <t>Quantity</t>
        </is>
      </c>
      <c r="E5334" s="5" t="inlineStr">
        <is>
          <t>Rate (Rs.)</t>
        </is>
      </c>
      <c r="F5334" s="5" t="inlineStr">
        <is>
          <t>Amount (Rs.)</t>
        </is>
      </c>
      <c r="G5334" s="5" t="inlineStr">
        <is>
          <t>Note</t>
        </is>
      </c>
    </row>
    <row r="5335">
      <c r="A5335" s="22" t="inlineStr">
        <is>
          <t>8017</t>
        </is>
      </c>
      <c r="B5335" s="11" t="inlineStr">
        <is>
          <t>Fire Rated door Frame made with 1.6 mm thick G.I. Sheet (120 minutes)</t>
        </is>
      </c>
      <c r="C5335" s="22" t="inlineStr">
        <is>
          <t>metre</t>
        </is>
      </c>
      <c r="D5335" s="23" t="n">
        <v>5.81</v>
      </c>
      <c r="E5335" s="24" t="n">
        <v>1000</v>
      </c>
      <c r="F5335" s="24">
        <f>D5335*E5335</f>
        <v/>
      </c>
      <c r="G5335" s="22" t="n"/>
    </row>
    <row r="5336">
      <c r="A5336" s="22" t="inlineStr">
        <is>
          <t>9999</t>
        </is>
      </c>
      <c r="B5336" s="11" t="inlineStr">
        <is>
          <t>For fixing in position all complete</t>
        </is>
      </c>
      <c r="C5336" s="22" t="inlineStr">
        <is>
          <t>L.S.</t>
        </is>
      </c>
      <c r="D5336" s="23" t="n">
        <v>130</v>
      </c>
      <c r="E5336" s="24" t="n">
        <v>2</v>
      </c>
      <c r="F5336" s="24">
        <f>D5336*E5336</f>
        <v/>
      </c>
      <c r="G5336" s="22" t="n"/>
    </row>
    <row r="5337">
      <c r="A5337" s="22" t="inlineStr">
        <is>
          <t>9999</t>
        </is>
      </c>
      <c r="B5337" s="11" t="inlineStr">
        <is>
          <t>Sundries and carriage ( Fasteners, sims, Hole Plugs etc)</t>
        </is>
      </c>
      <c r="C5337" s="22" t="inlineStr">
        <is>
          <t>L.S.</t>
        </is>
      </c>
      <c r="D5337" s="23" t="n">
        <v>250</v>
      </c>
      <c r="E5337" s="24" t="n">
        <v>2</v>
      </c>
      <c r="F5337" s="24">
        <f>D5337*E5337</f>
        <v/>
      </c>
      <c r="G5337" s="22" t="n"/>
    </row>
    <row r="5338">
      <c r="A5338" s="8" t="inlineStr">
        <is>
          <t>Calculated W - SUM of the Amount column above</t>
        </is>
      </c>
      <c r="B5338" s="9" t="n"/>
      <c r="C5338" s="9" t="n"/>
      <c r="D5338" s="9" t="n"/>
      <c r="E5338" s="9" t="n"/>
      <c r="F5338" s="25">
        <f>SUM(F5335:F5337)</f>
        <v/>
      </c>
      <c r="G5338" s="9" t="n"/>
    </row>
    <row r="5339">
      <c r="A5339" s="26" t="inlineStr">
        <is>
          <t>W as printed in the DAR</t>
        </is>
      </c>
      <c r="B5339" s="22" t="n"/>
      <c r="C5339" s="22" t="n"/>
      <c r="D5339" s="22" t="n"/>
      <c r="E5339" s="22" t="n"/>
      <c r="F5339" s="27" t="n">
        <v>6570</v>
      </c>
      <c r="G5339" s="22" t="n"/>
    </row>
    <row r="5340">
      <c r="A5340" s="26" t="inlineStr">
        <is>
          <t>Difference (calculated - printed)</t>
        </is>
      </c>
      <c r="B5340" s="22" t="n"/>
      <c r="C5340" s="22" t="n"/>
      <c r="D5340" s="22" t="n"/>
      <c r="E5340" s="22" t="n"/>
      <c r="F5340" s="27">
        <f>F5338-F5339</f>
        <v/>
      </c>
      <c r="G5340" s="22" t="n"/>
    </row>
    <row r="5341">
      <c r="A5341" s="29" t="inlineStr">
        <is>
          <t>SAY (Rs.) - final DAR rate as printed (fixed value, not computed)</t>
        </is>
      </c>
      <c r="B5341" s="30" t="n"/>
      <c r="C5341" s="30" t="n"/>
      <c r="D5341" s="30" t="n"/>
      <c r="E5341" s="30" t="n"/>
      <c r="F5341" s="31" t="n">
        <v>1512.95</v>
      </c>
      <c r="G5341" s="30" t="n"/>
    </row>
    <row r="5343" ht="105.5" customHeight="1">
      <c r="A5343" s="18" t="inlineStr">
        <is>
          <t>9.162</t>
        </is>
      </c>
      <c r="B5343" s="19" t="inlineStr">
        <is>
          <t>Providing and fixing 60 mm thick glazed fire resistant door shutters of 120 min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t>
        </is>
      </c>
      <c r="C5343" s="20" t="n"/>
      <c r="D5343" s="20" t="n"/>
      <c r="E5343" s="20" t="n"/>
      <c r="F5343" s="20" t="n"/>
      <c r="G5343" s="20" t="n"/>
    </row>
    <row r="5344">
      <c r="A5344" s="21" t="inlineStr">
        <is>
          <t>Details of cost for 3.5 sqm   |   Source: CivilDAR_2019_Vol_1.pdf, page 668</t>
        </is>
      </c>
    </row>
    <row r="5345">
      <c r="A5345" s="5" t="inlineStr">
        <is>
          <t>Code</t>
        </is>
      </c>
      <c r="B5345" s="5" t="inlineStr">
        <is>
          <t>Description</t>
        </is>
      </c>
      <c r="C5345" s="5" t="inlineStr">
        <is>
          <t>Unit</t>
        </is>
      </c>
      <c r="D5345" s="5" t="inlineStr">
        <is>
          <t>Quantity</t>
        </is>
      </c>
      <c r="E5345" s="5" t="inlineStr">
        <is>
          <t>Rate (Rs.)</t>
        </is>
      </c>
      <c r="F5345" s="5" t="inlineStr">
        <is>
          <t>Amount (Rs.)</t>
        </is>
      </c>
      <c r="G5345" s="5" t="inlineStr">
        <is>
          <t>Note</t>
        </is>
      </c>
    </row>
    <row r="5346">
      <c r="A5346" s="22" t="inlineStr">
        <is>
          <t>8018</t>
        </is>
      </c>
      <c r="B5346" s="11" t="inlineStr">
        <is>
          <t>Fire Rated door shutter made with 1.6 mm thick Sheet (120 minutes), including hinges but without glass panels but including wastages</t>
        </is>
      </c>
      <c r="C5346" s="22" t="inlineStr">
        <is>
          <t>sqm</t>
        </is>
      </c>
      <c r="D5346" s="23" t="n">
        <v>3.5</v>
      </c>
      <c r="E5346" s="24" t="n">
        <v>5000</v>
      </c>
      <c r="F5346" s="24">
        <f>D5346*E5346</f>
        <v/>
      </c>
      <c r="G5346" s="22" t="n"/>
    </row>
    <row r="5347">
      <c r="A5347" s="22" t="inlineStr">
        <is>
          <t>8101</t>
        </is>
      </c>
      <c r="B5347" s="11" t="inlineStr">
        <is>
          <t>Stainless steel ball bearing hinges of size 100x89x3mm</t>
        </is>
      </c>
      <c r="C5347" s="22" t="inlineStr">
        <is>
          <t>each</t>
        </is>
      </c>
      <c r="D5347" s="23" t="n">
        <v>8</v>
      </c>
      <c r="E5347" s="24" t="n">
        <v>450</v>
      </c>
      <c r="F5347" s="24">
        <f>D5347*E5347</f>
        <v/>
      </c>
      <c r="G5347" s="22" t="n"/>
    </row>
    <row r="5348">
      <c r="A5348" s="22" t="inlineStr">
        <is>
          <t>9999</t>
        </is>
      </c>
      <c r="B5348" s="11" t="inlineStr">
        <is>
          <t>For fixing in position all complete</t>
        </is>
      </c>
      <c r="C5348" s="22" t="inlineStr">
        <is>
          <t>L.S.</t>
        </is>
      </c>
      <c r="D5348" s="23" t="n">
        <v>130</v>
      </c>
      <c r="E5348" s="24" t="n">
        <v>2</v>
      </c>
      <c r="F5348" s="24">
        <f>D5348*E5348</f>
        <v/>
      </c>
      <c r="G5348" s="22" t="n"/>
    </row>
    <row r="5349">
      <c r="A5349" s="22" t="inlineStr">
        <is>
          <t>9999</t>
        </is>
      </c>
      <c r="B5349" s="11" t="inlineStr">
        <is>
          <t>Sundries and carriage</t>
        </is>
      </c>
      <c r="C5349" s="22" t="inlineStr">
        <is>
          <t>L.S.</t>
        </is>
      </c>
      <c r="D5349" s="23" t="n">
        <v>280</v>
      </c>
      <c r="E5349" s="24" t="n">
        <v>2</v>
      </c>
      <c r="F5349" s="24">
        <f>D5349*E5349</f>
        <v/>
      </c>
      <c r="G5349" s="22" t="n"/>
    </row>
    <row r="5350">
      <c r="A5350" s="8" t="inlineStr">
        <is>
          <t>Calculated W - SUM of the Amount column above</t>
        </is>
      </c>
      <c r="B5350" s="9" t="n"/>
      <c r="C5350" s="9" t="n"/>
      <c r="D5350" s="9" t="n"/>
      <c r="E5350" s="9" t="n"/>
      <c r="F5350" s="25">
        <f>SUM(F5346:F5349)</f>
        <v/>
      </c>
      <c r="G5350" s="9" t="n"/>
    </row>
    <row r="5351">
      <c r="A5351" s="26" t="inlineStr">
        <is>
          <t>W as printed in the DAR</t>
        </is>
      </c>
      <c r="B5351" s="22" t="n"/>
      <c r="C5351" s="22" t="n"/>
      <c r="D5351" s="22" t="n"/>
      <c r="E5351" s="22" t="n"/>
      <c r="F5351" s="27" t="n">
        <v>21920</v>
      </c>
      <c r="G5351" s="22" t="n"/>
    </row>
    <row r="5352">
      <c r="A5352" s="26" t="inlineStr">
        <is>
          <t>Difference (calculated - printed)</t>
        </is>
      </c>
      <c r="B5352" s="22" t="n"/>
      <c r="C5352" s="22" t="n"/>
      <c r="D5352" s="22" t="n"/>
      <c r="E5352" s="22" t="n"/>
      <c r="F5352" s="27">
        <f>F5350-F5351</f>
        <v/>
      </c>
      <c r="G5352" s="22" t="n"/>
    </row>
    <row r="5353">
      <c r="A5353" s="29" t="inlineStr">
        <is>
          <t>SAY (Rs.) - final DAR rate as printed (fixed value, not computed)</t>
        </is>
      </c>
      <c r="B5353" s="30" t="n"/>
      <c r="C5353" s="30" t="n"/>
      <c r="D5353" s="30" t="n"/>
      <c r="E5353" s="30" t="n"/>
      <c r="F5353" s="31" t="n">
        <v>8379.299999999999</v>
      </c>
      <c r="G5353" s="30" t="n"/>
    </row>
    <row r="5355" ht="105.5" customHeight="1">
      <c r="A5355" s="18" t="inlineStr">
        <is>
          <t>9.163</t>
        </is>
      </c>
      <c r="B5355" s="19" t="inlineStr">
        <is>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 96kg/ m³. and finished with a approved fire resistant primer or Powder coating of not less than 30 micron in desired shade as per NBC 2016, IS 16231 (Part 3):2016 and directions of Engineer - in- charge.</t>
        </is>
      </c>
      <c r="C5355" s="20" t="n"/>
      <c r="D5355" s="20" t="n"/>
      <c r="E5355" s="20" t="n"/>
      <c r="F5355" s="20" t="n"/>
      <c r="G5355" s="20" t="n"/>
    </row>
    <row r="5356">
      <c r="A5356" s="21" t="inlineStr">
        <is>
          <t>Details of cost for 5.81 mtere   |   Source: CivilDAR_2019_Vol_1.pdf, page 669</t>
        </is>
      </c>
    </row>
    <row r="5357">
      <c r="A5357" s="5" t="inlineStr">
        <is>
          <t>Code</t>
        </is>
      </c>
      <c r="B5357" s="5" t="inlineStr">
        <is>
          <t>Description</t>
        </is>
      </c>
      <c r="C5357" s="5" t="inlineStr">
        <is>
          <t>Unit</t>
        </is>
      </c>
      <c r="D5357" s="5" t="inlineStr">
        <is>
          <t>Quantity</t>
        </is>
      </c>
      <c r="E5357" s="5" t="inlineStr">
        <is>
          <t>Rate (Rs.)</t>
        </is>
      </c>
      <c r="F5357" s="5" t="inlineStr">
        <is>
          <t>Amount (Rs.)</t>
        </is>
      </c>
      <c r="G5357" s="5" t="inlineStr">
        <is>
          <t>Note</t>
        </is>
      </c>
    </row>
    <row r="5358">
      <c r="A5358" s="22" t="inlineStr">
        <is>
          <t>8017</t>
        </is>
      </c>
      <c r="B5358" s="11" t="inlineStr">
        <is>
          <t>Fire Rated door Frame made with 1.6 mm thick G.I. Sheet (120 minutes)</t>
        </is>
      </c>
      <c r="C5358" s="22" t="inlineStr">
        <is>
          <t>metre</t>
        </is>
      </c>
      <c r="D5358" s="23" t="n">
        <v>5.81</v>
      </c>
      <c r="E5358" s="24" t="n">
        <v>1000</v>
      </c>
      <c r="F5358" s="24">
        <f>D5358*E5358</f>
        <v/>
      </c>
      <c r="G5358" s="22" t="n"/>
    </row>
    <row r="5359">
      <c r="A5359" s="22" t="inlineStr">
        <is>
          <t>9999</t>
        </is>
      </c>
      <c r="B5359" s="11" t="inlineStr">
        <is>
          <t>For fixing in position all complete</t>
        </is>
      </c>
      <c r="C5359" s="22" t="inlineStr">
        <is>
          <t>L.S.</t>
        </is>
      </c>
      <c r="D5359" s="23" t="n">
        <v>130</v>
      </c>
      <c r="E5359" s="24" t="n">
        <v>2</v>
      </c>
      <c r="F5359" s="24">
        <f>D5359*E5359</f>
        <v/>
      </c>
      <c r="G5359" s="22" t="n"/>
    </row>
    <row r="5360">
      <c r="A5360" s="22" t="inlineStr">
        <is>
          <t>9999</t>
        </is>
      </c>
      <c r="B5360" s="11" t="inlineStr">
        <is>
          <t>Sundries and carriage ( Fasteners, sims, Hole Plugs etc)</t>
        </is>
      </c>
      <c r="C5360" s="22" t="inlineStr">
        <is>
          <t>L.S.</t>
        </is>
      </c>
      <c r="D5360" s="23" t="n">
        <v>250</v>
      </c>
      <c r="E5360" s="24" t="n">
        <v>2</v>
      </c>
      <c r="F5360" s="24">
        <f>D5360*E5360</f>
        <v/>
      </c>
      <c r="G5360" s="22" t="n"/>
    </row>
    <row r="5361">
      <c r="A5361" s="8" t="inlineStr">
        <is>
          <t>Calculated W - SUM of the Amount column above</t>
        </is>
      </c>
      <c r="B5361" s="9" t="n"/>
      <c r="C5361" s="9" t="n"/>
      <c r="D5361" s="9" t="n"/>
      <c r="E5361" s="9" t="n"/>
      <c r="F5361" s="25">
        <f>SUM(F5358:F5360)</f>
        <v/>
      </c>
      <c r="G5361" s="9" t="n"/>
    </row>
    <row r="5362">
      <c r="A5362" s="26" t="inlineStr">
        <is>
          <t>W as printed in the DAR</t>
        </is>
      </c>
      <c r="B5362" s="22" t="n"/>
      <c r="C5362" s="22" t="n"/>
      <c r="D5362" s="22" t="n"/>
      <c r="E5362" s="22" t="n"/>
      <c r="F5362" s="27" t="n">
        <v>6570</v>
      </c>
      <c r="G5362" s="22" t="n"/>
    </row>
    <row r="5363">
      <c r="A5363" s="26" t="inlineStr">
        <is>
          <t>Difference (calculated - printed)</t>
        </is>
      </c>
      <c r="B5363" s="22" t="n"/>
      <c r="C5363" s="22" t="n"/>
      <c r="D5363" s="22" t="n"/>
      <c r="E5363" s="22" t="n"/>
      <c r="F5363" s="27">
        <f>F5361-F5362</f>
        <v/>
      </c>
      <c r="G5363" s="22" t="n"/>
    </row>
    <row r="5364">
      <c r="A5364" s="29" t="inlineStr">
        <is>
          <t>SAY (Rs.) - final DAR rate as printed (fixed value, not computed)</t>
        </is>
      </c>
      <c r="B5364" s="30" t="n"/>
      <c r="C5364" s="30" t="n"/>
      <c r="D5364" s="30" t="n"/>
      <c r="E5364" s="30" t="n"/>
      <c r="F5364" s="31" t="n">
        <v>1512.95</v>
      </c>
      <c r="G5364" s="30" t="n"/>
    </row>
    <row r="5366" ht="120" customHeight="1">
      <c r="A5366" s="18" t="inlineStr">
        <is>
          <t>9.164</t>
        </is>
      </c>
      <c r="B5366" s="19"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t>
        </is>
      </c>
      <c r="C5366" s="20" t="n"/>
      <c r="D5366" s="20" t="n"/>
      <c r="E5366" s="20" t="n"/>
      <c r="F5366" s="20" t="n"/>
      <c r="G5366" s="20" t="n"/>
    </row>
    <row r="5367" ht="18.5" customHeight="1">
      <c r="A5367" s="20" t="n"/>
      <c r="B5367" s="19" t="inlineStr">
        <is>
          <t>NABL accredited</t>
        </is>
      </c>
      <c r="C5367" s="20" t="n"/>
      <c r="D5367" s="20" t="n"/>
      <c r="E5367" s="20" t="n"/>
      <c r="F5367" s="20" t="n"/>
      <c r="G5367" s="20" t="n"/>
    </row>
    <row r="5368">
      <c r="A5368" s="21" t="inlineStr">
        <is>
          <t>Details of cost for 2.46 sqm   |   Source: CivilDAR_2019_Vol_1.pdf, page 670</t>
        </is>
      </c>
    </row>
    <row r="5369">
      <c r="A5369" s="5" t="inlineStr">
        <is>
          <t>Code</t>
        </is>
      </c>
      <c r="B5369" s="5" t="inlineStr">
        <is>
          <t>Description</t>
        </is>
      </c>
      <c r="C5369" s="5" t="inlineStr">
        <is>
          <t>Unit</t>
        </is>
      </c>
      <c r="D5369" s="5" t="inlineStr">
        <is>
          <t>Quantity</t>
        </is>
      </c>
      <c r="E5369" s="5" t="inlineStr">
        <is>
          <t>Rate (Rs.)</t>
        </is>
      </c>
      <c r="F5369" s="5" t="inlineStr">
        <is>
          <t>Amount (Rs.)</t>
        </is>
      </c>
      <c r="G5369" s="5" t="inlineStr">
        <is>
          <t>Note</t>
        </is>
      </c>
    </row>
    <row r="5370">
      <c r="A5370" s="22" t="inlineStr">
        <is>
          <t>2640</t>
        </is>
      </c>
      <c r="B5370" s="11" t="inlineStr">
        <is>
          <t>Glass panes of required thickness having 120 minutes of fire resistance both integrity and radiation control (EW 120) and minimum 20 minutes of Insulation (EI 20)</t>
        </is>
      </c>
      <c r="C5370" s="22" t="inlineStr">
        <is>
          <t>sqm</t>
        </is>
      </c>
      <c r="D5370" s="23" t="n">
        <v>2.46</v>
      </c>
      <c r="E5370" s="24" t="n">
        <v>25000</v>
      </c>
      <c r="F5370" s="24">
        <f>D5370*E5370</f>
        <v/>
      </c>
      <c r="G5370" s="22" t="n"/>
    </row>
    <row r="5371">
      <c r="A5371" s="22" t="inlineStr">
        <is>
          <t>2641</t>
        </is>
      </c>
      <c r="B5371" s="11" t="inlineStr">
        <is>
          <t>G.I. U beading of 1.6 mm thick G.I. Sheet with M4x38mm SS screws</t>
        </is>
      </c>
      <c r="C5371" s="22" t="inlineStr">
        <is>
          <t>metre</t>
        </is>
      </c>
      <c r="D5371" s="23" t="n">
        <v>9.91</v>
      </c>
      <c r="E5371" s="24" t="n">
        <v>245</v>
      </c>
      <c r="F5371" s="24">
        <f>D5371*E5371</f>
        <v/>
      </c>
      <c r="G5371" s="22" t="n"/>
    </row>
    <row r="5372">
      <c r="A5372" s="22" t="inlineStr">
        <is>
          <t>2642</t>
        </is>
      </c>
      <c r="B5372" s="11" t="inlineStr">
        <is>
          <t>Ceramic tape 5x20 mm size</t>
        </is>
      </c>
      <c r="C5372" s="22" t="inlineStr">
        <is>
          <t>metre</t>
        </is>
      </c>
      <c r="D5372" s="23" t="n">
        <v>19.82</v>
      </c>
      <c r="E5372" s="24" t="n">
        <v>410</v>
      </c>
      <c r="F5372" s="24">
        <f>D5372*E5372</f>
        <v/>
      </c>
      <c r="G5372" s="22" t="n"/>
    </row>
    <row r="5373">
      <c r="A5373" s="22" t="inlineStr">
        <is>
          <t>9999</t>
        </is>
      </c>
      <c r="B5373" s="11" t="inlineStr">
        <is>
          <t>For fixing in position all complete</t>
        </is>
      </c>
      <c r="C5373" s="22" t="inlineStr">
        <is>
          <t>L.S.</t>
        </is>
      </c>
      <c r="D5373" s="23" t="n">
        <v>180</v>
      </c>
      <c r="E5373" s="24" t="n">
        <v>2</v>
      </c>
      <c r="F5373" s="24">
        <f>D5373*E5373</f>
        <v/>
      </c>
      <c r="G5373" s="22" t="n"/>
    </row>
    <row r="5374">
      <c r="A5374" s="22" t="inlineStr">
        <is>
          <t>9999</t>
        </is>
      </c>
      <c r="B5374" s="11" t="inlineStr">
        <is>
          <t>Sundries and carriage &amp; Calcium Silicate Blocks</t>
        </is>
      </c>
      <c r="C5374" s="22" t="inlineStr">
        <is>
          <t>L.S.</t>
        </is>
      </c>
      <c r="D5374" s="23" t="n">
        <v>10</v>
      </c>
      <c r="E5374" s="24" t="n">
        <v>2</v>
      </c>
      <c r="F5374" s="24">
        <f>D5374*E5374</f>
        <v/>
      </c>
      <c r="G5374" s="22" t="n"/>
    </row>
    <row r="5375">
      <c r="A5375" s="8" t="inlineStr">
        <is>
          <t>Calculated W - SUM of the Amount column above</t>
        </is>
      </c>
      <c r="B5375" s="9" t="n"/>
      <c r="C5375" s="9" t="n"/>
      <c r="D5375" s="9" t="n"/>
      <c r="E5375" s="9" t="n"/>
      <c r="F5375" s="25">
        <f>SUM(F5370:F5374)</f>
        <v/>
      </c>
      <c r="G5375" s="9" t="n"/>
    </row>
    <row r="5376">
      <c r="A5376" s="26" t="inlineStr">
        <is>
          <t>W as printed in the DAR</t>
        </is>
      </c>
      <c r="B5376" s="22" t="n"/>
      <c r="C5376" s="22" t="n"/>
      <c r="D5376" s="22" t="n"/>
      <c r="E5376" s="22" t="n"/>
      <c r="F5376" s="27" t="n">
        <v>72434.14999999999</v>
      </c>
      <c r="G5376" s="22" t="n"/>
    </row>
    <row r="5377">
      <c r="A5377" s="26" t="inlineStr">
        <is>
          <t>Difference (calculated - printed)</t>
        </is>
      </c>
      <c r="B5377" s="22" t="n"/>
      <c r="C5377" s="22" t="n"/>
      <c r="D5377" s="22" t="n"/>
      <c r="E5377" s="22" t="n"/>
      <c r="F5377" s="27">
        <f>F5375-F5376</f>
        <v/>
      </c>
      <c r="G5377" s="22" t="n"/>
    </row>
    <row r="5378">
      <c r="A5378" s="29" t="inlineStr">
        <is>
          <t>SAY (Rs.) - final DAR rate as printed (fixed value, not computed)</t>
        </is>
      </c>
      <c r="B5378" s="30" t="n"/>
      <c r="C5378" s="30" t="n"/>
      <c r="D5378" s="30" t="n"/>
      <c r="E5378" s="30" t="n"/>
      <c r="F5378" s="31" t="n">
        <v>39395.3</v>
      </c>
      <c r="G5378" s="30" t="n"/>
    </row>
    <row r="5380" ht="33" customHeight="1">
      <c r="A5380" s="8" t="inlineStr">
        <is>
          <t>9.165</t>
        </is>
      </c>
      <c r="B5380" s="17" t="inlineStr">
        <is>
          <t>Providing and fixing bright /matt finished Stainless Steel handles of approved quality &amp; make with necessary screws etc all complete.</t>
        </is>
      </c>
      <c r="C5380" s="9" t="n"/>
      <c r="D5380" s="9" t="n"/>
      <c r="E5380" s="9" t="n"/>
      <c r="F5380" s="9" t="n"/>
      <c r="G5380" s="9" t="n"/>
    </row>
    <row r="5381" ht="18.5" customHeight="1">
      <c r="A5381" s="18" t="inlineStr">
        <is>
          <t>9.165.1</t>
        </is>
      </c>
      <c r="B5381" s="19" t="inlineStr">
        <is>
          <t>125 mm</t>
        </is>
      </c>
      <c r="C5381" s="20" t="n"/>
      <c r="D5381" s="20" t="n"/>
      <c r="E5381" s="20" t="n"/>
      <c r="F5381" s="20" t="n"/>
      <c r="G5381" s="20" t="n"/>
    </row>
    <row r="5382">
      <c r="A5382" s="21" t="inlineStr">
        <is>
          <t>Details of cost for 10 nos   |   Source: CivilDAR_2019_Vol_1.pdf, page 671</t>
        </is>
      </c>
    </row>
    <row r="5383">
      <c r="A5383" s="5" t="inlineStr">
        <is>
          <t>Code</t>
        </is>
      </c>
      <c r="B5383" s="5" t="inlineStr">
        <is>
          <t>Description</t>
        </is>
      </c>
      <c r="C5383" s="5" t="inlineStr">
        <is>
          <t>Unit</t>
        </is>
      </c>
      <c r="D5383" s="5" t="inlineStr">
        <is>
          <t>Quantity</t>
        </is>
      </c>
      <c r="E5383" s="5" t="inlineStr">
        <is>
          <t>Rate (Rs.)</t>
        </is>
      </c>
      <c r="F5383" s="5" t="inlineStr">
        <is>
          <t>Amount (Rs.)</t>
        </is>
      </c>
      <c r="G5383" s="5" t="inlineStr">
        <is>
          <t>Note</t>
        </is>
      </c>
    </row>
    <row r="5384">
      <c r="A5384" s="22" t="inlineStr">
        <is>
          <t>0554</t>
        </is>
      </c>
      <c r="B5384" s="11" t="inlineStr">
        <is>
          <t>Stainless steel fancy handles (125mm) for kitchen cabinet</t>
        </is>
      </c>
      <c r="C5384" s="22" t="inlineStr">
        <is>
          <t>10 Nos</t>
        </is>
      </c>
      <c r="D5384" s="23" t="n">
        <v>1</v>
      </c>
      <c r="E5384" s="24" t="n">
        <v>640</v>
      </c>
      <c r="F5384" s="24">
        <f>D5384*E5384</f>
        <v/>
      </c>
      <c r="G5384" s="22" t="n"/>
    </row>
    <row r="5385">
      <c r="A5385" s="22" t="inlineStr">
        <is>
          <t>8214</t>
        </is>
      </c>
      <c r="B5385" s="11" t="inlineStr">
        <is>
          <t>SS screws 20mm</t>
        </is>
      </c>
      <c r="C5385" s="22" t="inlineStr">
        <is>
          <t>100 Nos.</t>
        </is>
      </c>
      <c r="D5385" s="23" t="n">
        <v>0.4</v>
      </c>
      <c r="E5385" s="24" t="n">
        <v>125</v>
      </c>
      <c r="F5385" s="24">
        <f>D5385*E5385</f>
        <v/>
      </c>
      <c r="G5385" s="22" t="n"/>
    </row>
    <row r="5386">
      <c r="A5386" s="22" t="inlineStr">
        <is>
          <t>9999</t>
        </is>
      </c>
      <c r="B5386" s="11" t="inlineStr">
        <is>
          <t>Carriage of material</t>
        </is>
      </c>
      <c r="C5386" s="22" t="inlineStr">
        <is>
          <t>LS</t>
        </is>
      </c>
      <c r="D5386" s="23" t="n">
        <v>1.82</v>
      </c>
      <c r="E5386" s="24" t="n">
        <v>2</v>
      </c>
      <c r="F5386" s="24">
        <f>D5386*E5386</f>
        <v/>
      </c>
      <c r="G5386" s="22" t="n"/>
    </row>
    <row r="5387">
      <c r="A5387" s="22" t="inlineStr">
        <is>
          <t>0111</t>
        </is>
      </c>
      <c r="B5387" s="11" t="inlineStr">
        <is>
          <t>Carpenter 1st class</t>
        </is>
      </c>
      <c r="C5387" s="22" t="inlineStr">
        <is>
          <t>day</t>
        </is>
      </c>
      <c r="D5387" s="23" t="n">
        <v>0.06</v>
      </c>
      <c r="E5387" s="24" t="n">
        <v>738</v>
      </c>
      <c r="F5387" s="24">
        <f>D5387*E5387</f>
        <v/>
      </c>
      <c r="G5387" s="22" t="n"/>
    </row>
    <row r="5388">
      <c r="A5388" s="8" t="inlineStr">
        <is>
          <t>Calculated W - SUM of the Amount column above</t>
        </is>
      </c>
      <c r="B5388" s="9" t="n"/>
      <c r="C5388" s="9" t="n"/>
      <c r="D5388" s="9" t="n"/>
      <c r="E5388" s="9" t="n"/>
      <c r="F5388" s="25">
        <f>SUM(F5384:F5387)</f>
        <v/>
      </c>
      <c r="G5388" s="9" t="n"/>
    </row>
    <row r="5389">
      <c r="A5389" s="26" t="inlineStr">
        <is>
          <t>W as printed in the DAR</t>
        </is>
      </c>
      <c r="B5389" s="22" t="n"/>
      <c r="C5389" s="22" t="n"/>
      <c r="D5389" s="22" t="n"/>
      <c r="E5389" s="22" t="n"/>
      <c r="F5389" s="27" t="n">
        <v>737.92</v>
      </c>
      <c r="G5389" s="22" t="n"/>
    </row>
    <row r="5390">
      <c r="A5390" s="26" t="inlineStr">
        <is>
          <t>Difference (calculated - printed)</t>
        </is>
      </c>
      <c r="B5390" s="22" t="n"/>
      <c r="C5390" s="22" t="n"/>
      <c r="D5390" s="22" t="n"/>
      <c r="E5390" s="22" t="n"/>
      <c r="F5390" s="27">
        <f>F5388-F5389</f>
        <v/>
      </c>
      <c r="G5390" s="22" t="n"/>
    </row>
    <row r="5391">
      <c r="A5391" s="29" t="inlineStr">
        <is>
          <t>SAY (Rs.) - final DAR rate as printed (fixed value, not computed)</t>
        </is>
      </c>
      <c r="B5391" s="30" t="n"/>
      <c r="C5391" s="30" t="n"/>
      <c r="D5391" s="30" t="n"/>
      <c r="E5391" s="30" t="n"/>
      <c r="F5391" s="31" t="n">
        <v>98.75</v>
      </c>
      <c r="G5391" s="30" t="n"/>
    </row>
    <row r="5393" ht="33" customHeight="1">
      <c r="A5393" s="8" t="inlineStr">
        <is>
          <t>9.165</t>
        </is>
      </c>
      <c r="B5393" s="17" t="inlineStr">
        <is>
          <t>Providing and fixing bright /matt finished Stainless Steel handles of approved quality &amp; make with necessary screws etc all complete.</t>
        </is>
      </c>
      <c r="C5393" s="9" t="n"/>
      <c r="D5393" s="9" t="n"/>
      <c r="E5393" s="9" t="n"/>
      <c r="F5393" s="9" t="n"/>
      <c r="G5393" s="9" t="n"/>
    </row>
    <row r="5394" ht="18.5" customHeight="1">
      <c r="A5394" s="18" t="inlineStr">
        <is>
          <t>9.165.2</t>
        </is>
      </c>
      <c r="B5394" s="19" t="inlineStr">
        <is>
          <t>100mm</t>
        </is>
      </c>
      <c r="C5394" s="20" t="n"/>
      <c r="D5394" s="20" t="n"/>
      <c r="E5394" s="20" t="n"/>
      <c r="F5394" s="20" t="n"/>
      <c r="G5394" s="20" t="n"/>
    </row>
    <row r="5395">
      <c r="A5395" s="21" t="inlineStr">
        <is>
          <t>Details of cost for 10 nos   |   Source: CivilDAR_2019_Vol_1.pdf, page 671</t>
        </is>
      </c>
    </row>
    <row r="5396">
      <c r="A5396" s="5" t="inlineStr">
        <is>
          <t>Code</t>
        </is>
      </c>
      <c r="B5396" s="5" t="inlineStr">
        <is>
          <t>Description</t>
        </is>
      </c>
      <c r="C5396" s="5" t="inlineStr">
        <is>
          <t>Unit</t>
        </is>
      </c>
      <c r="D5396" s="5" t="inlineStr">
        <is>
          <t>Quantity</t>
        </is>
      </c>
      <c r="E5396" s="5" t="inlineStr">
        <is>
          <t>Rate (Rs.)</t>
        </is>
      </c>
      <c r="F5396" s="5" t="inlineStr">
        <is>
          <t>Amount (Rs.)</t>
        </is>
      </c>
      <c r="G5396" s="5" t="inlineStr">
        <is>
          <t>Note</t>
        </is>
      </c>
    </row>
    <row r="5397">
      <c r="A5397" s="22" t="inlineStr">
        <is>
          <t>0553</t>
        </is>
      </c>
      <c r="B5397" s="11" t="inlineStr">
        <is>
          <t>Stainless steel fancy handles (100 mm) for kitchen cabinet</t>
        </is>
      </c>
      <c r="C5397" s="22" t="inlineStr">
        <is>
          <t>10 Nos</t>
        </is>
      </c>
      <c r="D5397" s="23" t="n">
        <v>1</v>
      </c>
      <c r="E5397" s="24" t="n">
        <v>455</v>
      </c>
      <c r="F5397" s="24">
        <f>D5397*E5397</f>
        <v/>
      </c>
      <c r="G5397" s="22" t="n"/>
    </row>
    <row r="5398">
      <c r="A5398" s="22" t="inlineStr">
        <is>
          <t>8214</t>
        </is>
      </c>
      <c r="B5398" s="11" t="inlineStr">
        <is>
          <t>SS screws 20mm</t>
        </is>
      </c>
      <c r="C5398" s="22" t="inlineStr">
        <is>
          <t>100 Nos.</t>
        </is>
      </c>
      <c r="D5398" s="23" t="n">
        <v>0.4</v>
      </c>
      <c r="E5398" s="24" t="n">
        <v>125</v>
      </c>
      <c r="F5398" s="24">
        <f>D5398*E5398</f>
        <v/>
      </c>
      <c r="G5398" s="22" t="n"/>
    </row>
    <row r="5399">
      <c r="A5399" s="22" t="inlineStr">
        <is>
          <t>9999</t>
        </is>
      </c>
      <c r="B5399" s="11" t="inlineStr">
        <is>
          <t>Carriage of material</t>
        </is>
      </c>
      <c r="C5399" s="22" t="inlineStr">
        <is>
          <t>LS</t>
        </is>
      </c>
      <c r="D5399" s="23" t="n">
        <v>1.82</v>
      </c>
      <c r="E5399" s="24" t="n">
        <v>2</v>
      </c>
      <c r="F5399" s="24">
        <f>D5399*E5399</f>
        <v/>
      </c>
      <c r="G5399" s="22" t="n"/>
    </row>
    <row r="5400">
      <c r="A5400" s="22" t="inlineStr">
        <is>
          <t>0111</t>
        </is>
      </c>
      <c r="B5400" s="11" t="inlineStr">
        <is>
          <t>Carpenter 1st class</t>
        </is>
      </c>
      <c r="C5400" s="22" t="inlineStr">
        <is>
          <t>day</t>
        </is>
      </c>
      <c r="D5400" s="23" t="n">
        <v>0.06</v>
      </c>
      <c r="E5400" s="24" t="n">
        <v>738</v>
      </c>
      <c r="F5400" s="24">
        <f>D5400*E5400</f>
        <v/>
      </c>
      <c r="G5400" s="22" t="n"/>
    </row>
    <row r="5401">
      <c r="A5401" s="8" t="inlineStr">
        <is>
          <t>Calculated W - SUM of the Amount column above</t>
        </is>
      </c>
      <c r="B5401" s="9" t="n"/>
      <c r="C5401" s="9" t="n"/>
      <c r="D5401" s="9" t="n"/>
      <c r="E5401" s="9" t="n"/>
      <c r="F5401" s="25">
        <f>SUM(F5397:F5400)</f>
        <v/>
      </c>
      <c r="G5401" s="9" t="n"/>
    </row>
    <row r="5402">
      <c r="A5402" s="26" t="inlineStr">
        <is>
          <t>W as printed in the DAR</t>
        </is>
      </c>
      <c r="B5402" s="22" t="n"/>
      <c r="C5402" s="22" t="n"/>
      <c r="D5402" s="22" t="n"/>
      <c r="E5402" s="22" t="n"/>
      <c r="F5402" s="27" t="n">
        <v>552.92</v>
      </c>
      <c r="G5402" s="22" t="n"/>
    </row>
    <row r="5403">
      <c r="A5403" s="26" t="inlineStr">
        <is>
          <t>Difference (calculated - printed)</t>
        </is>
      </c>
      <c r="B5403" s="22" t="n"/>
      <c r="C5403" s="22" t="n"/>
      <c r="D5403" s="22" t="n"/>
      <c r="E5403" s="22" t="n"/>
      <c r="F5403" s="27">
        <f>F5401-F5402</f>
        <v/>
      </c>
      <c r="G5403" s="22" t="n"/>
    </row>
    <row r="5404">
      <c r="A5404" s="29" t="inlineStr">
        <is>
          <t>SAY (Rs.) - final DAR rate as printed (fixed value, not computed)</t>
        </is>
      </c>
      <c r="B5404" s="30" t="n"/>
      <c r="C5404" s="30" t="n"/>
      <c r="D5404" s="30" t="n"/>
      <c r="E5404" s="30" t="n"/>
      <c r="F5404" s="31" t="n">
        <v>74</v>
      </c>
      <c r="G5404" s="30" t="n"/>
    </row>
    <row r="5406" ht="33" customHeight="1">
      <c r="A5406" s="8" t="inlineStr">
        <is>
          <t>9.165</t>
        </is>
      </c>
      <c r="B5406" s="17" t="inlineStr">
        <is>
          <t>Providing and fixing bright /matt finished Stainless Steel handles of approved quality &amp; make with necessary screws etc all complete.</t>
        </is>
      </c>
      <c r="C5406" s="9" t="n"/>
      <c r="D5406" s="9" t="n"/>
      <c r="E5406" s="9" t="n"/>
      <c r="F5406" s="9" t="n"/>
      <c r="G5406" s="9" t="n"/>
    </row>
    <row r="5407" ht="18.5" customHeight="1">
      <c r="A5407" s="18" t="inlineStr">
        <is>
          <t>9.165.3</t>
        </is>
      </c>
      <c r="B5407" s="19" t="inlineStr">
        <is>
          <t>75 mm</t>
        </is>
      </c>
      <c r="C5407" s="20" t="n"/>
      <c r="D5407" s="20" t="n"/>
      <c r="E5407" s="20" t="n"/>
      <c r="F5407" s="20" t="n"/>
      <c r="G5407" s="20" t="n"/>
    </row>
    <row r="5408">
      <c r="A5408" s="21" t="inlineStr">
        <is>
          <t>Details of cost for 10 nos   |   Source: CivilDAR_2019_Vol_1.pdf, page 672</t>
        </is>
      </c>
    </row>
    <row r="5409">
      <c r="A5409" s="5" t="inlineStr">
        <is>
          <t>Code</t>
        </is>
      </c>
      <c r="B5409" s="5" t="inlineStr">
        <is>
          <t>Description</t>
        </is>
      </c>
      <c r="C5409" s="5" t="inlineStr">
        <is>
          <t>Unit</t>
        </is>
      </c>
      <c r="D5409" s="5" t="inlineStr">
        <is>
          <t>Quantity</t>
        </is>
      </c>
      <c r="E5409" s="5" t="inlineStr">
        <is>
          <t>Rate (Rs.)</t>
        </is>
      </c>
      <c r="F5409" s="5" t="inlineStr">
        <is>
          <t>Amount (Rs.)</t>
        </is>
      </c>
      <c r="G5409" s="5" t="inlineStr">
        <is>
          <t>Note</t>
        </is>
      </c>
    </row>
    <row r="5410">
      <c r="A5410" s="22" t="inlineStr">
        <is>
          <t>0552</t>
        </is>
      </c>
      <c r="B5410" s="11" t="inlineStr">
        <is>
          <t>Stainless steel fancy handles (75mm) for kitchen cabinet</t>
        </is>
      </c>
      <c r="C5410" s="22" t="inlineStr">
        <is>
          <t>10 Nos</t>
        </is>
      </c>
      <c r="D5410" s="23" t="n">
        <v>1</v>
      </c>
      <c r="E5410" s="24" t="n">
        <v>255</v>
      </c>
      <c r="F5410" s="24">
        <f>D5410*E5410</f>
        <v/>
      </c>
      <c r="G5410" s="22" t="n"/>
    </row>
    <row r="5411">
      <c r="A5411" s="22" t="inlineStr">
        <is>
          <t>8214</t>
        </is>
      </c>
      <c r="B5411" s="11" t="inlineStr">
        <is>
          <t>SS screws 20mm</t>
        </is>
      </c>
      <c r="C5411" s="22" t="inlineStr">
        <is>
          <t>100 Nos.</t>
        </is>
      </c>
      <c r="D5411" s="23" t="n">
        <v>0.4</v>
      </c>
      <c r="E5411" s="24" t="n">
        <v>125</v>
      </c>
      <c r="F5411" s="24">
        <f>D5411*E5411</f>
        <v/>
      </c>
      <c r="G5411" s="22" t="n"/>
    </row>
    <row r="5412">
      <c r="A5412" s="22" t="inlineStr">
        <is>
          <t>9999</t>
        </is>
      </c>
      <c r="B5412" s="11" t="inlineStr">
        <is>
          <t>Carriage of material</t>
        </is>
      </c>
      <c r="C5412" s="22" t="inlineStr">
        <is>
          <t>LS</t>
        </is>
      </c>
      <c r="D5412" s="23" t="n">
        <v>1.82</v>
      </c>
      <c r="E5412" s="24" t="n">
        <v>2</v>
      </c>
      <c r="F5412" s="24">
        <f>D5412*E5412</f>
        <v/>
      </c>
      <c r="G5412" s="22" t="n"/>
    </row>
    <row r="5413">
      <c r="A5413" s="22" t="inlineStr">
        <is>
          <t>0111</t>
        </is>
      </c>
      <c r="B5413" s="11" t="inlineStr">
        <is>
          <t>Carpenter 1st class</t>
        </is>
      </c>
      <c r="C5413" s="22" t="inlineStr">
        <is>
          <t>day</t>
        </is>
      </c>
      <c r="D5413" s="23" t="n">
        <v>0.06</v>
      </c>
      <c r="E5413" s="24" t="n">
        <v>738</v>
      </c>
      <c r="F5413" s="24">
        <f>D5413*E5413</f>
        <v/>
      </c>
      <c r="G5413" s="22" t="n"/>
    </row>
    <row r="5414">
      <c r="A5414" s="8" t="inlineStr">
        <is>
          <t>Calculated W - SUM of the Amount column above</t>
        </is>
      </c>
      <c r="B5414" s="9" t="n"/>
      <c r="C5414" s="9" t="n"/>
      <c r="D5414" s="9" t="n"/>
      <c r="E5414" s="9" t="n"/>
      <c r="F5414" s="25">
        <f>SUM(F5410:F5413)</f>
        <v/>
      </c>
      <c r="G5414" s="9" t="n"/>
    </row>
    <row r="5415">
      <c r="A5415" s="26" t="inlineStr">
        <is>
          <t>W as printed in the DAR</t>
        </is>
      </c>
      <c r="B5415" s="22" t="n"/>
      <c r="C5415" s="22" t="n"/>
      <c r="D5415" s="22" t="n"/>
      <c r="E5415" s="22" t="n"/>
      <c r="F5415" s="27" t="n">
        <v>352.92</v>
      </c>
      <c r="G5415" s="22" t="n"/>
    </row>
    <row r="5416">
      <c r="A5416" s="26" t="inlineStr">
        <is>
          <t>Difference (calculated - printed)</t>
        </is>
      </c>
      <c r="B5416" s="22" t="n"/>
      <c r="C5416" s="22" t="n"/>
      <c r="D5416" s="22" t="n"/>
      <c r="E5416" s="22" t="n"/>
      <c r="F5416" s="27">
        <f>F5414-F5415</f>
        <v/>
      </c>
      <c r="G5416" s="22" t="n"/>
    </row>
    <row r="5417">
      <c r="A5417" s="29" t="inlineStr">
        <is>
          <t>SAY (Rs.) - final DAR rate as printed (fixed value, not computed)</t>
        </is>
      </c>
      <c r="B5417" s="30" t="n"/>
      <c r="C5417" s="30" t="n"/>
      <c r="D5417" s="30" t="n"/>
      <c r="E5417" s="30" t="n"/>
      <c r="F5417" s="31" t="n">
        <v>47.2</v>
      </c>
      <c r="G5417" s="30" t="n"/>
    </row>
  </sheetData>
  <mergeCells count="2528">
    <mergeCell ref="A4187:E4187"/>
    <mergeCell ref="A3432:E3432"/>
    <mergeCell ref="B3704:G3704"/>
    <mergeCell ref="A4309:E4309"/>
    <mergeCell ref="A4485:E4485"/>
    <mergeCell ref="A852:G852"/>
    <mergeCell ref="A3888:E3888"/>
    <mergeCell ref="A5248:E5248"/>
    <mergeCell ref="A765:G765"/>
    <mergeCell ref="A3163:E3163"/>
    <mergeCell ref="A2700:E2700"/>
    <mergeCell ref="A1221:G1221"/>
    <mergeCell ref="B2371:G2371"/>
    <mergeCell ref="B4614:G4614"/>
    <mergeCell ref="A727:E727"/>
    <mergeCell ref="B1944:G1944"/>
    <mergeCell ref="B2066:G2066"/>
    <mergeCell ref="A640:E640"/>
    <mergeCell ref="A3915:E3915"/>
    <mergeCell ref="A4213:E4213"/>
    <mergeCell ref="A1236:E1236"/>
    <mergeCell ref="A3458:E3458"/>
    <mergeCell ref="B3127:G3127"/>
    <mergeCell ref="A3189:E3189"/>
    <mergeCell ref="A1238:E1238"/>
    <mergeCell ref="A3460:E3460"/>
    <mergeCell ref="A2726:E2726"/>
    <mergeCell ref="B5239:G5239"/>
    <mergeCell ref="A3026:E3026"/>
    <mergeCell ref="A941:E941"/>
    <mergeCell ref="B4784:G4784"/>
    <mergeCell ref="A2913:G2913"/>
    <mergeCell ref="B297:G297"/>
    <mergeCell ref="A3814:E3814"/>
    <mergeCell ref="A3665:G3665"/>
    <mergeCell ref="A5296:E5296"/>
    <mergeCell ref="A4541:E4541"/>
    <mergeCell ref="A2483:G2483"/>
    <mergeCell ref="A1841:E1841"/>
    <mergeCell ref="B1667:G1667"/>
    <mergeCell ref="A4355:E4355"/>
    <mergeCell ref="A2270:E2270"/>
    <mergeCell ref="B3058:G3058"/>
    <mergeCell ref="A5024:G5024"/>
    <mergeCell ref="A2568:E2568"/>
    <mergeCell ref="B1026:G1026"/>
    <mergeCell ref="B2079:G2079"/>
    <mergeCell ref="A5327:E5327"/>
    <mergeCell ref="B3030:G3030"/>
    <mergeCell ref="A1843:E1843"/>
    <mergeCell ref="B2753:G2753"/>
    <mergeCell ref="A3173:E3173"/>
    <mergeCell ref="A1751:G1751"/>
    <mergeCell ref="B599:G599"/>
    <mergeCell ref="A1380:E1380"/>
    <mergeCell ref="A625:E625"/>
    <mergeCell ref="A2570:E2570"/>
    <mergeCell ref="B1028:G1028"/>
    <mergeCell ref="B3140:G3140"/>
    <mergeCell ref="A2352:E2352"/>
    <mergeCell ref="A4259:E4259"/>
    <mergeCell ref="A3525:E3525"/>
    <mergeCell ref="A5328:E5328"/>
    <mergeCell ref="A654:E654"/>
    <mergeCell ref="A4567:E4567"/>
    <mergeCell ref="B325:G325"/>
    <mergeCell ref="A4895:E4895"/>
    <mergeCell ref="A4140:E4140"/>
    <mergeCell ref="A2951:G2951"/>
    <mergeCell ref="A2196:G2196"/>
    <mergeCell ref="A4439:G4439"/>
    <mergeCell ref="A3095:E3095"/>
    <mergeCell ref="A4285:E4285"/>
    <mergeCell ref="B5195:G5195"/>
    <mergeCell ref="A801:E801"/>
    <mergeCell ref="A40:E40"/>
    <mergeCell ref="B195:G195"/>
    <mergeCell ref="A67:E67"/>
    <mergeCell ref="A3980:E3980"/>
    <mergeCell ref="A2799:E2799"/>
    <mergeCell ref="A2581:E2581"/>
    <mergeCell ref="A3097:E3097"/>
    <mergeCell ref="A1310:E1310"/>
    <mergeCell ref="A5340:E5340"/>
    <mergeCell ref="A4950:G4950"/>
    <mergeCell ref="A3553:E3553"/>
    <mergeCell ref="A707:E707"/>
    <mergeCell ref="A2037:E2037"/>
    <mergeCell ref="B495:G495"/>
    <mergeCell ref="A3982:E3982"/>
    <mergeCell ref="B2440:G2440"/>
    <mergeCell ref="A1312:E1312"/>
    <mergeCell ref="A2977:G2977"/>
    <mergeCell ref="A4587:E4587"/>
    <mergeCell ref="A1917:G1917"/>
    <mergeCell ref="A5341:E5341"/>
    <mergeCell ref="A3250:E3250"/>
    <mergeCell ref="B338:G338"/>
    <mergeCell ref="A3706:G3706"/>
    <mergeCell ref="A5395:G5395"/>
    <mergeCell ref="A3237:E3237"/>
    <mergeCell ref="A2209:G2209"/>
    <mergeCell ref="B978:G978"/>
    <mergeCell ref="A4970:E4970"/>
    <mergeCell ref="A1757:E1757"/>
    <mergeCell ref="B4612:G4612"/>
    <mergeCell ref="A725:E725"/>
    <mergeCell ref="A1023:E1023"/>
    <mergeCell ref="B5208:G5208"/>
    <mergeCell ref="A3908:G3908"/>
    <mergeCell ref="A3149:E3149"/>
    <mergeCell ref="A2505:E2505"/>
    <mergeCell ref="A420:E420"/>
    <mergeCell ref="A4211:E4211"/>
    <mergeCell ref="A1786:E1786"/>
    <mergeCell ref="B366:G366"/>
    <mergeCell ref="A2215:E2215"/>
    <mergeCell ref="A2878:G2878"/>
    <mergeCell ref="A3566:E3566"/>
    <mergeCell ref="A726:E726"/>
    <mergeCell ref="B210:G210"/>
    <mergeCell ref="A3485:E3485"/>
    <mergeCell ref="A1910:E1910"/>
    <mergeCell ref="A4212:E4212"/>
    <mergeCell ref="A5265:E5265"/>
    <mergeCell ref="A3630:G3630"/>
    <mergeCell ref="A1478:E1478"/>
    <mergeCell ref="B1750:G1750"/>
    <mergeCell ref="A1812:E1812"/>
    <mergeCell ref="A448:E448"/>
    <mergeCell ref="A746:E746"/>
    <mergeCell ref="A2137:E2137"/>
    <mergeCell ref="A2112:E2112"/>
    <mergeCell ref="A27:E27"/>
    <mergeCell ref="A2435:E2435"/>
    <mergeCell ref="A4380:E4380"/>
    <mergeCell ref="A3625:E3625"/>
    <mergeCell ref="B4168:G4168"/>
    <mergeCell ref="B3267:G3267"/>
    <mergeCell ref="A2139:E2139"/>
    <mergeCell ref="A5414:E5414"/>
    <mergeCell ref="A2437:E2437"/>
    <mergeCell ref="A4382:E4382"/>
    <mergeCell ref="A2735:E2735"/>
    <mergeCell ref="A3627:E3627"/>
    <mergeCell ref="A1861:G1861"/>
    <mergeCell ref="A3200:E3200"/>
    <mergeCell ref="B4924:G4924"/>
    <mergeCell ref="B3596:G3596"/>
    <mergeCell ref="A74:G74"/>
    <mergeCell ref="A3498:E3498"/>
    <mergeCell ref="A2737:E2737"/>
    <mergeCell ref="A893:E893"/>
    <mergeCell ref="B1048:G1048"/>
    <mergeCell ref="B1681:G1681"/>
    <mergeCell ref="A2895:E2895"/>
    <mergeCell ref="A4831:G4831"/>
    <mergeCell ref="A2289:G2289"/>
    <mergeCell ref="B323:G323"/>
    <mergeCell ref="A2592:E2592"/>
    <mergeCell ref="B2864:G2864"/>
    <mergeCell ref="A3637:E3637"/>
    <mergeCell ref="A3224:E3224"/>
    <mergeCell ref="A2165:E2165"/>
    <mergeCell ref="A3040:E3040"/>
    <mergeCell ref="A2919:E2919"/>
    <mergeCell ref="A2884:E2884"/>
    <mergeCell ref="A3226:E3226"/>
    <mergeCell ref="A2465:E2465"/>
    <mergeCell ref="A2150:E2150"/>
    <mergeCell ref="A363:E363"/>
    <mergeCell ref="A2579:E2579"/>
    <mergeCell ref="A2166:E2166"/>
    <mergeCell ref="A5338:E5338"/>
    <mergeCell ref="A3526:E3526"/>
    <mergeCell ref="A5033:E5033"/>
    <mergeCell ref="A3491:G3491"/>
    <mergeCell ref="A2151:E2151"/>
    <mergeCell ref="A1092:E1092"/>
    <mergeCell ref="A5339:E5339"/>
    <mergeCell ref="B763:G763"/>
    <mergeCell ref="A4307:E4307"/>
    <mergeCell ref="A4036:G4036"/>
    <mergeCell ref="B1097:G1097"/>
    <mergeCell ref="B1735:G1735"/>
    <mergeCell ref="A5182:G5182"/>
    <mergeCell ref="B1395:G1395"/>
    <mergeCell ref="A2176:E2176"/>
    <mergeCell ref="A389:E389"/>
    <mergeCell ref="A4002:G4002"/>
    <mergeCell ref="B2877:G2877"/>
    <mergeCell ref="B792:G792"/>
    <mergeCell ref="B1818:G1818"/>
    <mergeCell ref="A818:E818"/>
    <mergeCell ref="B31:G31"/>
    <mergeCell ref="A2178:E2178"/>
    <mergeCell ref="B1695:G1695"/>
    <mergeCell ref="A391:E391"/>
    <mergeCell ref="B3517:G3517"/>
    <mergeCell ref="A1118:E1118"/>
    <mergeCell ref="A3264:E3264"/>
    <mergeCell ref="A4333:E4333"/>
    <mergeCell ref="B2791:G2791"/>
    <mergeCell ref="A2204:E2204"/>
    <mergeCell ref="A2179:E2179"/>
    <mergeCell ref="A4447:E4447"/>
    <mergeCell ref="B178:G178"/>
    <mergeCell ref="A3573:G3573"/>
    <mergeCell ref="A5350:E5350"/>
    <mergeCell ref="A3265:E3265"/>
    <mergeCell ref="B1448:G1448"/>
    <mergeCell ref="B2509:G2509"/>
    <mergeCell ref="A3290:E3290"/>
    <mergeCell ref="A1593:E1593"/>
    <mergeCell ref="A4478:G4478"/>
    <mergeCell ref="B2938:G2938"/>
    <mergeCell ref="B5023:G5023"/>
    <mergeCell ref="A2022:E2022"/>
    <mergeCell ref="B4289:G4289"/>
    <mergeCell ref="A235:E235"/>
    <mergeCell ref="A2230:E2230"/>
    <mergeCell ref="A321:E321"/>
    <mergeCell ref="A831:E831"/>
    <mergeCell ref="A4780:E4780"/>
    <mergeCell ref="A744:E744"/>
    <mergeCell ref="B4291:G4291"/>
    <mergeCell ref="A404:E404"/>
    <mergeCell ref="A255:G255"/>
    <mergeCell ref="A3291:E3291"/>
    <mergeCell ref="B1749:G1749"/>
    <mergeCell ref="A2408:E2408"/>
    <mergeCell ref="A833:E833"/>
    <mergeCell ref="A4651:E4651"/>
    <mergeCell ref="A2837:E2837"/>
    <mergeCell ref="A5403:E5403"/>
    <mergeCell ref="A5378:E5378"/>
    <mergeCell ref="A3777:G3777"/>
    <mergeCell ref="A3591:E3591"/>
    <mergeCell ref="A2532:E2532"/>
    <mergeCell ref="B1888:G1888"/>
    <mergeCell ref="A760:E760"/>
    <mergeCell ref="A2831:G2831"/>
    <mergeCell ref="B408:G408"/>
    <mergeCell ref="A916:G916"/>
    <mergeCell ref="A1189:E1189"/>
    <mergeCell ref="B3921:G3921"/>
    <mergeCell ref="B4192:G4192"/>
    <mergeCell ref="B4947:G4947"/>
    <mergeCell ref="A920:E920"/>
    <mergeCell ref="A3434:E3434"/>
    <mergeCell ref="A1647:E1647"/>
    <mergeCell ref="B281:G281"/>
    <mergeCell ref="B4194:G4194"/>
    <mergeCell ref="A3943:E3943"/>
    <mergeCell ref="B3618:G3618"/>
    <mergeCell ref="B4948:G4948"/>
    <mergeCell ref="A4397:E4397"/>
    <mergeCell ref="B4521:G4521"/>
    <mergeCell ref="B129:G129"/>
    <mergeCell ref="A4244:G4244"/>
    <mergeCell ref="B3607:G3607"/>
    <mergeCell ref="A2601:E2601"/>
    <mergeCell ref="A2935:E2935"/>
    <mergeCell ref="A605:E605"/>
    <mergeCell ref="A1387:G1387"/>
    <mergeCell ref="A4423:E4423"/>
    <mergeCell ref="B3907:G3907"/>
    <mergeCell ref="A3024:E3024"/>
    <mergeCell ref="A939:E939"/>
    <mergeCell ref="A2907:E2907"/>
    <mergeCell ref="B4572:G4572"/>
    <mergeCell ref="A816:E816"/>
    <mergeCell ref="B4363:G4363"/>
    <mergeCell ref="A3962:E3962"/>
    <mergeCell ref="A4260:E4260"/>
    <mergeCell ref="A1116:E1116"/>
    <mergeCell ref="B2876:G2876"/>
    <mergeCell ref="A930:E930"/>
    <mergeCell ref="A3964:E3964"/>
    <mergeCell ref="A3544:G3544"/>
    <mergeCell ref="A5175:E5175"/>
    <mergeCell ref="A3659:E3659"/>
    <mergeCell ref="B474:G474"/>
    <mergeCell ref="B3015:G3015"/>
    <mergeCell ref="B3664:G3664"/>
    <mergeCell ref="A4565:E4565"/>
    <mergeCell ref="A2614:E2614"/>
    <mergeCell ref="A4049:E4049"/>
    <mergeCell ref="A802:E802"/>
    <mergeCell ref="A2650:E2650"/>
    <mergeCell ref="A714:G714"/>
    <mergeCell ref="A5074:E5074"/>
    <mergeCell ref="A3377:E3377"/>
    <mergeCell ref="A1590:E1590"/>
    <mergeCell ref="A2958:E2958"/>
    <mergeCell ref="B4716:G4716"/>
    <mergeCell ref="A3833:E3833"/>
    <mergeCell ref="A2774:E2774"/>
    <mergeCell ref="B5050:G5050"/>
    <mergeCell ref="A5076:E5076"/>
    <mergeCell ref="A402:E402"/>
    <mergeCell ref="A1592:E1592"/>
    <mergeCell ref="A4649:E4649"/>
    <mergeCell ref="B73:G73"/>
    <mergeCell ref="A2862:E2862"/>
    <mergeCell ref="A5376:E5376"/>
    <mergeCell ref="B1098:G1098"/>
    <mergeCell ref="A4195:G4195"/>
    <mergeCell ref="B1256:G1256"/>
    <mergeCell ref="B379:G379"/>
    <mergeCell ref="B1432:G1432"/>
    <mergeCell ref="A4433:E4433"/>
    <mergeCell ref="B835:G835"/>
    <mergeCell ref="A1616:E1616"/>
    <mergeCell ref="A557:E557"/>
    <mergeCell ref="A891:E891"/>
    <mergeCell ref="A847:E847"/>
    <mergeCell ref="A3405:E3405"/>
    <mergeCell ref="B1915:G1915"/>
    <mergeCell ref="A1618:E1618"/>
    <mergeCell ref="A1941:E1941"/>
    <mergeCell ref="B2642:G2642"/>
    <mergeCell ref="A3459:E3459"/>
    <mergeCell ref="A5087:E5087"/>
    <mergeCell ref="A4028:E4028"/>
    <mergeCell ref="A2216:E2216"/>
    <mergeCell ref="A4186:E4186"/>
    <mergeCell ref="A4484:E4484"/>
    <mergeCell ref="A3154:G3154"/>
    <mergeCell ref="A5089:E5089"/>
    <mergeCell ref="A3302:E3302"/>
    <mergeCell ref="B2246:G2246"/>
    <mergeCell ref="A3031:G3031"/>
    <mergeCell ref="A4486:E4486"/>
    <mergeCell ref="A2428:G2428"/>
    <mergeCell ref="A276:E276"/>
    <mergeCell ref="B542:G542"/>
    <mergeCell ref="B425:G425"/>
    <mergeCell ref="A3760:E3760"/>
    <mergeCell ref="A4517:E4517"/>
    <mergeCell ref="B3730:G3730"/>
    <mergeCell ref="B2975:G2975"/>
    <mergeCell ref="B4034:G4034"/>
    <mergeCell ref="B1943:G1943"/>
    <mergeCell ref="B3571:G3571"/>
    <mergeCell ref="A4502:E4502"/>
    <mergeCell ref="A2269:E2269"/>
    <mergeCell ref="A5176:E5176"/>
    <mergeCell ref="A1954:E1954"/>
    <mergeCell ref="A2603:E2603"/>
    <mergeCell ref="A5148:E5148"/>
    <mergeCell ref="B4361:G4361"/>
    <mergeCell ref="B3329:G3329"/>
    <mergeCell ref="A4091:E4091"/>
    <mergeCell ref="A55:E55"/>
    <mergeCell ref="A2298:E2298"/>
    <mergeCell ref="A1543:E1543"/>
    <mergeCell ref="A2569:E2569"/>
    <mergeCell ref="B4056:G4056"/>
    <mergeCell ref="A354:G354"/>
    <mergeCell ref="A4900:G4900"/>
    <mergeCell ref="A4267:G4267"/>
    <mergeCell ref="B2259:G2259"/>
    <mergeCell ref="A2441:G2441"/>
    <mergeCell ref="A1560:E1560"/>
    <mergeCell ref="A1980:E1980"/>
    <mergeCell ref="B1804:G1804"/>
    <mergeCell ref="A4530:E4530"/>
    <mergeCell ref="B3355:G3355"/>
    <mergeCell ref="A1690:E1690"/>
    <mergeCell ref="B2988:G2988"/>
    <mergeCell ref="A1982:E1982"/>
    <mergeCell ref="B440:G440"/>
    <mergeCell ref="B598:G598"/>
    <mergeCell ref="A800:E800"/>
    <mergeCell ref="A1406:G1406"/>
    <mergeCell ref="B2900:G2900"/>
    <mergeCell ref="A3068:E3068"/>
    <mergeCell ref="A1737:G1737"/>
    <mergeCell ref="A382:G382"/>
    <mergeCell ref="A3831:E3831"/>
    <mergeCell ref="B2287:G2287"/>
    <mergeCell ref="A1101:G1101"/>
    <mergeCell ref="A5190:E5190"/>
    <mergeCell ref="A340:G340"/>
    <mergeCell ref="A980:G980"/>
    <mergeCell ref="B2618:G2618"/>
    <mergeCell ref="B1219:G1219"/>
    <mergeCell ref="B160:G160"/>
    <mergeCell ref="A4316:G4316"/>
    <mergeCell ref="B2155:G2155"/>
    <mergeCell ref="B1123:G1123"/>
    <mergeCell ref="A1403:E1403"/>
    <mergeCell ref="A2972:E2972"/>
    <mergeCell ref="B914:G914"/>
    <mergeCell ref="A940:E940"/>
    <mergeCell ref="A4460:E4460"/>
    <mergeCell ref="B1859:G1859"/>
    <mergeCell ref="A3699:E3699"/>
    <mergeCell ref="B72:G72"/>
    <mergeCell ref="B4400:G4400"/>
    <mergeCell ref="A513:E513"/>
    <mergeCell ref="B2315:G2315"/>
    <mergeCell ref="A3096:E3096"/>
    <mergeCell ref="A1703:E1703"/>
    <mergeCell ref="A2068:G2068"/>
    <mergeCell ref="A5368:G5368"/>
    <mergeCell ref="A671:E671"/>
    <mergeCell ref="A1187:E1187"/>
    <mergeCell ref="A4760:E4760"/>
    <mergeCell ref="A2675:E2675"/>
    <mergeCell ref="A3701:E3701"/>
    <mergeCell ref="A2973:E2973"/>
    <mergeCell ref="A4918:E4918"/>
    <mergeCell ref="A5189:E5189"/>
    <mergeCell ref="A2326:E2326"/>
    <mergeCell ref="A971:E971"/>
    <mergeCell ref="B1270:G1270"/>
    <mergeCell ref="A1785:E1785"/>
    <mergeCell ref="A5218:E5218"/>
    <mergeCell ref="A4457:E4457"/>
    <mergeCell ref="A3881:G3881"/>
    <mergeCell ref="B4785:G4785"/>
    <mergeCell ref="B2631:G2631"/>
    <mergeCell ref="A1327:E1327"/>
    <mergeCell ref="B540:G540"/>
    <mergeCell ref="A2815:E2815"/>
    <mergeCell ref="B2028:G2028"/>
    <mergeCell ref="A1022:E1022"/>
    <mergeCell ref="A751:G751"/>
    <mergeCell ref="A2382:E2382"/>
    <mergeCell ref="B4876:G4876"/>
    <mergeCell ref="A1925:E1925"/>
    <mergeCell ref="B2328:G2328"/>
    <mergeCell ref="A3109:E3109"/>
    <mergeCell ref="B541:G541"/>
    <mergeCell ref="B5209:G5209"/>
    <mergeCell ref="A3294:G3294"/>
    <mergeCell ref="A1927:E1927"/>
    <mergeCell ref="A1778:G1778"/>
    <mergeCell ref="A140:E140"/>
    <mergeCell ref="A2085:E2085"/>
    <mergeCell ref="A1052:G1052"/>
    <mergeCell ref="A2827:E2827"/>
    <mergeCell ref="B866:G866"/>
    <mergeCell ref="A2866:G2866"/>
    <mergeCell ref="B225:G225"/>
    <mergeCell ref="A3771:E3771"/>
    <mergeCell ref="A2101:E2101"/>
    <mergeCell ref="A1164:E1164"/>
    <mergeCell ref="A1340:E1340"/>
    <mergeCell ref="A2530:E2530"/>
    <mergeCell ref="A921:E921"/>
    <mergeCell ref="B2679:G2679"/>
    <mergeCell ref="A4528:E4528"/>
    <mergeCell ref="A4826:E4826"/>
    <mergeCell ref="A4071:E4071"/>
    <mergeCell ref="A3039:E3039"/>
    <mergeCell ref="A1342:E1342"/>
    <mergeCell ref="B1497:G1497"/>
    <mergeCell ref="A2284:E2284"/>
    <mergeCell ref="A2436:E2436"/>
    <mergeCell ref="B4169:G4169"/>
    <mergeCell ref="A3802:E3802"/>
    <mergeCell ref="A3041:E3041"/>
    <mergeCell ref="A4398:E4398"/>
    <mergeCell ref="A1068:E1068"/>
    <mergeCell ref="B585:G585"/>
    <mergeCell ref="A307:E307"/>
    <mergeCell ref="A641:E641"/>
    <mergeCell ref="B2399:G2399"/>
    <mergeCell ref="B193:G193"/>
    <mergeCell ref="A911:E911"/>
    <mergeCell ref="B3153:G3153"/>
    <mergeCell ref="B1637:G1637"/>
    <mergeCell ref="A179:G179"/>
    <mergeCell ref="A3486:E3486"/>
    <mergeCell ref="A1401:E1401"/>
    <mergeCell ref="B3880:G3880"/>
    <mergeCell ref="B1971:G1971"/>
    <mergeCell ref="B4852:G4852"/>
    <mergeCell ref="A4995:E4995"/>
    <mergeCell ref="A3515:E3515"/>
    <mergeCell ref="A669:E669"/>
    <mergeCell ref="A3052:E3052"/>
    <mergeCell ref="A3944:E3944"/>
    <mergeCell ref="B5152:G5152"/>
    <mergeCell ref="A5295:E5295"/>
    <mergeCell ref="A3210:E3210"/>
    <mergeCell ref="A4540:E4540"/>
    <mergeCell ref="A2939:G2939"/>
    <mergeCell ref="A4123:G4123"/>
    <mergeCell ref="A1267:E1267"/>
    <mergeCell ref="B211:G211"/>
    <mergeCell ref="A3693:G3693"/>
    <mergeCell ref="B177:G177"/>
    <mergeCell ref="B2426:G2426"/>
    <mergeCell ref="A3199:E3199"/>
    <mergeCell ref="A3541:E3541"/>
    <mergeCell ref="B1999:G1999"/>
    <mergeCell ref="B5299:G5299"/>
    <mergeCell ref="A1412:E1412"/>
    <mergeCell ref="A5052:G5052"/>
    <mergeCell ref="A3568:E3568"/>
    <mergeCell ref="B3085:G3085"/>
    <mergeCell ref="A3111:E3111"/>
    <mergeCell ref="A1414:E1414"/>
    <mergeCell ref="B3383:G3383"/>
    <mergeCell ref="A4164:E4164"/>
    <mergeCell ref="A4629:E4629"/>
    <mergeCell ref="A4921:E4921"/>
    <mergeCell ref="A4166:E4166"/>
    <mergeCell ref="A2379:E2379"/>
    <mergeCell ref="A4893:E4893"/>
    <mergeCell ref="B353:G353"/>
    <mergeCell ref="A2381:E2381"/>
    <mergeCell ref="B3410:G3410"/>
    <mergeCell ref="B4898:G4898"/>
    <mergeCell ref="A3594:E3594"/>
    <mergeCell ref="A250:E250"/>
    <mergeCell ref="A110:E110"/>
    <mergeCell ref="A5105:G5105"/>
    <mergeCell ref="A2493:E2493"/>
    <mergeCell ref="A5080:G5080"/>
    <mergeCell ref="B4593:G4593"/>
    <mergeCell ref="A706:E706"/>
    <mergeCell ref="B3838:G3838"/>
    <mergeCell ref="B3113:G3113"/>
    <mergeCell ref="A2063:E2063"/>
    <mergeCell ref="A708:E708"/>
    <mergeCell ref="A4008:E4008"/>
    <mergeCell ref="A5278:E5278"/>
    <mergeCell ref="A132:G132"/>
    <mergeCell ref="A2826:E2826"/>
    <mergeCell ref="A3124:E3124"/>
    <mergeCell ref="A2407:E2407"/>
    <mergeCell ref="A3162:E3162"/>
    <mergeCell ref="A278:E278"/>
    <mergeCell ref="A4308:E4308"/>
    <mergeCell ref="A5280:E5280"/>
    <mergeCell ref="A3732:G3732"/>
    <mergeCell ref="A1945:G1945"/>
    <mergeCell ref="A3582:E3582"/>
    <mergeCell ref="A1362:E1362"/>
    <mergeCell ref="A2:G2"/>
    <mergeCell ref="A2125:E2125"/>
    <mergeCell ref="B881:G881"/>
    <mergeCell ref="A1662:E1662"/>
    <mergeCell ref="B3464:G3464"/>
    <mergeCell ref="B3255:G3255"/>
    <mergeCell ref="A421:E421"/>
    <mergeCell ref="A304:E304"/>
    <mergeCell ref="B2521:G2521"/>
    <mergeCell ref="B2792:G2792"/>
    <mergeCell ref="A3306:G3306"/>
    <mergeCell ref="A2723:E2723"/>
    <mergeCell ref="A1664:E1664"/>
    <mergeCell ref="A4693:E4693"/>
    <mergeCell ref="B3126:G3126"/>
    <mergeCell ref="B3555:G3555"/>
    <mergeCell ref="B3853:G3853"/>
    <mergeCell ref="A4670:E4670"/>
    <mergeCell ref="A4993:E4993"/>
    <mergeCell ref="A4238:E4238"/>
    <mergeCell ref="A2883:E2883"/>
    <mergeCell ref="A335:E335"/>
    <mergeCell ref="A2901:G2901"/>
    <mergeCell ref="A5293:E5293"/>
    <mergeCell ref="A476:G476"/>
    <mergeCell ref="A3059:G3059"/>
    <mergeCell ref="A3357:G3357"/>
    <mergeCell ref="A4994:E4994"/>
    <mergeCell ref="B296:G296"/>
    <mergeCell ref="A2632:G2632"/>
    <mergeCell ref="B2207:G2207"/>
    <mergeCell ref="A2478:E2478"/>
    <mergeCell ref="A2138:E2138"/>
    <mergeCell ref="A53:E53"/>
    <mergeCell ref="A2776:E2776"/>
    <mergeCell ref="B3179:G3179"/>
    <mergeCell ref="A5019:E5019"/>
    <mergeCell ref="A1237:E1237"/>
    <mergeCell ref="B3477:G3477"/>
    <mergeCell ref="B1025:G1025"/>
    <mergeCell ref="B3775:G3775"/>
    <mergeCell ref="B2716:G2716"/>
    <mergeCell ref="A774:E774"/>
    <mergeCell ref="A3539:E3539"/>
    <mergeCell ref="A4718:G4718"/>
    <mergeCell ref="A2050:E2050"/>
    <mergeCell ref="B4240:G4240"/>
    <mergeCell ref="A1257:G1257"/>
    <mergeCell ref="A1718:E1718"/>
    <mergeCell ref="A319:E319"/>
    <mergeCell ref="A3961:E3961"/>
    <mergeCell ref="A2316:G2316"/>
    <mergeCell ref="A4566:E4566"/>
    <mergeCell ref="A2464:E2464"/>
    <mergeCell ref="B2740:G2740"/>
    <mergeCell ref="A2191:E2191"/>
    <mergeCell ref="B1708:G1708"/>
    <mergeCell ref="A103:G103"/>
    <mergeCell ref="B5194:G5194"/>
    <mergeCell ref="B3619:G3619"/>
    <mergeCell ref="B5316:G5316"/>
    <mergeCell ref="A3252:E3252"/>
    <mergeCell ref="A1287:G1287"/>
    <mergeCell ref="B1832:G1832"/>
    <mergeCell ref="A2491:E2491"/>
    <mergeCell ref="A3550:E3550"/>
    <mergeCell ref="B4591:G4591"/>
    <mergeCell ref="A4734:E4734"/>
    <mergeCell ref="A2649:E2649"/>
    <mergeCell ref="B3192:G3192"/>
    <mergeCell ref="A3979:E3979"/>
    <mergeCell ref="A2947:E2947"/>
    <mergeCell ref="A2192:E2192"/>
    <mergeCell ref="B1405:G1405"/>
    <mergeCell ref="B3409:G3409"/>
    <mergeCell ref="A3552:E3552"/>
    <mergeCell ref="B3191:G3191"/>
    <mergeCell ref="A3674:E3674"/>
    <mergeCell ref="A426:G426"/>
    <mergeCell ref="A1759:E1759"/>
    <mergeCell ref="A3981:E3981"/>
    <mergeCell ref="A2492:E2492"/>
    <mergeCell ref="A5251:E5251"/>
    <mergeCell ref="B675:G675"/>
    <mergeCell ref="A4464:G4464"/>
    <mergeCell ref="A586:G586"/>
    <mergeCell ref="B1736:G1736"/>
    <mergeCell ref="A4491:G4491"/>
    <mergeCell ref="B660:G660"/>
    <mergeCell ref="A2848:E2848"/>
    <mergeCell ref="B5065:G5065"/>
    <mergeCell ref="B1721:G1721"/>
    <mergeCell ref="A4057:G4057"/>
    <mergeCell ref="A4330:E4330"/>
    <mergeCell ref="A846:E846"/>
    <mergeCell ref="A3605:E3605"/>
    <mergeCell ref="A2850:E2850"/>
    <mergeCell ref="A3903:E3903"/>
    <mergeCell ref="A3148:E3148"/>
    <mergeCell ref="A419:E419"/>
    <mergeCell ref="A5391:E5391"/>
    <mergeCell ref="A4630:E4630"/>
    <mergeCell ref="A2545:E2545"/>
    <mergeCell ref="B2817:G2817"/>
    <mergeCell ref="B1003:G1003"/>
    <mergeCell ref="A2205:E2205"/>
    <mergeCell ref="B4147:G4147"/>
    <mergeCell ref="B4762:G4762"/>
    <mergeCell ref="A418:E418"/>
    <mergeCell ref="A3150:E3150"/>
    <mergeCell ref="B5367:G5367"/>
    <mergeCell ref="A2932:E2932"/>
    <mergeCell ref="A1363:E1363"/>
    <mergeCell ref="A1:G1"/>
    <mergeCell ref="A1331:G1331"/>
    <mergeCell ref="A3904:E3904"/>
    <mergeCell ref="B1449:G1449"/>
    <mergeCell ref="A5088:E5088"/>
    <mergeCell ref="B2535:G2535"/>
    <mergeCell ref="A3793:G3793"/>
    <mergeCell ref="A1477:E1477"/>
    <mergeCell ref="A3330:G3330"/>
    <mergeCell ref="B3867:G3867"/>
    <mergeCell ref="A3616:E3616"/>
    <mergeCell ref="A2861:E2861"/>
    <mergeCell ref="B5051:G5051"/>
    <mergeCell ref="A1829:E1829"/>
    <mergeCell ref="A4051:E4051"/>
    <mergeCell ref="A4416:G4416"/>
    <mergeCell ref="A1987:G1987"/>
    <mergeCell ref="A4379:E4379"/>
    <mergeCell ref="A3624:E3624"/>
    <mergeCell ref="A4501:E4501"/>
    <mergeCell ref="A5017:E5017"/>
    <mergeCell ref="B1050:G1050"/>
    <mergeCell ref="A3161:E3161"/>
    <mergeCell ref="A1070:E1070"/>
    <mergeCell ref="A5404:E5404"/>
    <mergeCell ref="B1777:G1777"/>
    <mergeCell ref="A2558:E2558"/>
    <mergeCell ref="A957:G957"/>
    <mergeCell ref="A4503:E4503"/>
    <mergeCell ref="A4801:E4801"/>
    <mergeCell ref="B778:G778"/>
    <mergeCell ref="B1049:G1049"/>
    <mergeCell ref="A1559:E1559"/>
    <mergeCell ref="B1076:G1076"/>
    <mergeCell ref="A489:E489"/>
    <mergeCell ref="A1857:E1857"/>
    <mergeCell ref="B2260:G2260"/>
    <mergeCell ref="A3045:G3045"/>
    <mergeCell ref="A377:E377"/>
    <mergeCell ref="B3949:G3949"/>
    <mergeCell ref="A491:E491"/>
    <mergeCell ref="B4676:G4676"/>
    <mergeCell ref="A789:E789"/>
    <mergeCell ref="A1842:E1842"/>
    <mergeCell ref="B4974:G4974"/>
    <mergeCell ref="A28:E28"/>
    <mergeCell ref="B1805:G1805"/>
    <mergeCell ref="B2103:G2103"/>
    <mergeCell ref="A2945:E2945"/>
    <mergeCell ref="A2920:E2920"/>
    <mergeCell ref="A1397:G1397"/>
    <mergeCell ref="A3672:E3672"/>
    <mergeCell ref="A2667:G2667"/>
    <mergeCell ref="A2490:E2490"/>
    <mergeCell ref="A4733:E4733"/>
    <mergeCell ref="A5031:E5031"/>
    <mergeCell ref="A2602:E2602"/>
    <mergeCell ref="A882:G882"/>
    <mergeCell ref="A3519:G3519"/>
    <mergeCell ref="A1434:G1434"/>
    <mergeCell ref="A5210:G5210"/>
    <mergeCell ref="A54:E54"/>
    <mergeCell ref="B1218:G1218"/>
    <mergeCell ref="B2548:G2548"/>
    <mergeCell ref="A2297:E2297"/>
    <mergeCell ref="A388:E388"/>
    <mergeCell ref="A3688:E3688"/>
    <mergeCell ref="A2971:E2971"/>
    <mergeCell ref="A1578:E1578"/>
    <mergeCell ref="B791:G791"/>
    <mergeCell ref="A817:E817"/>
    <mergeCell ref="B30:G30"/>
    <mergeCell ref="A1115:E1115"/>
    <mergeCell ref="A56:E56"/>
    <mergeCell ref="B3215:G3215"/>
    <mergeCell ref="B2156:G2156"/>
    <mergeCell ref="A390:E390"/>
    <mergeCell ref="A512:E512"/>
    <mergeCell ref="A241:G241"/>
    <mergeCell ref="A5178:E5178"/>
    <mergeCell ref="A1117:E1117"/>
    <mergeCell ref="A85:E85"/>
    <mergeCell ref="A3998:E3998"/>
    <mergeCell ref="A1029:G1029"/>
    <mergeCell ref="A4873:E4873"/>
    <mergeCell ref="A1302:G1302"/>
    <mergeCell ref="A4332:E4332"/>
    <mergeCell ref="A2203:E2203"/>
    <mergeCell ref="A3685:E3685"/>
    <mergeCell ref="B1874:G1874"/>
    <mergeCell ref="B475:G475"/>
    <mergeCell ref="A3115:G3115"/>
    <mergeCell ref="B176:G176"/>
    <mergeCell ref="A5204:E5204"/>
    <mergeCell ref="B4715:G4715"/>
    <mergeCell ref="B2630:G2630"/>
    <mergeCell ref="A3289:E3289"/>
    <mergeCell ref="A1773:E1773"/>
    <mergeCell ref="A1800:E1800"/>
    <mergeCell ref="A2686:E2686"/>
    <mergeCell ref="A2984:E2984"/>
    <mergeCell ref="A1591:E1591"/>
    <mergeCell ref="A2229:E2229"/>
    <mergeCell ref="B3691:G3691"/>
    <mergeCell ref="B3228:G3228"/>
    <mergeCell ref="B2169:G2169"/>
    <mergeCell ref="A4804:E4804"/>
    <mergeCell ref="A1802:E1802"/>
    <mergeCell ref="A5102:E5102"/>
    <mergeCell ref="A2100:E2100"/>
    <mergeCell ref="A4070:E4070"/>
    <mergeCell ref="A2231:E2231"/>
    <mergeCell ref="A2529:E2529"/>
    <mergeCell ref="B1145:G1145"/>
    <mergeCell ref="A1926:E1926"/>
    <mergeCell ref="A5402:E5402"/>
    <mergeCell ref="A2741:G2741"/>
    <mergeCell ref="B1887:G1887"/>
    <mergeCell ref="B1170:G1170"/>
    <mergeCell ref="B3071:G3071"/>
    <mergeCell ref="A610:G610"/>
    <mergeCell ref="B2343:G2343"/>
    <mergeCell ref="B1284:G1284"/>
    <mergeCell ref="A3128:G3128"/>
    <mergeCell ref="A1188:E1188"/>
    <mergeCell ref="A282:G282"/>
    <mergeCell ref="A156:E156"/>
    <mergeCell ref="A4100:G4100"/>
    <mergeCell ref="A2282:E2282"/>
    <mergeCell ref="B102:G102"/>
    <mergeCell ref="A5284:G5284"/>
    <mergeCell ref="A155:E155"/>
    <mergeCell ref="A2616:E2616"/>
    <mergeCell ref="B2643:G2643"/>
    <mergeCell ref="B3281:G3281"/>
    <mergeCell ref="B5104:G5104"/>
    <mergeCell ref="A1855:E1855"/>
    <mergeCell ref="A2153:E2153"/>
    <mergeCell ref="B3317:G3317"/>
    <mergeCell ref="A1366:G1366"/>
    <mergeCell ref="A4396:E4396"/>
    <mergeCell ref="A2582:E2582"/>
    <mergeCell ref="A912:E912"/>
    <mergeCell ref="A157:E157"/>
    <mergeCell ref="A2242:E2242"/>
    <mergeCell ref="A4825:E4825"/>
    <mergeCell ref="A1212:E1212"/>
    <mergeCell ref="A5125:E5125"/>
    <mergeCell ref="A5300:G5300"/>
    <mergeCell ref="A3822:G3822"/>
    <mergeCell ref="A3514:E3514"/>
    <mergeCell ref="A1429:E1429"/>
    <mergeCell ref="A4543:E4543"/>
    <mergeCell ref="B3001:G3001"/>
    <mergeCell ref="A2754:G2754"/>
    <mergeCell ref="B4489:G4489"/>
    <mergeCell ref="B453:G453"/>
    <mergeCell ref="A596:E596"/>
    <mergeCell ref="A2455:G2455"/>
    <mergeCell ref="A515:E515"/>
    <mergeCell ref="A2898:E2898"/>
    <mergeCell ref="B4360:G4360"/>
    <mergeCell ref="A1997:E1997"/>
    <mergeCell ref="A604:E604"/>
    <mergeCell ref="B1514:G1514"/>
    <mergeCell ref="A2295:E2295"/>
    <mergeCell ref="A902:E902"/>
    <mergeCell ref="B2573:G2573"/>
    <mergeCell ref="B3002:G3002"/>
    <mergeCell ref="A3661:E3661"/>
    <mergeCell ref="B4055:G4055"/>
    <mergeCell ref="A815:E815"/>
    <mergeCell ref="A1868:E1868"/>
    <mergeCell ref="B1385:G1385"/>
    <mergeCell ref="A4117:E4117"/>
    <mergeCell ref="A326:G326"/>
    <mergeCell ref="A1411:E1411"/>
    <mergeCell ref="B4362:G4362"/>
    <mergeCell ref="B5298:G5298"/>
    <mergeCell ref="A2324:E2324"/>
    <mergeCell ref="B5116:G5116"/>
    <mergeCell ref="A2780:G2780"/>
    <mergeCell ref="A695:G695"/>
    <mergeCell ref="B2301:G2301"/>
    <mergeCell ref="B1242:G1242"/>
    <mergeCell ref="A3868:G3868"/>
    <mergeCell ref="B352:G352"/>
    <mergeCell ref="A1716:E1716"/>
    <mergeCell ref="A5356:G5356"/>
    <mergeCell ref="B2595:G2595"/>
    <mergeCell ref="A2008:E2008"/>
    <mergeCell ref="A221:E221"/>
    <mergeCell ref="B4415:G4415"/>
    <mergeCell ref="B2288:G2288"/>
    <mergeCell ref="A3069:E3069"/>
    <mergeCell ref="A2010:E2010"/>
    <mergeCell ref="A1282:E1282"/>
    <mergeCell ref="A223:E223"/>
    <mergeCell ref="A3743:E3743"/>
    <mergeCell ref="A5073:E5073"/>
    <mergeCell ref="A3832:E3832"/>
    <mergeCell ref="A3715:E3715"/>
    <mergeCell ref="B5380:G5380"/>
    <mergeCell ref="A3167:G3167"/>
    <mergeCell ref="A837:G837"/>
    <mergeCell ref="A4165:E4165"/>
    <mergeCell ref="A3256:G3256"/>
    <mergeCell ref="A3894:G3894"/>
    <mergeCell ref="A2011:E2011"/>
    <mergeCell ref="A410:G410"/>
    <mergeCell ref="B955:G955"/>
    <mergeCell ref="A5382:G5382"/>
    <mergeCell ref="B194:G194"/>
    <mergeCell ref="A2983:E2983"/>
    <mergeCell ref="A125:E125"/>
    <mergeCell ref="B2314:G2314"/>
    <mergeCell ref="B1255:G1255"/>
    <mergeCell ref="A2092:G2092"/>
    <mergeCell ref="A2036:E2036"/>
    <mergeCell ref="B494:G494"/>
    <mergeCell ref="B4014:G4014"/>
    <mergeCell ref="A127:E127"/>
    <mergeCell ref="A249:E249"/>
    <mergeCell ref="A3725:E3725"/>
    <mergeCell ref="A1615:E1615"/>
    <mergeCell ref="A5255:G5255"/>
    <mergeCell ref="A1913:E1913"/>
    <mergeCell ref="B4426:G4426"/>
    <mergeCell ref="B1580:G1580"/>
    <mergeCell ref="A4610:E4610"/>
    <mergeCell ref="A2701:E2701"/>
    <mergeCell ref="A3727:E3727"/>
    <mergeCell ref="B4121:G4121"/>
    <mergeCell ref="A2999:E2999"/>
    <mergeCell ref="A1940:E1940"/>
    <mergeCell ref="A4944:E4944"/>
    <mergeCell ref="B4338:G4338"/>
    <mergeCell ref="A3580:E3580"/>
    <mergeCell ref="A3123:E3123"/>
    <mergeCell ref="A2240:E2240"/>
    <mergeCell ref="A4781:E4781"/>
    <mergeCell ref="A3609:G3609"/>
    <mergeCell ref="A936:G936"/>
    <mergeCell ref="A2854:G2854"/>
    <mergeCell ref="A2549:G2549"/>
    <mergeCell ref="B424:G424"/>
    <mergeCell ref="B1299:G1299"/>
    <mergeCell ref="B880:G880"/>
    <mergeCell ref="A1661:E1661"/>
    <mergeCell ref="A262:E262"/>
    <mergeCell ref="A1968:E1968"/>
    <mergeCell ref="A2424:E2424"/>
    <mergeCell ref="A1663:E1663"/>
    <mergeCell ref="A779:G779"/>
    <mergeCell ref="A593:E593"/>
    <mergeCell ref="A1077:G1077"/>
    <mergeCell ref="A2714:E2714"/>
    <mergeCell ref="A2836:E2836"/>
    <mergeCell ref="A1953:E1953"/>
    <mergeCell ref="A1533:G1533"/>
    <mergeCell ref="A3749:G3749"/>
    <mergeCell ref="A2724:E2724"/>
    <mergeCell ref="A595:E595"/>
    <mergeCell ref="A4115:E4115"/>
    <mergeCell ref="A4870:E4870"/>
    <mergeCell ref="A4413:E4413"/>
    <mergeCell ref="A4711:E4711"/>
    <mergeCell ref="A1833:G1833"/>
    <mergeCell ref="A19:G19"/>
    <mergeCell ref="A1381:E1381"/>
    <mergeCell ref="A3968:G3968"/>
    <mergeCell ref="A3532:G3532"/>
    <mergeCell ref="A1252:E1252"/>
    <mergeCell ref="A3839:G3839"/>
    <mergeCell ref="A2562:G2562"/>
    <mergeCell ref="A655:E655"/>
    <mergeCell ref="A1382:E1382"/>
    <mergeCell ref="A3528:E3528"/>
    <mergeCell ref="B4193:G4193"/>
    <mergeCell ref="A4554:E4554"/>
    <mergeCell ref="A4896:E4896"/>
    <mergeCell ref="A657:E657"/>
    <mergeCell ref="B5140:G5140"/>
    <mergeCell ref="A949:E949"/>
    <mergeCell ref="A1253:E1253"/>
    <mergeCell ref="B895:G895"/>
    <mergeCell ref="A1676:E1676"/>
    <mergeCell ref="A3679:G3679"/>
    <mergeCell ref="A2035:E2035"/>
    <mergeCell ref="A2339:E2339"/>
    <mergeCell ref="A3216:G3216"/>
    <mergeCell ref="A4555:E4555"/>
    <mergeCell ref="A2497:G2497"/>
    <mergeCell ref="A793:G793"/>
    <mergeCell ref="B4097:G4097"/>
    <mergeCell ref="B953:G953"/>
    <mergeCell ref="A5311:E5311"/>
    <mergeCell ref="B3792:G3792"/>
    <mergeCell ref="A2366:E2366"/>
    <mergeCell ref="A334:E334"/>
    <mergeCell ref="A1889:G1889"/>
    <mergeCell ref="A4283:E4283"/>
    <mergeCell ref="A668:E668"/>
    <mergeCell ref="B519:G519"/>
    <mergeCell ref="B4853:G4853"/>
    <mergeCell ref="A205:E205"/>
    <mergeCell ref="A2788:E2788"/>
    <mergeCell ref="A1911:E1911"/>
    <mergeCell ref="A1149:G1149"/>
    <mergeCell ref="A2367:E2367"/>
    <mergeCell ref="A670:E670"/>
    <mergeCell ref="B4557:G4557"/>
    <mergeCell ref="A3551:E3551"/>
    <mergeCell ref="A4364:G4364"/>
    <mergeCell ref="A3849:E3849"/>
    <mergeCell ref="A3094:E3094"/>
    <mergeCell ref="A4942:E4942"/>
    <mergeCell ref="B5180:G5180"/>
    <mergeCell ref="A3851:E3851"/>
    <mergeCell ref="A2064:E2064"/>
    <mergeCell ref="A5093:G5093"/>
    <mergeCell ref="B209:G209"/>
    <mergeCell ref="A1324:E1324"/>
    <mergeCell ref="A265:E265"/>
    <mergeCell ref="A2051:E2051"/>
    <mergeCell ref="A3996:E3996"/>
    <mergeCell ref="B2454:G2454"/>
    <mergeCell ref="B2752:G2752"/>
    <mergeCell ref="A3262:E3262"/>
    <mergeCell ref="B661:G661"/>
    <mergeCell ref="A1746:E1746"/>
    <mergeCell ref="A5266:E5266"/>
    <mergeCell ref="B2027:G2027"/>
    <mergeCell ref="B2665:G2665"/>
    <mergeCell ref="B2963:G2963"/>
    <mergeCell ref="B240:G240"/>
    <mergeCell ref="A1021:E1021"/>
    <mergeCell ref="A2351:E2351"/>
    <mergeCell ref="B4451:G4451"/>
    <mergeCell ref="B1722:G1722"/>
    <mergeCell ref="A2503:E2503"/>
    <mergeCell ref="A147:G147"/>
    <mergeCell ref="A2380:E2380"/>
    <mergeCell ref="A4919:E4919"/>
    <mergeCell ref="B563:G563"/>
    <mergeCell ref="A3318:G3318"/>
    <mergeCell ref="A2048:E2048"/>
    <mergeCell ref="A5263:E5263"/>
    <mergeCell ref="B2053:G2053"/>
    <mergeCell ref="A4808:G4808"/>
    <mergeCell ref="A434:E434"/>
    <mergeCell ref="B564:G564"/>
    <mergeCell ref="A2948:E2948"/>
    <mergeCell ref="B5224:G5224"/>
    <mergeCell ref="B3139:G3139"/>
    <mergeCell ref="B2384:G2384"/>
    <mergeCell ref="B3437:G3437"/>
    <mergeCell ref="B268:G268"/>
    <mergeCell ref="A2131:G2131"/>
    <mergeCell ref="B3866:G3866"/>
    <mergeCell ref="A4945:E4945"/>
    <mergeCell ref="A2738:E2738"/>
    <mergeCell ref="A2860:E2860"/>
    <mergeCell ref="A951:E951"/>
    <mergeCell ref="A1461:E1461"/>
    <mergeCell ref="B4077:G4077"/>
    <mergeCell ref="A5279:E5279"/>
    <mergeCell ref="B1652:G1652"/>
    <mergeCell ref="B2678:G2678"/>
    <mergeCell ref="A1678:E1678"/>
    <mergeCell ref="A3038:E3038"/>
    <mergeCell ref="A3160:E3160"/>
    <mergeCell ref="A1251:E1251"/>
    <mergeCell ref="A5281:E5281"/>
    <mergeCell ref="A2620:G2620"/>
    <mergeCell ref="B3165:G3165"/>
    <mergeCell ref="A3950:G3950"/>
    <mergeCell ref="A2157:G2157"/>
    <mergeCell ref="B2852:G2852"/>
    <mergeCell ref="B2091:G2091"/>
    <mergeCell ref="B2704:G2704"/>
    <mergeCell ref="B619:G619"/>
    <mergeCell ref="A305:E305"/>
    <mergeCell ref="A2451:E2451"/>
    <mergeCell ref="A1392:E1392"/>
    <mergeCell ref="A4694:E4694"/>
    <mergeCell ref="A3635:E3635"/>
    <mergeCell ref="B1680:G1680"/>
    <mergeCell ref="A1093:E1093"/>
    <mergeCell ref="B1365:G1365"/>
    <mergeCell ref="B1636:G1636"/>
    <mergeCell ref="A1391:E1391"/>
    <mergeCell ref="A1875:G1875"/>
    <mergeCell ref="B1972:G1972"/>
    <mergeCell ref="B3879:G3879"/>
    <mergeCell ref="A4607:E4607"/>
    <mergeCell ref="A5123:E5123"/>
    <mergeCell ref="A2873:E2873"/>
    <mergeCell ref="A2909:E2909"/>
    <mergeCell ref="A1095:E1095"/>
    <mergeCell ref="A4871:E4871"/>
    <mergeCell ref="A1393:E1393"/>
    <mergeCell ref="A361:E361"/>
    <mergeCell ref="A1691:E1691"/>
    <mergeCell ref="A90:G90"/>
    <mergeCell ref="A212:G212"/>
    <mergeCell ref="A3636:E3636"/>
    <mergeCell ref="A5205:E5205"/>
    <mergeCell ref="B4975:G4975"/>
    <mergeCell ref="A4608:E4608"/>
    <mergeCell ref="A5177:E5177"/>
    <mergeCell ref="A2001:G2001"/>
    <mergeCell ref="A2448:E2448"/>
    <mergeCell ref="A2477:E2477"/>
    <mergeCell ref="B935:G935"/>
    <mergeCell ref="A2906:E2906"/>
    <mergeCell ref="B3178:G3178"/>
    <mergeCell ref="A5206:E5206"/>
    <mergeCell ref="B4264:G4264"/>
    <mergeCell ref="A2964:G2964"/>
    <mergeCell ref="B3503:G3503"/>
    <mergeCell ref="A1413:E1413"/>
    <mergeCell ref="A3863:E3863"/>
    <mergeCell ref="B4266:G4266"/>
    <mergeCell ref="A5047:E5047"/>
    <mergeCell ref="A1719:E1719"/>
    <mergeCell ref="A687:E687"/>
    <mergeCell ref="B3504:G3504"/>
    <mergeCell ref="A4163:E4163"/>
    <mergeCell ref="A5353:E5353"/>
    <mergeCell ref="B2779:G2779"/>
    <mergeCell ref="A4172:G4172"/>
    <mergeCell ref="A5048:E5048"/>
    <mergeCell ref="A3718:G3718"/>
    <mergeCell ref="A376:E376"/>
    <mergeCell ref="A2990:G2990"/>
    <mergeCell ref="A1931:G1931"/>
    <mergeCell ref="B806:G806"/>
    <mergeCell ref="A2676:E2676"/>
    <mergeCell ref="A3282:G3282"/>
    <mergeCell ref="B45:G45"/>
    <mergeCell ref="A227:G227"/>
    <mergeCell ref="A405:E405"/>
    <mergeCell ref="B3531:G3531"/>
    <mergeCell ref="B351:G351"/>
    <mergeCell ref="A3278:E3278"/>
    <mergeCell ref="A1491:E1491"/>
    <mergeCell ref="B562:G562"/>
    <mergeCell ref="B4592:G4592"/>
    <mergeCell ref="B3837:G3837"/>
    <mergeCell ref="A5075:E5075"/>
    <mergeCell ref="A3288:E3288"/>
    <mergeCell ref="B2805:G2805"/>
    <mergeCell ref="A2218:E2218"/>
    <mergeCell ref="A1493:E1493"/>
    <mergeCell ref="B4923:G4923"/>
    <mergeCell ref="A4007:E4007"/>
    <mergeCell ref="A4672:E4672"/>
    <mergeCell ref="B101:G101"/>
    <mergeCell ref="A2518:E2518"/>
    <mergeCell ref="A1459:E1459"/>
    <mergeCell ref="B976:G976"/>
    <mergeCell ref="A1801:E1801"/>
    <mergeCell ref="A2247:G2247"/>
    <mergeCell ref="B4191:G4191"/>
    <mergeCell ref="B1762:G1762"/>
    <mergeCell ref="A5401:E5401"/>
    <mergeCell ref="A1515:G1515"/>
    <mergeCell ref="B1001:G1001"/>
    <mergeCell ref="A4402:G4402"/>
    <mergeCell ref="A2705:G2705"/>
    <mergeCell ref="A3003:G3003"/>
    <mergeCell ref="A1361:E1361"/>
    <mergeCell ref="A455:G455"/>
    <mergeCell ref="A2400:G2400"/>
    <mergeCell ref="A3604:E3604"/>
    <mergeCell ref="A758:E758"/>
    <mergeCell ref="A2088:E2088"/>
    <mergeCell ref="B2220:G2220"/>
    <mergeCell ref="B1465:G1465"/>
    <mergeCell ref="A4331:E4331"/>
    <mergeCell ref="A2422:E2422"/>
    <mergeCell ref="B1002:G1002"/>
    <mergeCell ref="B3463:G3463"/>
    <mergeCell ref="B4217:G4217"/>
    <mergeCell ref="A2571:E2571"/>
    <mergeCell ref="B2818:G2818"/>
    <mergeCell ref="A3301:E3301"/>
    <mergeCell ref="B1004:G1004"/>
    <mergeCell ref="A759:E759"/>
    <mergeCell ref="A1243:G1243"/>
    <mergeCell ref="A4692:E4692"/>
    <mergeCell ref="B4219:G4219"/>
    <mergeCell ref="A332:E332"/>
    <mergeCell ref="B2090:G2090"/>
    <mergeCell ref="A3930:E3930"/>
    <mergeCell ref="A2871:E2871"/>
    <mergeCell ref="A3213:E3213"/>
    <mergeCell ref="A761:E761"/>
    <mergeCell ref="A1814:E1814"/>
    <mergeCell ref="A4992:E4992"/>
    <mergeCell ref="A5114:E5114"/>
    <mergeCell ref="A5141:G5141"/>
    <mergeCell ref="B2413:G2413"/>
    <mergeCell ref="A3803:E3803"/>
    <mergeCell ref="A4546:G4546"/>
    <mergeCell ref="A900:E900"/>
    <mergeCell ref="B1958:G1958"/>
    <mergeCell ref="A3658:E3658"/>
    <mergeCell ref="B2116:G2116"/>
    <mergeCell ref="A3834:E3834"/>
    <mergeCell ref="A929:E929"/>
    <mergeCell ref="A174:E174"/>
    <mergeCell ref="A690:E690"/>
    <mergeCell ref="A2775:E2775"/>
    <mergeCell ref="A2897:E2897"/>
    <mergeCell ref="A5018:E5018"/>
    <mergeCell ref="A2933:E2933"/>
    <mergeCell ref="B3476:G3476"/>
    <mergeCell ref="A5169:G5169"/>
    <mergeCell ref="A3660:E3660"/>
    <mergeCell ref="B3932:G3932"/>
    <mergeCell ref="A4713:E4713"/>
    <mergeCell ref="A1527:E1527"/>
    <mergeCell ref="A772:E772"/>
    <mergeCell ref="A1446:E1446"/>
    <mergeCell ref="A1744:E1744"/>
    <mergeCell ref="A196:G196"/>
    <mergeCell ref="A4258:E4258"/>
    <mergeCell ref="B1073:G1073"/>
    <mergeCell ref="A5046:E5046"/>
    <mergeCell ref="B4288:G4288"/>
    <mergeCell ref="A2344:G2344"/>
    <mergeCell ref="B2889:G2889"/>
    <mergeCell ref="B4717:G4717"/>
    <mergeCell ref="A830:E830"/>
    <mergeCell ref="A5225:G5225"/>
    <mergeCell ref="B18:G18"/>
    <mergeCell ref="A3438:G3438"/>
    <mergeCell ref="A919:E919"/>
    <mergeCell ref="A4559:G4559"/>
    <mergeCell ref="A403:E403"/>
    <mergeCell ref="A832:E832"/>
    <mergeCell ref="A1885:E1885"/>
    <mergeCell ref="B3099:G3099"/>
    <mergeCell ref="B3985:G3985"/>
    <mergeCell ref="A98:E98"/>
    <mergeCell ref="A1428:E1428"/>
    <mergeCell ref="B4677:G4677"/>
    <mergeCell ref="B5315:G5315"/>
    <mergeCell ref="B1831:G1831"/>
    <mergeCell ref="A3671:E3671"/>
    <mergeCell ref="B2129:G2129"/>
    <mergeCell ref="A2639:E2639"/>
    <mergeCell ref="A1884:E1884"/>
    <mergeCell ref="A2946:E2946"/>
    <mergeCell ref="A861:E861"/>
    <mergeCell ref="A2042:G2042"/>
    <mergeCell ref="A1430:E1430"/>
    <mergeCell ref="A4434:E4434"/>
    <mergeCell ref="B3530:G3530"/>
    <mergeCell ref="A4732:E4732"/>
    <mergeCell ref="A3673:E3673"/>
    <mergeCell ref="A4757:E4757"/>
    <mergeCell ref="B1099:G1099"/>
    <mergeCell ref="A4943:E4943"/>
    <mergeCell ref="A4786:G4786"/>
    <mergeCell ref="A2786:E2786"/>
    <mergeCell ref="A4029:E4029"/>
    <mergeCell ref="A126:E126"/>
    <mergeCell ref="A109:E109"/>
    <mergeCell ref="B2182:G2182"/>
    <mergeCell ref="B3241:G3241"/>
    <mergeCell ref="A2325:E2325"/>
    <mergeCell ref="A538:E538"/>
    <mergeCell ref="A3303:E3303"/>
    <mergeCell ref="A2542:E2542"/>
    <mergeCell ref="A845:E845"/>
    <mergeCell ref="A2510:G2510"/>
    <mergeCell ref="A1510:E1510"/>
    <mergeCell ref="A1143:E1143"/>
    <mergeCell ref="A4487:E4487"/>
    <mergeCell ref="A4030:E4030"/>
    <mergeCell ref="A111:E111"/>
    <mergeCell ref="B2482:G2482"/>
    <mergeCell ref="A1668:G1668"/>
    <mergeCell ref="A5390:E5390"/>
    <mergeCell ref="A269:G269"/>
    <mergeCell ref="A4358:E4358"/>
    <mergeCell ref="A3603:E3603"/>
    <mergeCell ref="A2544:E2544"/>
    <mergeCell ref="A3901:E3901"/>
    <mergeCell ref="B3114:G3114"/>
    <mergeCell ref="A2055:G2055"/>
    <mergeCell ref="B3543:G3543"/>
    <mergeCell ref="A142:E142"/>
    <mergeCell ref="A2414:G2414"/>
    <mergeCell ref="A1899:E1899"/>
    <mergeCell ref="B88:G88"/>
    <mergeCell ref="A5270:G5270"/>
    <mergeCell ref="A3141:G3141"/>
    <mergeCell ref="A3300:E3300"/>
    <mergeCell ref="A3742:E3742"/>
    <mergeCell ref="B1929:G1929"/>
    <mergeCell ref="A1955:E1955"/>
    <mergeCell ref="A3315:E3315"/>
    <mergeCell ref="A1654:G1654"/>
    <mergeCell ref="A1528:E1528"/>
    <mergeCell ref="A2255:E2255"/>
    <mergeCell ref="B713:G713"/>
    <mergeCell ref="B3717:G3717"/>
    <mergeCell ref="A1494:E1494"/>
    <mergeCell ref="A139:E139"/>
    <mergeCell ref="A1530:E1530"/>
    <mergeCell ref="B2195:G2195"/>
    <mergeCell ref="A1828:E1828"/>
    <mergeCell ref="A3773:E3773"/>
    <mergeCell ref="A2126:E2126"/>
    <mergeCell ref="A3012:E3012"/>
    <mergeCell ref="A2257:E2257"/>
    <mergeCell ref="A2555:E2555"/>
    <mergeCell ref="A470:E470"/>
    <mergeCell ref="A4500:E4500"/>
    <mergeCell ref="B4655:G4655"/>
    <mergeCell ref="A5138:E5138"/>
    <mergeCell ref="A497:G497"/>
    <mergeCell ref="A2713:E2713"/>
    <mergeCell ref="A3011:E3011"/>
    <mergeCell ref="A1952:E1952"/>
    <mergeCell ref="A43:E43"/>
    <mergeCell ref="A4073:E4073"/>
    <mergeCell ref="B439:G439"/>
    <mergeCell ref="A2557:E2557"/>
    <mergeCell ref="A4072:E4072"/>
    <mergeCell ref="A3013:E3013"/>
    <mergeCell ref="A1983:E1983"/>
    <mergeCell ref="A1682:G1682"/>
    <mergeCell ref="B2221:G2221"/>
    <mergeCell ref="A4712:E4712"/>
    <mergeCell ref="A1854:E1854"/>
    <mergeCell ref="A5196:G5196"/>
    <mergeCell ref="A3313:E3313"/>
    <mergeCell ref="A2283:E2283"/>
    <mergeCell ref="B1496:G1496"/>
    <mergeCell ref="A909:E909"/>
    <mergeCell ref="B1075:G1075"/>
    <mergeCell ref="A1856:E1856"/>
    <mergeCell ref="A69:E69"/>
    <mergeCell ref="A2285:E2285"/>
    <mergeCell ref="A1215:E1215"/>
    <mergeCell ref="A2268:E2268"/>
    <mergeCell ref="B3651:G3651"/>
    <mergeCell ref="A2793:G2793"/>
    <mergeCell ref="B4675:G4675"/>
    <mergeCell ref="A910:E910"/>
    <mergeCell ref="A368:G368"/>
    <mergeCell ref="B4973:G4973"/>
    <mergeCell ref="B2888:G2888"/>
    <mergeCell ref="A4424:E4424"/>
    <mergeCell ref="A2637:E2637"/>
    <mergeCell ref="A3066:E3066"/>
    <mergeCell ref="A3854:G3854"/>
    <mergeCell ref="A4432:E4432"/>
    <mergeCell ref="A5038:G5038"/>
    <mergeCell ref="B4241:G4241"/>
    <mergeCell ref="A514:E514"/>
    <mergeCell ref="B3640:G3640"/>
    <mergeCell ref="A4452:G4452"/>
    <mergeCell ref="A1996:E1996"/>
    <mergeCell ref="A1606:G1606"/>
    <mergeCell ref="B454:G454"/>
    <mergeCell ref="B4096:G4096"/>
    <mergeCell ref="B4999:G4999"/>
    <mergeCell ref="A3082:E3082"/>
    <mergeCell ref="B3967:G3967"/>
    <mergeCell ref="A972:E972"/>
    <mergeCell ref="B4098:G4098"/>
    <mergeCell ref="B1121:G1121"/>
    <mergeCell ref="A1264:E1264"/>
    <mergeCell ref="A2970:E2970"/>
    <mergeCell ref="A4458:E4458"/>
    <mergeCell ref="A2323:E2323"/>
    <mergeCell ref="A2627:E2627"/>
    <mergeCell ref="B2453:G2453"/>
    <mergeCell ref="A536:E536"/>
    <mergeCell ref="B3328:G3328"/>
    <mergeCell ref="B4696:G4696"/>
    <mergeCell ref="A2806:G2806"/>
    <mergeCell ref="A4758:E4758"/>
    <mergeCell ref="A3726:E3726"/>
    <mergeCell ref="A4872:E4872"/>
    <mergeCell ref="A2080:G2080"/>
    <mergeCell ref="B5355:G5355"/>
    <mergeCell ref="A4594:G4594"/>
    <mergeCell ref="A1897:E1897"/>
    <mergeCell ref="A4507:G4507"/>
    <mergeCell ref="A1165:E1165"/>
    <mergeCell ref="A3110:E3110"/>
    <mergeCell ref="B3382:G3382"/>
    <mergeCell ref="A141:E141"/>
    <mergeCell ref="A1167:E1167"/>
    <mergeCell ref="A1325:E1325"/>
    <mergeCell ref="B836:G836"/>
    <mergeCell ref="A862:E862"/>
    <mergeCell ref="B3356:G3356"/>
    <mergeCell ref="A2228:E2228"/>
    <mergeCell ref="A1466:G1466"/>
    <mergeCell ref="A3741:E3741"/>
    <mergeCell ref="B4013:G4013"/>
    <mergeCell ref="A435:E435"/>
    <mergeCell ref="B5381:G5381"/>
    <mergeCell ref="B381:G381"/>
    <mergeCell ref="A5408:G5408"/>
    <mergeCell ref="B4313:G4313"/>
    <mergeCell ref="A2222:G2222"/>
    <mergeCell ref="A3922:G3922"/>
    <mergeCell ref="A580:E580"/>
    <mergeCell ref="A4220:G4220"/>
    <mergeCell ref="A3465:G3465"/>
    <mergeCell ref="A1981:E1981"/>
    <mergeCell ref="A2396:E2396"/>
    <mergeCell ref="A582:E582"/>
    <mergeCell ref="B2342:G2342"/>
    <mergeCell ref="B4925:G4925"/>
    <mergeCell ref="A2368:E2368"/>
    <mergeCell ref="A4678:G4678"/>
    <mergeCell ref="B5223:G5223"/>
    <mergeCell ref="A277:E277"/>
    <mergeCell ref="A581:E581"/>
    <mergeCell ref="A4976:G4976"/>
    <mergeCell ref="B3585:G3585"/>
    <mergeCell ref="A1792:G1792"/>
    <mergeCell ref="A154:E154"/>
    <mergeCell ref="A2099:E2099"/>
    <mergeCell ref="B3280:G3280"/>
    <mergeCell ref="B1195:G1195"/>
    <mergeCell ref="B4035:G4035"/>
    <mergeCell ref="A306:E306"/>
    <mergeCell ref="A4395:E4395"/>
    <mergeCell ref="B2853:G2853"/>
    <mergeCell ref="A4824:E4824"/>
    <mergeCell ref="A2275:G2275"/>
    <mergeCell ref="A1967:E1967"/>
    <mergeCell ref="A2908:E2908"/>
    <mergeCell ref="A630:G630"/>
    <mergeCell ref="A4877:G4877"/>
    <mergeCell ref="A3180:G3180"/>
    <mergeCell ref="B145:G145"/>
    <mergeCell ref="A3053:E3053"/>
    <mergeCell ref="A1994:E1994"/>
    <mergeCell ref="A207:E207"/>
    <mergeCell ref="A4237:E4237"/>
    <mergeCell ref="A2450:E2450"/>
    <mergeCell ref="A2748:E2748"/>
    <mergeCell ref="A1689:E1689"/>
    <mergeCell ref="A1418:G1418"/>
    <mergeCell ref="A4114:E4114"/>
    <mergeCell ref="A3055:E3055"/>
    <mergeCell ref="B1513:G1513"/>
    <mergeCell ref="A3353:E3353"/>
    <mergeCell ref="B4263:G4263"/>
    <mergeCell ref="B4054:G4054"/>
    <mergeCell ref="A2628:E2628"/>
    <mergeCell ref="A1995:E1995"/>
    <mergeCell ref="A2750:E2750"/>
    <mergeCell ref="B2398:G2398"/>
    <mergeCell ref="B4265:G4265"/>
    <mergeCell ref="A3513:E3513"/>
    <mergeCell ref="A5166:E5166"/>
    <mergeCell ref="A4449:E4449"/>
    <mergeCell ref="B3966:G3966"/>
    <mergeCell ref="A2024:E2024"/>
    <mergeCell ref="A4292:G4292"/>
    <mergeCell ref="A1692:E1692"/>
    <mergeCell ref="B934:G934"/>
    <mergeCell ref="A2049:E2049"/>
    <mergeCell ref="A46:G46"/>
    <mergeCell ref="B3807:G3807"/>
    <mergeCell ref="A1450:G1450"/>
    <mergeCell ref="A2163:E2163"/>
    <mergeCell ref="B1653:G1653"/>
    <mergeCell ref="B1532:G1532"/>
    <mergeCell ref="B473:G473"/>
    <mergeCell ref="A3108:E3108"/>
    <mergeCell ref="A3406:E3406"/>
    <mergeCell ref="B3678:G3678"/>
    <mergeCell ref="A5351:E5351"/>
    <mergeCell ref="A4894:E4894"/>
    <mergeCell ref="A220:E220"/>
    <mergeCell ref="B3650:G3650"/>
    <mergeCell ref="A2463:E2463"/>
    <mergeCell ref="A2761:E2761"/>
    <mergeCell ref="A1702:E1702"/>
    <mergeCell ref="A3137:E3137"/>
    <mergeCell ref="A4589:E4589"/>
    <mergeCell ref="B2925:G2925"/>
    <mergeCell ref="A2674:E2674"/>
    <mergeCell ref="A1281:E1281"/>
    <mergeCell ref="A222:E222"/>
    <mergeCell ref="A3864:E3864"/>
    <mergeCell ref="B5168:G5168"/>
    <mergeCell ref="A3407:E3407"/>
    <mergeCell ref="A1806:G1806"/>
    <mergeCell ref="A2763:E2763"/>
    <mergeCell ref="A3586:G3586"/>
    <mergeCell ref="B647:G647"/>
    <mergeCell ref="A4015:G4015"/>
    <mergeCell ref="B226:G226"/>
    <mergeCell ref="A5066:G5066"/>
    <mergeCell ref="B2765:G2765"/>
    <mergeCell ref="B1621:G1621"/>
    <mergeCell ref="A248:E248"/>
    <mergeCell ref="B3820:G3820"/>
    <mergeCell ref="A733:G733"/>
    <mergeCell ref="A5250:E5250"/>
    <mergeCell ref="A3121:E3121"/>
    <mergeCell ref="A2393:E2393"/>
    <mergeCell ref="A579:E579"/>
    <mergeCell ref="B851:G851"/>
    <mergeCell ref="A1309:E1309"/>
    <mergeCell ref="A877:E877"/>
    <mergeCell ref="A1632:E1632"/>
    <mergeCell ref="A4609:E4609"/>
    <mergeCell ref="A5364:E5364"/>
    <mergeCell ref="A3875:E3875"/>
    <mergeCell ref="B5092:G5092"/>
    <mergeCell ref="B3821:G3821"/>
    <mergeCell ref="A2395:E2395"/>
    <mergeCell ref="A1634:E1634"/>
    <mergeCell ref="B5064:G5064"/>
    <mergeCell ref="A3877:E3877"/>
    <mergeCell ref="A3122:E3122"/>
    <mergeCell ref="A1819:G1819"/>
    <mergeCell ref="A32:G32"/>
    <mergeCell ref="A2519:E2519"/>
    <mergeCell ref="A4094:E4094"/>
    <mergeCell ref="A5236:E5236"/>
    <mergeCell ref="A931:E931"/>
    <mergeCell ref="A3147:E3147"/>
    <mergeCell ref="B1605:G1605"/>
    <mergeCell ref="A1360:E1360"/>
    <mergeCell ref="A5000:G5000"/>
    <mergeCell ref="B1763:G1763"/>
    <mergeCell ref="B1300:G1300"/>
    <mergeCell ref="B423:G423"/>
    <mergeCell ref="A172:E172"/>
    <mergeCell ref="B2666:G2666"/>
    <mergeCell ref="A2421:E2421"/>
    <mergeCell ref="A292:E292"/>
    <mergeCell ref="B4477:G4477"/>
    <mergeCell ref="A626:E626"/>
    <mergeCell ref="B1329:G1329"/>
    <mergeCell ref="A1774:E1774"/>
    <mergeCell ref="A5294:E5294"/>
    <mergeCell ref="A2423:E2423"/>
    <mergeCell ref="A3805:E3805"/>
    <mergeCell ref="A1959:G1959"/>
    <mergeCell ref="B4506:G4506"/>
    <mergeCell ref="A890:E890"/>
    <mergeCell ref="A2074:E2074"/>
    <mergeCell ref="A2170:G2170"/>
    <mergeCell ref="A4236:E4236"/>
    <mergeCell ref="B4806:G4806"/>
    <mergeCell ref="B3747:G3747"/>
    <mergeCell ref="A318:E318"/>
    <mergeCell ref="A2261:G2261"/>
    <mergeCell ref="A2926:G2926"/>
    <mergeCell ref="A348:E348"/>
    <mergeCell ref="A13:E13"/>
    <mergeCell ref="B4076:G4076"/>
    <mergeCell ref="A320:E320"/>
    <mergeCell ref="B3892:G3892"/>
    <mergeCell ref="A347:E347"/>
    <mergeCell ref="B1776:G1776"/>
    <mergeCell ref="A15:E15"/>
    <mergeCell ref="A191:E191"/>
    <mergeCell ref="B3763:G3763"/>
    <mergeCell ref="A1704:E1704"/>
    <mergeCell ref="A349:E349"/>
    <mergeCell ref="A2434:E2434"/>
    <mergeCell ref="A5344:G5344"/>
    <mergeCell ref="A3186:E3186"/>
    <mergeCell ref="A2644:G2644"/>
    <mergeCell ref="A4552:E4552"/>
    <mergeCell ref="A3073:G3073"/>
    <mergeCell ref="A2183:G2183"/>
    <mergeCell ref="A5219:E5219"/>
    <mergeCell ref="A396:G396"/>
    <mergeCell ref="A974:E974"/>
    <mergeCell ref="A2462:E2462"/>
    <mergeCell ref="A5153:G5153"/>
    <mergeCell ref="A5221:E5221"/>
    <mergeCell ref="B645:G645"/>
    <mergeCell ref="A788:E788"/>
    <mergeCell ref="B3920:G3920"/>
    <mergeCell ref="B4218:G4218"/>
    <mergeCell ref="A3212:E3212"/>
    <mergeCell ref="B1548:G1548"/>
    <mergeCell ref="A2189:E2189"/>
    <mergeCell ref="B3791:G3791"/>
    <mergeCell ref="A3817:E3817"/>
    <mergeCell ref="A1094:E1094"/>
    <mergeCell ref="A1732:E1732"/>
    <mergeCell ref="A333:E333"/>
    <mergeCell ref="B2427:G2427"/>
    <mergeCell ref="A1427:E1427"/>
    <mergeCell ref="A543:G543"/>
    <mergeCell ref="A1603:E1603"/>
    <mergeCell ref="A2787:E2787"/>
    <mergeCell ref="A1717:E1717"/>
    <mergeCell ref="A362:E362"/>
    <mergeCell ref="B517:G517"/>
    <mergeCell ref="B3705:G3705"/>
    <mergeCell ref="A3848:E3848"/>
    <mergeCell ref="A2061:E2061"/>
    <mergeCell ref="A5361:E5361"/>
    <mergeCell ref="B3819:G3819"/>
    <mergeCell ref="B1846:G1846"/>
    <mergeCell ref="A5363:E5363"/>
    <mergeCell ref="A3597:G3597"/>
    <mergeCell ref="A2842:G2842"/>
    <mergeCell ref="B5332:G5332"/>
    <mergeCell ref="A1445:E1445"/>
    <mergeCell ref="A5234:E5234"/>
    <mergeCell ref="B956:G956"/>
    <mergeCell ref="B239:G239"/>
    <mergeCell ref="A1475:E1475"/>
    <mergeCell ref="A1140:E1140"/>
    <mergeCell ref="B4144:G4144"/>
    <mergeCell ref="A2202:E2202"/>
    <mergeCell ref="B2357:G2357"/>
    <mergeCell ref="A2506:E2506"/>
    <mergeCell ref="A1745:E1745"/>
    <mergeCell ref="A3472:E3472"/>
    <mergeCell ref="A1020:E1020"/>
    <mergeCell ref="B659:G659"/>
    <mergeCell ref="A1142:E1142"/>
    <mergeCell ref="B1930:G1930"/>
    <mergeCell ref="A3263:E3263"/>
    <mergeCell ref="A1476:E1476"/>
    <mergeCell ref="A1747:E1747"/>
    <mergeCell ref="A2114:E2114"/>
    <mergeCell ref="A5389:E5389"/>
    <mergeCell ref="A4357:E4357"/>
    <mergeCell ref="B4145:G4145"/>
    <mergeCell ref="A3772:E3772"/>
    <mergeCell ref="A932:E932"/>
    <mergeCell ref="A3175:E3175"/>
    <mergeCell ref="A3473:E3473"/>
    <mergeCell ref="A3902:E3902"/>
    <mergeCell ref="A4386:G4386"/>
    <mergeCell ref="A860:E860"/>
    <mergeCell ref="A3917:E3917"/>
    <mergeCell ref="A1071:E1071"/>
    <mergeCell ref="A1046:E1046"/>
    <mergeCell ref="B1315:G1315"/>
    <mergeCell ref="A4802:E4802"/>
    <mergeCell ref="B3436:G3436"/>
    <mergeCell ref="A1675:E1675"/>
    <mergeCell ref="A643:E643"/>
    <mergeCell ref="A4673:E4673"/>
    <mergeCell ref="A3614:E3614"/>
    <mergeCell ref="A2859:E2859"/>
    <mergeCell ref="A1827:E1827"/>
    <mergeCell ref="B2370:G2370"/>
    <mergeCell ref="B4315:G4315"/>
    <mergeCell ref="A4586:E4586"/>
    <mergeCell ref="B4613:G4613"/>
    <mergeCell ref="A2256:E2256"/>
    <mergeCell ref="A5313:E5313"/>
    <mergeCell ref="A2590:E2590"/>
    <mergeCell ref="B4830:G4830"/>
    <mergeCell ref="A2127:E2127"/>
    <mergeCell ref="A3615:E3615"/>
    <mergeCell ref="B309:G309"/>
    <mergeCell ref="A3188:E3188"/>
    <mergeCell ref="B730:G730"/>
    <mergeCell ref="B311:G311"/>
    <mergeCell ref="A5329:E5329"/>
    <mergeCell ref="A786:E786"/>
    <mergeCell ref="B4243:G4243"/>
    <mergeCell ref="B5269:G5269"/>
    <mergeCell ref="A627:E627"/>
    <mergeCell ref="B732:G732"/>
    <mergeCell ref="B1074:G1074"/>
    <mergeCell ref="B1791:G1791"/>
    <mergeCell ref="A1969:E1969"/>
    <mergeCell ref="A2789:E2789"/>
    <mergeCell ref="A4854:G4854"/>
    <mergeCell ref="A5032:E5032"/>
    <mergeCell ref="B3490:G3490"/>
    <mergeCell ref="A3239:E3239"/>
    <mergeCell ref="A2872:E2872"/>
    <mergeCell ref="A787:E787"/>
    <mergeCell ref="A1840:E1840"/>
    <mergeCell ref="A4142:E4142"/>
    <mergeCell ref="A5034:E5034"/>
    <mergeCell ref="A360:E360"/>
    <mergeCell ref="B4545:G4545"/>
    <mergeCell ref="A1529:E1529"/>
    <mergeCell ref="A1871:E1871"/>
    <mergeCell ref="B3629:G3629"/>
    <mergeCell ref="A84:E84"/>
    <mergeCell ref="A1272:G1272"/>
    <mergeCell ref="B1817:G1817"/>
    <mergeCell ref="A689:E689"/>
    <mergeCell ref="A86:E86"/>
    <mergeCell ref="B629:G629"/>
    <mergeCell ref="A3384:G3384"/>
    <mergeCell ref="A42:E42"/>
    <mergeCell ref="B2142:G2142"/>
    <mergeCell ref="B2117:G2117"/>
    <mergeCell ref="B4385:G4385"/>
    <mergeCell ref="B324:G324"/>
    <mergeCell ref="A2959:E2959"/>
    <mergeCell ref="A3686:E3686"/>
    <mergeCell ref="B4571:G4571"/>
    <mergeCell ref="A867:G867"/>
    <mergeCell ref="A2504:E2504"/>
    <mergeCell ref="A2802:E2802"/>
    <mergeCell ref="A5045:E5045"/>
    <mergeCell ref="A4284:E4284"/>
    <mergeCell ref="A4926:G4926"/>
    <mergeCell ref="A1772:E1772"/>
    <mergeCell ref="B2168:G2168"/>
    <mergeCell ref="A4286:E4286"/>
    <mergeCell ref="A1196:G1196"/>
    <mergeCell ref="A2386:G2386"/>
    <mergeCell ref="A70:E70"/>
    <mergeCell ref="A3471:E3471"/>
    <mergeCell ref="A3712:E3712"/>
    <mergeCell ref="B3984:G3984"/>
    <mergeCell ref="B2468:G2468"/>
    <mergeCell ref="A3411:G3411"/>
    <mergeCell ref="A3583:E3583"/>
    <mergeCell ref="B2041:G2041"/>
    <mergeCell ref="A3714:E3714"/>
    <mergeCell ref="A99:E99"/>
    <mergeCell ref="B254:G254"/>
    <mergeCell ref="A3764:G3764"/>
    <mergeCell ref="A2638:E2638"/>
    <mergeCell ref="B2804:G2804"/>
    <mergeCell ref="A2217:E2217"/>
    <mergeCell ref="B5343:G5343"/>
    <mergeCell ref="A3997:E3997"/>
    <mergeCell ref="A1912:E1912"/>
    <mergeCell ref="A4671:E4671"/>
    <mergeCell ref="A3916:E3916"/>
    <mergeCell ref="A4522:G4522"/>
    <mergeCell ref="A4969:E4969"/>
    <mergeCell ref="A4214:E4214"/>
    <mergeCell ref="A5100:E5100"/>
    <mergeCell ref="A2098:E2098"/>
    <mergeCell ref="A2825:E2825"/>
    <mergeCell ref="B4312:G4312"/>
    <mergeCell ref="A4971:E4971"/>
    <mergeCell ref="A3613:E3613"/>
    <mergeCell ref="A2998:E2998"/>
    <mergeCell ref="A2243:E2243"/>
    <mergeCell ref="A2608:G2608"/>
    <mergeCell ref="A3484:E3484"/>
    <mergeCell ref="A1638:G1638"/>
    <mergeCell ref="A1938:E1938"/>
    <mergeCell ref="A2543:E2543"/>
    <mergeCell ref="A1213:E1213"/>
    <mergeCell ref="A5126:E5126"/>
    <mergeCell ref="A1511:E1511"/>
    <mergeCell ref="B267:G267"/>
    <mergeCell ref="A5416:E5416"/>
    <mergeCell ref="B4216:G4216"/>
    <mergeCell ref="A3325:E3325"/>
    <mergeCell ref="A5111:E5111"/>
    <mergeCell ref="A4356:E4356"/>
    <mergeCell ref="A3324:E3324"/>
    <mergeCell ref="A3929:E3929"/>
    <mergeCell ref="A5113:E5113"/>
    <mergeCell ref="B5268:G5268"/>
    <mergeCell ref="A26:E26"/>
    <mergeCell ref="A3326:E3326"/>
    <mergeCell ref="A468:E468"/>
    <mergeCell ref="A2296:E2296"/>
    <mergeCell ref="B1169:G1169"/>
    <mergeCell ref="A1566:G1566"/>
    <mergeCell ref="A5112:E5112"/>
    <mergeCell ref="A1869:E1869"/>
    <mergeCell ref="B1386:G1386"/>
    <mergeCell ref="A3626:E3626"/>
    <mergeCell ref="A4410:E4410"/>
    <mergeCell ref="B3166:G3166"/>
    <mergeCell ref="A171:E171"/>
    <mergeCell ref="A807:G807"/>
    <mergeCell ref="A5137:E5137"/>
    <mergeCell ref="B295:G295"/>
    <mergeCell ref="A594:E594"/>
    <mergeCell ref="B749:G749"/>
    <mergeCell ref="A892:E892"/>
    <mergeCell ref="B409:G409"/>
    <mergeCell ref="A4412:E4412"/>
    <mergeCell ref="A4710:E4710"/>
    <mergeCell ref="A2625:E2625"/>
    <mergeCell ref="A1870:E1870"/>
    <mergeCell ref="A173:E173"/>
    <mergeCell ref="A2896:E2896"/>
    <mergeCell ref="A471:E471"/>
    <mergeCell ref="A3054:E3054"/>
    <mergeCell ref="B4656:G4656"/>
    <mergeCell ref="A3352:E3352"/>
    <mergeCell ref="A2591:E2591"/>
    <mergeCell ref="A3223:E3223"/>
    <mergeCell ref="A2164:E2164"/>
    <mergeCell ref="A2890:G2890"/>
    <mergeCell ref="A1709:G1709"/>
    <mergeCell ref="A3225:E3225"/>
    <mergeCell ref="A676:G676"/>
    <mergeCell ref="A2680:G2680"/>
    <mergeCell ref="A2309:E2309"/>
    <mergeCell ref="B496:G496"/>
    <mergeCell ref="A520:G520"/>
    <mergeCell ref="B925:G925"/>
    <mergeCell ref="A1882:E1882"/>
    <mergeCell ref="A2311:E2311"/>
    <mergeCell ref="B1986:G1986"/>
    <mergeCell ref="A3581:E3581"/>
    <mergeCell ref="A2310:E2310"/>
    <mergeCell ref="A97:E97"/>
    <mergeCell ref="B3229:G3229"/>
    <mergeCell ref="A4010:E4010"/>
    <mergeCell ref="A2340:E2340"/>
    <mergeCell ref="B2495:G2495"/>
    <mergeCell ref="B2766:G2766"/>
    <mergeCell ref="A3276:E3276"/>
    <mergeCell ref="A1883:E1883"/>
    <mergeCell ref="B979:G979"/>
    <mergeCell ref="A96:E96"/>
    <mergeCell ref="B2924:G2924"/>
    <mergeCell ref="A3067:E3067"/>
    <mergeCell ref="A2312:E2312"/>
    <mergeCell ref="B2584:G2584"/>
    <mergeCell ref="A1280:E1280"/>
    <mergeCell ref="A2640:E2640"/>
    <mergeCell ref="B1581:G1581"/>
    <mergeCell ref="A2337:E2337"/>
    <mergeCell ref="A2394:E2394"/>
    <mergeCell ref="A4636:G4636"/>
    <mergeCell ref="A998:E998"/>
    <mergeCell ref="A2693:G2693"/>
    <mergeCell ref="A237:E237"/>
    <mergeCell ref="A906:G906"/>
    <mergeCell ref="B367:G367"/>
    <mergeCell ref="A535:E535"/>
    <mergeCell ref="B1122:G1122"/>
    <mergeCell ref="A2996:E2996"/>
    <mergeCell ref="A2241:E2241"/>
    <mergeCell ref="A3512:E3512"/>
    <mergeCell ref="A3592:E3592"/>
    <mergeCell ref="B4001:G4001"/>
    <mergeCell ref="B5394:G5394"/>
    <mergeCell ref="A4782:E4782"/>
    <mergeCell ref="B2181:G2181"/>
    <mergeCell ref="B2208:G2208"/>
    <mergeCell ref="B394:G394"/>
    <mergeCell ref="A537:E537"/>
    <mergeCell ref="B692:G692"/>
    <mergeCell ref="A2025:E2025"/>
    <mergeCell ref="A1509:E1509"/>
    <mergeCell ref="A2839:E2839"/>
    <mergeCell ref="A2699:E2699"/>
    <mergeCell ref="B3242:G3242"/>
    <mergeCell ref="B4119:G4119"/>
    <mergeCell ref="A2997:E2997"/>
    <mergeCell ref="B2508:G2508"/>
    <mergeCell ref="B694:G694"/>
    <mergeCell ref="A3724:E3724"/>
    <mergeCell ref="B2937:G2937"/>
    <mergeCell ref="A263:E263"/>
    <mergeCell ref="A4052:E4052"/>
    <mergeCell ref="B1480:G1480"/>
    <mergeCell ref="A4779:E4779"/>
    <mergeCell ref="A2118:G2118"/>
    <mergeCell ref="B1902:G1902"/>
    <mergeCell ref="A922:E922"/>
    <mergeCell ref="B3293:G3293"/>
    <mergeCell ref="B3268:G3268"/>
    <mergeCell ref="A2410:E2410"/>
    <mergeCell ref="B5238:G5238"/>
    <mergeCell ref="A1649:E1649"/>
    <mergeCell ref="B2534:G2534"/>
    <mergeCell ref="A4534:G4534"/>
    <mergeCell ref="B1595:G1595"/>
    <mergeCell ref="A2254:E2254"/>
    <mergeCell ref="A5135:E5135"/>
    <mergeCell ref="B5407:G5407"/>
    <mergeCell ref="B2561:G2561"/>
    <mergeCell ref="B407:G407"/>
    <mergeCell ref="A2921:E2921"/>
    <mergeCell ref="A3431:E3431"/>
    <mergeCell ref="B4654:G4654"/>
    <mergeCell ref="A2712:E2712"/>
    <mergeCell ref="A3350:E3350"/>
    <mergeCell ref="B3893:G3893"/>
    <mergeCell ref="A3010:E3010"/>
    <mergeCell ref="A3648:E3648"/>
    <mergeCell ref="A648:G648"/>
    <mergeCell ref="B1193:G1193"/>
    <mergeCell ref="A5136:E5136"/>
    <mergeCell ref="A4411:E4411"/>
    <mergeCell ref="A620:G620"/>
    <mergeCell ref="A2469:G2469"/>
    <mergeCell ref="A950:E950"/>
    <mergeCell ref="B4:G4"/>
    <mergeCell ref="B896:G896"/>
    <mergeCell ref="A1677:E1677"/>
    <mergeCell ref="B1194:G1194"/>
    <mergeCell ref="A5317:G5317"/>
    <mergeCell ref="A188:E188"/>
    <mergeCell ref="A1214:E1214"/>
    <mergeCell ref="A1250:E1250"/>
    <mergeCell ref="A4848:E4848"/>
    <mergeCell ref="A68:E68"/>
    <mergeCell ref="A190:E190"/>
    <mergeCell ref="A4421:E4421"/>
    <mergeCell ref="B5128:G5128"/>
    <mergeCell ref="A4850:E4850"/>
    <mergeCell ref="B3948:G3948"/>
    <mergeCell ref="A1005:G1005"/>
    <mergeCell ref="A490:E490"/>
    <mergeCell ref="A4849:E4849"/>
    <mergeCell ref="A5333:G5333"/>
    <mergeCell ref="A2934:E2934"/>
    <mergeCell ref="A4422:E4422"/>
    <mergeCell ref="A4553:E4553"/>
    <mergeCell ref="A1576:E1576"/>
    <mergeCell ref="A5149:E5149"/>
    <mergeCell ref="B609:G609"/>
    <mergeCell ref="A1390:E1390"/>
    <mergeCell ref="A2330:G2330"/>
    <mergeCell ref="B146:G146"/>
    <mergeCell ref="A3243:G3243"/>
    <mergeCell ref="B2607:G2607"/>
    <mergeCell ref="B2911:G2911"/>
    <mergeCell ref="A4573:G4573"/>
    <mergeCell ref="B820:G820"/>
    <mergeCell ref="A2660:E2660"/>
    <mergeCell ref="A3850:E3850"/>
    <mergeCell ref="B2606:G2606"/>
    <mergeCell ref="B1845:G1845"/>
    <mergeCell ref="A3081:E3081"/>
    <mergeCell ref="B3029:G3029"/>
    <mergeCell ref="A3379:E3379"/>
    <mergeCell ref="A1294:E1294"/>
    <mergeCell ref="A2662:E2662"/>
    <mergeCell ref="B1120:G1120"/>
    <mergeCell ref="A2960:E2960"/>
    <mergeCell ref="A875:E875"/>
    <mergeCell ref="B5181:G5181"/>
    <mergeCell ref="A4473:E4473"/>
    <mergeCell ref="A4448:E4448"/>
    <mergeCell ref="A1602:E1602"/>
    <mergeCell ref="B777:G777"/>
    <mergeCell ref="A1296:E1296"/>
    <mergeCell ref="A4475:E4475"/>
    <mergeCell ref="A2023:E2023"/>
    <mergeCell ref="A2365:E2365"/>
    <mergeCell ref="A2663:E2663"/>
    <mergeCell ref="A3478:G3478"/>
    <mergeCell ref="A1903:G1903"/>
    <mergeCell ref="A2717:G2717"/>
    <mergeCell ref="B1565:G1565"/>
    <mergeCell ref="A559:E559"/>
    <mergeCell ref="A2077:E2077"/>
    <mergeCell ref="A2652:E2652"/>
    <mergeCell ref="A3017:G3017"/>
    <mergeCell ref="A4920:E4920"/>
    <mergeCell ref="B2778:G2778"/>
    <mergeCell ref="A2076:E2076"/>
    <mergeCell ref="B2619:G2619"/>
    <mergeCell ref="B805:G805"/>
    <mergeCell ref="A4657:G4657"/>
    <mergeCell ref="A560:E560"/>
    <mergeCell ref="A5264:E5264"/>
    <mergeCell ref="A3890:E3890"/>
    <mergeCell ref="A441:G441"/>
    <mergeCell ref="A4188:E4188"/>
    <mergeCell ref="A3433:E3433"/>
    <mergeCell ref="A264:E264"/>
    <mergeCell ref="A2105:G2105"/>
    <mergeCell ref="A5249:E5249"/>
    <mergeCell ref="A4339:G4339"/>
    <mergeCell ref="A1617:E1617"/>
    <mergeCell ref="B1916:G1916"/>
    <mergeCell ref="A3620:G3620"/>
    <mergeCell ref="A1462:E1462"/>
    <mergeCell ref="B5406:G5406"/>
    <mergeCell ref="A3193:G3193"/>
    <mergeCell ref="A4519:E4519"/>
    <mergeCell ref="A3758:E3758"/>
    <mergeCell ref="B131:G131"/>
    <mergeCell ref="A4092:E4092"/>
    <mergeCell ref="A2517:E2517"/>
    <mergeCell ref="B518:G518"/>
    <mergeCell ref="A1544:E1544"/>
    <mergeCell ref="B1192:G1192"/>
    <mergeCell ref="A3787:E3787"/>
    <mergeCell ref="B2245:G2245"/>
    <mergeCell ref="A3918:E3918"/>
    <mergeCell ref="A2271:E2271"/>
    <mergeCell ref="A3461:E3461"/>
    <mergeCell ref="A3759:E3759"/>
    <mergeCell ref="A2062:E2062"/>
    <mergeCell ref="A1546:E1546"/>
    <mergeCell ref="A275:E275"/>
    <mergeCell ref="A2736:E2736"/>
    <mergeCell ref="A3789:E3789"/>
    <mergeCell ref="A4093:E4093"/>
    <mergeCell ref="B4490:G4490"/>
    <mergeCell ref="A1545:E1545"/>
    <mergeCell ref="A4516:E4516"/>
    <mergeCell ref="A3761:E3761"/>
    <mergeCell ref="B4033:G4033"/>
    <mergeCell ref="A3788:E3788"/>
    <mergeCell ref="B4462:G4462"/>
    <mergeCell ref="A4847:E4847"/>
    <mergeCell ref="A1847:G1847"/>
    <mergeCell ref="A60:G60"/>
    <mergeCell ref="A2574:G2574"/>
    <mergeCell ref="B2385:G2385"/>
    <mergeCell ref="A204:E204"/>
    <mergeCell ref="B1666:G1666"/>
    <mergeCell ref="B2692:G2692"/>
    <mergeCell ref="B905:G905"/>
    <mergeCell ref="B144:G144"/>
    <mergeCell ref="A3174:E3174"/>
    <mergeCell ref="A1265:E1265"/>
    <mergeCell ref="A206:E206"/>
    <mergeCell ref="A2449:E2449"/>
    <mergeCell ref="B3663:G3663"/>
    <mergeCell ref="A2747:E2747"/>
    <mergeCell ref="A5330:E5330"/>
    <mergeCell ref="A4235:E4235"/>
    <mergeCell ref="A3176:E3176"/>
    <mergeCell ref="A3474:E3474"/>
    <mergeCell ref="B3746:G3746"/>
    <mergeCell ref="A1383:E1383"/>
    <mergeCell ref="A4446:E4446"/>
    <mergeCell ref="A2749:E2749"/>
    <mergeCell ref="A2661:E2661"/>
    <mergeCell ref="B3043:G3043"/>
    <mergeCell ref="A346:E346"/>
    <mergeCell ref="A3986:G3986"/>
    <mergeCell ref="B1345:G1345"/>
    <mergeCell ref="A41:E41"/>
    <mergeCell ref="A4740:G4740"/>
    <mergeCell ref="A2800:E2800"/>
    <mergeCell ref="B3072:G3072"/>
    <mergeCell ref="A375:E375"/>
    <mergeCell ref="A1311:E1311"/>
    <mergeCell ref="B3044:G3044"/>
    <mergeCell ref="A3861:E3861"/>
    <mergeCell ref="A5191:E5191"/>
    <mergeCell ref="A3404:E3404"/>
    <mergeCell ref="A4588:E4588"/>
    <mergeCell ref="A973:E973"/>
    <mergeCell ref="B4099:G4099"/>
    <mergeCell ref="B2014:G2014"/>
    <mergeCell ref="A1402:E1402"/>
    <mergeCell ref="A1498:G1498"/>
    <mergeCell ref="A5220:E5220"/>
    <mergeCell ref="A4459:E4459"/>
    <mergeCell ref="A1124:G1124"/>
    <mergeCell ref="B646:G646"/>
    <mergeCell ref="B944:G944"/>
    <mergeCell ref="B3100:G3100"/>
    <mergeCell ref="B673:G673"/>
    <mergeCell ref="B977:G977"/>
    <mergeCell ref="A1758:E1758"/>
    <mergeCell ref="A1733:E1733"/>
    <mergeCell ref="B1269:G1269"/>
    <mergeCell ref="B2040:G2040"/>
    <mergeCell ref="A2086:E2086"/>
    <mergeCell ref="B4463:G4463"/>
    <mergeCell ref="B3729:G3729"/>
    <mergeCell ref="A5129:G5129"/>
    <mergeCell ref="A1787:E1787"/>
    <mergeCell ref="A728:E728"/>
    <mergeCell ref="B1271:G1271"/>
    <mergeCell ref="A2813:E2813"/>
    <mergeCell ref="A5062:E5062"/>
    <mergeCell ref="B3057:G3057"/>
    <mergeCell ref="A1631:E1631"/>
    <mergeCell ref="A1482:G1482"/>
    <mergeCell ref="B3731:G3731"/>
    <mergeCell ref="A4518:E4518"/>
    <mergeCell ref="A3874:E3874"/>
    <mergeCell ref="A2087:E2087"/>
    <mergeCell ref="A5362:E5362"/>
    <mergeCell ref="A1326:E1326"/>
    <mergeCell ref="A4968:E4968"/>
    <mergeCell ref="A2516:E2516"/>
    <mergeCell ref="A3569:E3569"/>
    <mergeCell ref="A2814:E2814"/>
    <mergeCell ref="A3786:E3786"/>
    <mergeCell ref="A4699:G4699"/>
    <mergeCell ref="A1813:E1813"/>
    <mergeCell ref="A1044:E1044"/>
    <mergeCell ref="B115:G115"/>
    <mergeCell ref="A2847:E2847"/>
    <mergeCell ref="A3602:E3602"/>
    <mergeCell ref="B4170:G4170"/>
    <mergeCell ref="A1815:E1815"/>
    <mergeCell ref="A1771:E1771"/>
    <mergeCell ref="A2113:E2113"/>
    <mergeCell ref="A293:E293"/>
    <mergeCell ref="A897:G897"/>
    <mergeCell ref="A3927:E3927"/>
    <mergeCell ref="A2140:E2140"/>
    <mergeCell ref="A747:E747"/>
    <mergeCell ref="B4634:G4634"/>
    <mergeCell ref="A5415:E5415"/>
    <mergeCell ref="B2841:G2841"/>
    <mergeCell ref="B4171:G4171"/>
    <mergeCell ref="A3804:E3804"/>
    <mergeCell ref="A2596:G2596"/>
    <mergeCell ref="A926:G926"/>
    <mergeCell ref="B4505:G4505"/>
    <mergeCell ref="A3201:E3201"/>
    <mergeCell ref="A4531:E4531"/>
    <mergeCell ref="A3499:E3499"/>
    <mergeCell ref="A600:G600"/>
    <mergeCell ref="B1957:G1957"/>
    <mergeCell ref="A3770:E3770"/>
    <mergeCell ref="A5417:E5417"/>
    <mergeCell ref="A3928:E3928"/>
    <mergeCell ref="B712:G712"/>
    <mergeCell ref="A3501:E3501"/>
    <mergeCell ref="A3230:G3230"/>
    <mergeCell ref="A469:E469"/>
    <mergeCell ref="A773:E773"/>
    <mergeCell ref="B1316:G1316"/>
    <mergeCell ref="A1799:E1799"/>
    <mergeCell ref="A12:E12"/>
    <mergeCell ref="A3652:G3652"/>
    <mergeCell ref="A3646:E3646"/>
    <mergeCell ref="B2104:G2104"/>
    <mergeCell ref="A5312:E5312"/>
    <mergeCell ref="A2885:E2885"/>
    <mergeCell ref="A775:E775"/>
    <mergeCell ref="A1582:G1582"/>
    <mergeCell ref="A14:E14"/>
    <mergeCell ref="B924:G924"/>
    <mergeCell ref="B5283:G5283"/>
    <mergeCell ref="B584:G584"/>
    <mergeCell ref="B2412:G2412"/>
    <mergeCell ref="A2580:E2580"/>
    <mergeCell ref="B4558:G4558"/>
    <mergeCell ref="A4261:E4261"/>
    <mergeCell ref="B4533:G4533"/>
    <mergeCell ref="A3946:E3946"/>
    <mergeCell ref="A3527:E3527"/>
    <mergeCell ref="B1985:G1985"/>
    <mergeCell ref="A2886:E2886"/>
    <mergeCell ref="A822:G822"/>
    <mergeCell ref="A3187:E3187"/>
    <mergeCell ref="A2767:G2767"/>
    <mergeCell ref="A1400:E1400"/>
    <mergeCell ref="B2130:G2130"/>
    <mergeCell ref="B731:G731"/>
    <mergeCell ref="B337:G337"/>
    <mergeCell ref="A4764:G4764"/>
    <mergeCell ref="B1100:G1100"/>
    <mergeCell ref="A2523:G2523"/>
    <mergeCell ref="A3211:E3211"/>
    <mergeCell ref="B339:G339"/>
    <mergeCell ref="B4698:G4698"/>
    <mergeCell ref="A25:E25"/>
    <mergeCell ref="A1460:E1460"/>
    <mergeCell ref="A1731:E1731"/>
    <mergeCell ref="A3999:E3999"/>
    <mergeCell ref="A997:E997"/>
    <mergeCell ref="A236:E236"/>
    <mergeCell ref="B4998:G4998"/>
    <mergeCell ref="A2479:E2479"/>
    <mergeCell ref="A4631:E4631"/>
    <mergeCell ref="A1760:E1760"/>
    <mergeCell ref="A5060:E5060"/>
    <mergeCell ref="B3518:G3518"/>
    <mergeCell ref="A999:E999"/>
    <mergeCell ref="A1297:E1297"/>
    <mergeCell ref="A5352:E5352"/>
    <mergeCell ref="A3540:E3540"/>
    <mergeCell ref="B2481:G2481"/>
    <mergeCell ref="A2234:G2234"/>
    <mergeCell ref="B365:G365"/>
    <mergeCell ref="A3567:E3567"/>
    <mergeCell ref="A2812:E2812"/>
    <mergeCell ref="B3086:G3086"/>
    <mergeCell ref="B1416:G1416"/>
    <mergeCell ref="B2054:G2054"/>
    <mergeCell ref="A112:E112"/>
    <mergeCell ref="A1600:E1600"/>
    <mergeCell ref="A2626:E2626"/>
    <mergeCell ref="B58:G58"/>
    <mergeCell ref="A5240:G5240"/>
    <mergeCell ref="A4628:E4628"/>
    <mergeCell ref="B1301:G1301"/>
    <mergeCell ref="A1444:E1444"/>
    <mergeCell ref="A3135:E3135"/>
    <mergeCell ref="A3687:E3687"/>
    <mergeCell ref="B3836:G3836"/>
    <mergeCell ref="A2536:G2536"/>
    <mergeCell ref="B1330:G1330"/>
    <mergeCell ref="B2356:G2356"/>
    <mergeCell ref="A2111:E2111"/>
    <mergeCell ref="A2409:E2409"/>
    <mergeCell ref="A4310:E4310"/>
    <mergeCell ref="A3593:E3593"/>
    <mergeCell ref="A2838:E2838"/>
    <mergeCell ref="A1141:E1141"/>
    <mergeCell ref="A4652:E4652"/>
    <mergeCell ref="A2874:E2874"/>
    <mergeCell ref="A5388:E5388"/>
    <mergeCell ref="A565:G565"/>
    <mergeCell ref="A624:E624"/>
    <mergeCell ref="A4078:G4078"/>
    <mergeCell ref="A2711:E2711"/>
    <mergeCell ref="A162:G162"/>
    <mergeCell ref="B5253:G5253"/>
    <mergeCell ref="A2556:E2556"/>
    <mergeCell ref="A1346:G1346"/>
    <mergeCell ref="B2067:G2067"/>
    <mergeCell ref="B4012:G4012"/>
    <mergeCell ref="B280:G280"/>
    <mergeCell ref="B2496:G2496"/>
    <mergeCell ref="B1464:G1464"/>
    <mergeCell ref="B4739:G4739"/>
    <mergeCell ref="B2654:G2654"/>
    <mergeCell ref="B2830:G2830"/>
    <mergeCell ref="A1069:E1069"/>
    <mergeCell ref="A5099:E5099"/>
    <mergeCell ref="A5124:E5124"/>
    <mergeCell ref="B5254:G5254"/>
    <mergeCell ref="A3312:E3312"/>
    <mergeCell ref="B711:G711"/>
    <mergeCell ref="A642:E642"/>
    <mergeCell ref="A5310:E5310"/>
    <mergeCell ref="A1826:E1826"/>
    <mergeCell ref="A5101:E5101"/>
    <mergeCell ref="A2124:E2124"/>
    <mergeCell ref="A3314:E3314"/>
    <mergeCell ref="B3254:G3254"/>
    <mergeCell ref="B2522:G2522"/>
    <mergeCell ref="A945:G945"/>
    <mergeCell ref="A4427:G4427"/>
    <mergeCell ref="A1508:E1508"/>
    <mergeCell ref="B3608:G3608"/>
    <mergeCell ref="A2302:G2302"/>
    <mergeCell ref="A1549:G1549"/>
    <mergeCell ref="B1790:G1790"/>
    <mergeCell ref="A1239:E1239"/>
    <mergeCell ref="B1027:G1027"/>
    <mergeCell ref="B310:G310"/>
    <mergeCell ref="A1966:E1966"/>
    <mergeCell ref="B5:G5"/>
    <mergeCell ref="B3305:G3305"/>
    <mergeCell ref="B4242:G4242"/>
    <mergeCell ref="B1396:G1396"/>
    <mergeCell ref="A3236:E3236"/>
    <mergeCell ref="A2177:E2177"/>
    <mergeCell ref="B1694:G1694"/>
    <mergeCell ref="A2152:E2152"/>
    <mergeCell ref="A3027:E3027"/>
    <mergeCell ref="A3963:E3963"/>
    <mergeCell ref="A5147:E5147"/>
    <mergeCell ref="A3238:E3238"/>
    <mergeCell ref="A4568:E4568"/>
    <mergeCell ref="A1696:G1696"/>
    <mergeCell ref="A1723:G1723"/>
    <mergeCell ref="A3538:E3538"/>
    <mergeCell ref="A2015:G2015"/>
    <mergeCell ref="A83:E83"/>
    <mergeCell ref="B4697:G4697"/>
    <mergeCell ref="B452:G452"/>
    <mergeCell ref="B750:G750"/>
    <mergeCell ref="A2353:E2353"/>
    <mergeCell ref="A2651:E2651"/>
    <mergeCell ref="A1896:E1896"/>
    <mergeCell ref="B2439:G2439"/>
    <mergeCell ref="A2922:E2922"/>
    <mergeCell ref="B4384:G4384"/>
    <mergeCell ref="B4997:G4997"/>
    <mergeCell ref="B2912:G2912"/>
    <mergeCell ref="A3080:E3080"/>
    <mergeCell ref="A4139:E4139"/>
    <mergeCell ref="B5022:G5022"/>
    <mergeCell ref="A3378:E3378"/>
    <mergeCell ref="A5165:E5165"/>
    <mergeCell ref="B3204:G3204"/>
    <mergeCell ref="B2143:G2143"/>
    <mergeCell ref="A2957:E2957"/>
    <mergeCell ref="A1898:E1898"/>
    <mergeCell ref="A3249:E3249"/>
    <mergeCell ref="A2190:E2190"/>
    <mergeCell ref="B1707:G1707"/>
    <mergeCell ref="A4141:E4141"/>
    <mergeCell ref="A3380:E3380"/>
    <mergeCell ref="B4290:G4290"/>
    <mergeCell ref="A4650:E4650"/>
    <mergeCell ref="A3251:E3251"/>
    <mergeCell ref="A1166:E1166"/>
    <mergeCell ref="A5377:E5377"/>
    <mergeCell ref="A4615:G4615"/>
    <mergeCell ref="A1622:G1622"/>
    <mergeCell ref="A863:E863"/>
    <mergeCell ref="B380:G380"/>
    <mergeCell ref="B1433:G1433"/>
    <mergeCell ref="B1564:G1564"/>
    <mergeCell ref="A1317:G1317"/>
    <mergeCell ref="A436:E436"/>
    <mergeCell ref="A4009:E4009"/>
    <mergeCell ref="A1924:E1924"/>
    <mergeCell ref="B2467:G2467"/>
    <mergeCell ref="B4437:G4437"/>
    <mergeCell ref="A848:E848"/>
    <mergeCell ref="A1190:E1190"/>
    <mergeCell ref="B674:G674"/>
    <mergeCell ref="A2038:E2038"/>
    <mergeCell ref="B4314:G4314"/>
    <mergeCell ref="B253:G253"/>
    <mergeCell ref="A3277:E3277"/>
    <mergeCell ref="B4737:G4737"/>
    <mergeCell ref="A437:E437"/>
    <mergeCell ref="B5079:G5079"/>
    <mergeCell ref="B2950:G2950"/>
    <mergeCell ref="A2338:E2338"/>
    <mergeCell ref="B5037:G5037"/>
    <mergeCell ref="A124:E124"/>
    <mergeCell ref="A1492:E1492"/>
    <mergeCell ref="A5090:E5090"/>
    <mergeCell ref="B4738:G4738"/>
    <mergeCell ref="A1973:G1973"/>
    <mergeCell ref="B5036:G5036"/>
    <mergeCell ref="A1764:G1764"/>
    <mergeCell ref="A2849:E2849"/>
    <mergeCell ref="B5366:G5366"/>
    <mergeCell ref="A447:E447"/>
    <mergeCell ref="B2547:G2547"/>
    <mergeCell ref="B850:G850"/>
    <mergeCell ref="B4763:G4763"/>
    <mergeCell ref="B1148:G1148"/>
    <mergeCell ref="A876:E876"/>
    <mergeCell ref="B89:G89"/>
    <mergeCell ref="B393:G393"/>
    <mergeCell ref="B2976:G2976"/>
    <mergeCell ref="A2729:G2729"/>
    <mergeCell ref="A6:G6"/>
    <mergeCell ref="B3152:G3152"/>
    <mergeCell ref="B4336:G4336"/>
    <mergeCell ref="A449:E449"/>
    <mergeCell ref="A607:E607"/>
    <mergeCell ref="A878:E878"/>
    <mergeCell ref="B395:G395"/>
    <mergeCell ref="B693:G693"/>
    <mergeCell ref="B4335:G4335"/>
    <mergeCell ref="A2725:E2725"/>
    <mergeCell ref="B1481:G1481"/>
    <mergeCell ref="A1939:E1939"/>
    <mergeCell ref="A2604:E2604"/>
    <mergeCell ref="B4337:G4337"/>
    <mergeCell ref="A450:E450"/>
    <mergeCell ref="B4635:G4635"/>
    <mergeCell ref="A4803:E4803"/>
    <mergeCell ref="A3744:E3744"/>
    <mergeCell ref="A3025:E3025"/>
    <mergeCell ref="A3638:E3638"/>
    <mergeCell ref="A5020:E5020"/>
    <mergeCell ref="A3323:E3323"/>
    <mergeCell ref="A4691:E4691"/>
    <mergeCell ref="A4050:E4050"/>
    <mergeCell ref="A3087:G3087"/>
    <mergeCell ref="B17:G17"/>
    <mergeCell ref="A662:G662"/>
    <mergeCell ref="B2233:G2233"/>
    <mergeCell ref="A291:E291"/>
    <mergeCell ref="A2144:G2144"/>
    <mergeCell ref="A2593:E2593"/>
    <mergeCell ref="B2865:G2865"/>
    <mergeCell ref="B1051:G1051"/>
    <mergeCell ref="A1561:E1561"/>
    <mergeCell ref="A4148:G4148"/>
    <mergeCell ref="A3808:G3808"/>
    <mergeCell ref="A1650:E1650"/>
    <mergeCell ref="B2560:G2560"/>
    <mergeCell ref="A3205:G3205"/>
    <mergeCell ref="B2691:G2691"/>
    <mergeCell ref="B2989:G2989"/>
    <mergeCell ref="A4381:E4381"/>
    <mergeCell ref="A1562:E1562"/>
    <mergeCell ref="B4075:G4075"/>
    <mergeCell ref="A3505:G3505"/>
    <mergeCell ref="A5163:E5163"/>
    <mergeCell ref="A4435:E4435"/>
    <mergeCell ref="A3351:E3351"/>
    <mergeCell ref="A374:E374"/>
    <mergeCell ref="A1266:E1266"/>
    <mergeCell ref="A803:E803"/>
    <mergeCell ref="A5192:E5192"/>
    <mergeCell ref="A4735:E4735"/>
    <mergeCell ref="B159:G159"/>
    <mergeCell ref="A5164:E5164"/>
    <mergeCell ref="B764:G764"/>
    <mergeCell ref="A2372:G2372"/>
    <mergeCell ref="B1220:G1220"/>
    <mergeCell ref="B161:G161"/>
    <mergeCell ref="A3556:G3556"/>
    <mergeCell ref="B915:G915"/>
    <mergeCell ref="A1705:E1705"/>
    <mergeCell ref="B1860:G1860"/>
    <mergeCell ref="A2009:E2009"/>
    <mergeCell ref="A3700:E3700"/>
    <mergeCell ref="B4401:G4401"/>
    <mergeCell ref="B2194:G2194"/>
    <mergeCell ref="A3101:G3101"/>
    <mergeCell ref="B3676:G3676"/>
    <mergeCell ref="A3702:E3702"/>
    <mergeCell ref="A1575:E1575"/>
    <mergeCell ref="A3275:E3275"/>
    <mergeCell ref="B1217:G1217"/>
    <mergeCell ref="A5061:E5061"/>
    <mergeCell ref="A1279:E1279"/>
    <mergeCell ref="A1577:E1577"/>
    <mergeCell ref="B3677:G3677"/>
    <mergeCell ref="A2819:G2819"/>
    <mergeCell ref="A1788:E1788"/>
    <mergeCell ref="A4031:E4031"/>
    <mergeCell ref="A3269:G3269"/>
    <mergeCell ref="B3692:G3692"/>
    <mergeCell ref="A1633:E1633"/>
    <mergeCell ref="B821:G821"/>
    <mergeCell ref="A234:E234"/>
    <mergeCell ref="A3876:E3876"/>
    <mergeCell ref="A2358:G2358"/>
    <mergeCell ref="B59:G59"/>
    <mergeCell ref="A2688:E2688"/>
    <mergeCell ref="A1295:E1295"/>
    <mergeCell ref="B1146:G1146"/>
    <mergeCell ref="A2986:E2986"/>
    <mergeCell ref="A901:E901"/>
    <mergeCell ref="A656:E656"/>
    <mergeCell ref="B1873:G1873"/>
    <mergeCell ref="A3713:E3713"/>
    <mergeCell ref="B4122:G4122"/>
    <mergeCell ref="B5393:G5393"/>
    <mergeCell ref="A298:G298"/>
    <mergeCell ref="B2329:G2329"/>
    <mergeCell ref="A1173:G1173"/>
    <mergeCell ref="A903:E903"/>
    <mergeCell ref="A116:G116"/>
    <mergeCell ref="A2531:E2531"/>
    <mergeCell ref="B3572:G3572"/>
    <mergeCell ref="A2689:E2689"/>
    <mergeCell ref="B1147:G1147"/>
    <mergeCell ref="A5150:E5150"/>
    <mergeCell ref="A5203:E5203"/>
    <mergeCell ref="B3906:G3906"/>
    <mergeCell ref="B4633:G4633"/>
    <mergeCell ref="A3933:G3933"/>
    <mergeCell ref="B1172:G1172"/>
    <mergeCell ref="B3690:G3690"/>
    <mergeCell ref="A5117:G5117"/>
    <mergeCell ref="B1286:G1286"/>
    <mergeCell ref="B865:G865"/>
    <mergeCell ref="A745:E745"/>
    <mergeCell ref="B1901:G1901"/>
    <mergeCell ref="A1043:E1043"/>
    <mergeCell ref="B114:G114"/>
    <mergeCell ref="A1341:E1341"/>
    <mergeCell ref="A1648:E1648"/>
    <mergeCell ref="B4807:G4807"/>
    <mergeCell ref="A616:E616"/>
    <mergeCell ref="B3748:G3748"/>
    <mergeCell ref="A4529:E4529"/>
    <mergeCell ref="A3136:E3136"/>
    <mergeCell ref="B5078:G5078"/>
    <mergeCell ref="B2962:G2962"/>
    <mergeCell ref="A4189:E4189"/>
    <mergeCell ref="A1045:E1045"/>
    <mergeCell ref="A290:E290"/>
    <mergeCell ref="A4827:E4827"/>
    <mergeCell ref="A1343:E1343"/>
    <mergeCell ref="A2673:E2673"/>
    <mergeCell ref="A2585:G2585"/>
    <mergeCell ref="A3645:E3645"/>
    <mergeCell ref="A2613:E2613"/>
    <mergeCell ref="B3016:G3016"/>
    <mergeCell ref="A2702:E2702"/>
    <mergeCell ref="A617:E617"/>
    <mergeCell ref="B130:G130"/>
    <mergeCell ref="A3647:E3647"/>
    <mergeCell ref="A2615:E2615"/>
    <mergeCell ref="A3945:E3945"/>
    <mergeCell ref="B1314:G1314"/>
    <mergeCell ref="A312:G312"/>
    <mergeCell ref="A615:E615"/>
    <mergeCell ref="B1620:G1620"/>
    <mergeCell ref="A492:E492"/>
    <mergeCell ref="A614:E614"/>
    <mergeCell ref="A3641:G3641"/>
    <mergeCell ref="A2760:E2760"/>
    <mergeCell ref="A606:E606"/>
    <mergeCell ref="A948:E948"/>
    <mergeCell ref="B3776:G3776"/>
    <mergeCell ref="A942:E942"/>
    <mergeCell ref="B4829:G4829"/>
    <mergeCell ref="A3487:E3487"/>
    <mergeCell ref="B4949:G4949"/>
    <mergeCell ref="A2762:E2762"/>
    <mergeCell ref="A3815:E3815"/>
    <mergeCell ref="A1730:E1730"/>
    <mergeCell ref="B2273:G2273"/>
    <mergeCell ref="A189:E189"/>
    <mergeCell ref="A4542:E4542"/>
    <mergeCell ref="A4759:E4759"/>
    <mergeCell ref="A3816:E3816"/>
    <mergeCell ref="B2274:G2274"/>
    <mergeCell ref="A2029:G2029"/>
    <mergeCell ref="A5059:E5059"/>
    <mergeCell ref="A4116:E4116"/>
    <mergeCell ref="B3489:G3489"/>
    <mergeCell ref="B2728:G2728"/>
    <mergeCell ref="B2000:G2000"/>
    <mergeCell ref="A2773:E2773"/>
    <mergeCell ref="A688:E688"/>
    <mergeCell ref="A2354:E2354"/>
    <mergeCell ref="A3202:E3202"/>
    <mergeCell ref="A3500:E3500"/>
    <mergeCell ref="B2300:G2300"/>
    <mergeCell ref="B1241:G1241"/>
    <mergeCell ref="A996:E996"/>
    <mergeCell ref="A5233:E5233"/>
    <mergeCell ref="A4472:E4472"/>
    <mergeCell ref="B4875:G4875"/>
    <mergeCell ref="B4120:G4120"/>
    <mergeCell ref="A1601:E1601"/>
    <mergeCell ref="A2476:E2476"/>
    <mergeCell ref="A3083:E3083"/>
    <mergeCell ref="A5235:E5235"/>
    <mergeCell ref="B4570:G4570"/>
    <mergeCell ref="A4474:E4474"/>
    <mergeCell ref="A2687:E2687"/>
    <mergeCell ref="A2655:G2655"/>
    <mergeCell ref="A1596:G1596"/>
    <mergeCell ref="A2985:E2985"/>
    <mergeCell ref="B4899:G4899"/>
    <mergeCell ref="A251:E251"/>
    <mergeCell ref="A558:E558"/>
    <mergeCell ref="A2801:E2801"/>
    <mergeCell ref="B4146:G4146"/>
    <mergeCell ref="B1417:G1417"/>
    <mergeCell ref="B4438:G4438"/>
    <mergeCell ref="A1443:E1443"/>
    <mergeCell ref="B2013:G2013"/>
    <mergeCell ref="B954:G954"/>
    <mergeCell ref="A709:E709"/>
    <mergeCell ref="A3887:E3887"/>
    <mergeCell ref="A2828:E2828"/>
    <mergeCell ref="A3862:E3862"/>
    <mergeCell ref="A2075:E2075"/>
    <mergeCell ref="A5375:E5375"/>
    <mergeCell ref="B1171:G1171"/>
    <mergeCell ref="B1285:G1285"/>
    <mergeCell ref="A3889:E3889"/>
    <mergeCell ref="A3134:E3134"/>
  </mergeCells>
  <conditionalFormatting sqref="F14 F27 F42 F55 F69 F85 F98 F111 F126 F141 F156 F173 F190 F206 F222 F236 F250 F264 F277 F292 F306 F320 F334 F348 F362 F376 F390 F404 F420 F436 F449 F470 F491 F514 F537 F559 F581 F595 F606 F616 F626 F642 F656 F670 F689 F708 F727 F746 F760 F774 F788 F802 F817 F832 F847 F862 F877 F892 F902 F911 F921 F931 F941 F950 F973 F998 F1022 F1045 F1070 F1094 F1117 F1142 F1166 F1189 F1214 F1238 F1252 F1266 F1281 F1296 F1311 F1326 F1342 F1362 F1382 F1392 F1402 F1413 F1429 F1445 F1461 F1477 F1493 F1510 F1529 F1545 F1561 F1577 F1592 F1602 F1617 F1633 F1649 F1663 F1677 F1691 F1704 F1718 F1732 F1746 F1759 F1773 F1787 F1801 F1814 F1828 F1842 F1856 F1870 F1884 F1898 F1912 F1926 F1940 F1954 F1968 F1982 F1996 F2010 F2024 F2037 F2050 F2063 F2076 F2087 F2100 F2113 F2126 F2139 F2152 F2165 F2178 F2191 F2204 F2217 F2230 F2242 F2256 F2270 F2284 F2297 F2311 F2325 F2339 F2353 F2367 F2381 F2395 F2409 F2423 F2436 F2450 F2464 F2478 F2492 F2505 F2518 F2531 F2544 F2557 F2570 F2581 F2592 F2603 F2615 F2627 F2639 F2651 F2662 F2675 F2688 F2701 F2713 F2725 F2737 F2749 F2762 F2775 F2788 F2801 F2814 F2827 F2838 F2849 F2861 F2873 F2885 F2897 F2908 F2921 F2934 F2947 F2959 F2972 F2985 F2998 F3012 F3026 F3040 F3054 F3068 F3082 F3096 F3110 F3123 F3136 F3149 F3162 F3175 F3188 F3201 F3212 F3225 F3238 F3251 F3264 F3277 F3290 F3302 F3314 F3325 F3352 F3379 F3406 F3433 F3460 F3473 F3486 F3500 F3514 F3527 F3540 F3552 F3568 F3582 F3593 F3604 F3615 F3626 F3637 F3647 F3660 F3673 F3687 F3701 F3714 F3726 F3743 F3760 F3772 F3788 F3804 F3816 F3833 F3850 F3863 F3876 F3889 F3903 F3917 F3929 F3945 F3963 F3981 F3998 F4009 F4030 F4051 F4072 F4093 F4116 F4141 F4165 F4188 F4213 F4237 F4260 F4285 F4309 F4332 F4357 F4381 F4397 F4412 F4423 F4434 F4448 F4459 F4474 F4486 F4502 F4518 F4530 F4542 F4554 F4567 F4588 F4609 F4630 F4651 F4672 F4693 F4712 F4734 F4759 F4781 F4803 F4826 F4849 F4872 F4895 F4920 F4944 F4970 F4994 F5019 F5033 F5047 F5061 F5075 F5089 F5101 F5113 F5125 F5137 F5149 F5165 F5177 F5191 F5205 F5220 F5235 F5250 F5265 F5280 F5295 F5312 F5329 F5340 F5352 F5363 F5377 F5390 F5403 F5416">
    <cfRule type="cellIs" priority="1" operator="notBetween" dxfId="0">
      <formula>-0.05</formula>
      <formula>0.05</formula>
    </cfRule>
  </conditionalFormatting>
  <hyperlinks>
    <hyperlink xmlns:r="http://schemas.openxmlformats.org/officeDocument/2006/relationships" ref="A1610"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8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10: STEEL WORK</t>
        </is>
      </c>
    </row>
    <row r="2" ht="28" customHeight="1">
      <c r="A2" s="16" t="inlineStr">
        <is>
          <t>53 priced items. Amount and Calculated W are live Excel formulas (Quantity x Rate, SUM); the printed W and SAY are the DAR's own figures. Edit any Quantity or Rate and the item's calculated W recalculates.</t>
        </is>
      </c>
    </row>
    <row r="4" ht="33" customHeight="1">
      <c r="A4" s="18" t="inlineStr">
        <is>
          <t>10.1</t>
        </is>
      </c>
      <c r="B4" s="19" t="inlineStr">
        <is>
          <t>Structural steel work in single section, fixed with or without connecting plate, including cutting, hoisting, fixing in position and applying a priming coat of approved steel primer all complete.</t>
        </is>
      </c>
      <c r="C4" s="20" t="n"/>
      <c r="D4" s="20" t="n"/>
      <c r="E4" s="20" t="n"/>
      <c r="F4" s="20" t="n"/>
      <c r="G4" s="20" t="n"/>
    </row>
    <row r="5">
      <c r="A5" s="21" t="inlineStr">
        <is>
          <t>Details of cost for 1 quintal   |   Source: CivilDAR_2019_Vol_1.pdf, page 676</t>
        </is>
      </c>
    </row>
    <row r="6">
      <c r="A6" s="5" t="inlineStr">
        <is>
          <t>Code</t>
        </is>
      </c>
      <c r="B6" s="5" t="inlineStr">
        <is>
          <t>Description</t>
        </is>
      </c>
      <c r="C6" s="5" t="inlineStr">
        <is>
          <t>Unit</t>
        </is>
      </c>
      <c r="D6" s="5" t="inlineStr">
        <is>
          <t>Quantity</t>
        </is>
      </c>
      <c r="E6" s="5" t="inlineStr">
        <is>
          <t>Rate (Rs.)</t>
        </is>
      </c>
      <c r="F6" s="5" t="inlineStr">
        <is>
          <t>Amount (Rs.)</t>
        </is>
      </c>
      <c r="G6" s="5" t="inlineStr">
        <is>
          <t>Note</t>
        </is>
      </c>
    </row>
    <row r="7">
      <c r="A7" s="22" t="inlineStr">
        <is>
          <t>1007</t>
        </is>
      </c>
      <c r="B7" s="11" t="inlineStr">
        <is>
          <t>Structurals such as tees,angles channels and R.S. joists</t>
        </is>
      </c>
      <c r="C7" s="22" t="inlineStr">
        <is>
          <t>quintal</t>
        </is>
      </c>
      <c r="D7" s="23" t="n">
        <v>1.05</v>
      </c>
      <c r="E7" s="24" t="n">
        <v>4600</v>
      </c>
      <c r="F7" s="24">
        <f>D7*E7</f>
        <v/>
      </c>
      <c r="G7" s="22" t="n"/>
    </row>
    <row r="8">
      <c r="A8" s="22" t="inlineStr">
        <is>
          <t>2205</t>
        </is>
      </c>
      <c r="B8" s="11" t="inlineStr">
        <is>
          <t>Carriage of Steel</t>
        </is>
      </c>
      <c r="C8" s="22" t="inlineStr">
        <is>
          <t>tonne</t>
        </is>
      </c>
      <c r="D8" s="23" t="n">
        <v>0.105</v>
      </c>
      <c r="E8" s="24" t="n">
        <v>92.23999999999999</v>
      </c>
      <c r="F8" s="24">
        <f>D8*E8</f>
        <v/>
      </c>
      <c r="G8" s="22" t="n"/>
    </row>
    <row r="9">
      <c r="A9" s="22" t="inlineStr">
        <is>
          <t>0116</t>
        </is>
      </c>
      <c r="B9" s="11" t="inlineStr">
        <is>
          <t>Fitter (grade 1)</t>
        </is>
      </c>
      <c r="C9" s="22" t="inlineStr">
        <is>
          <t>day</t>
        </is>
      </c>
      <c r="D9" s="23" t="n">
        <v>0.5</v>
      </c>
      <c r="E9" s="24" t="n">
        <v>738</v>
      </c>
      <c r="F9" s="24">
        <f>D9*E9</f>
        <v/>
      </c>
      <c r="G9" s="22" t="n"/>
    </row>
    <row r="10">
      <c r="A10" s="22" t="inlineStr">
        <is>
          <t>0103</t>
        </is>
      </c>
      <c r="B10" s="11" t="inlineStr">
        <is>
          <t>Blacksmith 2nd class</t>
        </is>
      </c>
      <c r="C10" s="22" t="inlineStr">
        <is>
          <t>day</t>
        </is>
      </c>
      <c r="D10" s="23" t="n">
        <v>0.75</v>
      </c>
      <c r="E10" s="24" t="n">
        <v>679</v>
      </c>
      <c r="F10" s="24">
        <f>D10*E10</f>
        <v/>
      </c>
      <c r="G10" s="22" t="n"/>
    </row>
    <row r="11">
      <c r="A11" s="22" t="inlineStr">
        <is>
          <t>0114</t>
        </is>
      </c>
      <c r="B11" s="11" t="inlineStr">
        <is>
          <t>Beldar</t>
        </is>
      </c>
      <c r="C11" s="22" t="inlineStr">
        <is>
          <t>day</t>
        </is>
      </c>
      <c r="D11" s="23" t="n">
        <v>1</v>
      </c>
      <c r="E11" s="24" t="n">
        <v>558</v>
      </c>
      <c r="F11" s="24">
        <f>D11*E11</f>
        <v/>
      </c>
      <c r="G11" s="22" t="n"/>
    </row>
    <row r="12">
      <c r="A12" s="22" t="inlineStr">
        <is>
          <t>13.50.3</t>
        </is>
      </c>
      <c r="B12" s="11" t="inlineStr">
        <is>
          <t>Rate as per item 13.50.3 - Applying priming coat - With ready mixed red oxide zinc chromate primer of approved brand and manufacture o...</t>
        </is>
      </c>
      <c r="C12" s="22" t="inlineStr">
        <is>
          <t>sqm</t>
        </is>
      </c>
      <c r="D12" s="23" t="n">
        <v>3</v>
      </c>
      <c r="E12" s="24" t="n">
        <v>50.7</v>
      </c>
      <c r="F12" s="24">
        <f>D12*E12</f>
        <v/>
      </c>
      <c r="G12" s="22" t="n"/>
    </row>
    <row r="13">
      <c r="A13" s="22" t="inlineStr">
        <is>
          <t>9999</t>
        </is>
      </c>
      <c r="B13" s="11" t="inlineStr">
        <is>
          <t>Sundries</t>
        </is>
      </c>
      <c r="C13" s="22" t="inlineStr">
        <is>
          <t>L.S.</t>
        </is>
      </c>
      <c r="D13" s="23" t="n">
        <v>20.67</v>
      </c>
      <c r="E13" s="24" t="n">
        <v>2</v>
      </c>
      <c r="F13" s="24">
        <f>D13*E13</f>
        <v/>
      </c>
      <c r="G13" s="22" t="n"/>
    </row>
    <row r="14">
      <c r="A14" s="8" t="inlineStr">
        <is>
          <t>Calculated W - SUM of the Amount column above</t>
        </is>
      </c>
      <c r="B14" s="9" t="n"/>
      <c r="C14" s="9" t="n"/>
      <c r="D14" s="9" t="n"/>
      <c r="E14" s="9" t="n"/>
      <c r="F14" s="25">
        <f>SUM(F7:F13)</f>
        <v/>
      </c>
      <c r="G14" s="9" t="n"/>
    </row>
    <row r="15">
      <c r="A15" s="26" t="inlineStr">
        <is>
          <t>W as printed in the DAR</t>
        </is>
      </c>
      <c r="B15" s="22" t="n"/>
      <c r="C15" s="22" t="n"/>
      <c r="D15" s="22" t="n"/>
      <c r="E15" s="22" t="n"/>
      <c r="F15" s="27" t="n">
        <v>6469.38</v>
      </c>
      <c r="G15" s="22" t="n"/>
    </row>
    <row r="16">
      <c r="A16" s="26" t="inlineStr">
        <is>
          <t>Difference (calculated - printed)</t>
        </is>
      </c>
      <c r="B16" s="22" t="n"/>
      <c r="C16" s="22" t="n"/>
      <c r="D16" s="22" t="n"/>
      <c r="E16" s="22" t="n"/>
      <c r="F16" s="27">
        <f>F14-F15</f>
        <v/>
      </c>
      <c r="G16" s="22" t="n"/>
    </row>
    <row r="17">
      <c r="A17" s="29" t="inlineStr">
        <is>
          <t>SAY (Rs.) - final DAR rate as printed (fixed value, not computed)</t>
        </is>
      </c>
      <c r="B17" s="30" t="n"/>
      <c r="C17" s="30" t="n"/>
      <c r="D17" s="30" t="n"/>
      <c r="E17" s="30" t="n"/>
      <c r="F17" s="31" t="n">
        <v>86.05</v>
      </c>
      <c r="G17" s="30" t="n"/>
    </row>
    <row r="19" ht="33" customHeight="1">
      <c r="A19" s="18" t="inlineStr">
        <is>
          <t>10.2</t>
        </is>
      </c>
      <c r="B19" s="19" t="inlineStr">
        <is>
          <t>Structural steel work riveted, bolted or welded in built up sections, trusses and framed work, including cutting, hoisting, fixing in position and applying a priming coat of approved steel primer all complete.</t>
        </is>
      </c>
      <c r="C19" s="20" t="n"/>
      <c r="D19" s="20" t="n"/>
      <c r="E19" s="20" t="n"/>
      <c r="F19" s="20" t="n"/>
      <c r="G19" s="20" t="n"/>
    </row>
    <row r="20">
      <c r="A20" s="21" t="inlineStr">
        <is>
          <t>Details of cost for 3.95 quintal   |   Source: CivilDAR_2019_Vol_1.pdf, page 676</t>
        </is>
      </c>
    </row>
    <row r="21">
      <c r="A21" s="5" t="inlineStr">
        <is>
          <t>Code</t>
        </is>
      </c>
      <c r="B21" s="5" t="inlineStr">
        <is>
          <t>Description</t>
        </is>
      </c>
      <c r="C21" s="5" t="inlineStr">
        <is>
          <t>Unit</t>
        </is>
      </c>
      <c r="D21" s="5" t="inlineStr">
        <is>
          <t>Quantity</t>
        </is>
      </c>
      <c r="E21" s="5" t="inlineStr">
        <is>
          <t>Rate (Rs.)</t>
        </is>
      </c>
      <c r="F21" s="5" t="inlineStr">
        <is>
          <t>Amount (Rs.)</t>
        </is>
      </c>
      <c r="G21" s="5" t="inlineStr">
        <is>
          <t>Note</t>
        </is>
      </c>
    </row>
    <row r="22">
      <c r="A22" s="22" t="inlineStr">
        <is>
          <t>1007</t>
        </is>
      </c>
      <c r="B22" s="11" t="inlineStr">
        <is>
          <t>Structurals such as tees,angles channels and R.S. joists</t>
        </is>
      </c>
      <c r="C22" s="22" t="inlineStr">
        <is>
          <t>quintal</t>
        </is>
      </c>
      <c r="D22" s="23" t="n">
        <v>1.6</v>
      </c>
      <c r="E22" s="24" t="n">
        <v>4600</v>
      </c>
      <c r="F22" s="24">
        <f>D22*E22</f>
        <v/>
      </c>
      <c r="G22" s="22" t="n"/>
    </row>
    <row r="23">
      <c r="A23" s="22" t="inlineStr">
        <is>
          <t>1009</t>
        </is>
      </c>
      <c r="B23" s="11" t="inlineStr">
        <is>
          <t>Flats exceeding 10 mm in thickness</t>
        </is>
      </c>
      <c r="C23" s="22" t="inlineStr">
        <is>
          <t>quintal</t>
        </is>
      </c>
      <c r="D23" s="23" t="n">
        <v>0.53</v>
      </c>
      <c r="E23" s="24" t="n">
        <v>4600</v>
      </c>
      <c r="F23" s="24">
        <f>D23*E23</f>
        <v/>
      </c>
      <c r="G23" s="22" t="n"/>
    </row>
    <row r="24">
      <c r="A24" s="22" t="inlineStr">
        <is>
          <t>1010</t>
        </is>
      </c>
      <c r="B24" s="11" t="inlineStr">
        <is>
          <t>Mild steel plates</t>
        </is>
      </c>
      <c r="C24" s="22" t="inlineStr">
        <is>
          <t>quintal</t>
        </is>
      </c>
      <c r="D24" s="23" t="n">
        <v>1.9</v>
      </c>
      <c r="E24" s="24" t="n">
        <v>4800</v>
      </c>
      <c r="F24" s="24">
        <f>D24*E24</f>
        <v/>
      </c>
      <c r="G24" s="22" t="n"/>
    </row>
    <row r="25">
      <c r="A25" s="22" t="inlineStr">
        <is>
          <t>1020</t>
        </is>
      </c>
      <c r="B25" s="11" t="inlineStr">
        <is>
          <t>Mild steel rivets</t>
        </is>
      </c>
      <c r="C25" s="22" t="inlineStr">
        <is>
          <t>quintal</t>
        </is>
      </c>
      <c r="D25" s="23" t="n">
        <v>0.0684</v>
      </c>
      <c r="E25" s="24" t="n">
        <v>5000</v>
      </c>
      <c r="F25" s="24">
        <f>D25*E25</f>
        <v/>
      </c>
      <c r="G25" s="22" t="n"/>
    </row>
    <row r="26">
      <c r="A26" s="22" t="inlineStr">
        <is>
          <t>1221</t>
        </is>
      </c>
      <c r="B26" s="11" t="inlineStr">
        <is>
          <t>20 mm dia holding down bolts</t>
        </is>
      </c>
      <c r="C26" s="22" t="inlineStr">
        <is>
          <t>quintal</t>
        </is>
      </c>
      <c r="D26" s="23" t="n">
        <v>0.0529</v>
      </c>
      <c r="E26" s="24" t="n">
        <v>6100</v>
      </c>
      <c r="F26" s="24">
        <f>D26*E26</f>
        <v/>
      </c>
      <c r="G26" s="22" t="n"/>
    </row>
    <row r="27">
      <c r="A27" s="22" t="inlineStr">
        <is>
          <t>2205</t>
        </is>
      </c>
      <c r="B27" s="11" t="inlineStr">
        <is>
          <t>Carriage of Steel</t>
        </is>
      </c>
      <c r="C27" s="22" t="inlineStr">
        <is>
          <t>tonne</t>
        </is>
      </c>
      <c r="D27" s="23" t="n">
        <v>0.415</v>
      </c>
      <c r="E27" s="24" t="n">
        <v>92.23999999999999</v>
      </c>
      <c r="F27" s="24">
        <f>D27*E27</f>
        <v/>
      </c>
      <c r="G27" s="22" t="n"/>
    </row>
    <row r="28">
      <c r="A28" s="22" t="inlineStr">
        <is>
          <t>0116</t>
        </is>
      </c>
      <c r="B28" s="11" t="inlineStr">
        <is>
          <t>Fitter (grade 1)</t>
        </is>
      </c>
      <c r="C28" s="22" t="inlineStr">
        <is>
          <t>day</t>
        </is>
      </c>
      <c r="D28" s="23" t="n">
        <v>2.7</v>
      </c>
      <c r="E28" s="24" t="n">
        <v>738</v>
      </c>
      <c r="F28" s="24">
        <f>D28*E28</f>
        <v/>
      </c>
      <c r="G28" s="22" t="n"/>
    </row>
    <row r="29">
      <c r="A29" s="22" t="inlineStr">
        <is>
          <t>0103</t>
        </is>
      </c>
      <c r="B29" s="11" t="inlineStr">
        <is>
          <t>Blacksmith 2nd class</t>
        </is>
      </c>
      <c r="C29" s="22" t="inlineStr">
        <is>
          <t>day</t>
        </is>
      </c>
      <c r="D29" s="23" t="n">
        <v>3.6</v>
      </c>
      <c r="E29" s="24" t="n">
        <v>679</v>
      </c>
      <c r="F29" s="24">
        <f>D29*E29</f>
        <v/>
      </c>
      <c r="G29" s="22" t="n"/>
    </row>
    <row r="30">
      <c r="A30" s="22" t="inlineStr">
        <is>
          <t>0139</t>
        </is>
      </c>
      <c r="B30" s="11" t="inlineStr">
        <is>
          <t>Skilled Beldar (for floor rubbing etc.)</t>
        </is>
      </c>
      <c r="C30" s="22" t="inlineStr">
        <is>
          <t>day</t>
        </is>
      </c>
      <c r="D30" s="23" t="n">
        <v>5.4</v>
      </c>
      <c r="E30" s="24" t="n">
        <v>617</v>
      </c>
      <c r="F30" s="24">
        <f>D30*E30</f>
        <v/>
      </c>
      <c r="G30" s="22" t="n"/>
    </row>
    <row r="31">
      <c r="A31" s="22" t="inlineStr">
        <is>
          <t>0114</t>
        </is>
      </c>
      <c r="B31" s="11" t="inlineStr">
        <is>
          <t>Beldar</t>
        </is>
      </c>
      <c r="C31" s="22" t="inlineStr">
        <is>
          <t>day</t>
        </is>
      </c>
      <c r="D31" s="23" t="n">
        <v>3.6</v>
      </c>
      <c r="E31" s="24" t="n">
        <v>558</v>
      </c>
      <c r="F31" s="24">
        <f>D31*E31</f>
        <v/>
      </c>
      <c r="G31" s="22" t="n"/>
    </row>
    <row r="32">
      <c r="A32" s="22" t="inlineStr">
        <is>
          <t>0100</t>
        </is>
      </c>
      <c r="B32" s="11" t="inlineStr">
        <is>
          <t>Bandhani</t>
        </is>
      </c>
      <c r="C32" s="22" t="inlineStr">
        <is>
          <t>day</t>
        </is>
      </c>
      <c r="D32" s="23" t="n">
        <v>0.44</v>
      </c>
      <c r="E32" s="24" t="n">
        <v>617</v>
      </c>
      <c r="F32" s="24">
        <f>D32*E32</f>
        <v/>
      </c>
      <c r="G32" s="22" t="n"/>
    </row>
    <row r="33">
      <c r="A33" s="22" t="inlineStr">
        <is>
          <t>13.50.3</t>
        </is>
      </c>
      <c r="B33" s="11" t="inlineStr">
        <is>
          <t>Rate as per item 13.50.3 - Applying priming coat - With ready mixed red oxide zinc chromate primer of approved brand and manufacture o...</t>
        </is>
      </c>
      <c r="C33" s="22" t="inlineStr">
        <is>
          <t>sqm</t>
        </is>
      </c>
      <c r="D33" s="23" t="n">
        <v>5.68</v>
      </c>
      <c r="E33" s="24" t="n">
        <v>50.7</v>
      </c>
      <c r="F33" s="24">
        <f>D33*E33</f>
        <v/>
      </c>
      <c r="G33" s="22" t="n"/>
    </row>
    <row r="34">
      <c r="A34" s="22" t="inlineStr">
        <is>
          <t>9999</t>
        </is>
      </c>
      <c r="B34" s="11" t="inlineStr">
        <is>
          <t>Sundries</t>
        </is>
      </c>
      <c r="C34" s="22" t="inlineStr">
        <is>
          <t>L.S.</t>
        </is>
      </c>
      <c r="D34" s="23" t="n">
        <v>80.73</v>
      </c>
      <c r="E34" s="24" t="n">
        <v>2</v>
      </c>
      <c r="F34" s="24">
        <f>D34*E34</f>
        <v/>
      </c>
      <c r="G34" s="22" t="n"/>
    </row>
    <row r="35">
      <c r="A35" s="8" t="inlineStr">
        <is>
          <t>Calculated W - SUM of the Amount column above</t>
        </is>
      </c>
      <c r="B35" s="9" t="n"/>
      <c r="C35" s="9" t="n"/>
      <c r="D35" s="9" t="n"/>
      <c r="E35" s="9" t="n"/>
      <c r="F35" s="25">
        <f>SUM(F22:F34)</f>
        <v/>
      </c>
      <c r="G35" s="9" t="n"/>
    </row>
    <row r="36">
      <c r="A36" s="26" t="inlineStr">
        <is>
          <t>W as printed in the DAR</t>
        </is>
      </c>
      <c r="B36" s="22" t="n"/>
      <c r="C36" s="22" t="n"/>
      <c r="D36" s="22" t="n"/>
      <c r="E36" s="22" t="n"/>
      <c r="F36" s="27" t="n">
        <v>30119.49</v>
      </c>
      <c r="G36" s="22" t="n"/>
    </row>
    <row r="37">
      <c r="A37" s="26" t="inlineStr">
        <is>
          <t>Difference (calculated - printed)</t>
        </is>
      </c>
      <c r="B37" s="22" t="n"/>
      <c r="C37" s="22" t="n"/>
      <c r="D37" s="22" t="n"/>
      <c r="E37" s="22" t="n"/>
      <c r="F37" s="27">
        <f>F35-F36</f>
        <v/>
      </c>
      <c r="G37" s="22" t="n"/>
    </row>
    <row r="38">
      <c r="A38" s="29" t="inlineStr">
        <is>
          <t>SAY (Rs.) - final DAR rate as printed (fixed value, not computed)</t>
        </is>
      </c>
      <c r="B38" s="30" t="n"/>
      <c r="C38" s="30" t="n"/>
      <c r="D38" s="30" t="n"/>
      <c r="E38" s="30" t="n"/>
      <c r="F38" s="31" t="n">
        <v>101.75</v>
      </c>
      <c r="G38" s="30" t="n"/>
    </row>
    <row r="40" ht="47.5" customHeight="1">
      <c r="A40" s="18" t="inlineStr">
        <is>
          <t>10.3</t>
        </is>
      </c>
      <c r="B40" s="19" t="inlineStr">
        <is>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is>
      </c>
      <c r="C40" s="20" t="n"/>
      <c r="D40" s="20" t="n"/>
      <c r="E40" s="20" t="n"/>
      <c r="F40" s="20" t="n"/>
      <c r="G40" s="20" t="n"/>
    </row>
    <row r="41">
      <c r="A41" s="21" t="inlineStr">
        <is>
          <t>Details of cost for 3.6 sqm   |   Source: CivilDAR_2019_Vol_1.pdf, page 678</t>
        </is>
      </c>
    </row>
    <row r="42">
      <c r="A42" s="5" t="inlineStr">
        <is>
          <t>Code</t>
        </is>
      </c>
      <c r="B42" s="5" t="inlineStr">
        <is>
          <t>Description</t>
        </is>
      </c>
      <c r="C42" s="5" t="inlineStr">
        <is>
          <t>Unit</t>
        </is>
      </c>
      <c r="D42" s="5" t="inlineStr">
        <is>
          <t>Quantity</t>
        </is>
      </c>
      <c r="E42" s="5" t="inlineStr">
        <is>
          <t>Rate (Rs.)</t>
        </is>
      </c>
      <c r="F42" s="5" t="inlineStr">
        <is>
          <t>Amount (Rs.)</t>
        </is>
      </c>
      <c r="G42" s="5" t="inlineStr">
        <is>
          <t>Note</t>
        </is>
      </c>
    </row>
    <row r="43">
      <c r="A43" s="22" t="inlineStr">
        <is>
          <t>1007</t>
        </is>
      </c>
      <c r="B43" s="11" t="inlineStr">
        <is>
          <t>Structurals such as tees,angles channels and R.S. joists</t>
        </is>
      </c>
      <c r="C43" s="22" t="inlineStr">
        <is>
          <t>quintal</t>
        </is>
      </c>
      <c r="D43" s="23" t="n">
        <v>0.53</v>
      </c>
      <c r="E43" s="24" t="n">
        <v>4600</v>
      </c>
      <c r="F43" s="24">
        <f>D43*E43</f>
        <v/>
      </c>
      <c r="G43" s="22" t="n"/>
    </row>
    <row r="44">
      <c r="A44" s="22" t="inlineStr">
        <is>
          <t>1007</t>
        </is>
      </c>
      <c r="B44" s="11" t="inlineStr">
        <is>
          <t>Structurals such as tees,angles channels and R.S. joists</t>
        </is>
      </c>
      <c r="C44" s="22" t="inlineStr">
        <is>
          <t>quintal</t>
        </is>
      </c>
      <c r="D44" s="23" t="n">
        <v>0.13</v>
      </c>
      <c r="E44" s="24" t="n">
        <v>4600</v>
      </c>
      <c r="F44" s="24">
        <f>D44*E44</f>
        <v/>
      </c>
      <c r="G44" s="22" t="n"/>
    </row>
    <row r="45">
      <c r="A45" s="22" t="inlineStr">
        <is>
          <t>1008</t>
        </is>
      </c>
      <c r="B45" s="11" t="inlineStr">
        <is>
          <t>Flats upto 10 mm in thickness</t>
        </is>
      </c>
      <c r="C45" s="22" t="inlineStr">
        <is>
          <t>quintal</t>
        </is>
      </c>
      <c r="D45" s="23" t="n">
        <v>0.6</v>
      </c>
      <c r="E45" s="24" t="n">
        <v>4500</v>
      </c>
      <c r="F45" s="24">
        <f>D45*E45</f>
        <v/>
      </c>
      <c r="G45" s="22" t="n"/>
    </row>
    <row r="46">
      <c r="A46" s="22" t="inlineStr">
        <is>
          <t>2205</t>
        </is>
      </c>
      <c r="B46" s="11" t="inlineStr">
        <is>
          <t>Carriage of Steel</t>
        </is>
      </c>
      <c r="C46" s="22" t="inlineStr">
        <is>
          <t>tonne</t>
        </is>
      </c>
      <c r="D46" s="23" t="n">
        <v>0.126</v>
      </c>
      <c r="E46" s="24" t="n">
        <v>92.23999999999999</v>
      </c>
      <c r="F46" s="24">
        <f>D46*E46</f>
        <v/>
      </c>
      <c r="G46" s="22" t="n"/>
    </row>
    <row r="47">
      <c r="A47" s="22" t="inlineStr">
        <is>
          <t>9999</t>
        </is>
      </c>
      <c r="B47" s="11" t="inlineStr">
        <is>
          <t>Cost of rivets fixing hooks and washers</t>
        </is>
      </c>
      <c r="C47" s="22" t="inlineStr">
        <is>
          <t>L.S.</t>
        </is>
      </c>
      <c r="D47" s="23" t="n">
        <v>269.1</v>
      </c>
      <c r="E47" s="24" t="n">
        <v>2</v>
      </c>
      <c r="F47" s="24">
        <f>D47*E47</f>
        <v/>
      </c>
      <c r="G47" s="22" t="n"/>
    </row>
    <row r="48">
      <c r="A48" s="22" t="inlineStr">
        <is>
          <t>9999</t>
        </is>
      </c>
      <c r="B48" s="11" t="inlineStr">
        <is>
          <t>Cost of locking arrangements and handles</t>
        </is>
      </c>
      <c r="C48" s="22" t="inlineStr">
        <is>
          <t>L.S.</t>
        </is>
      </c>
      <c r="D48" s="23" t="n">
        <v>67.34</v>
      </c>
      <c r="E48" s="24" t="n">
        <v>2</v>
      </c>
      <c r="F48" s="24">
        <f>D48*E48</f>
        <v/>
      </c>
      <c r="G48" s="22" t="n"/>
    </row>
    <row r="49">
      <c r="A49" s="22" t="inlineStr">
        <is>
          <t>4013</t>
        </is>
      </c>
      <c r="B49" s="11" t="inlineStr">
        <is>
          <t>Pully 40 mm dia</t>
        </is>
      </c>
      <c r="C49" s="22" t="inlineStr">
        <is>
          <t>each</t>
        </is>
      </c>
      <c r="D49" s="23" t="n">
        <v>10</v>
      </c>
      <c r="E49" s="24" t="n">
        <v>30</v>
      </c>
      <c r="F49" s="24">
        <f>D49*E49</f>
        <v/>
      </c>
      <c r="G49" s="22" t="n"/>
    </row>
    <row r="50">
      <c r="A50" s="22" t="inlineStr">
        <is>
          <t>13.50.3</t>
        </is>
      </c>
      <c r="B50" s="11" t="inlineStr">
        <is>
          <t>Rate as per item 13.50.3 - Applying priming coat - With ready mixed red oxide zinc chromate primer of approved brand and manufacture o...</t>
        </is>
      </c>
      <c r="C50" s="22" t="inlineStr">
        <is>
          <t>sqm</t>
        </is>
      </c>
      <c r="D50" s="23" t="n">
        <v>10.5</v>
      </c>
      <c r="E50" s="24" t="n">
        <v>50.7</v>
      </c>
      <c r="F50" s="24">
        <f>D50*E50</f>
        <v/>
      </c>
      <c r="G50" s="22" t="n"/>
    </row>
    <row r="51">
      <c r="A51" s="22" t="inlineStr">
        <is>
          <t>0116</t>
        </is>
      </c>
      <c r="B51" s="11" t="inlineStr">
        <is>
          <t>Fitter (grade 1)</t>
        </is>
      </c>
      <c r="C51" s="22" t="inlineStr">
        <is>
          <t>day</t>
        </is>
      </c>
      <c r="D51" s="23" t="n">
        <v>3</v>
      </c>
      <c r="E51" s="24" t="n">
        <v>738</v>
      </c>
      <c r="F51" s="24">
        <f>D51*E51</f>
        <v/>
      </c>
      <c r="G51" s="22" t="n"/>
    </row>
    <row r="52">
      <c r="A52" s="22" t="inlineStr">
        <is>
          <t>0102</t>
        </is>
      </c>
      <c r="B52" s="11" t="inlineStr">
        <is>
          <t>Blacksmith 1st class</t>
        </is>
      </c>
      <c r="C52" s="22" t="inlineStr">
        <is>
          <t>day</t>
        </is>
      </c>
      <c r="D52" s="23" t="n">
        <v>6</v>
      </c>
      <c r="E52" s="24" t="n">
        <v>738</v>
      </c>
      <c r="F52" s="24">
        <f>D52*E52</f>
        <v/>
      </c>
      <c r="G52" s="22" t="n"/>
    </row>
    <row r="53">
      <c r="A53" s="22" t="inlineStr">
        <is>
          <t>0103</t>
        </is>
      </c>
      <c r="B53" s="11" t="inlineStr">
        <is>
          <t>Blacksmith 2nd class</t>
        </is>
      </c>
      <c r="C53" s="22" t="inlineStr">
        <is>
          <t>day</t>
        </is>
      </c>
      <c r="D53" s="23" t="n">
        <v>6</v>
      </c>
      <c r="E53" s="24" t="n">
        <v>679</v>
      </c>
      <c r="F53" s="24">
        <f>D53*E53</f>
        <v/>
      </c>
      <c r="G53" s="22" t="n"/>
    </row>
    <row r="54">
      <c r="A54" s="22" t="inlineStr">
        <is>
          <t>0123</t>
        </is>
      </c>
      <c r="B54" s="11" t="inlineStr">
        <is>
          <t>Mason (brick layer) 1st class</t>
        </is>
      </c>
      <c r="C54" s="22" t="inlineStr">
        <is>
          <t>day</t>
        </is>
      </c>
      <c r="D54" s="23" t="n">
        <v>0.5</v>
      </c>
      <c r="E54" s="24" t="n">
        <v>738</v>
      </c>
      <c r="F54" s="24">
        <f>D54*E54</f>
        <v/>
      </c>
      <c r="G54" s="22" t="n"/>
    </row>
    <row r="55">
      <c r="A55" s="22" t="inlineStr">
        <is>
          <t>0124</t>
        </is>
      </c>
      <c r="B55" s="11" t="inlineStr">
        <is>
          <t>Mason (brick layer) 2nd class</t>
        </is>
      </c>
      <c r="C55" s="22" t="inlineStr">
        <is>
          <t>day</t>
        </is>
      </c>
      <c r="D55" s="23" t="n">
        <v>0.5</v>
      </c>
      <c r="E55" s="24" t="n">
        <v>679</v>
      </c>
      <c r="F55" s="24">
        <f>D55*E55</f>
        <v/>
      </c>
      <c r="G55" s="22" t="n"/>
    </row>
    <row r="56">
      <c r="A56" s="22" t="inlineStr">
        <is>
          <t>0114</t>
        </is>
      </c>
      <c r="B56" s="11" t="inlineStr">
        <is>
          <t>Beldar</t>
        </is>
      </c>
      <c r="C56" s="22" t="inlineStr">
        <is>
          <t>day</t>
        </is>
      </c>
      <c r="D56" s="23" t="n">
        <v>8</v>
      </c>
      <c r="E56" s="24" t="n">
        <v>558</v>
      </c>
      <c r="F56" s="24">
        <f>D56*E56</f>
        <v/>
      </c>
      <c r="G56" s="22" t="n"/>
    </row>
    <row r="57">
      <c r="A57" s="22" t="inlineStr">
        <is>
          <t>9999</t>
        </is>
      </c>
      <c r="B57" s="11" t="inlineStr">
        <is>
          <t>Sundries</t>
        </is>
      </c>
      <c r="C57" s="22" t="inlineStr">
        <is>
          <t>L.S.</t>
        </is>
      </c>
      <c r="D57" s="23" t="n">
        <v>161.46</v>
      </c>
      <c r="E57" s="24" t="n">
        <v>2</v>
      </c>
      <c r="F57" s="24">
        <f>D57*E57</f>
        <v/>
      </c>
      <c r="G57" s="22" t="n"/>
    </row>
    <row r="58">
      <c r="A58" s="8" t="inlineStr">
        <is>
          <t>Calculated W - SUM of the Amount column above</t>
        </is>
      </c>
      <c r="B58" s="9" t="n"/>
      <c r="C58" s="9" t="n"/>
      <c r="D58" s="9" t="n"/>
      <c r="E58" s="9" t="n"/>
      <c r="F58" s="25">
        <f>SUM(F43:F57)</f>
        <v/>
      </c>
      <c r="G58" s="9" t="n"/>
    </row>
    <row r="59">
      <c r="A59" s="26" t="inlineStr">
        <is>
          <t>W as printed in the DAR</t>
        </is>
      </c>
      <c r="B59" s="22" t="n"/>
      <c r="C59" s="22" t="n"/>
      <c r="D59" s="22" t="n"/>
      <c r="E59" s="22" t="n"/>
      <c r="F59" s="27" t="n">
        <v>23464.27</v>
      </c>
      <c r="G59" s="22" t="n"/>
    </row>
    <row r="60">
      <c r="A60" s="26" t="inlineStr">
        <is>
          <t>Difference (calculated - printed)</t>
        </is>
      </c>
      <c r="B60" s="22" t="n"/>
      <c r="C60" s="22" t="n"/>
      <c r="D60" s="22" t="n"/>
      <c r="E60" s="22" t="n"/>
      <c r="F60" s="27">
        <f>F58-F59</f>
        <v/>
      </c>
      <c r="G60" s="22" t="n"/>
    </row>
    <row r="61">
      <c r="A61" s="29" t="inlineStr">
        <is>
          <t>SAY (Rs.) - final DAR rate as printed (fixed value, not computed)</t>
        </is>
      </c>
      <c r="B61" s="30" t="n"/>
      <c r="C61" s="30" t="n"/>
      <c r="D61" s="30" t="n"/>
      <c r="E61" s="30" t="n"/>
      <c r="F61" s="31" t="n">
        <v>8670.5</v>
      </c>
      <c r="G61" s="30" t="n"/>
    </row>
    <row r="63" ht="47.5" customHeight="1">
      <c r="A63" s="18" t="inlineStr">
        <is>
          <t>10.4</t>
        </is>
      </c>
      <c r="B63" s="19" t="inlineStr">
        <is>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is>
      </c>
      <c r="C63" s="20" t="n"/>
      <c r="D63" s="20" t="n"/>
      <c r="E63" s="20" t="n"/>
      <c r="F63" s="20" t="n"/>
      <c r="G63" s="20" t="n"/>
    </row>
    <row r="64">
      <c r="A64" s="21" t="inlineStr">
        <is>
          <t>Details of cost for 5.76 sqm   |   Source: CivilDAR_2019_Vol_1.pdf, page 679</t>
        </is>
      </c>
    </row>
    <row r="65">
      <c r="A65" s="5" t="inlineStr">
        <is>
          <t>Code</t>
        </is>
      </c>
      <c r="B65" s="5" t="inlineStr">
        <is>
          <t>Description</t>
        </is>
      </c>
      <c r="C65" s="5" t="inlineStr">
        <is>
          <t>Unit</t>
        </is>
      </c>
      <c r="D65" s="5" t="inlineStr">
        <is>
          <t>Quantity</t>
        </is>
      </c>
      <c r="E65" s="5" t="inlineStr">
        <is>
          <t>Rate (Rs.)</t>
        </is>
      </c>
      <c r="F65" s="5" t="inlineStr">
        <is>
          <t>Amount (Rs.)</t>
        </is>
      </c>
      <c r="G65" s="5" t="inlineStr">
        <is>
          <t>Note</t>
        </is>
      </c>
    </row>
    <row r="66">
      <c r="A66" s="22" t="inlineStr">
        <is>
          <t>1013</t>
        </is>
      </c>
      <c r="B66" s="11" t="inlineStr">
        <is>
          <t>Mild steel sheets for tanks</t>
        </is>
      </c>
      <c r="C66" s="22" t="inlineStr">
        <is>
          <t>quintal</t>
        </is>
      </c>
      <c r="D66" s="23" t="n">
        <v>0.497</v>
      </c>
      <c r="E66" s="24" t="n">
        <v>4600</v>
      </c>
      <c r="F66" s="24">
        <f>D66*E66</f>
        <v/>
      </c>
      <c r="G66" s="22" t="n"/>
    </row>
    <row r="67">
      <c r="A67" s="22" t="inlineStr">
        <is>
          <t>1010</t>
        </is>
      </c>
      <c r="B67" s="11" t="inlineStr">
        <is>
          <t>Mild steel plates</t>
        </is>
      </c>
      <c r="C67" s="22" t="inlineStr">
        <is>
          <t>quintal</t>
        </is>
      </c>
      <c r="D67" s="23" t="n">
        <v>0.153</v>
      </c>
      <c r="E67" s="24" t="n">
        <v>4800</v>
      </c>
      <c r="F67" s="24">
        <f>D67*E67</f>
        <v/>
      </c>
      <c r="G67" s="22" t="n"/>
    </row>
    <row r="68">
      <c r="A68" s="22" t="inlineStr">
        <is>
          <t>1007</t>
        </is>
      </c>
      <c r="B68" s="11" t="inlineStr">
        <is>
          <t>Structurals such as tees,angles channels and R.S. joists</t>
        </is>
      </c>
      <c r="C68" s="22" t="inlineStr">
        <is>
          <t>quintal</t>
        </is>
      </c>
      <c r="D68" s="23" t="n">
        <v>1.39</v>
      </c>
      <c r="E68" s="24" t="n">
        <v>4600</v>
      </c>
      <c r="F68" s="24">
        <f>D68*E68</f>
        <v/>
      </c>
      <c r="G68" s="22" t="n"/>
    </row>
    <row r="69">
      <c r="A69" s="22" t="inlineStr">
        <is>
          <t>1007</t>
        </is>
      </c>
      <c r="B69" s="11" t="inlineStr">
        <is>
          <t>Structurals such as tees,angles channels and R.S. joists</t>
        </is>
      </c>
      <c r="C69" s="22" t="inlineStr">
        <is>
          <t>quintal</t>
        </is>
      </c>
      <c r="D69" s="23" t="n">
        <v>0.11</v>
      </c>
      <c r="E69" s="24" t="n">
        <v>4600</v>
      </c>
      <c r="F69" s="24">
        <f>D69*E69</f>
        <v/>
      </c>
      <c r="G69" s="22" t="n"/>
    </row>
    <row r="70">
      <c r="A70" s="22" t="inlineStr">
        <is>
          <t>2205</t>
        </is>
      </c>
      <c r="B70" s="11" t="inlineStr">
        <is>
          <t>Carriage of Steel</t>
        </is>
      </c>
      <c r="C70" s="22" t="inlineStr">
        <is>
          <t>tonne</t>
        </is>
      </c>
      <c r="D70" s="23" t="n">
        <v>0.216</v>
      </c>
      <c r="E70" s="24" t="n">
        <v>92.23999999999999</v>
      </c>
      <c r="F70" s="24">
        <f>D70*E70</f>
        <v/>
      </c>
      <c r="G70" s="22" t="n"/>
    </row>
    <row r="71">
      <c r="A71" s="22" t="inlineStr">
        <is>
          <t>9999</t>
        </is>
      </c>
      <c r="B71" s="11" t="inlineStr">
        <is>
          <t>(iv) Pully guide blocks including drilling holes</t>
        </is>
      </c>
      <c r="C71" s="22" t="inlineStr">
        <is>
          <t>L.S.</t>
        </is>
      </c>
      <c r="D71" s="23" t="n">
        <v>269.1</v>
      </c>
      <c r="E71" s="24" t="n">
        <v>2</v>
      </c>
      <c r="F71" s="24">
        <f>D71*E71</f>
        <v/>
      </c>
      <c r="G71" s="22" t="n"/>
    </row>
    <row r="72">
      <c r="A72" s="22" t="inlineStr">
        <is>
          <t>0969</t>
        </is>
      </c>
      <c r="B72" s="11" t="inlineStr">
        <is>
          <t>Pully 25 mm dia</t>
        </is>
      </c>
      <c r="C72" s="22" t="inlineStr">
        <is>
          <t>each</t>
        </is>
      </c>
      <c r="D72" s="23" t="n">
        <v>8</v>
      </c>
      <c r="E72" s="24" t="n">
        <v>48</v>
      </c>
      <c r="F72" s="24">
        <f>D72*E72</f>
        <v/>
      </c>
      <c r="G72" s="22" t="n"/>
    </row>
    <row r="73">
      <c r="A73" s="22" t="inlineStr">
        <is>
          <t>9999</t>
        </is>
      </c>
      <c r="B73" s="11" t="inlineStr">
        <is>
          <t>(vi) Handles and locking arrangements</t>
        </is>
      </c>
      <c r="C73" s="22" t="inlineStr">
        <is>
          <t>L.S.</t>
        </is>
      </c>
      <c r="D73" s="23" t="n">
        <v>167.75</v>
      </c>
      <c r="E73" s="24" t="n">
        <v>2</v>
      </c>
      <c r="F73" s="24">
        <f>D73*E73</f>
        <v/>
      </c>
      <c r="G73" s="22" t="n"/>
    </row>
    <row r="74">
      <c r="A74" s="22" t="inlineStr">
        <is>
          <t>9999</t>
        </is>
      </c>
      <c r="B74" s="11" t="inlineStr">
        <is>
          <t>(vii) Bolts and rivets</t>
        </is>
      </c>
      <c r="C74" s="22" t="inlineStr">
        <is>
          <t>L.S.</t>
        </is>
      </c>
      <c r="D74" s="23" t="n">
        <v>269.1</v>
      </c>
      <c r="E74" s="24" t="n">
        <v>2</v>
      </c>
      <c r="F74" s="24">
        <f>D74*E74</f>
        <v/>
      </c>
      <c r="G74" s="22" t="n"/>
    </row>
    <row r="75">
      <c r="A75" s="22" t="inlineStr">
        <is>
          <t>9999</t>
        </is>
      </c>
      <c r="B75" s="11" t="inlineStr">
        <is>
          <t>(viii)Cement concrete</t>
        </is>
      </c>
      <c r="C75" s="22" t="inlineStr">
        <is>
          <t>L.S.</t>
        </is>
      </c>
      <c r="D75" s="23" t="n">
        <v>13.52</v>
      </c>
      <c r="E75" s="24" t="n">
        <v>2</v>
      </c>
      <c r="F75" s="24">
        <f>D75*E75</f>
        <v/>
      </c>
      <c r="G75" s="22" t="n"/>
    </row>
    <row r="76">
      <c r="A76" s="22" t="inlineStr">
        <is>
          <t>13.50.3</t>
        </is>
      </c>
      <c r="B76" s="11" t="inlineStr">
        <is>
          <t>Rate as per item 13.50.3 - Applying priming coat - With ready mixed red oxide zinc chromate primer of approved brand and manufacture o...</t>
        </is>
      </c>
      <c r="C76" s="22" t="inlineStr">
        <is>
          <t>sqm</t>
        </is>
      </c>
      <c r="D76" s="23" t="n">
        <v>18</v>
      </c>
      <c r="E76" s="24" t="n">
        <v>50.7</v>
      </c>
      <c r="F76" s="24">
        <f>D76*E76</f>
        <v/>
      </c>
      <c r="G76" s="22" t="n"/>
    </row>
    <row r="77">
      <c r="A77" s="22" t="inlineStr">
        <is>
          <t>0116</t>
        </is>
      </c>
      <c r="B77" s="11" t="inlineStr">
        <is>
          <t>Fitter (grade 1)</t>
        </is>
      </c>
      <c r="C77" s="22" t="inlineStr">
        <is>
          <t>day</t>
        </is>
      </c>
      <c r="D77" s="23" t="n">
        <v>2</v>
      </c>
      <c r="E77" s="24" t="n">
        <v>738</v>
      </c>
      <c r="F77" s="24">
        <f>D77*E77</f>
        <v/>
      </c>
      <c r="G77" s="22" t="n"/>
    </row>
    <row r="78">
      <c r="A78" s="22" t="inlineStr">
        <is>
          <t>0102</t>
        </is>
      </c>
      <c r="B78" s="11" t="inlineStr">
        <is>
          <t>Blacksmith 1st class</t>
        </is>
      </c>
      <c r="C78" s="22" t="inlineStr">
        <is>
          <t>day</t>
        </is>
      </c>
      <c r="D78" s="23" t="n">
        <v>3</v>
      </c>
      <c r="E78" s="24" t="n">
        <v>738</v>
      </c>
      <c r="F78" s="24">
        <f>D78*E78</f>
        <v/>
      </c>
      <c r="G78" s="22" t="n"/>
    </row>
    <row r="79">
      <c r="A79" s="22" t="inlineStr">
        <is>
          <t>0103</t>
        </is>
      </c>
      <c r="B79" s="11" t="inlineStr">
        <is>
          <t>Blacksmith 2nd class</t>
        </is>
      </c>
      <c r="C79" s="22" t="inlineStr">
        <is>
          <t>day</t>
        </is>
      </c>
      <c r="D79" s="23" t="n">
        <v>4</v>
      </c>
      <c r="E79" s="24" t="n">
        <v>679</v>
      </c>
      <c r="F79" s="24">
        <f>D79*E79</f>
        <v/>
      </c>
      <c r="G79" s="22" t="n"/>
    </row>
    <row r="80">
      <c r="A80" s="22" t="inlineStr">
        <is>
          <t>0114</t>
        </is>
      </c>
      <c r="B80" s="11" t="inlineStr">
        <is>
          <t>Beldar</t>
        </is>
      </c>
      <c r="C80" s="22" t="inlineStr">
        <is>
          <t>day</t>
        </is>
      </c>
      <c r="D80" s="23" t="n">
        <v>4</v>
      </c>
      <c r="E80" s="24" t="n">
        <v>558</v>
      </c>
      <c r="F80" s="24">
        <f>D80*E80</f>
        <v/>
      </c>
      <c r="G80" s="22" t="n"/>
    </row>
    <row r="81">
      <c r="A81" s="22" t="inlineStr">
        <is>
          <t>0123</t>
        </is>
      </c>
      <c r="B81" s="11" t="inlineStr">
        <is>
          <t>Mason (brick layer) 1st class</t>
        </is>
      </c>
      <c r="C81" s="22" t="inlineStr">
        <is>
          <t>day</t>
        </is>
      </c>
      <c r="D81" s="23" t="n">
        <v>0.06</v>
      </c>
      <c r="E81" s="24" t="n">
        <v>738</v>
      </c>
      <c r="F81" s="24">
        <f>D81*E81</f>
        <v/>
      </c>
      <c r="G81" s="22" t="n"/>
    </row>
    <row r="82">
      <c r="A82" s="22" t="inlineStr">
        <is>
          <t>0124</t>
        </is>
      </c>
      <c r="B82" s="11" t="inlineStr">
        <is>
          <t>Mason (brick layer) 2nd class</t>
        </is>
      </c>
      <c r="C82" s="22" t="inlineStr">
        <is>
          <t>day</t>
        </is>
      </c>
      <c r="D82" s="23" t="n">
        <v>0.06</v>
      </c>
      <c r="E82" s="24" t="n">
        <v>679</v>
      </c>
      <c r="F82" s="24">
        <f>D82*E82</f>
        <v/>
      </c>
      <c r="G82" s="22" t="n"/>
    </row>
    <row r="83">
      <c r="A83" s="22" t="inlineStr">
        <is>
          <t>9999</t>
        </is>
      </c>
      <c r="B83" s="11" t="inlineStr">
        <is>
          <t>Sundries</t>
        </is>
      </c>
      <c r="C83" s="22" t="inlineStr">
        <is>
          <t>L.S.</t>
        </is>
      </c>
      <c r="D83" s="23" t="n">
        <v>161.46</v>
      </c>
      <c r="E83" s="24" t="n">
        <v>2</v>
      </c>
      <c r="F83" s="24">
        <f>D83*E83</f>
        <v/>
      </c>
      <c r="G83" s="22" t="n"/>
    </row>
    <row r="84">
      <c r="A84" s="8" t="inlineStr">
        <is>
          <t>Calculated W - SUM of the Amount column above</t>
        </is>
      </c>
      <c r="B84" s="9" t="n"/>
      <c r="C84" s="9" t="n"/>
      <c r="D84" s="9" t="n"/>
      <c r="E84" s="9" t="n"/>
      <c r="F84" s="25">
        <f>SUM(F66:F83)</f>
        <v/>
      </c>
      <c r="G84" s="9" t="n"/>
    </row>
    <row r="85">
      <c r="A85" s="26" t="inlineStr">
        <is>
          <t>W as printed in the DAR</t>
        </is>
      </c>
      <c r="B85" s="22" t="n"/>
      <c r="C85" s="22" t="n"/>
      <c r="D85" s="22" t="n"/>
      <c r="E85" s="22" t="n"/>
      <c r="F85" s="27" t="n">
        <v>21722</v>
      </c>
      <c r="G85" s="22" t="n"/>
    </row>
    <row r="86">
      <c r="A86" s="26" t="inlineStr">
        <is>
          <t>Difference (calculated - printed)</t>
        </is>
      </c>
      <c r="B86" s="22" t="n"/>
      <c r="C86" s="22" t="n"/>
      <c r="D86" s="22" t="n"/>
      <c r="E86" s="22" t="n"/>
      <c r="F86" s="27">
        <f>F84-F85</f>
        <v/>
      </c>
      <c r="G86" s="22" t="n"/>
    </row>
    <row r="87">
      <c r="A87" s="29" t="inlineStr">
        <is>
          <t>SAY (Rs.) - final DAR rate as printed (fixed value, not computed)</t>
        </is>
      </c>
      <c r="B87" s="30" t="n"/>
      <c r="C87" s="30" t="n"/>
      <c r="D87" s="30" t="n"/>
      <c r="E87" s="30" t="n"/>
      <c r="F87" s="31" t="n">
        <v>4992.05</v>
      </c>
      <c r="G87" s="30" t="n"/>
    </row>
    <row r="89" ht="33" customHeight="1">
      <c r="A89" s="8" t="inlineStr">
        <is>
          <t>10.5</t>
        </is>
      </c>
      <c r="B89" s="17" t="inlineStr">
        <is>
          <t>Providing and fixing 1mm thick M.S. sheet door with frame of 40x40x6 mm angle iron and 3 mm M.S. gusset plates at the junctions and corners, all necessary fittings complete, including applying a priming coat of approved steel primer.</t>
        </is>
      </c>
      <c r="C89" s="9" t="n"/>
      <c r="D89" s="9" t="n"/>
      <c r="E89" s="9" t="n"/>
      <c r="F89" s="9" t="n"/>
      <c r="G89" s="9" t="n"/>
    </row>
    <row r="90" ht="18.5" customHeight="1">
      <c r="A90" s="18" t="inlineStr">
        <is>
          <t>10.5.1</t>
        </is>
      </c>
      <c r="B90" s="19" t="inlineStr">
        <is>
          <t>Using M.S. angels 40x40x6 mm for diagonal braces</t>
        </is>
      </c>
      <c r="C90" s="20" t="n"/>
      <c r="D90" s="20" t="n"/>
      <c r="E90" s="20" t="n"/>
      <c r="F90" s="20" t="n"/>
      <c r="G90" s="20" t="n"/>
    </row>
    <row r="91">
      <c r="A91" s="21" t="inlineStr">
        <is>
          <t>Details of cost for 5.76 sqm   |   Source: CivilDAR_2019_Vol_1.pdf, page 681</t>
        </is>
      </c>
    </row>
    <row r="92">
      <c r="A92" s="5" t="inlineStr">
        <is>
          <t>Code</t>
        </is>
      </c>
      <c r="B92" s="5" t="inlineStr">
        <is>
          <t>Description</t>
        </is>
      </c>
      <c r="C92" s="5" t="inlineStr">
        <is>
          <t>Unit</t>
        </is>
      </c>
      <c r="D92" s="5" t="inlineStr">
        <is>
          <t>Quantity</t>
        </is>
      </c>
      <c r="E92" s="5" t="inlineStr">
        <is>
          <t>Rate (Rs.)</t>
        </is>
      </c>
      <c r="F92" s="5" t="inlineStr">
        <is>
          <t>Amount (Rs.)</t>
        </is>
      </c>
      <c r="G92" s="5" t="inlineStr">
        <is>
          <t>Note</t>
        </is>
      </c>
    </row>
    <row r="93">
      <c r="A93" s="22" t="inlineStr">
        <is>
          <t>1013</t>
        </is>
      </c>
      <c r="B93" s="11" t="inlineStr">
        <is>
          <t>Mild steel sheets for tanks</t>
        </is>
      </c>
      <c r="C93" s="22" t="inlineStr">
        <is>
          <t>quintal</t>
        </is>
      </c>
      <c r="D93" s="23" t="n">
        <v>0.497</v>
      </c>
      <c r="E93" s="24" t="n">
        <v>4600</v>
      </c>
      <c r="F93" s="24">
        <f>D93*E93</f>
        <v/>
      </c>
      <c r="G93" s="22" t="n"/>
    </row>
    <row r="94">
      <c r="A94" s="22" t="inlineStr">
        <is>
          <t>1013</t>
        </is>
      </c>
      <c r="B94" s="11" t="inlineStr">
        <is>
          <t>Mild steel sheets for tanks</t>
        </is>
      </c>
      <c r="C94" s="22" t="inlineStr">
        <is>
          <t>quintal</t>
        </is>
      </c>
      <c r="D94" s="23" t="n">
        <v>0.153</v>
      </c>
      <c r="E94" s="24" t="n">
        <v>4600</v>
      </c>
      <c r="F94" s="24">
        <f>D94*E94</f>
        <v/>
      </c>
      <c r="G94" s="22" t="n"/>
    </row>
    <row r="95">
      <c r="A95" s="22" t="inlineStr">
        <is>
          <t>1007</t>
        </is>
      </c>
      <c r="B95" s="11" t="inlineStr">
        <is>
          <t>Structurals such as tees,angles channels and R.S. joists</t>
        </is>
      </c>
      <c r="C95" s="22" t="inlineStr">
        <is>
          <t>quintal</t>
        </is>
      </c>
      <c r="D95" s="23" t="n">
        <v>0.9360000000000001</v>
      </c>
      <c r="E95" s="24" t="n">
        <v>4600</v>
      </c>
      <c r="F95" s="24">
        <f>D95*E95</f>
        <v/>
      </c>
      <c r="G95" s="22" t="n"/>
    </row>
    <row r="96">
      <c r="A96" s="22" t="inlineStr">
        <is>
          <t>2205</t>
        </is>
      </c>
      <c r="B96" s="11" t="inlineStr">
        <is>
          <t>Carriage of Steel</t>
        </is>
      </c>
      <c r="C96" s="22" t="inlineStr">
        <is>
          <t>tonne</t>
        </is>
      </c>
      <c r="D96" s="23" t="n">
        <v>0.1586</v>
      </c>
      <c r="E96" s="24" t="n">
        <v>92.23999999999999</v>
      </c>
      <c r="F96" s="24">
        <f>D96*E96</f>
        <v/>
      </c>
      <c r="G96" s="22" t="n"/>
    </row>
    <row r="97">
      <c r="A97" s="22" t="inlineStr">
        <is>
          <t>1036</t>
        </is>
      </c>
      <c r="B97" s="11" t="inlineStr">
        <is>
          <t>Iron pintels including welded pin</t>
        </is>
      </c>
      <c r="C97" s="22" t="inlineStr">
        <is>
          <t>each</t>
        </is>
      </c>
      <c r="D97" s="23" t="n">
        <v>4</v>
      </c>
      <c r="E97" s="24" t="n">
        <v>37</v>
      </c>
      <c r="F97" s="24">
        <f>D97*E97</f>
        <v/>
      </c>
      <c r="G97" s="22" t="n"/>
    </row>
    <row r="98">
      <c r="A98" s="22" t="inlineStr">
        <is>
          <t>1222</t>
        </is>
      </c>
      <c r="B98" s="11" t="inlineStr">
        <is>
          <t>Mild steel sheets with bolts and nuts to rest on pintels</t>
        </is>
      </c>
      <c r="C98" s="22" t="inlineStr">
        <is>
          <t>each</t>
        </is>
      </c>
      <c r="D98" s="23" t="n">
        <v>4</v>
      </c>
      <c r="E98" s="24" t="n">
        <v>120</v>
      </c>
      <c r="F98" s="24">
        <f>D98*E98</f>
        <v/>
      </c>
      <c r="G98" s="22" t="n"/>
    </row>
    <row r="99">
      <c r="A99" s="22" t="inlineStr">
        <is>
          <t>1019</t>
        </is>
      </c>
      <c r="B99" s="11" t="inlineStr">
        <is>
          <t>Mild steel hooks</t>
        </is>
      </c>
      <c r="C99" s="22" t="inlineStr">
        <is>
          <t>each</t>
        </is>
      </c>
      <c r="D99" s="23" t="n">
        <v>2</v>
      </c>
      <c r="E99" s="24" t="n">
        <v>32</v>
      </c>
      <c r="F99" s="24">
        <f>D99*E99</f>
        <v/>
      </c>
      <c r="G99" s="22" t="n"/>
    </row>
    <row r="100">
      <c r="A100" s="22" t="inlineStr">
        <is>
          <t>9999</t>
        </is>
      </c>
      <c r="B100" s="11" t="inlineStr">
        <is>
          <t>Locking arrangements and handles</t>
        </is>
      </c>
      <c r="C100" s="22" t="inlineStr">
        <is>
          <t>L.S.</t>
        </is>
      </c>
      <c r="D100" s="23" t="n">
        <v>167.7</v>
      </c>
      <c r="E100" s="24" t="n">
        <v>2</v>
      </c>
      <c r="F100" s="24">
        <f>D100*E100</f>
        <v/>
      </c>
      <c r="G100" s="22" t="n"/>
    </row>
    <row r="101">
      <c r="A101" s="22" t="inlineStr">
        <is>
          <t>9999</t>
        </is>
      </c>
      <c r="B101" s="11" t="inlineStr">
        <is>
          <t>Rivets</t>
        </is>
      </c>
      <c r="C101" s="22" t="inlineStr">
        <is>
          <t>L.S.</t>
        </is>
      </c>
      <c r="D101" s="23" t="n">
        <v>269.1</v>
      </c>
      <c r="E101" s="24" t="n">
        <v>2</v>
      </c>
      <c r="F101" s="24">
        <f>D101*E101</f>
        <v/>
      </c>
      <c r="G101" s="22" t="n"/>
    </row>
    <row r="102">
      <c r="A102" s="22" t="inlineStr">
        <is>
          <t>13.50.3</t>
        </is>
      </c>
      <c r="B102" s="11" t="inlineStr">
        <is>
          <t>Rate as per item 13.50.3 - Applying priming coat - With ready mixed red oxide zinc chromate primer of approved brand and manufacture o...</t>
        </is>
      </c>
      <c r="C102" s="22" t="inlineStr">
        <is>
          <t>sqm</t>
        </is>
      </c>
      <c r="D102" s="23" t="n">
        <v>15.41</v>
      </c>
      <c r="E102" s="24" t="n">
        <v>50.7</v>
      </c>
      <c r="F102" s="24">
        <f>D102*E102</f>
        <v/>
      </c>
      <c r="G102" s="22" t="n"/>
    </row>
    <row r="103">
      <c r="A103" s="22" t="inlineStr">
        <is>
          <t>0116</t>
        </is>
      </c>
      <c r="B103" s="11" t="inlineStr">
        <is>
          <t>Fitter (grade 1)</t>
        </is>
      </c>
      <c r="C103" s="22" t="inlineStr">
        <is>
          <t>day</t>
        </is>
      </c>
      <c r="D103" s="23" t="n">
        <v>2</v>
      </c>
      <c r="E103" s="24" t="n">
        <v>738</v>
      </c>
      <c r="F103" s="24">
        <f>D103*E103</f>
        <v/>
      </c>
      <c r="G103" s="22" t="n"/>
    </row>
    <row r="104">
      <c r="A104" s="22" t="inlineStr">
        <is>
          <t>0102</t>
        </is>
      </c>
      <c r="B104" s="11" t="inlineStr">
        <is>
          <t>Blacksmith 1st class</t>
        </is>
      </c>
      <c r="C104" s="22" t="inlineStr">
        <is>
          <t>day</t>
        </is>
      </c>
      <c r="D104" s="23" t="n">
        <v>3</v>
      </c>
      <c r="E104" s="24" t="n">
        <v>738</v>
      </c>
      <c r="F104" s="24">
        <f>D104*E104</f>
        <v/>
      </c>
      <c r="G104" s="22" t="n"/>
    </row>
    <row r="105">
      <c r="A105" s="22" t="inlineStr">
        <is>
          <t>0103</t>
        </is>
      </c>
      <c r="B105" s="11" t="inlineStr">
        <is>
          <t>Blacksmith 2nd class</t>
        </is>
      </c>
      <c r="C105" s="22" t="inlineStr">
        <is>
          <t>day</t>
        </is>
      </c>
      <c r="D105" s="23" t="n">
        <v>4</v>
      </c>
      <c r="E105" s="24" t="n">
        <v>679</v>
      </c>
      <c r="F105" s="24">
        <f>D105*E105</f>
        <v/>
      </c>
      <c r="G105" s="22" t="n"/>
    </row>
    <row r="106">
      <c r="A106" s="22" t="inlineStr">
        <is>
          <t>0123</t>
        </is>
      </c>
      <c r="B106" s="11" t="inlineStr">
        <is>
          <t>Mason (brick layer) 1st class</t>
        </is>
      </c>
      <c r="C106" s="22" t="inlineStr">
        <is>
          <t>day</t>
        </is>
      </c>
      <c r="D106" s="23" t="n">
        <v>0.06</v>
      </c>
      <c r="E106" s="24" t="n">
        <v>738</v>
      </c>
      <c r="F106" s="24">
        <f>D106*E106</f>
        <v/>
      </c>
      <c r="G106" s="22" t="n"/>
    </row>
    <row r="107">
      <c r="A107" s="22" t="inlineStr">
        <is>
          <t>0124</t>
        </is>
      </c>
      <c r="B107" s="11" t="inlineStr">
        <is>
          <t>Mason (brick layer) 2nd class</t>
        </is>
      </c>
      <c r="C107" s="22" t="inlineStr">
        <is>
          <t>day</t>
        </is>
      </c>
      <c r="D107" s="23" t="n">
        <v>0.06</v>
      </c>
      <c r="E107" s="24" t="n">
        <v>679</v>
      </c>
      <c r="F107" s="24">
        <f>D107*E107</f>
        <v/>
      </c>
      <c r="G107" s="22" t="n"/>
    </row>
    <row r="108">
      <c r="A108" s="22" t="inlineStr">
        <is>
          <t>0114</t>
        </is>
      </c>
      <c r="B108" s="11" t="inlineStr">
        <is>
          <t>Beldar</t>
        </is>
      </c>
      <c r="C108" s="22" t="inlineStr">
        <is>
          <t>day</t>
        </is>
      </c>
      <c r="D108" s="23" t="n">
        <v>5</v>
      </c>
      <c r="E108" s="24" t="n">
        <v>558</v>
      </c>
      <c r="F108" s="24">
        <f>D108*E108</f>
        <v/>
      </c>
      <c r="G108" s="22" t="n"/>
    </row>
    <row r="109">
      <c r="A109" s="22" t="inlineStr">
        <is>
          <t>9999</t>
        </is>
      </c>
      <c r="B109" s="11" t="inlineStr">
        <is>
          <t>Sundries</t>
        </is>
      </c>
      <c r="C109" s="22" t="inlineStr">
        <is>
          <t>L.S.</t>
        </is>
      </c>
      <c r="D109" s="23" t="n">
        <v>161.46</v>
      </c>
      <c r="E109" s="24" t="n">
        <v>2</v>
      </c>
      <c r="F109" s="24">
        <f>D109*E109</f>
        <v/>
      </c>
      <c r="G109" s="22" t="n"/>
    </row>
    <row r="110">
      <c r="A110" s="8" t="inlineStr">
        <is>
          <t>Calculated W - SUM of the Amount column above</t>
        </is>
      </c>
      <c r="B110" s="9" t="n"/>
      <c r="C110" s="9" t="n"/>
      <c r="D110" s="9" t="n"/>
      <c r="E110" s="9" t="n"/>
      <c r="F110" s="25">
        <f>SUM(F93:F109)</f>
        <v/>
      </c>
      <c r="G110" s="9" t="n"/>
    </row>
    <row r="111">
      <c r="A111" s="26" t="inlineStr">
        <is>
          <t>W as printed in the DAR</t>
        </is>
      </c>
      <c r="B111" s="22" t="n"/>
      <c r="C111" s="22" t="n"/>
      <c r="D111" s="22" t="n"/>
      <c r="E111" s="22" t="n"/>
      <c r="F111" s="27" t="n">
        <v>19261.06</v>
      </c>
      <c r="G111" s="22" t="n"/>
    </row>
    <row r="112">
      <c r="A112" s="26" t="inlineStr">
        <is>
          <t>Difference (calculated - printed)</t>
        </is>
      </c>
      <c r="B112" s="22" t="n"/>
      <c r="C112" s="22" t="n"/>
      <c r="D112" s="22" t="n"/>
      <c r="E112" s="22" t="n"/>
      <c r="F112" s="27">
        <f>F110-F111</f>
        <v/>
      </c>
      <c r="G112" s="22" t="n"/>
    </row>
    <row r="113">
      <c r="A113" s="29" t="inlineStr">
        <is>
          <t>SAY (Rs.) - final DAR rate as printed (fixed value, not computed)</t>
        </is>
      </c>
      <c r="B113" s="30" t="n"/>
      <c r="C113" s="30" t="n"/>
      <c r="D113" s="30" t="n"/>
      <c r="E113" s="30" t="n"/>
      <c r="F113" s="31" t="n">
        <v>4428.15</v>
      </c>
      <c r="G113" s="30" t="n"/>
    </row>
    <row r="115" ht="33" customHeight="1">
      <c r="A115" s="8" t="inlineStr">
        <is>
          <t>10.5</t>
        </is>
      </c>
      <c r="B115" s="17" t="inlineStr">
        <is>
          <t>Providing and fixing 1mm thick M.S. sheet door with frame of 40x40x6 mm angle iron and 3 mm M.S. gusset plates at the junctions and corners, all necessary fittings complete, including applying a priming coat of approved steel primer.</t>
        </is>
      </c>
      <c r="C115" s="9" t="n"/>
      <c r="D115" s="9" t="n"/>
      <c r="E115" s="9" t="n"/>
      <c r="F115" s="9" t="n"/>
      <c r="G115" s="9" t="n"/>
    </row>
    <row r="116" ht="18.5" customHeight="1">
      <c r="A116" s="18" t="inlineStr">
        <is>
          <t>10.5.2</t>
        </is>
      </c>
      <c r="B116" s="19" t="inlineStr">
        <is>
          <t>Using flats 30x6mm for diagonal braces and central cross piece</t>
        </is>
      </c>
      <c r="C116" s="20" t="n"/>
      <c r="D116" s="20" t="n"/>
      <c r="E116" s="20" t="n"/>
      <c r="F116" s="20" t="n"/>
      <c r="G116" s="20" t="n"/>
    </row>
    <row r="117">
      <c r="A117" s="21" t="inlineStr">
        <is>
          <t>Details of cost for 5.76 sqm   |   Source: CivilDAR_2019_Vol_1.pdf, page 682</t>
        </is>
      </c>
    </row>
    <row r="118">
      <c r="A118" s="5" t="inlineStr">
        <is>
          <t>Code</t>
        </is>
      </c>
      <c r="B118" s="5" t="inlineStr">
        <is>
          <t>Description</t>
        </is>
      </c>
      <c r="C118" s="5" t="inlineStr">
        <is>
          <t>Unit</t>
        </is>
      </c>
      <c r="D118" s="5" t="inlineStr">
        <is>
          <t>Quantity</t>
        </is>
      </c>
      <c r="E118" s="5" t="inlineStr">
        <is>
          <t>Rate (Rs.)</t>
        </is>
      </c>
      <c r="F118" s="5" t="inlineStr">
        <is>
          <t>Amount (Rs.)</t>
        </is>
      </c>
      <c r="G118" s="5" t="inlineStr">
        <is>
          <t>Note</t>
        </is>
      </c>
    </row>
    <row r="119">
      <c r="A119" s="22" t="inlineStr">
        <is>
          <t>1013</t>
        </is>
      </c>
      <c r="B119" s="11" t="inlineStr">
        <is>
          <t>Mild steel sheets for tanks</t>
        </is>
      </c>
      <c r="C119" s="22" t="inlineStr">
        <is>
          <t>quintal</t>
        </is>
      </c>
      <c r="D119" s="23" t="n">
        <v>0.497</v>
      </c>
      <c r="E119" s="24" t="n">
        <v>4600</v>
      </c>
      <c r="F119" s="24">
        <f>D119*E119</f>
        <v/>
      </c>
      <c r="G119" s="22" t="n"/>
    </row>
    <row r="120">
      <c r="A120" s="22" t="inlineStr">
        <is>
          <t>1010</t>
        </is>
      </c>
      <c r="B120" s="11" t="inlineStr">
        <is>
          <t>Mild steel plates</t>
        </is>
      </c>
      <c r="C120" s="22" t="inlineStr">
        <is>
          <t>quintal</t>
        </is>
      </c>
      <c r="D120" s="23" t="n">
        <v>0.2078</v>
      </c>
      <c r="E120" s="24" t="n">
        <v>4800</v>
      </c>
      <c r="F120" s="24">
        <f>D120*E120</f>
        <v/>
      </c>
      <c r="G120" s="22" t="n"/>
    </row>
    <row r="121">
      <c r="A121" s="22" t="inlineStr">
        <is>
          <t>1007</t>
        </is>
      </c>
      <c r="B121" s="11" t="inlineStr">
        <is>
          <t>Structurals such as tees, angles channels and R.S. joists</t>
        </is>
      </c>
      <c r="C121" s="22" t="inlineStr">
        <is>
          <t>quintal</t>
        </is>
      </c>
      <c r="D121" s="23" t="n">
        <v>0.554</v>
      </c>
      <c r="E121" s="24" t="n">
        <v>4600</v>
      </c>
      <c r="F121" s="24">
        <f>D121*E121</f>
        <v/>
      </c>
      <c r="G121" s="22" t="n"/>
    </row>
    <row r="122">
      <c r="A122" s="22" t="inlineStr">
        <is>
          <t>1008</t>
        </is>
      </c>
      <c r="B122" s="11" t="inlineStr">
        <is>
          <t>Flats upto 10 mm in thickness</t>
        </is>
      </c>
      <c r="C122" s="22" t="inlineStr">
        <is>
          <t>quintal</t>
        </is>
      </c>
      <c r="D122" s="23" t="n">
        <v>0.188</v>
      </c>
      <c r="E122" s="24" t="n">
        <v>4500</v>
      </c>
      <c r="F122" s="24">
        <f>D122*E122</f>
        <v/>
      </c>
      <c r="G122" s="22" t="n"/>
    </row>
    <row r="123">
      <c r="A123" s="22" t="inlineStr">
        <is>
          <t>2205</t>
        </is>
      </c>
      <c r="B123" s="11" t="inlineStr">
        <is>
          <t>Carriage of Steel</t>
        </is>
      </c>
      <c r="C123" s="22" t="inlineStr">
        <is>
          <t>tonne</t>
        </is>
      </c>
      <c r="D123" s="23" t="n">
        <v>0.1447</v>
      </c>
      <c r="E123" s="24" t="n">
        <v>92.23999999999999</v>
      </c>
      <c r="F123" s="24">
        <f>D123*E123</f>
        <v/>
      </c>
      <c r="G123" s="22" t="n"/>
    </row>
    <row r="124">
      <c r="A124" s="22" t="inlineStr">
        <is>
          <t>1036</t>
        </is>
      </c>
      <c r="B124" s="11" t="inlineStr">
        <is>
          <t>Iron pintels including welded pin</t>
        </is>
      </c>
      <c r="C124" s="22" t="inlineStr">
        <is>
          <t>each</t>
        </is>
      </c>
      <c r="D124" s="23" t="n">
        <v>4</v>
      </c>
      <c r="E124" s="24" t="n">
        <v>37</v>
      </c>
      <c r="F124" s="24">
        <f>D124*E124</f>
        <v/>
      </c>
      <c r="G124" s="22" t="n"/>
    </row>
    <row r="125">
      <c r="A125" s="22" t="inlineStr">
        <is>
          <t>1222</t>
        </is>
      </c>
      <c r="B125" s="11" t="inlineStr">
        <is>
          <t>Mild steel sheets with bolts and nuts to rest on pintels</t>
        </is>
      </c>
      <c r="C125" s="22" t="inlineStr">
        <is>
          <t>each</t>
        </is>
      </c>
      <c r="D125" s="23" t="n">
        <v>4</v>
      </c>
      <c r="E125" s="24" t="n">
        <v>120</v>
      </c>
      <c r="F125" s="24">
        <f>D125*E125</f>
        <v/>
      </c>
      <c r="G125" s="22" t="n"/>
    </row>
    <row r="126">
      <c r="A126" s="22" t="inlineStr">
        <is>
          <t>1019</t>
        </is>
      </c>
      <c r="B126" s="11" t="inlineStr">
        <is>
          <t>Mild steel hooks</t>
        </is>
      </c>
      <c r="C126" s="22" t="inlineStr">
        <is>
          <t>each</t>
        </is>
      </c>
      <c r="D126" s="23" t="n">
        <v>2</v>
      </c>
      <c r="E126" s="24" t="n">
        <v>32</v>
      </c>
      <c r="F126" s="24">
        <f>D126*E126</f>
        <v/>
      </c>
      <c r="G126" s="22" t="n"/>
    </row>
    <row r="127">
      <c r="A127" s="22" t="inlineStr">
        <is>
          <t>9999</t>
        </is>
      </c>
      <c r="B127" s="11" t="inlineStr">
        <is>
          <t>Locking arrangements and handles</t>
        </is>
      </c>
      <c r="C127" s="22" t="inlineStr">
        <is>
          <t>L.S.</t>
        </is>
      </c>
      <c r="D127" s="23" t="n">
        <v>167.7</v>
      </c>
      <c r="E127" s="24" t="n">
        <v>2</v>
      </c>
      <c r="F127" s="24">
        <f>D127*E127</f>
        <v/>
      </c>
      <c r="G127" s="22" t="n"/>
    </row>
    <row r="128">
      <c r="A128" s="22" t="inlineStr">
        <is>
          <t>9999</t>
        </is>
      </c>
      <c r="B128" s="11" t="inlineStr">
        <is>
          <t>Rivets</t>
        </is>
      </c>
      <c r="C128" s="22" t="inlineStr">
        <is>
          <t>L.S.</t>
        </is>
      </c>
      <c r="D128" s="23" t="n">
        <v>269.1</v>
      </c>
      <c r="E128" s="24" t="n">
        <v>2</v>
      </c>
      <c r="F128" s="24">
        <f>D128*E128</f>
        <v/>
      </c>
      <c r="G128" s="22" t="n"/>
    </row>
    <row r="129">
      <c r="A129" s="22" t="inlineStr">
        <is>
          <t>13.50.3</t>
        </is>
      </c>
      <c r="B129" s="11" t="inlineStr">
        <is>
          <t>Rate as per item 13.50.3 - Applying priming coat - With ready mixed red oxide zinc chromate primer of approved brand and manufacture o...</t>
        </is>
      </c>
      <c r="C129" s="22" t="inlineStr">
        <is>
          <t>sqm</t>
        </is>
      </c>
      <c r="D129" s="23" t="n">
        <v>14.7</v>
      </c>
      <c r="E129" s="24" t="n">
        <v>50.7</v>
      </c>
      <c r="F129" s="24">
        <f>D129*E129</f>
        <v/>
      </c>
      <c r="G129" s="22" t="n"/>
    </row>
    <row r="130">
      <c r="A130" s="22" t="inlineStr">
        <is>
          <t>0116</t>
        </is>
      </c>
      <c r="B130" s="11" t="inlineStr">
        <is>
          <t>Fitter (grade 1)</t>
        </is>
      </c>
      <c r="C130" s="22" t="inlineStr">
        <is>
          <t>day</t>
        </is>
      </c>
      <c r="D130" s="23" t="n">
        <v>2</v>
      </c>
      <c r="E130" s="24" t="n">
        <v>738</v>
      </c>
      <c r="F130" s="24">
        <f>D130*E130</f>
        <v/>
      </c>
      <c r="G130" s="22" t="n"/>
    </row>
    <row r="131">
      <c r="A131" s="22" t="inlineStr">
        <is>
          <t>0102</t>
        </is>
      </c>
      <c r="B131" s="11" t="inlineStr">
        <is>
          <t>Blacksmith 1st class</t>
        </is>
      </c>
      <c r="C131" s="22" t="inlineStr">
        <is>
          <t>day</t>
        </is>
      </c>
      <c r="D131" s="23" t="n">
        <v>3</v>
      </c>
      <c r="E131" s="24" t="n">
        <v>738</v>
      </c>
      <c r="F131" s="24">
        <f>D131*E131</f>
        <v/>
      </c>
      <c r="G131" s="22" t="n"/>
    </row>
    <row r="132">
      <c r="A132" s="22" t="inlineStr">
        <is>
          <t>0103</t>
        </is>
      </c>
      <c r="B132" s="11" t="inlineStr">
        <is>
          <t>Blacksmith 2nd class</t>
        </is>
      </c>
      <c r="C132" s="22" t="inlineStr">
        <is>
          <t>day</t>
        </is>
      </c>
      <c r="D132" s="23" t="n">
        <v>4</v>
      </c>
      <c r="E132" s="24" t="n">
        <v>679</v>
      </c>
      <c r="F132" s="24">
        <f>D132*E132</f>
        <v/>
      </c>
      <c r="G132" s="22" t="n"/>
    </row>
    <row r="133">
      <c r="A133" s="22" t="inlineStr">
        <is>
          <t>0123</t>
        </is>
      </c>
      <c r="B133" s="11" t="inlineStr">
        <is>
          <t>Mason (brick layer) 1st class</t>
        </is>
      </c>
      <c r="C133" s="22" t="inlineStr">
        <is>
          <t>day</t>
        </is>
      </c>
      <c r="D133" s="23" t="n">
        <v>0.06</v>
      </c>
      <c r="E133" s="24" t="n">
        <v>738</v>
      </c>
      <c r="F133" s="24">
        <f>D133*E133</f>
        <v/>
      </c>
      <c r="G133" s="22" t="n"/>
    </row>
    <row r="134">
      <c r="A134" s="22" t="inlineStr">
        <is>
          <t>0124</t>
        </is>
      </c>
      <c r="B134" s="11" t="inlineStr">
        <is>
          <t>Mason (brick layer) 2nd class</t>
        </is>
      </c>
      <c r="C134" s="22" t="inlineStr">
        <is>
          <t>day</t>
        </is>
      </c>
      <c r="D134" s="23" t="n">
        <v>0.06</v>
      </c>
      <c r="E134" s="24" t="n">
        <v>679</v>
      </c>
      <c r="F134" s="24">
        <f>D134*E134</f>
        <v/>
      </c>
      <c r="G134" s="22" t="n"/>
    </row>
    <row r="135">
      <c r="A135" s="22" t="inlineStr">
        <is>
          <t>0114</t>
        </is>
      </c>
      <c r="B135" s="11" t="inlineStr">
        <is>
          <t>Beldar</t>
        </is>
      </c>
      <c r="C135" s="22" t="inlineStr">
        <is>
          <t>day</t>
        </is>
      </c>
      <c r="D135" s="23" t="n">
        <v>5</v>
      </c>
      <c r="E135" s="24" t="n">
        <v>558</v>
      </c>
      <c r="F135" s="24">
        <f>D135*E135</f>
        <v/>
      </c>
      <c r="G135" s="22" t="n"/>
    </row>
    <row r="136">
      <c r="A136" s="22" t="inlineStr">
        <is>
          <t>9999</t>
        </is>
      </c>
      <c r="B136" s="11" t="inlineStr">
        <is>
          <t>Sundries</t>
        </is>
      </c>
      <c r="C136" s="22" t="inlineStr">
        <is>
          <t>L.S.</t>
        </is>
      </c>
      <c r="D136" s="23" t="n">
        <v>161.46</v>
      </c>
      <c r="E136" s="24" t="n">
        <v>2</v>
      </c>
      <c r="F136" s="24">
        <f>D136*E136</f>
        <v/>
      </c>
      <c r="G136" s="22" t="n"/>
    </row>
    <row r="137">
      <c r="A137" s="8" t="inlineStr">
        <is>
          <t>Calculated W - SUM of the Amount column above</t>
        </is>
      </c>
      <c r="B137" s="9" t="n"/>
      <c r="C137" s="9" t="n"/>
      <c r="D137" s="9" t="n"/>
      <c r="E137" s="9" t="n"/>
      <c r="F137" s="25">
        <f>SUM(F119:F136)</f>
        <v/>
      </c>
      <c r="G137" s="9" t="n"/>
    </row>
    <row r="138">
      <c r="A138" s="26" t="inlineStr">
        <is>
          <t>W as printed in the DAR</t>
        </is>
      </c>
      <c r="B138" s="22" t="n"/>
      <c r="C138" s="22" t="n"/>
      <c r="D138" s="22" t="n"/>
      <c r="E138" s="22" t="n"/>
      <c r="F138" s="27" t="n">
        <v>18606.22</v>
      </c>
      <c r="G138" s="22" t="n"/>
    </row>
    <row r="139">
      <c r="A139" s="26" t="inlineStr">
        <is>
          <t>Difference (calculated - printed)</t>
        </is>
      </c>
      <c r="B139" s="22" t="n"/>
      <c r="C139" s="22" t="n"/>
      <c r="D139" s="22" t="n"/>
      <c r="E139" s="22" t="n"/>
      <c r="F139" s="27">
        <f>F137-F138</f>
        <v/>
      </c>
      <c r="G139" s="22" t="n"/>
    </row>
    <row r="140">
      <c r="A140" s="29" t="inlineStr">
        <is>
          <t>SAY (Rs.) - final DAR rate as printed (fixed value, not computed)</t>
        </is>
      </c>
      <c r="B140" s="30" t="n"/>
      <c r="C140" s="30" t="n"/>
      <c r="D140" s="30" t="n"/>
      <c r="E140" s="30" t="n"/>
      <c r="F140" s="31" t="n">
        <v>4278.15</v>
      </c>
      <c r="G140" s="30" t="n"/>
    </row>
    <row r="142" ht="76.5" customHeight="1">
      <c r="A142" s="8" t="inlineStr">
        <is>
          <t>10.6</t>
        </is>
      </c>
      <c r="B142" s="17"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is>
      </c>
      <c r="C142" s="9" t="n"/>
      <c r="D142" s="9" t="n"/>
      <c r="E142" s="9" t="n"/>
      <c r="F142" s="9" t="n"/>
      <c r="G142" s="9" t="n"/>
    </row>
    <row r="143" ht="18.5" customHeight="1">
      <c r="A143" s="18" t="inlineStr">
        <is>
          <t>10.6.1</t>
        </is>
      </c>
      <c r="B143" s="19" t="inlineStr">
        <is>
          <t>80x1.25 mm M.S. laths with 1.25 mm thick top cover</t>
        </is>
      </c>
      <c r="C143" s="20" t="n"/>
      <c r="D143" s="20" t="n"/>
      <c r="E143" s="20" t="n"/>
      <c r="F143" s="20" t="n"/>
      <c r="G143" s="20" t="n"/>
    </row>
    <row r="144">
      <c r="A144" s="21" t="inlineStr">
        <is>
          <t>Details of cost for 7.5 sqm   |   Source: CivilDAR_2019_Vol_1.pdf, page 684</t>
        </is>
      </c>
    </row>
    <row r="145">
      <c r="A145" s="5" t="inlineStr">
        <is>
          <t>Code</t>
        </is>
      </c>
      <c r="B145" s="5" t="inlineStr">
        <is>
          <t>Description</t>
        </is>
      </c>
      <c r="C145" s="5" t="inlineStr">
        <is>
          <t>Unit</t>
        </is>
      </c>
      <c r="D145" s="5" t="inlineStr">
        <is>
          <t>Quantity</t>
        </is>
      </c>
      <c r="E145" s="5" t="inlineStr">
        <is>
          <t>Rate (Rs.)</t>
        </is>
      </c>
      <c r="F145" s="5" t="inlineStr">
        <is>
          <t>Amount (Rs.)</t>
        </is>
      </c>
      <c r="G145" s="5" t="inlineStr">
        <is>
          <t>Note</t>
        </is>
      </c>
    </row>
    <row r="146">
      <c r="A146" s="22" t="inlineStr">
        <is>
          <t>0973</t>
        </is>
      </c>
      <c r="B146" s="11" t="inlineStr">
        <is>
          <t>Rolling shutter made of 80x1.25 mm machine rolled laths</t>
        </is>
      </c>
      <c r="C146" s="22" t="inlineStr">
        <is>
          <t>sqm</t>
        </is>
      </c>
      <c r="D146" s="23" t="n">
        <v>7.5</v>
      </c>
      <c r="E146" s="24" t="n">
        <v>1400</v>
      </c>
      <c r="F146" s="24">
        <f>D146*E146</f>
        <v/>
      </c>
      <c r="G146" s="22" t="n"/>
    </row>
    <row r="147">
      <c r="A147" s="22" t="inlineStr">
        <is>
          <t>0974</t>
        </is>
      </c>
      <c r="B147" s="11" t="inlineStr">
        <is>
          <t>Top cover for rolling shutters 1.25 mm thick</t>
        </is>
      </c>
      <c r="C147" s="22" t="inlineStr">
        <is>
          <t>metre</t>
        </is>
      </c>
      <c r="D147" s="23" t="n">
        <v>2.5</v>
      </c>
      <c r="E147" s="24" t="n">
        <v>800</v>
      </c>
      <c r="F147" s="24">
        <f>D147*E147</f>
        <v/>
      </c>
      <c r="G147" s="22" t="n"/>
    </row>
    <row r="148">
      <c r="A148" s="22" t="inlineStr">
        <is>
          <t>0975</t>
        </is>
      </c>
      <c r="B148" s="11" t="inlineStr">
        <is>
          <t>27.5 cm long wire spring grade no 2 for rolling shutters</t>
        </is>
      </c>
      <c r="C148" s="22" t="inlineStr">
        <is>
          <t>each</t>
        </is>
      </c>
      <c r="D148" s="23" t="n">
        <v>1</v>
      </c>
      <c r="E148" s="24" t="n">
        <v>300</v>
      </c>
      <c r="F148" s="24">
        <f>D148*E148</f>
        <v/>
      </c>
      <c r="G148" s="22" t="n"/>
    </row>
    <row r="149">
      <c r="A149" s="22" t="inlineStr">
        <is>
          <t>9977</t>
        </is>
      </c>
      <c r="B149" s="11" t="inlineStr">
        <is>
          <t>CARRIAGE</t>
        </is>
      </c>
      <c r="C149" s="22" t="inlineStr">
        <is>
          <t>L.S.</t>
        </is>
      </c>
      <c r="D149" s="23" t="n">
        <v>53.82</v>
      </c>
      <c r="E149" s="24" t="n">
        <v>2</v>
      </c>
      <c r="F149" s="24">
        <f>D149*E149</f>
        <v/>
      </c>
      <c r="G149" s="22" t="n"/>
    </row>
    <row r="150">
      <c r="A150" s="22" t="inlineStr">
        <is>
          <t>0116</t>
        </is>
      </c>
      <c r="B150" s="11" t="inlineStr">
        <is>
          <t>Fitter (grade 1)</t>
        </is>
      </c>
      <c r="C150" s="22" t="inlineStr">
        <is>
          <t>day</t>
        </is>
      </c>
      <c r="D150" s="23" t="n">
        <v>2.55</v>
      </c>
      <c r="E150" s="24" t="n">
        <v>738</v>
      </c>
      <c r="F150" s="24">
        <f>D150*E150</f>
        <v/>
      </c>
      <c r="G150" s="22" t="n"/>
    </row>
    <row r="151">
      <c r="A151" s="22" t="inlineStr">
        <is>
          <t>0114</t>
        </is>
      </c>
      <c r="B151" s="11" t="inlineStr">
        <is>
          <t>Beldar</t>
        </is>
      </c>
      <c r="C151" s="22" t="inlineStr">
        <is>
          <t>day</t>
        </is>
      </c>
      <c r="D151" s="23" t="n">
        <v>2.55</v>
      </c>
      <c r="E151" s="24" t="n">
        <v>558</v>
      </c>
      <c r="F151" s="24">
        <f>D151*E151</f>
        <v/>
      </c>
      <c r="G151" s="22" t="n"/>
    </row>
    <row r="152">
      <c r="A152" s="22" t="inlineStr">
        <is>
          <t>0123</t>
        </is>
      </c>
      <c r="B152" s="11" t="inlineStr">
        <is>
          <t>Mason (brick layer) 1st class</t>
        </is>
      </c>
      <c r="C152" s="22" t="inlineStr">
        <is>
          <t>day</t>
        </is>
      </c>
      <c r="D152" s="23" t="n">
        <v>0.12</v>
      </c>
      <c r="E152" s="24" t="n">
        <v>738</v>
      </c>
      <c r="F152" s="24">
        <f>D152*E152</f>
        <v/>
      </c>
      <c r="G152" s="22" t="n"/>
    </row>
    <row r="153">
      <c r="A153" s="22" t="inlineStr">
        <is>
          <t>0124</t>
        </is>
      </c>
      <c r="B153" s="11" t="inlineStr">
        <is>
          <t>Mason (brick layer) 2nd class</t>
        </is>
      </c>
      <c r="C153" s="22" t="inlineStr">
        <is>
          <t>day</t>
        </is>
      </c>
      <c r="D153" s="23" t="n">
        <v>0.12</v>
      </c>
      <c r="E153" s="24" t="n">
        <v>679</v>
      </c>
      <c r="F153" s="24">
        <f>D153*E153</f>
        <v/>
      </c>
      <c r="G153" s="22" t="n"/>
    </row>
    <row r="154">
      <c r="A154" s="22" t="inlineStr">
        <is>
          <t>9999</t>
        </is>
      </c>
      <c r="B154" s="11" t="inlineStr">
        <is>
          <t>Sundries</t>
        </is>
      </c>
      <c r="C154" s="22" t="inlineStr">
        <is>
          <t>L.S.</t>
        </is>
      </c>
      <c r="D154" s="23" t="n">
        <v>60.58</v>
      </c>
      <c r="E154" s="24" t="n">
        <v>2</v>
      </c>
      <c r="F154" s="24">
        <f>D154*E154</f>
        <v/>
      </c>
      <c r="G154" s="22" t="n"/>
    </row>
    <row r="155">
      <c r="A155" s="8" t="inlineStr">
        <is>
          <t>Calculated W - SUM of the Amount column above</t>
        </is>
      </c>
      <c r="B155" s="9" t="n"/>
      <c r="C155" s="9" t="n"/>
      <c r="D155" s="9" t="n"/>
      <c r="E155" s="9" t="n"/>
      <c r="F155" s="25">
        <f>SUM(F146:F154)</f>
        <v/>
      </c>
      <c r="G155" s="9" t="n"/>
    </row>
    <row r="156">
      <c r="A156" s="26" t="inlineStr">
        <is>
          <t>W as printed in the DAR</t>
        </is>
      </c>
      <c r="B156" s="22" t="n"/>
      <c r="C156" s="22" t="n"/>
      <c r="D156" s="22" t="n"/>
      <c r="E156" s="22" t="n"/>
      <c r="F156" s="27" t="n">
        <v>16503.64</v>
      </c>
      <c r="G156" s="22" t="n"/>
    </row>
    <row r="157">
      <c r="A157" s="26" t="inlineStr">
        <is>
          <t>Difference (calculated - printed)</t>
        </is>
      </c>
      <c r="B157" s="22" t="n"/>
      <c r="C157" s="22" t="n"/>
      <c r="D157" s="22" t="n"/>
      <c r="E157" s="22" t="n"/>
      <c r="F157" s="27">
        <f>F155-F156</f>
        <v/>
      </c>
      <c r="G157" s="22" t="n"/>
    </row>
    <row r="158">
      <c r="A158" s="29" t="inlineStr">
        <is>
          <t>SAY (Rs.) - final DAR rate as printed (fixed value, not computed)</t>
        </is>
      </c>
      <c r="B158" s="30" t="n"/>
      <c r="C158" s="30" t="n"/>
      <c r="D158" s="30" t="n"/>
      <c r="E158" s="30" t="n"/>
      <c r="F158" s="31" t="n">
        <v>2944.1</v>
      </c>
      <c r="G158" s="30" t="n"/>
    </row>
    <row r="160" ht="76.5" customHeight="1">
      <c r="A160" s="8" t="inlineStr">
        <is>
          <t>10.6</t>
        </is>
      </c>
      <c r="B160" s="17"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is>
      </c>
      <c r="C160" s="9" t="n"/>
      <c r="D160" s="9" t="n"/>
      <c r="E160" s="9" t="n"/>
      <c r="F160" s="9" t="n"/>
      <c r="G160" s="9" t="n"/>
    </row>
    <row r="161" ht="18.5" customHeight="1">
      <c r="A161" s="18" t="inlineStr">
        <is>
          <t>10.6.2</t>
        </is>
      </c>
      <c r="B161" s="19" t="inlineStr">
        <is>
          <t>80x1.20 mm M.S. laths with 1.20 mm thick top cover</t>
        </is>
      </c>
      <c r="C161" s="20" t="n"/>
      <c r="D161" s="20" t="n"/>
      <c r="E161" s="20" t="n"/>
      <c r="F161" s="20" t="n"/>
      <c r="G161" s="20" t="n"/>
    </row>
    <row r="162">
      <c r="A162" s="21" t="inlineStr">
        <is>
          <t>Details of cost for 7.5 sqm   |   Source: CivilDAR_2019_Vol_1.pdf, page 685</t>
        </is>
      </c>
    </row>
    <row r="163">
      <c r="A163" s="5" t="inlineStr">
        <is>
          <t>Code</t>
        </is>
      </c>
      <c r="B163" s="5" t="inlineStr">
        <is>
          <t>Description</t>
        </is>
      </c>
      <c r="C163" s="5" t="inlineStr">
        <is>
          <t>Unit</t>
        </is>
      </c>
      <c r="D163" s="5" t="inlineStr">
        <is>
          <t>Quantity</t>
        </is>
      </c>
      <c r="E163" s="5" t="inlineStr">
        <is>
          <t>Rate (Rs.)</t>
        </is>
      </c>
      <c r="F163" s="5" t="inlineStr">
        <is>
          <t>Amount (Rs.)</t>
        </is>
      </c>
      <c r="G163" s="5" t="inlineStr">
        <is>
          <t>Note</t>
        </is>
      </c>
    </row>
    <row r="164">
      <c r="A164" s="22" t="inlineStr">
        <is>
          <t>7045</t>
        </is>
      </c>
      <c r="B164" s="11" t="inlineStr">
        <is>
          <t>Rolling shutters of 80x1.2 mm laths</t>
        </is>
      </c>
      <c r="C164" s="22" t="inlineStr">
        <is>
          <t>sqm</t>
        </is>
      </c>
      <c r="D164" s="23" t="n">
        <v>7.5</v>
      </c>
      <c r="E164" s="24" t="n">
        <v>1375</v>
      </c>
      <c r="F164" s="24">
        <f>D164*E164</f>
        <v/>
      </c>
      <c r="G164" s="22" t="n"/>
    </row>
    <row r="165">
      <c r="A165" s="22" t="inlineStr">
        <is>
          <t>7047</t>
        </is>
      </c>
      <c r="B165" s="11" t="inlineStr">
        <is>
          <t>Top cover of Rolling shutters 1.20 mm thick</t>
        </is>
      </c>
      <c r="C165" s="22" t="inlineStr">
        <is>
          <t>metre</t>
        </is>
      </c>
      <c r="D165" s="23" t="n">
        <v>2.5</v>
      </c>
      <c r="E165" s="24" t="n">
        <v>560</v>
      </c>
      <c r="F165" s="24">
        <f>D165*E165</f>
        <v/>
      </c>
      <c r="G165" s="22" t="n"/>
    </row>
    <row r="166">
      <c r="A166" s="22" t="inlineStr">
        <is>
          <t>0975</t>
        </is>
      </c>
      <c r="B166" s="11" t="inlineStr">
        <is>
          <t>27.5 cm long wire spring grade no 2 for rolling shutters</t>
        </is>
      </c>
      <c r="C166" s="22" t="inlineStr">
        <is>
          <t>each</t>
        </is>
      </c>
      <c r="D166" s="23" t="n">
        <v>1</v>
      </c>
      <c r="E166" s="24" t="n">
        <v>300</v>
      </c>
      <c r="F166" s="24">
        <f>D166*E166</f>
        <v/>
      </c>
      <c r="G166" s="22" t="n"/>
    </row>
    <row r="167">
      <c r="A167" s="22" t="inlineStr">
        <is>
          <t>9977</t>
        </is>
      </c>
      <c r="B167" s="11" t="inlineStr">
        <is>
          <t>CARRIAGE</t>
        </is>
      </c>
      <c r="C167" s="22" t="inlineStr">
        <is>
          <t>L.S.</t>
        </is>
      </c>
      <c r="D167" s="23" t="n">
        <v>53.82</v>
      </c>
      <c r="E167" s="24" t="n">
        <v>2</v>
      </c>
      <c r="F167" s="24">
        <f>D167*E167</f>
        <v/>
      </c>
      <c r="G167" s="22" t="n"/>
    </row>
    <row r="168">
      <c r="A168" s="22" t="inlineStr">
        <is>
          <t>0116</t>
        </is>
      </c>
      <c r="B168" s="11" t="inlineStr">
        <is>
          <t>Fitter (grade 1)</t>
        </is>
      </c>
      <c r="C168" s="22" t="inlineStr">
        <is>
          <t>day</t>
        </is>
      </c>
      <c r="D168" s="23" t="n">
        <v>2.55</v>
      </c>
      <c r="E168" s="24" t="n">
        <v>738</v>
      </c>
      <c r="F168" s="24">
        <f>D168*E168</f>
        <v/>
      </c>
      <c r="G168" s="22" t="n"/>
    </row>
    <row r="169">
      <c r="A169" s="22" t="inlineStr">
        <is>
          <t>0114</t>
        </is>
      </c>
      <c r="B169" s="11" t="inlineStr">
        <is>
          <t>Beldar</t>
        </is>
      </c>
      <c r="C169" s="22" t="inlineStr">
        <is>
          <t>day</t>
        </is>
      </c>
      <c r="D169" s="23" t="n">
        <v>2.55</v>
      </c>
      <c r="E169" s="24" t="n">
        <v>558</v>
      </c>
      <c r="F169" s="24">
        <f>D169*E169</f>
        <v/>
      </c>
      <c r="G169" s="22" t="n"/>
    </row>
    <row r="170">
      <c r="A170" s="22" t="inlineStr">
        <is>
          <t>0123</t>
        </is>
      </c>
      <c r="B170" s="11" t="inlineStr">
        <is>
          <t>Mason (brick layer) 1st class</t>
        </is>
      </c>
      <c r="C170" s="22" t="inlineStr">
        <is>
          <t>day</t>
        </is>
      </c>
      <c r="D170" s="23" t="n">
        <v>0.12</v>
      </c>
      <c r="E170" s="24" t="n">
        <v>738</v>
      </c>
      <c r="F170" s="24">
        <f>D170*E170</f>
        <v/>
      </c>
      <c r="G170" s="22" t="n"/>
    </row>
    <row r="171">
      <c r="A171" s="22" t="inlineStr">
        <is>
          <t>0124</t>
        </is>
      </c>
      <c r="B171" s="11" t="inlineStr">
        <is>
          <t>Mason (brick layer) 2nd class</t>
        </is>
      </c>
      <c r="C171" s="22" t="inlineStr">
        <is>
          <t>day</t>
        </is>
      </c>
      <c r="D171" s="23" t="n">
        <v>0.12</v>
      </c>
      <c r="E171" s="24" t="n">
        <v>679</v>
      </c>
      <c r="F171" s="24">
        <f>D171*E171</f>
        <v/>
      </c>
      <c r="G171" s="22" t="n"/>
    </row>
    <row r="172">
      <c r="A172" s="22" t="inlineStr">
        <is>
          <t>9999</t>
        </is>
      </c>
      <c r="B172" s="11" t="inlineStr">
        <is>
          <t>Sundries</t>
        </is>
      </c>
      <c r="C172" s="22" t="inlineStr">
        <is>
          <t>L.S.</t>
        </is>
      </c>
      <c r="D172" s="23" t="n">
        <v>60.58</v>
      </c>
      <c r="E172" s="24" t="n">
        <v>2</v>
      </c>
      <c r="F172" s="24">
        <f>D172*E172</f>
        <v/>
      </c>
      <c r="G172" s="22" t="n"/>
    </row>
    <row r="173">
      <c r="A173" s="8" t="inlineStr">
        <is>
          <t>Calculated W - SUM of the Amount column above</t>
        </is>
      </c>
      <c r="B173" s="9" t="n"/>
      <c r="C173" s="9" t="n"/>
      <c r="D173" s="9" t="n"/>
      <c r="E173" s="9" t="n"/>
      <c r="F173" s="25">
        <f>SUM(F164:F172)</f>
        <v/>
      </c>
      <c r="G173" s="9" t="n"/>
    </row>
    <row r="174">
      <c r="A174" s="26" t="inlineStr">
        <is>
          <t>W as printed in the DAR</t>
        </is>
      </c>
      <c r="B174" s="22" t="n"/>
      <c r="C174" s="22" t="n"/>
      <c r="D174" s="22" t="n"/>
      <c r="E174" s="22" t="n"/>
      <c r="F174" s="27" t="n">
        <v>15716.14</v>
      </c>
      <c r="G174" s="22" t="n"/>
    </row>
    <row r="175">
      <c r="A175" s="26" t="inlineStr">
        <is>
          <t>Difference (calculated - printed)</t>
        </is>
      </c>
      <c r="B175" s="22" t="n"/>
      <c r="C175" s="22" t="n"/>
      <c r="D175" s="22" t="n"/>
      <c r="E175" s="22" t="n"/>
      <c r="F175" s="27">
        <f>F173-F174</f>
        <v/>
      </c>
      <c r="G175" s="22" t="n"/>
    </row>
    <row r="176">
      <c r="A176" s="29" t="inlineStr">
        <is>
          <t>SAY (Rs.) - final DAR rate as printed (fixed value, not computed)</t>
        </is>
      </c>
      <c r="B176" s="30" t="n"/>
      <c r="C176" s="30" t="n"/>
      <c r="D176" s="30" t="n"/>
      <c r="E176" s="30" t="n"/>
      <c r="F176" s="31" t="n">
        <v>2803.65</v>
      </c>
      <c r="G176" s="30" t="n"/>
    </row>
    <row r="178" ht="76.5" customHeight="1">
      <c r="A178" s="8" t="inlineStr">
        <is>
          <t>10.6</t>
        </is>
      </c>
      <c r="B178" s="17"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is>
      </c>
      <c r="C178" s="9" t="n"/>
      <c r="D178" s="9" t="n"/>
      <c r="E178" s="9" t="n"/>
      <c r="F178" s="9" t="n"/>
      <c r="G178" s="9" t="n"/>
    </row>
    <row r="179" ht="18.5" customHeight="1">
      <c r="A179" s="18" t="inlineStr">
        <is>
          <t>10.6.3</t>
        </is>
      </c>
      <c r="B179" s="19" t="inlineStr">
        <is>
          <t>80x0.90 mm M.S. laths with 0.90 mm thick top cover</t>
        </is>
      </c>
      <c r="C179" s="20" t="n"/>
      <c r="D179" s="20" t="n"/>
      <c r="E179" s="20" t="n"/>
      <c r="F179" s="20" t="n"/>
      <c r="G179" s="20" t="n"/>
    </row>
    <row r="180">
      <c r="A180" s="21" t="inlineStr">
        <is>
          <t>Details of cost for 7.5 sqm   |   Source: CivilDAR_2019_Vol_1.pdf, page 685</t>
        </is>
      </c>
    </row>
    <row r="181">
      <c r="A181" s="5" t="inlineStr">
        <is>
          <t>Code</t>
        </is>
      </c>
      <c r="B181" s="5" t="inlineStr">
        <is>
          <t>Description</t>
        </is>
      </c>
      <c r="C181" s="5" t="inlineStr">
        <is>
          <t>Unit</t>
        </is>
      </c>
      <c r="D181" s="5" t="inlineStr">
        <is>
          <t>Quantity</t>
        </is>
      </c>
      <c r="E181" s="5" t="inlineStr">
        <is>
          <t>Rate (Rs.)</t>
        </is>
      </c>
      <c r="F181" s="5" t="inlineStr">
        <is>
          <t>Amount (Rs.)</t>
        </is>
      </c>
      <c r="G181" s="5" t="inlineStr">
        <is>
          <t>Note</t>
        </is>
      </c>
    </row>
    <row r="182">
      <c r="A182" s="22" t="inlineStr">
        <is>
          <t>7044</t>
        </is>
      </c>
      <c r="B182" s="11" t="inlineStr">
        <is>
          <t>Rolling shutters of 80x0.90 mm laths</t>
        </is>
      </c>
      <c r="C182" s="22" t="inlineStr">
        <is>
          <t>sqm</t>
        </is>
      </c>
      <c r="D182" s="23" t="n">
        <v>7.5</v>
      </c>
      <c r="E182" s="24" t="n">
        <v>1300</v>
      </c>
      <c r="F182" s="24">
        <f>D182*E182</f>
        <v/>
      </c>
      <c r="G182" s="22" t="n"/>
    </row>
    <row r="183">
      <c r="A183" s="22" t="inlineStr">
        <is>
          <t>7046</t>
        </is>
      </c>
      <c r="B183" s="11" t="inlineStr">
        <is>
          <t>Top cover of Rolling shutters 0.90 mm thick</t>
        </is>
      </c>
      <c r="C183" s="22" t="inlineStr">
        <is>
          <t>metre</t>
        </is>
      </c>
      <c r="D183" s="23" t="n">
        <v>2.5</v>
      </c>
      <c r="E183" s="24" t="n">
        <v>450</v>
      </c>
      <c r="F183" s="24">
        <f>D183*E183</f>
        <v/>
      </c>
      <c r="G183" s="22" t="n"/>
    </row>
    <row r="184">
      <c r="A184" s="22" t="inlineStr">
        <is>
          <t>0975</t>
        </is>
      </c>
      <c r="B184" s="11" t="inlineStr">
        <is>
          <t>27.5 cm long wire spring grade no 2 for rolling shutters</t>
        </is>
      </c>
      <c r="C184" s="22" t="inlineStr">
        <is>
          <t>each</t>
        </is>
      </c>
      <c r="D184" s="23" t="n">
        <v>1</v>
      </c>
      <c r="E184" s="24" t="n">
        <v>300</v>
      </c>
      <c r="F184" s="24">
        <f>D184*E184</f>
        <v/>
      </c>
      <c r="G184" s="22" t="n"/>
    </row>
    <row r="185">
      <c r="A185" s="22" t="inlineStr">
        <is>
          <t>9977</t>
        </is>
      </c>
      <c r="B185" s="11" t="inlineStr">
        <is>
          <t>CARRIAGE</t>
        </is>
      </c>
      <c r="C185" s="22" t="inlineStr">
        <is>
          <t>L.S.</t>
        </is>
      </c>
      <c r="D185" s="23" t="n">
        <v>53.82</v>
      </c>
      <c r="E185" s="24" t="n">
        <v>2</v>
      </c>
      <c r="F185" s="24">
        <f>D185*E185</f>
        <v/>
      </c>
      <c r="G185" s="22" t="n"/>
    </row>
    <row r="186">
      <c r="A186" s="22" t="inlineStr">
        <is>
          <t>0116</t>
        </is>
      </c>
      <c r="B186" s="11" t="inlineStr">
        <is>
          <t>Fitter (grade 1)</t>
        </is>
      </c>
      <c r="C186" s="22" t="inlineStr">
        <is>
          <t>day</t>
        </is>
      </c>
      <c r="D186" s="23" t="n">
        <v>2.55</v>
      </c>
      <c r="E186" s="24" t="n">
        <v>738</v>
      </c>
      <c r="F186" s="24">
        <f>D186*E186</f>
        <v/>
      </c>
      <c r="G186" s="22" t="n"/>
    </row>
    <row r="187">
      <c r="A187" s="22" t="inlineStr">
        <is>
          <t>0114</t>
        </is>
      </c>
      <c r="B187" s="11" t="inlineStr">
        <is>
          <t>Beldar</t>
        </is>
      </c>
      <c r="C187" s="22" t="inlineStr">
        <is>
          <t>day</t>
        </is>
      </c>
      <c r="D187" s="23" t="n">
        <v>2.55</v>
      </c>
      <c r="E187" s="24" t="n">
        <v>558</v>
      </c>
      <c r="F187" s="24">
        <f>D187*E187</f>
        <v/>
      </c>
      <c r="G187" s="22" t="n"/>
    </row>
    <row r="188">
      <c r="A188" s="22" t="inlineStr">
        <is>
          <t>0123</t>
        </is>
      </c>
      <c r="B188" s="11" t="inlineStr">
        <is>
          <t>Mason (brick layer) 1st class</t>
        </is>
      </c>
      <c r="C188" s="22" t="inlineStr">
        <is>
          <t>day</t>
        </is>
      </c>
      <c r="D188" s="23" t="n">
        <v>0.12</v>
      </c>
      <c r="E188" s="24" t="n">
        <v>738</v>
      </c>
      <c r="F188" s="24">
        <f>D188*E188</f>
        <v/>
      </c>
      <c r="G188" s="22" t="n"/>
    </row>
    <row r="189">
      <c r="A189" s="22" t="inlineStr">
        <is>
          <t>0124</t>
        </is>
      </c>
      <c r="B189" s="11" t="inlineStr">
        <is>
          <t>Mason (brick layer) 2nd class</t>
        </is>
      </c>
      <c r="C189" s="22" t="inlineStr">
        <is>
          <t>day</t>
        </is>
      </c>
      <c r="D189" s="23" t="n">
        <v>0.12</v>
      </c>
      <c r="E189" s="24" t="n">
        <v>679</v>
      </c>
      <c r="F189" s="24">
        <f>D189*E189</f>
        <v/>
      </c>
      <c r="G189" s="22" t="n"/>
    </row>
    <row r="190">
      <c r="A190" s="22" t="inlineStr">
        <is>
          <t>9999</t>
        </is>
      </c>
      <c r="B190" s="11" t="inlineStr">
        <is>
          <t>Sundries</t>
        </is>
      </c>
      <c r="C190" s="22" t="inlineStr">
        <is>
          <t>L.S.</t>
        </is>
      </c>
      <c r="D190" s="23" t="n">
        <v>60.58</v>
      </c>
      <c r="E190" s="24" t="n">
        <v>2</v>
      </c>
      <c r="F190" s="24">
        <f>D190*E190</f>
        <v/>
      </c>
      <c r="G190" s="22" t="n"/>
    </row>
    <row r="191">
      <c r="A191" s="8" t="inlineStr">
        <is>
          <t>Calculated W - SUM of the Amount column above</t>
        </is>
      </c>
      <c r="B191" s="9" t="n"/>
      <c r="C191" s="9" t="n"/>
      <c r="D191" s="9" t="n"/>
      <c r="E191" s="9" t="n"/>
      <c r="F191" s="25">
        <f>SUM(F182:F190)</f>
        <v/>
      </c>
      <c r="G191" s="9" t="n"/>
    </row>
    <row r="192">
      <c r="A192" s="26" t="inlineStr">
        <is>
          <t>W as printed in the DAR</t>
        </is>
      </c>
      <c r="B192" s="22" t="n"/>
      <c r="C192" s="22" t="n"/>
      <c r="D192" s="22" t="n"/>
      <c r="E192" s="22" t="n"/>
      <c r="F192" s="27" t="n">
        <v>14878.64</v>
      </c>
      <c r="G192" s="22" t="n"/>
    </row>
    <row r="193">
      <c r="A193" s="26" t="inlineStr">
        <is>
          <t>Difference (calculated - printed)</t>
        </is>
      </c>
      <c r="B193" s="22" t="n"/>
      <c r="C193" s="22" t="n"/>
      <c r="D193" s="22" t="n"/>
      <c r="E193" s="22" t="n"/>
      <c r="F193" s="27">
        <f>F191-F192</f>
        <v/>
      </c>
      <c r="G193" s="22" t="n"/>
    </row>
    <row r="194">
      <c r="A194" s="29" t="inlineStr">
        <is>
          <t>SAY (Rs.) - final DAR rate as printed (fixed value, not computed)</t>
        </is>
      </c>
      <c r="B194" s="30" t="n"/>
      <c r="C194" s="30" t="n"/>
      <c r="D194" s="30" t="n"/>
      <c r="E194" s="30" t="n"/>
      <c r="F194" s="31" t="n">
        <v>2654.25</v>
      </c>
      <c r="G194" s="30" t="n"/>
    </row>
    <row r="196" ht="18.5" customHeight="1">
      <c r="A196" s="18" t="inlineStr">
        <is>
          <t>10.7</t>
        </is>
      </c>
      <c r="B196" s="19" t="inlineStr">
        <is>
          <t>Providing and fixing ball bearing for rolling shutters.</t>
        </is>
      </c>
      <c r="C196" s="20" t="n"/>
      <c r="D196" s="20" t="n"/>
      <c r="E196" s="20" t="n"/>
      <c r="F196" s="20" t="n"/>
      <c r="G196" s="20" t="n"/>
    </row>
    <row r="197">
      <c r="A197" s="21" t="inlineStr">
        <is>
          <t>Details of cost for 1 no   |   Source: CivilDAR_2019_Vol_1.pdf, page 686</t>
        </is>
      </c>
    </row>
    <row r="198">
      <c r="A198" s="5" t="inlineStr">
        <is>
          <t>Code</t>
        </is>
      </c>
      <c r="B198" s="5" t="inlineStr">
        <is>
          <t>Description</t>
        </is>
      </c>
      <c r="C198" s="5" t="inlineStr">
        <is>
          <t>Unit</t>
        </is>
      </c>
      <c r="D198" s="5" t="inlineStr">
        <is>
          <t>Quantity</t>
        </is>
      </c>
      <c r="E198" s="5" t="inlineStr">
        <is>
          <t>Rate (Rs.)</t>
        </is>
      </c>
      <c r="F198" s="5" t="inlineStr">
        <is>
          <t>Amount (Rs.)</t>
        </is>
      </c>
      <c r="G198" s="5" t="inlineStr">
        <is>
          <t>Note</t>
        </is>
      </c>
    </row>
    <row r="199">
      <c r="A199" s="22" t="inlineStr">
        <is>
          <t>0976</t>
        </is>
      </c>
      <c r="B199" s="11" t="inlineStr">
        <is>
          <t>Ball bearing for rolling shutters</t>
        </is>
      </c>
      <c r="C199" s="22" t="inlineStr">
        <is>
          <t>each</t>
        </is>
      </c>
      <c r="D199" s="23" t="n">
        <v>1</v>
      </c>
      <c r="E199" s="24" t="n">
        <v>260</v>
      </c>
      <c r="F199" s="24">
        <f>D199*E199</f>
        <v/>
      </c>
      <c r="G199" s="22" t="n"/>
    </row>
    <row r="200">
      <c r="A200" s="22" t="inlineStr">
        <is>
          <t>9999</t>
        </is>
      </c>
      <c r="B200" s="11" t="inlineStr">
        <is>
          <t>Sundries</t>
        </is>
      </c>
      <c r="C200" s="22" t="inlineStr">
        <is>
          <t>L.S.</t>
        </is>
      </c>
      <c r="D200" s="23" t="n">
        <v>26.91</v>
      </c>
      <c r="E200" s="24" t="n">
        <v>2</v>
      </c>
      <c r="F200" s="24">
        <f>D200*E200</f>
        <v/>
      </c>
      <c r="G200" s="22" t="n"/>
    </row>
    <row r="201">
      <c r="A201" s="8" t="inlineStr">
        <is>
          <t>Calculated W - SUM of the Amount column above</t>
        </is>
      </c>
      <c r="B201" s="9" t="n"/>
      <c r="C201" s="9" t="n"/>
      <c r="D201" s="9" t="n"/>
      <c r="E201" s="9" t="n"/>
      <c r="F201" s="25">
        <f>SUM(F199:F200)</f>
        <v/>
      </c>
      <c r="G201" s="9" t="n"/>
    </row>
    <row r="202">
      <c r="A202" s="26" t="inlineStr">
        <is>
          <t>W as printed in the DAR</t>
        </is>
      </c>
      <c r="B202" s="22" t="n"/>
      <c r="C202" s="22" t="n"/>
      <c r="D202" s="22" t="n"/>
      <c r="E202" s="22" t="n"/>
      <c r="F202" s="27" t="n">
        <v>313.82</v>
      </c>
      <c r="G202" s="22" t="n"/>
    </row>
    <row r="203">
      <c r="A203" s="26" t="inlineStr">
        <is>
          <t>Difference (calculated - printed)</t>
        </is>
      </c>
      <c r="B203" s="22" t="n"/>
      <c r="C203" s="22" t="n"/>
      <c r="D203" s="22" t="n"/>
      <c r="E203" s="22" t="n"/>
      <c r="F203" s="27">
        <f>F201-F202</f>
        <v/>
      </c>
      <c r="G203" s="22" t="n"/>
    </row>
    <row r="204">
      <c r="A204" s="29" t="inlineStr">
        <is>
          <t>SAY (Rs.) - final DAR rate as printed (fixed value, not computed)</t>
        </is>
      </c>
      <c r="B204" s="30" t="n"/>
      <c r="C204" s="30" t="n"/>
      <c r="D204" s="30" t="n"/>
      <c r="E204" s="30" t="n"/>
      <c r="F204" s="31" t="n">
        <v>419.85</v>
      </c>
      <c r="G204" s="30" t="n"/>
    </row>
    <row r="206" ht="18.5" customHeight="1">
      <c r="A206" s="8" t="inlineStr">
        <is>
          <t>10.8</t>
        </is>
      </c>
      <c r="B206" s="17" t="inlineStr">
        <is>
          <t>Extra for providing mechanical device chain and crank operation for operating rolling shutters.</t>
        </is>
      </c>
      <c r="C206" s="9" t="n"/>
      <c r="D206" s="9" t="n"/>
      <c r="E206" s="9" t="n"/>
      <c r="F206" s="9" t="n"/>
      <c r="G206" s="9" t="n"/>
    </row>
    <row r="207" ht="18.5" customHeight="1">
      <c r="A207" s="18" t="inlineStr">
        <is>
          <t>10.8.1</t>
        </is>
      </c>
      <c r="B207" s="19" t="inlineStr">
        <is>
          <t>Exceeding 10.00 sqm and upto 16.80 sqm in the area</t>
        </is>
      </c>
      <c r="C207" s="20" t="n"/>
      <c r="D207" s="20" t="n"/>
      <c r="E207" s="20" t="n"/>
      <c r="F207" s="20" t="n"/>
      <c r="G207" s="20" t="n"/>
    </row>
    <row r="208">
      <c r="A208" s="21" t="inlineStr">
        <is>
          <t>Details of cost for 1 sqm   |   Source: CivilDAR_2019_Vol_1.pdf, page 686</t>
        </is>
      </c>
    </row>
    <row r="209">
      <c r="A209" s="5" t="inlineStr">
        <is>
          <t>Code</t>
        </is>
      </c>
      <c r="B209" s="5" t="inlineStr">
        <is>
          <t>Description</t>
        </is>
      </c>
      <c r="C209" s="5" t="inlineStr">
        <is>
          <t>Unit</t>
        </is>
      </c>
      <c r="D209" s="5" t="inlineStr">
        <is>
          <t>Quantity</t>
        </is>
      </c>
      <c r="E209" s="5" t="inlineStr">
        <is>
          <t>Rate (Rs.)</t>
        </is>
      </c>
      <c r="F209" s="5" t="inlineStr">
        <is>
          <t>Amount (Rs.)</t>
        </is>
      </c>
      <c r="G209" s="5" t="inlineStr">
        <is>
          <t>Note</t>
        </is>
      </c>
    </row>
    <row r="210">
      <c r="A210" s="22" t="inlineStr">
        <is>
          <t>0977</t>
        </is>
      </c>
      <c r="B210" s="11" t="inlineStr">
        <is>
          <t>Extra for mechanical devices chain and cranked operation for operatingrolling shutters : exceeding 10.00 sq.m and upto 16.80 sq.m area of door</t>
        </is>
      </c>
      <c r="C210" s="22" t="inlineStr">
        <is>
          <t>sqm</t>
        </is>
      </c>
      <c r="D210" s="23" t="n">
        <v>1</v>
      </c>
      <c r="E210" s="24" t="n">
        <v>800</v>
      </c>
      <c r="F210" s="24">
        <f>D210*E210</f>
        <v/>
      </c>
      <c r="G210" s="22" t="n"/>
    </row>
    <row r="211">
      <c r="A211" s="22" t="inlineStr">
        <is>
          <t>9999</t>
        </is>
      </c>
      <c r="B211" s="11" t="inlineStr">
        <is>
          <t>Sundries</t>
        </is>
      </c>
      <c r="C211" s="22" t="inlineStr">
        <is>
          <t>L.S.</t>
        </is>
      </c>
      <c r="D211" s="23" t="n">
        <v>13.52</v>
      </c>
      <c r="E211" s="24" t="n">
        <v>2</v>
      </c>
      <c r="F211" s="24">
        <f>D211*E211</f>
        <v/>
      </c>
      <c r="G211" s="22" t="n"/>
    </row>
    <row r="212">
      <c r="A212" s="8" t="inlineStr">
        <is>
          <t>Calculated W - SUM of the Amount column above</t>
        </is>
      </c>
      <c r="B212" s="9" t="n"/>
      <c r="C212" s="9" t="n"/>
      <c r="D212" s="9" t="n"/>
      <c r="E212" s="9" t="n"/>
      <c r="F212" s="25">
        <f>SUM(F210:F211)</f>
        <v/>
      </c>
      <c r="G212" s="9" t="n"/>
    </row>
    <row r="213">
      <c r="A213" s="26" t="inlineStr">
        <is>
          <t>W as printed in the DAR</t>
        </is>
      </c>
      <c r="B213" s="22" t="n"/>
      <c r="C213" s="22" t="n"/>
      <c r="D213" s="22" t="n"/>
      <c r="E213" s="22" t="n"/>
      <c r="F213" s="27" t="n">
        <v>827.04</v>
      </c>
      <c r="G213" s="22" t="n"/>
    </row>
    <row r="214">
      <c r="A214" s="26" t="inlineStr">
        <is>
          <t>Difference (calculated - printed)</t>
        </is>
      </c>
      <c r="B214" s="22" t="n"/>
      <c r="C214" s="22" t="n"/>
      <c r="D214" s="22" t="n"/>
      <c r="E214" s="22" t="n"/>
      <c r="F214" s="27">
        <f>F212-F213</f>
        <v/>
      </c>
      <c r="G214" s="22" t="n"/>
    </row>
    <row r="215">
      <c r="A215" s="29" t="inlineStr">
        <is>
          <t>SAY (Rs.) - final DAR rate as printed (fixed value, not computed)</t>
        </is>
      </c>
      <c r="B215" s="30" t="n"/>
      <c r="C215" s="30" t="n"/>
      <c r="D215" s="30" t="n"/>
      <c r="E215" s="30" t="n"/>
      <c r="F215" s="31" t="n">
        <v>1106.55</v>
      </c>
      <c r="G215" s="30" t="n"/>
    </row>
    <row r="217" ht="18.5" customHeight="1">
      <c r="A217" s="8" t="inlineStr">
        <is>
          <t>10.8</t>
        </is>
      </c>
      <c r="B217" s="17" t="inlineStr">
        <is>
          <t>Extra for providing mechanical device chain and crank operation for operating rolling shutters.</t>
        </is>
      </c>
      <c r="C217" s="9" t="n"/>
      <c r="D217" s="9" t="n"/>
      <c r="E217" s="9" t="n"/>
      <c r="F217" s="9" t="n"/>
      <c r="G217" s="9" t="n"/>
    </row>
    <row r="218" ht="18.5" customHeight="1">
      <c r="A218" s="18" t="inlineStr">
        <is>
          <t>10.8.2</t>
        </is>
      </c>
      <c r="B218" s="19" t="inlineStr">
        <is>
          <t>Exceeding 16.80 sqm in area</t>
        </is>
      </c>
      <c r="C218" s="20" t="n"/>
      <c r="D218" s="20" t="n"/>
      <c r="E218" s="20" t="n"/>
      <c r="F218" s="20" t="n"/>
      <c r="G218" s="20" t="n"/>
    </row>
    <row r="219">
      <c r="A219" s="21" t="inlineStr">
        <is>
          <t>Details of cost for 1 sqm   |   Source: CivilDAR_2019_Vol_1.pdf, page 687</t>
        </is>
      </c>
    </row>
    <row r="220">
      <c r="A220" s="5" t="inlineStr">
        <is>
          <t>Code</t>
        </is>
      </c>
      <c r="B220" s="5" t="inlineStr">
        <is>
          <t>Description</t>
        </is>
      </c>
      <c r="C220" s="5" t="inlineStr">
        <is>
          <t>Unit</t>
        </is>
      </c>
      <c r="D220" s="5" t="inlineStr">
        <is>
          <t>Quantity</t>
        </is>
      </c>
      <c r="E220" s="5" t="inlineStr">
        <is>
          <t>Rate (Rs.)</t>
        </is>
      </c>
      <c r="F220" s="5" t="inlineStr">
        <is>
          <t>Amount (Rs.)</t>
        </is>
      </c>
      <c r="G220" s="5" t="inlineStr">
        <is>
          <t>Note</t>
        </is>
      </c>
    </row>
    <row r="221">
      <c r="A221" s="22" t="inlineStr">
        <is>
          <t>0978</t>
        </is>
      </c>
      <c r="B221" s="11" t="inlineStr">
        <is>
          <t>Extra for mechanical devices chain and cranked operation for operating rolling shutters : exceeding 16.80 sq.m area of door</t>
        </is>
      </c>
      <c r="C221" s="22" t="inlineStr">
        <is>
          <t>sqm</t>
        </is>
      </c>
      <c r="D221" s="23" t="n">
        <v>1</v>
      </c>
      <c r="E221" s="24" t="n">
        <v>800</v>
      </c>
      <c r="F221" s="24">
        <f>D221*E221</f>
        <v/>
      </c>
      <c r="G221" s="22" t="n"/>
    </row>
    <row r="222">
      <c r="A222" s="22" t="inlineStr">
        <is>
          <t>9999</t>
        </is>
      </c>
      <c r="B222" s="11" t="inlineStr">
        <is>
          <t>Sundries</t>
        </is>
      </c>
      <c r="C222" s="22" t="inlineStr">
        <is>
          <t>L.S.</t>
        </is>
      </c>
      <c r="D222" s="23" t="n">
        <v>13.52</v>
      </c>
      <c r="E222" s="24" t="n">
        <v>2</v>
      </c>
      <c r="F222" s="24">
        <f>D222*E222</f>
        <v/>
      </c>
      <c r="G222" s="22" t="n"/>
    </row>
    <row r="223">
      <c r="A223" s="8" t="inlineStr">
        <is>
          <t>Calculated W - SUM of the Amount column above</t>
        </is>
      </c>
      <c r="B223" s="9" t="n"/>
      <c r="C223" s="9" t="n"/>
      <c r="D223" s="9" t="n"/>
      <c r="E223" s="9" t="n"/>
      <c r="F223" s="25">
        <f>SUM(F221:F222)</f>
        <v/>
      </c>
      <c r="G223" s="9" t="n"/>
    </row>
    <row r="224">
      <c r="A224" s="26" t="inlineStr">
        <is>
          <t>W as printed in the DAR</t>
        </is>
      </c>
      <c r="B224" s="22" t="n"/>
      <c r="C224" s="22" t="n"/>
      <c r="D224" s="22" t="n"/>
      <c r="E224" s="22" t="n"/>
      <c r="F224" s="27" t="n">
        <v>827.04</v>
      </c>
      <c r="G224" s="22" t="n"/>
    </row>
    <row r="225">
      <c r="A225" s="26" t="inlineStr">
        <is>
          <t>Difference (calculated - printed)</t>
        </is>
      </c>
      <c r="B225" s="22" t="n"/>
      <c r="C225" s="22" t="n"/>
      <c r="D225" s="22" t="n"/>
      <c r="E225" s="22" t="n"/>
      <c r="F225" s="27">
        <f>F223-F224</f>
        <v/>
      </c>
      <c r="G225" s="22" t="n"/>
    </row>
    <row r="226">
      <c r="A226" s="29" t="inlineStr">
        <is>
          <t>SAY (Rs.) - final DAR rate as printed (fixed value, not computed)</t>
        </is>
      </c>
      <c r="B226" s="30" t="n"/>
      <c r="C226" s="30" t="n"/>
      <c r="D226" s="30" t="n"/>
      <c r="E226" s="30" t="n"/>
      <c r="F226" s="31" t="n">
        <v>1106.55</v>
      </c>
      <c r="G226" s="30" t="n"/>
    </row>
    <row r="228" ht="33" customHeight="1">
      <c r="A228" s="18" t="inlineStr">
        <is>
          <t>10.9</t>
        </is>
      </c>
      <c r="B228" s="19" t="inlineStr">
        <is>
          <t>Extra for providing grilled rolling shutters manufactured out of 8 mm dia M.S. bar instead of laths as per design approved by Engineer-in- charge, (area of grill to be measured).</t>
        </is>
      </c>
      <c r="C228" s="20" t="n"/>
      <c r="D228" s="20" t="n"/>
      <c r="E228" s="20" t="n"/>
      <c r="F228" s="20" t="n"/>
      <c r="G228" s="20" t="n"/>
    </row>
    <row r="229">
      <c r="A229" s="21" t="inlineStr">
        <is>
          <t>Details of cost for 1.5 sqm   |   Source: CivilDAR_2019_Vol_1.pdf, page 687</t>
        </is>
      </c>
    </row>
    <row r="230">
      <c r="A230" s="5" t="inlineStr">
        <is>
          <t>Code</t>
        </is>
      </c>
      <c r="B230" s="5" t="inlineStr">
        <is>
          <t>Description</t>
        </is>
      </c>
      <c r="C230" s="5" t="inlineStr">
        <is>
          <t>Unit</t>
        </is>
      </c>
      <c r="D230" s="5" t="inlineStr">
        <is>
          <t>Quantity</t>
        </is>
      </c>
      <c r="E230" s="5" t="inlineStr">
        <is>
          <t>Rate (Rs.)</t>
        </is>
      </c>
      <c r="F230" s="5" t="inlineStr">
        <is>
          <t>Amount (Rs.)</t>
        </is>
      </c>
      <c r="G230" s="5" t="inlineStr">
        <is>
          <t>Note</t>
        </is>
      </c>
    </row>
    <row r="231">
      <c r="A231" s="22" t="inlineStr">
        <is>
          <t>7068</t>
        </is>
      </c>
      <c r="B231" s="11" t="inlineStr">
        <is>
          <t>Extra for providing grilled rolling shutters with 8 mm dia M.S. rod</t>
        </is>
      </c>
      <c r="C231" s="22" t="inlineStr">
        <is>
          <t>sqm</t>
        </is>
      </c>
      <c r="D231" s="23" t="n">
        <v>1.5</v>
      </c>
      <c r="E231" s="24" t="n">
        <v>500</v>
      </c>
      <c r="F231" s="24">
        <f>D231*E231</f>
        <v/>
      </c>
      <c r="G231" s="22" t="n"/>
    </row>
    <row r="232">
      <c r="A232" s="8" t="inlineStr">
        <is>
          <t>Calculated W - SUM of the Amount column above</t>
        </is>
      </c>
      <c r="B232" s="9" t="n"/>
      <c r="C232" s="9" t="n"/>
      <c r="D232" s="9" t="n"/>
      <c r="E232" s="9" t="n"/>
      <c r="F232" s="25">
        <f>SUM(F231:F231)</f>
        <v/>
      </c>
      <c r="G232" s="9" t="n"/>
    </row>
    <row r="233">
      <c r="A233" s="26" t="inlineStr">
        <is>
          <t>W as printed in the DAR</t>
        </is>
      </c>
      <c r="B233" s="22" t="n"/>
      <c r="C233" s="22" t="n"/>
      <c r="D233" s="22" t="n"/>
      <c r="E233" s="22" t="n"/>
      <c r="F233" s="27" t="n">
        <v>750</v>
      </c>
      <c r="G233" s="22" t="n"/>
    </row>
    <row r="234">
      <c r="A234" s="26" t="inlineStr">
        <is>
          <t>Difference (calculated - printed)</t>
        </is>
      </c>
      <c r="B234" s="22" t="n"/>
      <c r="C234" s="22" t="n"/>
      <c r="D234" s="22" t="n"/>
      <c r="E234" s="22" t="n"/>
      <c r="F234" s="27">
        <f>F232-F233</f>
        <v/>
      </c>
      <c r="G234" s="22" t="n"/>
    </row>
    <row r="235">
      <c r="A235" s="29" t="inlineStr">
        <is>
          <t>SAY (Rs.) - final DAR rate as printed (fixed value, not computed)</t>
        </is>
      </c>
      <c r="B235" s="30" t="n"/>
      <c r="C235" s="30" t="n"/>
      <c r="D235" s="30" t="n"/>
      <c r="E235" s="30" t="n"/>
      <c r="F235" s="31" t="n">
        <v>668.95</v>
      </c>
      <c r="G235" s="30" t="n"/>
    </row>
    <row r="237" ht="47.5" customHeight="1">
      <c r="A237" s="8" t="inlineStr">
        <is>
          <t>10.10</t>
        </is>
      </c>
      <c r="B237" s="17" t="inlineStr">
        <is>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t>
        </is>
      </c>
      <c r="C237" s="9" t="n"/>
      <c r="D237" s="9" t="n"/>
      <c r="E237" s="9" t="n"/>
      <c r="F237" s="9" t="n"/>
      <c r="G237" s="9" t="n"/>
    </row>
    <row r="238" ht="33" customHeight="1">
      <c r="A238" s="18" t="inlineStr">
        <is>
          <t>10.10.1</t>
        </is>
      </c>
      <c r="B238" s="19" t="inlineStr">
        <is>
          <t>Fixing with 15x3 mm lugs 10 cm long embedded in cement concrete block 15x10x10 cm of C.C. 1:3:6 (1 Cement : 3 coarse sand : 6 graded stone aggregate 20 mm nominal size)</t>
        </is>
      </c>
      <c r="C238" s="20" t="n"/>
      <c r="D238" s="20" t="n"/>
      <c r="E238" s="20" t="n"/>
      <c r="F238" s="20" t="n"/>
      <c r="G238" s="20" t="n"/>
    </row>
    <row r="239">
      <c r="A239" s="21" t="inlineStr">
        <is>
          <t>Details of cost for 15 kg   |   Source: CivilDAR_2019_Vol_1.pdf, page 688</t>
        </is>
      </c>
    </row>
    <row r="240">
      <c r="A240" s="5" t="inlineStr">
        <is>
          <t>Code</t>
        </is>
      </c>
      <c r="B240" s="5" t="inlineStr">
        <is>
          <t>Description</t>
        </is>
      </c>
      <c r="C240" s="5" t="inlineStr">
        <is>
          <t>Unit</t>
        </is>
      </c>
      <c r="D240" s="5" t="inlineStr">
        <is>
          <t>Quantity</t>
        </is>
      </c>
      <c r="E240" s="5" t="inlineStr">
        <is>
          <t>Rate (Rs.)</t>
        </is>
      </c>
      <c r="F240" s="5" t="inlineStr">
        <is>
          <t>Amount (Rs.)</t>
        </is>
      </c>
      <c r="G240" s="5" t="inlineStr">
        <is>
          <t>Note</t>
        </is>
      </c>
    </row>
    <row r="241">
      <c r="A241" s="7" t="inlineStr">
        <is>
          <t>4.2.5</t>
        </is>
      </c>
      <c r="B241" s="11" t="inlineStr">
        <is>
          <t>Rate as per item 4.2.5 - Providing and laying cement concrete in retaining walls, return walls, walls (any thickness) including atta...</t>
        </is>
      </c>
      <c r="C241" s="22" t="inlineStr">
        <is>
          <t>cum</t>
        </is>
      </c>
      <c r="D241" s="23" t="n">
        <v>0.008999999999999999</v>
      </c>
      <c r="E241" s="24" t="n">
        <v>8025</v>
      </c>
      <c r="F241" s="24">
        <f>D241*E241</f>
        <v/>
      </c>
      <c r="G241" s="22" t="n"/>
    </row>
    <row r="242">
      <c r="A242" s="22" t="inlineStr">
        <is>
          <t>0102</t>
        </is>
      </c>
      <c r="B242" s="11" t="inlineStr">
        <is>
          <t>Blacksmith 1st class</t>
        </is>
      </c>
      <c r="C242" s="22" t="inlineStr">
        <is>
          <t>day</t>
        </is>
      </c>
      <c r="D242" s="23" t="n">
        <v>0.17</v>
      </c>
      <c r="E242" s="24" t="n">
        <v>738</v>
      </c>
      <c r="F242" s="24">
        <f>D242*E242</f>
        <v/>
      </c>
      <c r="G242" s="22" t="n"/>
    </row>
    <row r="243">
      <c r="A243" s="22" t="inlineStr">
        <is>
          <t>0123</t>
        </is>
      </c>
      <c r="B243" s="11" t="inlineStr">
        <is>
          <t>Mason (brick layer) 1st class</t>
        </is>
      </c>
      <c r="C243" s="22" t="inlineStr">
        <is>
          <t>day</t>
        </is>
      </c>
      <c r="D243" s="23" t="n">
        <v>0.08</v>
      </c>
      <c r="E243" s="24" t="n">
        <v>738</v>
      </c>
      <c r="F243" s="24">
        <f>D243*E243</f>
        <v/>
      </c>
      <c r="G243" s="22" t="n"/>
    </row>
    <row r="244">
      <c r="A244" s="22" t="inlineStr">
        <is>
          <t>0124</t>
        </is>
      </c>
      <c r="B244" s="11" t="inlineStr">
        <is>
          <t>Mason (brick layer) 2nd class</t>
        </is>
      </c>
      <c r="C244" s="22" t="inlineStr">
        <is>
          <t>day</t>
        </is>
      </c>
      <c r="D244" s="23" t="n">
        <v>0.08</v>
      </c>
      <c r="E244" s="24" t="n">
        <v>679</v>
      </c>
      <c r="F244" s="24">
        <f>D244*E244</f>
        <v/>
      </c>
      <c r="G244" s="22" t="n"/>
    </row>
    <row r="245">
      <c r="A245" s="22" t="inlineStr">
        <is>
          <t>0114</t>
        </is>
      </c>
      <c r="B245" s="11" t="inlineStr">
        <is>
          <t>Beldar</t>
        </is>
      </c>
      <c r="C245" s="22" t="inlineStr">
        <is>
          <t>day</t>
        </is>
      </c>
      <c r="D245" s="23" t="n">
        <v>0.5</v>
      </c>
      <c r="E245" s="24" t="n">
        <v>558</v>
      </c>
      <c r="F245" s="24">
        <f>D245*E245</f>
        <v/>
      </c>
      <c r="G245" s="22" t="n"/>
    </row>
    <row r="246">
      <c r="A246" s="22" t="inlineStr">
        <is>
          <t>9977</t>
        </is>
      </c>
      <c r="B246" s="11" t="inlineStr">
        <is>
          <t>Sundries for carriage of material</t>
        </is>
      </c>
      <c r="C246" s="22" t="inlineStr">
        <is>
          <t>L.S.</t>
        </is>
      </c>
      <c r="D246" s="23" t="n">
        <v>67.28</v>
      </c>
      <c r="E246" s="24" t="n">
        <v>2</v>
      </c>
      <c r="F246" s="24">
        <f>D246*E246</f>
        <v/>
      </c>
      <c r="G246" s="22" t="n"/>
    </row>
    <row r="247">
      <c r="A247" s="8" t="inlineStr">
        <is>
          <t>Calculated W - SUM of the Amount column above</t>
        </is>
      </c>
      <c r="B247" s="9" t="n"/>
      <c r="C247" s="9" t="n"/>
      <c r="D247" s="9" t="n"/>
      <c r="E247" s="9" t="n"/>
      <c r="F247" s="25">
        <f>SUM(F241:F246)</f>
        <v/>
      </c>
      <c r="G247" s="9" t="n"/>
    </row>
    <row r="248">
      <c r="A248" s="26" t="inlineStr">
        <is>
          <t>W as printed in the DAR</t>
        </is>
      </c>
      <c r="B248" s="22" t="n"/>
      <c r="C248" s="22" t="n"/>
      <c r="D248" s="22" t="n"/>
      <c r="E248" s="22" t="n"/>
      <c r="F248" s="27" t="n">
        <v>724.61</v>
      </c>
      <c r="G248" s="22" t="n"/>
    </row>
    <row r="249">
      <c r="A249" s="26" t="inlineStr">
        <is>
          <t>Difference (calculated - printed)</t>
        </is>
      </c>
      <c r="B249" s="22" t="n"/>
      <c r="C249" s="22" t="n"/>
      <c r="D249" s="22" t="n"/>
      <c r="E249" s="22" t="n"/>
      <c r="F249" s="27">
        <f>F247-F248</f>
        <v/>
      </c>
      <c r="G249" s="22" t="n"/>
    </row>
    <row r="250">
      <c r="A250" s="29" t="inlineStr">
        <is>
          <t>SAY (Rs.) - final DAR rate as printed (fixed value, not computed)</t>
        </is>
      </c>
      <c r="B250" s="30" t="n"/>
      <c r="C250" s="30" t="n"/>
      <c r="D250" s="30" t="n"/>
      <c r="E250" s="30" t="n"/>
      <c r="F250" s="31" t="n">
        <v>63</v>
      </c>
      <c r="G250" s="30" t="n"/>
    </row>
    <row r="252" ht="47.5" customHeight="1">
      <c r="A252" s="8" t="inlineStr">
        <is>
          <t>10.10</t>
        </is>
      </c>
      <c r="B252" s="17" t="inlineStr">
        <is>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t>
        </is>
      </c>
      <c r="C252" s="9" t="n"/>
      <c r="D252" s="9" t="n"/>
      <c r="E252" s="9" t="n"/>
      <c r="F252" s="9" t="n"/>
      <c r="G252" s="9" t="n"/>
    </row>
    <row r="253" ht="18.5" customHeight="1">
      <c r="A253" s="18" t="inlineStr">
        <is>
          <t>10.10.2</t>
        </is>
      </c>
      <c r="B253" s="19" t="inlineStr">
        <is>
          <t>Fixing with carbon steel galvanised dash fastener of required dia and size (to be paid for separately)</t>
        </is>
      </c>
      <c r="C253" s="20" t="n"/>
      <c r="D253" s="20" t="n"/>
      <c r="E253" s="20" t="n"/>
      <c r="F253" s="20" t="n"/>
      <c r="G253" s="20" t="n"/>
    </row>
    <row r="254">
      <c r="A254" s="21" t="inlineStr">
        <is>
          <t>Details of cost for 15 kg   |   Source: CivilDAR_2019_Vol_1.pdf, page 689</t>
        </is>
      </c>
    </row>
    <row r="255">
      <c r="A255" s="5" t="inlineStr">
        <is>
          <t>Code</t>
        </is>
      </c>
      <c r="B255" s="5" t="inlineStr">
        <is>
          <t>Description</t>
        </is>
      </c>
      <c r="C255" s="5" t="inlineStr">
        <is>
          <t>Unit</t>
        </is>
      </c>
      <c r="D255" s="5" t="inlineStr">
        <is>
          <t>Quantity</t>
        </is>
      </c>
      <c r="E255" s="5" t="inlineStr">
        <is>
          <t>Rate (Rs.)</t>
        </is>
      </c>
      <c r="F255" s="5" t="inlineStr">
        <is>
          <t>Amount (Rs.)</t>
        </is>
      </c>
      <c r="G255" s="5" t="inlineStr">
        <is>
          <t>Note</t>
        </is>
      </c>
    </row>
    <row r="256">
      <c r="A256" s="22" t="inlineStr">
        <is>
          <t>0123</t>
        </is>
      </c>
      <c r="B256" s="11" t="inlineStr">
        <is>
          <t>Mason (brick layer) 1st class</t>
        </is>
      </c>
      <c r="C256" s="22" t="inlineStr">
        <is>
          <t>day</t>
        </is>
      </c>
      <c r="D256" s="23" t="n">
        <v>0.17</v>
      </c>
      <c r="E256" s="24" t="n">
        <v>738</v>
      </c>
      <c r="F256" s="24">
        <f>D256*E256</f>
        <v/>
      </c>
      <c r="G256" s="22" t="n"/>
    </row>
    <row r="257">
      <c r="A257" s="22" t="inlineStr">
        <is>
          <t>0114</t>
        </is>
      </c>
      <c r="B257" s="11" t="inlineStr">
        <is>
          <t>Beldar</t>
        </is>
      </c>
      <c r="C257" s="22" t="inlineStr">
        <is>
          <t>day</t>
        </is>
      </c>
      <c r="D257" s="23" t="n">
        <v>0.17</v>
      </c>
      <c r="E257" s="24" t="n">
        <v>558</v>
      </c>
      <c r="F257" s="24">
        <f>D257*E257</f>
        <v/>
      </c>
      <c r="G257" s="22" t="n"/>
    </row>
    <row r="258">
      <c r="A258" s="22" t="inlineStr">
        <is>
          <t>9977</t>
        </is>
      </c>
      <c r="B258" s="11" t="inlineStr">
        <is>
          <t>Sundries for Carriage of material</t>
        </is>
      </c>
      <c r="C258" s="22" t="inlineStr">
        <is>
          <t>L.S.</t>
        </is>
      </c>
      <c r="D258" s="23" t="n">
        <v>67.28</v>
      </c>
      <c r="E258" s="24" t="n">
        <v>2</v>
      </c>
      <c r="F258" s="24">
        <f>D258*E258</f>
        <v/>
      </c>
      <c r="G258" s="22" t="n"/>
    </row>
    <row r="259">
      <c r="A259" s="8" t="inlineStr">
        <is>
          <t>Calculated W - SUM of the Amount column above</t>
        </is>
      </c>
      <c r="B259" s="9" t="n"/>
      <c r="C259" s="9" t="n"/>
      <c r="D259" s="9" t="n"/>
      <c r="E259" s="9" t="n"/>
      <c r="F259" s="25">
        <f>SUM(F256:F258)</f>
        <v/>
      </c>
      <c r="G259" s="9" t="n"/>
    </row>
    <row r="260">
      <c r="A260" s="26" t="inlineStr">
        <is>
          <t>W as printed in the DAR</t>
        </is>
      </c>
      <c r="B260" s="22" t="n"/>
      <c r="C260" s="22" t="n"/>
      <c r="D260" s="22" t="n"/>
      <c r="E260" s="22" t="n"/>
      <c r="F260" s="27" t="n">
        <v>354.88</v>
      </c>
      <c r="G260" s="22" t="n"/>
    </row>
    <row r="261">
      <c r="A261" s="26" t="inlineStr">
        <is>
          <t>Difference (calculated - printed)</t>
        </is>
      </c>
      <c r="B261" s="22" t="n"/>
      <c r="C261" s="22" t="n"/>
      <c r="D261" s="22" t="n"/>
      <c r="E261" s="22" t="n"/>
      <c r="F261" s="27">
        <f>F259-F260</f>
        <v/>
      </c>
      <c r="G261" s="22" t="n"/>
    </row>
    <row r="262">
      <c r="A262" s="29" t="inlineStr">
        <is>
          <t>SAY (Rs.) - final DAR rate as printed (fixed value, not computed)</t>
        </is>
      </c>
      <c r="B262" s="30" t="n"/>
      <c r="C262" s="30" t="n"/>
      <c r="D262" s="30" t="n"/>
      <c r="E262" s="30" t="n"/>
      <c r="F262" s="31" t="n">
        <v>31.65</v>
      </c>
      <c r="G262" s="30" t="n"/>
    </row>
    <row r="264" ht="76.5" customHeight="1">
      <c r="A264" s="8" t="inlineStr">
        <is>
          <t>10.11</t>
        </is>
      </c>
      <c r="B264" s="17"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t>
        </is>
      </c>
      <c r="C264" s="9" t="n"/>
      <c r="D264" s="9" t="n"/>
      <c r="E264" s="9" t="n"/>
      <c r="F264" s="9" t="n"/>
      <c r="G264" s="9" t="n"/>
    </row>
    <row r="265" ht="33" customHeight="1">
      <c r="A265" s="18" t="inlineStr">
        <is>
          <t>10.11.1</t>
        </is>
      </c>
      <c r="B265" s="19" t="inlineStr">
        <is>
          <t>Fixing with 15x3 mm lugs 10 cm long embedded in cement concrete block 15x10x10 cm of C.C. 1:3:6 (1 Cement : 3 coarse sand : 6 graded stone aggregate 20 mm nominal size)</t>
        </is>
      </c>
      <c r="C265" s="20" t="n"/>
      <c r="D265" s="20" t="n"/>
      <c r="E265" s="20" t="n"/>
      <c r="F265" s="20" t="n"/>
      <c r="G265" s="20" t="n"/>
    </row>
    <row r="266">
      <c r="A266" s="21" t="inlineStr">
        <is>
          <t>Details of cost for 30 kg   |   Source: CivilDAR_2019_Vol_1.pdf, page 689</t>
        </is>
      </c>
    </row>
    <row r="267">
      <c r="A267" s="5" t="inlineStr">
        <is>
          <t>Code</t>
        </is>
      </c>
      <c r="B267" s="5" t="inlineStr">
        <is>
          <t>Description</t>
        </is>
      </c>
      <c r="C267" s="5" t="inlineStr">
        <is>
          <t>Unit</t>
        </is>
      </c>
      <c r="D267" s="5" t="inlineStr">
        <is>
          <t>Quantity</t>
        </is>
      </c>
      <c r="E267" s="5" t="inlineStr">
        <is>
          <t>Rate (Rs.)</t>
        </is>
      </c>
      <c r="F267" s="5" t="inlineStr">
        <is>
          <t>Amount (Rs.)</t>
        </is>
      </c>
      <c r="G267" s="5" t="inlineStr">
        <is>
          <t>Note</t>
        </is>
      </c>
    </row>
    <row r="268">
      <c r="A268" s="22" t="inlineStr">
        <is>
          <t>1011</t>
        </is>
      </c>
      <c r="B268" s="11" t="inlineStr">
        <is>
          <t>Steel glazed door,window/ ventilator, all members like as F7D, F4B, K11 and K12B etc.</t>
        </is>
      </c>
      <c r="C268" s="22" t="inlineStr">
        <is>
          <t>kg</t>
        </is>
      </c>
      <c r="D268" s="23" t="n">
        <v>30</v>
      </c>
      <c r="E268" s="24" t="n">
        <v>54</v>
      </c>
      <c r="F268" s="24">
        <f>D268*E268</f>
        <v/>
      </c>
      <c r="G268" s="22" t="n"/>
    </row>
    <row r="269">
      <c r="A269" s="22" t="inlineStr">
        <is>
          <t>9977</t>
        </is>
      </c>
      <c r="B269" s="11" t="inlineStr">
        <is>
          <t>Carriage of Steel Door</t>
        </is>
      </c>
      <c r="C269" s="22" t="inlineStr">
        <is>
          <t>L.S.</t>
        </is>
      </c>
      <c r="D269" s="23" t="n">
        <v>40.37</v>
      </c>
      <c r="E269" s="24" t="n">
        <v>2</v>
      </c>
      <c r="F269" s="24">
        <f>D269*E269</f>
        <v/>
      </c>
      <c r="G269" s="22" t="n"/>
    </row>
    <row r="270">
      <c r="A270" s="22" t="inlineStr">
        <is>
          <t>0103</t>
        </is>
      </c>
      <c r="B270" s="11" t="inlineStr">
        <is>
          <t>Blacksmith 2nd class</t>
        </is>
      </c>
      <c r="C270" s="22" t="inlineStr">
        <is>
          <t>day</t>
        </is>
      </c>
      <c r="D270" s="23" t="n">
        <v>0.17</v>
      </c>
      <c r="E270" s="24" t="n">
        <v>679</v>
      </c>
      <c r="F270" s="24">
        <f>D270*E270</f>
        <v/>
      </c>
      <c r="G270" s="22" t="n"/>
    </row>
    <row r="271">
      <c r="A271" s="22" t="inlineStr">
        <is>
          <t>0116</t>
        </is>
      </c>
      <c r="B271" s="11" t="inlineStr">
        <is>
          <t>Fitter (grade 1)</t>
        </is>
      </c>
      <c r="C271" s="22" t="inlineStr">
        <is>
          <t>day</t>
        </is>
      </c>
      <c r="D271" s="23" t="n">
        <v>0.26</v>
      </c>
      <c r="E271" s="24" t="n">
        <v>738</v>
      </c>
      <c r="F271" s="24">
        <f>D271*E271</f>
        <v/>
      </c>
      <c r="G271" s="22" t="n"/>
    </row>
    <row r="272">
      <c r="A272" s="22" t="inlineStr">
        <is>
          <t>0114</t>
        </is>
      </c>
      <c r="B272" s="11" t="inlineStr">
        <is>
          <t>Beldar</t>
        </is>
      </c>
      <c r="C272" s="22" t="inlineStr">
        <is>
          <t>day</t>
        </is>
      </c>
      <c r="D272" s="23" t="n">
        <v>0.34</v>
      </c>
      <c r="E272" s="24" t="n">
        <v>558</v>
      </c>
      <c r="F272" s="24">
        <f>D272*E272</f>
        <v/>
      </c>
      <c r="G272" s="22" t="n"/>
    </row>
    <row r="273">
      <c r="A273" s="22" t="inlineStr">
        <is>
          <t>9999</t>
        </is>
      </c>
      <c r="B273" s="11" t="inlineStr">
        <is>
          <t>Sundries</t>
        </is>
      </c>
      <c r="C273" s="22" t="inlineStr">
        <is>
          <t>L.S.</t>
        </is>
      </c>
      <c r="D273" s="23" t="n">
        <v>15.37</v>
      </c>
      <c r="E273" s="24" t="n">
        <v>2</v>
      </c>
      <c r="F273" s="24">
        <f>D273*E273</f>
        <v/>
      </c>
      <c r="G273" s="22" t="n"/>
    </row>
    <row r="274">
      <c r="A274" s="7" t="inlineStr">
        <is>
          <t>10.10.1</t>
        </is>
      </c>
      <c r="B274" s="11" t="inlineStr">
        <is>
          <t>Rate as per item 10.10.1 - Fixing standard steel glazed doors, windows and ventilators in walls, including fixing of float glass panes...</t>
        </is>
      </c>
      <c r="C274" s="22" t="inlineStr">
        <is>
          <t>kg</t>
        </is>
      </c>
      <c r="D274" s="23" t="n">
        <v>30</v>
      </c>
      <c r="E274" s="24" t="n">
        <v>63</v>
      </c>
      <c r="F274" s="24">
        <f>D274*E274</f>
        <v/>
      </c>
      <c r="G274" s="22" t="n"/>
    </row>
    <row r="275">
      <c r="A275" s="22" t="inlineStr">
        <is>
          <t>13.50.3</t>
        </is>
      </c>
      <c r="B275" s="11" t="inlineStr">
        <is>
          <t>Rate as per item 13.50.3 - Applying priming coat - With ready mixed red oxide zinc chromate primer of approved brand and manufacture o...</t>
        </is>
      </c>
      <c r="C275" s="22" t="inlineStr">
        <is>
          <t>sqm</t>
        </is>
      </c>
      <c r="D275" s="23" t="n">
        <v>2.44</v>
      </c>
      <c r="E275" s="24" t="n">
        <v>50.7</v>
      </c>
      <c r="F275" s="24">
        <f>D275*E275</f>
        <v/>
      </c>
      <c r="G275" s="22" t="n"/>
    </row>
    <row r="276">
      <c r="A276" s="8" t="inlineStr">
        <is>
          <t>Calculated W - SUM of the Amount column above</t>
        </is>
      </c>
      <c r="B276" s="9" t="n"/>
      <c r="C276" s="9" t="n"/>
      <c r="D276" s="9" t="n"/>
      <c r="E276" s="9" t="n"/>
      <c r="F276" s="25">
        <f>SUM(F268:F275)</f>
        <v/>
      </c>
      <c r="G276" s="9" t="n"/>
    </row>
    <row r="277">
      <c r="A277" s="26" t="inlineStr">
        <is>
          <t>W as printed in the DAR</t>
        </is>
      </c>
      <c r="B277" s="22" t="n"/>
      <c r="C277" s="22" t="n"/>
      <c r="D277" s="22" t="n"/>
      <c r="E277" s="22" t="n"/>
      <c r="F277" s="27" t="n">
        <v>4242.22</v>
      </c>
      <c r="G277" s="22" t="n"/>
    </row>
    <row r="278">
      <c r="A278" s="26" t="inlineStr">
        <is>
          <t>Difference (calculated - printed)</t>
        </is>
      </c>
      <c r="B278" s="22" t="n"/>
      <c r="C278" s="22" t="n"/>
      <c r="D278" s="22" t="n"/>
      <c r="E278" s="22" t="n"/>
      <c r="F278" s="27">
        <f>F276-F277</f>
        <v/>
      </c>
      <c r="G278" s="22" t="n"/>
    </row>
    <row r="279">
      <c r="A279" s="29" t="inlineStr">
        <is>
          <t>SAY (Rs.) - final DAR rate as printed (fixed value, not computed)</t>
        </is>
      </c>
      <c r="B279" s="30" t="n"/>
      <c r="C279" s="30" t="n"/>
      <c r="D279" s="30" t="n"/>
      <c r="E279" s="30" t="n"/>
      <c r="F279" s="31" t="n">
        <v>166.5</v>
      </c>
      <c r="G279" s="30" t="n"/>
    </row>
    <row r="281" ht="76.5" customHeight="1">
      <c r="A281" s="8" t="inlineStr">
        <is>
          <t>10.11</t>
        </is>
      </c>
      <c r="B281" s="17"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t>
        </is>
      </c>
      <c r="C281" s="9" t="n"/>
      <c r="D281" s="9" t="n"/>
      <c r="E281" s="9" t="n"/>
      <c r="F281" s="9" t="n"/>
      <c r="G281" s="9" t="n"/>
    </row>
    <row r="282" ht="18.5" customHeight="1">
      <c r="A282" s="18" t="inlineStr">
        <is>
          <t>10.11.2</t>
        </is>
      </c>
      <c r="B282" s="19" t="inlineStr">
        <is>
          <t>Fixing with carbon steel galvanised dash fastener of required dia and size (to be paid for separately)</t>
        </is>
      </c>
      <c r="C282" s="20" t="n"/>
      <c r="D282" s="20" t="n"/>
      <c r="E282" s="20" t="n"/>
      <c r="F282" s="20" t="n"/>
      <c r="G282" s="20" t="n"/>
    </row>
    <row r="283">
      <c r="A283" s="21" t="inlineStr">
        <is>
          <t>Details of cost for 30 kg   |   Source: CivilDAR_2019_Vol_1.pdf, page 690</t>
        </is>
      </c>
    </row>
    <row r="284">
      <c r="A284" s="5" t="inlineStr">
        <is>
          <t>Code</t>
        </is>
      </c>
      <c r="B284" s="5" t="inlineStr">
        <is>
          <t>Description</t>
        </is>
      </c>
      <c r="C284" s="5" t="inlineStr">
        <is>
          <t>Unit</t>
        </is>
      </c>
      <c r="D284" s="5" t="inlineStr">
        <is>
          <t>Quantity</t>
        </is>
      </c>
      <c r="E284" s="5" t="inlineStr">
        <is>
          <t>Rate (Rs.)</t>
        </is>
      </c>
      <c r="F284" s="5" t="inlineStr">
        <is>
          <t>Amount (Rs.)</t>
        </is>
      </c>
      <c r="G284" s="5" t="inlineStr">
        <is>
          <t>Note</t>
        </is>
      </c>
    </row>
    <row r="285">
      <c r="A285" s="22" t="inlineStr">
        <is>
          <t>1011</t>
        </is>
      </c>
      <c r="B285" s="11" t="inlineStr">
        <is>
          <t>Steel glazed door,window/ ventilator, all members like as F7D, F4B, K11 and K12B etc.</t>
        </is>
      </c>
      <c r="C285" s="22" t="inlineStr">
        <is>
          <t>kg</t>
        </is>
      </c>
      <c r="D285" s="23" t="n">
        <v>30</v>
      </c>
      <c r="E285" s="24" t="n">
        <v>54</v>
      </c>
      <c r="F285" s="24">
        <f>D285*E285</f>
        <v/>
      </c>
      <c r="G285" s="22" t="n"/>
    </row>
    <row r="286">
      <c r="A286" s="22" t="inlineStr">
        <is>
          <t>9977</t>
        </is>
      </c>
      <c r="B286" s="11" t="inlineStr">
        <is>
          <t>Carriage of Steel Door</t>
        </is>
      </c>
      <c r="C286" s="22" t="inlineStr">
        <is>
          <t>L.S.</t>
        </is>
      </c>
      <c r="D286" s="23" t="n">
        <v>40.37</v>
      </c>
      <c r="E286" s="24" t="n">
        <v>2</v>
      </c>
      <c r="F286" s="24">
        <f>D286*E286</f>
        <v/>
      </c>
      <c r="G286" s="22" t="n"/>
    </row>
    <row r="287">
      <c r="A287" s="22" t="inlineStr">
        <is>
          <t>0103</t>
        </is>
      </c>
      <c r="B287" s="11" t="inlineStr">
        <is>
          <t>Blacksmith 2nd class</t>
        </is>
      </c>
      <c r="C287" s="22" t="inlineStr">
        <is>
          <t>day</t>
        </is>
      </c>
      <c r="D287" s="23" t="n">
        <v>0.17</v>
      </c>
      <c r="E287" s="24" t="n">
        <v>679</v>
      </c>
      <c r="F287" s="24">
        <f>D287*E287</f>
        <v/>
      </c>
      <c r="G287" s="22" t="n"/>
    </row>
    <row r="288">
      <c r="A288" s="22" t="inlineStr">
        <is>
          <t>0116</t>
        </is>
      </c>
      <c r="B288" s="11" t="inlineStr">
        <is>
          <t>Fitter (grade 1)</t>
        </is>
      </c>
      <c r="C288" s="22" t="inlineStr">
        <is>
          <t>day</t>
        </is>
      </c>
      <c r="D288" s="23" t="n">
        <v>0.26</v>
      </c>
      <c r="E288" s="24" t="n">
        <v>738</v>
      </c>
      <c r="F288" s="24">
        <f>D288*E288</f>
        <v/>
      </c>
      <c r="G288" s="22" t="n"/>
    </row>
    <row r="289">
      <c r="A289" s="22" t="inlineStr">
        <is>
          <t>0114</t>
        </is>
      </c>
      <c r="B289" s="11" t="inlineStr">
        <is>
          <t>Beldar</t>
        </is>
      </c>
      <c r="C289" s="22" t="inlineStr">
        <is>
          <t>day</t>
        </is>
      </c>
      <c r="D289" s="23" t="n">
        <v>0.34</v>
      </c>
      <c r="E289" s="24" t="n">
        <v>558</v>
      </c>
      <c r="F289" s="24">
        <f>D289*E289</f>
        <v/>
      </c>
      <c r="G289" s="22" t="n"/>
    </row>
    <row r="290">
      <c r="A290" s="22" t="inlineStr">
        <is>
          <t>9999</t>
        </is>
      </c>
      <c r="B290" s="11" t="inlineStr">
        <is>
          <t>Sundries</t>
        </is>
      </c>
      <c r="C290" s="22" t="inlineStr">
        <is>
          <t>L.S.</t>
        </is>
      </c>
      <c r="D290" s="23" t="n">
        <v>15.37</v>
      </c>
      <c r="E290" s="24" t="n">
        <v>2</v>
      </c>
      <c r="F290" s="24">
        <f>D290*E290</f>
        <v/>
      </c>
      <c r="G290" s="22" t="n"/>
    </row>
    <row r="291">
      <c r="A291" s="22" t="inlineStr">
        <is>
          <t>0114</t>
        </is>
      </c>
      <c r="B291" s="11" t="inlineStr">
        <is>
          <t>Beldar</t>
        </is>
      </c>
      <c r="C291" s="22" t="inlineStr">
        <is>
          <t>day</t>
        </is>
      </c>
      <c r="D291" s="23" t="n">
        <v>0.027</v>
      </c>
      <c r="E291" s="24" t="n">
        <v>558</v>
      </c>
      <c r="F291" s="24">
        <f>D291*E291</f>
        <v/>
      </c>
      <c r="G291" s="22" t="n"/>
    </row>
    <row r="292">
      <c r="A292" s="22" t="inlineStr">
        <is>
          <t>0115</t>
        </is>
      </c>
      <c r="B292" s="11" t="inlineStr">
        <is>
          <t>Collie</t>
        </is>
      </c>
      <c r="C292" s="22" t="inlineStr">
        <is>
          <t>day</t>
        </is>
      </c>
      <c r="D292" s="23" t="n">
        <v>0.0195</v>
      </c>
      <c r="E292" s="24" t="n">
        <v>558</v>
      </c>
      <c r="F292" s="24">
        <f>D292*E292</f>
        <v/>
      </c>
      <c r="G292" s="22" t="n"/>
    </row>
    <row r="293">
      <c r="A293" s="22" t="inlineStr">
        <is>
          <t>0130</t>
        </is>
      </c>
      <c r="B293" s="11" t="inlineStr">
        <is>
          <t>Mistry</t>
        </is>
      </c>
      <c r="C293" s="22" t="inlineStr">
        <is>
          <t>day</t>
        </is>
      </c>
      <c r="D293" s="23" t="n">
        <v>0.008399999999999999</v>
      </c>
      <c r="E293" s="24" t="n">
        <v>738</v>
      </c>
      <c r="F293" s="24">
        <f>D293*E293</f>
        <v/>
      </c>
      <c r="G293" s="22" t="n"/>
    </row>
    <row r="294">
      <c r="A294" s="22" t="inlineStr">
        <is>
          <t>0128</t>
        </is>
      </c>
      <c r="B294" s="11" t="inlineStr">
        <is>
          <t>Mate</t>
        </is>
      </c>
      <c r="C294" s="22" t="inlineStr">
        <is>
          <t>day</t>
        </is>
      </c>
      <c r="D294" s="23" t="n">
        <v>0.0012</v>
      </c>
      <c r="E294" s="24" t="n">
        <v>617</v>
      </c>
      <c r="F294" s="24">
        <f>D294*E294</f>
        <v/>
      </c>
      <c r="G294" s="22" t="n"/>
    </row>
    <row r="295">
      <c r="A295" s="22" t="inlineStr">
        <is>
          <t>9999</t>
        </is>
      </c>
      <c r="B295" s="11" t="inlineStr">
        <is>
          <t>Hire charges of drill machine, scaffolding and sundries</t>
        </is>
      </c>
      <c r="C295" s="22" t="inlineStr">
        <is>
          <t>L.S.</t>
        </is>
      </c>
      <c r="D295" s="23" t="n">
        <v>12.22</v>
      </c>
      <c r="E295" s="24" t="n">
        <v>2</v>
      </c>
      <c r="F295" s="24">
        <f>D295*E295</f>
        <v/>
      </c>
      <c r="G295" s="22" t="n"/>
    </row>
    <row r="296">
      <c r="A296" s="22" t="inlineStr">
        <is>
          <t>13.50.3</t>
        </is>
      </c>
      <c r="B296" s="11" t="inlineStr">
        <is>
          <t>Rate as per item 13.50.3 - Applying priming coat - With ready mixed red oxide zinc chromate primer of approved brand and manufacture o...</t>
        </is>
      </c>
      <c r="C296" s="22" t="inlineStr">
        <is>
          <t>sqm</t>
        </is>
      </c>
      <c r="D296" s="23" t="n">
        <v>2.44</v>
      </c>
      <c r="E296" s="24" t="n">
        <v>50.7</v>
      </c>
      <c r="F296" s="24">
        <f>D296*E296</f>
        <v/>
      </c>
      <c r="G296" s="22" t="n"/>
    </row>
    <row r="297">
      <c r="A297" s="8" t="inlineStr">
        <is>
          <t>Calculated W - SUM of the Amount column above</t>
        </is>
      </c>
      <c r="B297" s="9" t="n"/>
      <c r="C297" s="9" t="n"/>
      <c r="D297" s="9" t="n"/>
      <c r="E297" s="9" t="n"/>
      <c r="F297" s="25">
        <f>SUM(F285:F296)</f>
        <v/>
      </c>
      <c r="G297" s="9" t="n"/>
    </row>
    <row r="298">
      <c r="A298" s="26" t="inlineStr">
        <is>
          <t>W as printed in the DAR</t>
        </is>
      </c>
      <c r="B298" s="22" t="n"/>
      <c r="C298" s="22" t="n"/>
      <c r="D298" s="22" t="n"/>
      <c r="E298" s="22" t="n"/>
      <c r="F298" s="27" t="n">
        <v>2409.54</v>
      </c>
      <c r="G298" s="22" t="n"/>
    </row>
    <row r="299">
      <c r="A299" s="26" t="inlineStr">
        <is>
          <t>Difference (calculated - printed)</t>
        </is>
      </c>
      <c r="B299" s="22" t="n"/>
      <c r="C299" s="22" t="n"/>
      <c r="D299" s="22" t="n"/>
      <c r="E299" s="22" t="n"/>
      <c r="F299" s="27">
        <f>F297-F298</f>
        <v/>
      </c>
      <c r="G299" s="22" t="n"/>
    </row>
    <row r="300">
      <c r="A300" s="29" t="inlineStr">
        <is>
          <t>SAY (Rs.) - final DAR rate as printed (fixed value, not computed)</t>
        </is>
      </c>
      <c r="B300" s="30" t="n"/>
      <c r="C300" s="30" t="n"/>
      <c r="D300" s="30" t="n"/>
      <c r="E300" s="30" t="n"/>
      <c r="F300" s="31" t="n">
        <v>106.05</v>
      </c>
      <c r="G300" s="30" t="n"/>
    </row>
    <row r="302" ht="33" customHeight="1">
      <c r="A302" s="18" t="inlineStr">
        <is>
          <t>10.12</t>
        </is>
      </c>
      <c r="B302" s="19" t="inlineStr">
        <is>
          <t>Extra for providing and fixing steel beading of size 10 x 10 x 1.6 mm (box type), approved shape and section with screws instead of glazing clips and metal sash putty, in steel doors, windows, ventilators and composite units.</t>
        </is>
      </c>
      <c r="C302" s="20" t="n"/>
      <c r="D302" s="20" t="n"/>
      <c r="E302" s="20" t="n"/>
      <c r="F302" s="20" t="n"/>
      <c r="G302" s="20" t="n"/>
    </row>
    <row r="303">
      <c r="A303" s="21" t="inlineStr">
        <is>
          <t>Details of cost for 1 metre   |   Source: CivilDAR_2019_Vol_1.pdf, page 691</t>
        </is>
      </c>
    </row>
    <row r="304">
      <c r="A304" s="5" t="inlineStr">
        <is>
          <t>Code</t>
        </is>
      </c>
      <c r="B304" s="5" t="inlineStr">
        <is>
          <t>Description</t>
        </is>
      </c>
      <c r="C304" s="5" t="inlineStr">
        <is>
          <t>Unit</t>
        </is>
      </c>
      <c r="D304" s="5" t="inlineStr">
        <is>
          <t>Quantity</t>
        </is>
      </c>
      <c r="E304" s="5" t="inlineStr">
        <is>
          <t>Rate (Rs.)</t>
        </is>
      </c>
      <c r="F304" s="5" t="inlineStr">
        <is>
          <t>Amount (Rs.)</t>
        </is>
      </c>
      <c r="G304" s="5" t="inlineStr">
        <is>
          <t>Note</t>
        </is>
      </c>
    </row>
    <row r="305">
      <c r="A305" s="22" t="inlineStr">
        <is>
          <t>1143</t>
        </is>
      </c>
      <c r="B305" s="11" t="inlineStr">
        <is>
          <t>Steel beading size 10 x 10 x 1.6 mm (box type)</t>
        </is>
      </c>
      <c r="C305" s="22" t="inlineStr">
        <is>
          <t>metre</t>
        </is>
      </c>
      <c r="D305" s="23" t="n">
        <v>1</v>
      </c>
      <c r="E305" s="24" t="n">
        <v>27</v>
      </c>
      <c r="F305" s="24">
        <f>D305*E305</f>
        <v/>
      </c>
      <c r="G305" s="22" t="n"/>
    </row>
    <row r="306">
      <c r="A306" s="22" t="inlineStr">
        <is>
          <t>9999</t>
        </is>
      </c>
      <c r="B306" s="11" t="inlineStr">
        <is>
          <t>Applying priming coat</t>
        </is>
      </c>
      <c r="C306" s="22" t="inlineStr">
        <is>
          <t>L.S.</t>
        </is>
      </c>
      <c r="D306" s="23" t="n">
        <v>0.46</v>
      </c>
      <c r="E306" s="24" t="n">
        <v>2</v>
      </c>
      <c r="F306" s="24">
        <f>D306*E306</f>
        <v/>
      </c>
      <c r="G306" s="22" t="n"/>
    </row>
    <row r="307">
      <c r="A307" s="22" t="inlineStr">
        <is>
          <t>9999</t>
        </is>
      </c>
      <c r="B307" s="11" t="inlineStr">
        <is>
          <t>Fixing charges</t>
        </is>
      </c>
      <c r="C307" s="22" t="inlineStr">
        <is>
          <t>L.S.</t>
        </is>
      </c>
      <c r="D307" s="23" t="n">
        <v>3.01</v>
      </c>
      <c r="E307" s="24" t="n">
        <v>2</v>
      </c>
      <c r="F307" s="24">
        <f>D307*E307</f>
        <v/>
      </c>
      <c r="G307" s="22" t="n"/>
    </row>
    <row r="308">
      <c r="A308" s="8" t="inlineStr">
        <is>
          <t>Calculated W - SUM of the Amount column above</t>
        </is>
      </c>
      <c r="B308" s="9" t="n"/>
      <c r="C308" s="9" t="n"/>
      <c r="D308" s="9" t="n"/>
      <c r="E308" s="9" t="n"/>
      <c r="F308" s="25">
        <f>SUM(F305:F307)</f>
        <v/>
      </c>
      <c r="G308" s="9" t="n"/>
    </row>
    <row r="309">
      <c r="A309" s="26" t="inlineStr">
        <is>
          <t>W as printed in the DAR</t>
        </is>
      </c>
      <c r="B309" s="22" t="n"/>
      <c r="C309" s="22" t="n"/>
      <c r="D309" s="22" t="n"/>
      <c r="E309" s="22" t="n"/>
      <c r="F309" s="27" t="n">
        <v>33.94</v>
      </c>
      <c r="G309" s="22" t="n"/>
    </row>
    <row r="310">
      <c r="A310" s="26" t="inlineStr">
        <is>
          <t>Difference (calculated - printed)</t>
        </is>
      </c>
      <c r="B310" s="22" t="n"/>
      <c r="C310" s="22" t="n"/>
      <c r="D310" s="22" t="n"/>
      <c r="E310" s="22" t="n"/>
      <c r="F310" s="27">
        <f>F308-F309</f>
        <v/>
      </c>
      <c r="G310" s="22" t="n"/>
    </row>
    <row r="311">
      <c r="A311" s="29" t="inlineStr">
        <is>
          <t>SAY (Rs.) - final DAR rate as printed (fixed value, not computed)</t>
        </is>
      </c>
      <c r="B311" s="30" t="n"/>
      <c r="C311" s="30" t="n"/>
      <c r="D311" s="30" t="n"/>
      <c r="E311" s="30" t="n"/>
      <c r="F311" s="31" t="n">
        <v>45.4</v>
      </c>
      <c r="G311" s="30" t="n"/>
    </row>
    <row r="313" ht="33" customHeight="1">
      <c r="A313" s="8" t="inlineStr">
        <is>
          <t>10.13</t>
        </is>
      </c>
      <c r="B313" s="17" t="inlineStr">
        <is>
          <t>Providing and fixing T-iron frames for doors, windows and ventilators of mild steel Tee-sections, joints mitred and welded, including fixing of necessary butt hinges and screws and applying a priming coat of approved steel primer.</t>
        </is>
      </c>
      <c r="C313" s="9" t="n"/>
      <c r="D313" s="9" t="n"/>
      <c r="E313" s="9" t="n"/>
      <c r="F313" s="9" t="n"/>
      <c r="G313" s="9" t="n"/>
    </row>
    <row r="314" ht="33" customHeight="1">
      <c r="A314" s="18" t="inlineStr">
        <is>
          <t>10.13.1</t>
        </is>
      </c>
      <c r="B314" s="19" t="inlineStr">
        <is>
          <t>Fixing with 15x3 mm lugs 10 cm long embedded in cement concrete block 15x10x10 cm of C.C. 1:3:6 (1 Cement : 3 coarse sand : 6 graded stone aggregate 20 mm nominal size).</t>
        </is>
      </c>
      <c r="C314" s="20" t="n"/>
      <c r="D314" s="20" t="n"/>
      <c r="E314" s="20" t="n"/>
      <c r="F314" s="20" t="n"/>
      <c r="G314" s="20" t="n"/>
    </row>
    <row r="315">
      <c r="A315" s="21" t="inlineStr">
        <is>
          <t>Details of cost for 17.5 kg   |   Source: CivilDAR_2019_Vol_1.pdf, page 692</t>
        </is>
      </c>
    </row>
    <row r="316">
      <c r="A316" s="5" t="inlineStr">
        <is>
          <t>Code</t>
        </is>
      </c>
      <c r="B316" s="5" t="inlineStr">
        <is>
          <t>Description</t>
        </is>
      </c>
      <c r="C316" s="5" t="inlineStr">
        <is>
          <t>Unit</t>
        </is>
      </c>
      <c r="D316" s="5" t="inlineStr">
        <is>
          <t>Quantity</t>
        </is>
      </c>
      <c r="E316" s="5" t="inlineStr">
        <is>
          <t>Rate (Rs.)</t>
        </is>
      </c>
      <c r="F316" s="5" t="inlineStr">
        <is>
          <t>Amount (Rs.)</t>
        </is>
      </c>
      <c r="G316" s="5" t="inlineStr">
        <is>
          <t>Note</t>
        </is>
      </c>
    </row>
    <row r="317">
      <c r="A317" s="22" t="inlineStr">
        <is>
          <t>1007</t>
        </is>
      </c>
      <c r="B317" s="11" t="inlineStr">
        <is>
          <t>Structurals such as tees,angles channels and R.S. joists</t>
        </is>
      </c>
      <c r="C317" s="22" t="inlineStr">
        <is>
          <t>quintal</t>
        </is>
      </c>
      <c r="D317" s="23" t="n">
        <v>0.18</v>
      </c>
      <c r="E317" s="24" t="n">
        <v>4600</v>
      </c>
      <c r="F317" s="24">
        <f>D317*E317</f>
        <v/>
      </c>
      <c r="G317" s="22" t="n"/>
    </row>
    <row r="318">
      <c r="A318" s="22" t="inlineStr">
        <is>
          <t>1002</t>
        </is>
      </c>
      <c r="B318" s="11" t="inlineStr">
        <is>
          <t>Mild steel round bar 12 mm dia and below</t>
        </is>
      </c>
      <c r="C318" s="22" t="inlineStr">
        <is>
          <t>quintal</t>
        </is>
      </c>
      <c r="D318" s="23" t="n">
        <v>0.006</v>
      </c>
      <c r="E318" s="24" t="n">
        <v>4500</v>
      </c>
      <c r="F318" s="24">
        <f>D318*E318</f>
        <v/>
      </c>
      <c r="G318" s="22" t="n"/>
    </row>
    <row r="319">
      <c r="A319" s="22" t="inlineStr">
        <is>
          <t>1008</t>
        </is>
      </c>
      <c r="B319" s="11" t="inlineStr">
        <is>
          <t>Flats upto 10 mm in thickness</t>
        </is>
      </c>
      <c r="C319" s="22" t="inlineStr">
        <is>
          <t>quintal</t>
        </is>
      </c>
      <c r="D319" s="23" t="n">
        <v>0.002</v>
      </c>
      <c r="E319" s="24" t="n">
        <v>4500</v>
      </c>
      <c r="F319" s="24">
        <f>D319*E319</f>
        <v/>
      </c>
      <c r="G319" s="22" t="n"/>
    </row>
    <row r="320">
      <c r="A320" s="7" t="inlineStr">
        <is>
          <t>4.2.5</t>
        </is>
      </c>
      <c r="B320" s="11" t="inlineStr">
        <is>
          <t>Rate as per item 4.2.5 - Providing and laying cement concrete in retaining walls, return walls, walls (any thickness) including atta...</t>
        </is>
      </c>
      <c r="C320" s="22" t="inlineStr">
        <is>
          <t>cum</t>
        </is>
      </c>
      <c r="D320" s="23" t="n">
        <v>0.008999999999999999</v>
      </c>
      <c r="E320" s="24" t="n">
        <v>8025</v>
      </c>
      <c r="F320" s="24">
        <f>D320*E320</f>
        <v/>
      </c>
      <c r="G320" s="22" t="n"/>
    </row>
    <row r="321">
      <c r="A321" s="22" t="inlineStr">
        <is>
          <t>0595</t>
        </is>
      </c>
      <c r="B321" s="11" t="inlineStr">
        <is>
          <t>Bright finished or black enamelled mild steel butt hinges 100x58x1.90 mm</t>
        </is>
      </c>
      <c r="C321" s="22" t="inlineStr">
        <is>
          <t>10 Nos</t>
        </is>
      </c>
      <c r="D321" s="23" t="n">
        <v>0.6</v>
      </c>
      <c r="E321" s="24" t="n">
        <v>80</v>
      </c>
      <c r="F321" s="24">
        <f>D321*E321</f>
        <v/>
      </c>
      <c r="G321" s="22" t="n"/>
    </row>
    <row r="322">
      <c r="A322" s="22" t="inlineStr">
        <is>
          <t>9999</t>
        </is>
      </c>
      <c r="B322" s="11" t="inlineStr">
        <is>
          <t>For screws and nuts and bolts</t>
        </is>
      </c>
      <c r="C322" s="22" t="inlineStr">
        <is>
          <t>L.S.</t>
        </is>
      </c>
      <c r="D322" s="23" t="n">
        <v>35.88</v>
      </c>
      <c r="E322" s="24" t="n">
        <v>2</v>
      </c>
      <c r="F322" s="24">
        <f>D322*E322</f>
        <v/>
      </c>
      <c r="G322" s="22" t="n"/>
    </row>
    <row r="323">
      <c r="A323" s="22" t="inlineStr">
        <is>
          <t>9999</t>
        </is>
      </c>
      <c r="B323" s="11" t="inlineStr">
        <is>
          <t>For applying steel primer</t>
        </is>
      </c>
      <c r="C323" s="22" t="inlineStr">
        <is>
          <t>L.S.</t>
        </is>
      </c>
      <c r="D323" s="23" t="n">
        <v>17.94</v>
      </c>
      <c r="E323" s="24" t="n">
        <v>2</v>
      </c>
      <c r="F323" s="24">
        <f>D323*E323</f>
        <v/>
      </c>
      <c r="G323" s="22" t="n"/>
    </row>
    <row r="324">
      <c r="A324" s="22" t="inlineStr">
        <is>
          <t>9977</t>
        </is>
      </c>
      <c r="B324" s="11" t="inlineStr">
        <is>
          <t>Carriage of material</t>
        </is>
      </c>
      <c r="C324" s="22" t="inlineStr">
        <is>
          <t>L.S.</t>
        </is>
      </c>
      <c r="D324" s="23" t="n">
        <v>5.33</v>
      </c>
      <c r="E324" s="24" t="n">
        <v>2</v>
      </c>
      <c r="F324" s="24">
        <f>D324*E324</f>
        <v/>
      </c>
      <c r="G324" s="22" t="n"/>
    </row>
    <row r="325">
      <c r="A325" s="22" t="inlineStr">
        <is>
          <t>0103</t>
        </is>
      </c>
      <c r="B325" s="11" t="inlineStr">
        <is>
          <t>Blacksmith 2nd class</t>
        </is>
      </c>
      <c r="C325" s="22" t="inlineStr">
        <is>
          <t>day</t>
        </is>
      </c>
      <c r="D325" s="23" t="n">
        <v>0.1</v>
      </c>
      <c r="E325" s="24" t="n">
        <v>679</v>
      </c>
      <c r="F325" s="24">
        <f>D325*E325</f>
        <v/>
      </c>
      <c r="G325" s="22" t="n"/>
    </row>
    <row r="326">
      <c r="A326" s="22" t="inlineStr">
        <is>
          <t>0116</t>
        </is>
      </c>
      <c r="B326" s="11" t="inlineStr">
        <is>
          <t>Fitter (grade 1)</t>
        </is>
      </c>
      <c r="C326" s="22" t="inlineStr">
        <is>
          <t>day</t>
        </is>
      </c>
      <c r="D326" s="23" t="n">
        <v>0.15</v>
      </c>
      <c r="E326" s="24" t="n">
        <v>738</v>
      </c>
      <c r="F326" s="24">
        <f>D326*E326</f>
        <v/>
      </c>
      <c r="G326" s="22" t="n"/>
    </row>
    <row r="327">
      <c r="A327" s="22" t="inlineStr">
        <is>
          <t>0114</t>
        </is>
      </c>
      <c r="B327" s="11" t="inlineStr">
        <is>
          <t>Beldar</t>
        </is>
      </c>
      <c r="C327" s="22" t="inlineStr">
        <is>
          <t>day</t>
        </is>
      </c>
      <c r="D327" s="23" t="n">
        <v>0.2</v>
      </c>
      <c r="E327" s="24" t="n">
        <v>558</v>
      </c>
      <c r="F327" s="24">
        <f>D327*E327</f>
        <v/>
      </c>
      <c r="G327" s="22" t="n"/>
    </row>
    <row r="328">
      <c r="A328" s="22" t="inlineStr">
        <is>
          <t>9999</t>
        </is>
      </c>
      <c r="B328" s="11" t="inlineStr">
        <is>
          <t>Sundries</t>
        </is>
      </c>
      <c r="C328" s="22" t="inlineStr">
        <is>
          <t>L.S.</t>
        </is>
      </c>
      <c r="D328" s="23" t="n">
        <v>8.970000000000001</v>
      </c>
      <c r="E328" s="24" t="n">
        <v>2</v>
      </c>
      <c r="F328" s="24">
        <f>D328*E328</f>
        <v/>
      </c>
      <c r="G328" s="22" t="n"/>
    </row>
    <row r="329">
      <c r="A329" s="8" t="inlineStr">
        <is>
          <t>Calculated W - SUM of the Amount column above</t>
        </is>
      </c>
      <c r="B329" s="9" t="n"/>
      <c r="C329" s="9" t="n"/>
      <c r="D329" s="9" t="n"/>
      <c r="E329" s="9" t="n"/>
      <c r="F329" s="25">
        <f>SUM(F317:F328)</f>
        <v/>
      </c>
      <c r="G329" s="9" t="n"/>
    </row>
    <row r="330">
      <c r="A330" s="26" t="inlineStr">
        <is>
          <t>W as printed in the DAR</t>
        </is>
      </c>
      <c r="B330" s="22" t="n"/>
      <c r="C330" s="22" t="n"/>
      <c r="D330" s="22" t="n"/>
      <c r="E330" s="22" t="n"/>
      <c r="F330" s="27" t="n">
        <v>1410.67</v>
      </c>
      <c r="G330" s="22" t="n"/>
    </row>
    <row r="331">
      <c r="A331" s="26" t="inlineStr">
        <is>
          <t>Difference (calculated - printed)</t>
        </is>
      </c>
      <c r="B331" s="22" t="n"/>
      <c r="C331" s="22" t="n"/>
      <c r="D331" s="22" t="n"/>
      <c r="E331" s="22" t="n"/>
      <c r="F331" s="27">
        <f>F329-F330</f>
        <v/>
      </c>
      <c r="G331" s="22" t="n"/>
    </row>
    <row r="332">
      <c r="A332" s="29" t="inlineStr">
        <is>
          <t>SAY (Rs.) - final DAR rate as printed (fixed value, not computed)</t>
        </is>
      </c>
      <c r="B332" s="30" t="n"/>
      <c r="C332" s="30" t="n"/>
      <c r="D332" s="30" t="n"/>
      <c r="E332" s="30" t="n"/>
      <c r="F332" s="31" t="n">
        <v>106.45</v>
      </c>
      <c r="G332" s="30" t="n"/>
    </row>
    <row r="334" ht="33" customHeight="1">
      <c r="A334" s="8" t="inlineStr">
        <is>
          <t>10.13</t>
        </is>
      </c>
      <c r="B334" s="17" t="inlineStr">
        <is>
          <t>Providing and fixing T-iron frames for doors, windows and ventilators of mild steel Tee-sections, joints mitred and welded, including fixing of necessary butt hinges and screws and applying a priming coat of approved steel primer.</t>
        </is>
      </c>
      <c r="C334" s="9" t="n"/>
      <c r="D334" s="9" t="n"/>
      <c r="E334" s="9" t="n"/>
      <c r="F334" s="9" t="n"/>
      <c r="G334" s="9" t="n"/>
    </row>
    <row r="335" ht="18.5" customHeight="1">
      <c r="A335" s="18" t="inlineStr">
        <is>
          <t>10.13.2</t>
        </is>
      </c>
      <c r="B335" s="19" t="inlineStr">
        <is>
          <t>Fixing with carbon steel galvanised dash fastener of required dia and size (to be paid for separately)</t>
        </is>
      </c>
      <c r="C335" s="20" t="n"/>
      <c r="D335" s="20" t="n"/>
      <c r="E335" s="20" t="n"/>
      <c r="F335" s="20" t="n"/>
      <c r="G335" s="20" t="n"/>
    </row>
    <row r="336">
      <c r="A336" s="21" t="inlineStr">
        <is>
          <t>Details of cost for 17.5 kg   |   Source: CivilDAR_2019_Vol_1.pdf, page 693</t>
        </is>
      </c>
    </row>
    <row r="337">
      <c r="A337" s="5" t="inlineStr">
        <is>
          <t>Code</t>
        </is>
      </c>
      <c r="B337" s="5" t="inlineStr">
        <is>
          <t>Description</t>
        </is>
      </c>
      <c r="C337" s="5" t="inlineStr">
        <is>
          <t>Unit</t>
        </is>
      </c>
      <c r="D337" s="5" t="inlineStr">
        <is>
          <t>Quantity</t>
        </is>
      </c>
      <c r="E337" s="5" t="inlineStr">
        <is>
          <t>Rate (Rs.)</t>
        </is>
      </c>
      <c r="F337" s="5" t="inlineStr">
        <is>
          <t>Amount (Rs.)</t>
        </is>
      </c>
      <c r="G337" s="5" t="inlineStr">
        <is>
          <t>Note</t>
        </is>
      </c>
    </row>
    <row r="338">
      <c r="A338" s="22" t="inlineStr">
        <is>
          <t>1007</t>
        </is>
      </c>
      <c r="B338" s="11" t="inlineStr">
        <is>
          <t>Structurals such as tees, angles channels and R.S. joists</t>
        </is>
      </c>
      <c r="C338" s="22" t="inlineStr">
        <is>
          <t>quintal</t>
        </is>
      </c>
      <c r="D338" s="23" t="n">
        <v>0.18</v>
      </c>
      <c r="E338" s="24" t="n">
        <v>4600</v>
      </c>
      <c r="F338" s="24">
        <f>D338*E338</f>
        <v/>
      </c>
      <c r="G338" s="22" t="n"/>
    </row>
    <row r="339">
      <c r="A339" s="22" t="inlineStr">
        <is>
          <t>1002</t>
        </is>
      </c>
      <c r="B339" s="11" t="inlineStr">
        <is>
          <t>Mild steel round bar 12 mm dia and below</t>
        </is>
      </c>
      <c r="C339" s="22" t="inlineStr">
        <is>
          <t>quintal</t>
        </is>
      </c>
      <c r="D339" s="23" t="n">
        <v>0.006</v>
      </c>
      <c r="E339" s="24" t="n">
        <v>4500</v>
      </c>
      <c r="F339" s="24">
        <f>D339*E339</f>
        <v/>
      </c>
      <c r="G339" s="22" t="n"/>
    </row>
    <row r="340">
      <c r="A340" s="22" t="inlineStr">
        <is>
          <t>0595</t>
        </is>
      </c>
      <c r="B340" s="11" t="inlineStr">
        <is>
          <t>Bright finished or black enamelled mild steel butt hinges 100x58x1.90 mm</t>
        </is>
      </c>
      <c r="C340" s="22" t="inlineStr">
        <is>
          <t>10 Nos</t>
        </is>
      </c>
      <c r="D340" s="23" t="n">
        <v>0.6</v>
      </c>
      <c r="E340" s="24" t="n">
        <v>80</v>
      </c>
      <c r="F340" s="24">
        <f>D340*E340</f>
        <v/>
      </c>
      <c r="G340" s="22" t="n"/>
    </row>
    <row r="341">
      <c r="A341" s="22" t="inlineStr">
        <is>
          <t>9999</t>
        </is>
      </c>
      <c r="B341" s="11" t="inlineStr">
        <is>
          <t>For screws and nuts and bolts</t>
        </is>
      </c>
      <c r="C341" s="22" t="inlineStr">
        <is>
          <t>L.S.</t>
        </is>
      </c>
      <c r="D341" s="23" t="n">
        <v>35.88</v>
      </c>
      <c r="E341" s="24" t="n">
        <v>2</v>
      </c>
      <c r="F341" s="24">
        <f>D341*E341</f>
        <v/>
      </c>
      <c r="G341" s="22" t="n"/>
    </row>
    <row r="342">
      <c r="A342" s="22" t="inlineStr">
        <is>
          <t>9999</t>
        </is>
      </c>
      <c r="B342" s="11" t="inlineStr">
        <is>
          <t>For applying steel primer</t>
        </is>
      </c>
      <c r="C342" s="22" t="inlineStr">
        <is>
          <t>L.S.</t>
        </is>
      </c>
      <c r="D342" s="23" t="n">
        <v>17.94</v>
      </c>
      <c r="E342" s="24" t="n">
        <v>2</v>
      </c>
      <c r="F342" s="24">
        <f>D342*E342</f>
        <v/>
      </c>
      <c r="G342" s="22" t="n"/>
    </row>
    <row r="343">
      <c r="A343" s="22" t="inlineStr">
        <is>
          <t>9977</t>
        </is>
      </c>
      <c r="B343" s="11" t="inlineStr">
        <is>
          <t>Carriage of material</t>
        </is>
      </c>
      <c r="C343" s="22" t="inlineStr">
        <is>
          <t>L.S.</t>
        </is>
      </c>
      <c r="D343" s="23" t="n">
        <v>5.33</v>
      </c>
      <c r="E343" s="24" t="n">
        <v>2</v>
      </c>
      <c r="F343" s="24">
        <f>D343*E343</f>
        <v/>
      </c>
      <c r="G343" s="22" t="n"/>
    </row>
    <row r="344">
      <c r="A344" s="22" t="inlineStr">
        <is>
          <t>0103</t>
        </is>
      </c>
      <c r="B344" s="11" t="inlineStr">
        <is>
          <t>Blacksmith 2nd class</t>
        </is>
      </c>
      <c r="C344" s="22" t="inlineStr">
        <is>
          <t>day</t>
        </is>
      </c>
      <c r="D344" s="23" t="n">
        <v>0.1</v>
      </c>
      <c r="E344" s="24" t="n">
        <v>679</v>
      </c>
      <c r="F344" s="24">
        <f>D344*E344</f>
        <v/>
      </c>
      <c r="G344" s="22" t="n"/>
    </row>
    <row r="345">
      <c r="A345" s="22" t="inlineStr">
        <is>
          <t>0116</t>
        </is>
      </c>
      <c r="B345" s="11" t="inlineStr">
        <is>
          <t>Fitter (grade 1)</t>
        </is>
      </c>
      <c r="C345" s="22" t="inlineStr">
        <is>
          <t>day</t>
        </is>
      </c>
      <c r="D345" s="23" t="n">
        <v>0.15</v>
      </c>
      <c r="E345" s="24" t="n">
        <v>738</v>
      </c>
      <c r="F345" s="24">
        <f>D345*E345</f>
        <v/>
      </c>
      <c r="G345" s="22" t="n"/>
    </row>
    <row r="346">
      <c r="A346" s="22" t="inlineStr">
        <is>
          <t>0114</t>
        </is>
      </c>
      <c r="B346" s="11" t="inlineStr">
        <is>
          <t>Beldar</t>
        </is>
      </c>
      <c r="C346" s="22" t="inlineStr">
        <is>
          <t>day</t>
        </is>
      </c>
      <c r="D346" s="23" t="n">
        <v>0.2</v>
      </c>
      <c r="E346" s="24" t="n">
        <v>558</v>
      </c>
      <c r="F346" s="24">
        <f>D346*E346</f>
        <v/>
      </c>
      <c r="G346" s="22" t="n"/>
    </row>
    <row r="347">
      <c r="A347" s="22" t="inlineStr">
        <is>
          <t>9999</t>
        </is>
      </c>
      <c r="B347" s="11" t="inlineStr">
        <is>
          <t>Sundries</t>
        </is>
      </c>
      <c r="C347" s="22" t="inlineStr">
        <is>
          <t>L.S.</t>
        </is>
      </c>
      <c r="D347" s="23" t="n">
        <v>8.970000000000001</v>
      </c>
      <c r="E347" s="24" t="n">
        <v>2</v>
      </c>
      <c r="F347" s="24">
        <f>D347*E347</f>
        <v/>
      </c>
      <c r="G347" s="22" t="n"/>
    </row>
    <row r="348">
      <c r="A348" s="8" t="inlineStr">
        <is>
          <t>Calculated W - SUM of the Amount column above</t>
        </is>
      </c>
      <c r="B348" s="9" t="n"/>
      <c r="C348" s="9" t="n"/>
      <c r="D348" s="9" t="n"/>
      <c r="E348" s="9" t="n"/>
      <c r="F348" s="25">
        <f>SUM(F338:F347)</f>
        <v/>
      </c>
      <c r="G348" s="9" t="n"/>
    </row>
    <row r="349">
      <c r="A349" s="26" t="inlineStr">
        <is>
          <t>W as printed in the DAR</t>
        </is>
      </c>
      <c r="B349" s="22" t="n"/>
      <c r="C349" s="22" t="n"/>
      <c r="D349" s="22" t="n"/>
      <c r="E349" s="22" t="n"/>
      <c r="F349" s="27" t="n">
        <v>1329.44</v>
      </c>
      <c r="G349" s="22" t="n"/>
    </row>
    <row r="350">
      <c r="A350" s="26" t="inlineStr">
        <is>
          <t>Difference (calculated - printed)</t>
        </is>
      </c>
      <c r="B350" s="22" t="n"/>
      <c r="C350" s="22" t="n"/>
      <c r="D350" s="22" t="n"/>
      <c r="E350" s="22" t="n"/>
      <c r="F350" s="27">
        <f>F348-F349</f>
        <v/>
      </c>
      <c r="G350" s="22" t="n"/>
    </row>
    <row r="351">
      <c r="A351" s="29" t="inlineStr">
        <is>
          <t>SAY (Rs.) - final DAR rate as printed (fixed value, not computed)</t>
        </is>
      </c>
      <c r="B351" s="30" t="n"/>
      <c r="C351" s="30" t="n"/>
      <c r="D351" s="30" t="n"/>
      <c r="E351" s="30" t="n"/>
      <c r="F351" s="31" t="n">
        <v>101.65</v>
      </c>
      <c r="G351" s="30" t="n"/>
    </row>
    <row r="353" ht="62" customHeight="1">
      <c r="A353" s="8" t="inlineStr">
        <is>
          <t>10.14</t>
        </is>
      </c>
      <c r="B353"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353" s="9" t="n"/>
      <c r="D353" s="9" t="n"/>
      <c r="E353" s="9" t="n"/>
      <c r="F353" s="9" t="n"/>
      <c r="G353" s="9" t="n"/>
    </row>
    <row r="354" ht="18.5" customHeight="1">
      <c r="A354" s="8" t="inlineStr">
        <is>
          <t>10.14.1</t>
        </is>
      </c>
      <c r="B354" s="17" t="inlineStr">
        <is>
          <t>Profile B</t>
        </is>
      </c>
      <c r="C354" s="9" t="n"/>
      <c r="D354" s="9" t="n"/>
      <c r="E354" s="9" t="n"/>
      <c r="F354" s="9" t="n"/>
      <c r="G354" s="9" t="n"/>
    </row>
    <row r="355" ht="18.5" customHeight="1">
      <c r="A355" s="18" t="inlineStr">
        <is>
          <t>10.14.1.1</t>
        </is>
      </c>
      <c r="B355" s="19" t="inlineStr">
        <is>
          <t>Fixing with adjustable lugs with split end tail to each jamb</t>
        </is>
      </c>
      <c r="C355" s="20" t="n"/>
      <c r="D355" s="20" t="n"/>
      <c r="E355" s="20" t="n"/>
      <c r="F355" s="20" t="n"/>
      <c r="G355" s="20" t="n"/>
    </row>
    <row r="356">
      <c r="A356" s="21" t="inlineStr">
        <is>
          <t>Details of cost for 5 metres   |   Source: CivilDAR_2019_Vol_1.pdf, page 694</t>
        </is>
      </c>
    </row>
    <row r="357">
      <c r="A357" s="5" t="inlineStr">
        <is>
          <t>Code</t>
        </is>
      </c>
      <c r="B357" s="5" t="inlineStr">
        <is>
          <t>Description</t>
        </is>
      </c>
      <c r="C357" s="5" t="inlineStr">
        <is>
          <t>Unit</t>
        </is>
      </c>
      <c r="D357" s="5" t="inlineStr">
        <is>
          <t>Quantity</t>
        </is>
      </c>
      <c r="E357" s="5" t="inlineStr">
        <is>
          <t>Rate (Rs.)</t>
        </is>
      </c>
      <c r="F357" s="5" t="inlineStr">
        <is>
          <t>Amount (Rs.)</t>
        </is>
      </c>
      <c r="G357" s="5" t="inlineStr">
        <is>
          <t>Note</t>
        </is>
      </c>
    </row>
    <row r="358">
      <c r="A358" s="22" t="inlineStr">
        <is>
          <t>4006</t>
        </is>
      </c>
      <c r="B358" s="11" t="inlineStr">
        <is>
          <t>Pressed steel door frames (mild steel sheet 1.60mm) Profile "B" frame</t>
        </is>
      </c>
      <c r="C358" s="22" t="inlineStr">
        <is>
          <t>metre</t>
        </is>
      </c>
      <c r="D358" s="23" t="n">
        <v>5</v>
      </c>
      <c r="E358" s="24" t="n">
        <v>190</v>
      </c>
      <c r="F358" s="24">
        <f>D358*E358</f>
        <v/>
      </c>
      <c r="G358" s="22" t="n"/>
    </row>
    <row r="359">
      <c r="A359" s="22" t="inlineStr">
        <is>
          <t>0595</t>
        </is>
      </c>
      <c r="B359" s="11" t="inlineStr">
        <is>
          <t>Bright finished or black enamelled mild steel butt hinges 100x58x1.90 mm</t>
        </is>
      </c>
      <c r="C359" s="22" t="inlineStr">
        <is>
          <t>10 Nos</t>
        </is>
      </c>
      <c r="D359" s="23" t="n">
        <v>0.6</v>
      </c>
      <c r="E359" s="24" t="n">
        <v>80</v>
      </c>
      <c r="F359" s="24">
        <f>D359*E359</f>
        <v/>
      </c>
      <c r="G359" s="22" t="n"/>
    </row>
    <row r="360">
      <c r="A360" s="22" t="inlineStr">
        <is>
          <t>9999</t>
        </is>
      </c>
      <c r="B360" s="11" t="inlineStr">
        <is>
          <t>Screws, nuts and bolts</t>
        </is>
      </c>
      <c r="C360" s="22" t="inlineStr">
        <is>
          <t>L.S.</t>
        </is>
      </c>
      <c r="D360" s="23" t="n">
        <v>35.88</v>
      </c>
      <c r="E360" s="24" t="n">
        <v>2</v>
      </c>
      <c r="F360" s="24">
        <f>D360*E360</f>
        <v/>
      </c>
      <c r="G360" s="22" t="n"/>
    </row>
    <row r="361">
      <c r="A361" s="22" t="inlineStr">
        <is>
          <t>1007</t>
        </is>
      </c>
      <c r="B361" s="11" t="inlineStr">
        <is>
          <t>Structurals such as tees,angles channels and R.S. joists</t>
        </is>
      </c>
      <c r="C361" s="22" t="inlineStr">
        <is>
          <t>quintal</t>
        </is>
      </c>
      <c r="D361" s="23" t="n">
        <v>0.03</v>
      </c>
      <c r="E361" s="24" t="n">
        <v>4600</v>
      </c>
      <c r="F361" s="24">
        <f>D361*E361</f>
        <v/>
      </c>
      <c r="G361" s="22" t="n"/>
    </row>
    <row r="362">
      <c r="A362" s="22" t="inlineStr">
        <is>
          <t>9977</t>
        </is>
      </c>
      <c r="B362" s="11" t="inlineStr">
        <is>
          <t>Carriage of material</t>
        </is>
      </c>
      <c r="C362" s="22" t="inlineStr">
        <is>
          <t>L.S.</t>
        </is>
      </c>
      <c r="D362" s="23" t="n">
        <v>5.33</v>
      </c>
      <c r="E362" s="24" t="n">
        <v>2</v>
      </c>
      <c r="F362" s="24">
        <f>D362*E362</f>
        <v/>
      </c>
      <c r="G362" s="22" t="n"/>
    </row>
    <row r="363">
      <c r="A363" s="22" t="inlineStr">
        <is>
          <t>0116</t>
        </is>
      </c>
      <c r="B363" s="11" t="inlineStr">
        <is>
          <t>Fitter (grade 1)</t>
        </is>
      </c>
      <c r="C363" s="22" t="inlineStr">
        <is>
          <t>day</t>
        </is>
      </c>
      <c r="D363" s="23" t="n">
        <v>0.15</v>
      </c>
      <c r="E363" s="24" t="n">
        <v>738</v>
      </c>
      <c r="F363" s="24">
        <f>D363*E363</f>
        <v/>
      </c>
      <c r="G363" s="22" t="n"/>
    </row>
    <row r="364">
      <c r="A364" s="22" t="inlineStr">
        <is>
          <t>0114</t>
        </is>
      </c>
      <c r="B364" s="11" t="inlineStr">
        <is>
          <t>Beldar</t>
        </is>
      </c>
      <c r="C364" s="22" t="inlineStr">
        <is>
          <t>day</t>
        </is>
      </c>
      <c r="D364" s="23" t="n">
        <v>0.2</v>
      </c>
      <c r="E364" s="24" t="n">
        <v>558</v>
      </c>
      <c r="F364" s="24">
        <f>D364*E364</f>
        <v/>
      </c>
      <c r="G364" s="22" t="n"/>
    </row>
    <row r="365">
      <c r="A365" s="22" t="inlineStr">
        <is>
          <t>9999</t>
        </is>
      </c>
      <c r="B365" s="11" t="inlineStr">
        <is>
          <t>Sundries</t>
        </is>
      </c>
      <c r="C365" s="22" t="inlineStr">
        <is>
          <t>L.S.</t>
        </is>
      </c>
      <c r="D365" s="23" t="n">
        <v>8.970000000000001</v>
      </c>
      <c r="E365" s="24" t="n">
        <v>2</v>
      </c>
      <c r="F365" s="24">
        <f>D365*E365</f>
        <v/>
      </c>
      <c r="G365" s="22" t="n"/>
    </row>
    <row r="366">
      <c r="A366" s="22" t="inlineStr">
        <is>
          <t>13.50.3</t>
        </is>
      </c>
      <c r="B366" s="11" t="inlineStr">
        <is>
          <t>Rate as per item 13.50.3 - Applying priming coat - With ready mixed red oxide zinc chromate primer of approved brand and manufacture o...</t>
        </is>
      </c>
      <c r="C366" s="22" t="inlineStr">
        <is>
          <t>sqm</t>
        </is>
      </c>
      <c r="D366" s="23" t="n">
        <v>2.69</v>
      </c>
      <c r="E366" s="24" t="n">
        <v>50.7</v>
      </c>
      <c r="F366" s="24">
        <f>D366*E366</f>
        <v/>
      </c>
      <c r="G366" s="22" t="n"/>
    </row>
    <row r="367">
      <c r="A367" s="8" t="inlineStr">
        <is>
          <t>Calculated W - SUM of the Amount column above</t>
        </is>
      </c>
      <c r="B367" s="9" t="n"/>
      <c r="C367" s="9" t="n"/>
      <c r="D367" s="9" t="n"/>
      <c r="E367" s="9" t="n"/>
      <c r="F367" s="25">
        <f>SUM(F358:F366)</f>
        <v/>
      </c>
      <c r="G367" s="9" t="n"/>
    </row>
    <row r="368">
      <c r="A368" s="26" t="inlineStr">
        <is>
          <t>W as printed in the DAR</t>
        </is>
      </c>
      <c r="B368" s="22" t="n"/>
      <c r="C368" s="22" t="n"/>
      <c r="D368" s="22" t="n"/>
      <c r="E368" s="22" t="n"/>
      <c r="F368" s="27" t="n">
        <v>1595.04</v>
      </c>
      <c r="G368" s="22" t="n"/>
    </row>
    <row r="369">
      <c r="A369" s="26" t="inlineStr">
        <is>
          <t>Difference (calculated - printed)</t>
        </is>
      </c>
      <c r="B369" s="22" t="n"/>
      <c r="C369" s="22" t="n"/>
      <c r="D369" s="22" t="n"/>
      <c r="E369" s="22" t="n"/>
      <c r="F369" s="27">
        <f>F367-F368</f>
        <v/>
      </c>
      <c r="G369" s="22" t="n"/>
    </row>
    <row r="370">
      <c r="A370" s="29" t="inlineStr">
        <is>
          <t>SAY (Rs.) - final DAR rate as printed (fixed value, not computed)</t>
        </is>
      </c>
      <c r="B370" s="30" t="n"/>
      <c r="C370" s="30" t="n"/>
      <c r="D370" s="30" t="n"/>
      <c r="E370" s="30" t="n"/>
      <c r="F370" s="31" t="n">
        <v>417.6</v>
      </c>
      <c r="G370" s="30" t="n"/>
    </row>
    <row r="372" ht="62" customHeight="1">
      <c r="A372" s="8" t="inlineStr">
        <is>
          <t>10.14</t>
        </is>
      </c>
      <c r="B372"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372" s="9" t="n"/>
      <c r="D372" s="9" t="n"/>
      <c r="E372" s="9" t="n"/>
      <c r="F372" s="9" t="n"/>
      <c r="G372" s="9" t="n"/>
    </row>
    <row r="373" ht="18.5" customHeight="1">
      <c r="A373" s="8" t="inlineStr">
        <is>
          <t>10.14.1</t>
        </is>
      </c>
      <c r="B373" s="17" t="inlineStr">
        <is>
          <t>Profile B</t>
        </is>
      </c>
      <c r="C373" s="9" t="n"/>
      <c r="D373" s="9" t="n"/>
      <c r="E373" s="9" t="n"/>
      <c r="F373" s="9" t="n"/>
      <c r="G373" s="9" t="n"/>
    </row>
    <row r="374" ht="18.5" customHeight="1">
      <c r="A374" s="18" t="inlineStr">
        <is>
          <t>10.14.1.2</t>
        </is>
      </c>
      <c r="B374" s="19" t="inlineStr">
        <is>
          <t>Fixing with carbon steel galvanised dash fastener of required dia and size (to be paid for separately)</t>
        </is>
      </c>
      <c r="C374" s="20" t="n"/>
      <c r="D374" s="20" t="n"/>
      <c r="E374" s="20" t="n"/>
      <c r="F374" s="20" t="n"/>
      <c r="G374" s="20" t="n"/>
    </row>
    <row r="375">
      <c r="A375" s="21" t="inlineStr">
        <is>
          <t>Details of cost for 5 metres   |   Source: CivilDAR_2019_Vol_1.pdf, page 694</t>
        </is>
      </c>
    </row>
    <row r="376">
      <c r="A376" s="5" t="inlineStr">
        <is>
          <t>Code</t>
        </is>
      </c>
      <c r="B376" s="5" t="inlineStr">
        <is>
          <t>Description</t>
        </is>
      </c>
      <c r="C376" s="5" t="inlineStr">
        <is>
          <t>Unit</t>
        </is>
      </c>
      <c r="D376" s="5" t="inlineStr">
        <is>
          <t>Quantity</t>
        </is>
      </c>
      <c r="E376" s="5" t="inlineStr">
        <is>
          <t>Rate (Rs.)</t>
        </is>
      </c>
      <c r="F376" s="5" t="inlineStr">
        <is>
          <t>Amount (Rs.)</t>
        </is>
      </c>
      <c r="G376" s="5" t="inlineStr">
        <is>
          <t>Note</t>
        </is>
      </c>
    </row>
    <row r="377">
      <c r="A377" s="22" t="inlineStr">
        <is>
          <t>4006</t>
        </is>
      </c>
      <c r="B377" s="11" t="inlineStr">
        <is>
          <t>Pressed steel door frames (mild steel sheet 1.60mm) Profile "B" frame</t>
        </is>
      </c>
      <c r="C377" s="22" t="inlineStr">
        <is>
          <t>metre</t>
        </is>
      </c>
      <c r="D377" s="23" t="n">
        <v>5</v>
      </c>
      <c r="E377" s="24" t="n">
        <v>190</v>
      </c>
      <c r="F377" s="24">
        <f>D377*E377</f>
        <v/>
      </c>
      <c r="G377" s="22" t="n"/>
    </row>
    <row r="378">
      <c r="A378" s="22" t="inlineStr">
        <is>
          <t>9999</t>
        </is>
      </c>
      <c r="B378" s="11" t="inlineStr">
        <is>
          <t>Deduct sundries for not providing adjustable lugs</t>
        </is>
      </c>
      <c r="C378" s="22" t="inlineStr">
        <is>
          <t>L.S.</t>
        </is>
      </c>
      <c r="D378" s="23" t="n">
        <v>-20</v>
      </c>
      <c r="E378" s="24" t="n">
        <v>2</v>
      </c>
      <c r="F378" s="24">
        <f>D378*E378</f>
        <v/>
      </c>
      <c r="G378" s="22" t="n"/>
    </row>
    <row r="379">
      <c r="A379" s="22" t="inlineStr">
        <is>
          <t>0595</t>
        </is>
      </c>
      <c r="B379" s="11" t="inlineStr">
        <is>
          <t>Bright finished or black enamelled mild steel butt hinges 100x58x1.90 mm</t>
        </is>
      </c>
      <c r="C379" s="22" t="inlineStr">
        <is>
          <t>10 Nos</t>
        </is>
      </c>
      <c r="D379" s="23" t="n">
        <v>0.6</v>
      </c>
      <c r="E379" s="24" t="n">
        <v>80</v>
      </c>
      <c r="F379" s="24">
        <f>D379*E379</f>
        <v/>
      </c>
      <c r="G379" s="22" t="n"/>
    </row>
    <row r="380">
      <c r="A380" s="22" t="inlineStr">
        <is>
          <t>9999</t>
        </is>
      </c>
      <c r="B380" s="11" t="inlineStr">
        <is>
          <t>Screws, nuts and bolts</t>
        </is>
      </c>
      <c r="C380" s="22" t="inlineStr">
        <is>
          <t>L.S.</t>
        </is>
      </c>
      <c r="D380" s="23" t="n">
        <v>35.88</v>
      </c>
      <c r="E380" s="24" t="n">
        <v>2</v>
      </c>
      <c r="F380" s="24">
        <f>D380*E380</f>
        <v/>
      </c>
      <c r="G380" s="22" t="n"/>
    </row>
    <row r="381">
      <c r="A381" s="22" t="inlineStr">
        <is>
          <t>1007</t>
        </is>
      </c>
      <c r="B381" s="11" t="inlineStr">
        <is>
          <t>Structurals such as tees,angles channels and R.S. joists</t>
        </is>
      </c>
      <c r="C381" s="22" t="inlineStr">
        <is>
          <t>quintal</t>
        </is>
      </c>
      <c r="D381" s="23" t="n">
        <v>0.03</v>
      </c>
      <c r="E381" s="24" t="n">
        <v>4600</v>
      </c>
      <c r="F381" s="24">
        <f>D381*E381</f>
        <v/>
      </c>
      <c r="G381" s="22" t="n"/>
    </row>
    <row r="382">
      <c r="A382" s="22" t="inlineStr">
        <is>
          <t>9977</t>
        </is>
      </c>
      <c r="B382" s="11" t="inlineStr">
        <is>
          <t>Carriage of material</t>
        </is>
      </c>
      <c r="C382" s="22" t="inlineStr">
        <is>
          <t>L.S.</t>
        </is>
      </c>
      <c r="D382" s="23" t="n">
        <v>5.33</v>
      </c>
      <c r="E382" s="24" t="n">
        <v>2</v>
      </c>
      <c r="F382" s="24">
        <f>D382*E382</f>
        <v/>
      </c>
      <c r="G382" s="22" t="n"/>
    </row>
    <row r="383">
      <c r="A383" s="22" t="inlineStr">
        <is>
          <t>0116</t>
        </is>
      </c>
      <c r="B383" s="11" t="inlineStr">
        <is>
          <t>Fitter (grade 1)</t>
        </is>
      </c>
      <c r="C383" s="22" t="inlineStr">
        <is>
          <t>day</t>
        </is>
      </c>
      <c r="D383" s="23" t="n">
        <v>0.15</v>
      </c>
      <c r="E383" s="24" t="n">
        <v>738</v>
      </c>
      <c r="F383" s="24">
        <f>D383*E383</f>
        <v/>
      </c>
      <c r="G383" s="22" t="n"/>
    </row>
    <row r="384">
      <c r="A384" s="22" t="inlineStr">
        <is>
          <t>0114</t>
        </is>
      </c>
      <c r="B384" s="11" t="inlineStr">
        <is>
          <t>Beldar</t>
        </is>
      </c>
      <c r="C384" s="22" t="inlineStr">
        <is>
          <t>day</t>
        </is>
      </c>
      <c r="D384" s="23" t="n">
        <v>0.2</v>
      </c>
      <c r="E384" s="24" t="n">
        <v>558</v>
      </c>
      <c r="F384" s="24">
        <f>D384*E384</f>
        <v/>
      </c>
      <c r="G384" s="22" t="n"/>
    </row>
    <row r="385">
      <c r="A385" s="22" t="inlineStr">
        <is>
          <t>9999</t>
        </is>
      </c>
      <c r="B385" s="11" t="inlineStr">
        <is>
          <t>Sundries</t>
        </is>
      </c>
      <c r="C385" s="22" t="inlineStr">
        <is>
          <t>L.S.</t>
        </is>
      </c>
      <c r="D385" s="23" t="n">
        <v>8.970000000000001</v>
      </c>
      <c r="E385" s="24" t="n">
        <v>2</v>
      </c>
      <c r="F385" s="24">
        <f>D385*E385</f>
        <v/>
      </c>
      <c r="G385" s="22" t="n"/>
    </row>
    <row r="386">
      <c r="A386" s="22" t="inlineStr">
        <is>
          <t>13.50.3</t>
        </is>
      </c>
      <c r="B386" s="11" t="inlineStr">
        <is>
          <t>Rate as per item 13.50.3 - Applying priming coat - With ready mixed red oxide zinc chromate primer of approved brand and manufacture o...</t>
        </is>
      </c>
      <c r="C386" s="22" t="inlineStr">
        <is>
          <t>sqm</t>
        </is>
      </c>
      <c r="D386" s="23" t="n">
        <v>2.69</v>
      </c>
      <c r="E386" s="24" t="n">
        <v>50.7</v>
      </c>
      <c r="F386" s="24">
        <f>D386*E386</f>
        <v/>
      </c>
      <c r="G386" s="22" t="n"/>
    </row>
    <row r="387">
      <c r="A387" s="8" t="inlineStr">
        <is>
          <t>Calculated W - SUM of the Amount column above</t>
        </is>
      </c>
      <c r="B387" s="9" t="n"/>
      <c r="C387" s="9" t="n"/>
      <c r="D387" s="9" t="n"/>
      <c r="E387" s="9" t="n"/>
      <c r="F387" s="25">
        <f>SUM(F377:F386)</f>
        <v/>
      </c>
      <c r="G387" s="9" t="n"/>
    </row>
    <row r="388">
      <c r="A388" s="26" t="inlineStr">
        <is>
          <t>W as printed in the DAR</t>
        </is>
      </c>
      <c r="B388" s="22" t="n"/>
      <c r="C388" s="22" t="n"/>
      <c r="D388" s="22" t="n"/>
      <c r="E388" s="22" t="n"/>
      <c r="F388" s="27" t="n">
        <v>1555.04</v>
      </c>
      <c r="G388" s="22" t="n"/>
    </row>
    <row r="389">
      <c r="A389" s="26" t="inlineStr">
        <is>
          <t>Difference (calculated - printed)</t>
        </is>
      </c>
      <c r="B389" s="22" t="n"/>
      <c r="C389" s="22" t="n"/>
      <c r="D389" s="22" t="n"/>
      <c r="E389" s="22" t="n"/>
      <c r="F389" s="27">
        <f>F387-F388</f>
        <v/>
      </c>
      <c r="G389" s="22" t="n"/>
    </row>
    <row r="390">
      <c r="A390" s="29" t="inlineStr">
        <is>
          <t>SAY (Rs.) - final DAR rate as printed (fixed value, not computed)</t>
        </is>
      </c>
      <c r="B390" s="30" t="n"/>
      <c r="C390" s="30" t="n"/>
      <c r="D390" s="30" t="n"/>
      <c r="E390" s="30" t="n"/>
      <c r="F390" s="31" t="n">
        <v>406.9</v>
      </c>
      <c r="G390" s="30" t="n"/>
    </row>
    <row r="392" ht="62" customHeight="1">
      <c r="A392" s="8" t="inlineStr">
        <is>
          <t>10.14</t>
        </is>
      </c>
      <c r="B392"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392" s="9" t="n"/>
      <c r="D392" s="9" t="n"/>
      <c r="E392" s="9" t="n"/>
      <c r="F392" s="9" t="n"/>
      <c r="G392" s="9" t="n"/>
    </row>
    <row r="393" ht="18.5" customHeight="1">
      <c r="A393" s="8" t="inlineStr">
        <is>
          <t>10.14.2</t>
        </is>
      </c>
      <c r="B393" s="17" t="inlineStr">
        <is>
          <t>Profile C</t>
        </is>
      </c>
      <c r="C393" s="9" t="n"/>
      <c r="D393" s="9" t="n"/>
      <c r="E393" s="9" t="n"/>
      <c r="F393" s="9" t="n"/>
      <c r="G393" s="9" t="n"/>
    </row>
    <row r="394" ht="18.5" customHeight="1">
      <c r="A394" s="18" t="inlineStr">
        <is>
          <t>10.14.2.1</t>
        </is>
      </c>
      <c r="B394" s="19" t="inlineStr">
        <is>
          <t>Fixing with adjustable lugs with split end tail to each jamb</t>
        </is>
      </c>
      <c r="C394" s="20" t="n"/>
      <c r="D394" s="20" t="n"/>
      <c r="E394" s="20" t="n"/>
      <c r="F394" s="20" t="n"/>
      <c r="G394" s="20" t="n"/>
    </row>
    <row r="395">
      <c r="A395" s="21" t="inlineStr">
        <is>
          <t>Details of cost for 5 metres   |   Source: CivilDAR_2019_Vol_1.pdf, page 695</t>
        </is>
      </c>
    </row>
    <row r="396">
      <c r="A396" s="5" t="inlineStr">
        <is>
          <t>Code</t>
        </is>
      </c>
      <c r="B396" s="5" t="inlineStr">
        <is>
          <t>Description</t>
        </is>
      </c>
      <c r="C396" s="5" t="inlineStr">
        <is>
          <t>Unit</t>
        </is>
      </c>
      <c r="D396" s="5" t="inlineStr">
        <is>
          <t>Quantity</t>
        </is>
      </c>
      <c r="E396" s="5" t="inlineStr">
        <is>
          <t>Rate (Rs.)</t>
        </is>
      </c>
      <c r="F396" s="5" t="inlineStr">
        <is>
          <t>Amount (Rs.)</t>
        </is>
      </c>
      <c r="G396" s="5" t="inlineStr">
        <is>
          <t>Note</t>
        </is>
      </c>
    </row>
    <row r="397">
      <c r="A397" s="22" t="inlineStr">
        <is>
          <t>4007</t>
        </is>
      </c>
      <c r="B397" s="11" t="inlineStr">
        <is>
          <t>Pressed steel door frames (mild steel sheet 1.60mm) Profile "C"</t>
        </is>
      </c>
      <c r="C397" s="22" t="inlineStr">
        <is>
          <t>metre</t>
        </is>
      </c>
      <c r="D397" s="23" t="n">
        <v>5</v>
      </c>
      <c r="E397" s="24" t="n">
        <v>210</v>
      </c>
      <c r="F397" s="24">
        <f>D397*E397</f>
        <v/>
      </c>
      <c r="G397" s="22" t="n"/>
    </row>
    <row r="398">
      <c r="A398" s="22" t="inlineStr">
        <is>
          <t>0595</t>
        </is>
      </c>
      <c r="B398" s="11" t="inlineStr">
        <is>
          <t>Bright finished or black enamelled mild steel butt hinges 100x58x1.90 mm</t>
        </is>
      </c>
      <c r="C398" s="22" t="inlineStr">
        <is>
          <t>10 Nos</t>
        </is>
      </c>
      <c r="D398" s="23" t="n">
        <v>0.6</v>
      </c>
      <c r="E398" s="24" t="n">
        <v>80</v>
      </c>
      <c r="F398" s="24">
        <f>D398*E398</f>
        <v/>
      </c>
      <c r="G398" s="22" t="n"/>
    </row>
    <row r="399">
      <c r="A399" s="22" t="inlineStr">
        <is>
          <t>9999</t>
        </is>
      </c>
      <c r="B399" s="11" t="inlineStr">
        <is>
          <t>Screws, nuts and bolts</t>
        </is>
      </c>
      <c r="C399" s="22" t="inlineStr">
        <is>
          <t>L.S.</t>
        </is>
      </c>
      <c r="D399" s="23" t="n">
        <v>35.88</v>
      </c>
      <c r="E399" s="24" t="n">
        <v>2</v>
      </c>
      <c r="F399" s="24">
        <f>D399*E399</f>
        <v/>
      </c>
      <c r="G399" s="22" t="n"/>
    </row>
    <row r="400">
      <c r="A400" s="22" t="inlineStr">
        <is>
          <t>1007</t>
        </is>
      </c>
      <c r="B400" s="11" t="inlineStr">
        <is>
          <t>Structurals such as tees, angles channels and R.S. joists</t>
        </is>
      </c>
      <c r="C400" s="22" t="inlineStr">
        <is>
          <t>quintal</t>
        </is>
      </c>
      <c r="D400" s="23" t="n">
        <v>0.03</v>
      </c>
      <c r="E400" s="24" t="n">
        <v>4600</v>
      </c>
      <c r="F400" s="24">
        <f>D400*E400</f>
        <v/>
      </c>
      <c r="G400" s="22" t="n"/>
    </row>
    <row r="401">
      <c r="A401" s="22" t="inlineStr">
        <is>
          <t>9977</t>
        </is>
      </c>
      <c r="B401" s="11" t="inlineStr">
        <is>
          <t>Carriage of material</t>
        </is>
      </c>
      <c r="C401" s="22" t="inlineStr">
        <is>
          <t>L.S.</t>
        </is>
      </c>
      <c r="D401" s="23" t="n">
        <v>5.33</v>
      </c>
      <c r="E401" s="24" t="n">
        <v>2</v>
      </c>
      <c r="F401" s="24">
        <f>D401*E401</f>
        <v/>
      </c>
      <c r="G401" s="22" t="n"/>
    </row>
    <row r="402">
      <c r="A402" s="22" t="inlineStr">
        <is>
          <t>0116</t>
        </is>
      </c>
      <c r="B402" s="11" t="inlineStr">
        <is>
          <t>Fitter (grade 1)</t>
        </is>
      </c>
      <c r="C402" s="22" t="inlineStr">
        <is>
          <t>day</t>
        </is>
      </c>
      <c r="D402" s="23" t="n">
        <v>0.15</v>
      </c>
      <c r="E402" s="24" t="n">
        <v>738</v>
      </c>
      <c r="F402" s="24">
        <f>D402*E402</f>
        <v/>
      </c>
      <c r="G402" s="22" t="n"/>
    </row>
    <row r="403">
      <c r="A403" s="22" t="inlineStr">
        <is>
          <t>0114</t>
        </is>
      </c>
      <c r="B403" s="11" t="inlineStr">
        <is>
          <t>Beldar</t>
        </is>
      </c>
      <c r="C403" s="22" t="inlineStr">
        <is>
          <t>day</t>
        </is>
      </c>
      <c r="D403" s="23" t="n">
        <v>0.2</v>
      </c>
      <c r="E403" s="24" t="n">
        <v>558</v>
      </c>
      <c r="F403" s="24">
        <f>D403*E403</f>
        <v/>
      </c>
      <c r="G403" s="22" t="n"/>
    </row>
    <row r="404">
      <c r="A404" s="22" t="inlineStr">
        <is>
          <t>9999</t>
        </is>
      </c>
      <c r="B404" s="11" t="inlineStr">
        <is>
          <t>Sundries</t>
        </is>
      </c>
      <c r="C404" s="22" t="inlineStr">
        <is>
          <t>L.S.</t>
        </is>
      </c>
      <c r="D404" s="23" t="n">
        <v>8.970000000000001</v>
      </c>
      <c r="E404" s="24" t="n">
        <v>2</v>
      </c>
      <c r="F404" s="24">
        <f>D404*E404</f>
        <v/>
      </c>
      <c r="G404" s="22" t="n"/>
    </row>
    <row r="405">
      <c r="A405" s="22" t="inlineStr">
        <is>
          <t>13.50.3</t>
        </is>
      </c>
      <c r="B405" s="11" t="inlineStr">
        <is>
          <t>Rate as per item 13.50.3 - Applying priming coat - With ready mixed red oxide zinc chromate primer of approved brand and manufacture o...</t>
        </is>
      </c>
      <c r="C405" s="22" t="inlineStr">
        <is>
          <t>sqm</t>
        </is>
      </c>
      <c r="D405" s="23" t="n">
        <v>2.69</v>
      </c>
      <c r="E405" s="24" t="n">
        <v>50.7</v>
      </c>
      <c r="F405" s="24">
        <f>D405*E405</f>
        <v/>
      </c>
      <c r="G405" s="22" t="n"/>
    </row>
    <row r="406">
      <c r="A406" s="8" t="inlineStr">
        <is>
          <t>Calculated W - SUM of the Amount column above</t>
        </is>
      </c>
      <c r="B406" s="9" t="n"/>
      <c r="C406" s="9" t="n"/>
      <c r="D406" s="9" t="n"/>
      <c r="E406" s="9" t="n"/>
      <c r="F406" s="25">
        <f>SUM(F397:F405)</f>
        <v/>
      </c>
      <c r="G406" s="9" t="n"/>
    </row>
    <row r="407">
      <c r="A407" s="26" t="inlineStr">
        <is>
          <t>W as printed in the DAR</t>
        </is>
      </c>
      <c r="B407" s="22" t="n"/>
      <c r="C407" s="22" t="n"/>
      <c r="D407" s="22" t="n"/>
      <c r="E407" s="22" t="n"/>
      <c r="F407" s="27" t="n">
        <v>1695.04</v>
      </c>
      <c r="G407" s="22" t="n"/>
    </row>
    <row r="408">
      <c r="A408" s="26" t="inlineStr">
        <is>
          <t>Difference (calculated - printed)</t>
        </is>
      </c>
      <c r="B408" s="22" t="n"/>
      <c r="C408" s="22" t="n"/>
      <c r="D408" s="22" t="n"/>
      <c r="E408" s="22" t="n"/>
      <c r="F408" s="27">
        <f>F406-F407</f>
        <v/>
      </c>
      <c r="G408" s="22" t="n"/>
    </row>
    <row r="409">
      <c r="A409" s="29" t="inlineStr">
        <is>
          <t>SAY (Rs.) - final DAR rate as printed (fixed value, not computed)</t>
        </is>
      </c>
      <c r="B409" s="30" t="n"/>
      <c r="C409" s="30" t="n"/>
      <c r="D409" s="30" t="n"/>
      <c r="E409" s="30" t="n"/>
      <c r="F409" s="31" t="n">
        <v>444.35</v>
      </c>
      <c r="G409" s="30" t="n"/>
    </row>
    <row r="411" ht="62" customHeight="1">
      <c r="A411" s="8" t="inlineStr">
        <is>
          <t>10.14</t>
        </is>
      </c>
      <c r="B411"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411" s="9" t="n"/>
      <c r="D411" s="9" t="n"/>
      <c r="E411" s="9" t="n"/>
      <c r="F411" s="9" t="n"/>
      <c r="G411" s="9" t="n"/>
    </row>
    <row r="412" ht="18.5" customHeight="1">
      <c r="A412" s="8" t="inlineStr">
        <is>
          <t>10.14.2</t>
        </is>
      </c>
      <c r="B412" s="17" t="inlineStr">
        <is>
          <t>Profile C</t>
        </is>
      </c>
      <c r="C412" s="9" t="n"/>
      <c r="D412" s="9" t="n"/>
      <c r="E412" s="9" t="n"/>
      <c r="F412" s="9" t="n"/>
      <c r="G412" s="9" t="n"/>
    </row>
    <row r="413" ht="18.5" customHeight="1">
      <c r="A413" s="18" t="inlineStr">
        <is>
          <t>10.14.2.2</t>
        </is>
      </c>
      <c r="B413" s="19" t="inlineStr">
        <is>
          <t>Fixing with carbon steel galvanised dash fastener of required dia and size (to be paid for separately)</t>
        </is>
      </c>
      <c r="C413" s="20" t="n"/>
      <c r="D413" s="20" t="n"/>
      <c r="E413" s="20" t="n"/>
      <c r="F413" s="20" t="n"/>
      <c r="G413" s="20" t="n"/>
    </row>
    <row r="414">
      <c r="A414" s="21" t="inlineStr">
        <is>
          <t>Details of cost for 5 metres   |   Source: CivilDAR_2019_Vol_1.pdf, page 696</t>
        </is>
      </c>
    </row>
    <row r="415">
      <c r="A415" s="5" t="inlineStr">
        <is>
          <t>Code</t>
        </is>
      </c>
      <c r="B415" s="5" t="inlineStr">
        <is>
          <t>Description</t>
        </is>
      </c>
      <c r="C415" s="5" t="inlineStr">
        <is>
          <t>Unit</t>
        </is>
      </c>
      <c r="D415" s="5" t="inlineStr">
        <is>
          <t>Quantity</t>
        </is>
      </c>
      <c r="E415" s="5" t="inlineStr">
        <is>
          <t>Rate (Rs.)</t>
        </is>
      </c>
      <c r="F415" s="5" t="inlineStr">
        <is>
          <t>Amount (Rs.)</t>
        </is>
      </c>
      <c r="G415" s="5" t="inlineStr">
        <is>
          <t>Note</t>
        </is>
      </c>
    </row>
    <row r="416">
      <c r="A416" s="22" t="inlineStr">
        <is>
          <t>4007</t>
        </is>
      </c>
      <c r="B416" s="11" t="inlineStr">
        <is>
          <t>Pressed steel door frames (mild steel sheet 1.60mm) Profile "C"</t>
        </is>
      </c>
      <c r="C416" s="22" t="inlineStr">
        <is>
          <t>metre</t>
        </is>
      </c>
      <c r="D416" s="23" t="n">
        <v>5</v>
      </c>
      <c r="E416" s="24" t="n">
        <v>210</v>
      </c>
      <c r="F416" s="24">
        <f>D416*E416</f>
        <v/>
      </c>
      <c r="G416" s="22" t="n"/>
    </row>
    <row r="417">
      <c r="A417" s="22" t="inlineStr">
        <is>
          <t>9999</t>
        </is>
      </c>
      <c r="B417" s="11" t="inlineStr">
        <is>
          <t>Sundries for not providing adjustable lugs(-)</t>
        </is>
      </c>
      <c r="C417" s="22" t="inlineStr">
        <is>
          <t>L.S.</t>
        </is>
      </c>
      <c r="D417" s="23" t="n">
        <v>-20</v>
      </c>
      <c r="E417" s="24" t="n">
        <v>2</v>
      </c>
      <c r="F417" s="24">
        <f>D417*E417</f>
        <v/>
      </c>
      <c r="G417" s="22" t="n"/>
    </row>
    <row r="418">
      <c r="A418" s="22" t="inlineStr">
        <is>
          <t>0595</t>
        </is>
      </c>
      <c r="B418" s="11" t="inlineStr">
        <is>
          <t>Bright finished or black enamelled mild steel butt hinges 100x58x1.90 mm</t>
        </is>
      </c>
      <c r="C418" s="22" t="inlineStr">
        <is>
          <t>10 Nos</t>
        </is>
      </c>
      <c r="D418" s="23" t="n">
        <v>0.6</v>
      </c>
      <c r="E418" s="24" t="n">
        <v>80</v>
      </c>
      <c r="F418" s="24">
        <f>D418*E418</f>
        <v/>
      </c>
      <c r="G418" s="22" t="n"/>
    </row>
    <row r="419">
      <c r="A419" s="22" t="inlineStr">
        <is>
          <t>9999</t>
        </is>
      </c>
      <c r="B419" s="11" t="inlineStr">
        <is>
          <t>Screws, nuts and bolts</t>
        </is>
      </c>
      <c r="C419" s="22" t="inlineStr">
        <is>
          <t>L.S.</t>
        </is>
      </c>
      <c r="D419" s="23" t="n">
        <v>35.88</v>
      </c>
      <c r="E419" s="24" t="n">
        <v>2</v>
      </c>
      <c r="F419" s="24">
        <f>D419*E419</f>
        <v/>
      </c>
      <c r="G419" s="22" t="n"/>
    </row>
    <row r="420">
      <c r="A420" s="22" t="inlineStr">
        <is>
          <t>1007</t>
        </is>
      </c>
      <c r="B420" s="11" t="inlineStr">
        <is>
          <t>Structurals such as tees, angles channels and R.S. joists</t>
        </is>
      </c>
      <c r="C420" s="22" t="inlineStr">
        <is>
          <t>quintal</t>
        </is>
      </c>
      <c r="D420" s="23" t="n">
        <v>0.03</v>
      </c>
      <c r="E420" s="24" t="n">
        <v>4600</v>
      </c>
      <c r="F420" s="24">
        <f>D420*E420</f>
        <v/>
      </c>
      <c r="G420" s="22" t="n"/>
    </row>
    <row r="421">
      <c r="A421" s="22" t="inlineStr">
        <is>
          <t>9977</t>
        </is>
      </c>
      <c r="B421" s="11" t="inlineStr">
        <is>
          <t>Carriage of material</t>
        </is>
      </c>
      <c r="C421" s="22" t="inlineStr">
        <is>
          <t>L.S.</t>
        </is>
      </c>
      <c r="D421" s="23" t="n">
        <v>5.33</v>
      </c>
      <c r="E421" s="24" t="n">
        <v>2</v>
      </c>
      <c r="F421" s="24">
        <f>D421*E421</f>
        <v/>
      </c>
      <c r="G421" s="22" t="n"/>
    </row>
    <row r="422">
      <c r="A422" s="22" t="inlineStr">
        <is>
          <t>0116</t>
        </is>
      </c>
      <c r="B422" s="11" t="inlineStr">
        <is>
          <t>Fitter (grade 1)</t>
        </is>
      </c>
      <c r="C422" s="22" t="inlineStr">
        <is>
          <t>day</t>
        </is>
      </c>
      <c r="D422" s="23" t="n">
        <v>0.15</v>
      </c>
      <c r="E422" s="24" t="n">
        <v>738</v>
      </c>
      <c r="F422" s="24">
        <f>D422*E422</f>
        <v/>
      </c>
      <c r="G422" s="22" t="n"/>
    </row>
    <row r="423">
      <c r="A423" s="22" t="inlineStr">
        <is>
          <t>0114</t>
        </is>
      </c>
      <c r="B423" s="11" t="inlineStr">
        <is>
          <t>Beldar</t>
        </is>
      </c>
      <c r="C423" s="22" t="inlineStr">
        <is>
          <t>day</t>
        </is>
      </c>
      <c r="D423" s="23" t="n">
        <v>0.2</v>
      </c>
      <c r="E423" s="24" t="n">
        <v>558</v>
      </c>
      <c r="F423" s="24">
        <f>D423*E423</f>
        <v/>
      </c>
      <c r="G423" s="22" t="n"/>
    </row>
    <row r="424">
      <c r="A424" s="22" t="inlineStr">
        <is>
          <t>9999</t>
        </is>
      </c>
      <c r="B424" s="11" t="inlineStr">
        <is>
          <t>Sundries</t>
        </is>
      </c>
      <c r="C424" s="22" t="inlineStr">
        <is>
          <t>L.S.</t>
        </is>
      </c>
      <c r="D424" s="23" t="n">
        <v>8.970000000000001</v>
      </c>
      <c r="E424" s="24" t="n">
        <v>2</v>
      </c>
      <c r="F424" s="24">
        <f>D424*E424</f>
        <v/>
      </c>
      <c r="G424" s="22" t="n"/>
    </row>
    <row r="425">
      <c r="A425" s="22" t="inlineStr">
        <is>
          <t>13.50.3</t>
        </is>
      </c>
      <c r="B425" s="11" t="inlineStr">
        <is>
          <t>Rate as per item 13.50.3 - Applying priming coat - With ready mixed red oxide zinc chromate primer of approved brand and manufacture o...</t>
        </is>
      </c>
      <c r="C425" s="22" t="inlineStr">
        <is>
          <t>sqm</t>
        </is>
      </c>
      <c r="D425" s="23" t="n">
        <v>2.69</v>
      </c>
      <c r="E425" s="24" t="n">
        <v>50.7</v>
      </c>
      <c r="F425" s="24">
        <f>D425*E425</f>
        <v/>
      </c>
      <c r="G425" s="22" t="n"/>
    </row>
    <row r="426">
      <c r="A426" s="8" t="inlineStr">
        <is>
          <t>Calculated W - SUM of the Amount column above</t>
        </is>
      </c>
      <c r="B426" s="9" t="n"/>
      <c r="C426" s="9" t="n"/>
      <c r="D426" s="9" t="n"/>
      <c r="E426" s="9" t="n"/>
      <c r="F426" s="25">
        <f>SUM(F416:F425)</f>
        <v/>
      </c>
      <c r="G426" s="9" t="n"/>
    </row>
    <row r="427">
      <c r="A427" s="26" t="inlineStr">
        <is>
          <t>W as printed in the DAR</t>
        </is>
      </c>
      <c r="B427" s="22" t="n"/>
      <c r="C427" s="22" t="n"/>
      <c r="D427" s="22" t="n"/>
      <c r="E427" s="22" t="n"/>
      <c r="F427" s="27" t="n">
        <v>1655.04</v>
      </c>
      <c r="G427" s="22" t="n"/>
    </row>
    <row r="428">
      <c r="A428" s="26" t="inlineStr">
        <is>
          <t>Difference (calculated - printed)</t>
        </is>
      </c>
      <c r="B428" s="22" t="n"/>
      <c r="C428" s="22" t="n"/>
      <c r="D428" s="22" t="n"/>
      <c r="E428" s="22" t="n"/>
      <c r="F428" s="27">
        <f>F426-F427</f>
        <v/>
      </c>
      <c r="G428" s="22" t="n"/>
    </row>
    <row r="429">
      <c r="A429" s="29" t="inlineStr">
        <is>
          <t>SAY (Rs.) - final DAR rate as printed (fixed value, not computed)</t>
        </is>
      </c>
      <c r="B429" s="30" t="n"/>
      <c r="C429" s="30" t="n"/>
      <c r="D429" s="30" t="n"/>
      <c r="E429" s="30" t="n"/>
      <c r="F429" s="31" t="n">
        <v>433.65</v>
      </c>
      <c r="G429" s="30" t="n"/>
    </row>
    <row r="431" ht="62" customHeight="1">
      <c r="A431" s="8" t="inlineStr">
        <is>
          <t>10.14</t>
        </is>
      </c>
      <c r="B431"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431" s="9" t="n"/>
      <c r="D431" s="9" t="n"/>
      <c r="E431" s="9" t="n"/>
      <c r="F431" s="9" t="n"/>
      <c r="G431" s="9" t="n"/>
    </row>
    <row r="432" ht="18.5" customHeight="1">
      <c r="A432" s="8" t="inlineStr">
        <is>
          <t>10.14.3</t>
        </is>
      </c>
      <c r="B432" s="17" t="inlineStr">
        <is>
          <t>Profile E</t>
        </is>
      </c>
      <c r="C432" s="9" t="n"/>
      <c r="D432" s="9" t="n"/>
      <c r="E432" s="9" t="n"/>
      <c r="F432" s="9" t="n"/>
      <c r="G432" s="9" t="n"/>
    </row>
    <row r="433" ht="18.5" customHeight="1">
      <c r="A433" s="18" t="inlineStr">
        <is>
          <t>10.14.3.1</t>
        </is>
      </c>
      <c r="B433" s="19" t="inlineStr">
        <is>
          <t>Fixing with adjustable lugs with split end tail to each jamb</t>
        </is>
      </c>
      <c r="C433" s="20" t="n"/>
      <c r="D433" s="20" t="n"/>
      <c r="E433" s="20" t="n"/>
      <c r="F433" s="20" t="n"/>
      <c r="G433" s="20" t="n"/>
    </row>
    <row r="434">
      <c r="A434" s="21" t="inlineStr">
        <is>
          <t>Details of cost for 5 metres   |   Source: CivilDAR_2019_Vol_1.pdf, page 697</t>
        </is>
      </c>
    </row>
    <row r="435">
      <c r="A435" s="5" t="inlineStr">
        <is>
          <t>Code</t>
        </is>
      </c>
      <c r="B435" s="5" t="inlineStr">
        <is>
          <t>Description</t>
        </is>
      </c>
      <c r="C435" s="5" t="inlineStr">
        <is>
          <t>Unit</t>
        </is>
      </c>
      <c r="D435" s="5" t="inlineStr">
        <is>
          <t>Quantity</t>
        </is>
      </c>
      <c r="E435" s="5" t="inlineStr">
        <is>
          <t>Rate (Rs.)</t>
        </is>
      </c>
      <c r="F435" s="5" t="inlineStr">
        <is>
          <t>Amount (Rs.)</t>
        </is>
      </c>
      <c r="G435" s="5" t="inlineStr">
        <is>
          <t>Note</t>
        </is>
      </c>
    </row>
    <row r="436">
      <c r="A436" s="22" t="inlineStr">
        <is>
          <t>4008</t>
        </is>
      </c>
      <c r="B436" s="11" t="inlineStr">
        <is>
          <t>Pressed steel door frames (mild steel sheet 1.60mm) Profile "E"</t>
        </is>
      </c>
      <c r="C436" s="22" t="inlineStr">
        <is>
          <t>metre</t>
        </is>
      </c>
      <c r="D436" s="23" t="n">
        <v>5</v>
      </c>
      <c r="E436" s="24" t="n">
        <v>240</v>
      </c>
      <c r="F436" s="24">
        <f>D436*E436</f>
        <v/>
      </c>
      <c r="G436" s="22" t="n"/>
    </row>
    <row r="437">
      <c r="A437" s="22" t="inlineStr">
        <is>
          <t>0595</t>
        </is>
      </c>
      <c r="B437" s="11" t="inlineStr">
        <is>
          <t>Bright finished or black enamelled mild steel butt hinges 100x58x1.90 mm</t>
        </is>
      </c>
      <c r="C437" s="22" t="inlineStr">
        <is>
          <t>10 Nos</t>
        </is>
      </c>
      <c r="D437" s="23" t="n">
        <v>0.6</v>
      </c>
      <c r="E437" s="24" t="n">
        <v>80</v>
      </c>
      <c r="F437" s="24">
        <f>D437*E437</f>
        <v/>
      </c>
      <c r="G437" s="22" t="n"/>
    </row>
    <row r="438">
      <c r="A438" s="22" t="inlineStr">
        <is>
          <t>9999</t>
        </is>
      </c>
      <c r="B438" s="11" t="inlineStr">
        <is>
          <t>Screws, nuts and bolts</t>
        </is>
      </c>
      <c r="C438" s="22" t="inlineStr">
        <is>
          <t>L.S.</t>
        </is>
      </c>
      <c r="D438" s="23" t="n">
        <v>35.88</v>
      </c>
      <c r="E438" s="24" t="n">
        <v>2</v>
      </c>
      <c r="F438" s="24">
        <f>D438*E438</f>
        <v/>
      </c>
      <c r="G438" s="22" t="n"/>
    </row>
    <row r="439">
      <c r="A439" s="22" t="inlineStr">
        <is>
          <t>1007</t>
        </is>
      </c>
      <c r="B439" s="11" t="inlineStr">
        <is>
          <t>Structurals such as tees,angles channels and R.S. joists</t>
        </is>
      </c>
      <c r="C439" s="22" t="inlineStr">
        <is>
          <t>quintal</t>
        </is>
      </c>
      <c r="D439" s="23" t="n">
        <v>0.03</v>
      </c>
      <c r="E439" s="24" t="n">
        <v>4600</v>
      </c>
      <c r="F439" s="24">
        <f>D439*E439</f>
        <v/>
      </c>
      <c r="G439" s="22" t="n"/>
    </row>
    <row r="440">
      <c r="A440" s="22" t="inlineStr">
        <is>
          <t>9977</t>
        </is>
      </c>
      <c r="B440" s="11" t="inlineStr">
        <is>
          <t>Carriage of material</t>
        </is>
      </c>
      <c r="C440" s="22" t="inlineStr">
        <is>
          <t>L.S.</t>
        </is>
      </c>
      <c r="D440" s="23" t="n">
        <v>5.33</v>
      </c>
      <c r="E440" s="24" t="n">
        <v>2</v>
      </c>
      <c r="F440" s="24">
        <f>D440*E440</f>
        <v/>
      </c>
      <c r="G440" s="22" t="n"/>
    </row>
    <row r="441">
      <c r="A441" s="22" t="inlineStr">
        <is>
          <t>0116</t>
        </is>
      </c>
      <c r="B441" s="11" t="inlineStr">
        <is>
          <t>Fitter (grade 1)</t>
        </is>
      </c>
      <c r="C441" s="22" t="inlineStr">
        <is>
          <t>day</t>
        </is>
      </c>
      <c r="D441" s="23" t="n">
        <v>0.15</v>
      </c>
      <c r="E441" s="24" t="n">
        <v>738</v>
      </c>
      <c r="F441" s="24">
        <f>D441*E441</f>
        <v/>
      </c>
      <c r="G441" s="22" t="n"/>
    </row>
    <row r="442">
      <c r="A442" s="22" t="inlineStr">
        <is>
          <t>0114</t>
        </is>
      </c>
      <c r="B442" s="11" t="inlineStr">
        <is>
          <t>Beldar</t>
        </is>
      </c>
      <c r="C442" s="22" t="inlineStr">
        <is>
          <t>day</t>
        </is>
      </c>
      <c r="D442" s="23" t="n">
        <v>0.2</v>
      </c>
      <c r="E442" s="24" t="n">
        <v>558</v>
      </c>
      <c r="F442" s="24">
        <f>D442*E442</f>
        <v/>
      </c>
      <c r="G442" s="22" t="n"/>
    </row>
    <row r="443">
      <c r="A443" s="22" t="inlineStr">
        <is>
          <t>9999</t>
        </is>
      </c>
      <c r="B443" s="11" t="inlineStr">
        <is>
          <t>Sundries</t>
        </is>
      </c>
      <c r="C443" s="22" t="inlineStr">
        <is>
          <t>L.S.</t>
        </is>
      </c>
      <c r="D443" s="23" t="n">
        <v>8.970000000000001</v>
      </c>
      <c r="E443" s="24" t="n">
        <v>2</v>
      </c>
      <c r="F443" s="24">
        <f>D443*E443</f>
        <v/>
      </c>
      <c r="G443" s="22" t="n"/>
    </row>
    <row r="444">
      <c r="A444" s="22" t="inlineStr">
        <is>
          <t>13.50.3</t>
        </is>
      </c>
      <c r="B444" s="11" t="inlineStr">
        <is>
          <t>Rate as per item 13.50.3 - Applying priming coat - With ready mixed red oxide zinc chromate primer of approved brand and manufacture o...</t>
        </is>
      </c>
      <c r="C444" s="22" t="inlineStr">
        <is>
          <t>sqm</t>
        </is>
      </c>
      <c r="D444" s="23" t="n">
        <v>2.69</v>
      </c>
      <c r="E444" s="24" t="n">
        <v>50.7</v>
      </c>
      <c r="F444" s="24">
        <f>D444*E444</f>
        <v/>
      </c>
      <c r="G444" s="22" t="n"/>
    </row>
    <row r="445">
      <c r="A445" s="8" t="inlineStr">
        <is>
          <t>Calculated W - SUM of the Amount column above</t>
        </is>
      </c>
      <c r="B445" s="9" t="n"/>
      <c r="C445" s="9" t="n"/>
      <c r="D445" s="9" t="n"/>
      <c r="E445" s="9" t="n"/>
      <c r="F445" s="25">
        <f>SUM(F436:F444)</f>
        <v/>
      </c>
      <c r="G445" s="9" t="n"/>
    </row>
    <row r="446">
      <c r="A446" s="26" t="inlineStr">
        <is>
          <t>W as printed in the DAR</t>
        </is>
      </c>
      <c r="B446" s="22" t="n"/>
      <c r="C446" s="22" t="n"/>
      <c r="D446" s="22" t="n"/>
      <c r="E446" s="22" t="n"/>
      <c r="F446" s="27" t="n">
        <v>1845.04</v>
      </c>
      <c r="G446" s="22" t="n"/>
    </row>
    <row r="447">
      <c r="A447" s="26" t="inlineStr">
        <is>
          <t>Difference (calculated - printed)</t>
        </is>
      </c>
      <c r="B447" s="22" t="n"/>
      <c r="C447" s="22" t="n"/>
      <c r="D447" s="22" t="n"/>
      <c r="E447" s="22" t="n"/>
      <c r="F447" s="27">
        <f>F445-F446</f>
        <v/>
      </c>
      <c r="G447" s="22" t="n"/>
    </row>
    <row r="448">
      <c r="A448" s="29" t="inlineStr">
        <is>
          <t>SAY (Rs.) - final DAR rate as printed (fixed value, not computed)</t>
        </is>
      </c>
      <c r="B448" s="30" t="n"/>
      <c r="C448" s="30" t="n"/>
      <c r="D448" s="30" t="n"/>
      <c r="E448" s="30" t="n"/>
      <c r="F448" s="31" t="n">
        <v>484.5</v>
      </c>
      <c r="G448" s="30" t="n"/>
    </row>
    <row r="450" ht="62" customHeight="1">
      <c r="A450" s="8" t="inlineStr">
        <is>
          <t>10.14</t>
        </is>
      </c>
      <c r="B450" s="1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t>
        </is>
      </c>
      <c r="C450" s="9" t="n"/>
      <c r="D450" s="9" t="n"/>
      <c r="E450" s="9" t="n"/>
      <c r="F450" s="9" t="n"/>
      <c r="G450" s="9" t="n"/>
    </row>
    <row r="451" ht="18.5" customHeight="1">
      <c r="A451" s="8" t="inlineStr">
        <is>
          <t>10.14.3</t>
        </is>
      </c>
      <c r="B451" s="17" t="inlineStr">
        <is>
          <t>Profile E</t>
        </is>
      </c>
      <c r="C451" s="9" t="n"/>
      <c r="D451" s="9" t="n"/>
      <c r="E451" s="9" t="n"/>
      <c r="F451" s="9" t="n"/>
      <c r="G451" s="9" t="n"/>
    </row>
    <row r="452" ht="18.5" customHeight="1">
      <c r="A452" s="18" t="inlineStr">
        <is>
          <t>10.14.3.2</t>
        </is>
      </c>
      <c r="B452" s="19" t="inlineStr">
        <is>
          <t>Fixing with carbon steel galvanised dash fastener of required dia and size (to be paid for separately)</t>
        </is>
      </c>
      <c r="C452" s="20" t="n"/>
      <c r="D452" s="20" t="n"/>
      <c r="E452" s="20" t="n"/>
      <c r="F452" s="20" t="n"/>
      <c r="G452" s="20" t="n"/>
    </row>
    <row r="453">
      <c r="A453" s="21" t="inlineStr">
        <is>
          <t>Details of cost for 5 metres   |   Source: CivilDAR_2019_Vol_1.pdf, page 697</t>
        </is>
      </c>
    </row>
    <row r="454">
      <c r="A454" s="5" t="inlineStr">
        <is>
          <t>Code</t>
        </is>
      </c>
      <c r="B454" s="5" t="inlineStr">
        <is>
          <t>Description</t>
        </is>
      </c>
      <c r="C454" s="5" t="inlineStr">
        <is>
          <t>Unit</t>
        </is>
      </c>
      <c r="D454" s="5" t="inlineStr">
        <is>
          <t>Quantity</t>
        </is>
      </c>
      <c r="E454" s="5" t="inlineStr">
        <is>
          <t>Rate (Rs.)</t>
        </is>
      </c>
      <c r="F454" s="5" t="inlineStr">
        <is>
          <t>Amount (Rs.)</t>
        </is>
      </c>
      <c r="G454" s="5" t="inlineStr">
        <is>
          <t>Note</t>
        </is>
      </c>
    </row>
    <row r="455">
      <c r="A455" s="22" t="inlineStr">
        <is>
          <t>4008</t>
        </is>
      </c>
      <c r="B455" s="11" t="inlineStr">
        <is>
          <t>Pressed steel door frames (mild steel sheet 1.60mm) Profile "E"</t>
        </is>
      </c>
      <c r="C455" s="22" t="inlineStr">
        <is>
          <t>metre</t>
        </is>
      </c>
      <c r="D455" s="23" t="n">
        <v>5</v>
      </c>
      <c r="E455" s="24" t="n">
        <v>240</v>
      </c>
      <c r="F455" s="24">
        <f>D455*E455</f>
        <v/>
      </c>
      <c r="G455" s="22" t="n"/>
    </row>
    <row r="456">
      <c r="A456" s="22" t="inlineStr">
        <is>
          <t>9999</t>
        </is>
      </c>
      <c r="B456" s="11" t="inlineStr">
        <is>
          <t>Sundries for not providing adjustable lugs (-)</t>
        </is>
      </c>
      <c r="C456" s="22" t="inlineStr">
        <is>
          <t>L.S.</t>
        </is>
      </c>
      <c r="D456" s="23" t="n">
        <v>-20</v>
      </c>
      <c r="E456" s="24" t="n">
        <v>2</v>
      </c>
      <c r="F456" s="24">
        <f>D456*E456</f>
        <v/>
      </c>
      <c r="G456" s="22" t="n"/>
    </row>
    <row r="457">
      <c r="A457" s="22" t="inlineStr">
        <is>
          <t>0595</t>
        </is>
      </c>
      <c r="B457" s="11" t="inlineStr">
        <is>
          <t>Bright finished or black enamelled mild steel butt hinges 100x58x1.90 mm</t>
        </is>
      </c>
      <c r="C457" s="22" t="inlineStr">
        <is>
          <t>10 Nos</t>
        </is>
      </c>
      <c r="D457" s="23" t="n">
        <v>0.6</v>
      </c>
      <c r="E457" s="24" t="n">
        <v>80</v>
      </c>
      <c r="F457" s="24">
        <f>D457*E457</f>
        <v/>
      </c>
      <c r="G457" s="22" t="n"/>
    </row>
    <row r="458">
      <c r="A458" s="22" t="inlineStr">
        <is>
          <t>9999</t>
        </is>
      </c>
      <c r="B458" s="11" t="inlineStr">
        <is>
          <t>Screws, nuts and bolts</t>
        </is>
      </c>
      <c r="C458" s="22" t="inlineStr">
        <is>
          <t>L.S.</t>
        </is>
      </c>
      <c r="D458" s="23" t="n">
        <v>35.88</v>
      </c>
      <c r="E458" s="24" t="n">
        <v>2</v>
      </c>
      <c r="F458" s="24">
        <f>D458*E458</f>
        <v/>
      </c>
      <c r="G458" s="22" t="n"/>
    </row>
    <row r="459">
      <c r="A459" s="22" t="inlineStr">
        <is>
          <t>1007</t>
        </is>
      </c>
      <c r="B459" s="11" t="inlineStr">
        <is>
          <t>Structurals such as tees,angles channels and R.S. joists</t>
        </is>
      </c>
      <c r="C459" s="22" t="inlineStr">
        <is>
          <t>quintal</t>
        </is>
      </c>
      <c r="D459" s="23" t="n">
        <v>0.03</v>
      </c>
      <c r="E459" s="24" t="n">
        <v>4600</v>
      </c>
      <c r="F459" s="24">
        <f>D459*E459</f>
        <v/>
      </c>
      <c r="G459" s="22" t="n"/>
    </row>
    <row r="460">
      <c r="A460" s="22" t="inlineStr">
        <is>
          <t>9977</t>
        </is>
      </c>
      <c r="B460" s="11" t="inlineStr">
        <is>
          <t>Carriage of material</t>
        </is>
      </c>
      <c r="C460" s="22" t="inlineStr">
        <is>
          <t>L.S.</t>
        </is>
      </c>
      <c r="D460" s="23" t="n">
        <v>5.33</v>
      </c>
      <c r="E460" s="24" t="n">
        <v>2</v>
      </c>
      <c r="F460" s="24">
        <f>D460*E460</f>
        <v/>
      </c>
      <c r="G460" s="22" t="n"/>
    </row>
    <row r="461">
      <c r="A461" s="22" t="inlineStr">
        <is>
          <t>0116</t>
        </is>
      </c>
      <c r="B461" s="11" t="inlineStr">
        <is>
          <t>Fitter (grade 1)</t>
        </is>
      </c>
      <c r="C461" s="22" t="inlineStr">
        <is>
          <t>day</t>
        </is>
      </c>
      <c r="D461" s="23" t="n">
        <v>0.15</v>
      </c>
      <c r="E461" s="24" t="n">
        <v>738</v>
      </c>
      <c r="F461" s="24">
        <f>D461*E461</f>
        <v/>
      </c>
      <c r="G461" s="22" t="n"/>
    </row>
    <row r="462">
      <c r="A462" s="22" t="inlineStr">
        <is>
          <t>0114</t>
        </is>
      </c>
      <c r="B462" s="11" t="inlineStr">
        <is>
          <t>Beldar</t>
        </is>
      </c>
      <c r="C462" s="22" t="inlineStr">
        <is>
          <t>day</t>
        </is>
      </c>
      <c r="D462" s="23" t="n">
        <v>0.2</v>
      </c>
      <c r="E462" s="24" t="n">
        <v>558</v>
      </c>
      <c r="F462" s="24">
        <f>D462*E462</f>
        <v/>
      </c>
      <c r="G462" s="22" t="n"/>
    </row>
    <row r="463">
      <c r="A463" s="22" t="inlineStr">
        <is>
          <t>9999</t>
        </is>
      </c>
      <c r="B463" s="11" t="inlineStr">
        <is>
          <t>Sundries</t>
        </is>
      </c>
      <c r="C463" s="22" t="inlineStr">
        <is>
          <t>L.S.</t>
        </is>
      </c>
      <c r="D463" s="23" t="n">
        <v>8.970000000000001</v>
      </c>
      <c r="E463" s="24" t="n">
        <v>2</v>
      </c>
      <c r="F463" s="24">
        <f>D463*E463</f>
        <v/>
      </c>
      <c r="G463" s="22" t="n"/>
    </row>
    <row r="464">
      <c r="A464" s="22" t="inlineStr">
        <is>
          <t>13.50.3</t>
        </is>
      </c>
      <c r="B464" s="11" t="inlineStr">
        <is>
          <t>Rate as per item 13.50.3 - Applying priming coat - With ready mixed red oxide zinc chromate primer of approved brand and manufacture o...</t>
        </is>
      </c>
      <c r="C464" s="22" t="inlineStr">
        <is>
          <t>sqm</t>
        </is>
      </c>
      <c r="D464" s="23" t="n">
        <v>2.69</v>
      </c>
      <c r="E464" s="24" t="n">
        <v>50.7</v>
      </c>
      <c r="F464" s="24">
        <f>D464*E464</f>
        <v/>
      </c>
      <c r="G464" s="22" t="n"/>
    </row>
    <row r="465">
      <c r="A465" s="8" t="inlineStr">
        <is>
          <t>Calculated W - SUM of the Amount column above</t>
        </is>
      </c>
      <c r="B465" s="9" t="n"/>
      <c r="C465" s="9" t="n"/>
      <c r="D465" s="9" t="n"/>
      <c r="E465" s="9" t="n"/>
      <c r="F465" s="25">
        <f>SUM(F455:F464)</f>
        <v/>
      </c>
      <c r="G465" s="9" t="n"/>
    </row>
    <row r="466">
      <c r="A466" s="26" t="inlineStr">
        <is>
          <t>W as printed in the DAR</t>
        </is>
      </c>
      <c r="B466" s="22" t="n"/>
      <c r="C466" s="22" t="n"/>
      <c r="D466" s="22" t="n"/>
      <c r="E466" s="22" t="n"/>
      <c r="F466" s="27" t="n">
        <v>1805.04</v>
      </c>
      <c r="G466" s="22" t="n"/>
    </row>
    <row r="467">
      <c r="A467" s="26" t="inlineStr">
        <is>
          <t>Difference (calculated - printed)</t>
        </is>
      </c>
      <c r="B467" s="22" t="n"/>
      <c r="C467" s="22" t="n"/>
      <c r="D467" s="22" t="n"/>
      <c r="E467" s="22" t="n"/>
      <c r="F467" s="27">
        <f>F465-F466</f>
        <v/>
      </c>
      <c r="G467" s="22" t="n"/>
    </row>
    <row r="468">
      <c r="A468" s="29" t="inlineStr">
        <is>
          <t>SAY (Rs.) - final DAR rate as printed (fixed value, not computed)</t>
        </is>
      </c>
      <c r="B468" s="30" t="n"/>
      <c r="C468" s="30" t="n"/>
      <c r="D468" s="30" t="n"/>
      <c r="E468" s="30" t="n"/>
      <c r="F468" s="31" t="n">
        <v>473.8</v>
      </c>
      <c r="G468" s="30" t="n"/>
    </row>
    <row r="470" ht="47.5" customHeight="1">
      <c r="A470" s="8" t="inlineStr">
        <is>
          <t>10.15</t>
        </is>
      </c>
      <c r="B470" s="17"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is>
      </c>
      <c r="C470" s="9" t="n"/>
      <c r="D470" s="9" t="n"/>
      <c r="E470" s="9" t="n"/>
      <c r="F470" s="9" t="n"/>
      <c r="G470" s="9" t="n"/>
    </row>
    <row r="471" ht="33" customHeight="1">
      <c r="A471" s="18" t="inlineStr">
        <is>
          <t>10.15.1</t>
        </is>
      </c>
      <c r="B471" s="19" t="inlineStr">
        <is>
          <t>Fixing with 15x3 mm lugs 10 cm long embedded in cement concrete block 15x10x10 cm of C.C. 1:3:6 (1 Cement : 3 coarse sand : 6 graded stone aggregate 20 mm nominal size)</t>
        </is>
      </c>
      <c r="C471" s="20" t="n"/>
      <c r="D471" s="20" t="n"/>
      <c r="E471" s="20" t="n"/>
      <c r="F471" s="20" t="n"/>
      <c r="G471" s="20" t="n"/>
    </row>
    <row r="472">
      <c r="A472" s="21" t="inlineStr">
        <is>
          <t>Details of cost for 7.13 kg   |   Source: CivilDAR_2019_Vol_1.pdf, page 698</t>
        </is>
      </c>
    </row>
    <row r="473">
      <c r="A473" s="5" t="inlineStr">
        <is>
          <t>Code</t>
        </is>
      </c>
      <c r="B473" s="5" t="inlineStr">
        <is>
          <t>Description</t>
        </is>
      </c>
      <c r="C473" s="5" t="inlineStr">
        <is>
          <t>Unit</t>
        </is>
      </c>
      <c r="D473" s="5" t="inlineStr">
        <is>
          <t>Quantity</t>
        </is>
      </c>
      <c r="E473" s="5" t="inlineStr">
        <is>
          <t>Rate (Rs.)</t>
        </is>
      </c>
      <c r="F473" s="5" t="inlineStr">
        <is>
          <t>Amount (Rs.)</t>
        </is>
      </c>
      <c r="G473" s="5" t="inlineStr">
        <is>
          <t>Note</t>
        </is>
      </c>
    </row>
    <row r="474">
      <c r="A474" s="22" t="inlineStr">
        <is>
          <t>4011</t>
        </is>
      </c>
      <c r="B474" s="11" t="inlineStr">
        <is>
          <t>Mild steel tubes electric resistant or induction butt welded</t>
        </is>
      </c>
      <c r="C474" s="22" t="inlineStr">
        <is>
          <t>kilogram</t>
        </is>
      </c>
      <c r="D474" s="23" t="n">
        <v>7.49</v>
      </c>
      <c r="E474" s="24" t="n">
        <v>47</v>
      </c>
      <c r="F474" s="24">
        <f>D474*E474</f>
        <v/>
      </c>
      <c r="G474" s="22" t="n"/>
    </row>
    <row r="475">
      <c r="A475" s="22" t="inlineStr">
        <is>
          <t>1002</t>
        </is>
      </c>
      <c r="B475" s="11" t="inlineStr">
        <is>
          <t>Mild steel round bar 12 mm dia and below</t>
        </is>
      </c>
      <c r="C475" s="22" t="inlineStr">
        <is>
          <t>quintal</t>
        </is>
      </c>
      <c r="D475" s="23" t="n">
        <v>0.006</v>
      </c>
      <c r="E475" s="24" t="n">
        <v>4500</v>
      </c>
      <c r="F475" s="24">
        <f>D475*E475</f>
        <v/>
      </c>
      <c r="G475" s="22" t="n"/>
    </row>
    <row r="476">
      <c r="A476" s="22" t="inlineStr">
        <is>
          <t>1008</t>
        </is>
      </c>
      <c r="B476" s="11" t="inlineStr">
        <is>
          <t>Flats upto 10 mm in thickness</t>
        </is>
      </c>
      <c r="C476" s="22" t="inlineStr">
        <is>
          <t>quintal</t>
        </is>
      </c>
      <c r="D476" s="23" t="n">
        <v>0.002</v>
      </c>
      <c r="E476" s="24" t="n">
        <v>4500</v>
      </c>
      <c r="F476" s="24">
        <f>D476*E476</f>
        <v/>
      </c>
      <c r="G476" s="22" t="n"/>
    </row>
    <row r="477">
      <c r="A477" s="7" t="inlineStr">
        <is>
          <t>4.2.5</t>
        </is>
      </c>
      <c r="B477" s="11" t="inlineStr">
        <is>
          <t>Rate as per item 4.2.5 - Providing and laying cement concrete in retaining walls, return walls, walls (any thickness) including atta...</t>
        </is>
      </c>
      <c r="C477" s="22" t="inlineStr">
        <is>
          <t>cum</t>
        </is>
      </c>
      <c r="D477" s="23" t="n">
        <v>0.008999999999999999</v>
      </c>
      <c r="E477" s="24" t="n">
        <v>8025</v>
      </c>
      <c r="F477" s="24">
        <f>D477*E477</f>
        <v/>
      </c>
      <c r="G477" s="22" t="n"/>
    </row>
    <row r="478">
      <c r="A478" s="22" t="inlineStr">
        <is>
          <t>0595</t>
        </is>
      </c>
      <c r="B478" s="11" t="inlineStr">
        <is>
          <t>Bright finished or black enamelled mild steel butt hinges 100x58x1.90 mm</t>
        </is>
      </c>
      <c r="C478" s="22" t="inlineStr">
        <is>
          <t>10 Nos</t>
        </is>
      </c>
      <c r="D478" s="23" t="n">
        <v>0.6</v>
      </c>
      <c r="E478" s="24" t="n">
        <v>80</v>
      </c>
      <c r="F478" s="24">
        <f>D478*E478</f>
        <v/>
      </c>
      <c r="G478" s="22" t="n"/>
    </row>
    <row r="479">
      <c r="A479" s="22" t="inlineStr">
        <is>
          <t>9999</t>
        </is>
      </c>
      <c r="B479" s="11" t="inlineStr">
        <is>
          <t>For screws and nuts and bolts</t>
        </is>
      </c>
      <c r="C479" s="22" t="inlineStr">
        <is>
          <t>L.S.</t>
        </is>
      </c>
      <c r="D479" s="23" t="n">
        <v>35.88</v>
      </c>
      <c r="E479" s="24" t="n">
        <v>2</v>
      </c>
      <c r="F479" s="24">
        <f>D479*E479</f>
        <v/>
      </c>
      <c r="G479" s="22" t="n"/>
    </row>
    <row r="480">
      <c r="A480" s="22" t="inlineStr">
        <is>
          <t>9999</t>
        </is>
      </c>
      <c r="B480" s="11" t="inlineStr">
        <is>
          <t>For applying steel primer</t>
        </is>
      </c>
      <c r="C480" s="22" t="inlineStr">
        <is>
          <t>L.S.</t>
        </is>
      </c>
      <c r="D480" s="23" t="n">
        <v>17.94</v>
      </c>
      <c r="E480" s="24" t="n">
        <v>2</v>
      </c>
      <c r="F480" s="24">
        <f>D480*E480</f>
        <v/>
      </c>
      <c r="G480" s="22" t="n"/>
    </row>
    <row r="481">
      <c r="A481" s="22" t="inlineStr">
        <is>
          <t>9977</t>
        </is>
      </c>
      <c r="B481" s="11" t="inlineStr">
        <is>
          <t>Carriage of material</t>
        </is>
      </c>
      <c r="C481" s="22" t="inlineStr">
        <is>
          <t>L.S.</t>
        </is>
      </c>
      <c r="D481" s="23" t="n">
        <v>5.33</v>
      </c>
      <c r="E481" s="24" t="n">
        <v>2</v>
      </c>
      <c r="F481" s="24">
        <f>D481*E481</f>
        <v/>
      </c>
      <c r="G481" s="22" t="n"/>
    </row>
    <row r="482">
      <c r="A482" s="22" t="inlineStr">
        <is>
          <t>0103</t>
        </is>
      </c>
      <c r="B482" s="11" t="inlineStr">
        <is>
          <t>Blacksmith 2nd class</t>
        </is>
      </c>
      <c r="C482" s="22" t="inlineStr">
        <is>
          <t>day</t>
        </is>
      </c>
      <c r="D482" s="23" t="n">
        <v>0.04</v>
      </c>
      <c r="E482" s="24" t="n">
        <v>679</v>
      </c>
      <c r="F482" s="24">
        <f>D482*E482</f>
        <v/>
      </c>
      <c r="G482" s="22" t="n"/>
    </row>
    <row r="483">
      <c r="A483" s="22" t="inlineStr">
        <is>
          <t>0116</t>
        </is>
      </c>
      <c r="B483" s="11" t="inlineStr">
        <is>
          <t>Fitter (grade 1)</t>
        </is>
      </c>
      <c r="C483" s="22" t="inlineStr">
        <is>
          <t>day</t>
        </is>
      </c>
      <c r="D483" s="23" t="n">
        <v>0.06</v>
      </c>
      <c r="E483" s="24" t="n">
        <v>738</v>
      </c>
      <c r="F483" s="24">
        <f>D483*E483</f>
        <v/>
      </c>
      <c r="G483" s="22" t="n"/>
    </row>
    <row r="484">
      <c r="A484" s="22" t="inlineStr">
        <is>
          <t>0114</t>
        </is>
      </c>
      <c r="B484" s="11" t="inlineStr">
        <is>
          <t>Beldar</t>
        </is>
      </c>
      <c r="C484" s="22" t="inlineStr">
        <is>
          <t>day</t>
        </is>
      </c>
      <c r="D484" s="23" t="n">
        <v>0.08</v>
      </c>
      <c r="E484" s="24" t="n">
        <v>558</v>
      </c>
      <c r="F484" s="24">
        <f>D484*E484</f>
        <v/>
      </c>
      <c r="G484" s="22" t="n"/>
    </row>
    <row r="485">
      <c r="A485" s="22" t="inlineStr">
        <is>
          <t>9999</t>
        </is>
      </c>
      <c r="B485" s="11" t="inlineStr">
        <is>
          <t>Sundries</t>
        </is>
      </c>
      <c r="C485" s="22" t="inlineStr">
        <is>
          <t>L.S.</t>
        </is>
      </c>
      <c r="D485" s="23" t="n">
        <v>3.64</v>
      </c>
      <c r="E485" s="24" t="n">
        <v>2</v>
      </c>
      <c r="F485" s="24">
        <f>D485*E485</f>
        <v/>
      </c>
      <c r="G485" s="22" t="n"/>
    </row>
    <row r="486">
      <c r="A486" s="8" t="inlineStr">
        <is>
          <t>Calculated W - SUM of the Amount column above</t>
        </is>
      </c>
      <c r="B486" s="9" t="n"/>
      <c r="C486" s="9" t="n"/>
      <c r="D486" s="9" t="n"/>
      <c r="E486" s="9" t="n"/>
      <c r="F486" s="25">
        <f>SUM(F474:F485)</f>
        <v/>
      </c>
      <c r="G486" s="9" t="n"/>
    </row>
    <row r="487">
      <c r="A487" s="26" t="inlineStr">
        <is>
          <t>W as printed in the DAR</t>
        </is>
      </c>
      <c r="B487" s="22" t="n"/>
      <c r="C487" s="22" t="n"/>
      <c r="D487" s="22" t="n"/>
      <c r="E487" s="22" t="n"/>
      <c r="F487" s="27" t="n">
        <v>749.92</v>
      </c>
      <c r="G487" s="22" t="n"/>
    </row>
    <row r="488">
      <c r="A488" s="26" t="inlineStr">
        <is>
          <t>Difference (calculated - printed)</t>
        </is>
      </c>
      <c r="B488" s="22" t="n"/>
      <c r="C488" s="22" t="n"/>
      <c r="D488" s="22" t="n"/>
      <c r="E488" s="22" t="n"/>
      <c r="F488" s="27">
        <f>F486-F487</f>
        <v/>
      </c>
      <c r="G488" s="22" t="n"/>
    </row>
    <row r="489">
      <c r="A489" s="29" t="inlineStr">
        <is>
          <t>SAY (Rs.) - final DAR rate as printed (fixed value, not computed)</t>
        </is>
      </c>
      <c r="B489" s="30" t="n"/>
      <c r="C489" s="30" t="n"/>
      <c r="D489" s="30" t="n"/>
      <c r="E489" s="30" t="n"/>
      <c r="F489" s="31" t="n">
        <v>137.3</v>
      </c>
      <c r="G489" s="30" t="n"/>
    </row>
    <row r="491" ht="47.5" customHeight="1">
      <c r="A491" s="8" t="inlineStr">
        <is>
          <t>10.15</t>
        </is>
      </c>
      <c r="B491" s="17"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is>
      </c>
      <c r="C491" s="9" t="n"/>
      <c r="D491" s="9" t="n"/>
      <c r="E491" s="9" t="n"/>
      <c r="F491" s="9" t="n"/>
      <c r="G491" s="9" t="n"/>
    </row>
    <row r="492" ht="18.5" customHeight="1">
      <c r="A492" s="18" t="inlineStr">
        <is>
          <t>10.15.2</t>
        </is>
      </c>
      <c r="B492" s="19" t="inlineStr">
        <is>
          <t>Fixing with carbon steel galvanised dash fastener of required dia and size (to be paid for separately)</t>
        </is>
      </c>
      <c r="C492" s="20" t="n"/>
      <c r="D492" s="20" t="n"/>
      <c r="E492" s="20" t="n"/>
      <c r="F492" s="20" t="n"/>
      <c r="G492" s="20" t="n"/>
    </row>
    <row r="493">
      <c r="A493" s="21" t="inlineStr">
        <is>
          <t>Details of cost for 7.13 kg   |   Source: CivilDAR_2019_Vol_1.pdf, page 699</t>
        </is>
      </c>
    </row>
    <row r="494">
      <c r="A494" s="5" t="inlineStr">
        <is>
          <t>Code</t>
        </is>
      </c>
      <c r="B494" s="5" t="inlineStr">
        <is>
          <t>Description</t>
        </is>
      </c>
      <c r="C494" s="5" t="inlineStr">
        <is>
          <t>Unit</t>
        </is>
      </c>
      <c r="D494" s="5" t="inlineStr">
        <is>
          <t>Quantity</t>
        </is>
      </c>
      <c r="E494" s="5" t="inlineStr">
        <is>
          <t>Rate (Rs.)</t>
        </is>
      </c>
      <c r="F494" s="5" t="inlineStr">
        <is>
          <t>Amount (Rs.)</t>
        </is>
      </c>
      <c r="G494" s="5" t="inlineStr">
        <is>
          <t>Note</t>
        </is>
      </c>
    </row>
    <row r="495">
      <c r="A495" s="22" t="inlineStr">
        <is>
          <t>4011</t>
        </is>
      </c>
      <c r="B495" s="11" t="inlineStr">
        <is>
          <t>Mild steel tubes electric resistant or induction butt welded</t>
        </is>
      </c>
      <c r="C495" s="22" t="inlineStr">
        <is>
          <t>kilogram</t>
        </is>
      </c>
      <c r="D495" s="23" t="n">
        <v>7.49</v>
      </c>
      <c r="E495" s="24" t="n">
        <v>47</v>
      </c>
      <c r="F495" s="24">
        <f>D495*E495</f>
        <v/>
      </c>
      <c r="G495" s="22" t="n"/>
    </row>
    <row r="496">
      <c r="A496" s="22" t="inlineStr">
        <is>
          <t>1002</t>
        </is>
      </c>
      <c r="B496" s="11" t="inlineStr">
        <is>
          <t>Mild steel round bar 12 mm dia and below</t>
        </is>
      </c>
      <c r="C496" s="22" t="inlineStr">
        <is>
          <t>quintal</t>
        </is>
      </c>
      <c r="D496" s="23" t="n">
        <v>0.006</v>
      </c>
      <c r="E496" s="24" t="n">
        <v>4500</v>
      </c>
      <c r="F496" s="24">
        <f>D496*E496</f>
        <v/>
      </c>
      <c r="G496" s="22" t="n"/>
    </row>
    <row r="497">
      <c r="A497" s="22" t="inlineStr">
        <is>
          <t>0595</t>
        </is>
      </c>
      <c r="B497" s="11" t="inlineStr">
        <is>
          <t>Bright finished or black enamelled mild steel butt hinges 100x58x1.90 mm</t>
        </is>
      </c>
      <c r="C497" s="22" t="inlineStr">
        <is>
          <t>10 Nos</t>
        </is>
      </c>
      <c r="D497" s="23" t="n">
        <v>0.6</v>
      </c>
      <c r="E497" s="24" t="n">
        <v>80</v>
      </c>
      <c r="F497" s="24">
        <f>D497*E497</f>
        <v/>
      </c>
      <c r="G497" s="22" t="n"/>
    </row>
    <row r="498">
      <c r="A498" s="22" t="inlineStr">
        <is>
          <t>9999</t>
        </is>
      </c>
      <c r="B498" s="11" t="inlineStr">
        <is>
          <t>For screws and nuts and bolts</t>
        </is>
      </c>
      <c r="C498" s="22" t="inlineStr">
        <is>
          <t>L.S.</t>
        </is>
      </c>
      <c r="D498" s="23" t="n">
        <v>35.88</v>
      </c>
      <c r="E498" s="24" t="n">
        <v>2</v>
      </c>
      <c r="F498" s="24">
        <f>D498*E498</f>
        <v/>
      </c>
      <c r="G498" s="22" t="n"/>
    </row>
    <row r="499">
      <c r="A499" s="22" t="inlineStr">
        <is>
          <t>9999</t>
        </is>
      </c>
      <c r="B499" s="11" t="inlineStr">
        <is>
          <t>For applying steel primer</t>
        </is>
      </c>
      <c r="C499" s="22" t="inlineStr">
        <is>
          <t>L.S.</t>
        </is>
      </c>
      <c r="D499" s="23" t="n">
        <v>17.94</v>
      </c>
      <c r="E499" s="24" t="n">
        <v>2</v>
      </c>
      <c r="F499" s="24">
        <f>D499*E499</f>
        <v/>
      </c>
      <c r="G499" s="22" t="n"/>
    </row>
    <row r="500">
      <c r="A500" s="22" t="inlineStr">
        <is>
          <t>9977</t>
        </is>
      </c>
      <c r="B500" s="11" t="inlineStr">
        <is>
          <t>Carriage of material</t>
        </is>
      </c>
      <c r="C500" s="22" t="inlineStr">
        <is>
          <t>L.S.</t>
        </is>
      </c>
      <c r="D500" s="23" t="n">
        <v>5.33</v>
      </c>
      <c r="E500" s="24" t="n">
        <v>2</v>
      </c>
      <c r="F500" s="24">
        <f>D500*E500</f>
        <v/>
      </c>
      <c r="G500" s="22" t="n"/>
    </row>
    <row r="501">
      <c r="A501" s="22" t="inlineStr">
        <is>
          <t>0103</t>
        </is>
      </c>
      <c r="B501" s="11" t="inlineStr">
        <is>
          <t>Blacksmith 2nd class</t>
        </is>
      </c>
      <c r="C501" s="22" t="inlineStr">
        <is>
          <t>day</t>
        </is>
      </c>
      <c r="D501" s="23" t="n">
        <v>0.04</v>
      </c>
      <c r="E501" s="24" t="n">
        <v>679</v>
      </c>
      <c r="F501" s="24">
        <f>D501*E501</f>
        <v/>
      </c>
      <c r="G501" s="22" t="n"/>
    </row>
    <row r="502">
      <c r="A502" s="22" t="inlineStr">
        <is>
          <t>0116</t>
        </is>
      </c>
      <c r="B502" s="11" t="inlineStr">
        <is>
          <t>Fitter (grade 1)</t>
        </is>
      </c>
      <c r="C502" s="22" t="inlineStr">
        <is>
          <t>day</t>
        </is>
      </c>
      <c r="D502" s="23" t="n">
        <v>0.06</v>
      </c>
      <c r="E502" s="24" t="n">
        <v>738</v>
      </c>
      <c r="F502" s="24">
        <f>D502*E502</f>
        <v/>
      </c>
      <c r="G502" s="22" t="n"/>
    </row>
    <row r="503">
      <c r="A503" s="22" t="inlineStr">
        <is>
          <t>0114</t>
        </is>
      </c>
      <c r="B503" s="11" t="inlineStr">
        <is>
          <t>Beldar</t>
        </is>
      </c>
      <c r="C503" s="22" t="inlineStr">
        <is>
          <t>day</t>
        </is>
      </c>
      <c r="D503" s="23" t="n">
        <v>0.08</v>
      </c>
      <c r="E503" s="24" t="n">
        <v>558</v>
      </c>
      <c r="F503" s="24">
        <f>D503*E503</f>
        <v/>
      </c>
      <c r="G503" s="22" t="n"/>
    </row>
    <row r="504">
      <c r="A504" s="22" t="inlineStr">
        <is>
          <t>9999</t>
        </is>
      </c>
      <c r="B504" s="11" t="inlineStr">
        <is>
          <t>Sundries</t>
        </is>
      </c>
      <c r="C504" s="22" t="inlineStr">
        <is>
          <t>L.S.</t>
        </is>
      </c>
      <c r="D504" s="23" t="n">
        <v>3.64</v>
      </c>
      <c r="E504" s="24" t="n">
        <v>2</v>
      </c>
      <c r="F504" s="24">
        <f>D504*E504</f>
        <v/>
      </c>
      <c r="G504" s="22" t="n"/>
    </row>
    <row r="505">
      <c r="A505" s="8" t="inlineStr">
        <is>
          <t>Calculated W - SUM of the Amount column above</t>
        </is>
      </c>
      <c r="B505" s="9" t="n"/>
      <c r="C505" s="9" t="n"/>
      <c r="D505" s="9" t="n"/>
      <c r="E505" s="9" t="n"/>
      <c r="F505" s="25">
        <f>SUM(F495:F504)</f>
        <v/>
      </c>
      <c r="G505" s="9" t="n"/>
    </row>
    <row r="506">
      <c r="A506" s="26" t="inlineStr">
        <is>
          <t>W as printed in the DAR</t>
        </is>
      </c>
      <c r="B506" s="22" t="n"/>
      <c r="C506" s="22" t="n"/>
      <c r="D506" s="22" t="n"/>
      <c r="E506" s="22" t="n"/>
      <c r="F506" s="27" t="n">
        <v>668.6900000000001</v>
      </c>
      <c r="G506" s="22" t="n"/>
    </row>
    <row r="507">
      <c r="A507" s="26" t="inlineStr">
        <is>
          <t>Difference (calculated - printed)</t>
        </is>
      </c>
      <c r="B507" s="22" t="n"/>
      <c r="C507" s="22" t="n"/>
      <c r="D507" s="22" t="n"/>
      <c r="E507" s="22" t="n"/>
      <c r="F507" s="27">
        <f>F505-F506</f>
        <v/>
      </c>
      <c r="G507" s="22" t="n"/>
    </row>
    <row r="508">
      <c r="A508" s="29" t="inlineStr">
        <is>
          <t>SAY (Rs.) - final DAR rate as printed (fixed value, not computed)</t>
        </is>
      </c>
      <c r="B508" s="30" t="n"/>
      <c r="C508" s="30" t="n"/>
      <c r="D508" s="30" t="n"/>
      <c r="E508" s="30" t="n"/>
      <c r="F508" s="31" t="n">
        <v>125.5</v>
      </c>
      <c r="G508" s="30" t="n"/>
    </row>
    <row r="510" ht="47.5" customHeight="1">
      <c r="A510" s="8" t="inlineStr">
        <is>
          <t>10.16</t>
        </is>
      </c>
      <c r="B510" s="17" t="inlineStr">
        <is>
          <t>Steel work in built up tubular (round, square or rectangular hollow tubes etc.) trusses etc., including cutting, hoisting, fixing in position and applying a priming coat of approved steel primer, including welding and bolted with special shaped washers etc. complete.</t>
        </is>
      </c>
      <c r="C510" s="9" t="n"/>
      <c r="D510" s="9" t="n"/>
      <c r="E510" s="9" t="n"/>
      <c r="F510" s="9" t="n"/>
      <c r="G510" s="9" t="n"/>
    </row>
    <row r="511" ht="18.5" customHeight="1">
      <c r="A511" s="18" t="inlineStr">
        <is>
          <t>10.16.1</t>
        </is>
      </c>
      <c r="B511" s="19" t="inlineStr">
        <is>
          <t>Hot finished welded type tubes</t>
        </is>
      </c>
      <c r="C511" s="20" t="n"/>
      <c r="D511" s="20" t="n"/>
      <c r="E511" s="20" t="n"/>
      <c r="F511" s="20" t="n"/>
      <c r="G511" s="20" t="n"/>
    </row>
    <row r="512">
      <c r="A512" s="21" t="inlineStr">
        <is>
          <t>Details of cost for 119 kg   |   Source: CivilDAR_2019_Vol_1.pdf, page 700</t>
        </is>
      </c>
    </row>
    <row r="513">
      <c r="A513" s="5" t="inlineStr">
        <is>
          <t>Code</t>
        </is>
      </c>
      <c r="B513" s="5" t="inlineStr">
        <is>
          <t>Description</t>
        </is>
      </c>
      <c r="C513" s="5" t="inlineStr">
        <is>
          <t>Unit</t>
        </is>
      </c>
      <c r="D513" s="5" t="inlineStr">
        <is>
          <t>Quantity</t>
        </is>
      </c>
      <c r="E513" s="5" t="inlineStr">
        <is>
          <t>Rate (Rs.)</t>
        </is>
      </c>
      <c r="F513" s="5" t="inlineStr">
        <is>
          <t>Amount (Rs.)</t>
        </is>
      </c>
      <c r="G513" s="5" t="inlineStr">
        <is>
          <t>Note</t>
        </is>
      </c>
    </row>
    <row r="514">
      <c r="A514" s="22" t="inlineStr">
        <is>
          <t>4009</t>
        </is>
      </c>
      <c r="B514" s="11" t="inlineStr">
        <is>
          <t>Mild steel tubes hot finished welded type</t>
        </is>
      </c>
      <c r="C514" s="22" t="inlineStr">
        <is>
          <t>kilogram</t>
        </is>
      </c>
      <c r="D514" s="23" t="n">
        <v>125</v>
      </c>
      <c r="E514" s="24" t="n">
        <v>57</v>
      </c>
      <c r="F514" s="24">
        <f>D514*E514</f>
        <v/>
      </c>
      <c r="G514" s="22" t="n"/>
    </row>
    <row r="515">
      <c r="A515" s="22" t="inlineStr">
        <is>
          <t>2205</t>
        </is>
      </c>
      <c r="B515" s="11" t="inlineStr">
        <is>
          <t>Carriage of Steel</t>
        </is>
      </c>
      <c r="C515" s="22" t="inlineStr">
        <is>
          <t>tonne</t>
        </is>
      </c>
      <c r="D515" s="23" t="n">
        <v>0.125</v>
      </c>
      <c r="E515" s="24" t="n">
        <v>92.23999999999999</v>
      </c>
      <c r="F515" s="24">
        <f>D515*E515</f>
        <v/>
      </c>
      <c r="G515" s="22" t="n"/>
    </row>
    <row r="516">
      <c r="A516" s="22" t="inlineStr">
        <is>
          <t>13.50.3</t>
        </is>
      </c>
      <c r="B516" s="11" t="inlineStr">
        <is>
          <t>Rate as per item 13.50.3 - Applying priming coat - With ready mixed red oxide zinc chromate primer of approved brand and manufacture o...</t>
        </is>
      </c>
      <c r="C516" s="22" t="inlineStr">
        <is>
          <t>sqm</t>
        </is>
      </c>
      <c r="D516" s="23" t="n">
        <v>2.8</v>
      </c>
      <c r="E516" s="24" t="n">
        <v>50.7</v>
      </c>
      <c r="F516" s="24">
        <f>D516*E516</f>
        <v/>
      </c>
      <c r="G516" s="22" t="n"/>
    </row>
    <row r="517">
      <c r="A517" s="22" t="inlineStr">
        <is>
          <t>1215</t>
        </is>
      </c>
      <c r="B517" s="11" t="inlineStr">
        <is>
          <t>Welding by electric plant</t>
        </is>
      </c>
      <c r="C517" s="22" t="inlineStr">
        <is>
          <t>cm</t>
        </is>
      </c>
      <c r="D517" s="23" t="n">
        <v>357</v>
      </c>
      <c r="E517" s="24" t="n">
        <v>2</v>
      </c>
      <c r="F517" s="24">
        <f>D517*E517</f>
        <v/>
      </c>
      <c r="G517" s="22" t="n"/>
    </row>
    <row r="518">
      <c r="A518" s="22" t="inlineStr">
        <is>
          <t>0102</t>
        </is>
      </c>
      <c r="B518" s="11" t="inlineStr">
        <is>
          <t>Blacksmith 1st class</t>
        </is>
      </c>
      <c r="C518" s="22" t="inlineStr">
        <is>
          <t>day</t>
        </is>
      </c>
      <c r="D518" s="23" t="n">
        <v>1.5</v>
      </c>
      <c r="E518" s="24" t="n">
        <v>738</v>
      </c>
      <c r="F518" s="24">
        <f>D518*E518</f>
        <v/>
      </c>
      <c r="G518" s="22" t="n"/>
    </row>
    <row r="519">
      <c r="A519" s="22" t="inlineStr">
        <is>
          <t>0100</t>
        </is>
      </c>
      <c r="B519" s="11" t="inlineStr">
        <is>
          <t>Bandhani</t>
        </is>
      </c>
      <c r="C519" s="22" t="inlineStr">
        <is>
          <t>day</t>
        </is>
      </c>
      <c r="D519" s="23" t="n">
        <v>0.75</v>
      </c>
      <c r="E519" s="24" t="n">
        <v>617</v>
      </c>
      <c r="F519" s="24">
        <f>D519*E519</f>
        <v/>
      </c>
      <c r="G519" s="22" t="n"/>
    </row>
    <row r="520">
      <c r="A520" s="22" t="inlineStr">
        <is>
          <t>0114</t>
        </is>
      </c>
      <c r="B520" s="11" t="inlineStr">
        <is>
          <t>Beldar</t>
        </is>
      </c>
      <c r="C520" s="22" t="inlineStr">
        <is>
          <t>day</t>
        </is>
      </c>
      <c r="D520" s="23" t="n">
        <v>5.5</v>
      </c>
      <c r="E520" s="24" t="n">
        <v>558</v>
      </c>
      <c r="F520" s="24">
        <f>D520*E520</f>
        <v/>
      </c>
      <c r="G520" s="22" t="n"/>
    </row>
    <row r="521">
      <c r="A521" s="22" t="inlineStr">
        <is>
          <t>9999</t>
        </is>
      </c>
      <c r="B521" s="11" t="inlineStr">
        <is>
          <t>Sundries</t>
        </is>
      </c>
      <c r="C521" s="22" t="inlineStr">
        <is>
          <t>L.S.</t>
        </is>
      </c>
      <c r="D521" s="23" t="n">
        <v>80.73</v>
      </c>
      <c r="E521" s="24" t="n">
        <v>2</v>
      </c>
      <c r="F521" s="24">
        <f>D521*E521</f>
        <v/>
      </c>
      <c r="G521" s="22" t="n"/>
    </row>
    <row r="522">
      <c r="A522" s="8" t="inlineStr">
        <is>
          <t>Calculated W - SUM of the Amount column above</t>
        </is>
      </c>
      <c r="B522" s="9" t="n"/>
      <c r="C522" s="9" t="n"/>
      <c r="D522" s="9" t="n"/>
      <c r="E522" s="9" t="n"/>
      <c r="F522" s="25">
        <f>SUM(F514:F521)</f>
        <v/>
      </c>
      <c r="G522" s="9" t="n"/>
    </row>
    <row r="523">
      <c r="A523" s="26" t="inlineStr">
        <is>
          <t>W as printed in the DAR</t>
        </is>
      </c>
      <c r="B523" s="22" t="n"/>
      <c r="C523" s="22" t="n"/>
      <c r="D523" s="22" t="n"/>
      <c r="E523" s="22" t="n"/>
      <c r="F523" s="27" t="n">
        <v>12792.7</v>
      </c>
      <c r="G523" s="22" t="n"/>
    </row>
    <row r="524">
      <c r="A524" s="26" t="inlineStr">
        <is>
          <t>Difference (calculated - printed)</t>
        </is>
      </c>
      <c r="B524" s="22" t="n"/>
      <c r="C524" s="22" t="n"/>
      <c r="D524" s="22" t="n"/>
      <c r="E524" s="22" t="n"/>
      <c r="F524" s="27">
        <f>F522-F523</f>
        <v/>
      </c>
      <c r="G524" s="22" t="n"/>
    </row>
    <row r="525">
      <c r="A525" s="29" t="inlineStr">
        <is>
          <t>SAY (Rs.) - final DAR rate as printed (fixed value, not computed)</t>
        </is>
      </c>
      <c r="B525" s="30" t="n"/>
      <c r="C525" s="30" t="n"/>
      <c r="D525" s="30" t="n"/>
      <c r="E525" s="30" t="n"/>
      <c r="F525" s="31" t="n">
        <v>143.45</v>
      </c>
      <c r="G525" s="30" t="n"/>
    </row>
    <row r="527" ht="47.5" customHeight="1">
      <c r="A527" s="8" t="inlineStr">
        <is>
          <t>10.16</t>
        </is>
      </c>
      <c r="B527" s="17" t="inlineStr">
        <is>
          <t>Steel work in built up tubular (round, square or rectangular hollow tubes etc.) trusses etc., including cutting, hoisting, fixing in position and applying a priming coat of approved steel primer, including welding and bolted with special shaped washers etc. complete.</t>
        </is>
      </c>
      <c r="C527" s="9" t="n"/>
      <c r="D527" s="9" t="n"/>
      <c r="E527" s="9" t="n"/>
      <c r="F527" s="9" t="n"/>
      <c r="G527" s="9" t="n"/>
    </row>
    <row r="528" ht="18.5" customHeight="1">
      <c r="A528" s="18" t="inlineStr">
        <is>
          <t>10.16.2</t>
        </is>
      </c>
      <c r="B528" s="19" t="inlineStr">
        <is>
          <t>Hot finished seamless type tubes</t>
        </is>
      </c>
      <c r="C528" s="20" t="n"/>
      <c r="D528" s="20" t="n"/>
      <c r="E528" s="20" t="n"/>
      <c r="F528" s="20" t="n"/>
      <c r="G528" s="20" t="n"/>
    </row>
    <row r="529">
      <c r="A529" s="21" t="inlineStr">
        <is>
          <t>Details of cost for 119 kg   |   Source: CivilDAR_2019_Vol_1.pdf, page 701</t>
        </is>
      </c>
    </row>
    <row r="530">
      <c r="A530" s="5" t="inlineStr">
        <is>
          <t>Code</t>
        </is>
      </c>
      <c r="B530" s="5" t="inlineStr">
        <is>
          <t>Description</t>
        </is>
      </c>
      <c r="C530" s="5" t="inlineStr">
        <is>
          <t>Unit</t>
        </is>
      </c>
      <c r="D530" s="5" t="inlineStr">
        <is>
          <t>Quantity</t>
        </is>
      </c>
      <c r="E530" s="5" t="inlineStr">
        <is>
          <t>Rate (Rs.)</t>
        </is>
      </c>
      <c r="F530" s="5" t="inlineStr">
        <is>
          <t>Amount (Rs.)</t>
        </is>
      </c>
      <c r="G530" s="5" t="inlineStr">
        <is>
          <t>Note</t>
        </is>
      </c>
    </row>
    <row r="531">
      <c r="A531" s="22" t="inlineStr">
        <is>
          <t>4010</t>
        </is>
      </c>
      <c r="B531" s="11" t="inlineStr">
        <is>
          <t>Mild steel tubes hot finished seamless type</t>
        </is>
      </c>
      <c r="C531" s="22" t="inlineStr">
        <is>
          <t>kilogram</t>
        </is>
      </c>
      <c r="D531" s="23" t="n">
        <v>125</v>
      </c>
      <c r="E531" s="24" t="n">
        <v>67</v>
      </c>
      <c r="F531" s="24">
        <f>D531*E531</f>
        <v/>
      </c>
      <c r="G531" s="22" t="n"/>
    </row>
    <row r="532">
      <c r="A532" s="22" t="inlineStr">
        <is>
          <t>2205</t>
        </is>
      </c>
      <c r="B532" s="11" t="inlineStr">
        <is>
          <t>Carriage of Steel</t>
        </is>
      </c>
      <c r="C532" s="22" t="inlineStr">
        <is>
          <t>tonne</t>
        </is>
      </c>
      <c r="D532" s="23" t="n">
        <v>0.125</v>
      </c>
      <c r="E532" s="24" t="n">
        <v>92.23999999999999</v>
      </c>
      <c r="F532" s="24">
        <f>D532*E532</f>
        <v/>
      </c>
      <c r="G532" s="22" t="n"/>
    </row>
    <row r="533">
      <c r="A533" s="22" t="inlineStr">
        <is>
          <t>13.50.3</t>
        </is>
      </c>
      <c r="B533" s="11" t="inlineStr">
        <is>
          <t>Rate as per item 13.50.3 - Applying priming coat - With ready mixed red oxide zinc chromate primer of approved brand and manufacture o...</t>
        </is>
      </c>
      <c r="C533" s="22" t="inlineStr">
        <is>
          <t>sqm</t>
        </is>
      </c>
      <c r="D533" s="23" t="n">
        <v>2.8</v>
      </c>
      <c r="E533" s="24" t="n">
        <v>50.7</v>
      </c>
      <c r="F533" s="24">
        <f>D533*E533</f>
        <v/>
      </c>
      <c r="G533" s="22" t="n"/>
    </row>
    <row r="534">
      <c r="A534" s="22" t="inlineStr">
        <is>
          <t>1215</t>
        </is>
      </c>
      <c r="B534" s="11" t="inlineStr">
        <is>
          <t>Welding by electric plant</t>
        </is>
      </c>
      <c r="C534" s="22" t="inlineStr">
        <is>
          <t>cm</t>
        </is>
      </c>
      <c r="D534" s="23" t="n">
        <v>357</v>
      </c>
      <c r="E534" s="24" t="n">
        <v>2</v>
      </c>
      <c r="F534" s="24">
        <f>D534*E534</f>
        <v/>
      </c>
      <c r="G534" s="22" t="n"/>
    </row>
    <row r="535">
      <c r="A535" s="22" t="inlineStr">
        <is>
          <t>0102</t>
        </is>
      </c>
      <c r="B535" s="11" t="inlineStr">
        <is>
          <t>Blacksmith 1st class</t>
        </is>
      </c>
      <c r="C535" s="22" t="inlineStr">
        <is>
          <t>day</t>
        </is>
      </c>
      <c r="D535" s="23" t="n">
        <v>1.5</v>
      </c>
      <c r="E535" s="24" t="n">
        <v>738</v>
      </c>
      <c r="F535" s="24">
        <f>D535*E535</f>
        <v/>
      </c>
      <c r="G535" s="22" t="n"/>
    </row>
    <row r="536">
      <c r="A536" s="22" t="inlineStr">
        <is>
          <t>0100</t>
        </is>
      </c>
      <c r="B536" s="11" t="inlineStr">
        <is>
          <t>Bandhani</t>
        </is>
      </c>
      <c r="C536" s="22" t="inlineStr">
        <is>
          <t>day</t>
        </is>
      </c>
      <c r="D536" s="23" t="n">
        <v>0.75</v>
      </c>
      <c r="E536" s="24" t="n">
        <v>617</v>
      </c>
      <c r="F536" s="24">
        <f>D536*E536</f>
        <v/>
      </c>
      <c r="G536" s="22" t="n"/>
    </row>
    <row r="537">
      <c r="A537" s="22" t="inlineStr">
        <is>
          <t>0114</t>
        </is>
      </c>
      <c r="B537" s="11" t="inlineStr">
        <is>
          <t>Beldar</t>
        </is>
      </c>
      <c r="C537" s="22" t="inlineStr">
        <is>
          <t>day</t>
        </is>
      </c>
      <c r="D537" s="23" t="n">
        <v>5.5</v>
      </c>
      <c r="E537" s="24" t="n">
        <v>558</v>
      </c>
      <c r="F537" s="24">
        <f>D537*E537</f>
        <v/>
      </c>
      <c r="G537" s="22" t="n"/>
    </row>
    <row r="538">
      <c r="A538" s="22" t="inlineStr">
        <is>
          <t>9999</t>
        </is>
      </c>
      <c r="B538" s="11" t="inlineStr">
        <is>
          <t>Sundries</t>
        </is>
      </c>
      <c r="C538" s="22" t="inlineStr">
        <is>
          <t>L.S.</t>
        </is>
      </c>
      <c r="D538" s="23" t="n">
        <v>80.73</v>
      </c>
      <c r="E538" s="24" t="n">
        <v>2</v>
      </c>
      <c r="F538" s="24">
        <f>D538*E538</f>
        <v/>
      </c>
      <c r="G538" s="22" t="n"/>
    </row>
    <row r="539">
      <c r="A539" s="8" t="inlineStr">
        <is>
          <t>Calculated W - SUM of the Amount column above</t>
        </is>
      </c>
      <c r="B539" s="9" t="n"/>
      <c r="C539" s="9" t="n"/>
      <c r="D539" s="9" t="n"/>
      <c r="E539" s="9" t="n"/>
      <c r="F539" s="25">
        <f>SUM(F531:F538)</f>
        <v/>
      </c>
      <c r="G539" s="9" t="n"/>
    </row>
    <row r="540">
      <c r="A540" s="26" t="inlineStr">
        <is>
          <t>W as printed in the DAR</t>
        </is>
      </c>
      <c r="B540" s="22" t="n"/>
      <c r="C540" s="22" t="n"/>
      <c r="D540" s="22" t="n"/>
      <c r="E540" s="22" t="n"/>
      <c r="F540" s="27" t="n">
        <v>14042.7</v>
      </c>
      <c r="G540" s="22" t="n"/>
    </row>
    <row r="541">
      <c r="A541" s="26" t="inlineStr">
        <is>
          <t>Difference (calculated - printed)</t>
        </is>
      </c>
      <c r="B541" s="22" t="n"/>
      <c r="C541" s="22" t="n"/>
      <c r="D541" s="22" t="n"/>
      <c r="E541" s="22" t="n"/>
      <c r="F541" s="27">
        <f>F539-F540</f>
        <v/>
      </c>
      <c r="G541" s="22" t="n"/>
    </row>
    <row r="542">
      <c r="A542" s="29" t="inlineStr">
        <is>
          <t>SAY (Rs.) - final DAR rate as printed (fixed value, not computed)</t>
        </is>
      </c>
      <c r="B542" s="30" t="n"/>
      <c r="C542" s="30" t="n"/>
      <c r="D542" s="30" t="n"/>
      <c r="E542" s="30" t="n"/>
      <c r="F542" s="31" t="n">
        <v>157.5</v>
      </c>
      <c r="G542" s="30" t="n"/>
    </row>
    <row r="544" ht="47.5" customHeight="1">
      <c r="A544" s="8" t="inlineStr">
        <is>
          <t>10.16</t>
        </is>
      </c>
      <c r="B544" s="17" t="inlineStr">
        <is>
          <t>Steel work in built up tubular (round, square or rectangular hollow tubes etc.) trusses etc., including cutting, hoisting, fixing in position and applying a priming coat of approved steel primer, including welding and bolted with special shaped washers etc. complete.</t>
        </is>
      </c>
      <c r="C544" s="9" t="n"/>
      <c r="D544" s="9" t="n"/>
      <c r="E544" s="9" t="n"/>
      <c r="F544" s="9" t="n"/>
      <c r="G544" s="9" t="n"/>
    </row>
    <row r="545" ht="18.5" customHeight="1">
      <c r="A545" s="18" t="inlineStr">
        <is>
          <t>10.16.3</t>
        </is>
      </c>
      <c r="B545" s="19" t="inlineStr">
        <is>
          <t>Electric resistance or induction butt welded tubes</t>
        </is>
      </c>
      <c r="C545" s="20" t="n"/>
      <c r="D545" s="20" t="n"/>
      <c r="E545" s="20" t="n"/>
      <c r="F545" s="20" t="n"/>
      <c r="G545" s="20" t="n"/>
    </row>
    <row r="546">
      <c r="A546" s="21" t="inlineStr">
        <is>
          <t>Details of cost for 119 kg   |   Source: CivilDAR_2019_Vol_1.pdf, page 702</t>
        </is>
      </c>
    </row>
    <row r="547">
      <c r="A547" s="5" t="inlineStr">
        <is>
          <t>Code</t>
        </is>
      </c>
      <c r="B547" s="5" t="inlineStr">
        <is>
          <t>Description</t>
        </is>
      </c>
      <c r="C547" s="5" t="inlineStr">
        <is>
          <t>Unit</t>
        </is>
      </c>
      <c r="D547" s="5" t="inlineStr">
        <is>
          <t>Quantity</t>
        </is>
      </c>
      <c r="E547" s="5" t="inlineStr">
        <is>
          <t>Rate (Rs.)</t>
        </is>
      </c>
      <c r="F547" s="5" t="inlineStr">
        <is>
          <t>Amount (Rs.)</t>
        </is>
      </c>
      <c r="G547" s="5" t="inlineStr">
        <is>
          <t>Note</t>
        </is>
      </c>
    </row>
    <row r="548">
      <c r="A548" s="22" t="inlineStr">
        <is>
          <t>4011</t>
        </is>
      </c>
      <c r="B548" s="11" t="inlineStr">
        <is>
          <t>Mild steel tubes electric resistant or induction butt welded</t>
        </is>
      </c>
      <c r="C548" s="22" t="inlineStr">
        <is>
          <t>kilogram</t>
        </is>
      </c>
      <c r="D548" s="23" t="n">
        <v>125</v>
      </c>
      <c r="E548" s="24" t="n">
        <v>47</v>
      </c>
      <c r="F548" s="24">
        <f>D548*E548</f>
        <v/>
      </c>
      <c r="G548" s="22" t="n"/>
    </row>
    <row r="549">
      <c r="A549" s="22" t="inlineStr">
        <is>
          <t>2205</t>
        </is>
      </c>
      <c r="B549" s="11" t="inlineStr">
        <is>
          <t>Carriage of Steel</t>
        </is>
      </c>
      <c r="C549" s="22" t="inlineStr">
        <is>
          <t>tonne</t>
        </is>
      </c>
      <c r="D549" s="23" t="n">
        <v>0.125</v>
      </c>
      <c r="E549" s="24" t="n">
        <v>92.23999999999999</v>
      </c>
      <c r="F549" s="24">
        <f>D549*E549</f>
        <v/>
      </c>
      <c r="G549" s="22" t="n"/>
    </row>
    <row r="550">
      <c r="A550" s="22" t="inlineStr">
        <is>
          <t>13.50.3</t>
        </is>
      </c>
      <c r="B550" s="11" t="inlineStr">
        <is>
          <t>Rate as per item 13.50.3 - Applying priming coat - With ready mixed red oxide zinc chromate primer of approved brand and manufacture o...</t>
        </is>
      </c>
      <c r="C550" s="22" t="inlineStr">
        <is>
          <t>sqm</t>
        </is>
      </c>
      <c r="D550" s="23" t="n">
        <v>2.8</v>
      </c>
      <c r="E550" s="24" t="n">
        <v>50.7</v>
      </c>
      <c r="F550" s="24">
        <f>D550*E550</f>
        <v/>
      </c>
      <c r="G550" s="22" t="n"/>
    </row>
    <row r="551">
      <c r="A551" s="22" t="inlineStr">
        <is>
          <t>1215</t>
        </is>
      </c>
      <c r="B551" s="11" t="inlineStr">
        <is>
          <t>Welding by electric plant</t>
        </is>
      </c>
      <c r="C551" s="22" t="inlineStr">
        <is>
          <t>cm</t>
        </is>
      </c>
      <c r="D551" s="23" t="n">
        <v>357</v>
      </c>
      <c r="E551" s="24" t="n">
        <v>2</v>
      </c>
      <c r="F551" s="24">
        <f>D551*E551</f>
        <v/>
      </c>
      <c r="G551" s="22" t="n"/>
    </row>
    <row r="552">
      <c r="A552" s="22" t="inlineStr">
        <is>
          <t>0102</t>
        </is>
      </c>
      <c r="B552" s="11" t="inlineStr">
        <is>
          <t>Blacksmith 1st class</t>
        </is>
      </c>
      <c r="C552" s="22" t="inlineStr">
        <is>
          <t>day</t>
        </is>
      </c>
      <c r="D552" s="23" t="n">
        <v>1.5</v>
      </c>
      <c r="E552" s="24" t="n">
        <v>738</v>
      </c>
      <c r="F552" s="24">
        <f>D552*E552</f>
        <v/>
      </c>
      <c r="G552" s="22" t="n"/>
    </row>
    <row r="553">
      <c r="A553" s="22" t="inlineStr">
        <is>
          <t>0100</t>
        </is>
      </c>
      <c r="B553" s="11" t="inlineStr">
        <is>
          <t>Bandhani</t>
        </is>
      </c>
      <c r="C553" s="22" t="inlineStr">
        <is>
          <t>day</t>
        </is>
      </c>
      <c r="D553" s="23" t="n">
        <v>0.75</v>
      </c>
      <c r="E553" s="24" t="n">
        <v>617</v>
      </c>
      <c r="F553" s="24">
        <f>D553*E553</f>
        <v/>
      </c>
      <c r="G553" s="22" t="n"/>
    </row>
    <row r="554">
      <c r="A554" s="22" t="inlineStr">
        <is>
          <t>0114</t>
        </is>
      </c>
      <c r="B554" s="11" t="inlineStr">
        <is>
          <t>Beldar</t>
        </is>
      </c>
      <c r="C554" s="22" t="inlineStr">
        <is>
          <t>day</t>
        </is>
      </c>
      <c r="D554" s="23" t="n">
        <v>5.5</v>
      </c>
      <c r="E554" s="24" t="n">
        <v>558</v>
      </c>
      <c r="F554" s="24">
        <f>D554*E554</f>
        <v/>
      </c>
      <c r="G554" s="22" t="n"/>
    </row>
    <row r="555">
      <c r="A555" s="22" t="inlineStr">
        <is>
          <t>9999</t>
        </is>
      </c>
      <c r="B555" s="11" t="inlineStr">
        <is>
          <t>Sundries</t>
        </is>
      </c>
      <c r="C555" s="22" t="inlineStr">
        <is>
          <t>L.S.</t>
        </is>
      </c>
      <c r="D555" s="23" t="n">
        <v>80.73</v>
      </c>
      <c r="E555" s="24" t="n">
        <v>2</v>
      </c>
      <c r="F555" s="24">
        <f>D555*E555</f>
        <v/>
      </c>
      <c r="G555" s="22" t="n"/>
    </row>
    <row r="556">
      <c r="A556" s="8" t="inlineStr">
        <is>
          <t>Calculated W - SUM of the Amount column above</t>
        </is>
      </c>
      <c r="B556" s="9" t="n"/>
      <c r="C556" s="9" t="n"/>
      <c r="D556" s="9" t="n"/>
      <c r="E556" s="9" t="n"/>
      <c r="F556" s="25">
        <f>SUM(F548:F555)</f>
        <v/>
      </c>
      <c r="G556" s="9" t="n"/>
    </row>
    <row r="557">
      <c r="A557" s="26" t="inlineStr">
        <is>
          <t>W as printed in the DAR</t>
        </is>
      </c>
      <c r="B557" s="22" t="n"/>
      <c r="C557" s="22" t="n"/>
      <c r="D557" s="22" t="n"/>
      <c r="E557" s="22" t="n"/>
      <c r="F557" s="27" t="n">
        <v>11542.7</v>
      </c>
      <c r="G557" s="22" t="n"/>
    </row>
    <row r="558">
      <c r="A558" s="26" t="inlineStr">
        <is>
          <t>Difference (calculated - printed)</t>
        </is>
      </c>
      <c r="B558" s="22" t="n"/>
      <c r="C558" s="22" t="n"/>
      <c r="D558" s="22" t="n"/>
      <c r="E558" s="22" t="n"/>
      <c r="F558" s="27">
        <f>F556-F557</f>
        <v/>
      </c>
      <c r="G558" s="22" t="n"/>
    </row>
    <row r="559">
      <c r="A559" s="29" t="inlineStr">
        <is>
          <t>SAY (Rs.) - final DAR rate as printed (fixed value, not computed)</t>
        </is>
      </c>
      <c r="B559" s="30" t="n"/>
      <c r="C559" s="30" t="n"/>
      <c r="D559" s="30" t="n"/>
      <c r="E559" s="30" t="n"/>
      <c r="F559" s="31" t="n">
        <v>129.35</v>
      </c>
      <c r="G559" s="30" t="n"/>
    </row>
    <row r="561" ht="33" customHeight="1">
      <c r="A561" s="18" t="inlineStr">
        <is>
          <t>10.17</t>
        </is>
      </c>
      <c r="B561" s="19" t="inlineStr">
        <is>
          <t>Providing and fixing M.S. fan clamp type I or II of 16 mm dia M.S. bar, bent to shape with hooked ends in R.C.C. slabs or beams during laying, including painting the exposed portion of loop, all as per standard design complete.</t>
        </is>
      </c>
      <c r="C561" s="20" t="n"/>
      <c r="D561" s="20" t="n"/>
      <c r="E561" s="20" t="n"/>
      <c r="F561" s="20" t="n"/>
      <c r="G561" s="20" t="n"/>
    </row>
    <row r="562">
      <c r="A562" s="21" t="inlineStr">
        <is>
          <t>Details of cost for 1 clamp   |   Source: CivilDAR_2019_Vol_1.pdf, page 704</t>
        </is>
      </c>
    </row>
    <row r="563">
      <c r="A563" s="5" t="inlineStr">
        <is>
          <t>Code</t>
        </is>
      </c>
      <c r="B563" s="5" t="inlineStr">
        <is>
          <t>Description</t>
        </is>
      </c>
      <c r="C563" s="5" t="inlineStr">
        <is>
          <t>Unit</t>
        </is>
      </c>
      <c r="D563" s="5" t="inlineStr">
        <is>
          <t>Quantity</t>
        </is>
      </c>
      <c r="E563" s="5" t="inlineStr">
        <is>
          <t>Rate (Rs.)</t>
        </is>
      </c>
      <c r="F563" s="5" t="inlineStr">
        <is>
          <t>Amount (Rs.)</t>
        </is>
      </c>
      <c r="G563" s="5" t="inlineStr">
        <is>
          <t>Note</t>
        </is>
      </c>
    </row>
    <row r="564">
      <c r="A564" s="22" t="inlineStr">
        <is>
          <t>1003</t>
        </is>
      </c>
      <c r="B564" s="11" t="inlineStr">
        <is>
          <t>Mild steel round bar above 12 mm dia</t>
        </is>
      </c>
      <c r="C564" s="22" t="inlineStr">
        <is>
          <t>quintal</t>
        </is>
      </c>
      <c r="D564" s="23" t="n">
        <v>0.017</v>
      </c>
      <c r="E564" s="24" t="n">
        <v>4400</v>
      </c>
      <c r="F564" s="24">
        <f>D564*E564</f>
        <v/>
      </c>
      <c r="G564" s="22" t="n"/>
    </row>
    <row r="565">
      <c r="A565" s="22" t="inlineStr">
        <is>
          <t>0103</t>
        </is>
      </c>
      <c r="B565" s="11" t="inlineStr">
        <is>
          <t>Blacksmith 2nd class</t>
        </is>
      </c>
      <c r="C565" s="22" t="inlineStr">
        <is>
          <t>day</t>
        </is>
      </c>
      <c r="D565" s="23" t="n">
        <v>0.04</v>
      </c>
      <c r="E565" s="24" t="n">
        <v>679</v>
      </c>
      <c r="F565" s="24">
        <f>D565*E565</f>
        <v/>
      </c>
      <c r="G565" s="22" t="n"/>
    </row>
    <row r="566">
      <c r="A566" s="22" t="inlineStr">
        <is>
          <t>0114</t>
        </is>
      </c>
      <c r="B566" s="11" t="inlineStr">
        <is>
          <t>Beldar</t>
        </is>
      </c>
      <c r="C566" s="22" t="inlineStr">
        <is>
          <t>day</t>
        </is>
      </c>
      <c r="D566" s="23" t="n">
        <v>0.04</v>
      </c>
      <c r="E566" s="24" t="n">
        <v>558</v>
      </c>
      <c r="F566" s="24">
        <f>D566*E566</f>
        <v/>
      </c>
      <c r="G566" s="22" t="n"/>
    </row>
    <row r="567">
      <c r="A567" s="22" t="inlineStr">
        <is>
          <t>9988</t>
        </is>
      </c>
      <c r="B567" s="11" t="inlineStr">
        <is>
          <t>Sundries (Carriage, fixing and painting etc.)</t>
        </is>
      </c>
      <c r="C567" s="22" t="inlineStr">
        <is>
          <t>L.S.</t>
        </is>
      </c>
      <c r="D567" s="23" t="n">
        <v>1.82</v>
      </c>
      <c r="E567" s="24" t="n">
        <v>2</v>
      </c>
      <c r="F567" s="24">
        <f>D567*E567</f>
        <v/>
      </c>
      <c r="G567" s="22" t="n"/>
    </row>
    <row r="568">
      <c r="A568" s="8" t="inlineStr">
        <is>
          <t>Calculated W - SUM of the Amount column above</t>
        </is>
      </c>
      <c r="B568" s="9" t="n"/>
      <c r="C568" s="9" t="n"/>
      <c r="D568" s="9" t="n"/>
      <c r="E568" s="9" t="n"/>
      <c r="F568" s="25">
        <f>SUM(F564:F567)</f>
        <v/>
      </c>
      <c r="G568" s="9" t="n"/>
    </row>
    <row r="569">
      <c r="A569" s="26" t="inlineStr">
        <is>
          <t>W as printed in the DAR</t>
        </is>
      </c>
      <c r="B569" s="22" t="n"/>
      <c r="C569" s="22" t="n"/>
      <c r="D569" s="22" t="n"/>
      <c r="E569" s="22" t="n"/>
      <c r="F569" s="27" t="n">
        <v>127.92</v>
      </c>
      <c r="G569" s="22" t="n"/>
    </row>
    <row r="570">
      <c r="A570" s="26" t="inlineStr">
        <is>
          <t>Difference (calculated - printed)</t>
        </is>
      </c>
      <c r="B570" s="22" t="n"/>
      <c r="C570" s="22" t="n"/>
      <c r="D570" s="22" t="n"/>
      <c r="E570" s="22" t="n"/>
      <c r="F570" s="27">
        <f>F568-F569</f>
        <v/>
      </c>
      <c r="G570" s="22" t="n"/>
    </row>
    <row r="571">
      <c r="A571" s="29" t="inlineStr">
        <is>
          <t>SAY (Rs.) - final DAR rate as printed (fixed value, not computed)</t>
        </is>
      </c>
      <c r="B571" s="30" t="n"/>
      <c r="C571" s="30" t="n"/>
      <c r="D571" s="30" t="n"/>
      <c r="E571" s="30" t="n"/>
      <c r="F571" s="31" t="n">
        <v>171.15</v>
      </c>
      <c r="G571" s="30" t="n"/>
    </row>
    <row r="573" ht="62" customHeight="1">
      <c r="A573" s="18" t="inlineStr">
        <is>
          <t>10.18</t>
        </is>
      </c>
      <c r="B573" s="19" t="inlineStr">
        <is>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t>
        </is>
      </c>
      <c r="C573" s="20" t="n"/>
      <c r="D573" s="20" t="n"/>
      <c r="E573" s="20" t="n"/>
      <c r="F573" s="20" t="n"/>
      <c r="G573" s="20" t="n"/>
    </row>
    <row r="574">
      <c r="A574" s="21" t="inlineStr">
        <is>
          <t>Details of cost for 1 box   |   Source: CivilDAR_2019_Vol_1.pdf, page 704</t>
        </is>
      </c>
    </row>
    <row r="575">
      <c r="A575" s="5" t="inlineStr">
        <is>
          <t>Code</t>
        </is>
      </c>
      <c r="B575" s="5" t="inlineStr">
        <is>
          <t>Description</t>
        </is>
      </c>
      <c r="C575" s="5" t="inlineStr">
        <is>
          <t>Unit</t>
        </is>
      </c>
      <c r="D575" s="5" t="inlineStr">
        <is>
          <t>Quantity</t>
        </is>
      </c>
      <c r="E575" s="5" t="inlineStr">
        <is>
          <t>Rate (Rs.)</t>
        </is>
      </c>
      <c r="F575" s="5" t="inlineStr">
        <is>
          <t>Amount (Rs.)</t>
        </is>
      </c>
      <c r="G575" s="5" t="inlineStr">
        <is>
          <t>Note</t>
        </is>
      </c>
    </row>
    <row r="576">
      <c r="A576" s="22" t="inlineStr">
        <is>
          <t>4012</t>
        </is>
      </c>
      <c r="B576" s="11" t="inlineStr">
        <is>
          <t>Circular C.I. Box for ceiling fan</t>
        </is>
      </c>
      <c r="C576" s="22" t="inlineStr">
        <is>
          <t>each</t>
        </is>
      </c>
      <c r="D576" s="23" t="n">
        <v>1</v>
      </c>
      <c r="E576" s="24" t="n">
        <v>52</v>
      </c>
      <c r="F576" s="24">
        <f>D576*E576</f>
        <v/>
      </c>
      <c r="G576" s="22" t="n"/>
    </row>
    <row r="577">
      <c r="A577" s="22" t="inlineStr">
        <is>
          <t>1002</t>
        </is>
      </c>
      <c r="B577" s="11" t="inlineStr">
        <is>
          <t>Mild steel round bar 12 mm dia and below</t>
        </is>
      </c>
      <c r="C577" s="22" t="inlineStr">
        <is>
          <t>quintal</t>
        </is>
      </c>
      <c r="D577" s="23" t="n">
        <v>0.008</v>
      </c>
      <c r="E577" s="24" t="n">
        <v>4500</v>
      </c>
      <c r="F577" s="24">
        <f>D577*E577</f>
        <v/>
      </c>
      <c r="G577" s="22" t="n"/>
    </row>
    <row r="578">
      <c r="A578" s="22" t="inlineStr">
        <is>
          <t>0103</t>
        </is>
      </c>
      <c r="B578" s="11" t="inlineStr">
        <is>
          <t>Blacksmith 2nd class</t>
        </is>
      </c>
      <c r="C578" s="22" t="inlineStr">
        <is>
          <t>day</t>
        </is>
      </c>
      <c r="D578" s="23" t="n">
        <v>0.03</v>
      </c>
      <c r="E578" s="24" t="n">
        <v>679</v>
      </c>
      <c r="F578" s="24">
        <f>D578*E578</f>
        <v/>
      </c>
      <c r="G578" s="22" t="n"/>
    </row>
    <row r="579">
      <c r="A579" s="22" t="inlineStr">
        <is>
          <t>0114</t>
        </is>
      </c>
      <c r="B579" s="11" t="inlineStr">
        <is>
          <t>Beldar</t>
        </is>
      </c>
      <c r="C579" s="22" t="inlineStr">
        <is>
          <t>day</t>
        </is>
      </c>
      <c r="D579" s="23" t="n">
        <v>0.03</v>
      </c>
      <c r="E579" s="24" t="n">
        <v>558</v>
      </c>
      <c r="F579" s="24">
        <f>D579*E579</f>
        <v/>
      </c>
      <c r="G579" s="22" t="n"/>
    </row>
    <row r="580">
      <c r="A580" s="22" t="inlineStr">
        <is>
          <t>9988</t>
        </is>
      </c>
      <c r="B580" s="11" t="inlineStr">
        <is>
          <t>Sundries (Carriage, fixing and painting etc.)</t>
        </is>
      </c>
      <c r="C580" s="22" t="inlineStr">
        <is>
          <t>L.S.</t>
        </is>
      </c>
      <c r="D580" s="23" t="n">
        <v>1.82</v>
      </c>
      <c r="E580" s="24" t="n">
        <v>2</v>
      </c>
      <c r="F580" s="24">
        <f>D580*E580</f>
        <v/>
      </c>
      <c r="G580" s="22" t="n"/>
    </row>
    <row r="581">
      <c r="A581" s="8" t="inlineStr">
        <is>
          <t>Calculated W - SUM of the Amount column above</t>
        </is>
      </c>
      <c r="B581" s="9" t="n"/>
      <c r="C581" s="9" t="n"/>
      <c r="D581" s="9" t="n"/>
      <c r="E581" s="9" t="n"/>
      <c r="F581" s="25">
        <f>SUM(F576:F580)</f>
        <v/>
      </c>
      <c r="G581" s="9" t="n"/>
    </row>
    <row r="582">
      <c r="A582" s="26" t="inlineStr">
        <is>
          <t>W as printed in the DAR</t>
        </is>
      </c>
      <c r="B582" s="22" t="n"/>
      <c r="C582" s="22" t="n"/>
      <c r="D582" s="22" t="n"/>
      <c r="E582" s="22" t="n"/>
      <c r="F582" s="27" t="n">
        <v>128.75</v>
      </c>
      <c r="G582" s="22" t="n"/>
    </row>
    <row r="583">
      <c r="A583" s="26" t="inlineStr">
        <is>
          <t>Difference (calculated - printed)</t>
        </is>
      </c>
      <c r="B583" s="22" t="n"/>
      <c r="C583" s="22" t="n"/>
      <c r="D583" s="22" t="n"/>
      <c r="E583" s="22" t="n"/>
      <c r="F583" s="27">
        <f>F581-F582</f>
        <v/>
      </c>
      <c r="G583" s="22" t="n"/>
    </row>
    <row r="584">
      <c r="A584" s="29" t="inlineStr">
        <is>
          <t>SAY (Rs.) - final DAR rate as printed (fixed value, not computed)</t>
        </is>
      </c>
      <c r="B584" s="30" t="n"/>
      <c r="C584" s="30" t="n"/>
      <c r="D584" s="30" t="n"/>
      <c r="E584" s="30" t="n"/>
      <c r="F584" s="31" t="n">
        <v>172.25</v>
      </c>
      <c r="G584" s="30" t="n"/>
    </row>
    <row r="586" ht="18.5" customHeight="1">
      <c r="A586" s="18" t="inlineStr">
        <is>
          <t>10.19</t>
        </is>
      </c>
      <c r="B586" s="19" t="inlineStr">
        <is>
          <t>Providing and fixing mild steel round holding down bolts with nuts and washer plates complete.</t>
        </is>
      </c>
      <c r="C586" s="20" t="n"/>
      <c r="D586" s="20" t="n"/>
      <c r="E586" s="20" t="n"/>
      <c r="F586" s="20" t="n"/>
      <c r="G586" s="20" t="n"/>
    </row>
    <row r="587">
      <c r="A587" s="21" t="inlineStr">
        <is>
          <t>Details of cost for 0.024 q   |   Source: CivilDAR_2019_Vol_1.pdf, page 705</t>
        </is>
      </c>
    </row>
    <row r="588">
      <c r="A588" s="5" t="inlineStr">
        <is>
          <t>Code</t>
        </is>
      </c>
      <c r="B588" s="5" t="inlineStr">
        <is>
          <t>Description</t>
        </is>
      </c>
      <c r="C588" s="5" t="inlineStr">
        <is>
          <t>Unit</t>
        </is>
      </c>
      <c r="D588" s="5" t="inlineStr">
        <is>
          <t>Quantity</t>
        </is>
      </c>
      <c r="E588" s="5" t="inlineStr">
        <is>
          <t>Rate (Rs.)</t>
        </is>
      </c>
      <c r="F588" s="5" t="inlineStr">
        <is>
          <t>Amount (Rs.)</t>
        </is>
      </c>
      <c r="G588" s="5" t="inlineStr">
        <is>
          <t>Note</t>
        </is>
      </c>
    </row>
    <row r="589">
      <c r="A589" s="22" t="inlineStr">
        <is>
          <t>1035</t>
        </is>
      </c>
      <c r="B589" s="11" t="inlineStr">
        <is>
          <t>Bolts and nuts above 300 mm in length</t>
        </is>
      </c>
      <c r="C589" s="22" t="inlineStr">
        <is>
          <t>quintal</t>
        </is>
      </c>
      <c r="D589" s="23" t="n">
        <v>0.019</v>
      </c>
      <c r="E589" s="24" t="n">
        <v>5100</v>
      </c>
      <c r="F589" s="24">
        <f>D589*E589</f>
        <v/>
      </c>
      <c r="G589" s="22" t="n"/>
    </row>
    <row r="590">
      <c r="A590" s="22" t="inlineStr">
        <is>
          <t>1010</t>
        </is>
      </c>
      <c r="B590" s="11" t="inlineStr">
        <is>
          <t>Mild steel plates</t>
        </is>
      </c>
      <c r="C590" s="22" t="inlineStr">
        <is>
          <t>quintal</t>
        </is>
      </c>
      <c r="D590" s="23" t="n">
        <v>0.005</v>
      </c>
      <c r="E590" s="24" t="n">
        <v>4800</v>
      </c>
      <c r="F590" s="24">
        <f>D590*E590</f>
        <v/>
      </c>
      <c r="G590" s="22" t="n"/>
    </row>
    <row r="591">
      <c r="A591" s="22" t="inlineStr">
        <is>
          <t>0103</t>
        </is>
      </c>
      <c r="B591" s="11" t="inlineStr">
        <is>
          <t>Blacksmith 2nd class</t>
        </is>
      </c>
      <c r="C591" s="22" t="inlineStr">
        <is>
          <t>day</t>
        </is>
      </c>
      <c r="D591" s="23" t="n">
        <v>0.03</v>
      </c>
      <c r="E591" s="24" t="n">
        <v>679</v>
      </c>
      <c r="F591" s="24">
        <f>D591*E591</f>
        <v/>
      </c>
      <c r="G591" s="22" t="n"/>
    </row>
    <row r="592">
      <c r="A592" s="22" t="inlineStr">
        <is>
          <t>9988</t>
        </is>
      </c>
      <c r="B592" s="11" t="inlineStr">
        <is>
          <t>Carriage and labour for fixing</t>
        </is>
      </c>
      <c r="C592" s="22" t="inlineStr">
        <is>
          <t>L.S.</t>
        </is>
      </c>
      <c r="D592" s="23" t="n">
        <v>4.55</v>
      </c>
      <c r="E592" s="24" t="n">
        <v>2</v>
      </c>
      <c r="F592" s="24">
        <f>D592*E592</f>
        <v/>
      </c>
      <c r="G592" s="22" t="n"/>
    </row>
    <row r="593">
      <c r="A593" s="8" t="inlineStr">
        <is>
          <t>Calculated W - SUM of the Amount column above</t>
        </is>
      </c>
      <c r="B593" s="9" t="n"/>
      <c r="C593" s="9" t="n"/>
      <c r="D593" s="9" t="n"/>
      <c r="E593" s="9" t="n"/>
      <c r="F593" s="25">
        <f>SUM(F589:F592)</f>
        <v/>
      </c>
      <c r="G593" s="9" t="n"/>
    </row>
    <row r="594">
      <c r="A594" s="26" t="inlineStr">
        <is>
          <t>W as printed in the DAR</t>
        </is>
      </c>
      <c r="B594" s="22" t="n"/>
      <c r="C594" s="22" t="n"/>
      <c r="D594" s="22" t="n"/>
      <c r="E594" s="22" t="n"/>
      <c r="F594" s="27" t="n">
        <v>150.37</v>
      </c>
      <c r="G594" s="22" t="n"/>
    </row>
    <row r="595">
      <c r="A595" s="26" t="inlineStr">
        <is>
          <t>Difference (calculated - printed)</t>
        </is>
      </c>
      <c r="B595" s="22" t="n"/>
      <c r="C595" s="22" t="n"/>
      <c r="D595" s="22" t="n"/>
      <c r="E595" s="22" t="n"/>
      <c r="F595" s="27">
        <f>F593-F594</f>
        <v/>
      </c>
      <c r="G595" s="22" t="n"/>
    </row>
    <row r="596">
      <c r="A596" s="29" t="inlineStr">
        <is>
          <t>SAY (Rs.) - final DAR rate as printed (fixed value, not computed)</t>
        </is>
      </c>
      <c r="B596" s="30" t="n"/>
      <c r="C596" s="30" t="n"/>
      <c r="D596" s="30" t="n"/>
      <c r="E596" s="30" t="n"/>
      <c r="F596" s="31" t="n">
        <v>83.84999999999999</v>
      </c>
      <c r="G596" s="30" t="n"/>
    </row>
    <row r="598" ht="18.5" customHeight="1">
      <c r="A598" s="18" t="inlineStr">
        <is>
          <t>10.20</t>
        </is>
      </c>
      <c r="B598" s="19" t="inlineStr">
        <is>
          <t>Providing and fixing bolts including nuts and washers complete.</t>
        </is>
      </c>
      <c r="C598" s="20" t="n"/>
      <c r="D598" s="20" t="n"/>
      <c r="E598" s="20" t="n"/>
      <c r="F598" s="20" t="n"/>
      <c r="G598" s="20" t="n"/>
    </row>
    <row r="599">
      <c r="A599" s="21" t="inlineStr">
        <is>
          <t>Details of cost for 0.1 q   |   Source: CivilDAR_2019_Vol_1.pdf, page 705</t>
        </is>
      </c>
    </row>
    <row r="600">
      <c r="A600" s="5" t="inlineStr">
        <is>
          <t>Code</t>
        </is>
      </c>
      <c r="B600" s="5" t="inlineStr">
        <is>
          <t>Description</t>
        </is>
      </c>
      <c r="C600" s="5" t="inlineStr">
        <is>
          <t>Unit</t>
        </is>
      </c>
      <c r="D600" s="5" t="inlineStr">
        <is>
          <t>Quantity</t>
        </is>
      </c>
      <c r="E600" s="5" t="inlineStr">
        <is>
          <t>Rate (Rs.)</t>
        </is>
      </c>
      <c r="F600" s="5" t="inlineStr">
        <is>
          <t>Amount (Rs.)</t>
        </is>
      </c>
      <c r="G600" s="5" t="inlineStr">
        <is>
          <t>Note</t>
        </is>
      </c>
    </row>
    <row r="601">
      <c r="A601" s="22" t="inlineStr">
        <is>
          <t>1034</t>
        </is>
      </c>
      <c r="B601" s="11" t="inlineStr">
        <is>
          <t>Bolts and nuts upto 300 mm in length</t>
        </is>
      </c>
      <c r="C601" s="22" t="inlineStr">
        <is>
          <t>quintal</t>
        </is>
      </c>
      <c r="D601" s="23" t="n">
        <v>0.1</v>
      </c>
      <c r="E601" s="24" t="n">
        <v>4800</v>
      </c>
      <c r="F601" s="24">
        <f>D601*E601</f>
        <v/>
      </c>
      <c r="G601" s="22" t="n"/>
    </row>
    <row r="602">
      <c r="A602" s="22" t="inlineStr">
        <is>
          <t>2205</t>
        </is>
      </c>
      <c r="B602" s="11" t="inlineStr">
        <is>
          <t>Carriage of Steel</t>
        </is>
      </c>
      <c r="C602" s="22" t="inlineStr">
        <is>
          <t>tonne</t>
        </is>
      </c>
      <c r="D602" s="23" t="n">
        <v>0.01</v>
      </c>
      <c r="E602" s="24" t="n">
        <v>92.23999999999999</v>
      </c>
      <c r="F602" s="24">
        <f>D602*E602</f>
        <v/>
      </c>
      <c r="G602" s="22" t="n"/>
    </row>
    <row r="603">
      <c r="A603" s="22" t="inlineStr">
        <is>
          <t>0103</t>
        </is>
      </c>
      <c r="B603" s="11" t="inlineStr">
        <is>
          <t>Blacksmith 2nd class</t>
        </is>
      </c>
      <c r="C603" s="22" t="inlineStr">
        <is>
          <t>day</t>
        </is>
      </c>
      <c r="D603" s="23" t="n">
        <v>0.38</v>
      </c>
      <c r="E603" s="24" t="n">
        <v>679</v>
      </c>
      <c r="F603" s="24">
        <f>D603*E603</f>
        <v/>
      </c>
      <c r="G603" s="22" t="n"/>
    </row>
    <row r="604">
      <c r="A604" s="22" t="inlineStr">
        <is>
          <t>0114</t>
        </is>
      </c>
      <c r="B604" s="11" t="inlineStr">
        <is>
          <t>Beldar</t>
        </is>
      </c>
      <c r="C604" s="22" t="inlineStr">
        <is>
          <t>day</t>
        </is>
      </c>
      <c r="D604" s="23" t="n">
        <v>0.38</v>
      </c>
      <c r="E604" s="24" t="n">
        <v>558</v>
      </c>
      <c r="F604" s="24">
        <f>D604*E604</f>
        <v/>
      </c>
      <c r="G604" s="22" t="n"/>
    </row>
    <row r="605">
      <c r="A605" s="22" t="inlineStr">
        <is>
          <t>9999</t>
        </is>
      </c>
      <c r="B605" s="11" t="inlineStr">
        <is>
          <t>Sundries</t>
        </is>
      </c>
      <c r="C605" s="22" t="inlineStr">
        <is>
          <t>L.S.</t>
        </is>
      </c>
      <c r="D605" s="23" t="n">
        <v>4.55</v>
      </c>
      <c r="E605" s="24" t="n">
        <v>2</v>
      </c>
      <c r="F605" s="24">
        <f>D605*E605</f>
        <v/>
      </c>
      <c r="G605" s="22" t="n"/>
    </row>
    <row r="606">
      <c r="A606" s="8" t="inlineStr">
        <is>
          <t>Calculated W - SUM of the Amount column above</t>
        </is>
      </c>
      <c r="B606" s="9" t="n"/>
      <c r="C606" s="9" t="n"/>
      <c r="D606" s="9" t="n"/>
      <c r="E606" s="9" t="n"/>
      <c r="F606" s="25">
        <f>SUM(F601:F605)</f>
        <v/>
      </c>
      <c r="G606" s="9" t="n"/>
    </row>
    <row r="607">
      <c r="A607" s="26" t="inlineStr">
        <is>
          <t>W as printed in the DAR</t>
        </is>
      </c>
      <c r="B607" s="22" t="n"/>
      <c r="C607" s="22" t="n"/>
      <c r="D607" s="22" t="n"/>
      <c r="E607" s="22" t="n"/>
      <c r="F607" s="27" t="n">
        <v>960.08</v>
      </c>
      <c r="G607" s="22" t="n"/>
    </row>
    <row r="608">
      <c r="A608" s="26" t="inlineStr">
        <is>
          <t>Difference (calculated - printed)</t>
        </is>
      </c>
      <c r="B608" s="22" t="n"/>
      <c r="C608" s="22" t="n"/>
      <c r="D608" s="22" t="n"/>
      <c r="E608" s="22" t="n"/>
      <c r="F608" s="27">
        <f>F606-F607</f>
        <v/>
      </c>
      <c r="G608" s="22" t="n"/>
    </row>
    <row r="609">
      <c r="A609" s="29" t="inlineStr">
        <is>
          <t>SAY (Rs.) - final DAR rate as printed (fixed value, not computed)</t>
        </is>
      </c>
      <c r="B609" s="30" t="n"/>
      <c r="C609" s="30" t="n"/>
      <c r="D609" s="30" t="n"/>
      <c r="E609" s="30" t="n"/>
      <c r="F609" s="31" t="n">
        <v>128.45</v>
      </c>
      <c r="G609" s="30" t="n"/>
    </row>
    <row r="611" ht="18.5" customHeight="1">
      <c r="A611" s="18" t="inlineStr">
        <is>
          <t>10.21</t>
        </is>
      </c>
      <c r="B611" s="19" t="inlineStr">
        <is>
          <t>Providing and fixing M.S. rivets of sizes in position.</t>
        </is>
      </c>
      <c r="C611" s="20" t="n"/>
      <c r="D611" s="20" t="n"/>
      <c r="E611" s="20" t="n"/>
      <c r="F611" s="20" t="n"/>
      <c r="G611" s="20" t="n"/>
    </row>
    <row r="612">
      <c r="A612" s="21" t="inlineStr">
        <is>
          <t>Details of cost for 0.1 q   |   Source: CivilDAR_2019_Vol_1.pdf, page 706</t>
        </is>
      </c>
    </row>
    <row r="613">
      <c r="A613" s="5" t="inlineStr">
        <is>
          <t>Code</t>
        </is>
      </c>
      <c r="B613" s="5" t="inlineStr">
        <is>
          <t>Description</t>
        </is>
      </c>
      <c r="C613" s="5" t="inlineStr">
        <is>
          <t>Unit</t>
        </is>
      </c>
      <c r="D613" s="5" t="inlineStr">
        <is>
          <t>Quantity</t>
        </is>
      </c>
      <c r="E613" s="5" t="inlineStr">
        <is>
          <t>Rate (Rs.)</t>
        </is>
      </c>
      <c r="F613" s="5" t="inlineStr">
        <is>
          <t>Amount (Rs.)</t>
        </is>
      </c>
      <c r="G613" s="5" t="inlineStr">
        <is>
          <t>Note</t>
        </is>
      </c>
    </row>
    <row r="614">
      <c r="A614" s="22" t="inlineStr">
        <is>
          <t>1020</t>
        </is>
      </c>
      <c r="B614" s="11" t="inlineStr">
        <is>
          <t>Mild steel rivets</t>
        </is>
      </c>
      <c r="C614" s="22" t="inlineStr">
        <is>
          <t>quintal</t>
        </is>
      </c>
      <c r="D614" s="23" t="n">
        <v>0.1</v>
      </c>
      <c r="E614" s="24" t="n">
        <v>5000</v>
      </c>
      <c r="F614" s="24">
        <f>D614*E614</f>
        <v/>
      </c>
      <c r="G614" s="22" t="n"/>
    </row>
    <row r="615">
      <c r="A615" s="22" t="inlineStr">
        <is>
          <t>2205</t>
        </is>
      </c>
      <c r="B615" s="11" t="inlineStr">
        <is>
          <t>Carriage of Steel</t>
        </is>
      </c>
      <c r="C615" s="22" t="inlineStr">
        <is>
          <t>tonne</t>
        </is>
      </c>
      <c r="D615" s="23" t="n">
        <v>0.01</v>
      </c>
      <c r="E615" s="24" t="n">
        <v>92.23999999999999</v>
      </c>
      <c r="F615" s="24">
        <f>D615*E615</f>
        <v/>
      </c>
      <c r="G615" s="22" t="n"/>
    </row>
    <row r="616">
      <c r="A616" s="22" t="inlineStr">
        <is>
          <t>0116</t>
        </is>
      </c>
      <c r="B616" s="11" t="inlineStr">
        <is>
          <t>Fitter (grade 1)</t>
        </is>
      </c>
      <c r="C616" s="22" t="inlineStr">
        <is>
          <t>day</t>
        </is>
      </c>
      <c r="D616" s="23" t="n">
        <v>0.83</v>
      </c>
      <c r="E616" s="24" t="n">
        <v>738</v>
      </c>
      <c r="F616" s="24">
        <f>D616*E616</f>
        <v/>
      </c>
      <c r="G616" s="22" t="n"/>
    </row>
    <row r="617">
      <c r="A617" s="22" t="inlineStr">
        <is>
          <t>0139</t>
        </is>
      </c>
      <c r="B617" s="11" t="inlineStr">
        <is>
          <t>Skilled Beldar (for floor rubbing etc.)</t>
        </is>
      </c>
      <c r="C617" s="22" t="inlineStr">
        <is>
          <t>day</t>
        </is>
      </c>
      <c r="D617" s="23" t="n">
        <v>0.83</v>
      </c>
      <c r="E617" s="24" t="n">
        <v>617</v>
      </c>
      <c r="F617" s="24">
        <f>D617*E617</f>
        <v/>
      </c>
      <c r="G617" s="22" t="n"/>
    </row>
    <row r="618">
      <c r="A618" s="22" t="inlineStr">
        <is>
          <t>9999</t>
        </is>
      </c>
      <c r="B618" s="11" t="inlineStr">
        <is>
          <t>Sundries</t>
        </is>
      </c>
      <c r="C618" s="22" t="inlineStr">
        <is>
          <t>L.S.</t>
        </is>
      </c>
      <c r="D618" s="23" t="n">
        <v>10.79</v>
      </c>
      <c r="E618" s="24" t="n">
        <v>2</v>
      </c>
      <c r="F618" s="24">
        <f>D618*E618</f>
        <v/>
      </c>
      <c r="G618" s="22" t="n"/>
    </row>
    <row r="619">
      <c r="A619" s="8" t="inlineStr">
        <is>
          <t>Calculated W - SUM of the Amount column above</t>
        </is>
      </c>
      <c r="B619" s="9" t="n"/>
      <c r="C619" s="9" t="n"/>
      <c r="D619" s="9" t="n"/>
      <c r="E619" s="9" t="n"/>
      <c r="F619" s="25">
        <f>SUM(F614:F618)</f>
        <v/>
      </c>
      <c r="G619" s="9" t="n"/>
    </row>
    <row r="620">
      <c r="A620" s="26" t="inlineStr">
        <is>
          <t>W as printed in the DAR</t>
        </is>
      </c>
      <c r="B620" s="22" t="n"/>
      <c r="C620" s="22" t="n"/>
      <c r="D620" s="22" t="n"/>
      <c r="E620" s="22" t="n"/>
      <c r="F620" s="27" t="n">
        <v>1647.15</v>
      </c>
      <c r="G620" s="22" t="n"/>
    </row>
    <row r="621">
      <c r="A621" s="26" t="inlineStr">
        <is>
          <t>Difference (calculated - printed)</t>
        </is>
      </c>
      <c r="B621" s="22" t="n"/>
      <c r="C621" s="22" t="n"/>
      <c r="D621" s="22" t="n"/>
      <c r="E621" s="22" t="n"/>
      <c r="F621" s="27">
        <f>F619-F620</f>
        <v/>
      </c>
      <c r="G621" s="22" t="n"/>
    </row>
    <row r="622">
      <c r="A622" s="29" t="inlineStr">
        <is>
          <t>SAY (Rs.) - final DAR rate as printed (fixed value, not computed)</t>
        </is>
      </c>
      <c r="B622" s="30" t="n"/>
      <c r="C622" s="30" t="n"/>
      <c r="D622" s="30" t="n"/>
      <c r="E622" s="30" t="n"/>
      <c r="F622" s="31" t="n">
        <v>220.4</v>
      </c>
      <c r="G622" s="30" t="n"/>
    </row>
    <row r="624" ht="18.5" customHeight="1">
      <c r="A624" s="18" t="inlineStr">
        <is>
          <t>10.22</t>
        </is>
      </c>
      <c r="B624" s="19" t="inlineStr">
        <is>
          <t>Welding by gas or electric plant including transportation of plant at site etc. complete.</t>
        </is>
      </c>
      <c r="C624" s="20" t="n"/>
      <c r="D624" s="20" t="n"/>
      <c r="E624" s="20" t="n"/>
      <c r="F624" s="20" t="n"/>
      <c r="G624" s="20" t="n"/>
    </row>
    <row r="625">
      <c r="A625" s="21" t="inlineStr">
        <is>
          <t>Details of cost for 1 nos   |   Source: CivilDAR_2019_Vol_1.pdf, page 706</t>
        </is>
      </c>
    </row>
    <row r="626">
      <c r="A626" s="5" t="inlineStr">
        <is>
          <t>Code</t>
        </is>
      </c>
      <c r="B626" s="5" t="inlineStr">
        <is>
          <t>Description</t>
        </is>
      </c>
      <c r="C626" s="5" t="inlineStr">
        <is>
          <t>Unit</t>
        </is>
      </c>
      <c r="D626" s="5" t="inlineStr">
        <is>
          <t>Quantity</t>
        </is>
      </c>
      <c r="E626" s="5" t="inlineStr">
        <is>
          <t>Rate (Rs.)</t>
        </is>
      </c>
      <c r="F626" s="5" t="inlineStr">
        <is>
          <t>Amount (Rs.)</t>
        </is>
      </c>
      <c r="G626" s="5" t="inlineStr">
        <is>
          <t>Note</t>
        </is>
      </c>
    </row>
    <row r="627">
      <c r="A627" s="22" t="inlineStr">
        <is>
          <t>1214</t>
        </is>
      </c>
      <c r="B627" s="11" t="inlineStr">
        <is>
          <t>Welding by gas plant</t>
        </is>
      </c>
      <c r="C627" s="22" t="inlineStr">
        <is>
          <t>cm</t>
        </is>
      </c>
      <c r="D627" s="23" t="n">
        <v>1</v>
      </c>
      <c r="E627" s="24" t="n">
        <v>2</v>
      </c>
      <c r="F627" s="24">
        <f>D627*E627</f>
        <v/>
      </c>
      <c r="G627" s="22" t="n"/>
    </row>
    <row r="628">
      <c r="A628" s="22" t="inlineStr">
        <is>
          <t>9999</t>
        </is>
      </c>
      <c r="B628" s="11" t="inlineStr">
        <is>
          <t>Sundries</t>
        </is>
      </c>
      <c r="C628" s="22" t="inlineStr">
        <is>
          <t>L.S.</t>
        </is>
      </c>
      <c r="D628" s="23" t="n">
        <v>0.26</v>
      </c>
      <c r="E628" s="24" t="n">
        <v>2</v>
      </c>
      <c r="F628" s="24">
        <f>D628*E628</f>
        <v/>
      </c>
      <c r="G628" s="22" t="n"/>
    </row>
    <row r="629">
      <c r="A629" s="8" t="inlineStr">
        <is>
          <t>Calculated W - SUM of the Amount column above</t>
        </is>
      </c>
      <c r="B629" s="9" t="n"/>
      <c r="C629" s="9" t="n"/>
      <c r="D629" s="9" t="n"/>
      <c r="E629" s="9" t="n"/>
      <c r="F629" s="25">
        <f>SUM(F627:F628)</f>
        <v/>
      </c>
      <c r="G629" s="9" t="n"/>
    </row>
    <row r="630">
      <c r="A630" s="26" t="inlineStr">
        <is>
          <t>W as printed in the DAR</t>
        </is>
      </c>
      <c r="B630" s="22" t="n"/>
      <c r="C630" s="22" t="n"/>
      <c r="D630" s="22" t="n"/>
      <c r="E630" s="22" t="n"/>
      <c r="F630" s="27" t="n">
        <v>2.52</v>
      </c>
      <c r="G630" s="22" t="n"/>
    </row>
    <row r="631">
      <c r="A631" s="26" t="inlineStr">
        <is>
          <t>Difference (calculated - printed)</t>
        </is>
      </c>
      <c r="B631" s="22" t="n"/>
      <c r="C631" s="22" t="n"/>
      <c r="D631" s="22" t="n"/>
      <c r="E631" s="22" t="n"/>
      <c r="F631" s="27">
        <f>F629-F630</f>
        <v/>
      </c>
      <c r="G631" s="22" t="n"/>
    </row>
    <row r="632">
      <c r="A632" s="29" t="inlineStr">
        <is>
          <t>SAY (Rs.) - final DAR rate as printed (fixed value, not computed)</t>
        </is>
      </c>
      <c r="B632" s="30" t="n"/>
      <c r="C632" s="30" t="n"/>
      <c r="D632" s="30" t="n"/>
      <c r="E632" s="30" t="n"/>
      <c r="F632" s="31" t="n">
        <v>3.35</v>
      </c>
      <c r="G632" s="30" t="n"/>
    </row>
    <row r="634" ht="33" customHeight="1">
      <c r="A634" s="8" t="inlineStr">
        <is>
          <t>10.25</t>
        </is>
      </c>
      <c r="B634" s="17" t="inlineStr">
        <is>
          <t>Steel work welded in built up sections/ framed work, including cutting, hoisting, fixing in position and applying a priming coat of approved steel primer using structural steel etc. as required.</t>
        </is>
      </c>
      <c r="C634" s="9" t="n"/>
      <c r="D634" s="9" t="n"/>
      <c r="E634" s="9" t="n"/>
      <c r="F634" s="9" t="n"/>
      <c r="G634" s="9" t="n"/>
    </row>
    <row r="635" ht="18.5" customHeight="1">
      <c r="A635" s="18" t="inlineStr">
        <is>
          <t>10.25.1</t>
        </is>
      </c>
      <c r="B635" s="19" t="inlineStr">
        <is>
          <t>In stringers, treads, landings etc. of stair cases, including use of chequered plate wherever required, all complete</t>
        </is>
      </c>
      <c r="C635" s="20" t="n"/>
      <c r="D635" s="20" t="n"/>
      <c r="E635" s="20" t="n"/>
      <c r="F635" s="20" t="n"/>
      <c r="G635" s="20" t="n"/>
    </row>
    <row r="636">
      <c r="A636" s="21" t="inlineStr">
        <is>
          <t>Details of cost for 5.331 quintal   |   Source: CivilDAR_2019_Vol_1.pdf, page 707</t>
        </is>
      </c>
    </row>
    <row r="637">
      <c r="A637" s="5" t="inlineStr">
        <is>
          <t>Code</t>
        </is>
      </c>
      <c r="B637" s="5" t="inlineStr">
        <is>
          <t>Description</t>
        </is>
      </c>
      <c r="C637" s="5" t="inlineStr">
        <is>
          <t>Unit</t>
        </is>
      </c>
      <c r="D637" s="5" t="inlineStr">
        <is>
          <t>Quantity</t>
        </is>
      </c>
      <c r="E637" s="5" t="inlineStr">
        <is>
          <t>Rate (Rs.)</t>
        </is>
      </c>
      <c r="F637" s="5" t="inlineStr">
        <is>
          <t>Amount (Rs.)</t>
        </is>
      </c>
      <c r="G637" s="5" t="inlineStr">
        <is>
          <t>Note</t>
        </is>
      </c>
    </row>
    <row r="638">
      <c r="A638" s="22" t="inlineStr">
        <is>
          <t>1007</t>
        </is>
      </c>
      <c r="B638" s="11" t="inlineStr">
        <is>
          <t>Structurals such as tees,angles channels and R.S. joists</t>
        </is>
      </c>
      <c r="C638" s="22" t="inlineStr">
        <is>
          <t>quintal</t>
        </is>
      </c>
      <c r="D638" s="23" t="n">
        <v>3.161</v>
      </c>
      <c r="E638" s="24" t="n">
        <v>4600</v>
      </c>
      <c r="F638" s="24">
        <f>D638*E638</f>
        <v/>
      </c>
      <c r="G638" s="22" t="n"/>
    </row>
    <row r="639">
      <c r="A639" s="22" t="inlineStr">
        <is>
          <t>1010</t>
        </is>
      </c>
      <c r="B639" s="11" t="inlineStr">
        <is>
          <t>Mild steel plates</t>
        </is>
      </c>
      <c r="C639" s="22" t="inlineStr">
        <is>
          <t>quintal</t>
        </is>
      </c>
      <c r="D639" s="23" t="n">
        <v>1.103</v>
      </c>
      <c r="E639" s="24" t="n">
        <v>4800</v>
      </c>
      <c r="F639" s="24">
        <f>D639*E639</f>
        <v/>
      </c>
      <c r="G639" s="22" t="n"/>
    </row>
    <row r="640">
      <c r="A640" s="22" t="inlineStr">
        <is>
          <t>1549</t>
        </is>
      </c>
      <c r="B640" s="11" t="inlineStr">
        <is>
          <t>G.I. pipes 40 mm dia</t>
        </is>
      </c>
      <c r="C640" s="22" t="inlineStr">
        <is>
          <t>metre</t>
        </is>
      </c>
      <c r="D640" s="23" t="n">
        <v>26.65</v>
      </c>
      <c r="E640" s="24" t="n">
        <v>250</v>
      </c>
      <c r="F640" s="24">
        <f>D640*E640</f>
        <v/>
      </c>
      <c r="G640" s="22" t="n"/>
    </row>
    <row r="641">
      <c r="A641" s="22" t="inlineStr">
        <is>
          <t>1003</t>
        </is>
      </c>
      <c r="B641" s="11" t="inlineStr">
        <is>
          <t>Mild steel round bar above 12 mm dia</t>
        </is>
      </c>
      <c r="C641" s="22" t="inlineStr">
        <is>
          <t>quintal</t>
        </is>
      </c>
      <c r="D641" s="23" t="n">
        <v>0.373</v>
      </c>
      <c r="E641" s="24" t="n">
        <v>4400</v>
      </c>
      <c r="F641" s="24">
        <f>D641*E641</f>
        <v/>
      </c>
      <c r="G641" s="22" t="n"/>
    </row>
    <row r="642">
      <c r="A642" s="22" t="inlineStr">
        <is>
          <t>2205</t>
        </is>
      </c>
      <c r="B642" s="11" t="inlineStr">
        <is>
          <t>Carriage of Steel</t>
        </is>
      </c>
      <c r="C642" s="22" t="inlineStr">
        <is>
          <t>tonne</t>
        </is>
      </c>
      <c r="D642" s="23" t="n">
        <v>0.4637</v>
      </c>
      <c r="E642" s="24" t="n">
        <v>92.23999999999999</v>
      </c>
      <c r="F642" s="24">
        <f>D642*E642</f>
        <v/>
      </c>
      <c r="G642" s="22" t="n"/>
    </row>
    <row r="643">
      <c r="A643" s="22" t="inlineStr">
        <is>
          <t>2271</t>
        </is>
      </c>
      <c r="B643" s="11" t="inlineStr">
        <is>
          <t>Carriage of G.I. pipes below 100 mm dia</t>
        </is>
      </c>
      <c r="C643" s="22" t="inlineStr">
        <is>
          <t>tonne</t>
        </is>
      </c>
      <c r="D643" s="23" t="n">
        <v>0.09909999999999999</v>
      </c>
      <c r="E643" s="24" t="n">
        <v>92.23999999999999</v>
      </c>
      <c r="F643" s="24">
        <f>D643*E643</f>
        <v/>
      </c>
      <c r="G643" s="22" t="n"/>
    </row>
    <row r="644">
      <c r="A644" s="22" t="inlineStr">
        <is>
          <t>1215</t>
        </is>
      </c>
      <c r="B644" s="11" t="inlineStr">
        <is>
          <t>Welding by electric plant</t>
        </is>
      </c>
      <c r="C644" s="22" t="inlineStr">
        <is>
          <t>cm</t>
        </is>
      </c>
      <c r="D644" s="23" t="n">
        <v>2320</v>
      </c>
      <c r="E644" s="24" t="n">
        <v>2</v>
      </c>
      <c r="F644" s="24">
        <f>D644*E644</f>
        <v/>
      </c>
      <c r="G644" s="22" t="n"/>
    </row>
    <row r="645">
      <c r="A645" s="22" t="inlineStr">
        <is>
          <t>0102</t>
        </is>
      </c>
      <c r="B645" s="11" t="inlineStr">
        <is>
          <t>Blacksmith 1st class</t>
        </is>
      </c>
      <c r="C645" s="22" t="inlineStr">
        <is>
          <t>day</t>
        </is>
      </c>
      <c r="D645" s="23" t="n">
        <v>1.85</v>
      </c>
      <c r="E645" s="24" t="n">
        <v>738</v>
      </c>
      <c r="F645" s="24">
        <f>D645*E645</f>
        <v/>
      </c>
      <c r="G645" s="22" t="n"/>
    </row>
    <row r="646">
      <c r="A646" s="22" t="inlineStr">
        <is>
          <t>0114</t>
        </is>
      </c>
      <c r="B646" s="11" t="inlineStr">
        <is>
          <t>Beldar</t>
        </is>
      </c>
      <c r="C646" s="22" t="inlineStr">
        <is>
          <t>day</t>
        </is>
      </c>
      <c r="D646" s="23" t="n">
        <v>1.25</v>
      </c>
      <c r="E646" s="24" t="n">
        <v>558</v>
      </c>
      <c r="F646" s="24">
        <f>D646*E646</f>
        <v/>
      </c>
      <c r="G646" s="22" t="n"/>
    </row>
    <row r="647">
      <c r="A647" s="22" t="inlineStr">
        <is>
          <t>0100</t>
        </is>
      </c>
      <c r="B647" s="11" t="inlineStr">
        <is>
          <t>Bandhani</t>
        </is>
      </c>
      <c r="C647" s="22" t="inlineStr">
        <is>
          <t>day</t>
        </is>
      </c>
      <c r="D647" s="23" t="n">
        <v>0.6</v>
      </c>
      <c r="E647" s="24" t="n">
        <v>617</v>
      </c>
      <c r="F647" s="24">
        <f>D647*E647</f>
        <v/>
      </c>
      <c r="G647" s="22" t="n"/>
    </row>
    <row r="648">
      <c r="A648" s="22" t="inlineStr">
        <is>
          <t>13.50.3</t>
        </is>
      </c>
      <c r="B648" s="11" t="inlineStr">
        <is>
          <t>Rate as per item 13.50.3 - Applying priming coat - With ready mixed red oxide zinc chromate primer of approved brand and manufacture o...</t>
        </is>
      </c>
      <c r="C648" s="22" t="inlineStr">
        <is>
          <t>sqm</t>
        </is>
      </c>
      <c r="D648" s="23" t="n">
        <v>48.29</v>
      </c>
      <c r="E648" s="24" t="n">
        <v>50.7</v>
      </c>
      <c r="F648" s="24">
        <f>D648*E648</f>
        <v/>
      </c>
      <c r="G648" s="22" t="n"/>
    </row>
    <row r="649">
      <c r="A649" s="22" t="inlineStr">
        <is>
          <t>9999</t>
        </is>
      </c>
      <c r="B649" s="11" t="inlineStr">
        <is>
          <t>Sundries</t>
        </is>
      </c>
      <c r="C649" s="22" t="inlineStr">
        <is>
          <t>L.S.</t>
        </is>
      </c>
      <c r="D649" s="23" t="n">
        <v>110.89</v>
      </c>
      <c r="E649" s="24" t="n">
        <v>2</v>
      </c>
      <c r="F649" s="24">
        <f>D649*E649</f>
        <v/>
      </c>
      <c r="G649" s="22" t="n"/>
    </row>
    <row r="650">
      <c r="A650" s="8" t="inlineStr">
        <is>
          <t>Calculated W - SUM of the Amount column above</t>
        </is>
      </c>
      <c r="B650" s="9" t="n"/>
      <c r="C650" s="9" t="n"/>
      <c r="D650" s="9" t="n"/>
      <c r="E650" s="9" t="n"/>
      <c r="F650" s="25">
        <f>SUM(F638:F649)</f>
        <v/>
      </c>
      <c r="G650" s="9" t="n"/>
    </row>
    <row r="651">
      <c r="A651" s="26" t="inlineStr">
        <is>
          <t>W as printed in the DAR</t>
        </is>
      </c>
      <c r="B651" s="22" t="n"/>
      <c r="C651" s="22" t="n"/>
      <c r="D651" s="22" t="n"/>
      <c r="E651" s="22" t="n"/>
      <c r="F651" s="27" t="n">
        <v>37933.7</v>
      </c>
      <c r="G651" s="22" t="n"/>
    </row>
    <row r="652">
      <c r="A652" s="26" t="inlineStr">
        <is>
          <t>Difference (calculated - printed)</t>
        </is>
      </c>
      <c r="B652" s="22" t="n"/>
      <c r="C652" s="22" t="n"/>
      <c r="D652" s="22" t="n"/>
      <c r="E652" s="22" t="n"/>
      <c r="F652" s="27">
        <f>F650-F651</f>
        <v/>
      </c>
      <c r="G652" s="22" t="n"/>
    </row>
    <row r="653">
      <c r="A653" s="29" t="inlineStr">
        <is>
          <t>SAY (Rs.) - final DAR rate as printed (fixed value, not computed)</t>
        </is>
      </c>
      <c r="B653" s="30" t="n"/>
      <c r="C653" s="30" t="n"/>
      <c r="D653" s="30" t="n"/>
      <c r="E653" s="30" t="n"/>
      <c r="F653" s="31" t="n">
        <v>93.65000000000001</v>
      </c>
      <c r="G653" s="30" t="n"/>
    </row>
    <row r="655" ht="33" customHeight="1">
      <c r="A655" s="8" t="inlineStr">
        <is>
          <t>10.25</t>
        </is>
      </c>
      <c r="B655" s="17" t="inlineStr">
        <is>
          <t>Steel work welded in built up sections/ framed work, including cutting, hoisting, fixing in position and applying a priming coat of approved steel primer using structural steel etc. as required.</t>
        </is>
      </c>
      <c r="C655" s="9" t="n"/>
      <c r="D655" s="9" t="n"/>
      <c r="E655" s="9" t="n"/>
      <c r="F655" s="9" t="n"/>
      <c r="G655" s="9" t="n"/>
    </row>
    <row r="656" ht="33" customHeight="1">
      <c r="A656" s="18" t="inlineStr">
        <is>
          <t>10.25.2</t>
        </is>
      </c>
      <c r="B656" s="19" t="inlineStr">
        <is>
          <t>In gratings, frames, guard bar, ladder, railings, brackets, gates and similar works Details of 1mx1m framed guard bar grating (0.218 quintal).</t>
        </is>
      </c>
      <c r="C656" s="20" t="n"/>
      <c r="D656" s="20" t="n"/>
      <c r="E656" s="20" t="n"/>
      <c r="F656" s="20" t="n"/>
      <c r="G656" s="20" t="n"/>
    </row>
    <row r="657">
      <c r="A657" s="21" t="inlineStr">
        <is>
          <t>Details of cost for 0.218 quintal   |   Source: CivilDAR_2019_Vol_1.pdf, page 708</t>
        </is>
      </c>
    </row>
    <row r="658">
      <c r="A658" s="5" t="inlineStr">
        <is>
          <t>Code</t>
        </is>
      </c>
      <c r="B658" s="5" t="inlineStr">
        <is>
          <t>Description</t>
        </is>
      </c>
      <c r="C658" s="5" t="inlineStr">
        <is>
          <t>Unit</t>
        </is>
      </c>
      <c r="D658" s="5" t="inlineStr">
        <is>
          <t>Quantity</t>
        </is>
      </c>
      <c r="E658" s="5" t="inlineStr">
        <is>
          <t>Rate (Rs.)</t>
        </is>
      </c>
      <c r="F658" s="5" t="inlineStr">
        <is>
          <t>Amount (Rs.)</t>
        </is>
      </c>
      <c r="G658" s="5" t="inlineStr">
        <is>
          <t>Note</t>
        </is>
      </c>
    </row>
    <row r="659">
      <c r="A659" s="22" t="inlineStr">
        <is>
          <t>1008</t>
        </is>
      </c>
      <c r="B659" s="11" t="inlineStr">
        <is>
          <t>Flats upto 10 mm in thickness</t>
        </is>
      </c>
      <c r="C659" s="22" t="inlineStr">
        <is>
          <t>quintal</t>
        </is>
      </c>
      <c r="D659" s="23" t="n">
        <v>0.145</v>
      </c>
      <c r="E659" s="24" t="n">
        <v>4500</v>
      </c>
      <c r="F659" s="24">
        <f>D659*E659</f>
        <v/>
      </c>
      <c r="G659" s="22" t="n"/>
    </row>
    <row r="660">
      <c r="A660" s="22" t="inlineStr">
        <is>
          <t>1002</t>
        </is>
      </c>
      <c r="B660" s="11" t="inlineStr">
        <is>
          <t>Mild steel round bar 12 mm dia and below</t>
        </is>
      </c>
      <c r="C660" s="22" t="inlineStr">
        <is>
          <t>quintal</t>
        </is>
      </c>
      <c r="D660" s="23" t="n">
        <v>0.08400000000000001</v>
      </c>
      <c r="E660" s="24" t="n">
        <v>4500</v>
      </c>
      <c r="F660" s="24">
        <f>D660*E660</f>
        <v/>
      </c>
      <c r="G660" s="22" t="n"/>
    </row>
    <row r="661">
      <c r="A661" s="22" t="inlineStr">
        <is>
          <t>2205</t>
        </is>
      </c>
      <c r="B661" s="11" t="inlineStr">
        <is>
          <t>Carriage of Steel</t>
        </is>
      </c>
      <c r="C661" s="22" t="inlineStr">
        <is>
          <t>tonne</t>
        </is>
      </c>
      <c r="D661" s="23" t="n">
        <v>0.0229</v>
      </c>
      <c r="E661" s="24" t="n">
        <v>92.23999999999999</v>
      </c>
      <c r="F661" s="24">
        <f>D661*E661</f>
        <v/>
      </c>
      <c r="G661" s="22" t="n"/>
    </row>
    <row r="662">
      <c r="A662" s="22" t="inlineStr">
        <is>
          <t>1215</t>
        </is>
      </c>
      <c r="B662" s="11" t="inlineStr">
        <is>
          <t>Welding by electric plant 60 cm</t>
        </is>
      </c>
      <c r="C662" s="22" t="inlineStr">
        <is>
          <t>cm</t>
        </is>
      </c>
      <c r="D662" s="23" t="n">
        <v>60</v>
      </c>
      <c r="E662" s="24" t="n">
        <v>2</v>
      </c>
      <c r="F662" s="24">
        <f>D662*E662</f>
        <v/>
      </c>
      <c r="G662" s="22" t="n"/>
    </row>
    <row r="663">
      <c r="A663" s="22" t="inlineStr">
        <is>
          <t>0102</t>
        </is>
      </c>
      <c r="B663" s="11" t="inlineStr">
        <is>
          <t>Blacksmith 1st class</t>
        </is>
      </c>
      <c r="C663" s="22" t="inlineStr">
        <is>
          <t>day</t>
        </is>
      </c>
      <c r="D663" s="23" t="n">
        <v>0.7</v>
      </c>
      <c r="E663" s="24" t="n">
        <v>738</v>
      </c>
      <c r="F663" s="24">
        <f>D663*E663</f>
        <v/>
      </c>
      <c r="G663" s="22" t="n"/>
    </row>
    <row r="664">
      <c r="A664" s="22" t="inlineStr">
        <is>
          <t>0114</t>
        </is>
      </c>
      <c r="B664" s="11" t="inlineStr">
        <is>
          <t>Beldar</t>
        </is>
      </c>
      <c r="C664" s="22" t="inlineStr">
        <is>
          <t>day</t>
        </is>
      </c>
      <c r="D664" s="23" t="n">
        <v>0.5</v>
      </c>
      <c r="E664" s="24" t="n">
        <v>558</v>
      </c>
      <c r="F664" s="24">
        <f>D664*E664</f>
        <v/>
      </c>
      <c r="G664" s="22" t="n"/>
    </row>
    <row r="665">
      <c r="A665" s="22" t="inlineStr">
        <is>
          <t>0100</t>
        </is>
      </c>
      <c r="B665" s="11" t="inlineStr">
        <is>
          <t>Bandhani</t>
        </is>
      </c>
      <c r="C665" s="22" t="inlineStr">
        <is>
          <t>day</t>
        </is>
      </c>
      <c r="D665" s="23" t="n">
        <v>0.25</v>
      </c>
      <c r="E665" s="24" t="n">
        <v>617</v>
      </c>
      <c r="F665" s="24">
        <f>D665*E665</f>
        <v/>
      </c>
      <c r="G665" s="22" t="n"/>
    </row>
    <row r="666">
      <c r="A666" s="22" t="inlineStr">
        <is>
          <t>13.50.3</t>
        </is>
      </c>
      <c r="B666" s="11" t="inlineStr">
        <is>
          <t>Rate as per item 13.50.3 - Applying priming coat - With ready mixed red oxide zinc chromate primer of approved brand and manufacture o...</t>
        </is>
      </c>
      <c r="C666" s="22" t="inlineStr">
        <is>
          <t>sqm</t>
        </is>
      </c>
      <c r="D666" s="23" t="n">
        <v>0.6</v>
      </c>
      <c r="E666" s="24" t="n">
        <v>50.7</v>
      </c>
      <c r="F666" s="24">
        <f>D666*E666</f>
        <v/>
      </c>
      <c r="G666" s="22" t="n"/>
    </row>
    <row r="667">
      <c r="A667" s="22" t="inlineStr">
        <is>
          <t>9999</t>
        </is>
      </c>
      <c r="B667" s="11" t="inlineStr">
        <is>
          <t>Sundries</t>
        </is>
      </c>
      <c r="C667" s="22" t="inlineStr">
        <is>
          <t>L.S.</t>
        </is>
      </c>
      <c r="D667" s="23" t="n">
        <v>4.55</v>
      </c>
      <c r="E667" s="24" t="n">
        <v>2</v>
      </c>
      <c r="F667" s="24">
        <f>D667*E667</f>
        <v/>
      </c>
      <c r="G667" s="22" t="n"/>
    </row>
    <row r="668">
      <c r="A668" s="8" t="inlineStr">
        <is>
          <t>Calculated W - SUM of the Amount column above</t>
        </is>
      </c>
      <c r="B668" s="9" t="n"/>
      <c r="C668" s="9" t="n"/>
      <c r="D668" s="9" t="n"/>
      <c r="E668" s="9" t="n"/>
      <c r="F668" s="25">
        <f>SUM(F659:F667)</f>
        <v/>
      </c>
      <c r="G668" s="9" t="n"/>
    </row>
    <row r="669">
      <c r="A669" s="26" t="inlineStr">
        <is>
          <t>W as printed in the DAR</t>
        </is>
      </c>
      <c r="B669" s="22" t="n"/>
      <c r="C669" s="22" t="n"/>
      <c r="D669" s="22" t="n"/>
      <c r="E669" s="22" t="n"/>
      <c r="F669" s="27" t="n">
        <v>2141.98</v>
      </c>
      <c r="G669" s="22" t="n"/>
    </row>
    <row r="670">
      <c r="A670" s="26" t="inlineStr">
        <is>
          <t>Difference (calculated - printed)</t>
        </is>
      </c>
      <c r="B670" s="22" t="n"/>
      <c r="C670" s="22" t="n"/>
      <c r="D670" s="22" t="n"/>
      <c r="E670" s="22" t="n"/>
      <c r="F670" s="27">
        <f>F668-F669</f>
        <v/>
      </c>
      <c r="G670" s="22" t="n"/>
    </row>
    <row r="671">
      <c r="A671" s="29" t="inlineStr">
        <is>
          <t>SAY (Rs.) - final DAR rate as printed (fixed value, not computed)</t>
        </is>
      </c>
      <c r="B671" s="30" t="n"/>
      <c r="C671" s="30" t="n"/>
      <c r="D671" s="30" t="n"/>
      <c r="E671" s="30" t="n"/>
      <c r="F671" s="31" t="n">
        <v>131</v>
      </c>
      <c r="G671" s="30" t="n"/>
    </row>
    <row r="673" ht="33" customHeight="1">
      <c r="A673" s="8" t="inlineStr">
        <is>
          <t>10.26</t>
        </is>
      </c>
      <c r="B673" s="17" t="inlineStr">
        <is>
          <t>Providing and fixing hand rail of approved size by welding etc. to steel ladder railing, balcony railing, staircase railing and similar works, including applying priming coat of approved steel primer.</t>
        </is>
      </c>
      <c r="C673" s="9" t="n"/>
      <c r="D673" s="9" t="n"/>
      <c r="E673" s="9" t="n"/>
      <c r="F673" s="9" t="n"/>
      <c r="G673" s="9" t="n"/>
    </row>
    <row r="674" ht="18.5" customHeight="1">
      <c r="A674" s="18" t="inlineStr">
        <is>
          <t>10.26.1</t>
        </is>
      </c>
      <c r="B674" s="19" t="inlineStr">
        <is>
          <t>M.S. tube</t>
        </is>
      </c>
      <c r="C674" s="20" t="n"/>
      <c r="D674" s="20" t="n"/>
      <c r="E674" s="20" t="n"/>
      <c r="F674" s="20" t="n"/>
      <c r="G674" s="20" t="n"/>
    </row>
    <row r="675">
      <c r="A675" s="21" t="inlineStr">
        <is>
          <t>Details of cost for 19.49 kg   |   Source: CivilDAR_2019_Vol_1.pdf, page 709</t>
        </is>
      </c>
    </row>
    <row r="676">
      <c r="A676" s="5" t="inlineStr">
        <is>
          <t>Code</t>
        </is>
      </c>
      <c r="B676" s="5" t="inlineStr">
        <is>
          <t>Description</t>
        </is>
      </c>
      <c r="C676" s="5" t="inlineStr">
        <is>
          <t>Unit</t>
        </is>
      </c>
      <c r="D676" s="5" t="inlineStr">
        <is>
          <t>Quantity</t>
        </is>
      </c>
      <c r="E676" s="5" t="inlineStr">
        <is>
          <t>Rate (Rs.)</t>
        </is>
      </c>
      <c r="F676" s="5" t="inlineStr">
        <is>
          <t>Amount (Rs.)</t>
        </is>
      </c>
      <c r="G676" s="5" t="inlineStr">
        <is>
          <t>Note</t>
        </is>
      </c>
    </row>
    <row r="677">
      <c r="A677" s="22" t="inlineStr">
        <is>
          <t>4009</t>
        </is>
      </c>
      <c r="B677" s="11" t="inlineStr">
        <is>
          <t>Mild steel tubes hot finished welded type</t>
        </is>
      </c>
      <c r="C677" s="22" t="inlineStr">
        <is>
          <t>kilogram</t>
        </is>
      </c>
      <c r="D677" s="23" t="n">
        <v>20.46</v>
      </c>
      <c r="E677" s="24" t="n">
        <v>57</v>
      </c>
      <c r="F677" s="24">
        <f>D677*E677</f>
        <v/>
      </c>
      <c r="G677" s="22" t="n"/>
    </row>
    <row r="678">
      <c r="A678" s="22" t="inlineStr">
        <is>
          <t>2205</t>
        </is>
      </c>
      <c r="B678" s="11" t="inlineStr">
        <is>
          <t>Carriage of Steel</t>
        </is>
      </c>
      <c r="C678" s="22" t="inlineStr">
        <is>
          <t>tonne</t>
        </is>
      </c>
      <c r="D678" s="23" t="n">
        <v>0.0205</v>
      </c>
      <c r="E678" s="24" t="n">
        <v>92.23999999999999</v>
      </c>
      <c r="F678" s="24">
        <f>D678*E678</f>
        <v/>
      </c>
      <c r="G678" s="22" t="n"/>
    </row>
    <row r="679">
      <c r="A679" s="22" t="inlineStr">
        <is>
          <t>13.50.3</t>
        </is>
      </c>
      <c r="B679" s="11" t="inlineStr">
        <is>
          <t>Rate as per item 13.50.3 - Applying priming coat - With ready mixed red oxide zinc chromate primer of approved brand and manufacture o...</t>
        </is>
      </c>
      <c r="C679" s="22" t="inlineStr">
        <is>
          <t>sqm</t>
        </is>
      </c>
      <c r="D679" s="23" t="n">
        <v>0.82</v>
      </c>
      <c r="E679" s="24" t="n">
        <v>50.7</v>
      </c>
      <c r="F679" s="24">
        <f>D679*E679</f>
        <v/>
      </c>
      <c r="G679" s="22" t="n"/>
    </row>
    <row r="680">
      <c r="A680" s="22" t="inlineStr">
        <is>
          <t>1215</t>
        </is>
      </c>
      <c r="B680" s="11" t="inlineStr">
        <is>
          <t>Welding by electric plant</t>
        </is>
      </c>
      <c r="C680" s="22" t="inlineStr">
        <is>
          <t>cm</t>
        </is>
      </c>
      <c r="D680" s="23" t="n">
        <v>72</v>
      </c>
      <c r="E680" s="24" t="n">
        <v>2</v>
      </c>
      <c r="F680" s="24">
        <f>D680*E680</f>
        <v/>
      </c>
      <c r="G680" s="22" t="n"/>
    </row>
    <row r="681">
      <c r="A681" s="22" t="inlineStr">
        <is>
          <t>0102</t>
        </is>
      </c>
      <c r="B681" s="11" t="inlineStr">
        <is>
          <t>Blacksmith 1st class</t>
        </is>
      </c>
      <c r="C681" s="22" t="inlineStr">
        <is>
          <t>day</t>
        </is>
      </c>
      <c r="D681" s="23" t="n">
        <v>0.24</v>
      </c>
      <c r="E681" s="24" t="n">
        <v>738</v>
      </c>
      <c r="F681" s="24">
        <f>D681*E681</f>
        <v/>
      </c>
      <c r="G681" s="22" t="n"/>
    </row>
    <row r="682">
      <c r="A682" s="22" t="inlineStr">
        <is>
          <t>0114</t>
        </is>
      </c>
      <c r="B682" s="11" t="inlineStr">
        <is>
          <t>Beldar</t>
        </is>
      </c>
      <c r="C682" s="22" t="inlineStr">
        <is>
          <t>day</t>
        </is>
      </c>
      <c r="D682" s="23" t="n">
        <v>0.9</v>
      </c>
      <c r="E682" s="24" t="n">
        <v>558</v>
      </c>
      <c r="F682" s="24">
        <f>D682*E682</f>
        <v/>
      </c>
      <c r="G682" s="22" t="n"/>
    </row>
    <row r="683">
      <c r="A683" s="22" t="inlineStr">
        <is>
          <t>0100</t>
        </is>
      </c>
      <c r="B683" s="11" t="inlineStr">
        <is>
          <t>Bandhani</t>
        </is>
      </c>
      <c r="C683" s="22" t="inlineStr">
        <is>
          <t>day</t>
        </is>
      </c>
      <c r="D683" s="23" t="n">
        <v>0.12</v>
      </c>
      <c r="E683" s="24" t="n">
        <v>617</v>
      </c>
      <c r="F683" s="24">
        <f>D683*E683</f>
        <v/>
      </c>
      <c r="G683" s="22" t="n"/>
    </row>
    <row r="684">
      <c r="A684" s="22" t="inlineStr">
        <is>
          <t>9999</t>
        </is>
      </c>
      <c r="B684" s="11" t="inlineStr">
        <is>
          <t>Sundries</t>
        </is>
      </c>
      <c r="C684" s="22" t="inlineStr">
        <is>
          <t>L.S.</t>
        </is>
      </c>
      <c r="D684" s="23" t="n">
        <v>12.48</v>
      </c>
      <c r="E684" s="24" t="n">
        <v>2</v>
      </c>
      <c r="F684" s="24">
        <f>D684*E684</f>
        <v/>
      </c>
      <c r="G684" s="22" t="n"/>
    </row>
    <row r="685">
      <c r="A685" s="8" t="inlineStr">
        <is>
          <t>Calculated W - SUM of the Amount column above</t>
        </is>
      </c>
      <c r="B685" s="9" t="n"/>
      <c r="C685" s="9" t="n"/>
      <c r="D685" s="9" t="n"/>
      <c r="E685" s="9" t="n"/>
      <c r="F685" s="25">
        <f>SUM(F677:F684)</f>
        <v/>
      </c>
      <c r="G685" s="9" t="n"/>
    </row>
    <row r="686">
      <c r="A686" s="26" t="inlineStr">
        <is>
          <t>W as printed in the DAR</t>
        </is>
      </c>
      <c r="B686" s="22" t="n"/>
      <c r="C686" s="22" t="n"/>
      <c r="D686" s="22" t="n"/>
      <c r="E686" s="22" t="n"/>
      <c r="F686" s="27" t="n">
        <v>2132</v>
      </c>
      <c r="G686" s="22" t="n"/>
    </row>
    <row r="687">
      <c r="A687" s="26" t="inlineStr">
        <is>
          <t>Difference (calculated - printed)</t>
        </is>
      </c>
      <c r="B687" s="22" t="n"/>
      <c r="C687" s="22" t="n"/>
      <c r="D687" s="22" t="n"/>
      <c r="E687" s="22" t="n"/>
      <c r="F687" s="27">
        <f>F685-F686</f>
        <v/>
      </c>
      <c r="G687" s="22" t="n"/>
    </row>
    <row r="688">
      <c r="A688" s="29" t="inlineStr">
        <is>
          <t>SAY (Rs.) - final DAR rate as printed (fixed value, not computed)</t>
        </is>
      </c>
      <c r="B688" s="30" t="n"/>
      <c r="C688" s="30" t="n"/>
      <c r="D688" s="30" t="n"/>
      <c r="E688" s="30" t="n"/>
      <c r="F688" s="31" t="n">
        <v>145.65</v>
      </c>
      <c r="G688" s="30" t="n"/>
    </row>
    <row r="690" ht="33" customHeight="1">
      <c r="A690" s="8" t="inlineStr">
        <is>
          <t>10.26</t>
        </is>
      </c>
      <c r="B690" s="17" t="inlineStr">
        <is>
          <t>Providing and fixing hand rail of approved size by welding etc. to steel ladder railing, balcony railing, staircase railing and similar works, including applying priming coat of approved steel primer.</t>
        </is>
      </c>
      <c r="C690" s="9" t="n"/>
      <c r="D690" s="9" t="n"/>
      <c r="E690" s="9" t="n"/>
      <c r="F690" s="9" t="n"/>
      <c r="G690" s="9" t="n"/>
    </row>
    <row r="691" ht="18.5" customHeight="1">
      <c r="A691" s="18" t="inlineStr">
        <is>
          <t>10.26.2</t>
        </is>
      </c>
      <c r="B691" s="19" t="inlineStr">
        <is>
          <t>E.R.W. tubes</t>
        </is>
      </c>
      <c r="C691" s="20" t="n"/>
      <c r="D691" s="20" t="n"/>
      <c r="E691" s="20" t="n"/>
      <c r="F691" s="20" t="n"/>
      <c r="G691" s="20" t="n"/>
    </row>
    <row r="692">
      <c r="A692" s="21" t="inlineStr">
        <is>
          <t>Details of cost for 17.71 kg   |   Source: CivilDAR_2019_Vol_1.pdf, page 710</t>
        </is>
      </c>
    </row>
    <row r="693">
      <c r="A693" s="5" t="inlineStr">
        <is>
          <t>Code</t>
        </is>
      </c>
      <c r="B693" s="5" t="inlineStr">
        <is>
          <t>Description</t>
        </is>
      </c>
      <c r="C693" s="5" t="inlineStr">
        <is>
          <t>Unit</t>
        </is>
      </c>
      <c r="D693" s="5" t="inlineStr">
        <is>
          <t>Quantity</t>
        </is>
      </c>
      <c r="E693" s="5" t="inlineStr">
        <is>
          <t>Rate (Rs.)</t>
        </is>
      </c>
      <c r="F693" s="5" t="inlineStr">
        <is>
          <t>Amount (Rs.)</t>
        </is>
      </c>
      <c r="G693" s="5" t="inlineStr">
        <is>
          <t>Note</t>
        </is>
      </c>
    </row>
    <row r="694">
      <c r="A694" s="22" t="inlineStr">
        <is>
          <t>4011</t>
        </is>
      </c>
      <c r="B694" s="11" t="inlineStr">
        <is>
          <t>Mild steel tubes electric resistant or induction butt welded</t>
        </is>
      </c>
      <c r="C694" s="22" t="inlineStr">
        <is>
          <t>kilogram</t>
        </is>
      </c>
      <c r="D694" s="23" t="n">
        <v>18.59</v>
      </c>
      <c r="E694" s="24" t="n">
        <v>47</v>
      </c>
      <c r="F694" s="24">
        <f>D694*E694</f>
        <v/>
      </c>
      <c r="G694" s="22" t="n"/>
    </row>
    <row r="695">
      <c r="A695" s="22" t="inlineStr">
        <is>
          <t>2205</t>
        </is>
      </c>
      <c r="B695" s="11" t="inlineStr">
        <is>
          <t>Carriage of Steel</t>
        </is>
      </c>
      <c r="C695" s="22" t="inlineStr">
        <is>
          <t>tonne</t>
        </is>
      </c>
      <c r="D695" s="23" t="n">
        <v>0.0186</v>
      </c>
      <c r="E695" s="24" t="n">
        <v>92.23999999999999</v>
      </c>
      <c r="F695" s="24">
        <f>D695*E695</f>
        <v/>
      </c>
      <c r="G695" s="22" t="n"/>
    </row>
    <row r="696">
      <c r="A696" s="22" t="inlineStr">
        <is>
          <t>13.50.3</t>
        </is>
      </c>
      <c r="B696" s="11" t="inlineStr">
        <is>
          <t>Rate as per item 13.50.3 - Applying priming coat - With ready mixed red oxide zinc chromate primer of approved brand and manufacture o...</t>
        </is>
      </c>
      <c r="C696" s="22" t="inlineStr">
        <is>
          <t>sqm</t>
        </is>
      </c>
      <c r="D696" s="23" t="n">
        <v>0.82</v>
      </c>
      <c r="E696" s="24" t="n">
        <v>50.7</v>
      </c>
      <c r="F696" s="24">
        <f>D696*E696</f>
        <v/>
      </c>
      <c r="G696" s="22" t="n"/>
    </row>
    <row r="697">
      <c r="A697" s="22" t="inlineStr">
        <is>
          <t>1215</t>
        </is>
      </c>
      <c r="B697" s="11" t="inlineStr">
        <is>
          <t>Welding by electric plant</t>
        </is>
      </c>
      <c r="C697" s="22" t="inlineStr">
        <is>
          <t>cm</t>
        </is>
      </c>
      <c r="D697" s="23" t="n">
        <v>72</v>
      </c>
      <c r="E697" s="24" t="n">
        <v>2</v>
      </c>
      <c r="F697" s="24">
        <f>D697*E697</f>
        <v/>
      </c>
      <c r="G697" s="22" t="n"/>
    </row>
    <row r="698">
      <c r="A698" s="22" t="inlineStr">
        <is>
          <t>0102</t>
        </is>
      </c>
      <c r="B698" s="11" t="inlineStr">
        <is>
          <t>Blacksmith 1st class</t>
        </is>
      </c>
      <c r="C698" s="22" t="inlineStr">
        <is>
          <t>day</t>
        </is>
      </c>
      <c r="D698" s="23" t="n">
        <v>0.24</v>
      </c>
      <c r="E698" s="24" t="n">
        <v>738</v>
      </c>
      <c r="F698" s="24">
        <f>D698*E698</f>
        <v/>
      </c>
      <c r="G698" s="22" t="n"/>
    </row>
    <row r="699">
      <c r="A699" s="22" t="inlineStr">
        <is>
          <t>0114</t>
        </is>
      </c>
      <c r="B699" s="11" t="inlineStr">
        <is>
          <t>Beldar</t>
        </is>
      </c>
      <c r="C699" s="22" t="inlineStr">
        <is>
          <t>day</t>
        </is>
      </c>
      <c r="D699" s="23" t="n">
        <v>0.9</v>
      </c>
      <c r="E699" s="24" t="n">
        <v>558</v>
      </c>
      <c r="F699" s="24">
        <f>D699*E699</f>
        <v/>
      </c>
      <c r="G699" s="22" t="n"/>
    </row>
    <row r="700">
      <c r="A700" s="22" t="inlineStr">
        <is>
          <t>0100</t>
        </is>
      </c>
      <c r="B700" s="11" t="inlineStr">
        <is>
          <t>Bandhani</t>
        </is>
      </c>
      <c r="C700" s="22" t="inlineStr">
        <is>
          <t>day</t>
        </is>
      </c>
      <c r="D700" s="23" t="n">
        <v>0.12</v>
      </c>
      <c r="E700" s="24" t="n">
        <v>617</v>
      </c>
      <c r="F700" s="24">
        <f>D700*E700</f>
        <v/>
      </c>
      <c r="G700" s="22" t="n"/>
    </row>
    <row r="701">
      <c r="A701" s="22" t="inlineStr">
        <is>
          <t>9999</t>
        </is>
      </c>
      <c r="B701" s="11" t="inlineStr">
        <is>
          <t>Sundries</t>
        </is>
      </c>
      <c r="C701" s="22" t="inlineStr">
        <is>
          <t>L.S.</t>
        </is>
      </c>
      <c r="D701" s="23" t="n">
        <v>12.48</v>
      </c>
      <c r="E701" s="24" t="n">
        <v>2</v>
      </c>
      <c r="F701" s="24">
        <f>D701*E701</f>
        <v/>
      </c>
      <c r="G701" s="22" t="n"/>
    </row>
    <row r="702">
      <c r="A702" s="8" t="inlineStr">
        <is>
          <t>Calculated W - SUM of the Amount column above</t>
        </is>
      </c>
      <c r="B702" s="9" t="n"/>
      <c r="C702" s="9" t="n"/>
      <c r="D702" s="9" t="n"/>
      <c r="E702" s="9" t="n"/>
      <c r="F702" s="25">
        <f>SUM(F694:F701)</f>
        <v/>
      </c>
      <c r="G702" s="9" t="n"/>
    </row>
    <row r="703">
      <c r="A703" s="26" t="inlineStr">
        <is>
          <t>W as printed in the DAR</t>
        </is>
      </c>
      <c r="B703" s="22" t="n"/>
      <c r="C703" s="22" t="n"/>
      <c r="D703" s="22" t="n"/>
      <c r="E703" s="22" t="n"/>
      <c r="F703" s="27" t="n">
        <v>1839.34</v>
      </c>
      <c r="G703" s="22" t="n"/>
    </row>
    <row r="704">
      <c r="A704" s="26" t="inlineStr">
        <is>
          <t>Difference (calculated - printed)</t>
        </is>
      </c>
      <c r="B704" s="22" t="n"/>
      <c r="C704" s="22" t="n"/>
      <c r="D704" s="22" t="n"/>
      <c r="E704" s="22" t="n"/>
      <c r="F704" s="27">
        <f>F702-F703</f>
        <v/>
      </c>
      <c r="G704" s="22" t="n"/>
    </row>
    <row r="705">
      <c r="A705" s="29" t="inlineStr">
        <is>
          <t>SAY (Rs.) - final DAR rate as printed (fixed value, not computed)</t>
        </is>
      </c>
      <c r="B705" s="30" t="n"/>
      <c r="C705" s="30" t="n"/>
      <c r="D705" s="30" t="n"/>
      <c r="E705" s="30" t="n"/>
      <c r="F705" s="31" t="n">
        <v>138.15</v>
      </c>
      <c r="G705" s="30" t="n"/>
    </row>
    <row r="707" ht="33" customHeight="1">
      <c r="A707" s="8" t="inlineStr">
        <is>
          <t>10.26</t>
        </is>
      </c>
      <c r="B707" s="17" t="inlineStr">
        <is>
          <t>Providing and fixing hand rail of approved size by welding etc. to steel ladder railing, balcony railing, staircase railing and similar works, including applying priming coat of approved steel primer.</t>
        </is>
      </c>
      <c r="C707" s="9" t="n"/>
      <c r="D707" s="9" t="n"/>
      <c r="E707" s="9" t="n"/>
      <c r="F707" s="9" t="n"/>
      <c r="G707" s="9" t="n"/>
    </row>
    <row r="708" ht="18.5" customHeight="1">
      <c r="A708" s="18" t="inlineStr">
        <is>
          <t>10.26.3</t>
        </is>
      </c>
      <c r="B708" s="19" t="inlineStr">
        <is>
          <t>G.I. pipes</t>
        </is>
      </c>
      <c r="C708" s="20" t="n"/>
      <c r="D708" s="20" t="n"/>
      <c r="E708" s="20" t="n"/>
      <c r="F708" s="20" t="n"/>
      <c r="G708" s="20" t="n"/>
    </row>
    <row r="709">
      <c r="A709" s="21" t="inlineStr">
        <is>
          <t>Details of cost for 20.09 kg   |   Source: CivilDAR_2019_Vol_1.pdf, page 711</t>
        </is>
      </c>
    </row>
    <row r="710">
      <c r="A710" s="5" t="inlineStr">
        <is>
          <t>Code</t>
        </is>
      </c>
      <c r="B710" s="5" t="inlineStr">
        <is>
          <t>Description</t>
        </is>
      </c>
      <c r="C710" s="5" t="inlineStr">
        <is>
          <t>Unit</t>
        </is>
      </c>
      <c r="D710" s="5" t="inlineStr">
        <is>
          <t>Quantity</t>
        </is>
      </c>
      <c r="E710" s="5" t="inlineStr">
        <is>
          <t>Rate (Rs.)</t>
        </is>
      </c>
      <c r="F710" s="5" t="inlineStr">
        <is>
          <t>Amount (Rs.)</t>
        </is>
      </c>
      <c r="G710" s="5" t="inlineStr">
        <is>
          <t>Note</t>
        </is>
      </c>
    </row>
    <row r="711">
      <c r="A711" s="22" t="inlineStr">
        <is>
          <t>1549</t>
        </is>
      </c>
      <c r="B711" s="11" t="inlineStr">
        <is>
          <t>G.I. pipes 40 mm dia</t>
        </is>
      </c>
      <c r="C711" s="22" t="inlineStr">
        <is>
          <t>metre</t>
        </is>
      </c>
      <c r="D711" s="23" t="n">
        <v>5.67</v>
      </c>
      <c r="E711" s="24" t="n">
        <v>250</v>
      </c>
      <c r="F711" s="24">
        <f>D711*E711</f>
        <v/>
      </c>
      <c r="G711" s="22" t="n"/>
    </row>
    <row r="712">
      <c r="A712" s="22" t="inlineStr">
        <is>
          <t>2271</t>
        </is>
      </c>
      <c r="B712" s="11" t="inlineStr">
        <is>
          <t>Carriage of G.I. pipes below 100 mm dia</t>
        </is>
      </c>
      <c r="C712" s="22" t="inlineStr">
        <is>
          <t>tonne</t>
        </is>
      </c>
      <c r="D712" s="23" t="n">
        <v>0.0211</v>
      </c>
      <c r="E712" s="24" t="n">
        <v>92.23999999999999</v>
      </c>
      <c r="F712" s="24">
        <f>D712*E712</f>
        <v/>
      </c>
      <c r="G712" s="22" t="n"/>
    </row>
    <row r="713">
      <c r="A713" s="22" t="inlineStr">
        <is>
          <t>13.50.3</t>
        </is>
      </c>
      <c r="B713" s="11" t="inlineStr">
        <is>
          <t>Rate as per item 13.50.3 - Applying priming coat - With ready mixed red oxide zinc chromate primer of approved brand and manufacture o...</t>
        </is>
      </c>
      <c r="C713" s="22" t="inlineStr">
        <is>
          <t>sqm</t>
        </is>
      </c>
      <c r="D713" s="23" t="n">
        <v>0.82</v>
      </c>
      <c r="E713" s="24" t="n">
        <v>50.7</v>
      </c>
      <c r="F713" s="24">
        <f>D713*E713</f>
        <v/>
      </c>
      <c r="G713" s="22" t="n"/>
    </row>
    <row r="714">
      <c r="A714" s="22" t="inlineStr">
        <is>
          <t>1215</t>
        </is>
      </c>
      <c r="B714" s="11" t="inlineStr">
        <is>
          <t>Welding by electric plant</t>
        </is>
      </c>
      <c r="C714" s="22" t="inlineStr">
        <is>
          <t>cm</t>
        </is>
      </c>
      <c r="D714" s="23" t="n">
        <v>72</v>
      </c>
      <c r="E714" s="24" t="n">
        <v>2</v>
      </c>
      <c r="F714" s="24">
        <f>D714*E714</f>
        <v/>
      </c>
      <c r="G714" s="22" t="n"/>
    </row>
    <row r="715">
      <c r="A715" s="22" t="inlineStr">
        <is>
          <t>0102</t>
        </is>
      </c>
      <c r="B715" s="11" t="inlineStr">
        <is>
          <t>Blacksmith 1st class</t>
        </is>
      </c>
      <c r="C715" s="22" t="inlineStr">
        <is>
          <t>day</t>
        </is>
      </c>
      <c r="D715" s="23" t="n">
        <v>0.24</v>
      </c>
      <c r="E715" s="24" t="n">
        <v>738</v>
      </c>
      <c r="F715" s="24">
        <f>D715*E715</f>
        <v/>
      </c>
      <c r="G715" s="22" t="n"/>
    </row>
    <row r="716">
      <c r="A716" s="22" t="inlineStr">
        <is>
          <t>0114</t>
        </is>
      </c>
      <c r="B716" s="11" t="inlineStr">
        <is>
          <t>Beldar</t>
        </is>
      </c>
      <c r="C716" s="22" t="inlineStr">
        <is>
          <t>day</t>
        </is>
      </c>
      <c r="D716" s="23" t="n">
        <v>0.9</v>
      </c>
      <c r="E716" s="24" t="n">
        <v>558</v>
      </c>
      <c r="F716" s="24">
        <f>D716*E716</f>
        <v/>
      </c>
      <c r="G716" s="22" t="n"/>
    </row>
    <row r="717">
      <c r="A717" s="22" t="inlineStr">
        <is>
          <t>0100</t>
        </is>
      </c>
      <c r="B717" s="11" t="inlineStr">
        <is>
          <t>Bandhani</t>
        </is>
      </c>
      <c r="C717" s="22" t="inlineStr">
        <is>
          <t>day</t>
        </is>
      </c>
      <c r="D717" s="23" t="n">
        <v>0.12</v>
      </c>
      <c r="E717" s="24" t="n">
        <v>617</v>
      </c>
      <c r="F717" s="24">
        <f>D717*E717</f>
        <v/>
      </c>
      <c r="G717" s="22" t="n"/>
    </row>
    <row r="718">
      <c r="A718" s="22" t="inlineStr">
        <is>
          <t>9999</t>
        </is>
      </c>
      <c r="B718" s="11" t="inlineStr">
        <is>
          <t>Sundries</t>
        </is>
      </c>
      <c r="C718" s="22" t="inlineStr">
        <is>
          <t>L.S.</t>
        </is>
      </c>
      <c r="D718" s="23" t="n">
        <v>12.48</v>
      </c>
      <c r="E718" s="24" t="n">
        <v>2</v>
      </c>
      <c r="F718" s="24">
        <f>D718*E718</f>
        <v/>
      </c>
      <c r="G718" s="22" t="n"/>
    </row>
    <row r="719">
      <c r="A719" s="8" t="inlineStr">
        <is>
          <t>Calculated W - SUM of the Amount column above</t>
        </is>
      </c>
      <c r="B719" s="9" t="n"/>
      <c r="C719" s="9" t="n"/>
      <c r="D719" s="9" t="n"/>
      <c r="E719" s="9" t="n"/>
      <c r="F719" s="25">
        <f>SUM(F711:F718)</f>
        <v/>
      </c>
      <c r="G719" s="9" t="n"/>
    </row>
    <row r="720">
      <c r="A720" s="26" t="inlineStr">
        <is>
          <t>W as printed in the DAR</t>
        </is>
      </c>
      <c r="B720" s="22" t="n"/>
      <c r="C720" s="22" t="n"/>
      <c r="D720" s="22" t="n"/>
      <c r="E720" s="22" t="n"/>
      <c r="F720" s="27" t="n">
        <v>2383.34</v>
      </c>
      <c r="G720" s="22" t="n"/>
    </row>
    <row r="721">
      <c r="A721" s="26" t="inlineStr">
        <is>
          <t>Difference (calculated - printed)</t>
        </is>
      </c>
      <c r="B721" s="22" t="n"/>
      <c r="C721" s="22" t="n"/>
      <c r="D721" s="22" t="n"/>
      <c r="E721" s="22" t="n"/>
      <c r="F721" s="27">
        <f>F719-F720</f>
        <v/>
      </c>
      <c r="G721" s="22" t="n"/>
    </row>
    <row r="722">
      <c r="A722" s="29" t="inlineStr">
        <is>
          <t>SAY (Rs.) - final DAR rate as printed (fixed value, not computed)</t>
        </is>
      </c>
      <c r="B722" s="30" t="n"/>
      <c r="C722" s="30" t="n"/>
      <c r="D722" s="30" t="n"/>
      <c r="E722" s="30" t="n"/>
      <c r="F722" s="31" t="n">
        <v>158</v>
      </c>
      <c r="G722" s="30" t="n"/>
    </row>
    <row r="724" ht="47.5" customHeight="1">
      <c r="A724" s="8" t="inlineStr">
        <is>
          <t>10.27</t>
        </is>
      </c>
      <c r="B724" s="17"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C724" s="9" t="n"/>
      <c r="D724" s="9" t="n"/>
      <c r="E724" s="9" t="n"/>
      <c r="F724" s="9" t="n"/>
      <c r="G724" s="9" t="n"/>
    </row>
    <row r="725" ht="18.5" customHeight="1">
      <c r="A725" s="18" t="inlineStr">
        <is>
          <t>10.27.1</t>
        </is>
      </c>
      <c r="B725" s="19" t="inlineStr">
        <is>
          <t>10 x 60 mm</t>
        </is>
      </c>
      <c r="C725" s="20" t="n"/>
      <c r="D725" s="20" t="n"/>
      <c r="E725" s="20" t="n"/>
      <c r="F725" s="20" t="n"/>
      <c r="G725" s="20" t="n"/>
    </row>
    <row r="726">
      <c r="A726" s="21" t="inlineStr">
        <is>
          <t>Details of cost for 10 nos   |   Source: CivilDAR_2019_Vol_1.pdf, page 712</t>
        </is>
      </c>
    </row>
    <row r="727">
      <c r="A727" s="5" t="inlineStr">
        <is>
          <t>Code</t>
        </is>
      </c>
      <c r="B727" s="5" t="inlineStr">
        <is>
          <t>Description</t>
        </is>
      </c>
      <c r="C727" s="5" t="inlineStr">
        <is>
          <t>Unit</t>
        </is>
      </c>
      <c r="D727" s="5" t="inlineStr">
        <is>
          <t>Quantity</t>
        </is>
      </c>
      <c r="E727" s="5" t="inlineStr">
        <is>
          <t>Rate (Rs.)</t>
        </is>
      </c>
      <c r="F727" s="5" t="inlineStr">
        <is>
          <t>Amount (Rs.)</t>
        </is>
      </c>
      <c r="G727" s="5" t="inlineStr">
        <is>
          <t>Note</t>
        </is>
      </c>
    </row>
    <row r="728">
      <c r="A728" s="22" t="inlineStr">
        <is>
          <t>2506</t>
        </is>
      </c>
      <c r="B728" s="11" t="inlineStr">
        <is>
          <t>Carben Steel galvanised dash fastner (min 5 micron) of 10 mm dia double threaded 6.8 grade counter sunk head screw comprising of 10 mm dia polyamide PA 6 grade sleave. Size 10mm x 60mm</t>
        </is>
      </c>
      <c r="C728" s="22" t="inlineStr">
        <is>
          <t>10 nos</t>
        </is>
      </c>
      <c r="D728" s="23" t="n">
        <v>1</v>
      </c>
      <c r="E728" s="24" t="n">
        <v>260</v>
      </c>
      <c r="F728" s="24">
        <f>D728*E728</f>
        <v/>
      </c>
      <c r="G728" s="22" t="n"/>
    </row>
    <row r="729">
      <c r="A729" s="22" t="inlineStr">
        <is>
          <t>0124</t>
        </is>
      </c>
      <c r="B729" s="11" t="inlineStr">
        <is>
          <t>Mason (brick layer) 2nd class</t>
        </is>
      </c>
      <c r="C729" s="22" t="inlineStr">
        <is>
          <t>day</t>
        </is>
      </c>
      <c r="D729" s="23" t="n">
        <v>0.4</v>
      </c>
      <c r="E729" s="24" t="n">
        <v>679</v>
      </c>
      <c r="F729" s="24">
        <f>D729*E729</f>
        <v/>
      </c>
      <c r="G729" s="22" t="n"/>
    </row>
    <row r="730">
      <c r="A730" s="22" t="inlineStr">
        <is>
          <t>0114</t>
        </is>
      </c>
      <c r="B730" s="11" t="inlineStr">
        <is>
          <t>Beldar</t>
        </is>
      </c>
      <c r="C730" s="22" t="inlineStr">
        <is>
          <t>day</t>
        </is>
      </c>
      <c r="D730" s="23" t="n">
        <v>0.4</v>
      </c>
      <c r="E730" s="24" t="n">
        <v>558</v>
      </c>
      <c r="F730" s="24">
        <f>D730*E730</f>
        <v/>
      </c>
      <c r="G730" s="22" t="n"/>
    </row>
    <row r="731">
      <c r="A731" s="22" t="inlineStr">
        <is>
          <t>9977</t>
        </is>
      </c>
      <c r="B731" s="11" t="inlineStr">
        <is>
          <t>Sundries for carriage of material</t>
        </is>
      </c>
      <c r="C731" s="22" t="inlineStr">
        <is>
          <t>L.S.</t>
        </is>
      </c>
      <c r="D731" s="23" t="n">
        <v>10</v>
      </c>
      <c r="E731" s="24" t="n">
        <v>2</v>
      </c>
      <c r="F731" s="24">
        <f>D731*E731</f>
        <v/>
      </c>
      <c r="G731" s="22" t="n"/>
    </row>
    <row r="732">
      <c r="A732" s="8" t="inlineStr">
        <is>
          <t>Calculated W - SUM of the Amount column above</t>
        </is>
      </c>
      <c r="B732" s="9" t="n"/>
      <c r="C732" s="9" t="n"/>
      <c r="D732" s="9" t="n"/>
      <c r="E732" s="9" t="n"/>
      <c r="F732" s="25">
        <f>SUM(F728:F731)</f>
        <v/>
      </c>
      <c r="G732" s="9" t="n"/>
    </row>
    <row r="733">
      <c r="A733" s="26" t="inlineStr">
        <is>
          <t>W as printed in the DAR</t>
        </is>
      </c>
      <c r="B733" s="22" t="n"/>
      <c r="C733" s="22" t="n"/>
      <c r="D733" s="22" t="n"/>
      <c r="E733" s="22" t="n"/>
      <c r="F733" s="27" t="n">
        <v>774.8</v>
      </c>
      <c r="G733" s="22" t="n"/>
    </row>
    <row r="734">
      <c r="A734" s="26" t="inlineStr">
        <is>
          <t>Difference (calculated - printed)</t>
        </is>
      </c>
      <c r="B734" s="22" t="n"/>
      <c r="C734" s="22" t="n"/>
      <c r="D734" s="22" t="n"/>
      <c r="E734" s="22" t="n"/>
      <c r="F734" s="27">
        <f>F732-F733</f>
        <v/>
      </c>
      <c r="G734" s="22" t="n"/>
    </row>
    <row r="735">
      <c r="A735" s="29" t="inlineStr">
        <is>
          <t>SAY (Rs.) - final DAR rate as printed (fixed value, not computed)</t>
        </is>
      </c>
      <c r="B735" s="30" t="n"/>
      <c r="C735" s="30" t="n"/>
      <c r="D735" s="30" t="n"/>
      <c r="E735" s="30" t="n"/>
      <c r="F735" s="31" t="n">
        <v>103.65</v>
      </c>
      <c r="G735" s="30" t="n"/>
    </row>
    <row r="737" ht="47.5" customHeight="1">
      <c r="A737" s="8" t="inlineStr">
        <is>
          <t>10.27</t>
        </is>
      </c>
      <c r="B737" s="17"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C737" s="9" t="n"/>
      <c r="D737" s="9" t="n"/>
      <c r="E737" s="9" t="n"/>
      <c r="F737" s="9" t="n"/>
      <c r="G737" s="9" t="n"/>
    </row>
    <row r="738" ht="18.5" customHeight="1">
      <c r="A738" s="18" t="inlineStr">
        <is>
          <t>10.27.2</t>
        </is>
      </c>
      <c r="B738" s="19" t="inlineStr">
        <is>
          <t>10 x 80 mm</t>
        </is>
      </c>
      <c r="C738" s="20" t="n"/>
      <c r="D738" s="20" t="n"/>
      <c r="E738" s="20" t="n"/>
      <c r="F738" s="20" t="n"/>
      <c r="G738" s="20" t="n"/>
    </row>
    <row r="739">
      <c r="A739" s="21" t="inlineStr">
        <is>
          <t>Details of cost for 10 nos   |   Source: CivilDAR_2019_Vol_1.pdf, page 712</t>
        </is>
      </c>
    </row>
    <row r="740">
      <c r="A740" s="5" t="inlineStr">
        <is>
          <t>Code</t>
        </is>
      </c>
      <c r="B740" s="5" t="inlineStr">
        <is>
          <t>Description</t>
        </is>
      </c>
      <c r="C740" s="5" t="inlineStr">
        <is>
          <t>Unit</t>
        </is>
      </c>
      <c r="D740" s="5" t="inlineStr">
        <is>
          <t>Quantity</t>
        </is>
      </c>
      <c r="E740" s="5" t="inlineStr">
        <is>
          <t>Rate (Rs.)</t>
        </is>
      </c>
      <c r="F740" s="5" t="inlineStr">
        <is>
          <t>Amount (Rs.)</t>
        </is>
      </c>
      <c r="G740" s="5" t="inlineStr">
        <is>
          <t>Note</t>
        </is>
      </c>
    </row>
    <row r="741">
      <c r="A741" s="22" t="inlineStr">
        <is>
          <t>2507</t>
        </is>
      </c>
      <c r="B741" s="11" t="inlineStr">
        <is>
          <t>Carben Steel galvanised dash fastner (min5 micron) of 10 mm dia double threaded 6.8 grade counter sunk head screw comprising of 10 mm dia polyamide PA 6 grade sleave. Size 10mm x 80mm</t>
        </is>
      </c>
      <c r="C741" s="22" t="inlineStr">
        <is>
          <t>10 nos</t>
        </is>
      </c>
      <c r="D741" s="23" t="n">
        <v>1</v>
      </c>
      <c r="E741" s="24" t="n">
        <v>300</v>
      </c>
      <c r="F741" s="24">
        <f>D741*E741</f>
        <v/>
      </c>
      <c r="G741" s="22" t="n"/>
    </row>
    <row r="742">
      <c r="A742" s="22" t="inlineStr">
        <is>
          <t>0124</t>
        </is>
      </c>
      <c r="B742" s="11" t="inlineStr">
        <is>
          <t>Mason (brick layer) 2nd class</t>
        </is>
      </c>
      <c r="C742" s="22" t="inlineStr">
        <is>
          <t>day</t>
        </is>
      </c>
      <c r="D742" s="23" t="n">
        <v>0.4</v>
      </c>
      <c r="E742" s="24" t="n">
        <v>679</v>
      </c>
      <c r="F742" s="24">
        <f>D742*E742</f>
        <v/>
      </c>
      <c r="G742" s="22" t="n"/>
    </row>
    <row r="743">
      <c r="A743" s="22" t="inlineStr">
        <is>
          <t>0114</t>
        </is>
      </c>
      <c r="B743" s="11" t="inlineStr">
        <is>
          <t>Beldar</t>
        </is>
      </c>
      <c r="C743" s="22" t="inlineStr">
        <is>
          <t>day</t>
        </is>
      </c>
      <c r="D743" s="23" t="n">
        <v>0.4</v>
      </c>
      <c r="E743" s="24" t="n">
        <v>558</v>
      </c>
      <c r="F743" s="24">
        <f>D743*E743</f>
        <v/>
      </c>
      <c r="G743" s="22" t="n"/>
    </row>
    <row r="744">
      <c r="A744" s="22" t="inlineStr">
        <is>
          <t>9977</t>
        </is>
      </c>
      <c r="B744" s="11" t="inlineStr">
        <is>
          <t>Sundries for carriage of material</t>
        </is>
      </c>
      <c r="C744" s="22" t="inlineStr">
        <is>
          <t>L.S.</t>
        </is>
      </c>
      <c r="D744" s="23" t="n">
        <v>10</v>
      </c>
      <c r="E744" s="24" t="n">
        <v>2</v>
      </c>
      <c r="F744" s="24">
        <f>D744*E744</f>
        <v/>
      </c>
      <c r="G744" s="22" t="n"/>
    </row>
    <row r="745">
      <c r="A745" s="8" t="inlineStr">
        <is>
          <t>Calculated W - SUM of the Amount column above</t>
        </is>
      </c>
      <c r="B745" s="9" t="n"/>
      <c r="C745" s="9" t="n"/>
      <c r="D745" s="9" t="n"/>
      <c r="E745" s="9" t="n"/>
      <c r="F745" s="25">
        <f>SUM(F741:F744)</f>
        <v/>
      </c>
      <c r="G745" s="9" t="n"/>
    </row>
    <row r="746">
      <c r="A746" s="26" t="inlineStr">
        <is>
          <t>W as printed in the DAR</t>
        </is>
      </c>
      <c r="B746" s="22" t="n"/>
      <c r="C746" s="22" t="n"/>
      <c r="D746" s="22" t="n"/>
      <c r="E746" s="22" t="n"/>
      <c r="F746" s="27" t="n">
        <v>814.8</v>
      </c>
      <c r="G746" s="22" t="n"/>
    </row>
    <row r="747">
      <c r="A747" s="26" t="inlineStr">
        <is>
          <t>Difference (calculated - printed)</t>
        </is>
      </c>
      <c r="B747" s="22" t="n"/>
      <c r="C747" s="22" t="n"/>
      <c r="D747" s="22" t="n"/>
      <c r="E747" s="22" t="n"/>
      <c r="F747" s="27">
        <f>F745-F746</f>
        <v/>
      </c>
      <c r="G747" s="22" t="n"/>
    </row>
    <row r="748">
      <c r="A748" s="29" t="inlineStr">
        <is>
          <t>SAY (Rs.) - final DAR rate as printed (fixed value, not computed)</t>
        </is>
      </c>
      <c r="B748" s="30" t="n"/>
      <c r="C748" s="30" t="n"/>
      <c r="D748" s="30" t="n"/>
      <c r="E748" s="30" t="n"/>
      <c r="F748" s="31" t="n">
        <v>109</v>
      </c>
      <c r="G748" s="30" t="n"/>
    </row>
    <row r="750" ht="47.5" customHeight="1">
      <c r="A750" s="8" t="inlineStr">
        <is>
          <t>10.27</t>
        </is>
      </c>
      <c r="B750" s="17"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C750" s="9" t="n"/>
      <c r="D750" s="9" t="n"/>
      <c r="E750" s="9" t="n"/>
      <c r="F750" s="9" t="n"/>
      <c r="G750" s="9" t="n"/>
    </row>
    <row r="751" ht="18.5" customHeight="1">
      <c r="A751" s="18" t="inlineStr">
        <is>
          <t>10.27.3</t>
        </is>
      </c>
      <c r="B751" s="19" t="inlineStr">
        <is>
          <t>10 x 120 mm</t>
        </is>
      </c>
      <c r="C751" s="20" t="n"/>
      <c r="D751" s="20" t="n"/>
      <c r="E751" s="20" t="n"/>
      <c r="F751" s="20" t="n"/>
      <c r="G751" s="20" t="n"/>
    </row>
    <row r="752">
      <c r="A752" s="21" t="inlineStr">
        <is>
          <t>Details of cost for 10 nos   |   Source: CivilDAR_2019_Vol_1.pdf, page 713</t>
        </is>
      </c>
    </row>
    <row r="753">
      <c r="A753" s="5" t="inlineStr">
        <is>
          <t>Code</t>
        </is>
      </c>
      <c r="B753" s="5" t="inlineStr">
        <is>
          <t>Description</t>
        </is>
      </c>
      <c r="C753" s="5" t="inlineStr">
        <is>
          <t>Unit</t>
        </is>
      </c>
      <c r="D753" s="5" t="inlineStr">
        <is>
          <t>Quantity</t>
        </is>
      </c>
      <c r="E753" s="5" t="inlineStr">
        <is>
          <t>Rate (Rs.)</t>
        </is>
      </c>
      <c r="F753" s="5" t="inlineStr">
        <is>
          <t>Amount (Rs.)</t>
        </is>
      </c>
      <c r="G753" s="5" t="inlineStr">
        <is>
          <t>Note</t>
        </is>
      </c>
    </row>
    <row r="754">
      <c r="A754" s="22" t="inlineStr">
        <is>
          <t>2508</t>
        </is>
      </c>
      <c r="B754" s="11" t="inlineStr">
        <is>
          <t>Carben Steel galvanised dash fastner (min 5 micron) of 10 mm dia double threaded 6.8 grade counter sunk head screw comprising of 10 mm dia polyamide PA 6 grade sleave. Size 10mm x 120mm</t>
        </is>
      </c>
      <c r="C754" s="22" t="inlineStr">
        <is>
          <t>10 nos</t>
        </is>
      </c>
      <c r="D754" s="23" t="n">
        <v>1</v>
      </c>
      <c r="E754" s="24" t="n">
        <v>365</v>
      </c>
      <c r="F754" s="24">
        <f>D754*E754</f>
        <v/>
      </c>
      <c r="G754" s="22" t="n"/>
    </row>
    <row r="755">
      <c r="A755" s="22" t="inlineStr">
        <is>
          <t>0124</t>
        </is>
      </c>
      <c r="B755" s="11" t="inlineStr">
        <is>
          <t>Mason (brick layer) 2nd class</t>
        </is>
      </c>
      <c r="C755" s="22" t="inlineStr">
        <is>
          <t>day</t>
        </is>
      </c>
      <c r="D755" s="23" t="n">
        <v>0.5</v>
      </c>
      <c r="E755" s="24" t="n">
        <v>679</v>
      </c>
      <c r="F755" s="24">
        <f>D755*E755</f>
        <v/>
      </c>
      <c r="G755" s="22" t="n"/>
    </row>
    <row r="756">
      <c r="A756" s="22" t="inlineStr">
        <is>
          <t>0114</t>
        </is>
      </c>
      <c r="B756" s="11" t="inlineStr">
        <is>
          <t>Beldar</t>
        </is>
      </c>
      <c r="C756" s="22" t="inlineStr">
        <is>
          <t>day</t>
        </is>
      </c>
      <c r="D756" s="23" t="n">
        <v>0.5</v>
      </c>
      <c r="E756" s="24" t="n">
        <v>558</v>
      </c>
      <c r="F756" s="24">
        <f>D756*E756</f>
        <v/>
      </c>
      <c r="G756" s="22" t="n"/>
    </row>
    <row r="757">
      <c r="A757" s="22" t="inlineStr">
        <is>
          <t>9977</t>
        </is>
      </c>
      <c r="B757" s="11" t="inlineStr">
        <is>
          <t>Sundries for carriage of material</t>
        </is>
      </c>
      <c r="C757" s="22" t="inlineStr">
        <is>
          <t>L.S.</t>
        </is>
      </c>
      <c r="D757" s="23" t="n">
        <v>10</v>
      </c>
      <c r="E757" s="24" t="n">
        <v>2</v>
      </c>
      <c r="F757" s="24">
        <f>D757*E757</f>
        <v/>
      </c>
      <c r="G757" s="22" t="n"/>
    </row>
    <row r="758">
      <c r="A758" s="8" t="inlineStr">
        <is>
          <t>Calculated W - SUM of the Amount column above</t>
        </is>
      </c>
      <c r="B758" s="9" t="n"/>
      <c r="C758" s="9" t="n"/>
      <c r="D758" s="9" t="n"/>
      <c r="E758" s="9" t="n"/>
      <c r="F758" s="25">
        <f>SUM(F754:F757)</f>
        <v/>
      </c>
      <c r="G758" s="9" t="n"/>
    </row>
    <row r="759">
      <c r="A759" s="26" t="inlineStr">
        <is>
          <t>W as printed in the DAR</t>
        </is>
      </c>
      <c r="B759" s="22" t="n"/>
      <c r="C759" s="22" t="n"/>
      <c r="D759" s="22" t="n"/>
      <c r="E759" s="22" t="n"/>
      <c r="F759" s="27" t="n">
        <v>1003.5</v>
      </c>
      <c r="G759" s="22" t="n"/>
    </row>
    <row r="760">
      <c r="A760" s="26" t="inlineStr">
        <is>
          <t>Difference (calculated - printed)</t>
        </is>
      </c>
      <c r="B760" s="22" t="n"/>
      <c r="C760" s="22" t="n"/>
      <c r="D760" s="22" t="n"/>
      <c r="E760" s="22" t="n"/>
      <c r="F760" s="27">
        <f>F758-F759</f>
        <v/>
      </c>
      <c r="G760" s="22" t="n"/>
    </row>
    <row r="761">
      <c r="A761" s="29" t="inlineStr">
        <is>
          <t>SAY (Rs.) - final DAR rate as printed (fixed value, not computed)</t>
        </is>
      </c>
      <c r="B761" s="30" t="n"/>
      <c r="C761" s="30" t="n"/>
      <c r="D761" s="30" t="n"/>
      <c r="E761" s="30" t="n"/>
      <c r="F761" s="31" t="n">
        <v>134.25</v>
      </c>
      <c r="G761" s="30" t="n"/>
    </row>
    <row r="763" ht="47.5" customHeight="1">
      <c r="A763" s="8" t="inlineStr">
        <is>
          <t>10.27</t>
        </is>
      </c>
      <c r="B763" s="17"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C763" s="9" t="n"/>
      <c r="D763" s="9" t="n"/>
      <c r="E763" s="9" t="n"/>
      <c r="F763" s="9" t="n"/>
      <c r="G763" s="9" t="n"/>
    </row>
    <row r="764" ht="18.5" customHeight="1">
      <c r="A764" s="18" t="inlineStr">
        <is>
          <t>10.27.4</t>
        </is>
      </c>
      <c r="B764" s="19" t="inlineStr">
        <is>
          <t>10 x 140 mm</t>
        </is>
      </c>
      <c r="C764" s="20" t="n"/>
      <c r="D764" s="20" t="n"/>
      <c r="E764" s="20" t="n"/>
      <c r="F764" s="20" t="n"/>
      <c r="G764" s="20" t="n"/>
    </row>
    <row r="765">
      <c r="A765" s="21" t="inlineStr">
        <is>
          <t>Details of cost for 10 nos   |   Source: CivilDAR_2019_Vol_1.pdf, page 713</t>
        </is>
      </c>
    </row>
    <row r="766">
      <c r="A766" s="5" t="inlineStr">
        <is>
          <t>Code</t>
        </is>
      </c>
      <c r="B766" s="5" t="inlineStr">
        <is>
          <t>Description</t>
        </is>
      </c>
      <c r="C766" s="5" t="inlineStr">
        <is>
          <t>Unit</t>
        </is>
      </c>
      <c r="D766" s="5" t="inlineStr">
        <is>
          <t>Quantity</t>
        </is>
      </c>
      <c r="E766" s="5" t="inlineStr">
        <is>
          <t>Rate (Rs.)</t>
        </is>
      </c>
      <c r="F766" s="5" t="inlineStr">
        <is>
          <t>Amount (Rs.)</t>
        </is>
      </c>
      <c r="G766" s="5" t="inlineStr">
        <is>
          <t>Note</t>
        </is>
      </c>
    </row>
    <row r="767">
      <c r="A767" s="22" t="inlineStr">
        <is>
          <t>2509</t>
        </is>
      </c>
      <c r="B767" s="11" t="inlineStr">
        <is>
          <t>Carben Steel galvanised dash fastner (min 5 micron) of 10 mm dia double threaded 6.8 grade counter sunk head screw comprising of 10 mm dia polyamide PA 6 grade sleave. Size 10mm x 140mm</t>
        </is>
      </c>
      <c r="C767" s="22" t="inlineStr">
        <is>
          <t>10 nos</t>
        </is>
      </c>
      <c r="D767" s="23" t="n">
        <v>1</v>
      </c>
      <c r="E767" s="24" t="n">
        <v>450</v>
      </c>
      <c r="F767" s="24">
        <f>D767*E767</f>
        <v/>
      </c>
      <c r="G767" s="22" t="n"/>
    </row>
    <row r="768">
      <c r="A768" s="22" t="inlineStr">
        <is>
          <t>0124</t>
        </is>
      </c>
      <c r="B768" s="11" t="inlineStr">
        <is>
          <t>Mason (brick layer) 2nd class</t>
        </is>
      </c>
      <c r="C768" s="22" t="inlineStr">
        <is>
          <t>day</t>
        </is>
      </c>
      <c r="D768" s="23" t="n">
        <v>0.5</v>
      </c>
      <c r="E768" s="24" t="n">
        <v>679</v>
      </c>
      <c r="F768" s="24">
        <f>D768*E768</f>
        <v/>
      </c>
      <c r="G768" s="22" t="n"/>
    </row>
    <row r="769">
      <c r="A769" s="22" t="inlineStr">
        <is>
          <t>0114</t>
        </is>
      </c>
      <c r="B769" s="11" t="inlineStr">
        <is>
          <t>Beldar</t>
        </is>
      </c>
      <c r="C769" s="22" t="inlineStr">
        <is>
          <t>day</t>
        </is>
      </c>
      <c r="D769" s="23" t="n">
        <v>0.5</v>
      </c>
      <c r="E769" s="24" t="n">
        <v>558</v>
      </c>
      <c r="F769" s="24">
        <f>D769*E769</f>
        <v/>
      </c>
      <c r="G769" s="22" t="n"/>
    </row>
    <row r="770">
      <c r="A770" s="22" t="inlineStr">
        <is>
          <t>9977</t>
        </is>
      </c>
      <c r="B770" s="11" t="inlineStr">
        <is>
          <t>Sundries for carriage of material</t>
        </is>
      </c>
      <c r="C770" s="22" t="inlineStr">
        <is>
          <t>L.S.</t>
        </is>
      </c>
      <c r="D770" s="23" t="n">
        <v>10</v>
      </c>
      <c r="E770" s="24" t="n">
        <v>2</v>
      </c>
      <c r="F770" s="24">
        <f>D770*E770</f>
        <v/>
      </c>
      <c r="G770" s="22" t="n"/>
    </row>
    <row r="771">
      <c r="A771" s="8" t="inlineStr">
        <is>
          <t>Calculated W - SUM of the Amount column above</t>
        </is>
      </c>
      <c r="B771" s="9" t="n"/>
      <c r="C771" s="9" t="n"/>
      <c r="D771" s="9" t="n"/>
      <c r="E771" s="9" t="n"/>
      <c r="F771" s="25">
        <f>SUM(F767:F770)</f>
        <v/>
      </c>
      <c r="G771" s="9" t="n"/>
    </row>
    <row r="772">
      <c r="A772" s="26" t="inlineStr">
        <is>
          <t>W as printed in the DAR</t>
        </is>
      </c>
      <c r="B772" s="22" t="n"/>
      <c r="C772" s="22" t="n"/>
      <c r="D772" s="22" t="n"/>
      <c r="E772" s="22" t="n"/>
      <c r="F772" s="27" t="n">
        <v>1088.5</v>
      </c>
      <c r="G772" s="22" t="n"/>
    </row>
    <row r="773">
      <c r="A773" s="26" t="inlineStr">
        <is>
          <t>Difference (calculated - printed)</t>
        </is>
      </c>
      <c r="B773" s="22" t="n"/>
      <c r="C773" s="22" t="n"/>
      <c r="D773" s="22" t="n"/>
      <c r="E773" s="22" t="n"/>
      <c r="F773" s="27">
        <f>F771-F772</f>
        <v/>
      </c>
      <c r="G773" s="22" t="n"/>
    </row>
    <row r="774">
      <c r="A774" s="29" t="inlineStr">
        <is>
          <t>SAY (Rs.) - final DAR rate as printed (fixed value, not computed)</t>
        </is>
      </c>
      <c r="B774" s="30" t="n"/>
      <c r="C774" s="30" t="n"/>
      <c r="D774" s="30" t="n"/>
      <c r="E774" s="30" t="n"/>
      <c r="F774" s="31" t="n">
        <v>145.65</v>
      </c>
      <c r="G774" s="30" t="n"/>
    </row>
    <row r="776" ht="47.5" customHeight="1">
      <c r="A776" s="8" t="inlineStr">
        <is>
          <t>10.27</t>
        </is>
      </c>
      <c r="B776" s="17"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t>
        </is>
      </c>
      <c r="C776" s="9" t="n"/>
      <c r="D776" s="9" t="n"/>
      <c r="E776" s="9" t="n"/>
      <c r="F776" s="9" t="n"/>
      <c r="G776" s="9" t="n"/>
    </row>
    <row r="777" ht="18.5" customHeight="1">
      <c r="A777" s="18" t="inlineStr">
        <is>
          <t>10.27.5</t>
        </is>
      </c>
      <c r="B777" s="19" t="inlineStr">
        <is>
          <t>10 x 160 mm</t>
        </is>
      </c>
      <c r="C777" s="20" t="n"/>
      <c r="D777" s="20" t="n"/>
      <c r="E777" s="20" t="n"/>
      <c r="F777" s="20" t="n"/>
      <c r="G777" s="20" t="n"/>
    </row>
    <row r="778">
      <c r="A778" s="21" t="inlineStr">
        <is>
          <t>Details of cost for 10 nos   |   Source: CivilDAR_2019_Vol_1.pdf, page 714</t>
        </is>
      </c>
    </row>
    <row r="779">
      <c r="A779" s="5" t="inlineStr">
        <is>
          <t>Code</t>
        </is>
      </c>
      <c r="B779" s="5" t="inlineStr">
        <is>
          <t>Description</t>
        </is>
      </c>
      <c r="C779" s="5" t="inlineStr">
        <is>
          <t>Unit</t>
        </is>
      </c>
      <c r="D779" s="5" t="inlineStr">
        <is>
          <t>Quantity</t>
        </is>
      </c>
      <c r="E779" s="5" t="inlineStr">
        <is>
          <t>Rate (Rs.)</t>
        </is>
      </c>
      <c r="F779" s="5" t="inlineStr">
        <is>
          <t>Amount (Rs.)</t>
        </is>
      </c>
      <c r="G779" s="5" t="inlineStr">
        <is>
          <t>Note</t>
        </is>
      </c>
    </row>
    <row r="780">
      <c r="A780" s="22" t="inlineStr">
        <is>
          <t>2510</t>
        </is>
      </c>
      <c r="B780" s="11" t="inlineStr">
        <is>
          <t>Carben Steel galvanised dash fastner (min 5 micron) of 10 mm dia double threaded 6.8 grade counter sunk head screw comprising of 10 mm dia polyamide PA 6 grade sleave. Size 10mm x 160mm</t>
        </is>
      </c>
      <c r="C780" s="22" t="inlineStr">
        <is>
          <t>10 nos</t>
        </is>
      </c>
      <c r="D780" s="23" t="n">
        <v>1</v>
      </c>
      <c r="E780" s="24" t="n">
        <v>575</v>
      </c>
      <c r="F780" s="24">
        <f>D780*E780</f>
        <v/>
      </c>
      <c r="G780" s="22" t="n"/>
    </row>
    <row r="781">
      <c r="A781" s="22" t="inlineStr">
        <is>
          <t>0124</t>
        </is>
      </c>
      <c r="B781" s="11" t="inlineStr">
        <is>
          <t>Mason (brick layer) 2nd class</t>
        </is>
      </c>
      <c r="C781" s="22" t="inlineStr">
        <is>
          <t>day</t>
        </is>
      </c>
      <c r="D781" s="23" t="n">
        <v>0.6</v>
      </c>
      <c r="E781" s="24" t="n">
        <v>679</v>
      </c>
      <c r="F781" s="24">
        <f>D781*E781</f>
        <v/>
      </c>
      <c r="G781" s="22" t="n"/>
    </row>
    <row r="782">
      <c r="A782" s="22" t="inlineStr">
        <is>
          <t>0114</t>
        </is>
      </c>
      <c r="B782" s="11" t="inlineStr">
        <is>
          <t>Beldar</t>
        </is>
      </c>
      <c r="C782" s="22" t="inlineStr">
        <is>
          <t>day</t>
        </is>
      </c>
      <c r="D782" s="23" t="n">
        <v>0.6</v>
      </c>
      <c r="E782" s="24" t="n">
        <v>558</v>
      </c>
      <c r="F782" s="24">
        <f>D782*E782</f>
        <v/>
      </c>
      <c r="G782" s="22" t="n"/>
    </row>
    <row r="783">
      <c r="A783" s="22" t="inlineStr">
        <is>
          <t>9977</t>
        </is>
      </c>
      <c r="B783" s="11" t="inlineStr">
        <is>
          <t>Sundries for Carriage of material</t>
        </is>
      </c>
      <c r="C783" s="22" t="inlineStr">
        <is>
          <t>L.S.</t>
        </is>
      </c>
      <c r="D783" s="23" t="n">
        <v>10</v>
      </c>
      <c r="E783" s="24" t="n">
        <v>2</v>
      </c>
      <c r="F783" s="24">
        <f>D783*E783</f>
        <v/>
      </c>
      <c r="G783" s="22" t="n"/>
    </row>
    <row r="784">
      <c r="A784" s="8" t="inlineStr">
        <is>
          <t>Calculated W - SUM of the Amount column above</t>
        </is>
      </c>
      <c r="B784" s="9" t="n"/>
      <c r="C784" s="9" t="n"/>
      <c r="D784" s="9" t="n"/>
      <c r="E784" s="9" t="n"/>
      <c r="F784" s="25">
        <f>SUM(F780:F783)</f>
        <v/>
      </c>
      <c r="G784" s="9" t="n"/>
    </row>
    <row r="785">
      <c r="A785" s="26" t="inlineStr">
        <is>
          <t>W as printed in the DAR</t>
        </is>
      </c>
      <c r="B785" s="22" t="n"/>
      <c r="C785" s="22" t="n"/>
      <c r="D785" s="22" t="n"/>
      <c r="E785" s="22" t="n"/>
      <c r="F785" s="27" t="n">
        <v>1337.2</v>
      </c>
      <c r="G785" s="22" t="n"/>
    </row>
    <row r="786">
      <c r="A786" s="26" t="inlineStr">
        <is>
          <t>Difference (calculated - printed)</t>
        </is>
      </c>
      <c r="B786" s="22" t="n"/>
      <c r="C786" s="22" t="n"/>
      <c r="D786" s="22" t="n"/>
      <c r="E786" s="22" t="n"/>
      <c r="F786" s="27">
        <f>F784-F785</f>
        <v/>
      </c>
      <c r="G786" s="22" t="n"/>
    </row>
    <row r="787">
      <c r="A787" s="29" t="inlineStr">
        <is>
          <t>SAY (Rs.) - final DAR rate as printed (fixed value, not computed)</t>
        </is>
      </c>
      <c r="B787" s="30" t="n"/>
      <c r="C787" s="30" t="n"/>
      <c r="D787" s="30" t="n"/>
      <c r="E787" s="30" t="n"/>
      <c r="F787" s="31" t="n">
        <v>178.9</v>
      </c>
      <c r="G787" s="30" t="n"/>
    </row>
    <row r="789" ht="91" customHeight="1">
      <c r="A789" s="18" t="inlineStr">
        <is>
          <t>10.28</t>
        </is>
      </c>
      <c r="B789" s="19" t="inlineStr">
        <is>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is>
      </c>
      <c r="C789" s="20" t="n"/>
      <c r="D789" s="20" t="n"/>
      <c r="E789" s="20" t="n"/>
      <c r="F789" s="20" t="n"/>
      <c r="G789" s="20" t="n"/>
    </row>
    <row r="790">
      <c r="A790" s="21" t="inlineStr">
        <is>
          <t>Details of cost for 2 kg   |   Source: CivilDAR_2019_Vol_1.pdf, page 715</t>
        </is>
      </c>
    </row>
    <row r="791">
      <c r="A791" s="5" t="inlineStr">
        <is>
          <t>Code</t>
        </is>
      </c>
      <c r="B791" s="5" t="inlineStr">
        <is>
          <t>Description</t>
        </is>
      </c>
      <c r="C791" s="5" t="inlineStr">
        <is>
          <t>Unit</t>
        </is>
      </c>
      <c r="D791" s="5" t="inlineStr">
        <is>
          <t>Quantity</t>
        </is>
      </c>
      <c r="E791" s="5" t="inlineStr">
        <is>
          <t>Rate (Rs.)</t>
        </is>
      </c>
      <c r="F791" s="5" t="inlineStr">
        <is>
          <t>Amount (Rs.)</t>
        </is>
      </c>
      <c r="G791" s="5" t="inlineStr">
        <is>
          <t>Note</t>
        </is>
      </c>
    </row>
    <row r="792">
      <c r="A792" s="22" t="inlineStr">
        <is>
          <t>4001</t>
        </is>
      </c>
      <c r="B792" s="11" t="inlineStr">
        <is>
          <t>Stainless steel (Grade-304)hollow section round/square tubes</t>
        </is>
      </c>
      <c r="C792" s="22" t="inlineStr">
        <is>
          <t>kg</t>
        </is>
      </c>
      <c r="D792" s="23" t="n">
        <v>2.1</v>
      </c>
      <c r="E792" s="24" t="n">
        <v>220</v>
      </c>
      <c r="F792" s="24">
        <f>D792*E792</f>
        <v/>
      </c>
      <c r="G792" s="22" t="n"/>
    </row>
    <row r="793">
      <c r="A793" s="22" t="inlineStr">
        <is>
          <t>4002</t>
        </is>
      </c>
      <c r="B793" s="11" t="inlineStr">
        <is>
          <t>Stainless steel bolts/square bar and plates</t>
        </is>
      </c>
      <c r="C793" s="22" t="inlineStr">
        <is>
          <t>kg</t>
        </is>
      </c>
      <c r="D793" s="23" t="n">
        <v>1</v>
      </c>
      <c r="E793" s="24" t="n">
        <v>115</v>
      </c>
      <c r="F793" s="24">
        <f>D793*E793</f>
        <v/>
      </c>
      <c r="G793" s="22" t="n"/>
    </row>
    <row r="794">
      <c r="A794" s="22" t="inlineStr">
        <is>
          <t>0102</t>
        </is>
      </c>
      <c r="B794" s="11" t="inlineStr">
        <is>
          <t>Blacksmith 1st class</t>
        </is>
      </c>
      <c r="C794" s="22" t="inlineStr">
        <is>
          <t>day</t>
        </is>
      </c>
      <c r="D794" s="23" t="n">
        <v>0.06</v>
      </c>
      <c r="E794" s="24" t="n">
        <v>738</v>
      </c>
      <c r="F794" s="24">
        <f>D794*E794</f>
        <v/>
      </c>
      <c r="G794" s="22" t="n"/>
    </row>
    <row r="795">
      <c r="A795" s="22" t="inlineStr">
        <is>
          <t>0114</t>
        </is>
      </c>
      <c r="B795" s="11" t="inlineStr">
        <is>
          <t>Beldar</t>
        </is>
      </c>
      <c r="C795" s="22" t="inlineStr">
        <is>
          <t>day</t>
        </is>
      </c>
      <c r="D795" s="23" t="n">
        <v>0.2</v>
      </c>
      <c r="E795" s="24" t="n">
        <v>558</v>
      </c>
      <c r="F795" s="24">
        <f>D795*E795</f>
        <v/>
      </c>
      <c r="G795" s="22" t="n"/>
    </row>
    <row r="796">
      <c r="A796" s="22" t="inlineStr">
        <is>
          <t>0100</t>
        </is>
      </c>
      <c r="B796" s="11" t="inlineStr">
        <is>
          <t>Bandhani</t>
        </is>
      </c>
      <c r="C796" s="22" t="inlineStr">
        <is>
          <t>day</t>
        </is>
      </c>
      <c r="D796" s="23" t="n">
        <v>0.02</v>
      </c>
      <c r="E796" s="24" t="n">
        <v>617</v>
      </c>
      <c r="F796" s="24">
        <f>D796*E796</f>
        <v/>
      </c>
      <c r="G796" s="22" t="n"/>
    </row>
    <row r="797">
      <c r="A797" s="22" t="inlineStr">
        <is>
          <t>9999</t>
        </is>
      </c>
      <c r="B797" s="11" t="inlineStr">
        <is>
          <t>Welding of stainless steel section</t>
        </is>
      </c>
      <c r="C797" s="22" t="inlineStr">
        <is>
          <t>L.S.</t>
        </is>
      </c>
      <c r="D797" s="23" t="n">
        <v>30</v>
      </c>
      <c r="E797" s="24" t="n">
        <v>2</v>
      </c>
      <c r="F797" s="24">
        <f>D797*E797</f>
        <v/>
      </c>
      <c r="G797" s="22" t="n"/>
    </row>
    <row r="798">
      <c r="A798" s="22" t="inlineStr">
        <is>
          <t>9999</t>
        </is>
      </c>
      <c r="B798" s="11" t="inlineStr">
        <is>
          <t>Curvaturing, grinding, finishing, buffing</t>
        </is>
      </c>
      <c r="C798" s="22" t="inlineStr">
        <is>
          <t>L.S.</t>
        </is>
      </c>
      <c r="D798" s="23" t="n">
        <v>20</v>
      </c>
      <c r="E798" s="24" t="n">
        <v>2</v>
      </c>
      <c r="F798" s="24">
        <f>D798*E798</f>
        <v/>
      </c>
      <c r="G798" s="22" t="n"/>
    </row>
    <row r="799">
      <c r="A799" s="22" t="inlineStr">
        <is>
          <t>9999</t>
        </is>
      </c>
      <c r="B799" s="11" t="inlineStr">
        <is>
          <t>Sundries for making good wall and floors</t>
        </is>
      </c>
      <c r="C799" s="22" t="inlineStr">
        <is>
          <t>L.S.</t>
        </is>
      </c>
      <c r="D799" s="23" t="n">
        <v>7.5</v>
      </c>
      <c r="E799" s="24" t="n">
        <v>2</v>
      </c>
      <c r="F799" s="24">
        <f>D799*E799</f>
        <v/>
      </c>
      <c r="G799" s="22" t="n"/>
    </row>
    <row r="800">
      <c r="A800" s="8" t="inlineStr">
        <is>
          <t>Calculated W - SUM of the Amount column above</t>
        </is>
      </c>
      <c r="B800" s="9" t="n"/>
      <c r="C800" s="9" t="n"/>
      <c r="D800" s="9" t="n"/>
      <c r="E800" s="9" t="n"/>
      <c r="F800" s="25">
        <f>SUM(F792:F799)</f>
        <v/>
      </c>
      <c r="G800" s="9" t="n"/>
    </row>
    <row r="801">
      <c r="A801" s="26" t="inlineStr">
        <is>
          <t>W as printed in the DAR</t>
        </is>
      </c>
      <c r="B801" s="22" t="n"/>
      <c r="C801" s="22" t="n"/>
      <c r="D801" s="22" t="n"/>
      <c r="E801" s="22" t="n"/>
      <c r="F801" s="27" t="n">
        <v>860.22</v>
      </c>
      <c r="G801" s="22" t="n"/>
    </row>
    <row r="802">
      <c r="A802" s="26" t="inlineStr">
        <is>
          <t>Difference (calculated - printed)</t>
        </is>
      </c>
      <c r="B802" s="22" t="n"/>
      <c r="C802" s="22" t="n"/>
      <c r="D802" s="22" t="n"/>
      <c r="E802" s="22" t="n"/>
      <c r="F802" s="27">
        <f>F800-F801</f>
        <v/>
      </c>
      <c r="G802" s="22" t="n"/>
    </row>
    <row r="803">
      <c r="A803" s="29" t="inlineStr">
        <is>
          <t>SAY (Rs.) - final DAR rate as printed (fixed value, not computed)</t>
        </is>
      </c>
      <c r="B803" s="30" t="n"/>
      <c r="C803" s="30" t="n"/>
      <c r="D803" s="30" t="n"/>
      <c r="E803" s="30" t="n"/>
      <c r="F803" s="31" t="n">
        <v>575.45</v>
      </c>
      <c r="G803" s="30" t="n"/>
    </row>
    <row r="805" ht="33" customHeight="1">
      <c r="A805" s="8" t="inlineStr">
        <is>
          <t>10.29</t>
        </is>
      </c>
      <c r="B805" s="17" t="inlineStr">
        <is>
          <t>Providing &amp; fixing fly proof wire gauze to windows, clerestory windows &amp; doors with M.S. Flat 15x3 mm and nuts &amp; bolts complete.</t>
        </is>
      </c>
      <c r="C805" s="9" t="n"/>
      <c r="D805" s="9" t="n"/>
      <c r="E805" s="9" t="n"/>
      <c r="F805" s="9" t="n"/>
      <c r="G805" s="9" t="n"/>
    </row>
    <row r="806" ht="18.5" customHeight="1">
      <c r="A806" s="18" t="inlineStr">
        <is>
          <t>10.29.1</t>
        </is>
      </c>
      <c r="B806" s="19" t="inlineStr">
        <is>
          <t>Galvanised M.S. Wire gauze with 0.63 mm dia wire and 1.4 mm aperture on both sides</t>
        </is>
      </c>
      <c r="C806" s="20" t="n"/>
      <c r="D806" s="20" t="n"/>
      <c r="E806" s="20" t="n"/>
      <c r="F806" s="20" t="n"/>
      <c r="G806" s="20" t="n"/>
    </row>
    <row r="807">
      <c r="A807" s="21" t="inlineStr">
        <is>
          <t>Details of cost for 1.54 sqm   |   Source: CivilDAR_2019_Vol_1.pdf, page 715</t>
        </is>
      </c>
    </row>
    <row r="808">
      <c r="A808" s="5" t="inlineStr">
        <is>
          <t>Code</t>
        </is>
      </c>
      <c r="B808" s="5" t="inlineStr">
        <is>
          <t>Description</t>
        </is>
      </c>
      <c r="C808" s="5" t="inlineStr">
        <is>
          <t>Unit</t>
        </is>
      </c>
      <c r="D808" s="5" t="inlineStr">
        <is>
          <t>Quantity</t>
        </is>
      </c>
      <c r="E808" s="5" t="inlineStr">
        <is>
          <t>Rate (Rs.)</t>
        </is>
      </c>
      <c r="F808" s="5" t="inlineStr">
        <is>
          <t>Amount (Rs.)</t>
        </is>
      </c>
      <c r="G808" s="5" t="inlineStr">
        <is>
          <t>Note</t>
        </is>
      </c>
    </row>
    <row r="809">
      <c r="A809" s="22" t="inlineStr">
        <is>
          <t>7029</t>
        </is>
      </c>
      <c r="B809" s="11" t="inlineStr">
        <is>
          <t>Galvanised wire mesh of average width of aperture 1.4 mm and nominal dia. of wire 0.63 mm</t>
        </is>
      </c>
      <c r="C809" s="22" t="inlineStr">
        <is>
          <t>sqm</t>
        </is>
      </c>
      <c r="D809" s="23" t="n">
        <v>1.69</v>
      </c>
      <c r="E809" s="24" t="n">
        <v>250</v>
      </c>
      <c r="F809" s="24">
        <f>D809*E809</f>
        <v/>
      </c>
      <c r="G809" s="22" t="n"/>
    </row>
    <row r="810">
      <c r="A810" s="22" t="inlineStr">
        <is>
          <t>9977</t>
        </is>
      </c>
      <c r="B810" s="11" t="inlineStr">
        <is>
          <t>CARRIAGE</t>
        </is>
      </c>
      <c r="C810" s="22" t="inlineStr">
        <is>
          <t>L.S.</t>
        </is>
      </c>
      <c r="D810" s="23" t="n">
        <v>1.82</v>
      </c>
      <c r="E810" s="24" t="n">
        <v>2</v>
      </c>
      <c r="F810" s="24">
        <f>D810*E810</f>
        <v/>
      </c>
      <c r="G810" s="22" t="n"/>
    </row>
    <row r="811">
      <c r="A811" s="22" t="inlineStr">
        <is>
          <t>1008</t>
        </is>
      </c>
      <c r="B811" s="11" t="inlineStr">
        <is>
          <t>Flats upto 10 mm in thickness</t>
        </is>
      </c>
      <c r="C811" s="22" t="inlineStr">
        <is>
          <t>quintal</t>
        </is>
      </c>
      <c r="D811" s="23" t="n">
        <v>0.0184</v>
      </c>
      <c r="E811" s="24" t="n">
        <v>4500</v>
      </c>
      <c r="F811" s="24">
        <f>D811*E811</f>
        <v/>
      </c>
      <c r="G811" s="22" t="n"/>
    </row>
    <row r="812">
      <c r="A812" s="22" t="inlineStr">
        <is>
          <t>9977</t>
        </is>
      </c>
      <c r="B812" s="11" t="inlineStr">
        <is>
          <t>CARRIAGE</t>
        </is>
      </c>
      <c r="C812" s="22" t="inlineStr">
        <is>
          <t>L.S.</t>
        </is>
      </c>
      <c r="D812" s="23" t="n">
        <v>1.82</v>
      </c>
      <c r="E812" s="24" t="n">
        <v>2</v>
      </c>
      <c r="F812" s="24">
        <f>D812*E812</f>
        <v/>
      </c>
      <c r="G812" s="22" t="n"/>
    </row>
    <row r="813">
      <c r="A813" s="22" t="inlineStr">
        <is>
          <t>0103</t>
        </is>
      </c>
      <c r="B813" s="11" t="inlineStr">
        <is>
          <t>Blacksmith 2nd class</t>
        </is>
      </c>
      <c r="C813" s="22" t="inlineStr">
        <is>
          <t>day</t>
        </is>
      </c>
      <c r="D813" s="23" t="n">
        <v>0.17</v>
      </c>
      <c r="E813" s="24" t="n">
        <v>679</v>
      </c>
      <c r="F813" s="24">
        <f>D813*E813</f>
        <v/>
      </c>
      <c r="G813" s="22" t="n"/>
    </row>
    <row r="814">
      <c r="A814" s="22" t="inlineStr">
        <is>
          <t>0112</t>
        </is>
      </c>
      <c r="B814" s="11" t="inlineStr">
        <is>
          <t>Carpenter 2nd class</t>
        </is>
      </c>
      <c r="C814" s="22" t="inlineStr">
        <is>
          <t>day</t>
        </is>
      </c>
      <c r="D814" s="23" t="n">
        <v>0.17</v>
      </c>
      <c r="E814" s="24" t="n">
        <v>679</v>
      </c>
      <c r="F814" s="24">
        <f>D814*E814</f>
        <v/>
      </c>
      <c r="G814" s="22" t="n"/>
    </row>
    <row r="815">
      <c r="A815" s="22" t="inlineStr">
        <is>
          <t>0114</t>
        </is>
      </c>
      <c r="B815" s="11" t="inlineStr">
        <is>
          <t>Beldar</t>
        </is>
      </c>
      <c r="C815" s="22" t="inlineStr">
        <is>
          <t>day</t>
        </is>
      </c>
      <c r="D815" s="23" t="n">
        <v>0.06</v>
      </c>
      <c r="E815" s="24" t="n">
        <v>558</v>
      </c>
      <c r="F815" s="24">
        <f>D815*E815</f>
        <v/>
      </c>
      <c r="G815" s="22" t="n"/>
    </row>
    <row r="816">
      <c r="A816" s="22" t="inlineStr">
        <is>
          <t>9999</t>
        </is>
      </c>
      <c r="B816" s="11" t="inlineStr">
        <is>
          <t>Sundries</t>
        </is>
      </c>
      <c r="C816" s="22" t="inlineStr">
        <is>
          <t>L.S.</t>
        </is>
      </c>
      <c r="D816" s="23" t="n">
        <v>19.76</v>
      </c>
      <c r="E816" s="24" t="n">
        <v>2</v>
      </c>
      <c r="F816" s="24">
        <f>D816*E816</f>
        <v/>
      </c>
      <c r="G816" s="22" t="n"/>
    </row>
    <row r="817">
      <c r="A817" s="8" t="inlineStr">
        <is>
          <t>Calculated W - SUM of the Amount column above</t>
        </is>
      </c>
      <c r="B817" s="9" t="n"/>
      <c r="C817" s="9" t="n"/>
      <c r="D817" s="9" t="n"/>
      <c r="E817" s="9" t="n"/>
      <c r="F817" s="25">
        <f>SUM(F809:F816)</f>
        <v/>
      </c>
      <c r="G817" s="9" t="n"/>
    </row>
    <row r="818">
      <c r="A818" s="26" t="inlineStr">
        <is>
          <t>W as printed in the DAR</t>
        </is>
      </c>
      <c r="B818" s="22" t="n"/>
      <c r="C818" s="22" t="n"/>
      <c r="D818" s="22" t="n"/>
      <c r="E818" s="22" t="n"/>
      <c r="F818" s="27" t="n">
        <v>816.4400000000001</v>
      </c>
      <c r="G818" s="22" t="n"/>
    </row>
    <row r="819">
      <c r="A819" s="26" t="inlineStr">
        <is>
          <t>Difference (calculated - printed)</t>
        </is>
      </c>
      <c r="B819" s="22" t="n"/>
      <c r="C819" s="22" t="n"/>
      <c r="D819" s="22" t="n"/>
      <c r="E819" s="22" t="n"/>
      <c r="F819" s="27">
        <f>F817-F818</f>
        <v/>
      </c>
      <c r="G819" s="22" t="n"/>
    </row>
    <row r="820">
      <c r="A820" s="29" t="inlineStr">
        <is>
          <t>SAY (Rs.) - final DAR rate as printed (fixed value, not computed)</t>
        </is>
      </c>
      <c r="B820" s="30" t="n"/>
      <c r="C820" s="30" t="n"/>
      <c r="D820" s="30" t="n"/>
      <c r="E820" s="30" t="n"/>
      <c r="F820" s="31" t="n">
        <v>709.3</v>
      </c>
      <c r="G820" s="30" t="n"/>
    </row>
    <row r="822" ht="33" customHeight="1">
      <c r="A822" s="8" t="inlineStr">
        <is>
          <t>10.29</t>
        </is>
      </c>
      <c r="B822" s="17" t="inlineStr">
        <is>
          <t>Providing &amp; fixing fly proof wire gauze to windows, clerestory windows &amp; doors with M.S. Flat 15x3 mm and nuts &amp; bolts complete.</t>
        </is>
      </c>
      <c r="C822" s="9" t="n"/>
      <c r="D822" s="9" t="n"/>
      <c r="E822" s="9" t="n"/>
      <c r="F822" s="9" t="n"/>
      <c r="G822" s="9" t="n"/>
    </row>
    <row r="823" ht="18.5" customHeight="1">
      <c r="A823" s="18" t="inlineStr">
        <is>
          <t>10.29.2</t>
        </is>
      </c>
      <c r="B823" s="19" t="inlineStr">
        <is>
          <t>Stainless steel (grade 304) wire gauze of 0.5 mm dia wire and 1.4 mm aperture on both sides</t>
        </is>
      </c>
      <c r="C823" s="20" t="n"/>
      <c r="D823" s="20" t="n"/>
      <c r="E823" s="20" t="n"/>
      <c r="F823" s="20" t="n"/>
      <c r="G823" s="20" t="n"/>
    </row>
    <row r="824">
      <c r="A824" s="21" t="inlineStr">
        <is>
          <t>Details of cost for 1.54 sqm   |   Source: CivilDAR_2019_Vol_1.pdf, page 716</t>
        </is>
      </c>
    </row>
    <row r="825">
      <c r="A825" s="5" t="inlineStr">
        <is>
          <t>Code</t>
        </is>
      </c>
      <c r="B825" s="5" t="inlineStr">
        <is>
          <t>Description</t>
        </is>
      </c>
      <c r="C825" s="5" t="inlineStr">
        <is>
          <t>Unit</t>
        </is>
      </c>
      <c r="D825" s="5" t="inlineStr">
        <is>
          <t>Quantity</t>
        </is>
      </c>
      <c r="E825" s="5" t="inlineStr">
        <is>
          <t>Rate (Rs.)</t>
        </is>
      </c>
      <c r="F825" s="5" t="inlineStr">
        <is>
          <t>Amount (Rs.)</t>
        </is>
      </c>
      <c r="G825" s="5" t="inlineStr">
        <is>
          <t>Note</t>
        </is>
      </c>
    </row>
    <row r="826">
      <c r="A826" s="22" t="inlineStr">
        <is>
          <t>8737</t>
        </is>
      </c>
      <c r="B826" s="11" t="inlineStr">
        <is>
          <t>Stainless steel wire guage (Grade-304) aperture 1.4mm and 0.50 mm dia wire</t>
        </is>
      </c>
      <c r="C826" s="22" t="inlineStr">
        <is>
          <t>sqm</t>
        </is>
      </c>
      <c r="D826" s="23" t="n">
        <v>1.69</v>
      </c>
      <c r="E826" s="24" t="n">
        <v>400</v>
      </c>
      <c r="F826" s="24">
        <f>D826*E826</f>
        <v/>
      </c>
      <c r="G826" s="22" t="n"/>
    </row>
    <row r="827">
      <c r="A827" s="22" t="inlineStr">
        <is>
          <t>9977</t>
        </is>
      </c>
      <c r="B827" s="11" t="inlineStr">
        <is>
          <t>CARRIAGE</t>
        </is>
      </c>
      <c r="C827" s="22" t="inlineStr">
        <is>
          <t>L.S.</t>
        </is>
      </c>
      <c r="D827" s="23" t="n">
        <v>1.82</v>
      </c>
      <c r="E827" s="24" t="n">
        <v>2</v>
      </c>
      <c r="F827" s="24">
        <f>D827*E827</f>
        <v/>
      </c>
      <c r="G827" s="22" t="n"/>
    </row>
    <row r="828">
      <c r="A828" s="22" t="inlineStr">
        <is>
          <t>1008</t>
        </is>
      </c>
      <c r="B828" s="11" t="inlineStr">
        <is>
          <t>Flats upto 10 mm in thickness</t>
        </is>
      </c>
      <c r="C828" s="22" t="inlineStr">
        <is>
          <t>quintal</t>
        </is>
      </c>
      <c r="D828" s="23" t="n">
        <v>0.0184</v>
      </c>
      <c r="E828" s="24" t="n">
        <v>4500</v>
      </c>
      <c r="F828" s="24">
        <f>D828*E828</f>
        <v/>
      </c>
      <c r="G828" s="22" t="n"/>
    </row>
    <row r="829">
      <c r="A829" s="22" t="inlineStr">
        <is>
          <t>9977</t>
        </is>
      </c>
      <c r="B829" s="11" t="inlineStr">
        <is>
          <t>CARRIAGE</t>
        </is>
      </c>
      <c r="C829" s="22" t="inlineStr">
        <is>
          <t>L.S.</t>
        </is>
      </c>
      <c r="D829" s="23" t="n">
        <v>1.82</v>
      </c>
      <c r="E829" s="24" t="n">
        <v>2</v>
      </c>
      <c r="F829" s="24">
        <f>D829*E829</f>
        <v/>
      </c>
      <c r="G829" s="22" t="n"/>
    </row>
    <row r="830">
      <c r="A830" s="22" t="inlineStr">
        <is>
          <t>0103</t>
        </is>
      </c>
      <c r="B830" s="11" t="inlineStr">
        <is>
          <t>Blacksmith 2nd class</t>
        </is>
      </c>
      <c r="C830" s="22" t="inlineStr">
        <is>
          <t>day</t>
        </is>
      </c>
      <c r="D830" s="23" t="n">
        <v>0.17</v>
      </c>
      <c r="E830" s="24" t="n">
        <v>679</v>
      </c>
      <c r="F830" s="24">
        <f>D830*E830</f>
        <v/>
      </c>
      <c r="G830" s="22" t="n"/>
    </row>
    <row r="831">
      <c r="A831" s="22" t="inlineStr">
        <is>
          <t>0112</t>
        </is>
      </c>
      <c r="B831" s="11" t="inlineStr">
        <is>
          <t>Carpenter 2nd class</t>
        </is>
      </c>
      <c r="C831" s="22" t="inlineStr">
        <is>
          <t>day</t>
        </is>
      </c>
      <c r="D831" s="23" t="n">
        <v>0.17</v>
      </c>
      <c r="E831" s="24" t="n">
        <v>679</v>
      </c>
      <c r="F831" s="24">
        <f>D831*E831</f>
        <v/>
      </c>
      <c r="G831" s="22" t="n"/>
    </row>
    <row r="832">
      <c r="A832" s="22" t="inlineStr">
        <is>
          <t>0114</t>
        </is>
      </c>
      <c r="B832" s="11" t="inlineStr">
        <is>
          <t>Beldar</t>
        </is>
      </c>
      <c r="C832" s="22" t="inlineStr">
        <is>
          <t>day</t>
        </is>
      </c>
      <c r="D832" s="23" t="n">
        <v>0.06</v>
      </c>
      <c r="E832" s="24" t="n">
        <v>558</v>
      </c>
      <c r="F832" s="24">
        <f>D832*E832</f>
        <v/>
      </c>
      <c r="G832" s="22" t="n"/>
    </row>
    <row r="833">
      <c r="A833" s="22" t="inlineStr">
        <is>
          <t>9999</t>
        </is>
      </c>
      <c r="B833" s="11" t="inlineStr">
        <is>
          <t>Sundries</t>
        </is>
      </c>
      <c r="C833" s="22" t="inlineStr">
        <is>
          <t>L.S.</t>
        </is>
      </c>
      <c r="D833" s="23" t="n">
        <v>19.76</v>
      </c>
      <c r="E833" s="24" t="n">
        <v>2</v>
      </c>
      <c r="F833" s="24">
        <f>D833*E833</f>
        <v/>
      </c>
      <c r="G833" s="22" t="n"/>
    </row>
    <row r="834">
      <c r="A834" s="8" t="inlineStr">
        <is>
          <t>Calculated W - SUM of the Amount column above</t>
        </is>
      </c>
      <c r="B834" s="9" t="n"/>
      <c r="C834" s="9" t="n"/>
      <c r="D834" s="9" t="n"/>
      <c r="E834" s="9" t="n"/>
      <c r="F834" s="25">
        <f>SUM(F826:F833)</f>
        <v/>
      </c>
      <c r="G834" s="9" t="n"/>
    </row>
    <row r="835">
      <c r="A835" s="26" t="inlineStr">
        <is>
          <t>W as printed in the DAR</t>
        </is>
      </c>
      <c r="B835" s="22" t="n"/>
      <c r="C835" s="22" t="n"/>
      <c r="D835" s="22" t="n"/>
      <c r="E835" s="22" t="n"/>
      <c r="F835" s="27" t="n">
        <v>1069.94</v>
      </c>
      <c r="G835" s="22" t="n"/>
    </row>
    <row r="836">
      <c r="A836" s="26" t="inlineStr">
        <is>
          <t>Difference (calculated - printed)</t>
        </is>
      </c>
      <c r="B836" s="22" t="n"/>
      <c r="C836" s="22" t="n"/>
      <c r="D836" s="22" t="n"/>
      <c r="E836" s="22" t="n"/>
      <c r="F836" s="27">
        <f>F834-F835</f>
        <v/>
      </c>
      <c r="G836" s="22" t="n"/>
    </row>
    <row r="837">
      <c r="A837" s="29" t="inlineStr">
        <is>
          <t>SAY (Rs.) - final DAR rate as printed (fixed value, not computed)</t>
        </is>
      </c>
      <c r="B837" s="30" t="n"/>
      <c r="C837" s="30" t="n"/>
      <c r="D837" s="30" t="n"/>
      <c r="E837" s="30" t="n"/>
      <c r="F837" s="31" t="n">
        <v>929.55</v>
      </c>
      <c r="G837" s="30" t="n"/>
    </row>
    <row r="839" ht="18.5" customHeight="1">
      <c r="A839" s="8" t="inlineStr">
        <is>
          <t>10.30</t>
        </is>
      </c>
      <c r="B839" s="17" t="inlineStr">
        <is>
          <t>Providing &amp; fixing glass panes with putty and glazing clips in steel doors, windows, clerestory windows, all complete with :</t>
        </is>
      </c>
      <c r="C839" s="9" t="n"/>
      <c r="D839" s="9" t="n"/>
      <c r="E839" s="9" t="n"/>
      <c r="F839" s="9" t="n"/>
      <c r="G839" s="9" t="n"/>
    </row>
    <row r="840" ht="18.5" customHeight="1">
      <c r="A840" s="18" t="inlineStr">
        <is>
          <t>10.30.1</t>
        </is>
      </c>
      <c r="B840" s="19" t="inlineStr">
        <is>
          <t>4.0 mm thick glass panes</t>
        </is>
      </c>
      <c r="C840" s="20" t="n"/>
      <c r="D840" s="20" t="n"/>
      <c r="E840" s="20" t="n"/>
      <c r="F840" s="20" t="n"/>
      <c r="G840" s="20" t="n"/>
    </row>
    <row r="841">
      <c r="A841" s="21" t="inlineStr">
        <is>
          <t>Details of cost for 1 sqm   |   Source: CivilDAR_2019_Vol_1.pdf, page 717</t>
        </is>
      </c>
    </row>
    <row r="842">
      <c r="A842" s="5" t="inlineStr">
        <is>
          <t>Code</t>
        </is>
      </c>
      <c r="B842" s="5" t="inlineStr">
        <is>
          <t>Description</t>
        </is>
      </c>
      <c r="C842" s="5" t="inlineStr">
        <is>
          <t>Unit</t>
        </is>
      </c>
      <c r="D842" s="5" t="inlineStr">
        <is>
          <t>Quantity</t>
        </is>
      </c>
      <c r="E842" s="5" t="inlineStr">
        <is>
          <t>Rate (Rs.)</t>
        </is>
      </c>
      <c r="F842" s="5" t="inlineStr">
        <is>
          <t>Amount (Rs.)</t>
        </is>
      </c>
      <c r="G842" s="5" t="inlineStr">
        <is>
          <t>Note</t>
        </is>
      </c>
    </row>
    <row r="843">
      <c r="A843" s="22" t="inlineStr">
        <is>
          <t>2406</t>
        </is>
      </c>
      <c r="B843" s="11" t="inlineStr">
        <is>
          <t>Float glass sheet of nominal thickness 4 mm (weight not less than 10kg/sqm).</t>
        </is>
      </c>
      <c r="C843" s="22" t="inlineStr">
        <is>
          <t>sqm</t>
        </is>
      </c>
      <c r="D843" s="23" t="n">
        <v>1.1</v>
      </c>
      <c r="E843" s="24" t="n">
        <v>300</v>
      </c>
      <c r="F843" s="24">
        <f>D843*E843</f>
        <v/>
      </c>
      <c r="G843" s="22" t="n"/>
    </row>
    <row r="844">
      <c r="A844" s="22" t="inlineStr">
        <is>
          <t>9977</t>
        </is>
      </c>
      <c r="B844" s="11" t="inlineStr">
        <is>
          <t>CARRIAGE</t>
        </is>
      </c>
      <c r="C844" s="22" t="inlineStr">
        <is>
          <t>L.S.</t>
        </is>
      </c>
      <c r="D844" s="23" t="n">
        <v>1.82</v>
      </c>
      <c r="E844" s="24" t="n">
        <v>2</v>
      </c>
      <c r="F844" s="24">
        <f>D844*E844</f>
        <v/>
      </c>
      <c r="G844" s="22" t="n"/>
    </row>
    <row r="845">
      <c r="A845" s="22" t="inlineStr">
        <is>
          <t>0119</t>
        </is>
      </c>
      <c r="B845" s="11" t="inlineStr">
        <is>
          <t>Glazier</t>
        </is>
      </c>
      <c r="C845" s="22" t="inlineStr">
        <is>
          <t>day</t>
        </is>
      </c>
      <c r="D845" s="23" t="n">
        <v>0.13</v>
      </c>
      <c r="E845" s="24" t="n">
        <v>679</v>
      </c>
      <c r="F845" s="24">
        <f>D845*E845</f>
        <v/>
      </c>
      <c r="G845" s="22" t="n"/>
    </row>
    <row r="846">
      <c r="A846" s="22" t="inlineStr">
        <is>
          <t>9999</t>
        </is>
      </c>
      <c r="B846" s="11" t="inlineStr">
        <is>
          <t>Sundries, putty, glazing clips, scaffolding etc.</t>
        </is>
      </c>
      <c r="C846" s="22" t="inlineStr">
        <is>
          <t>L.S.</t>
        </is>
      </c>
      <c r="D846" s="23" t="n">
        <v>125.58</v>
      </c>
      <c r="E846" s="24" t="n">
        <v>2</v>
      </c>
      <c r="F846" s="24">
        <f>D846*E846</f>
        <v/>
      </c>
      <c r="G846" s="22" t="n"/>
    </row>
    <row r="847">
      <c r="A847" s="8" t="inlineStr">
        <is>
          <t>Calculated W - SUM of the Amount column above</t>
        </is>
      </c>
      <c r="B847" s="9" t="n"/>
      <c r="C847" s="9" t="n"/>
      <c r="D847" s="9" t="n"/>
      <c r="E847" s="9" t="n"/>
      <c r="F847" s="25">
        <f>SUM(F843:F846)</f>
        <v/>
      </c>
      <c r="G847" s="9" t="n"/>
    </row>
    <row r="848">
      <c r="A848" s="26" t="inlineStr">
        <is>
          <t>W as printed in the DAR</t>
        </is>
      </c>
      <c r="B848" s="22" t="n"/>
      <c r="C848" s="22" t="n"/>
      <c r="D848" s="22" t="n"/>
      <c r="E848" s="22" t="n"/>
      <c r="F848" s="27" t="n">
        <v>673.0700000000001</v>
      </c>
      <c r="G848" s="22" t="n"/>
    </row>
    <row r="849">
      <c r="A849" s="26" t="inlineStr">
        <is>
          <t>Difference (calculated - printed)</t>
        </is>
      </c>
      <c r="B849" s="22" t="n"/>
      <c r="C849" s="22" t="n"/>
      <c r="D849" s="22" t="n"/>
      <c r="E849" s="22" t="n"/>
      <c r="F849" s="27">
        <f>F847-F848</f>
        <v/>
      </c>
      <c r="G849" s="22" t="n"/>
    </row>
    <row r="850">
      <c r="A850" s="29" t="inlineStr">
        <is>
          <t>SAY (Rs.) - final DAR rate as printed (fixed value, not computed)</t>
        </is>
      </c>
      <c r="B850" s="30" t="n"/>
      <c r="C850" s="30" t="n"/>
      <c r="D850" s="30" t="n"/>
      <c r="E850" s="30" t="n"/>
      <c r="F850" s="31" t="n">
        <v>900.55</v>
      </c>
      <c r="G850" s="30" t="n"/>
    </row>
    <row r="852" ht="18.5" customHeight="1">
      <c r="A852" s="8" t="inlineStr">
        <is>
          <t>10.30</t>
        </is>
      </c>
      <c r="B852" s="17" t="inlineStr">
        <is>
          <t>Providing &amp; fixing glass panes with putty and glazing clips in steel doors, windows, clerestory windows, all complete with :</t>
        </is>
      </c>
      <c r="C852" s="9" t="n"/>
      <c r="D852" s="9" t="n"/>
      <c r="E852" s="9" t="n"/>
      <c r="F852" s="9" t="n"/>
      <c r="G852" s="9" t="n"/>
    </row>
    <row r="853" ht="18.5" customHeight="1">
      <c r="A853" s="18" t="inlineStr">
        <is>
          <t>10.30.2</t>
        </is>
      </c>
      <c r="B853" s="19" t="inlineStr">
        <is>
          <t>5.5 mm thick glass panes</t>
        </is>
      </c>
      <c r="C853" s="20" t="n"/>
      <c r="D853" s="20" t="n"/>
      <c r="E853" s="20" t="n"/>
      <c r="F853" s="20" t="n"/>
      <c r="G853" s="20" t="n"/>
    </row>
    <row r="854">
      <c r="A854" s="21" t="inlineStr">
        <is>
          <t>Details of cost for 1 sqm   |   Source: CivilDAR_2019_Vol_1.pdf, page 718</t>
        </is>
      </c>
    </row>
    <row r="855">
      <c r="A855" s="5" t="inlineStr">
        <is>
          <t>Code</t>
        </is>
      </c>
      <c r="B855" s="5" t="inlineStr">
        <is>
          <t>Description</t>
        </is>
      </c>
      <c r="C855" s="5" t="inlineStr">
        <is>
          <t>Unit</t>
        </is>
      </c>
      <c r="D855" s="5" t="inlineStr">
        <is>
          <t>Quantity</t>
        </is>
      </c>
      <c r="E855" s="5" t="inlineStr">
        <is>
          <t>Rate (Rs.)</t>
        </is>
      </c>
      <c r="F855" s="5" t="inlineStr">
        <is>
          <t>Amount (Rs.)</t>
        </is>
      </c>
      <c r="G855" s="5" t="inlineStr">
        <is>
          <t>Note</t>
        </is>
      </c>
    </row>
    <row r="856">
      <c r="A856" s="22" t="inlineStr">
        <is>
          <t>2407</t>
        </is>
      </c>
      <c r="B856" s="11" t="inlineStr">
        <is>
          <t>Float glass sheet of nominal thickness 5.5 mm.(weight not less than 13.50 kg/sqm).</t>
        </is>
      </c>
      <c r="C856" s="22" t="inlineStr">
        <is>
          <t>sqm</t>
        </is>
      </c>
      <c r="D856" s="23" t="n">
        <v>1.1</v>
      </c>
      <c r="E856" s="24" t="n">
        <v>500</v>
      </c>
      <c r="F856" s="24">
        <f>D856*E856</f>
        <v/>
      </c>
      <c r="G856" s="22" t="n"/>
    </row>
    <row r="857">
      <c r="A857" s="22" t="inlineStr">
        <is>
          <t>9977</t>
        </is>
      </c>
      <c r="B857" s="11" t="inlineStr">
        <is>
          <t>CARRIAGE</t>
        </is>
      </c>
      <c r="C857" s="22" t="inlineStr">
        <is>
          <t>L.S.</t>
        </is>
      </c>
      <c r="D857" s="23" t="n">
        <v>1.82</v>
      </c>
      <c r="E857" s="24" t="n">
        <v>2</v>
      </c>
      <c r="F857" s="24">
        <f>D857*E857</f>
        <v/>
      </c>
      <c r="G857" s="22" t="n"/>
    </row>
    <row r="858">
      <c r="A858" s="22" t="inlineStr">
        <is>
          <t>0119</t>
        </is>
      </c>
      <c r="B858" s="11" t="inlineStr">
        <is>
          <t>Glazier</t>
        </is>
      </c>
      <c r="C858" s="22" t="inlineStr">
        <is>
          <t>day</t>
        </is>
      </c>
      <c r="D858" s="23" t="n">
        <v>0.13</v>
      </c>
      <c r="E858" s="24" t="n">
        <v>679</v>
      </c>
      <c r="F858" s="24">
        <f>D858*E858</f>
        <v/>
      </c>
      <c r="G858" s="22" t="n"/>
    </row>
    <row r="859">
      <c r="A859" s="22" t="inlineStr">
        <is>
          <t>9999</t>
        </is>
      </c>
      <c r="B859" s="11" t="inlineStr">
        <is>
          <t>Sundries, putty, glazing clips, scaffolding etc.</t>
        </is>
      </c>
      <c r="C859" s="22" t="inlineStr">
        <is>
          <t>L.S.</t>
        </is>
      </c>
      <c r="D859" s="23" t="n">
        <v>125.58</v>
      </c>
      <c r="E859" s="24" t="n">
        <v>2</v>
      </c>
      <c r="F859" s="24">
        <f>D859*E859</f>
        <v/>
      </c>
      <c r="G859" s="22" t="n"/>
    </row>
    <row r="860">
      <c r="A860" s="8" t="inlineStr">
        <is>
          <t>Calculated W - SUM of the Amount column above</t>
        </is>
      </c>
      <c r="B860" s="9" t="n"/>
      <c r="C860" s="9" t="n"/>
      <c r="D860" s="9" t="n"/>
      <c r="E860" s="9" t="n"/>
      <c r="F860" s="25">
        <f>SUM(F856:F859)</f>
        <v/>
      </c>
      <c r="G860" s="9" t="n"/>
    </row>
    <row r="861">
      <c r="A861" s="26" t="inlineStr">
        <is>
          <t>W as printed in the DAR</t>
        </is>
      </c>
      <c r="B861" s="22" t="n"/>
      <c r="C861" s="22" t="n"/>
      <c r="D861" s="22" t="n"/>
      <c r="E861" s="22" t="n"/>
      <c r="F861" s="27" t="n">
        <v>893.0700000000001</v>
      </c>
      <c r="G861" s="22" t="n"/>
    </row>
    <row r="862">
      <c r="A862" s="26" t="inlineStr">
        <is>
          <t>Difference (calculated - printed)</t>
        </is>
      </c>
      <c r="B862" s="22" t="n"/>
      <c r="C862" s="22" t="n"/>
      <c r="D862" s="22" t="n"/>
      <c r="E862" s="22" t="n"/>
      <c r="F862" s="27">
        <f>F860-F861</f>
        <v/>
      </c>
      <c r="G862" s="22" t="n"/>
    </row>
    <row r="863">
      <c r="A863" s="29" t="inlineStr">
        <is>
          <t>SAY (Rs.) - final DAR rate as printed (fixed value, not computed)</t>
        </is>
      </c>
      <c r="B863" s="30" t="n"/>
      <c r="C863" s="30" t="n"/>
      <c r="D863" s="30" t="n"/>
      <c r="E863" s="30" t="n"/>
      <c r="F863" s="31" t="n">
        <v>1194.85</v>
      </c>
      <c r="G863" s="30" t="n"/>
    </row>
    <row r="865" ht="62" customHeight="1">
      <c r="A865" s="18" t="inlineStr">
        <is>
          <t>10.31</t>
        </is>
      </c>
      <c r="B865" s="19" t="inlineStr">
        <is>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t>
        </is>
      </c>
      <c r="C865" s="20" t="n"/>
      <c r="D865" s="20" t="n"/>
      <c r="E865" s="20" t="n"/>
      <c r="F865" s="20" t="n"/>
      <c r="G865" s="20" t="n"/>
    </row>
    <row r="866">
      <c r="A866" s="21" t="inlineStr">
        <is>
          <t>Details of cost for 17.5 kg   |   Source: CivilDAR_2019_Vol_1.pdf, page 718</t>
        </is>
      </c>
    </row>
    <row r="867">
      <c r="A867" s="5" t="inlineStr">
        <is>
          <t>Code</t>
        </is>
      </c>
      <c r="B867" s="5" t="inlineStr">
        <is>
          <t>Description</t>
        </is>
      </c>
      <c r="C867" s="5" t="inlineStr">
        <is>
          <t>Unit</t>
        </is>
      </c>
      <c r="D867" s="5" t="inlineStr">
        <is>
          <t>Quantity</t>
        </is>
      </c>
      <c r="E867" s="5" t="inlineStr">
        <is>
          <t>Rate (Rs.)</t>
        </is>
      </c>
      <c r="F867" s="5" t="inlineStr">
        <is>
          <t>Amount (Rs.)</t>
        </is>
      </c>
      <c r="G867" s="5" t="inlineStr">
        <is>
          <t>Note</t>
        </is>
      </c>
    </row>
    <row r="868">
      <c r="A868" s="22" t="inlineStr">
        <is>
          <t>1007</t>
        </is>
      </c>
      <c r="B868" s="11" t="inlineStr">
        <is>
          <t>Structural steel such as tees, angles, channels and R.S. Joists</t>
        </is>
      </c>
      <c r="C868" s="22" t="inlineStr">
        <is>
          <t>quintal</t>
        </is>
      </c>
      <c r="D868" s="23" t="n">
        <v>0.18</v>
      </c>
      <c r="E868" s="24" t="n">
        <v>4600</v>
      </c>
      <c r="F868" s="24">
        <f>D868*E868</f>
        <v/>
      </c>
      <c r="G868" s="22" t="n"/>
    </row>
    <row r="869">
      <c r="A869" s="22" t="inlineStr">
        <is>
          <t>1008</t>
        </is>
      </c>
      <c r="B869" s="11" t="inlineStr">
        <is>
          <t>M.S. Flats 3x5 mm for fixing frame 6x0.05= 0.3 Metre @1.18 Kg/m= 0.354 Kg Add wastage @5% = 0.018 Kg Total= 0.37Kg. Say 0.0037 Qunital</t>
        </is>
      </c>
      <c r="C869" s="22" t="inlineStr">
        <is>
          <t>quintal</t>
        </is>
      </c>
      <c r="D869" s="23" t="n">
        <v>0.0037</v>
      </c>
      <c r="E869" s="24" t="n">
        <v>4500</v>
      </c>
      <c r="F869" s="24">
        <f>D869*E869</f>
        <v/>
      </c>
      <c r="G869" s="22" t="n"/>
    </row>
    <row r="870">
      <c r="A870" s="22" t="inlineStr">
        <is>
          <t>1002</t>
        </is>
      </c>
      <c r="B870" s="11" t="inlineStr">
        <is>
          <t>M.S. Bars 10mm =1x1 m = 1Metre 1 Metre @0.60Kg/m =0.60Kg + Add wastage @5% = 0.03 Kg. Total =0.63 Kg, say 0.006 Quintal Mild steel round bars 10mm dia and below</t>
        </is>
      </c>
      <c r="C870" s="22" t="inlineStr">
        <is>
          <t>quintal</t>
        </is>
      </c>
      <c r="D870" s="23" t="n">
        <v>0.006</v>
      </c>
      <c r="E870" s="24" t="n">
        <v>4500</v>
      </c>
      <c r="F870" s="24">
        <f>D870*E870</f>
        <v/>
      </c>
      <c r="G870" s="22" t="n"/>
    </row>
    <row r="871">
      <c r="A871" s="22" t="inlineStr">
        <is>
          <t>9999</t>
        </is>
      </c>
      <c r="B871" s="11" t="inlineStr">
        <is>
          <t>For applying steel primer</t>
        </is>
      </c>
      <c r="C871" s="22" t="inlineStr">
        <is>
          <t>L.S.</t>
        </is>
      </c>
      <c r="D871" s="23" t="n">
        <v>17.94</v>
      </c>
      <c r="E871" s="24" t="n">
        <v>2</v>
      </c>
      <c r="F871" s="24">
        <f>D871*E871</f>
        <v/>
      </c>
      <c r="G871" s="22" t="n"/>
    </row>
    <row r="872">
      <c r="A872" s="22" t="inlineStr">
        <is>
          <t>9999</t>
        </is>
      </c>
      <c r="B872" s="11" t="inlineStr">
        <is>
          <t>Carriage of material</t>
        </is>
      </c>
      <c r="C872" s="22" t="inlineStr">
        <is>
          <t>L.S.</t>
        </is>
      </c>
      <c r="D872" s="23" t="n">
        <v>5.33</v>
      </c>
      <c r="E872" s="24" t="n">
        <v>2</v>
      </c>
      <c r="F872" s="24">
        <f>D872*E872</f>
        <v/>
      </c>
      <c r="G872" s="22" t="n"/>
    </row>
    <row r="873">
      <c r="A873" s="22" t="inlineStr">
        <is>
          <t>1215</t>
        </is>
      </c>
      <c r="B873" s="11" t="inlineStr">
        <is>
          <t>Welding by electric plant</t>
        </is>
      </c>
      <c r="C873" s="22" t="inlineStr">
        <is>
          <t>cm</t>
        </is>
      </c>
      <c r="D873" s="23" t="n">
        <v>16</v>
      </c>
      <c r="E873" s="24" t="n">
        <v>2</v>
      </c>
      <c r="F873" s="24">
        <f>D873*E873</f>
        <v/>
      </c>
      <c r="G873" s="22" t="n"/>
    </row>
    <row r="874">
      <c r="A874" s="22" t="inlineStr">
        <is>
          <t>0103</t>
        </is>
      </c>
      <c r="B874" s="11" t="inlineStr">
        <is>
          <t>Blacksmith 2nd Class</t>
        </is>
      </c>
      <c r="C874" s="22" t="inlineStr">
        <is>
          <t>day</t>
        </is>
      </c>
      <c r="D874" s="23" t="n">
        <v>0.1</v>
      </c>
      <c r="E874" s="24" t="n">
        <v>679</v>
      </c>
      <c r="F874" s="24">
        <f>D874*E874</f>
        <v/>
      </c>
      <c r="G874" s="22" t="n"/>
    </row>
    <row r="875">
      <c r="A875" s="22" t="inlineStr">
        <is>
          <t>0116</t>
        </is>
      </c>
      <c r="B875" s="11" t="inlineStr">
        <is>
          <t>Fitter (Grade-I)</t>
        </is>
      </c>
      <c r="C875" s="22" t="inlineStr">
        <is>
          <t>day</t>
        </is>
      </c>
      <c r="D875" s="23" t="n">
        <v>0.15</v>
      </c>
      <c r="E875" s="24" t="n">
        <v>738</v>
      </c>
      <c r="F875" s="24">
        <f>D875*E875</f>
        <v/>
      </c>
      <c r="G875" s="22" t="n"/>
    </row>
    <row r="876">
      <c r="A876" s="22" t="inlineStr">
        <is>
          <t>0114</t>
        </is>
      </c>
      <c r="B876" s="11" t="inlineStr">
        <is>
          <t>Beldar</t>
        </is>
      </c>
      <c r="C876" s="22" t="inlineStr">
        <is>
          <t>day</t>
        </is>
      </c>
      <c r="D876" s="23" t="n">
        <v>0.2</v>
      </c>
      <c r="E876" s="24" t="n">
        <v>558</v>
      </c>
      <c r="F876" s="24">
        <f>D876*E876</f>
        <v/>
      </c>
      <c r="G876" s="22" t="n"/>
    </row>
    <row r="877">
      <c r="A877" s="22" t="inlineStr">
        <is>
          <t>9999</t>
        </is>
      </c>
      <c r="B877" s="11" t="inlineStr">
        <is>
          <t>Sundries</t>
        </is>
      </c>
      <c r="C877" s="22" t="inlineStr">
        <is>
          <t>L.S.</t>
        </is>
      </c>
      <c r="D877" s="23" t="n">
        <v>8.970000000000001</v>
      </c>
      <c r="E877" s="24" t="n">
        <v>2</v>
      </c>
      <c r="F877" s="24">
        <f>D877*E877</f>
        <v/>
      </c>
      <c r="G877" s="22" t="n"/>
    </row>
    <row r="878">
      <c r="A878" s="8" t="inlineStr">
        <is>
          <t>Calculated W - SUM of the Amount column above</t>
        </is>
      </c>
      <c r="B878" s="9" t="n"/>
      <c r="C878" s="9" t="n"/>
      <c r="D878" s="9" t="n"/>
      <c r="E878" s="9" t="n"/>
      <c r="F878" s="25">
        <f>SUM(F868:F877)</f>
        <v/>
      </c>
      <c r="G878" s="9" t="n"/>
    </row>
    <row r="879">
      <c r="A879" s="26" t="inlineStr">
        <is>
          <t>W as printed in the DAR</t>
        </is>
      </c>
      <c r="B879" s="22" t="n"/>
      <c r="C879" s="22" t="n"/>
      <c r="D879" s="22" t="n"/>
      <c r="E879" s="22" t="n"/>
      <c r="F879" s="27" t="n">
        <v>1258.33</v>
      </c>
      <c r="G879" s="22" t="n"/>
    </row>
    <row r="880">
      <c r="A880" s="26" t="inlineStr">
        <is>
          <t>Difference (calculated - printed)</t>
        </is>
      </c>
      <c r="B880" s="22" t="n"/>
      <c r="C880" s="22" t="n"/>
      <c r="D880" s="22" t="n"/>
      <c r="E880" s="22" t="n"/>
      <c r="F880" s="27">
        <f>F878-F879</f>
        <v/>
      </c>
      <c r="G880" s="22" t="n"/>
    </row>
    <row r="881">
      <c r="A881" s="29" t="inlineStr">
        <is>
          <t>SAY (Rs.) - final DAR rate as printed (fixed value, not computed)</t>
        </is>
      </c>
      <c r="B881" s="30" t="n"/>
      <c r="C881" s="30" t="n"/>
      <c r="D881" s="30" t="n"/>
      <c r="E881" s="30" t="n"/>
      <c r="F881" s="31" t="n">
        <v>96.2</v>
      </c>
      <c r="G881" s="30" t="n"/>
    </row>
  </sheetData>
  <mergeCells count="364">
    <mergeCell ref="A529:G529"/>
    <mergeCell ref="A765:G765"/>
    <mergeCell ref="A429:E429"/>
    <mergeCell ref="B413:G413"/>
    <mergeCell ref="B217:G217"/>
    <mergeCell ref="A137:E137"/>
    <mergeCell ref="A37:E37"/>
    <mergeCell ref="A702:E702"/>
    <mergeCell ref="B586:G586"/>
    <mergeCell ref="A139:E139"/>
    <mergeCell ref="A406:E406"/>
    <mergeCell ref="A704:E704"/>
    <mergeCell ref="A247:E247"/>
    <mergeCell ref="B777:G777"/>
    <mergeCell ref="A203:E203"/>
    <mergeCell ref="B789:G789"/>
    <mergeCell ref="A657:G657"/>
    <mergeCell ref="A584:E584"/>
    <mergeCell ref="A261:E261"/>
    <mergeCell ref="A559:E559"/>
    <mergeCell ref="A350:E350"/>
    <mergeCell ref="A138:E138"/>
    <mergeCell ref="B470:G470"/>
    <mergeCell ref="A488:E488"/>
    <mergeCell ref="B314:G314"/>
    <mergeCell ref="A653:E653"/>
    <mergeCell ref="A367:E367"/>
    <mergeCell ref="B805:G805"/>
    <mergeCell ref="A652:E652"/>
    <mergeCell ref="A739:G739"/>
    <mergeCell ref="A369:E369"/>
    <mergeCell ref="A1:G1"/>
    <mergeCell ref="A719:E719"/>
    <mergeCell ref="A748:E748"/>
    <mergeCell ref="B561:G561"/>
    <mergeCell ref="A38:E38"/>
    <mergeCell ref="A445:E445"/>
    <mergeCell ref="A801:E801"/>
    <mergeCell ref="B431:G431"/>
    <mergeCell ref="A732:E732"/>
    <mergeCell ref="A486:E486"/>
    <mergeCell ref="A836:E836"/>
    <mergeCell ref="B839:G839"/>
    <mergeCell ref="B40:G40"/>
    <mergeCell ref="A266:G266"/>
    <mergeCell ref="A158:E158"/>
    <mergeCell ref="B142:G142"/>
    <mergeCell ref="B313:G313"/>
    <mergeCell ref="A197:G197"/>
    <mergeCell ref="A204:E204"/>
    <mergeCell ref="A489:E489"/>
    <mergeCell ref="B302:G302"/>
    <mergeCell ref="B252:G252"/>
    <mergeCell ref="A224:E224"/>
    <mergeCell ref="A862:E862"/>
    <mergeCell ref="A849:E849"/>
    <mergeCell ref="A434:G434"/>
    <mergeCell ref="A506:E506"/>
    <mergeCell ref="A59:E59"/>
    <mergeCell ref="A144:G144"/>
    <mergeCell ref="B852:G852"/>
    <mergeCell ref="A61:E61"/>
    <mergeCell ref="B691:G691"/>
    <mergeCell ref="B491:G491"/>
    <mergeCell ref="A582:E582"/>
    <mergeCell ref="A212:E212"/>
    <mergeCell ref="A388:E388"/>
    <mergeCell ref="A277:E277"/>
    <mergeCell ref="A448:E448"/>
    <mergeCell ref="A581:E581"/>
    <mergeCell ref="A746:E746"/>
    <mergeCell ref="A817:E817"/>
    <mergeCell ref="A214:E214"/>
    <mergeCell ref="A390:E390"/>
    <mergeCell ref="A583:E583"/>
    <mergeCell ref="B265:G265"/>
    <mergeCell ref="A85:E85"/>
    <mergeCell ref="A650:E650"/>
    <mergeCell ref="A866:G866"/>
    <mergeCell ref="A466:E466"/>
    <mergeCell ref="B412:G412"/>
    <mergeCell ref="B673:G673"/>
    <mergeCell ref="A232:E232"/>
    <mergeCell ref="A790:G790"/>
    <mergeCell ref="A505:E505"/>
    <mergeCell ref="B451:G451"/>
    <mergeCell ref="A507:E507"/>
    <mergeCell ref="A692:G692"/>
    <mergeCell ref="B545:G545"/>
    <mergeCell ref="A571:E571"/>
    <mergeCell ref="B207:G207"/>
    <mergeCell ref="B334:G334"/>
    <mergeCell ref="A298:E298"/>
    <mergeCell ref="B763:G763"/>
    <mergeCell ref="A881:E881"/>
    <mergeCell ref="B634:G634"/>
    <mergeCell ref="A389:E389"/>
    <mergeCell ref="A453:G453"/>
    <mergeCell ref="A156:E156"/>
    <mergeCell ref="B115:G115"/>
    <mergeCell ref="A818:E818"/>
    <mergeCell ref="A299:E299"/>
    <mergeCell ref="A155:E155"/>
    <mergeCell ref="A820:E820"/>
    <mergeCell ref="A747:E747"/>
    <mergeCell ref="B573:G573"/>
    <mergeCell ref="A157:E157"/>
    <mergeCell ref="A336:G336"/>
    <mergeCell ref="B178:G178"/>
    <mergeCell ref="A229:G229"/>
    <mergeCell ref="A233:E233"/>
    <mergeCell ref="B776:G776"/>
    <mergeCell ref="A409:E409"/>
    <mergeCell ref="A773:E773"/>
    <mergeCell ref="B624:G624"/>
    <mergeCell ref="A596:E596"/>
    <mergeCell ref="B751:G751"/>
    <mergeCell ref="A248:E248"/>
    <mergeCell ref="B63:G63"/>
    <mergeCell ref="A175:E175"/>
    <mergeCell ref="A235:E235"/>
    <mergeCell ref="A297:E297"/>
    <mergeCell ref="B840:G840"/>
    <mergeCell ref="A631:E631"/>
    <mergeCell ref="A14:E14"/>
    <mergeCell ref="A508:E508"/>
    <mergeCell ref="B690:G690"/>
    <mergeCell ref="A621:E621"/>
    <mergeCell ref="A239:G239"/>
    <mergeCell ref="A5:G5"/>
    <mergeCell ref="A303:G303"/>
    <mergeCell ref="A219:G219"/>
    <mergeCell ref="A226:E226"/>
    <mergeCell ref="A201:E201"/>
    <mergeCell ref="A395:G395"/>
    <mergeCell ref="B179:G179"/>
    <mergeCell ref="A760:E760"/>
    <mergeCell ref="A824:G824"/>
    <mergeCell ref="A722:E722"/>
    <mergeCell ref="B116:G116"/>
    <mergeCell ref="B708:G708"/>
    <mergeCell ref="B281:G281"/>
    <mergeCell ref="A223:E223"/>
    <mergeCell ref="A465:E465"/>
    <mergeCell ref="B355:G355"/>
    <mergeCell ref="A472:G472"/>
    <mergeCell ref="B492:G492"/>
    <mergeCell ref="B528:G528"/>
    <mergeCell ref="A112:E112"/>
    <mergeCell ref="A348:E348"/>
    <mergeCell ref="A541:E541"/>
    <mergeCell ref="A249:E249"/>
    <mergeCell ref="A176:E176"/>
    <mergeCell ref="A539:E539"/>
    <mergeCell ref="A15:E15"/>
    <mergeCell ref="A191:E191"/>
    <mergeCell ref="A349:E349"/>
    <mergeCell ref="A620:E620"/>
    <mergeCell ref="A162:G162"/>
    <mergeCell ref="B218:G218"/>
    <mergeCell ref="B411:G411"/>
    <mergeCell ref="A542:E542"/>
    <mergeCell ref="A35:E35"/>
    <mergeCell ref="A262:E262"/>
    <mergeCell ref="A771:E771"/>
    <mergeCell ref="A802:E802"/>
    <mergeCell ref="B282:G282"/>
    <mergeCell ref="B724:G724"/>
    <mergeCell ref="A308:E308"/>
    <mergeCell ref="A593:E593"/>
    <mergeCell ref="A310:E310"/>
    <mergeCell ref="A608:E608"/>
    <mergeCell ref="A595:E595"/>
    <mergeCell ref="A709:G709"/>
    <mergeCell ref="A117:G117"/>
    <mergeCell ref="B656:G656"/>
    <mergeCell ref="B737:G737"/>
    <mergeCell ref="A426:E426"/>
    <mergeCell ref="A557:E557"/>
    <mergeCell ref="B372:G372"/>
    <mergeCell ref="A720:E720"/>
    <mergeCell ref="A192:E192"/>
    <mergeCell ref="A847:E847"/>
    <mergeCell ref="A428:E428"/>
    <mergeCell ref="A113:E113"/>
    <mergeCell ref="B374:G374"/>
    <mergeCell ref="A784:E784"/>
    <mergeCell ref="A194:E194"/>
    <mergeCell ref="A208:G208"/>
    <mergeCell ref="A493:G493"/>
    <mergeCell ref="B450:G450"/>
    <mergeCell ref="A860:E860"/>
    <mergeCell ref="A276:E276"/>
    <mergeCell ref="A568:E568"/>
    <mergeCell ref="A368:E368"/>
    <mergeCell ref="A835:E835"/>
    <mergeCell ref="B452:G452"/>
    <mergeCell ref="A36:E36"/>
    <mergeCell ref="B750:G750"/>
    <mergeCell ref="B544:G544"/>
    <mergeCell ref="A570:E570"/>
    <mergeCell ref="A370:E370"/>
    <mergeCell ref="B354:G354"/>
    <mergeCell ref="A837:E837"/>
    <mergeCell ref="A668:E668"/>
    <mergeCell ref="B823:G823"/>
    <mergeCell ref="A670:E670"/>
    <mergeCell ref="A546:G546"/>
    <mergeCell ref="B237:G237"/>
    <mergeCell ref="A625:G625"/>
    <mergeCell ref="A863:E863"/>
    <mergeCell ref="B432:G432"/>
    <mergeCell ref="A356:G356"/>
    <mergeCell ref="A721:E721"/>
    <mergeCell ref="B238:G238"/>
    <mergeCell ref="A525:E525"/>
    <mergeCell ref="A848:E848"/>
    <mergeCell ref="B674:G674"/>
    <mergeCell ref="A202:E202"/>
    <mergeCell ref="A786:E786"/>
    <mergeCell ref="A58:E58"/>
    <mergeCell ref="A329:E329"/>
    <mergeCell ref="B253:G253"/>
    <mergeCell ref="A785:E785"/>
    <mergeCell ref="B611:G611"/>
    <mergeCell ref="A574:G574"/>
    <mergeCell ref="A850:E850"/>
    <mergeCell ref="B598:G598"/>
    <mergeCell ref="A260:E260"/>
    <mergeCell ref="A60:E60"/>
    <mergeCell ref="A629:E629"/>
    <mergeCell ref="A800:E800"/>
    <mergeCell ref="A787:E787"/>
    <mergeCell ref="A84:E84"/>
    <mergeCell ref="A447:E447"/>
    <mergeCell ref="B89:G89"/>
    <mergeCell ref="B393:G393"/>
    <mergeCell ref="B160:G160"/>
    <mergeCell ref="B527:G527"/>
    <mergeCell ref="A86:E86"/>
    <mergeCell ref="A213:E213"/>
    <mergeCell ref="A607:E607"/>
    <mergeCell ref="A878:E878"/>
    <mergeCell ref="A734:E734"/>
    <mergeCell ref="A215:E215"/>
    <mergeCell ref="A880:E880"/>
    <mergeCell ref="B90:G90"/>
    <mergeCell ref="A671:E671"/>
    <mergeCell ref="B655:G655"/>
    <mergeCell ref="A587:G587"/>
    <mergeCell ref="A686:E686"/>
    <mergeCell ref="A562:G562"/>
    <mergeCell ref="A735:E735"/>
    <mergeCell ref="B471:G471"/>
    <mergeCell ref="B19:G19"/>
    <mergeCell ref="A726:G726"/>
    <mergeCell ref="B510:G510"/>
    <mergeCell ref="A330:E330"/>
    <mergeCell ref="B143:G143"/>
    <mergeCell ref="A630:E630"/>
    <mergeCell ref="A803:E803"/>
    <mergeCell ref="B635:G635"/>
    <mergeCell ref="A41:G41"/>
    <mergeCell ref="A283:G283"/>
    <mergeCell ref="A752:G752"/>
    <mergeCell ref="A140:E140"/>
    <mergeCell ref="A311:E311"/>
    <mergeCell ref="A375:G375"/>
    <mergeCell ref="A512:G512"/>
    <mergeCell ref="B764:G764"/>
    <mergeCell ref="A675:G675"/>
    <mergeCell ref="B161:G161"/>
    <mergeCell ref="A279:E279"/>
    <mergeCell ref="B853:G853"/>
    <mergeCell ref="A819:E819"/>
    <mergeCell ref="A879:E879"/>
    <mergeCell ref="A300:E300"/>
    <mergeCell ref="A387:E387"/>
    <mergeCell ref="A523:E523"/>
    <mergeCell ref="A427:E427"/>
    <mergeCell ref="A87:E87"/>
    <mergeCell ref="B373:G373"/>
    <mergeCell ref="A687:E687"/>
    <mergeCell ref="A193:E193"/>
    <mergeCell ref="B806:G806"/>
    <mergeCell ref="A468:E468"/>
    <mergeCell ref="A234:E234"/>
    <mergeCell ref="A834:E834"/>
    <mergeCell ref="A807:G807"/>
    <mergeCell ref="B264:G264"/>
    <mergeCell ref="A407:E407"/>
    <mergeCell ref="A705:E705"/>
    <mergeCell ref="A594:E594"/>
    <mergeCell ref="A569:E569"/>
    <mergeCell ref="A173:E173"/>
    <mergeCell ref="A446:E446"/>
    <mergeCell ref="A414:G414"/>
    <mergeCell ref="A91:G91"/>
    <mergeCell ref="A669:E669"/>
    <mergeCell ref="A180:G180"/>
    <mergeCell ref="A612:G612"/>
    <mergeCell ref="A733:E733"/>
    <mergeCell ref="A599:G599"/>
    <mergeCell ref="A351:E351"/>
    <mergeCell ref="A522:E522"/>
    <mergeCell ref="B865:G865"/>
    <mergeCell ref="A758:E758"/>
    <mergeCell ref="B335:G335"/>
    <mergeCell ref="A685:E685"/>
    <mergeCell ref="B511:G511"/>
    <mergeCell ref="A745:E745"/>
    <mergeCell ref="A331:E331"/>
    <mergeCell ref="A524:E524"/>
    <mergeCell ref="A651:E651"/>
    <mergeCell ref="B206:G206"/>
    <mergeCell ref="A759:E759"/>
    <mergeCell ref="A332:E332"/>
    <mergeCell ref="A761:E761"/>
    <mergeCell ref="B353:G353"/>
    <mergeCell ref="B822:G822"/>
    <mergeCell ref="A250:E250"/>
    <mergeCell ref="A110:E110"/>
    <mergeCell ref="A408:E408"/>
    <mergeCell ref="B392:G392"/>
    <mergeCell ref="B196:G196"/>
    <mergeCell ref="A606:E606"/>
    <mergeCell ref="A16:E16"/>
    <mergeCell ref="A619:E619"/>
    <mergeCell ref="A174:E174"/>
    <mergeCell ref="B394:G394"/>
    <mergeCell ref="A487:E487"/>
    <mergeCell ref="A772:E772"/>
    <mergeCell ref="A278:E278"/>
    <mergeCell ref="A636:G636"/>
    <mergeCell ref="A2:G2"/>
    <mergeCell ref="A254:G254"/>
    <mergeCell ref="A688:E688"/>
    <mergeCell ref="B707:G707"/>
    <mergeCell ref="A540:E540"/>
    <mergeCell ref="A225:E225"/>
    <mergeCell ref="A20:G20"/>
    <mergeCell ref="A467:E467"/>
    <mergeCell ref="A632:E632"/>
    <mergeCell ref="A703:E703"/>
    <mergeCell ref="A861:E861"/>
    <mergeCell ref="A854:G854"/>
    <mergeCell ref="A64:G64"/>
    <mergeCell ref="A841:G841"/>
    <mergeCell ref="A556:E556"/>
    <mergeCell ref="A778:G778"/>
    <mergeCell ref="A315:G315"/>
    <mergeCell ref="B738:G738"/>
    <mergeCell ref="B4:G4"/>
    <mergeCell ref="A558:E558"/>
    <mergeCell ref="A309:E309"/>
    <mergeCell ref="B725:G725"/>
    <mergeCell ref="B433:G433"/>
    <mergeCell ref="A17:E17"/>
    <mergeCell ref="A259:E259"/>
    <mergeCell ref="A622:E622"/>
    <mergeCell ref="A609:E609"/>
    <mergeCell ref="A774:E774"/>
    <mergeCell ref="A111:E111"/>
    <mergeCell ref="B228:G228"/>
  </mergeCells>
  <conditionalFormatting sqref="F16 F37 F60 F86 F112 F139 F157 F175 F193 F203 F214 F225 F234 F249 F261 F278 F299 F310 F331 F350 F369 F389 F408 F428 F447 F467 F488 F507 F524 F541 F558 F570 F583 F595 F608 F621 F631 F652 F670 F687 F704 F721 F734 F747 F760 F773 F786 F802 F819 F836 F849 F862 F880">
    <cfRule type="cellIs" priority="1" operator="notBetween" dxfId="0">
      <formula>-0.05</formula>
      <formula>0.05</formula>
    </cfRule>
  </conditionalFormatting>
  <hyperlinks>
    <hyperlink xmlns:r="http://schemas.openxmlformats.org/officeDocument/2006/relationships" ref="A241" r:id="rId1"/>
    <hyperlink xmlns:r="http://schemas.openxmlformats.org/officeDocument/2006/relationships" ref="A274" r:id="rId2"/>
    <hyperlink xmlns:r="http://schemas.openxmlformats.org/officeDocument/2006/relationships" ref="A320" r:id="rId3"/>
    <hyperlink xmlns:r="http://schemas.openxmlformats.org/officeDocument/2006/relationships" ref="A477"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90"/>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11: FLOORING</t>
        </is>
      </c>
    </row>
    <row r="2" ht="28" customHeight="1">
      <c r="A2" s="16" t="inlineStr">
        <is>
          <t>116 priced items. Amount and Calculated W are live Excel formulas (Quantity x Rate, SUM); the printed W and SAY are the DAR's own figures. Edit any Quantity or Rate and the item's calculated W recalculates.</t>
        </is>
      </c>
    </row>
    <row r="4" ht="33" customHeight="1">
      <c r="A4" s="8" t="inlineStr">
        <is>
          <t>11.1</t>
        </is>
      </c>
      <c r="B4" s="17" t="inlineStr">
        <is>
          <t>Brick on edge flooring with bricks of class designation 7.5 on a bed of 12 mm cement mortar, including filling the joints with same mortar, with common burnt clay non modular bricks:</t>
        </is>
      </c>
      <c r="C4" s="9" t="n"/>
      <c r="D4" s="9" t="n"/>
      <c r="E4" s="9" t="n"/>
      <c r="F4" s="9" t="n"/>
      <c r="G4" s="9" t="n"/>
    </row>
    <row r="5" ht="18.5" customHeight="1">
      <c r="A5" s="18" t="inlineStr">
        <is>
          <t>11.1.1</t>
        </is>
      </c>
      <c r="B5" s="19" t="inlineStr">
        <is>
          <t>1:4 (1 cement : 4 coarse sand)</t>
        </is>
      </c>
      <c r="C5" s="20" t="n"/>
      <c r="D5" s="20" t="n"/>
      <c r="E5" s="20" t="n"/>
      <c r="F5" s="20" t="n"/>
      <c r="G5" s="20" t="n"/>
    </row>
    <row r="6">
      <c r="A6" s="21" t="inlineStr">
        <is>
          <t>Details of cost for 10 sqm   |   Source: CivilDAR_2019_Vol_1.pdf, page 722</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2602</t>
        </is>
      </c>
      <c r="B8" s="11" t="inlineStr">
        <is>
          <t>Common burnt clay F.P.S. (non modular) bricks class designation 7.5</t>
        </is>
      </c>
      <c r="C8" s="22" t="inlineStr">
        <is>
          <t>1000 Nos</t>
        </is>
      </c>
      <c r="D8" s="23" t="n">
        <v>0.5649999999999999</v>
      </c>
      <c r="E8" s="24" t="n">
        <v>4500</v>
      </c>
      <c r="F8" s="24">
        <f>D8*E8</f>
        <v/>
      </c>
      <c r="G8" s="22" t="n"/>
    </row>
    <row r="9">
      <c r="A9" s="22" t="inlineStr">
        <is>
          <t>2201</t>
        </is>
      </c>
      <c r="B9" s="11" t="inlineStr">
        <is>
          <t>Carriage of Bricks</t>
        </is>
      </c>
      <c r="C9" s="22" t="inlineStr">
        <is>
          <t>1000 Nos</t>
        </is>
      </c>
      <c r="D9" s="23" t="n">
        <v>0.5649999999999999</v>
      </c>
      <c r="E9" s="24" t="n">
        <v>276.72</v>
      </c>
      <c r="F9" s="24">
        <f>D9*E9</f>
        <v/>
      </c>
      <c r="G9" s="22" t="n"/>
    </row>
    <row r="10">
      <c r="A10" s="7" t="inlineStr">
        <is>
          <t>3.9</t>
        </is>
      </c>
      <c r="B10" s="11" t="inlineStr">
        <is>
          <t>Rate as per item 3.9 - Cement mortar 1:4 (1 cement : 4 coarse sand)</t>
        </is>
      </c>
      <c r="C10" s="22" t="inlineStr">
        <is>
          <t>cum</t>
        </is>
      </c>
      <c r="D10" s="23" t="n">
        <v>0.434</v>
      </c>
      <c r="E10" s="24" t="n">
        <v>4010.35</v>
      </c>
      <c r="F10" s="24">
        <f>D10*E10</f>
        <v/>
      </c>
      <c r="G10" s="22" t="n"/>
    </row>
    <row r="11">
      <c r="A11" s="22" t="inlineStr">
        <is>
          <t>0367</t>
        </is>
      </c>
      <c r="B11" s="11" t="inlineStr">
        <is>
          <t>Portland Cement</t>
        </is>
      </c>
      <c r="C11" s="22" t="inlineStr">
        <is>
          <t>tonne</t>
        </is>
      </c>
      <c r="D11" s="23" t="n">
        <v>0.02</v>
      </c>
      <c r="E11" s="24" t="n">
        <v>4940</v>
      </c>
      <c r="F11" s="24">
        <f>D11*E11</f>
        <v/>
      </c>
      <c r="G11" s="22" t="n"/>
    </row>
    <row r="12">
      <c r="A12" s="22" t="inlineStr">
        <is>
          <t>2209</t>
        </is>
      </c>
      <c r="B12" s="11" t="inlineStr">
        <is>
          <t>Carriage of Cement</t>
        </is>
      </c>
      <c r="C12" s="22" t="inlineStr">
        <is>
          <t>tonne</t>
        </is>
      </c>
      <c r="D12" s="23" t="n">
        <v>0.02</v>
      </c>
      <c r="E12" s="24" t="n">
        <v>92.23999999999999</v>
      </c>
      <c r="F12" s="24">
        <f>D12*E12</f>
        <v/>
      </c>
      <c r="G12" s="22" t="n"/>
    </row>
    <row r="13">
      <c r="A13" s="22" t="inlineStr">
        <is>
          <t>0124</t>
        </is>
      </c>
      <c r="B13" s="11" t="inlineStr">
        <is>
          <t>Mason (brick layer) 2nd class</t>
        </is>
      </c>
      <c r="C13" s="22" t="inlineStr">
        <is>
          <t>day</t>
        </is>
      </c>
      <c r="D13" s="23" t="n">
        <v>1.08</v>
      </c>
      <c r="E13" s="24" t="n">
        <v>679</v>
      </c>
      <c r="F13" s="24">
        <f>D13*E13</f>
        <v/>
      </c>
      <c r="G13" s="22" t="n"/>
    </row>
    <row r="14">
      <c r="A14" s="22" t="inlineStr">
        <is>
          <t>0114</t>
        </is>
      </c>
      <c r="B14" s="11" t="inlineStr">
        <is>
          <t>Beldar</t>
        </is>
      </c>
      <c r="C14" s="22" t="inlineStr">
        <is>
          <t>day</t>
        </is>
      </c>
      <c r="D14" s="23" t="n">
        <v>0.25</v>
      </c>
      <c r="E14" s="24" t="n">
        <v>558</v>
      </c>
      <c r="F14" s="24">
        <f>D14*E14</f>
        <v/>
      </c>
      <c r="G14" s="22" t="n"/>
    </row>
    <row r="15">
      <c r="A15" s="22" t="inlineStr">
        <is>
          <t>0115</t>
        </is>
      </c>
      <c r="B15" s="11" t="inlineStr">
        <is>
          <t>Coolie</t>
        </is>
      </c>
      <c r="C15" s="22" t="inlineStr">
        <is>
          <t>day</t>
        </is>
      </c>
      <c r="D15" s="23" t="n">
        <v>1.62</v>
      </c>
      <c r="E15" s="24" t="n">
        <v>558</v>
      </c>
      <c r="F15" s="24">
        <f>D15*E15</f>
        <v/>
      </c>
      <c r="G15" s="22" t="n"/>
    </row>
    <row r="16">
      <c r="A16" s="22" t="inlineStr">
        <is>
          <t>0101</t>
        </is>
      </c>
      <c r="B16" s="11" t="inlineStr">
        <is>
          <t>Bhisti</t>
        </is>
      </c>
      <c r="C16" s="22" t="inlineStr">
        <is>
          <t>day</t>
        </is>
      </c>
      <c r="D16" s="23" t="n">
        <v>0.27</v>
      </c>
      <c r="E16" s="24" t="n">
        <v>617</v>
      </c>
      <c r="F16" s="24">
        <f>D16*E16</f>
        <v/>
      </c>
      <c r="G16" s="22" t="n"/>
    </row>
    <row r="17">
      <c r="A17" s="8" t="inlineStr">
        <is>
          <t>Calculated W - SUM of the Amount column above</t>
        </is>
      </c>
      <c r="B17" s="9" t="n"/>
      <c r="C17" s="9" t="n"/>
      <c r="D17" s="9" t="n"/>
      <c r="E17" s="9" t="n"/>
      <c r="F17" s="25">
        <f>SUM(F8:F16)</f>
        <v/>
      </c>
      <c r="G17" s="9" t="n"/>
    </row>
    <row r="18">
      <c r="A18" s="26" t="inlineStr">
        <is>
          <t>W as printed in the DAR</t>
        </is>
      </c>
      <c r="B18" s="22" t="n"/>
      <c r="C18" s="22" t="n"/>
      <c r="D18" s="22" t="n"/>
      <c r="E18" s="22" t="n"/>
      <c r="F18" s="27" t="n">
        <v>6483.35</v>
      </c>
      <c r="G18" s="22" t="n"/>
    </row>
    <row r="19">
      <c r="A19" s="26" t="inlineStr">
        <is>
          <t>Difference (calculated - printed)</t>
        </is>
      </c>
      <c r="B19" s="22" t="n"/>
      <c r="C19" s="22" t="n"/>
      <c r="D19" s="22" t="n"/>
      <c r="E19" s="22" t="n"/>
      <c r="F19" s="27">
        <f>F17-F18</f>
        <v/>
      </c>
      <c r="G19" s="22" t="n"/>
    </row>
    <row r="20">
      <c r="A20" s="29" t="inlineStr">
        <is>
          <t>SAY (Rs.) - final DAR rate as printed (fixed value, not computed)</t>
        </is>
      </c>
      <c r="B20" s="30" t="n"/>
      <c r="C20" s="30" t="n"/>
      <c r="D20" s="30" t="n"/>
      <c r="E20" s="30" t="n"/>
      <c r="F20" s="31" t="n">
        <v>867.45</v>
      </c>
      <c r="G20" s="30" t="n"/>
    </row>
    <row r="22" ht="33" customHeight="1">
      <c r="A22" s="8" t="inlineStr">
        <is>
          <t>11.1</t>
        </is>
      </c>
      <c r="B22" s="17" t="inlineStr">
        <is>
          <t>Brick on edge flooring with bricks of class designation 7.5 on a bed of 12 mm cement mortar, including filling the joints with same mortar, with common burnt clay non modular bricks:</t>
        </is>
      </c>
      <c r="C22" s="9" t="n"/>
      <c r="D22" s="9" t="n"/>
      <c r="E22" s="9" t="n"/>
      <c r="F22" s="9" t="n"/>
      <c r="G22" s="9" t="n"/>
    </row>
    <row r="23" ht="18.5" customHeight="1">
      <c r="A23" s="18" t="inlineStr">
        <is>
          <t>11.1.2</t>
        </is>
      </c>
      <c r="B23" s="19" t="inlineStr">
        <is>
          <t>1:6 (1cement : 6 coarse sand)</t>
        </is>
      </c>
      <c r="C23" s="20" t="n"/>
      <c r="D23" s="20" t="n"/>
      <c r="E23" s="20" t="n"/>
      <c r="F23" s="20" t="n"/>
      <c r="G23" s="20" t="n"/>
    </row>
    <row r="24">
      <c r="A24" s="21" t="inlineStr">
        <is>
          <t>Details of cost for 10 sqm   |   Source: CivilDAR_2019_Vol_1.pdf, page 722</t>
        </is>
      </c>
    </row>
    <row r="25">
      <c r="A25" s="5" t="inlineStr">
        <is>
          <t>Code</t>
        </is>
      </c>
      <c r="B25" s="5" t="inlineStr">
        <is>
          <t>Description</t>
        </is>
      </c>
      <c r="C25" s="5" t="inlineStr">
        <is>
          <t>Unit</t>
        </is>
      </c>
      <c r="D25" s="5" t="inlineStr">
        <is>
          <t>Quantity</t>
        </is>
      </c>
      <c r="E25" s="5" t="inlineStr">
        <is>
          <t>Rate (Rs.)</t>
        </is>
      </c>
      <c r="F25" s="5" t="inlineStr">
        <is>
          <t>Amount (Rs.)</t>
        </is>
      </c>
      <c r="G25" s="5" t="inlineStr">
        <is>
          <t>Note</t>
        </is>
      </c>
    </row>
    <row r="26">
      <c r="A26" s="22" t="inlineStr">
        <is>
          <t>2602</t>
        </is>
      </c>
      <c r="B26" s="11" t="inlineStr">
        <is>
          <t>Common burnt clay F.P.S. (non modular) bricks class designation 7.5</t>
        </is>
      </c>
      <c r="C26" s="22" t="inlineStr">
        <is>
          <t>1000 Nos</t>
        </is>
      </c>
      <c r="D26" s="23" t="n">
        <v>0.5649999999999999</v>
      </c>
      <c r="E26" s="24" t="n">
        <v>4500</v>
      </c>
      <c r="F26" s="24">
        <f>D26*E26</f>
        <v/>
      </c>
      <c r="G26" s="22" t="n"/>
    </row>
    <row r="27">
      <c r="A27" s="22" t="inlineStr">
        <is>
          <t>2201</t>
        </is>
      </c>
      <c r="B27" s="11" t="inlineStr">
        <is>
          <t>Carriage of Bricks</t>
        </is>
      </c>
      <c r="C27" s="22" t="inlineStr">
        <is>
          <t>1000 Nos</t>
        </is>
      </c>
      <c r="D27" s="23" t="n">
        <v>0.5649999999999999</v>
      </c>
      <c r="E27" s="24" t="n">
        <v>276.72</v>
      </c>
      <c r="F27" s="24">
        <f>D27*E27</f>
        <v/>
      </c>
      <c r="G27" s="22" t="n"/>
    </row>
    <row r="28">
      <c r="A28" s="7" t="inlineStr">
        <is>
          <t>3.11</t>
        </is>
      </c>
      <c r="B28" s="11" t="inlineStr">
        <is>
          <t>Rate as per item 3.11 - Cement mortar 1:6 (1 cement : 6 coarse sand)</t>
        </is>
      </c>
      <c r="C28" s="22" t="inlineStr">
        <is>
          <t>cum</t>
        </is>
      </c>
      <c r="D28" s="23" t="n">
        <v>0.434</v>
      </c>
      <c r="E28" s="24" t="n">
        <v>3356.15</v>
      </c>
      <c r="F28" s="24">
        <f>D28*E28</f>
        <v/>
      </c>
      <c r="G28" s="22" t="n"/>
    </row>
    <row r="29">
      <c r="A29" s="22" t="inlineStr">
        <is>
          <t>0367</t>
        </is>
      </c>
      <c r="B29" s="11" t="inlineStr">
        <is>
          <t>Portland Cement</t>
        </is>
      </c>
      <c r="C29" s="22" t="inlineStr">
        <is>
          <t>tonne</t>
        </is>
      </c>
      <c r="D29" s="23" t="n">
        <v>0.02</v>
      </c>
      <c r="E29" s="24" t="n">
        <v>4940</v>
      </c>
      <c r="F29" s="24">
        <f>D29*E29</f>
        <v/>
      </c>
      <c r="G29" s="22" t="n"/>
    </row>
    <row r="30">
      <c r="A30" s="22" t="inlineStr">
        <is>
          <t>2209</t>
        </is>
      </c>
      <c r="B30" s="11" t="inlineStr">
        <is>
          <t>Carriage of Cement</t>
        </is>
      </c>
      <c r="C30" s="22" t="inlineStr">
        <is>
          <t>tonne</t>
        </is>
      </c>
      <c r="D30" s="23" t="n">
        <v>0.02</v>
      </c>
      <c r="E30" s="24" t="n">
        <v>92.23999999999999</v>
      </c>
      <c r="F30" s="24">
        <f>D30*E30</f>
        <v/>
      </c>
      <c r="G30" s="22" t="n"/>
    </row>
    <row r="31">
      <c r="A31" s="22" t="inlineStr">
        <is>
          <t>0124</t>
        </is>
      </c>
      <c r="B31" s="11" t="inlineStr">
        <is>
          <t>Mason (brick layer) 2nd class</t>
        </is>
      </c>
      <c r="C31" s="22" t="inlineStr">
        <is>
          <t>day</t>
        </is>
      </c>
      <c r="D31" s="23" t="n">
        <v>1.08</v>
      </c>
      <c r="E31" s="24" t="n">
        <v>679</v>
      </c>
      <c r="F31" s="24">
        <f>D31*E31</f>
        <v/>
      </c>
      <c r="G31" s="22" t="n"/>
    </row>
    <row r="32">
      <c r="A32" s="22" t="inlineStr">
        <is>
          <t>0114</t>
        </is>
      </c>
      <c r="B32" s="11" t="inlineStr">
        <is>
          <t>Beldar</t>
        </is>
      </c>
      <c r="C32" s="22" t="inlineStr">
        <is>
          <t>day</t>
        </is>
      </c>
      <c r="D32" s="23" t="n">
        <v>0.25</v>
      </c>
      <c r="E32" s="24" t="n">
        <v>558</v>
      </c>
      <c r="F32" s="24">
        <f>D32*E32</f>
        <v/>
      </c>
      <c r="G32" s="22" t="n"/>
    </row>
    <row r="33">
      <c r="A33" s="22" t="inlineStr">
        <is>
          <t>0115</t>
        </is>
      </c>
      <c r="B33" s="11" t="inlineStr">
        <is>
          <t>Coolie</t>
        </is>
      </c>
      <c r="C33" s="22" t="inlineStr">
        <is>
          <t>day</t>
        </is>
      </c>
      <c r="D33" s="23" t="n">
        <v>1.62</v>
      </c>
      <c r="E33" s="24" t="n">
        <v>558</v>
      </c>
      <c r="F33" s="24">
        <f>D33*E33</f>
        <v/>
      </c>
      <c r="G33" s="22" t="n"/>
    </row>
    <row r="34">
      <c r="A34" s="22" t="inlineStr">
        <is>
          <t>0101</t>
        </is>
      </c>
      <c r="B34" s="11" t="inlineStr">
        <is>
          <t>Bhisti</t>
        </is>
      </c>
      <c r="C34" s="22" t="inlineStr">
        <is>
          <t>day</t>
        </is>
      </c>
      <c r="D34" s="23" t="n">
        <v>0.27</v>
      </c>
      <c r="E34" s="24" t="n">
        <v>617</v>
      </c>
      <c r="F34" s="24">
        <f>D34*E34</f>
        <v/>
      </c>
      <c r="G34" s="22" t="n"/>
    </row>
    <row r="35">
      <c r="A35" s="8" t="inlineStr">
        <is>
          <t>Calculated W - SUM of the Amount column above</t>
        </is>
      </c>
      <c r="B35" s="9" t="n"/>
      <c r="C35" s="9" t="n"/>
      <c r="D35" s="9" t="n"/>
      <c r="E35" s="9" t="n"/>
      <c r="F35" s="25">
        <f>SUM(F26:F34)</f>
        <v/>
      </c>
      <c r="G35" s="9" t="n"/>
    </row>
    <row r="36">
      <c r="A36" s="26" t="inlineStr">
        <is>
          <t>W as printed in the DAR</t>
        </is>
      </c>
      <c r="B36" s="22" t="n"/>
      <c r="C36" s="22" t="n"/>
      <c r="D36" s="22" t="n"/>
      <c r="E36" s="22" t="n"/>
      <c r="F36" s="27" t="n">
        <v>6199.43</v>
      </c>
      <c r="G36" s="22" t="n"/>
    </row>
    <row r="37">
      <c r="A37" s="26" t="inlineStr">
        <is>
          <t>Difference (calculated - printed)</t>
        </is>
      </c>
      <c r="B37" s="22" t="n"/>
      <c r="C37" s="22" t="n"/>
      <c r="D37" s="22" t="n"/>
      <c r="E37" s="22" t="n"/>
      <c r="F37" s="27">
        <f>F35-F36</f>
        <v/>
      </c>
      <c r="G37" s="22" t="n"/>
    </row>
    <row r="38">
      <c r="A38" s="29" t="inlineStr">
        <is>
          <t>SAY (Rs.) - final DAR rate as printed (fixed value, not computed)</t>
        </is>
      </c>
      <c r="B38" s="30" t="n"/>
      <c r="C38" s="30" t="n"/>
      <c r="D38" s="30" t="n"/>
      <c r="E38" s="30" t="n"/>
      <c r="F38" s="31" t="n">
        <v>829.45</v>
      </c>
      <c r="G38" s="30" t="n"/>
    </row>
    <row r="40" ht="18.5" customHeight="1">
      <c r="A40" s="18" t="inlineStr">
        <is>
          <t>11.2</t>
        </is>
      </c>
      <c r="B40" s="19" t="inlineStr">
        <is>
          <t>Dry brick on edge flooring in required pattern with bricks of class designation</t>
        </is>
      </c>
      <c r="C40" s="20" t="n"/>
      <c r="D40" s="20" t="n"/>
      <c r="E40" s="20" t="n"/>
      <c r="F40" s="20" t="n"/>
      <c r="G40" s="20" t="n"/>
    </row>
    <row r="41">
      <c r="A41" s="21" t="inlineStr">
        <is>
          <t>Details of cost for 10 sqm   |   Source: CivilDAR_2019_Vol_1.pdf, page 723</t>
        </is>
      </c>
    </row>
    <row r="42">
      <c r="A42" s="5" t="inlineStr">
        <is>
          <t>Code</t>
        </is>
      </c>
      <c r="B42" s="5" t="inlineStr">
        <is>
          <t>Description</t>
        </is>
      </c>
      <c r="C42" s="5" t="inlineStr">
        <is>
          <t>Unit</t>
        </is>
      </c>
      <c r="D42" s="5" t="inlineStr">
        <is>
          <t>Quantity</t>
        </is>
      </c>
      <c r="E42" s="5" t="inlineStr">
        <is>
          <t>Rate (Rs.)</t>
        </is>
      </c>
      <c r="F42" s="5" t="inlineStr">
        <is>
          <t>Amount (Rs.)</t>
        </is>
      </c>
      <c r="G42" s="5" t="inlineStr">
        <is>
          <t>Note</t>
        </is>
      </c>
    </row>
    <row r="43">
      <c r="A43" s="22" t="inlineStr">
        <is>
          <t>2602</t>
        </is>
      </c>
      <c r="B43" s="11" t="inlineStr">
        <is>
          <t>Common burnt clay F.P.S. (non modular) bricks class designation 7.5</t>
        </is>
      </c>
      <c r="C43" s="22" t="inlineStr">
        <is>
          <t>1000 Nos</t>
        </is>
      </c>
      <c r="D43" s="23" t="n">
        <v>0.645</v>
      </c>
      <c r="E43" s="24" t="n">
        <v>4500</v>
      </c>
      <c r="F43" s="24">
        <f>D43*E43</f>
        <v/>
      </c>
      <c r="G43" s="22" t="n"/>
    </row>
    <row r="44">
      <c r="A44" s="22" t="inlineStr">
        <is>
          <t>2201</t>
        </is>
      </c>
      <c r="B44" s="11" t="inlineStr">
        <is>
          <t>Carriage of Bricks</t>
        </is>
      </c>
      <c r="C44" s="22" t="inlineStr">
        <is>
          <t>1000 Nos</t>
        </is>
      </c>
      <c r="D44" s="23" t="n">
        <v>0.645</v>
      </c>
      <c r="E44" s="24" t="n">
        <v>276.72</v>
      </c>
      <c r="F44" s="24">
        <f>D44*E44</f>
        <v/>
      </c>
      <c r="G44" s="22" t="n"/>
    </row>
    <row r="45">
      <c r="A45" s="22" t="inlineStr">
        <is>
          <t>0983</t>
        </is>
      </c>
      <c r="B45" s="11" t="inlineStr">
        <is>
          <t>Fine sand (zone IV)</t>
        </is>
      </c>
      <c r="C45" s="22" t="inlineStr">
        <is>
          <t>cum</t>
        </is>
      </c>
      <c r="D45" s="23" t="n">
        <v>0.15</v>
      </c>
      <c r="E45" s="24" t="n">
        <v>900</v>
      </c>
      <c r="F45" s="24">
        <f>D45*E45</f>
        <v/>
      </c>
      <c r="G45" s="22" t="n"/>
    </row>
    <row r="46">
      <c r="A46" s="22" t="inlineStr">
        <is>
          <t>2261</t>
        </is>
      </c>
      <c r="B46" s="11" t="inlineStr">
        <is>
          <t>Carriage of Fine sand (1 part badarpur sand : 2 parts jamuna sand)</t>
        </is>
      </c>
      <c r="C46" s="22" t="inlineStr">
        <is>
          <t>cum</t>
        </is>
      </c>
      <c r="D46" s="23" t="n">
        <v>0.15</v>
      </c>
      <c r="E46" s="24" t="n">
        <v>103.77</v>
      </c>
      <c r="F46" s="24">
        <f>D46*E46</f>
        <v/>
      </c>
      <c r="G46" s="22" t="n"/>
    </row>
    <row r="47">
      <c r="A47" s="7" t="inlineStr">
        <is>
          <t>3.18</t>
        </is>
      </c>
      <c r="B47" s="11" t="inlineStr">
        <is>
          <t>Rate as per item 3.18 - Mud mortar</t>
        </is>
      </c>
      <c r="C47" s="22" t="inlineStr">
        <is>
          <t>cum</t>
        </is>
      </c>
      <c r="D47" s="23" t="n">
        <v>0.15</v>
      </c>
      <c r="E47" s="24" t="n">
        <v>737</v>
      </c>
      <c r="F47" s="24">
        <f>D47*E47</f>
        <v/>
      </c>
      <c r="G47" s="22" t="n"/>
    </row>
    <row r="48">
      <c r="A48" s="22" t="inlineStr">
        <is>
          <t>0124</t>
        </is>
      </c>
      <c r="B48" s="11" t="inlineStr">
        <is>
          <t>Mason (brick layer) 2nd class</t>
        </is>
      </c>
      <c r="C48" s="22" t="inlineStr">
        <is>
          <t>day</t>
        </is>
      </c>
      <c r="D48" s="23" t="n">
        <v>0.9</v>
      </c>
      <c r="E48" s="24" t="n">
        <v>679</v>
      </c>
      <c r="F48" s="24">
        <f>D48*E48</f>
        <v/>
      </c>
      <c r="G48" s="22" t="n"/>
    </row>
    <row r="49">
      <c r="A49" s="22" t="inlineStr">
        <is>
          <t>0115</t>
        </is>
      </c>
      <c r="B49" s="11" t="inlineStr">
        <is>
          <t>Coolie</t>
        </is>
      </c>
      <c r="C49" s="22" t="inlineStr">
        <is>
          <t>day</t>
        </is>
      </c>
      <c r="D49" s="23" t="n">
        <v>1.98</v>
      </c>
      <c r="E49" s="24" t="n">
        <v>558</v>
      </c>
      <c r="F49" s="24">
        <f>D49*E49</f>
        <v/>
      </c>
      <c r="G49" s="22" t="n"/>
    </row>
    <row r="50">
      <c r="A50" s="22" t="inlineStr">
        <is>
          <t>0101</t>
        </is>
      </c>
      <c r="B50" s="11" t="inlineStr">
        <is>
          <t>Bhisti</t>
        </is>
      </c>
      <c r="C50" s="22" t="inlineStr">
        <is>
          <t>day</t>
        </is>
      </c>
      <c r="D50" s="23" t="n">
        <v>0.05</v>
      </c>
      <c r="E50" s="24" t="n">
        <v>617</v>
      </c>
      <c r="F50" s="24">
        <f>D50*E50</f>
        <v/>
      </c>
      <c r="G50" s="22" t="n"/>
    </row>
    <row r="51">
      <c r="A51" s="8" t="inlineStr">
        <is>
          <t>Calculated W - SUM of the Amount column above</t>
        </is>
      </c>
      <c r="B51" s="9" t="n"/>
      <c r="C51" s="9" t="n"/>
      <c r="D51" s="9" t="n"/>
      <c r="E51" s="9" t="n"/>
      <c r="F51" s="25">
        <f>SUM(F43:F50)</f>
        <v/>
      </c>
      <c r="G51" s="9" t="n"/>
    </row>
    <row r="52">
      <c r="A52" s="26" t="inlineStr">
        <is>
          <t>W as printed in the DAR</t>
        </is>
      </c>
      <c r="B52" s="22" t="n"/>
      <c r="C52" s="22" t="n"/>
      <c r="D52" s="22" t="n"/>
      <c r="E52" s="22" t="n"/>
      <c r="F52" s="27" t="n">
        <v>5088.89</v>
      </c>
      <c r="G52" s="22" t="n"/>
    </row>
    <row r="53">
      <c r="A53" s="26" t="inlineStr">
        <is>
          <t>Difference (calculated - printed)</t>
        </is>
      </c>
      <c r="B53" s="22" t="n"/>
      <c r="C53" s="22" t="n"/>
      <c r="D53" s="22" t="n"/>
      <c r="E53" s="22" t="n"/>
      <c r="F53" s="27">
        <f>F51-F52</f>
        <v/>
      </c>
      <c r="G53" s="22" t="n"/>
    </row>
    <row r="54">
      <c r="A54" s="29" t="inlineStr">
        <is>
          <t>SAY (Rs.) - final DAR rate as printed (fixed value, not computed)</t>
        </is>
      </c>
      <c r="B54" s="30" t="n"/>
      <c r="C54" s="30" t="n"/>
      <c r="D54" s="30" t="n"/>
      <c r="E54" s="30" t="n"/>
      <c r="F54" s="31" t="n">
        <v>680.85</v>
      </c>
      <c r="G54" s="30" t="n"/>
    </row>
    <row r="56" ht="33" customHeight="1">
      <c r="A56" s="8" t="inlineStr">
        <is>
          <t>11.3</t>
        </is>
      </c>
      <c r="B56" s="17" t="inlineStr">
        <is>
          <t>Cement concrete flooring 1:2:4 (1 cement : 2 coarse sand : 4 graded stone aggregate) finished with a floating coat of neat cement, including cement slurry, but excluding the cost of nosing of steps etc. complete.</t>
        </is>
      </c>
      <c r="C56" s="9" t="n"/>
      <c r="D56" s="9" t="n"/>
      <c r="E56" s="9" t="n"/>
      <c r="F56" s="9" t="n"/>
      <c r="G56" s="9" t="n"/>
    </row>
    <row r="57" ht="18.5" customHeight="1">
      <c r="A57" s="18" t="inlineStr">
        <is>
          <t>11.3.1</t>
        </is>
      </c>
      <c r="B57" s="19" t="inlineStr">
        <is>
          <t>40 mm thick with 20 mm nominal size stone aggregate</t>
        </is>
      </c>
      <c r="C57" s="20" t="n"/>
      <c r="D57" s="20" t="n"/>
      <c r="E57" s="20" t="n"/>
      <c r="F57" s="20" t="n"/>
      <c r="G57" s="20" t="n"/>
    </row>
    <row r="58">
      <c r="A58" s="21" t="inlineStr">
        <is>
          <t>Details of cost for 10 sqm   |   Source: CivilDAR_2019_Vol_1.pdf, page 724</t>
        </is>
      </c>
    </row>
    <row r="59">
      <c r="A59" s="5" t="inlineStr">
        <is>
          <t>Code</t>
        </is>
      </c>
      <c r="B59" s="5" t="inlineStr">
        <is>
          <t>Description</t>
        </is>
      </c>
      <c r="C59" s="5" t="inlineStr">
        <is>
          <t>Unit</t>
        </is>
      </c>
      <c r="D59" s="5" t="inlineStr">
        <is>
          <t>Quantity</t>
        </is>
      </c>
      <c r="E59" s="5" t="inlineStr">
        <is>
          <t>Rate (Rs.)</t>
        </is>
      </c>
      <c r="F59" s="5" t="inlineStr">
        <is>
          <t>Amount (Rs.)</t>
        </is>
      </c>
      <c r="G59" s="5" t="inlineStr">
        <is>
          <t>Note</t>
        </is>
      </c>
    </row>
    <row r="60">
      <c r="A60" s="22" t="inlineStr">
        <is>
          <t>0295</t>
        </is>
      </c>
      <c r="B60" s="11" t="inlineStr">
        <is>
          <t>Stone Aggregate (Single size) : 20 mm nominal size</t>
        </is>
      </c>
      <c r="C60" s="22" t="inlineStr">
        <is>
          <t>cum</t>
        </is>
      </c>
      <c r="D60" s="23" t="n">
        <v>0.267</v>
      </c>
      <c r="E60" s="24" t="n">
        <v>1350</v>
      </c>
      <c r="F60" s="24">
        <f>D60*E60</f>
        <v/>
      </c>
      <c r="G60" s="22" t="n"/>
    </row>
    <row r="61">
      <c r="A61" s="22" t="inlineStr">
        <is>
          <t>0297</t>
        </is>
      </c>
      <c r="B61" s="11" t="inlineStr">
        <is>
          <t>Stone Aggregate (Single size) : 10 mm nominal size</t>
        </is>
      </c>
      <c r="C61" s="22" t="inlineStr">
        <is>
          <t>cum</t>
        </is>
      </c>
      <c r="D61" s="23" t="n">
        <v>0.089</v>
      </c>
      <c r="E61" s="24" t="n">
        <v>1350</v>
      </c>
      <c r="F61" s="24">
        <f>D61*E61</f>
        <v/>
      </c>
      <c r="G61" s="22" t="n"/>
    </row>
    <row r="62">
      <c r="A62" s="22" t="inlineStr">
        <is>
          <t>2202</t>
        </is>
      </c>
      <c r="B62" s="11" t="inlineStr">
        <is>
          <t>Carriage of Stone aggregate below 40 mm nominal size</t>
        </is>
      </c>
      <c r="C62" s="22" t="inlineStr">
        <is>
          <t>cum</t>
        </is>
      </c>
      <c r="D62" s="23" t="n">
        <v>0.356</v>
      </c>
      <c r="E62" s="24" t="n">
        <v>103.77</v>
      </c>
      <c r="F62" s="24">
        <f>D62*E62</f>
        <v/>
      </c>
      <c r="G62" s="22" t="n"/>
    </row>
    <row r="63">
      <c r="A63" s="22" t="inlineStr">
        <is>
          <t>0982</t>
        </is>
      </c>
      <c r="B63" s="11" t="inlineStr">
        <is>
          <t>Coarse sand (zone III)</t>
        </is>
      </c>
      <c r="C63" s="22" t="inlineStr">
        <is>
          <t>cum</t>
        </is>
      </c>
      <c r="D63" s="23" t="n">
        <v>0.178</v>
      </c>
      <c r="E63" s="24" t="n">
        <v>1350</v>
      </c>
      <c r="F63" s="24">
        <f>D63*E63</f>
        <v/>
      </c>
      <c r="G63" s="22" t="n"/>
    </row>
    <row r="64">
      <c r="A64" s="22" t="inlineStr">
        <is>
          <t>2203</t>
        </is>
      </c>
      <c r="B64" s="11" t="inlineStr">
        <is>
          <t>Carriage of Coarse sand</t>
        </is>
      </c>
      <c r="C64" s="22" t="inlineStr">
        <is>
          <t>cum</t>
        </is>
      </c>
      <c r="D64" s="23" t="n">
        <v>0.178</v>
      </c>
      <c r="E64" s="24" t="n">
        <v>103.77</v>
      </c>
      <c r="F64" s="24">
        <f>D64*E64</f>
        <v/>
      </c>
      <c r="G64" s="22" t="n"/>
    </row>
    <row r="65">
      <c r="A65" s="22" t="inlineStr">
        <is>
          <t>0367</t>
        </is>
      </c>
      <c r="B65" s="11" t="inlineStr">
        <is>
          <t>Portland Cement</t>
        </is>
      </c>
      <c r="C65" s="22" t="inlineStr">
        <is>
          <t>tonne</t>
        </is>
      </c>
      <c r="D65" s="23" t="n">
        <v>0.17</v>
      </c>
      <c r="E65" s="24" t="n">
        <v>4940</v>
      </c>
      <c r="F65" s="24">
        <f>D65*E65</f>
        <v/>
      </c>
      <c r="G65" s="22" t="n"/>
    </row>
    <row r="66">
      <c r="A66" s="22" t="inlineStr">
        <is>
          <t>2209</t>
        </is>
      </c>
      <c r="B66" s="11" t="inlineStr">
        <is>
          <t>Carriage of Cement</t>
        </is>
      </c>
      <c r="C66" s="22" t="inlineStr">
        <is>
          <t>tonne</t>
        </is>
      </c>
      <c r="D66" s="23" t="n">
        <v>0.17</v>
      </c>
      <c r="E66" s="24" t="n">
        <v>92.23999999999999</v>
      </c>
      <c r="F66" s="24">
        <f>D66*E66</f>
        <v/>
      </c>
      <c r="G66" s="22" t="n"/>
    </row>
    <row r="67">
      <c r="A67" s="22" t="inlineStr">
        <is>
          <t>0124</t>
        </is>
      </c>
      <c r="B67" s="11" t="inlineStr">
        <is>
          <t>Mason (brick layer) 2nd class</t>
        </is>
      </c>
      <c r="C67" s="22" t="inlineStr">
        <is>
          <t>day</t>
        </is>
      </c>
      <c r="D67" s="23" t="n">
        <v>0.8</v>
      </c>
      <c r="E67" s="24" t="n">
        <v>679</v>
      </c>
      <c r="F67" s="24">
        <f>D67*E67</f>
        <v/>
      </c>
      <c r="G67" s="22" t="n"/>
    </row>
    <row r="68">
      <c r="A68" s="22" t="inlineStr">
        <is>
          <t>0114</t>
        </is>
      </c>
      <c r="B68" s="11" t="inlineStr">
        <is>
          <t>Beldar</t>
        </is>
      </c>
      <c r="C68" s="22" t="inlineStr">
        <is>
          <t>day</t>
        </is>
      </c>
      <c r="D68" s="23" t="n">
        <v>1.4</v>
      </c>
      <c r="E68" s="24" t="n">
        <v>558</v>
      </c>
      <c r="F68" s="24">
        <f>D68*E68</f>
        <v/>
      </c>
      <c r="G68" s="22" t="n"/>
    </row>
    <row r="69">
      <c r="A69" s="22" t="inlineStr">
        <is>
          <t>0101</t>
        </is>
      </c>
      <c r="B69" s="11" t="inlineStr">
        <is>
          <t>Bhisti</t>
        </is>
      </c>
      <c r="C69" s="22" t="inlineStr">
        <is>
          <t>day</t>
        </is>
      </c>
      <c r="D69" s="23" t="n">
        <v>1.04</v>
      </c>
      <c r="E69" s="24" t="n">
        <v>617</v>
      </c>
      <c r="F69" s="24">
        <f>D69*E69</f>
        <v/>
      </c>
      <c r="G69" s="22" t="n"/>
    </row>
    <row r="70">
      <c r="A70" s="22" t="inlineStr">
        <is>
          <t>0127</t>
        </is>
      </c>
      <c r="B70" s="11" t="inlineStr">
        <is>
          <t>Driver (for Road Roller, Concrete Mixer, Truck etc.)</t>
        </is>
      </c>
      <c r="C70" s="22" t="inlineStr">
        <is>
          <t>day</t>
        </is>
      </c>
      <c r="D70" s="23" t="n">
        <v>0.03</v>
      </c>
      <c r="E70" s="24" t="n">
        <v>738</v>
      </c>
      <c r="F70" s="24">
        <f>D70*E70</f>
        <v/>
      </c>
      <c r="G70" s="22" t="n"/>
    </row>
    <row r="71">
      <c r="A71" s="22" t="inlineStr">
        <is>
          <t>0002</t>
        </is>
      </c>
      <c r="B71" s="11" t="inlineStr">
        <is>
          <t>Hire charges of Concrete Mixer 0.25 to 0.40 cum with hooper</t>
        </is>
      </c>
      <c r="C71" s="22" t="inlineStr">
        <is>
          <t>day</t>
        </is>
      </c>
      <c r="D71" s="23" t="n">
        <v>0.03</v>
      </c>
      <c r="E71" s="24" t="n">
        <v>800</v>
      </c>
      <c r="F71" s="24">
        <f>D71*E71</f>
        <v/>
      </c>
      <c r="G71" s="22" t="n"/>
    </row>
    <row r="72">
      <c r="A72" s="22" t="inlineStr">
        <is>
          <t>9999</t>
        </is>
      </c>
      <c r="B72" s="11" t="inlineStr">
        <is>
          <t>Sundries</t>
        </is>
      </c>
      <c r="C72" s="22" t="inlineStr">
        <is>
          <t>L.S.</t>
        </is>
      </c>
      <c r="D72" s="23" t="n">
        <v>40.43</v>
      </c>
      <c r="E72" s="24" t="n">
        <v>2</v>
      </c>
      <c r="F72" s="24">
        <f>D72*E72</f>
        <v/>
      </c>
      <c r="G72" s="22" t="n"/>
    </row>
    <row r="73">
      <c r="A73" s="8" t="inlineStr">
        <is>
          <t>Calculated W - SUM of the Amount column above</t>
        </is>
      </c>
      <c r="B73" s="9" t="n"/>
      <c r="C73" s="9" t="n"/>
      <c r="D73" s="9" t="n"/>
      <c r="E73" s="9" t="n"/>
      <c r="F73" s="25">
        <f>SUM(F60:F72)</f>
        <v/>
      </c>
      <c r="G73" s="9" t="n"/>
    </row>
    <row r="74">
      <c r="A74" s="26" t="inlineStr">
        <is>
          <t>W as printed in the DAR</t>
        </is>
      </c>
      <c r="B74" s="22" t="n"/>
      <c r="C74" s="22" t="n"/>
      <c r="D74" s="22" t="n"/>
      <c r="E74" s="22" t="n"/>
      <c r="F74" s="27" t="n">
        <v>3724.87</v>
      </c>
      <c r="G74" s="22" t="n"/>
    </row>
    <row r="75">
      <c r="A75" s="26" t="inlineStr">
        <is>
          <t>Difference (calculated - printed)</t>
        </is>
      </c>
      <c r="B75" s="22" t="n"/>
      <c r="C75" s="22" t="n"/>
      <c r="D75" s="22" t="n"/>
      <c r="E75" s="22" t="n"/>
      <c r="F75" s="27">
        <f>F73-F74</f>
        <v/>
      </c>
      <c r="G75" s="22" t="n"/>
    </row>
    <row r="76">
      <c r="A76" s="29" t="inlineStr">
        <is>
          <t>SAY (Rs.) - final DAR rate as printed (fixed value, not computed)</t>
        </is>
      </c>
      <c r="B76" s="30" t="n"/>
      <c r="C76" s="30" t="n"/>
      <c r="D76" s="30" t="n"/>
      <c r="E76" s="30" t="n"/>
      <c r="F76" s="31" t="n">
        <v>498.35</v>
      </c>
      <c r="G76" s="30" t="n"/>
    </row>
    <row r="78" ht="76.5" customHeight="1">
      <c r="A78" s="18" t="inlineStr">
        <is>
          <t>11.4</t>
        </is>
      </c>
      <c r="B78" s="19" t="inlineStr">
        <is>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is>
      </c>
      <c r="C78" s="20" t="n"/>
      <c r="D78" s="20" t="n"/>
      <c r="E78" s="20" t="n"/>
      <c r="F78" s="20" t="n"/>
      <c r="G78" s="20" t="n"/>
    </row>
    <row r="79">
      <c r="A79" s="21" t="inlineStr">
        <is>
          <t>Details of cost for 10 sqm   |   Source: CivilDAR_2019_Vol_1.pdf, page 724</t>
        </is>
      </c>
    </row>
    <row r="80">
      <c r="A80" s="5" t="inlineStr">
        <is>
          <t>Code</t>
        </is>
      </c>
      <c r="B80" s="5" t="inlineStr">
        <is>
          <t>Description</t>
        </is>
      </c>
      <c r="C80" s="5" t="inlineStr">
        <is>
          <t>Unit</t>
        </is>
      </c>
      <c r="D80" s="5" t="inlineStr">
        <is>
          <t>Quantity</t>
        </is>
      </c>
      <c r="E80" s="5" t="inlineStr">
        <is>
          <t>Rate (Rs.)</t>
        </is>
      </c>
      <c r="F80" s="5" t="inlineStr">
        <is>
          <t>Amount (Rs.)</t>
        </is>
      </c>
      <c r="G80" s="5" t="inlineStr">
        <is>
          <t>Note</t>
        </is>
      </c>
    </row>
    <row r="81">
      <c r="A81" s="22" t="inlineStr">
        <is>
          <t>0295</t>
        </is>
      </c>
      <c r="B81" s="11" t="inlineStr">
        <is>
          <t>Stone Aggregate (Single size) : 20 mm nominal size</t>
        </is>
      </c>
      <c r="C81" s="22" t="inlineStr">
        <is>
          <t>cum</t>
        </is>
      </c>
      <c r="D81" s="23" t="n">
        <v>0.267</v>
      </c>
      <c r="E81" s="24" t="n">
        <v>1350</v>
      </c>
      <c r="F81" s="24">
        <f>D81*E81</f>
        <v/>
      </c>
      <c r="G81" s="22" t="n"/>
    </row>
    <row r="82">
      <c r="A82" s="22" t="inlineStr">
        <is>
          <t>0297</t>
        </is>
      </c>
      <c r="B82" s="11" t="inlineStr">
        <is>
          <t>Stone Aggregate (Single size) : 10 mm nominal size</t>
        </is>
      </c>
      <c r="C82" s="22" t="inlineStr">
        <is>
          <t>cum</t>
        </is>
      </c>
      <c r="D82" s="23" t="n">
        <v>0.089</v>
      </c>
      <c r="E82" s="24" t="n">
        <v>1350</v>
      </c>
      <c r="F82" s="24">
        <f>D82*E82</f>
        <v/>
      </c>
      <c r="G82" s="22" t="n"/>
    </row>
    <row r="83">
      <c r="A83" s="22" t="inlineStr">
        <is>
          <t>2202</t>
        </is>
      </c>
      <c r="B83" s="11" t="inlineStr">
        <is>
          <t>Carriage of Stone aggregate below 40 mm</t>
        </is>
      </c>
      <c r="C83" s="22" t="inlineStr">
        <is>
          <t>cum</t>
        </is>
      </c>
      <c r="D83" s="23" t="n">
        <v>0.356</v>
      </c>
      <c r="E83" s="24" t="n">
        <v>103.77</v>
      </c>
      <c r="F83" s="24">
        <f>D83*E83</f>
        <v/>
      </c>
      <c r="G83" s="22" t="n"/>
    </row>
    <row r="84">
      <c r="A84" s="22" t="inlineStr">
        <is>
          <t>0982</t>
        </is>
      </c>
      <c r="B84" s="11" t="inlineStr">
        <is>
          <t>Coarse sand (zone III)</t>
        </is>
      </c>
      <c r="C84" s="22" t="inlineStr">
        <is>
          <t>cum</t>
        </is>
      </c>
      <c r="D84" s="23" t="n">
        <v>0.178</v>
      </c>
      <c r="E84" s="24" t="n">
        <v>1350</v>
      </c>
      <c r="F84" s="24">
        <f>D84*E84</f>
        <v/>
      </c>
      <c r="G84" s="22" t="n"/>
    </row>
    <row r="85">
      <c r="A85" s="22" t="inlineStr">
        <is>
          <t>2203</t>
        </is>
      </c>
      <c r="B85" s="11" t="inlineStr">
        <is>
          <t>Carriage of Coarse sand</t>
        </is>
      </c>
      <c r="C85" s="22" t="inlineStr">
        <is>
          <t>cum</t>
        </is>
      </c>
      <c r="D85" s="23" t="n">
        <v>0.178</v>
      </c>
      <c r="E85" s="24" t="n">
        <v>103.77</v>
      </c>
      <c r="F85" s="24">
        <f>D85*E85</f>
        <v/>
      </c>
      <c r="G85" s="22" t="n"/>
    </row>
    <row r="86">
      <c r="A86" s="22" t="inlineStr">
        <is>
          <t>0298</t>
        </is>
      </c>
      <c r="B86" s="11" t="inlineStr">
        <is>
          <t>Stone Aggregate (Single size) : 06 mm nominal size</t>
        </is>
      </c>
      <c r="C86" s="22" t="inlineStr">
        <is>
          <t>cum</t>
        </is>
      </c>
      <c r="D86" s="23" t="n">
        <v>0.115</v>
      </c>
      <c r="E86" s="24" t="n">
        <v>1400</v>
      </c>
      <c r="F86" s="24">
        <f>D86*E86</f>
        <v/>
      </c>
      <c r="G86" s="22" t="n"/>
    </row>
    <row r="87">
      <c r="A87" s="22" t="inlineStr">
        <is>
          <t>2202</t>
        </is>
      </c>
      <c r="B87" s="11" t="inlineStr">
        <is>
          <t>Carriage of Stone aggregate below 40 mm nominal size</t>
        </is>
      </c>
      <c r="C87" s="22" t="inlineStr">
        <is>
          <t>cum</t>
        </is>
      </c>
      <c r="D87" s="23" t="n">
        <v>0.115</v>
      </c>
      <c r="E87" s="24" t="n">
        <v>103.77</v>
      </c>
      <c r="F87" s="24">
        <f>D87*E87</f>
        <v/>
      </c>
      <c r="G87" s="22" t="n"/>
    </row>
    <row r="88">
      <c r="A88" s="22" t="inlineStr">
        <is>
          <t>0367</t>
        </is>
      </c>
      <c r="B88" s="11" t="inlineStr">
        <is>
          <t>Portland Cement</t>
        </is>
      </c>
      <c r="C88" s="22" t="inlineStr">
        <is>
          <t>tonne</t>
        </is>
      </c>
      <c r="D88" s="23" t="n">
        <v>0.211</v>
      </c>
      <c r="E88" s="24" t="n">
        <v>4940</v>
      </c>
      <c r="F88" s="24">
        <f>D88*E88</f>
        <v/>
      </c>
      <c r="G88" s="22" t="n"/>
    </row>
    <row r="89">
      <c r="A89" s="22" t="inlineStr">
        <is>
          <t>0367</t>
        </is>
      </c>
      <c r="B89" s="11" t="inlineStr">
        <is>
          <t>Portland Cement</t>
        </is>
      </c>
      <c r="C89" s="22" t="inlineStr">
        <is>
          <t>tonne</t>
        </is>
      </c>
      <c r="D89" s="23" t="n">
        <v>0.02</v>
      </c>
      <c r="E89" s="24" t="n">
        <v>4940</v>
      </c>
      <c r="F89" s="24">
        <f>D89*E89</f>
        <v/>
      </c>
      <c r="G89" s="22" t="n"/>
    </row>
    <row r="90">
      <c r="A90" s="22" t="inlineStr">
        <is>
          <t>2209</t>
        </is>
      </c>
      <c r="B90" s="11" t="inlineStr">
        <is>
          <t>Carriage of Cement</t>
        </is>
      </c>
      <c r="C90" s="22" t="inlineStr">
        <is>
          <t>tonne</t>
        </is>
      </c>
      <c r="D90" s="23" t="n">
        <v>0.231</v>
      </c>
      <c r="E90" s="24" t="n">
        <v>92.23999999999999</v>
      </c>
      <c r="F90" s="24">
        <f>D90*E90</f>
        <v/>
      </c>
      <c r="G90" s="22" t="n"/>
    </row>
    <row r="91">
      <c r="A91" s="22" t="inlineStr">
        <is>
          <t>7254</t>
        </is>
      </c>
      <c r="B91" s="11" t="inlineStr">
        <is>
          <t>Hardening compound</t>
        </is>
      </c>
      <c r="C91" s="22" t="inlineStr">
        <is>
          <t>litre</t>
        </is>
      </c>
      <c r="D91" s="23" t="n">
        <v>2.44</v>
      </c>
      <c r="E91" s="24" t="n">
        <v>38</v>
      </c>
      <c r="F91" s="24">
        <f>D91*E91</f>
        <v/>
      </c>
      <c r="G91" s="22" t="n"/>
    </row>
    <row r="92">
      <c r="A92" s="22" t="inlineStr">
        <is>
          <t>9977</t>
        </is>
      </c>
      <c r="B92" s="11" t="inlineStr">
        <is>
          <t>Carriage of hard crete</t>
        </is>
      </c>
      <c r="C92" s="22" t="inlineStr">
        <is>
          <t>L.S.</t>
        </is>
      </c>
      <c r="D92" s="23" t="n">
        <v>2.73</v>
      </c>
      <c r="E92" s="24" t="n">
        <v>2</v>
      </c>
      <c r="F92" s="24">
        <f>D92*E92</f>
        <v/>
      </c>
      <c r="G92" s="22" t="n"/>
    </row>
    <row r="93">
      <c r="A93" s="22" t="inlineStr">
        <is>
          <t>0124</t>
        </is>
      </c>
      <c r="B93" s="11" t="inlineStr">
        <is>
          <t>Mason (brick layer) 2nd class</t>
        </is>
      </c>
      <c r="C93" s="22" t="inlineStr">
        <is>
          <t>day</t>
        </is>
      </c>
      <c r="D93" s="23" t="n">
        <v>2.15</v>
      </c>
      <c r="E93" s="24" t="n">
        <v>679</v>
      </c>
      <c r="F93" s="24">
        <f>D93*E93</f>
        <v/>
      </c>
      <c r="G93" s="22" t="n"/>
    </row>
    <row r="94">
      <c r="A94" s="22" t="inlineStr">
        <is>
          <t>0114</t>
        </is>
      </c>
      <c r="B94" s="11" t="inlineStr">
        <is>
          <t>Beldar</t>
        </is>
      </c>
      <c r="C94" s="22" t="inlineStr">
        <is>
          <t>day</t>
        </is>
      </c>
      <c r="D94" s="23" t="n">
        <v>1.6</v>
      </c>
      <c r="E94" s="24" t="n">
        <v>558</v>
      </c>
      <c r="F94" s="24">
        <f>D94*E94</f>
        <v/>
      </c>
      <c r="G94" s="22" t="n"/>
    </row>
    <row r="95">
      <c r="A95" s="22" t="inlineStr">
        <is>
          <t>0115</t>
        </is>
      </c>
      <c r="B95" s="11" t="inlineStr">
        <is>
          <t>Coolie</t>
        </is>
      </c>
      <c r="C95" s="22" t="inlineStr">
        <is>
          <t>day</t>
        </is>
      </c>
      <c r="D95" s="23" t="n">
        <v>1.88</v>
      </c>
      <c r="E95" s="24" t="n">
        <v>558</v>
      </c>
      <c r="F95" s="24">
        <f>D95*E95</f>
        <v/>
      </c>
      <c r="G95" s="22" t="n"/>
    </row>
    <row r="96">
      <c r="A96" s="22" t="inlineStr">
        <is>
          <t>0101</t>
        </is>
      </c>
      <c r="B96" s="11" t="inlineStr">
        <is>
          <t>Bhisti</t>
        </is>
      </c>
      <c r="C96" s="22" t="inlineStr">
        <is>
          <t>day</t>
        </is>
      </c>
      <c r="D96" s="23" t="n">
        <v>0.27</v>
      </c>
      <c r="E96" s="24" t="n">
        <v>617</v>
      </c>
      <c r="F96" s="24">
        <f>D96*E96</f>
        <v/>
      </c>
      <c r="G96" s="22" t="n"/>
    </row>
    <row r="97">
      <c r="A97" s="22" t="inlineStr">
        <is>
          <t>9999</t>
        </is>
      </c>
      <c r="B97" s="11" t="inlineStr">
        <is>
          <t>Sundries</t>
        </is>
      </c>
      <c r="C97" s="22" t="inlineStr">
        <is>
          <t>L.S.</t>
        </is>
      </c>
      <c r="D97" s="23" t="n">
        <v>53.82</v>
      </c>
      <c r="E97" s="24" t="n">
        <v>2</v>
      </c>
      <c r="F97" s="24">
        <f>D97*E97</f>
        <v/>
      </c>
      <c r="G97" s="22" t="n"/>
    </row>
    <row r="98">
      <c r="A98" s="8" t="inlineStr">
        <is>
          <t>Calculated W - SUM of the Amount column above</t>
        </is>
      </c>
      <c r="B98" s="9" t="n"/>
      <c r="C98" s="9" t="n"/>
      <c r="D98" s="9" t="n"/>
      <c r="E98" s="9" t="n"/>
      <c r="F98" s="25">
        <f>SUM(F81:F97)</f>
        <v/>
      </c>
      <c r="G98" s="9" t="n"/>
    </row>
    <row r="99">
      <c r="A99" s="26" t="inlineStr">
        <is>
          <t>W as printed in the DAR</t>
        </is>
      </c>
      <c r="B99" s="22" t="n"/>
      <c r="C99" s="22" t="n"/>
      <c r="D99" s="22" t="n"/>
      <c r="E99" s="22" t="n"/>
      <c r="F99" s="27" t="n">
        <v>5885.79</v>
      </c>
      <c r="G99" s="22" t="n"/>
    </row>
    <row r="100">
      <c r="A100" s="26" t="inlineStr">
        <is>
          <t>Difference (calculated - printed)</t>
        </is>
      </c>
      <c r="B100" s="22" t="n"/>
      <c r="C100" s="22" t="n"/>
      <c r="D100" s="22" t="n"/>
      <c r="E100" s="22" t="n"/>
      <c r="F100" s="27">
        <f>F98-F99</f>
        <v/>
      </c>
      <c r="G100" s="22" t="n"/>
    </row>
    <row r="101">
      <c r="A101" s="29" t="inlineStr">
        <is>
          <t>SAY (Rs.) - final DAR rate as printed (fixed value, not computed)</t>
        </is>
      </c>
      <c r="B101" s="30" t="n"/>
      <c r="C101" s="30" t="n"/>
      <c r="D101" s="30" t="n"/>
      <c r="E101" s="30" t="n"/>
      <c r="F101" s="31" t="n">
        <v>787.5</v>
      </c>
      <c r="G101" s="30" t="n"/>
    </row>
    <row r="103" ht="76.5" customHeight="1">
      <c r="A103" s="18" t="inlineStr">
        <is>
          <t>11.5</t>
        </is>
      </c>
      <c r="B103" s="19"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is>
      </c>
      <c r="C103" s="20" t="n"/>
      <c r="D103" s="20" t="n"/>
      <c r="E103" s="20" t="n"/>
      <c r="F103" s="20" t="n"/>
      <c r="G103" s="20" t="n"/>
    </row>
    <row r="104">
      <c r="A104" s="21" t="inlineStr">
        <is>
          <t>Details of cost for 10 sqm   |   Source: CivilDAR_2019_Vol_1.pdf, page 725</t>
        </is>
      </c>
    </row>
    <row r="105">
      <c r="A105" s="5" t="inlineStr">
        <is>
          <t>Code</t>
        </is>
      </c>
      <c r="B105" s="5" t="inlineStr">
        <is>
          <t>Description</t>
        </is>
      </c>
      <c r="C105" s="5" t="inlineStr">
        <is>
          <t>Unit</t>
        </is>
      </c>
      <c r="D105" s="5" t="inlineStr">
        <is>
          <t>Quantity</t>
        </is>
      </c>
      <c r="E105" s="5" t="inlineStr">
        <is>
          <t>Rate (Rs.)</t>
        </is>
      </c>
      <c r="F105" s="5" t="inlineStr">
        <is>
          <t>Amount (Rs.)</t>
        </is>
      </c>
      <c r="G105" s="5" t="inlineStr">
        <is>
          <t>Note</t>
        </is>
      </c>
    </row>
    <row r="106">
      <c r="A106" s="22" t="inlineStr">
        <is>
          <t>0295</t>
        </is>
      </c>
      <c r="B106" s="11" t="inlineStr">
        <is>
          <t>Stone Aggregate (Single size) : 20 mm nominal size</t>
        </is>
      </c>
      <c r="C106" s="22" t="inlineStr">
        <is>
          <t>cum</t>
        </is>
      </c>
      <c r="D106" s="23" t="n">
        <v>0.334</v>
      </c>
      <c r="E106" s="24" t="n">
        <v>1350</v>
      </c>
      <c r="F106" s="24">
        <f>D106*E106</f>
        <v/>
      </c>
      <c r="G106" s="22" t="n"/>
    </row>
    <row r="107">
      <c r="A107" s="22" t="inlineStr">
        <is>
          <t>0297</t>
        </is>
      </c>
      <c r="B107" s="11" t="inlineStr">
        <is>
          <t>Stone Aggregate (Single size) : 10 mm nominal size</t>
        </is>
      </c>
      <c r="C107" s="22" t="inlineStr">
        <is>
          <t>cum</t>
        </is>
      </c>
      <c r="D107" s="23" t="n">
        <v>0.111</v>
      </c>
      <c r="E107" s="24" t="n">
        <v>1350</v>
      </c>
      <c r="F107" s="24">
        <f>D107*E107</f>
        <v/>
      </c>
      <c r="G107" s="22" t="n"/>
    </row>
    <row r="108">
      <c r="A108" s="22" t="inlineStr">
        <is>
          <t>2202</t>
        </is>
      </c>
      <c r="B108" s="11" t="inlineStr">
        <is>
          <t>Carriage of Stone aggregate below 40 mm nominal size</t>
        </is>
      </c>
      <c r="C108" s="22" t="inlineStr">
        <is>
          <t>cum</t>
        </is>
      </c>
      <c r="D108" s="23" t="n">
        <v>0.445</v>
      </c>
      <c r="E108" s="24" t="n">
        <v>103.77</v>
      </c>
      <c r="F108" s="24">
        <f>D108*E108</f>
        <v/>
      </c>
      <c r="G108" s="22" t="n"/>
    </row>
    <row r="109">
      <c r="A109" s="22" t="inlineStr">
        <is>
          <t>0982</t>
        </is>
      </c>
      <c r="B109" s="11" t="inlineStr">
        <is>
          <t>Coarse sand (zone III)</t>
        </is>
      </c>
      <c r="C109" s="22" t="inlineStr">
        <is>
          <t>cum</t>
        </is>
      </c>
      <c r="D109" s="23" t="n">
        <v>0.222</v>
      </c>
      <c r="E109" s="24" t="n">
        <v>1350</v>
      </c>
      <c r="F109" s="24">
        <f>D109*E109</f>
        <v/>
      </c>
      <c r="G109" s="22" t="n"/>
    </row>
    <row r="110">
      <c r="A110" s="22" t="inlineStr">
        <is>
          <t>2203</t>
        </is>
      </c>
      <c r="B110" s="11" t="inlineStr">
        <is>
          <t>Carriage of Coarse sand</t>
        </is>
      </c>
      <c r="C110" s="22" t="inlineStr">
        <is>
          <t>cum</t>
        </is>
      </c>
      <c r="D110" s="23" t="n">
        <v>0.222</v>
      </c>
      <c r="E110" s="24" t="n">
        <v>103.77</v>
      </c>
      <c r="F110" s="24">
        <f>D110*E110</f>
        <v/>
      </c>
      <c r="G110" s="22" t="n"/>
    </row>
    <row r="111">
      <c r="A111" s="22" t="inlineStr">
        <is>
          <t>0298</t>
        </is>
      </c>
      <c r="B111" s="11" t="inlineStr">
        <is>
          <t>Stone Aggregate (Single size) : 06 mm nominal size</t>
        </is>
      </c>
      <c r="C111" s="22" t="inlineStr">
        <is>
          <t>cum</t>
        </is>
      </c>
      <c r="D111" s="23" t="n">
        <v>0.115</v>
      </c>
      <c r="E111" s="24" t="n">
        <v>1400</v>
      </c>
      <c r="F111" s="24">
        <f>D111*E111</f>
        <v/>
      </c>
      <c r="G111" s="22" t="n"/>
    </row>
    <row r="112">
      <c r="A112" s="22" t="inlineStr">
        <is>
          <t>2202</t>
        </is>
      </c>
      <c r="B112" s="11" t="inlineStr">
        <is>
          <t>Carriage of Stone aggregate below 40 mm nominal size</t>
        </is>
      </c>
      <c r="C112" s="22" t="inlineStr">
        <is>
          <t>cum</t>
        </is>
      </c>
      <c r="D112" s="23" t="n">
        <v>0.115</v>
      </c>
      <c r="E112" s="24" t="n">
        <v>103.77</v>
      </c>
      <c r="F112" s="24">
        <f>D112*E112</f>
        <v/>
      </c>
      <c r="G112" s="22" t="n"/>
    </row>
    <row r="113">
      <c r="A113" s="22" t="inlineStr">
        <is>
          <t>0367</t>
        </is>
      </c>
      <c r="B113" s="11" t="inlineStr">
        <is>
          <t>Portland Cement</t>
        </is>
      </c>
      <c r="C113" s="22" t="inlineStr">
        <is>
          <t>tonne</t>
        </is>
      </c>
      <c r="D113" s="23" t="n">
        <v>0.243</v>
      </c>
      <c r="E113" s="24" t="n">
        <v>4940</v>
      </c>
      <c r="F113" s="24">
        <f>D113*E113</f>
        <v/>
      </c>
      <c r="G113" s="22" t="n"/>
    </row>
    <row r="114">
      <c r="A114" s="22" t="inlineStr">
        <is>
          <t>0367</t>
        </is>
      </c>
      <c r="B114" s="11" t="inlineStr">
        <is>
          <t>Portland Cement</t>
        </is>
      </c>
      <c r="C114" s="22" t="inlineStr">
        <is>
          <t>tonne</t>
        </is>
      </c>
      <c r="D114" s="23" t="n">
        <v>0.02</v>
      </c>
      <c r="E114" s="24" t="n">
        <v>4940</v>
      </c>
      <c r="F114" s="24">
        <f>D114*E114</f>
        <v/>
      </c>
      <c r="G114" s="22" t="n"/>
    </row>
    <row r="115">
      <c r="A115" s="22" t="inlineStr">
        <is>
          <t>2209</t>
        </is>
      </c>
      <c r="B115" s="11" t="inlineStr">
        <is>
          <t>Carriage of Cement</t>
        </is>
      </c>
      <c r="C115" s="22" t="inlineStr">
        <is>
          <t>tonne</t>
        </is>
      </c>
      <c r="D115" s="23" t="n">
        <v>0.263</v>
      </c>
      <c r="E115" s="24" t="n">
        <v>92.23999999999999</v>
      </c>
      <c r="F115" s="24">
        <f>D115*E115</f>
        <v/>
      </c>
      <c r="G115" s="22" t="n"/>
    </row>
    <row r="116">
      <c r="A116" s="22" t="inlineStr">
        <is>
          <t>7254</t>
        </is>
      </c>
      <c r="B116" s="11" t="inlineStr">
        <is>
          <t>Hardening compound</t>
        </is>
      </c>
      <c r="C116" s="22" t="inlineStr">
        <is>
          <t>litre</t>
        </is>
      </c>
      <c r="D116" s="23" t="n">
        <v>2.44</v>
      </c>
      <c r="E116" s="24" t="n">
        <v>38</v>
      </c>
      <c r="F116" s="24">
        <f>D116*E116</f>
        <v/>
      </c>
      <c r="G116" s="22" t="n"/>
    </row>
    <row r="117">
      <c r="A117" s="22" t="inlineStr">
        <is>
          <t>9977</t>
        </is>
      </c>
      <c r="B117" s="11" t="inlineStr">
        <is>
          <t>Carriage of Hardening compound</t>
        </is>
      </c>
      <c r="C117" s="22" t="inlineStr">
        <is>
          <t>L.S.</t>
        </is>
      </c>
      <c r="D117" s="23" t="n">
        <v>2.73</v>
      </c>
      <c r="E117" s="24" t="n">
        <v>2</v>
      </c>
      <c r="F117" s="24">
        <f>D117*E117</f>
        <v/>
      </c>
      <c r="G117" s="22" t="n"/>
    </row>
    <row r="118">
      <c r="A118" s="22" t="inlineStr">
        <is>
          <t>0124</t>
        </is>
      </c>
      <c r="B118" s="11" t="inlineStr">
        <is>
          <t>Mason (brick layer) 2nd class</t>
        </is>
      </c>
      <c r="C118" s="22" t="inlineStr">
        <is>
          <t>day</t>
        </is>
      </c>
      <c r="D118" s="23" t="n">
        <v>2.15</v>
      </c>
      <c r="E118" s="24" t="n">
        <v>679</v>
      </c>
      <c r="F118" s="24">
        <f>D118*E118</f>
        <v/>
      </c>
      <c r="G118" s="22" t="n"/>
    </row>
    <row r="119">
      <c r="A119" s="22" t="inlineStr">
        <is>
          <t>0114</t>
        </is>
      </c>
      <c r="B119" s="11" t="inlineStr">
        <is>
          <t>Beldar</t>
        </is>
      </c>
      <c r="C119" s="22" t="inlineStr">
        <is>
          <t>day</t>
        </is>
      </c>
      <c r="D119" s="23" t="n">
        <v>1.86</v>
      </c>
      <c r="E119" s="24" t="n">
        <v>558</v>
      </c>
      <c r="F119" s="24">
        <f>D119*E119</f>
        <v/>
      </c>
      <c r="G119" s="22" t="n"/>
    </row>
    <row r="120">
      <c r="A120" s="22" t="inlineStr">
        <is>
          <t>0115</t>
        </is>
      </c>
      <c r="B120" s="11" t="inlineStr">
        <is>
          <t>Coolie</t>
        </is>
      </c>
      <c r="C120" s="22" t="inlineStr">
        <is>
          <t>day</t>
        </is>
      </c>
      <c r="D120" s="23" t="n">
        <v>1.88</v>
      </c>
      <c r="E120" s="24" t="n">
        <v>558</v>
      </c>
      <c r="F120" s="24">
        <f>D120*E120</f>
        <v/>
      </c>
      <c r="G120" s="22" t="n"/>
    </row>
    <row r="121">
      <c r="A121" s="22" t="inlineStr">
        <is>
          <t>0101</t>
        </is>
      </c>
      <c r="B121" s="11" t="inlineStr">
        <is>
          <t>Bhisti</t>
        </is>
      </c>
      <c r="C121" s="22" t="inlineStr">
        <is>
          <t>day</t>
        </is>
      </c>
      <c r="D121" s="23" t="n">
        <v>0.27</v>
      </c>
      <c r="E121" s="24" t="n">
        <v>617</v>
      </c>
      <c r="F121" s="24">
        <f>D121*E121</f>
        <v/>
      </c>
      <c r="G121" s="22" t="n"/>
    </row>
    <row r="122">
      <c r="A122" s="22" t="inlineStr">
        <is>
          <t>9999</t>
        </is>
      </c>
      <c r="B122" s="11" t="inlineStr">
        <is>
          <t>Sundries</t>
        </is>
      </c>
      <c r="C122" s="22" t="inlineStr">
        <is>
          <t>L.S.</t>
        </is>
      </c>
      <c r="D122" s="23" t="n">
        <v>53.82</v>
      </c>
      <c r="E122" s="24" t="n">
        <v>2</v>
      </c>
      <c r="F122" s="24">
        <f>D122*E122</f>
        <v/>
      </c>
      <c r="G122" s="22" t="n"/>
    </row>
    <row r="123">
      <c r="A123" s="8" t="inlineStr">
        <is>
          <t>Calculated W - SUM of the Amount column above</t>
        </is>
      </c>
      <c r="B123" s="9" t="n"/>
      <c r="C123" s="9" t="n"/>
      <c r="D123" s="9" t="n"/>
      <c r="E123" s="9" t="n"/>
      <c r="F123" s="25">
        <f>SUM(F106:F122)</f>
        <v/>
      </c>
      <c r="G123" s="9" t="n"/>
    </row>
    <row r="124">
      <c r="A124" s="26" t="inlineStr">
        <is>
          <t>W as printed in the DAR</t>
        </is>
      </c>
      <c r="B124" s="22" t="n"/>
      <c r="C124" s="22" t="n"/>
      <c r="D124" s="22" t="n"/>
      <c r="E124" s="22" t="n"/>
      <c r="F124" s="27" t="n">
        <v>6385.26</v>
      </c>
      <c r="G124" s="22" t="n"/>
    </row>
    <row r="125">
      <c r="A125" s="26" t="inlineStr">
        <is>
          <t>Difference (calculated - printed)</t>
        </is>
      </c>
      <c r="B125" s="22" t="n"/>
      <c r="C125" s="22" t="n"/>
      <c r="D125" s="22" t="n"/>
      <c r="E125" s="22" t="n"/>
      <c r="F125" s="27">
        <f>F123-F124</f>
        <v/>
      </c>
      <c r="G125" s="22" t="n"/>
    </row>
    <row r="126">
      <c r="A126" s="29" t="inlineStr">
        <is>
          <t>SAY (Rs.) - final DAR rate as printed (fixed value, not computed)</t>
        </is>
      </c>
      <c r="B126" s="30" t="n"/>
      <c r="C126" s="30" t="n"/>
      <c r="D126" s="30" t="n"/>
      <c r="E126" s="30" t="n"/>
      <c r="F126" s="31" t="n">
        <v>854.3</v>
      </c>
      <c r="G126" s="30" t="n"/>
    </row>
    <row r="128" ht="33" customHeight="1">
      <c r="A128" s="8" t="inlineStr">
        <is>
          <t>11.6</t>
        </is>
      </c>
      <c r="B128" s="17" t="inlineStr">
        <is>
          <t>Cement plaster skirting up to 30 cm height, with cement mortar 1:3 (1 cement : 3 coarse sand), finished with a floating coat of neat cement.</t>
        </is>
      </c>
      <c r="C128" s="9" t="n"/>
      <c r="D128" s="9" t="n"/>
      <c r="E128" s="9" t="n"/>
      <c r="F128" s="9" t="n"/>
      <c r="G128" s="9" t="n"/>
    </row>
    <row r="129" ht="18.5" customHeight="1">
      <c r="A129" s="18" t="inlineStr">
        <is>
          <t>11.6.1</t>
        </is>
      </c>
      <c r="B129" s="19" t="inlineStr">
        <is>
          <t>18 mm thick</t>
        </is>
      </c>
      <c r="C129" s="20" t="n"/>
      <c r="D129" s="20" t="n"/>
      <c r="E129" s="20" t="n"/>
      <c r="F129" s="20" t="n"/>
      <c r="G129" s="20" t="n"/>
    </row>
    <row r="130">
      <c r="A130" s="21" t="inlineStr">
        <is>
          <t>Details of cost for 10 sqm   |   Source: CivilDAR_2019_Vol_1.pdf, page 726</t>
        </is>
      </c>
    </row>
    <row r="131">
      <c r="A131" s="5" t="inlineStr">
        <is>
          <t>Code</t>
        </is>
      </c>
      <c r="B131" s="5" t="inlineStr">
        <is>
          <t>Description</t>
        </is>
      </c>
      <c r="C131" s="5" t="inlineStr">
        <is>
          <t>Unit</t>
        </is>
      </c>
      <c r="D131" s="5" t="inlineStr">
        <is>
          <t>Quantity</t>
        </is>
      </c>
      <c r="E131" s="5" t="inlineStr">
        <is>
          <t>Rate (Rs.)</t>
        </is>
      </c>
      <c r="F131" s="5" t="inlineStr">
        <is>
          <t>Amount (Rs.)</t>
        </is>
      </c>
      <c r="G131" s="5" t="inlineStr">
        <is>
          <t>Note</t>
        </is>
      </c>
    </row>
    <row r="132">
      <c r="A132" s="7" t="inlineStr">
        <is>
          <t>3.8</t>
        </is>
      </c>
      <c r="B132" s="11" t="inlineStr">
        <is>
          <t>Rate as per item 3.8 - Cement mortar 1:3 (1 cement : 3 coarse sand)</t>
        </is>
      </c>
      <c r="C132" s="22" t="inlineStr">
        <is>
          <t>cum</t>
        </is>
      </c>
      <c r="D132" s="23" t="n">
        <v>0.235</v>
      </c>
      <c r="E132" s="24" t="n">
        <v>4664.55</v>
      </c>
      <c r="F132" s="24">
        <f>D132*E132</f>
        <v/>
      </c>
      <c r="G132" s="22" t="n"/>
    </row>
    <row r="133">
      <c r="A133" s="22" t="inlineStr">
        <is>
          <t>0367</t>
        </is>
      </c>
      <c r="B133" s="11" t="inlineStr">
        <is>
          <t>Portland Cement</t>
        </is>
      </c>
      <c r="C133" s="22" t="inlineStr">
        <is>
          <t>tonne</t>
        </is>
      </c>
      <c r="D133" s="23" t="n">
        <v>0.02</v>
      </c>
      <c r="E133" s="24" t="n">
        <v>4940</v>
      </c>
      <c r="F133" s="24">
        <f>D133*E133</f>
        <v/>
      </c>
      <c r="G133" s="22" t="n"/>
    </row>
    <row r="134">
      <c r="A134" s="22" t="inlineStr">
        <is>
          <t>2209</t>
        </is>
      </c>
      <c r="B134" s="11" t="inlineStr">
        <is>
          <t>Carriage of Cement</t>
        </is>
      </c>
      <c r="C134" s="22" t="inlineStr">
        <is>
          <t>tonne</t>
        </is>
      </c>
      <c r="D134" s="23" t="n">
        <v>0.02</v>
      </c>
      <c r="E134" s="24" t="n">
        <v>92.23999999999999</v>
      </c>
      <c r="F134" s="24">
        <f>D134*E134</f>
        <v/>
      </c>
      <c r="G134" s="22" t="n"/>
    </row>
    <row r="135">
      <c r="A135" s="22" t="inlineStr">
        <is>
          <t>0124</t>
        </is>
      </c>
      <c r="B135" s="11" t="inlineStr">
        <is>
          <t>Mason (brick layer) 2nd class</t>
        </is>
      </c>
      <c r="C135" s="22" t="inlineStr">
        <is>
          <t>day</t>
        </is>
      </c>
      <c r="D135" s="23" t="n">
        <v>1.88</v>
      </c>
      <c r="E135" s="24" t="n">
        <v>679</v>
      </c>
      <c r="F135" s="24">
        <f>D135*E135</f>
        <v/>
      </c>
      <c r="G135" s="22" t="n"/>
    </row>
    <row r="136">
      <c r="A136" s="22" t="inlineStr">
        <is>
          <t>0115</t>
        </is>
      </c>
      <c r="B136" s="11" t="inlineStr">
        <is>
          <t>Coolie</t>
        </is>
      </c>
      <c r="C136" s="22" t="inlineStr">
        <is>
          <t>day</t>
        </is>
      </c>
      <c r="D136" s="23" t="n">
        <v>1.88</v>
      </c>
      <c r="E136" s="24" t="n">
        <v>558</v>
      </c>
      <c r="F136" s="24">
        <f>D136*E136</f>
        <v/>
      </c>
      <c r="G136" s="22" t="n"/>
    </row>
    <row r="137">
      <c r="A137" s="22" t="inlineStr">
        <is>
          <t>0101</t>
        </is>
      </c>
      <c r="B137" s="11" t="inlineStr">
        <is>
          <t>Bhisti</t>
        </is>
      </c>
      <c r="C137" s="22" t="inlineStr">
        <is>
          <t>day</t>
        </is>
      </c>
      <c r="D137" s="23" t="n">
        <v>0.54</v>
      </c>
      <c r="E137" s="24" t="n">
        <v>617</v>
      </c>
      <c r="F137" s="24">
        <f>D137*E137</f>
        <v/>
      </c>
      <c r="G137" s="22" t="n"/>
    </row>
    <row r="138">
      <c r="A138" s="22" t="inlineStr">
        <is>
          <t>9999</t>
        </is>
      </c>
      <c r="B138" s="11" t="inlineStr">
        <is>
          <t>Sundries</t>
        </is>
      </c>
      <c r="C138" s="22" t="inlineStr">
        <is>
          <t>L.S.</t>
        </is>
      </c>
      <c r="D138" s="23" t="n">
        <v>19.76</v>
      </c>
      <c r="E138" s="24" t="n">
        <v>2</v>
      </c>
      <c r="F138" s="24">
        <f>D138*E138</f>
        <v/>
      </c>
      <c r="G138" s="22" t="n"/>
    </row>
    <row r="139">
      <c r="A139" s="8" t="inlineStr">
        <is>
          <t>Calculated W - SUM of the Amount column above</t>
        </is>
      </c>
      <c r="B139" s="9" t="n"/>
      <c r="C139" s="9" t="n"/>
      <c r="D139" s="9" t="n"/>
      <c r="E139" s="9" t="n"/>
      <c r="F139" s="25">
        <f>SUM(F132:F138)</f>
        <v/>
      </c>
      <c r="G139" s="9" t="n"/>
    </row>
    <row r="140">
      <c r="A140" s="26" t="inlineStr">
        <is>
          <t>W as printed in the DAR</t>
        </is>
      </c>
      <c r="B140" s="22" t="n"/>
      <c r="C140" s="22" t="n"/>
      <c r="D140" s="22" t="n"/>
      <c r="E140" s="22" t="n"/>
      <c r="F140" s="27" t="n">
        <v>3895.07</v>
      </c>
      <c r="G140" s="22" t="n"/>
    </row>
    <row r="141">
      <c r="A141" s="26" t="inlineStr">
        <is>
          <t>Difference (calculated - printed)</t>
        </is>
      </c>
      <c r="B141" s="22" t="n"/>
      <c r="C141" s="22" t="n"/>
      <c r="D141" s="22" t="n"/>
      <c r="E141" s="22" t="n"/>
      <c r="F141" s="27">
        <f>F139-F140</f>
        <v/>
      </c>
      <c r="G141" s="22" t="n"/>
    </row>
    <row r="142">
      <c r="A142" s="29" t="inlineStr">
        <is>
          <t>SAY (Rs.) - final DAR rate as printed (fixed value, not computed)</t>
        </is>
      </c>
      <c r="B142" s="30" t="n"/>
      <c r="C142" s="30" t="n"/>
      <c r="D142" s="30" t="n"/>
      <c r="E142" s="30" t="n"/>
      <c r="F142" s="31" t="n">
        <v>521.15</v>
      </c>
      <c r="G142" s="30" t="n"/>
    </row>
    <row r="144" ht="33" customHeight="1">
      <c r="A144" s="18" t="inlineStr">
        <is>
          <t>11.7</t>
        </is>
      </c>
      <c r="B144" s="19" t="inlineStr">
        <is>
          <t>Cement concrete pavement with 1:2:4 (1 cement : 2 coarse sand : 4 graded stone aggregate 20 mm nominal size), including finishing complete.</t>
        </is>
      </c>
      <c r="C144" s="20" t="n"/>
      <c r="D144" s="20" t="n"/>
      <c r="E144" s="20" t="n"/>
      <c r="F144" s="20" t="n"/>
      <c r="G144" s="20" t="n"/>
    </row>
    <row r="145">
      <c r="A145" s="21" t="inlineStr">
        <is>
          <t>Details of cost for 1 cum   |   Source: CivilDAR_2019_Vol_1.pdf, page 727</t>
        </is>
      </c>
    </row>
    <row r="146">
      <c r="A146" s="5" t="inlineStr">
        <is>
          <t>Code</t>
        </is>
      </c>
      <c r="B146" s="5" t="inlineStr">
        <is>
          <t>Description</t>
        </is>
      </c>
      <c r="C146" s="5" t="inlineStr">
        <is>
          <t>Unit</t>
        </is>
      </c>
      <c r="D146" s="5" t="inlineStr">
        <is>
          <t>Quantity</t>
        </is>
      </c>
      <c r="E146" s="5" t="inlineStr">
        <is>
          <t>Rate (Rs.)</t>
        </is>
      </c>
      <c r="F146" s="5" t="inlineStr">
        <is>
          <t>Amount (Rs.)</t>
        </is>
      </c>
      <c r="G146" s="5" t="inlineStr">
        <is>
          <t>Note</t>
        </is>
      </c>
    </row>
    <row r="147">
      <c r="A147" s="7" t="inlineStr">
        <is>
          <t>4.1.3</t>
        </is>
      </c>
      <c r="B147" s="11" t="inlineStr">
        <is>
          <t>Rate as per item 4.1.3 - Providing and laying in position cement concrete of specified grade excluding the cost of centering and shu...</t>
        </is>
      </c>
      <c r="C147" s="22" t="inlineStr">
        <is>
          <t>cum</t>
        </is>
      </c>
      <c r="D147" s="23" t="n">
        <v>1</v>
      </c>
      <c r="E147" s="24" t="n">
        <v>6788.6</v>
      </c>
      <c r="F147" s="24">
        <f>D147*E147</f>
        <v/>
      </c>
      <c r="G147" s="22" t="n"/>
    </row>
    <row r="148">
      <c r="A148" s="22" t="inlineStr">
        <is>
          <t>0124</t>
        </is>
      </c>
      <c r="B148" s="11" t="inlineStr">
        <is>
          <t>Mason (brick layer) 2nd class</t>
        </is>
      </c>
      <c r="C148" s="22" t="inlineStr">
        <is>
          <t>day</t>
        </is>
      </c>
      <c r="D148" s="23" t="n">
        <v>0.35</v>
      </c>
      <c r="E148" s="24" t="n">
        <v>679</v>
      </c>
      <c r="F148" s="24">
        <f>D148*E148</f>
        <v/>
      </c>
      <c r="G148" s="22" t="n"/>
    </row>
    <row r="149">
      <c r="A149" s="22" t="inlineStr">
        <is>
          <t>0114</t>
        </is>
      </c>
      <c r="B149" s="11" t="inlineStr">
        <is>
          <t>Beldar</t>
        </is>
      </c>
      <c r="C149" s="22" t="inlineStr">
        <is>
          <t>day</t>
        </is>
      </c>
      <c r="D149" s="23" t="n">
        <v>0.18</v>
      </c>
      <c r="E149" s="24" t="n">
        <v>558</v>
      </c>
      <c r="F149" s="24">
        <f>D149*E149</f>
        <v/>
      </c>
      <c r="G149" s="22" t="n"/>
    </row>
    <row r="150">
      <c r="A150" s="22" t="inlineStr">
        <is>
          <t>0101</t>
        </is>
      </c>
      <c r="B150" s="11" t="inlineStr">
        <is>
          <t>Bhisti</t>
        </is>
      </c>
      <c r="C150" s="22" t="inlineStr">
        <is>
          <t>day</t>
        </is>
      </c>
      <c r="D150" s="23" t="n">
        <v>0.05</v>
      </c>
      <c r="E150" s="24" t="n">
        <v>617</v>
      </c>
      <c r="F150" s="24">
        <f>D150*E150</f>
        <v/>
      </c>
      <c r="G150" s="22" t="n"/>
    </row>
    <row r="151">
      <c r="A151" s="22" t="inlineStr">
        <is>
          <t>9999</t>
        </is>
      </c>
      <c r="B151" s="11" t="inlineStr">
        <is>
          <t>Sundries</t>
        </is>
      </c>
      <c r="C151" s="22" t="inlineStr">
        <is>
          <t>L.S.</t>
        </is>
      </c>
      <c r="D151" s="23" t="n">
        <v>19.76</v>
      </c>
      <c r="E151" s="24" t="n">
        <v>2</v>
      </c>
      <c r="F151" s="24">
        <f>D151*E151</f>
        <v/>
      </c>
      <c r="G151" s="22" t="n"/>
    </row>
    <row r="152">
      <c r="A152" s="8" t="inlineStr">
        <is>
          <t>Calculated W - SUM of the Amount column above</t>
        </is>
      </c>
      <c r="B152" s="9" t="n"/>
      <c r="C152" s="9" t="n"/>
      <c r="D152" s="9" t="n"/>
      <c r="E152" s="9" t="n"/>
      <c r="F152" s="25">
        <f>SUM(F147:F151)</f>
        <v/>
      </c>
      <c r="G152" s="9" t="n"/>
    </row>
    <row r="153">
      <c r="A153" s="26" t="inlineStr">
        <is>
          <t>W as printed in the DAR</t>
        </is>
      </c>
      <c r="B153" s="22" t="n"/>
      <c r="C153" s="22" t="n"/>
      <c r="D153" s="22" t="n"/>
      <c r="E153" s="22" t="n"/>
      <c r="F153" s="27" t="n">
        <v>7197.06</v>
      </c>
      <c r="G153" s="22" t="n"/>
    </row>
    <row r="154">
      <c r="A154" s="26" t="inlineStr">
        <is>
          <t>Difference (calculated - printed)</t>
        </is>
      </c>
      <c r="B154" s="22" t="n"/>
      <c r="C154" s="22" t="n"/>
      <c r="D154" s="22" t="n"/>
      <c r="E154" s="22" t="n"/>
      <c r="F154" s="27">
        <f>F152-F153</f>
        <v/>
      </c>
      <c r="G154" s="22" t="n"/>
    </row>
    <row r="155">
      <c r="A155" s="29" t="inlineStr">
        <is>
          <t>SAY (Rs.) - final DAR rate as printed (fixed value, not computed)</t>
        </is>
      </c>
      <c r="B155" s="30" t="n"/>
      <c r="C155" s="30" t="n"/>
      <c r="D155" s="30" t="n"/>
      <c r="E155" s="30" t="n"/>
      <c r="F155" s="31" t="n">
        <v>7335.1</v>
      </c>
      <c r="G155" s="30" t="n"/>
    </row>
    <row r="157" ht="18.5" customHeight="1">
      <c r="A157" s="18" t="inlineStr">
        <is>
          <t>11.8</t>
        </is>
      </c>
      <c r="B157" s="19" t="inlineStr">
        <is>
          <t>Extra for making chequers of approved pattern on cement concrete floors, steps, landing, pavements etc.</t>
        </is>
      </c>
      <c r="C157" s="20" t="n"/>
      <c r="D157" s="20" t="n"/>
      <c r="E157" s="20" t="n"/>
      <c r="F157" s="20" t="n"/>
      <c r="G157" s="20" t="n"/>
    </row>
    <row r="158">
      <c r="A158" s="21" t="inlineStr">
        <is>
          <t>Details of cost for 10 sqm   |   Source: CivilDAR_2019_Vol_1.pdf, page 727</t>
        </is>
      </c>
    </row>
    <row r="159">
      <c r="A159" s="5" t="inlineStr">
        <is>
          <t>Code</t>
        </is>
      </c>
      <c r="B159" s="5" t="inlineStr">
        <is>
          <t>Description</t>
        </is>
      </c>
      <c r="C159" s="5" t="inlineStr">
        <is>
          <t>Unit</t>
        </is>
      </c>
      <c r="D159" s="5" t="inlineStr">
        <is>
          <t>Quantity</t>
        </is>
      </c>
      <c r="E159" s="5" t="inlineStr">
        <is>
          <t>Rate (Rs.)</t>
        </is>
      </c>
      <c r="F159" s="5" t="inlineStr">
        <is>
          <t>Amount (Rs.)</t>
        </is>
      </c>
      <c r="G159" s="5" t="inlineStr">
        <is>
          <t>Note</t>
        </is>
      </c>
    </row>
    <row r="160">
      <c r="A160" s="22" t="inlineStr">
        <is>
          <t>0124</t>
        </is>
      </c>
      <c r="B160" s="11" t="inlineStr">
        <is>
          <t>Mason (brick layer) 2nd class</t>
        </is>
      </c>
      <c r="C160" s="22" t="inlineStr">
        <is>
          <t>day</t>
        </is>
      </c>
      <c r="D160" s="23" t="n">
        <v>0.36</v>
      </c>
      <c r="E160" s="24" t="n">
        <v>679</v>
      </c>
      <c r="F160" s="24">
        <f>D160*E160</f>
        <v/>
      </c>
      <c r="G160" s="22" t="n"/>
    </row>
    <row r="161">
      <c r="A161" s="22" t="inlineStr">
        <is>
          <t>0114</t>
        </is>
      </c>
      <c r="B161" s="11" t="inlineStr">
        <is>
          <t>Beldar</t>
        </is>
      </c>
      <c r="C161" s="22" t="inlineStr">
        <is>
          <t>day</t>
        </is>
      </c>
      <c r="D161" s="23" t="n">
        <v>0.36</v>
      </c>
      <c r="E161" s="24" t="n">
        <v>558</v>
      </c>
      <c r="F161" s="24">
        <f>D161*E161</f>
        <v/>
      </c>
      <c r="G161" s="22" t="n"/>
    </row>
    <row r="162">
      <c r="A162" s="22" t="inlineStr">
        <is>
          <t>9999</t>
        </is>
      </c>
      <c r="B162" s="11" t="inlineStr">
        <is>
          <t>Chequered plate etc.</t>
        </is>
      </c>
      <c r="C162" s="22" t="inlineStr">
        <is>
          <t>L.S.</t>
        </is>
      </c>
      <c r="D162" s="23" t="n">
        <v>13.52</v>
      </c>
      <c r="E162" s="24" t="n">
        <v>2</v>
      </c>
      <c r="F162" s="24">
        <f>D162*E162</f>
        <v/>
      </c>
      <c r="G162" s="22" t="n"/>
    </row>
    <row r="163">
      <c r="A163" s="8" t="inlineStr">
        <is>
          <t>Calculated W - SUM of the Amount column above</t>
        </is>
      </c>
      <c r="B163" s="9" t="n"/>
      <c r="C163" s="9" t="n"/>
      <c r="D163" s="9" t="n"/>
      <c r="E163" s="9" t="n"/>
      <c r="F163" s="25">
        <f>SUM(F160:F162)</f>
        <v/>
      </c>
      <c r="G163" s="9" t="n"/>
    </row>
    <row r="164">
      <c r="A164" s="26" t="inlineStr">
        <is>
          <t>W as printed in the DAR</t>
        </is>
      </c>
      <c r="B164" s="22" t="n"/>
      <c r="C164" s="22" t="n"/>
      <c r="D164" s="22" t="n"/>
      <c r="E164" s="22" t="n"/>
      <c r="F164" s="27" t="n">
        <v>472.36</v>
      </c>
      <c r="G164" s="22" t="n"/>
    </row>
    <row r="165">
      <c r="A165" s="26" t="inlineStr">
        <is>
          <t>Difference (calculated - printed)</t>
        </is>
      </c>
      <c r="B165" s="22" t="n"/>
      <c r="C165" s="22" t="n"/>
      <c r="D165" s="22" t="n"/>
      <c r="E165" s="22" t="n"/>
      <c r="F165" s="27">
        <f>F163-F164</f>
        <v/>
      </c>
      <c r="G165" s="22" t="n"/>
    </row>
    <row r="166">
      <c r="A166" s="29" t="inlineStr">
        <is>
          <t>SAY (Rs.) - final DAR rate as printed (fixed value, not computed)</t>
        </is>
      </c>
      <c r="B166" s="30" t="n"/>
      <c r="C166" s="30" t="n"/>
      <c r="D166" s="30" t="n"/>
      <c r="E166" s="30" t="n"/>
      <c r="F166" s="31" t="n">
        <v>63.2</v>
      </c>
      <c r="G166" s="30" t="n"/>
    </row>
    <row r="168" ht="76.5" customHeight="1">
      <c r="A168" s="8" t="inlineStr">
        <is>
          <t>11.9</t>
        </is>
      </c>
      <c r="B168"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168" s="9" t="n"/>
      <c r="D168" s="9" t="n"/>
      <c r="E168" s="9" t="n"/>
      <c r="F168" s="9" t="n"/>
      <c r="G168" s="9" t="n"/>
    </row>
    <row r="169" ht="18.5" customHeight="1">
      <c r="A169" s="18" t="inlineStr">
        <is>
          <t>11.9.1</t>
        </is>
      </c>
      <c r="B169" s="19" t="inlineStr">
        <is>
          <t>Dark shade pigment with ordinary cement</t>
        </is>
      </c>
      <c r="C169" s="20" t="n"/>
      <c r="D169" s="20" t="n"/>
      <c r="E169" s="20" t="n"/>
      <c r="F169" s="20" t="n"/>
      <c r="G169" s="20" t="n"/>
    </row>
    <row r="170">
      <c r="A170" s="21" t="inlineStr">
        <is>
          <t>Details of cost for 10 sqm   |   Source: CivilDAR_2019_Vol_1.pdf, page 728</t>
        </is>
      </c>
    </row>
    <row r="171">
      <c r="A171" s="5" t="inlineStr">
        <is>
          <t>Code</t>
        </is>
      </c>
      <c r="B171" s="5" t="inlineStr">
        <is>
          <t>Description</t>
        </is>
      </c>
      <c r="C171" s="5" t="inlineStr">
        <is>
          <t>Unit</t>
        </is>
      </c>
      <c r="D171" s="5" t="inlineStr">
        <is>
          <t>Quantity</t>
        </is>
      </c>
      <c r="E171" s="5" t="inlineStr">
        <is>
          <t>Rate (Rs.)</t>
        </is>
      </c>
      <c r="F171" s="5" t="inlineStr">
        <is>
          <t>Amount (Rs.)</t>
        </is>
      </c>
      <c r="G171" s="5" t="inlineStr">
        <is>
          <t>Note</t>
        </is>
      </c>
    </row>
    <row r="172">
      <c r="A172" s="22" t="inlineStr">
        <is>
          <t>0296</t>
        </is>
      </c>
      <c r="B172" s="11" t="inlineStr">
        <is>
          <t>Stone Aggregate (Single size) : 12.5 mm nominal size</t>
        </is>
      </c>
      <c r="C172" s="22" t="inlineStr">
        <is>
          <t>cum</t>
        </is>
      </c>
      <c r="D172" s="23" t="n">
        <v>0.227</v>
      </c>
      <c r="E172" s="24" t="n">
        <v>1350</v>
      </c>
      <c r="F172" s="24">
        <f>D172*E172</f>
        <v/>
      </c>
      <c r="G172" s="22" t="n"/>
    </row>
    <row r="173">
      <c r="A173" s="22" t="inlineStr">
        <is>
          <t>0297</t>
        </is>
      </c>
      <c r="B173" s="11" t="inlineStr">
        <is>
          <t>Stone Aggregate (Single size) : 10 mm nominal size</t>
        </is>
      </c>
      <c r="C173" s="22" t="inlineStr">
        <is>
          <t>cum</t>
        </is>
      </c>
      <c r="D173" s="23" t="n">
        <v>0.076</v>
      </c>
      <c r="E173" s="24" t="n">
        <v>1350</v>
      </c>
      <c r="F173" s="24">
        <f>D173*E173</f>
        <v/>
      </c>
      <c r="G173" s="22" t="n"/>
    </row>
    <row r="174">
      <c r="A174" s="22" t="inlineStr">
        <is>
          <t>2202</t>
        </is>
      </c>
      <c r="B174" s="11" t="inlineStr">
        <is>
          <t>Carriage of Stone aggregate below 40 mm nominal size</t>
        </is>
      </c>
      <c r="C174" s="22" t="inlineStr">
        <is>
          <t>cum</t>
        </is>
      </c>
      <c r="D174" s="23" t="n">
        <v>0.303</v>
      </c>
      <c r="E174" s="24" t="n">
        <v>103.77</v>
      </c>
      <c r="F174" s="24">
        <f>D174*E174</f>
        <v/>
      </c>
      <c r="G174" s="22" t="n"/>
    </row>
    <row r="175">
      <c r="A175" s="22" t="inlineStr">
        <is>
          <t>0982</t>
        </is>
      </c>
      <c r="B175" s="11" t="inlineStr">
        <is>
          <t>Coarse sand (zone III)</t>
        </is>
      </c>
      <c r="C175" s="22" t="inlineStr">
        <is>
          <t>cum</t>
        </is>
      </c>
      <c r="D175" s="23" t="n">
        <v>0.151</v>
      </c>
      <c r="E175" s="24" t="n">
        <v>1350</v>
      </c>
      <c r="F175" s="24">
        <f>D175*E175</f>
        <v/>
      </c>
      <c r="G175" s="22" t="n"/>
    </row>
    <row r="176">
      <c r="A176" s="22" t="inlineStr">
        <is>
          <t>2203</t>
        </is>
      </c>
      <c r="B176" s="11" t="inlineStr">
        <is>
          <t>Carriage of Coarse sand</t>
        </is>
      </c>
      <c r="C176" s="22" t="inlineStr">
        <is>
          <t>cum</t>
        </is>
      </c>
      <c r="D176" s="23" t="n">
        <v>0.151</v>
      </c>
      <c r="E176" s="24" t="n">
        <v>103.77</v>
      </c>
      <c r="F176" s="24">
        <f>D176*E176</f>
        <v/>
      </c>
      <c r="G176" s="22" t="n"/>
    </row>
    <row r="177">
      <c r="A177" s="22" t="inlineStr">
        <is>
          <t>0367</t>
        </is>
      </c>
      <c r="B177" s="11" t="inlineStr">
        <is>
          <t>Portland Cement</t>
        </is>
      </c>
      <c r="C177" s="22" t="inlineStr">
        <is>
          <t>tonne</t>
        </is>
      </c>
      <c r="D177" s="23" t="n">
        <v>0.109</v>
      </c>
      <c r="E177" s="24" t="n">
        <v>4940</v>
      </c>
      <c r="F177" s="24">
        <f>D177*E177</f>
        <v/>
      </c>
      <c r="G177" s="22" t="n"/>
    </row>
    <row r="178">
      <c r="A178" s="22" t="inlineStr">
        <is>
          <t>0367</t>
        </is>
      </c>
      <c r="B178" s="11" t="inlineStr">
        <is>
          <t>Portland Cement</t>
        </is>
      </c>
      <c r="C178" s="22" t="inlineStr">
        <is>
          <t>tonne</t>
        </is>
      </c>
      <c r="D178" s="23" t="n">
        <v>0.02</v>
      </c>
      <c r="E178" s="24" t="n">
        <v>4940</v>
      </c>
      <c r="F178" s="24">
        <f>D178*E178</f>
        <v/>
      </c>
      <c r="G178" s="22" t="n"/>
    </row>
    <row r="179">
      <c r="A179" s="22" t="inlineStr">
        <is>
          <t>2209</t>
        </is>
      </c>
      <c r="B179" s="11" t="inlineStr">
        <is>
          <t>Carriage of Cement</t>
        </is>
      </c>
      <c r="C179" s="22" t="inlineStr">
        <is>
          <t>tonne</t>
        </is>
      </c>
      <c r="D179" s="23" t="n">
        <v>0.129</v>
      </c>
      <c r="E179" s="24" t="n">
        <v>92.23999999999999</v>
      </c>
      <c r="F179" s="24">
        <f>D179*E179</f>
        <v/>
      </c>
      <c r="G179" s="22" t="n"/>
    </row>
    <row r="180">
      <c r="A180" s="22" t="inlineStr">
        <is>
          <t>0785</t>
        </is>
      </c>
      <c r="B180" s="11" t="inlineStr">
        <is>
          <t>Marble chips upto 4mm and downsize White &amp; black</t>
        </is>
      </c>
      <c r="C180" s="22" t="inlineStr">
        <is>
          <t>quintal</t>
        </is>
      </c>
      <c r="D180" s="23" t="n">
        <v>0.872</v>
      </c>
      <c r="E180" s="24" t="n">
        <v>189</v>
      </c>
      <c r="F180" s="24">
        <f>D180*E180</f>
        <v/>
      </c>
      <c r="G180" s="22" t="n"/>
    </row>
    <row r="181">
      <c r="A181" s="22" t="inlineStr">
        <is>
          <t>2268</t>
        </is>
      </c>
      <c r="B181" s="11" t="inlineStr">
        <is>
          <t>Carriage of Marble dust and marble chips</t>
        </is>
      </c>
      <c r="C181" s="22" t="inlineStr">
        <is>
          <t>cum</t>
        </is>
      </c>
      <c r="D181" s="23" t="n">
        <v>0.051</v>
      </c>
      <c r="E181" s="24" t="n">
        <v>103.77</v>
      </c>
      <c r="F181" s="24">
        <f>D181*E181</f>
        <v/>
      </c>
      <c r="G181" s="22" t="n"/>
    </row>
    <row r="182">
      <c r="A182" s="22" t="inlineStr">
        <is>
          <t>0367</t>
        </is>
      </c>
      <c r="B182" s="11" t="inlineStr">
        <is>
          <t>Portland Cement</t>
        </is>
      </c>
      <c r="C182" s="22" t="inlineStr">
        <is>
          <t>tonne</t>
        </is>
      </c>
      <c r="D182" s="23" t="n">
        <v>0.0405</v>
      </c>
      <c r="E182" s="24" t="n">
        <v>4940</v>
      </c>
      <c r="F182" s="24">
        <f>D182*E182</f>
        <v/>
      </c>
      <c r="G182" s="22" t="n"/>
    </row>
    <row r="183">
      <c r="A183" s="22" t="inlineStr">
        <is>
          <t>2209</t>
        </is>
      </c>
      <c r="B183" s="11" t="inlineStr">
        <is>
          <t>Carriage of Cement</t>
        </is>
      </c>
      <c r="C183" s="22" t="inlineStr">
        <is>
          <t>tonne</t>
        </is>
      </c>
      <c r="D183" s="23" t="n">
        <v>0.0405</v>
      </c>
      <c r="E183" s="24" t="n">
        <v>92.23999999999999</v>
      </c>
      <c r="F183" s="24">
        <f>D183*E183</f>
        <v/>
      </c>
      <c r="G183" s="22" t="n"/>
    </row>
    <row r="184">
      <c r="A184" s="22" t="inlineStr">
        <is>
          <t>0784</t>
        </is>
      </c>
      <c r="B184" s="11" t="inlineStr">
        <is>
          <t>Marble dust/ powder</t>
        </is>
      </c>
      <c r="C184" s="22" t="inlineStr">
        <is>
          <t>cum</t>
        </is>
      </c>
      <c r="D184" s="23" t="n">
        <v>0.007</v>
      </c>
      <c r="E184" s="24" t="n">
        <v>1130</v>
      </c>
      <c r="F184" s="24">
        <f>D184*E184</f>
        <v/>
      </c>
      <c r="G184" s="22" t="n"/>
    </row>
    <row r="185">
      <c r="A185" s="22" t="inlineStr">
        <is>
          <t>0874</t>
        </is>
      </c>
      <c r="B185" s="11" t="inlineStr">
        <is>
          <t>Black colour dark shade pigment</t>
        </is>
      </c>
      <c r="C185" s="22" t="inlineStr">
        <is>
          <t>kilogram</t>
        </is>
      </c>
      <c r="D185" s="23" t="n">
        <v>2.84</v>
      </c>
      <c r="E185" s="24" t="n">
        <v>70</v>
      </c>
      <c r="F185" s="24">
        <f>D185*E185</f>
        <v/>
      </c>
      <c r="G185" s="22" t="n"/>
    </row>
    <row r="186">
      <c r="A186" s="22" t="inlineStr">
        <is>
          <t>9977</t>
        </is>
      </c>
      <c r="B186" s="11" t="inlineStr">
        <is>
          <t>Carriage of pigment &amp; marble powder etc.</t>
        </is>
      </c>
      <c r="C186" s="22" t="inlineStr">
        <is>
          <t>L.S.</t>
        </is>
      </c>
      <c r="D186" s="23" t="n">
        <v>3.64</v>
      </c>
      <c r="E186" s="24" t="n">
        <v>2</v>
      </c>
      <c r="F186" s="24">
        <f>D186*E186</f>
        <v/>
      </c>
      <c r="G186" s="22" t="n"/>
    </row>
    <row r="187">
      <c r="A187" s="22" t="inlineStr">
        <is>
          <t>0124</t>
        </is>
      </c>
      <c r="B187" s="11" t="inlineStr">
        <is>
          <t>Mason (brick layer) 2nd class</t>
        </is>
      </c>
      <c r="C187" s="22" t="inlineStr">
        <is>
          <t>day</t>
        </is>
      </c>
      <c r="D187" s="23" t="n">
        <v>1.79</v>
      </c>
      <c r="E187" s="24" t="n">
        <v>679</v>
      </c>
      <c r="F187" s="24">
        <f>D187*E187</f>
        <v/>
      </c>
      <c r="G187" s="22" t="n"/>
    </row>
    <row r="188">
      <c r="A188" s="22" t="inlineStr">
        <is>
          <t>0114</t>
        </is>
      </c>
      <c r="B188" s="11" t="inlineStr">
        <is>
          <t>Beldar</t>
        </is>
      </c>
      <c r="C188" s="22" t="inlineStr">
        <is>
          <t>day</t>
        </is>
      </c>
      <c r="D188" s="23" t="n">
        <v>1.99</v>
      </c>
      <c r="E188" s="24" t="n">
        <v>558</v>
      </c>
      <c r="F188" s="24">
        <f>D188*E188</f>
        <v/>
      </c>
      <c r="G188" s="22" t="n"/>
    </row>
    <row r="189">
      <c r="A189" s="22" t="inlineStr">
        <is>
          <t>0101</t>
        </is>
      </c>
      <c r="B189" s="11" t="inlineStr">
        <is>
          <t>Bhisti</t>
        </is>
      </c>
      <c r="C189" s="22" t="inlineStr">
        <is>
          <t>day</t>
        </is>
      </c>
      <c r="D189" s="23" t="n">
        <v>1.04</v>
      </c>
      <c r="E189" s="24" t="n">
        <v>617</v>
      </c>
      <c r="F189" s="24">
        <f>D189*E189</f>
        <v/>
      </c>
      <c r="G189" s="22" t="n"/>
    </row>
    <row r="190">
      <c r="A190" s="22" t="inlineStr">
        <is>
          <t>0139</t>
        </is>
      </c>
      <c r="B190" s="11" t="inlineStr">
        <is>
          <t>Skilled Beldar (for floor rubbing etc.)</t>
        </is>
      </c>
      <c r="C190" s="22" t="inlineStr">
        <is>
          <t>day</t>
        </is>
      </c>
      <c r="D190" s="23" t="n">
        <v>1</v>
      </c>
      <c r="E190" s="24" t="n">
        <v>617</v>
      </c>
      <c r="F190" s="24">
        <f>D190*E190</f>
        <v/>
      </c>
      <c r="G190" s="22" t="n"/>
    </row>
    <row r="191">
      <c r="A191" s="22" t="inlineStr">
        <is>
          <t>0127</t>
        </is>
      </c>
      <c r="B191" s="11" t="inlineStr">
        <is>
          <t>Driver (for Road Roller, Concrete Mixer, Truck etc.)</t>
        </is>
      </c>
      <c r="C191" s="22" t="inlineStr">
        <is>
          <t>day</t>
        </is>
      </c>
      <c r="D191" s="23" t="n">
        <v>0.03</v>
      </c>
      <c r="E191" s="24" t="n">
        <v>738</v>
      </c>
      <c r="F191" s="24">
        <f>D191*E191</f>
        <v/>
      </c>
      <c r="G191" s="22" t="n"/>
    </row>
    <row r="192">
      <c r="A192" s="22" t="inlineStr">
        <is>
          <t>0002</t>
        </is>
      </c>
      <c r="B192" s="11" t="inlineStr">
        <is>
          <t>Hire charges of Concrete Mixer 0.25 to 0.40 cum with hooper</t>
        </is>
      </c>
      <c r="C192" s="22" t="inlineStr">
        <is>
          <t>day</t>
        </is>
      </c>
      <c r="D192" s="23" t="n">
        <v>0.03</v>
      </c>
      <c r="E192" s="24" t="n">
        <v>800</v>
      </c>
      <c r="F192" s="24">
        <f>D192*E192</f>
        <v/>
      </c>
      <c r="G192" s="22" t="n"/>
    </row>
    <row r="193">
      <c r="A193" s="22" t="inlineStr">
        <is>
          <t>0013</t>
        </is>
      </c>
      <c r="B193" s="11" t="inlineStr">
        <is>
          <t>Machine for rubbing of floors</t>
        </is>
      </c>
      <c r="C193" s="22" t="inlineStr">
        <is>
          <t>day</t>
        </is>
      </c>
      <c r="D193" s="23" t="n">
        <v>1.6</v>
      </c>
      <c r="E193" s="24" t="n">
        <v>300</v>
      </c>
      <c r="F193" s="24">
        <f>D193*E193</f>
        <v/>
      </c>
      <c r="G193" s="22" t="n"/>
    </row>
    <row r="194">
      <c r="A194" s="22" t="inlineStr">
        <is>
          <t>9999</t>
        </is>
      </c>
      <c r="B194" s="11" t="inlineStr">
        <is>
          <t>Sundries</t>
        </is>
      </c>
      <c r="C194" s="22" t="inlineStr">
        <is>
          <t>L.S.</t>
        </is>
      </c>
      <c r="D194" s="23" t="n">
        <v>161.46</v>
      </c>
      <c r="E194" s="24" t="n">
        <v>2</v>
      </c>
      <c r="F194" s="24">
        <f>D194*E194</f>
        <v/>
      </c>
      <c r="G194" s="22" t="n"/>
    </row>
    <row r="195">
      <c r="A195" s="8" t="inlineStr">
        <is>
          <t>Calculated W - SUM of the Amount column above</t>
        </is>
      </c>
      <c r="B195" s="9" t="n"/>
      <c r="C195" s="9" t="n"/>
      <c r="D195" s="9" t="n"/>
      <c r="E195" s="9" t="n"/>
      <c r="F195" s="25">
        <f>SUM(F172:F194)</f>
        <v/>
      </c>
      <c r="G195" s="9" t="n"/>
    </row>
    <row r="196">
      <c r="A196" s="26" t="inlineStr">
        <is>
          <t>W as printed in the DAR</t>
        </is>
      </c>
      <c r="B196" s="22" t="n"/>
      <c r="C196" s="22" t="n"/>
      <c r="D196" s="22" t="n"/>
      <c r="E196" s="22" t="n"/>
      <c r="F196" s="27" t="n">
        <v>6330.64</v>
      </c>
      <c r="G196" s="22" t="n"/>
    </row>
    <row r="197">
      <c r="A197" s="26" t="inlineStr">
        <is>
          <t>Difference (calculated - printed)</t>
        </is>
      </c>
      <c r="B197" s="22" t="n"/>
      <c r="C197" s="22" t="n"/>
      <c r="D197" s="22" t="n"/>
      <c r="E197" s="22" t="n"/>
      <c r="F197" s="27">
        <f>F195-F196</f>
        <v/>
      </c>
      <c r="G197" s="22" t="n"/>
    </row>
    <row r="198">
      <c r="A198" s="29" t="inlineStr">
        <is>
          <t>SAY (Rs.) - final DAR rate as printed (fixed value, not computed)</t>
        </is>
      </c>
      <c r="B198" s="30" t="n"/>
      <c r="C198" s="30" t="n"/>
      <c r="D198" s="30" t="n"/>
      <c r="E198" s="30" t="n"/>
      <c r="F198" s="31" t="n">
        <v>847</v>
      </c>
      <c r="G198" s="30" t="n"/>
    </row>
    <row r="200" ht="76.5" customHeight="1">
      <c r="A200" s="8" t="inlineStr">
        <is>
          <t>11.9</t>
        </is>
      </c>
      <c r="B200"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200" s="9" t="n"/>
      <c r="D200" s="9" t="n"/>
      <c r="E200" s="9" t="n"/>
      <c r="F200" s="9" t="n"/>
      <c r="G200" s="9" t="n"/>
    </row>
    <row r="201" ht="18.5" customHeight="1">
      <c r="A201" s="18" t="inlineStr">
        <is>
          <t>11.9.2</t>
        </is>
      </c>
      <c r="B201" s="19" t="inlineStr">
        <is>
          <t>Light shade pigment with white cement</t>
        </is>
      </c>
      <c r="C201" s="20" t="n"/>
      <c r="D201" s="20" t="n"/>
      <c r="E201" s="20" t="n"/>
      <c r="F201" s="20" t="n"/>
      <c r="G201" s="20" t="n"/>
    </row>
    <row r="202">
      <c r="A202" s="21" t="inlineStr">
        <is>
          <t>Details of cost for 10 sqm   |   Source: CivilDAR_2019_Vol_1.pdf, page 729</t>
        </is>
      </c>
    </row>
    <row r="203">
      <c r="A203" s="5" t="inlineStr">
        <is>
          <t>Code</t>
        </is>
      </c>
      <c r="B203" s="5" t="inlineStr">
        <is>
          <t>Description</t>
        </is>
      </c>
      <c r="C203" s="5" t="inlineStr">
        <is>
          <t>Unit</t>
        </is>
      </c>
      <c r="D203" s="5" t="inlineStr">
        <is>
          <t>Quantity</t>
        </is>
      </c>
      <c r="E203" s="5" t="inlineStr">
        <is>
          <t>Rate (Rs.)</t>
        </is>
      </c>
      <c r="F203" s="5" t="inlineStr">
        <is>
          <t>Amount (Rs.)</t>
        </is>
      </c>
      <c r="G203" s="5" t="inlineStr">
        <is>
          <t>Note</t>
        </is>
      </c>
    </row>
    <row r="204">
      <c r="A204" s="7" t="inlineStr">
        <is>
          <t>11.9.1</t>
        </is>
      </c>
      <c r="B204" s="11" t="inlineStr">
        <is>
          <t>Rate as per item 11.9.1 - 40 mm thick marble chips flooring rubbed and polished to granolithic finish, under layer 34 mm thick cement...</t>
        </is>
      </c>
      <c r="C204" s="22" t="inlineStr">
        <is>
          <t>sqm</t>
        </is>
      </c>
      <c r="D204" s="23" t="n">
        <v>10</v>
      </c>
      <c r="E204" s="24" t="n">
        <v>847</v>
      </c>
      <c r="F204" s="24">
        <f>D204*E204</f>
        <v/>
      </c>
      <c r="G204" s="22" t="n"/>
    </row>
    <row r="205">
      <c r="A205" s="22" t="inlineStr">
        <is>
          <t>0875</t>
        </is>
      </c>
      <c r="B205" s="11" t="inlineStr">
        <is>
          <t>Red, chocolate, orange, buff or yellow (red oxide of iron) light shade pigment</t>
        </is>
      </c>
      <c r="C205" s="22" t="inlineStr">
        <is>
          <t>kilogram</t>
        </is>
      </c>
      <c r="D205" s="23" t="n">
        <v>2.84</v>
      </c>
      <c r="E205" s="24" t="n">
        <v>60</v>
      </c>
      <c r="F205" s="24">
        <f>D205*E205</f>
        <v/>
      </c>
      <c r="G205" s="22" t="n"/>
    </row>
    <row r="206">
      <c r="A206" s="22" t="inlineStr">
        <is>
          <t>0874</t>
        </is>
      </c>
      <c r="B206" s="11" t="inlineStr">
        <is>
          <t>Black colour dark shade pigment</t>
        </is>
      </c>
      <c r="C206" s="22" t="inlineStr">
        <is>
          <t>kilogram</t>
        </is>
      </c>
      <c r="D206" s="23" t="n">
        <v>-2.84</v>
      </c>
      <c r="E206" s="24" t="n">
        <v>70</v>
      </c>
      <c r="F206" s="24">
        <f>D206*E206</f>
        <v/>
      </c>
      <c r="G206" s="22" t="n"/>
    </row>
    <row r="207">
      <c r="A207" s="22" t="inlineStr">
        <is>
          <t>0368</t>
        </is>
      </c>
      <c r="B207" s="11" t="inlineStr">
        <is>
          <t>White Cement</t>
        </is>
      </c>
      <c r="C207" s="22" t="inlineStr">
        <is>
          <t>tonne</t>
        </is>
      </c>
      <c r="D207" s="23" t="n">
        <v>0.0405</v>
      </c>
      <c r="E207" s="24" t="n">
        <v>11200</v>
      </c>
      <c r="F207" s="24">
        <f>D207*E207</f>
        <v/>
      </c>
      <c r="G207" s="22" t="n"/>
    </row>
    <row r="208">
      <c r="A208" s="22" t="inlineStr">
        <is>
          <t>0367</t>
        </is>
      </c>
      <c r="B208" s="11" t="inlineStr">
        <is>
          <t>Portland Cement</t>
        </is>
      </c>
      <c r="C208" s="22" t="inlineStr">
        <is>
          <t>tonne</t>
        </is>
      </c>
      <c r="D208" s="23" t="n">
        <v>-0.0405</v>
      </c>
      <c r="E208" s="24" t="n">
        <v>4940</v>
      </c>
      <c r="F208" s="24">
        <f>D208*E208</f>
        <v/>
      </c>
      <c r="G208" s="22" t="n"/>
    </row>
    <row r="209">
      <c r="A209" s="8" t="inlineStr">
        <is>
          <t>Calculated W - SUM of the Amount column above</t>
        </is>
      </c>
      <c r="B209" s="9" t="n"/>
      <c r="C209" s="9" t="n"/>
      <c r="D209" s="9" t="n"/>
      <c r="E209" s="9" t="n"/>
      <c r="F209" s="25">
        <f>SUM(F204:F208)</f>
        <v/>
      </c>
      <c r="G209" s="9" t="n"/>
    </row>
    <row r="210">
      <c r="A210" s="26" t="inlineStr">
        <is>
          <t>W as printed in the DAR</t>
        </is>
      </c>
      <c r="B210" s="22" t="n"/>
      <c r="C210" s="22" t="n"/>
      <c r="D210" s="22" t="n"/>
      <c r="E210" s="22" t="n"/>
      <c r="F210" s="27" t="n">
        <v>8695.129999999999</v>
      </c>
      <c r="G210" s="22" t="n"/>
    </row>
    <row r="211">
      <c r="A211" s="26" t="inlineStr">
        <is>
          <t>Difference (calculated - printed)</t>
        </is>
      </c>
      <c r="B211" s="22" t="n"/>
      <c r="C211" s="22" t="n"/>
      <c r="D211" s="22" t="n"/>
      <c r="E211" s="22" t="n"/>
      <c r="F211" s="27">
        <f>F209-F210</f>
        <v/>
      </c>
      <c r="G211" s="22" t="n"/>
    </row>
    <row r="212">
      <c r="A212" s="29" t="inlineStr">
        <is>
          <t>SAY (Rs.) - final DAR rate as printed (fixed value, not computed)</t>
        </is>
      </c>
      <c r="B212" s="30" t="n"/>
      <c r="C212" s="30" t="n"/>
      <c r="D212" s="30" t="n"/>
      <c r="E212" s="30" t="n"/>
      <c r="F212" s="31" t="n">
        <v>877.1</v>
      </c>
      <c r="G212" s="30" t="n"/>
    </row>
    <row r="214" ht="76.5" customHeight="1">
      <c r="A214" s="8" t="inlineStr">
        <is>
          <t>11.9</t>
        </is>
      </c>
      <c r="B214"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214" s="9" t="n"/>
      <c r="D214" s="9" t="n"/>
      <c r="E214" s="9" t="n"/>
      <c r="F214" s="9" t="n"/>
      <c r="G214" s="9" t="n"/>
    </row>
    <row r="215" ht="18.5" customHeight="1">
      <c r="A215" s="18" t="inlineStr">
        <is>
          <t>11.9.3</t>
        </is>
      </c>
      <c r="B215" s="19" t="inlineStr">
        <is>
          <t>Medium shade pigment with 50% white cement and 50% ordinary cement</t>
        </is>
      </c>
      <c r="C215" s="20" t="n"/>
      <c r="D215" s="20" t="n"/>
      <c r="E215" s="20" t="n"/>
      <c r="F215" s="20" t="n"/>
      <c r="G215" s="20" t="n"/>
    </row>
    <row r="216">
      <c r="A216" s="21" t="inlineStr">
        <is>
          <t>Details of cost for 10 sqm   |   Source: CivilDAR_2019_Vol_1.pdf, page 730</t>
        </is>
      </c>
    </row>
    <row r="217">
      <c r="A217" s="5" t="inlineStr">
        <is>
          <t>Code</t>
        </is>
      </c>
      <c r="B217" s="5" t="inlineStr">
        <is>
          <t>Description</t>
        </is>
      </c>
      <c r="C217" s="5" t="inlineStr">
        <is>
          <t>Unit</t>
        </is>
      </c>
      <c r="D217" s="5" t="inlineStr">
        <is>
          <t>Quantity</t>
        </is>
      </c>
      <c r="E217" s="5" t="inlineStr">
        <is>
          <t>Rate (Rs.)</t>
        </is>
      </c>
      <c r="F217" s="5" t="inlineStr">
        <is>
          <t>Amount (Rs.)</t>
        </is>
      </c>
      <c r="G217" s="5" t="inlineStr">
        <is>
          <t>Note</t>
        </is>
      </c>
    </row>
    <row r="218">
      <c r="A218" s="7" t="inlineStr">
        <is>
          <t>11.9.1</t>
        </is>
      </c>
      <c r="B218" s="11" t="inlineStr">
        <is>
          <t>Rate as per item 11.9.1 - 40 mm thick marble chips flooring rubbed and polished to granolithic finish, under layer 34 mm thick cement...</t>
        </is>
      </c>
      <c r="C218" s="22" t="inlineStr">
        <is>
          <t>sqm</t>
        </is>
      </c>
      <c r="D218" s="23" t="n">
        <v>10</v>
      </c>
      <c r="E218" s="24" t="n">
        <v>847</v>
      </c>
      <c r="F218" s="24">
        <f>D218*E218</f>
        <v/>
      </c>
      <c r="G218" s="22" t="n"/>
    </row>
    <row r="219">
      <c r="A219" s="22" t="inlineStr">
        <is>
          <t>0876</t>
        </is>
      </c>
      <c r="B219" s="11" t="inlineStr">
        <is>
          <t>Green or blue medium shade pigment</t>
        </is>
      </c>
      <c r="C219" s="22" t="inlineStr">
        <is>
          <t>kilogram</t>
        </is>
      </c>
      <c r="D219" s="23" t="n">
        <v>2.84</v>
      </c>
      <c r="E219" s="24" t="n">
        <v>56</v>
      </c>
      <c r="F219" s="24">
        <f>D219*E219</f>
        <v/>
      </c>
      <c r="G219" s="22" t="n"/>
    </row>
    <row r="220">
      <c r="A220" s="22" t="inlineStr">
        <is>
          <t>0874</t>
        </is>
      </c>
      <c r="B220" s="11" t="inlineStr">
        <is>
          <t>Black colour dark shade pigment</t>
        </is>
      </c>
      <c r="C220" s="22" t="inlineStr">
        <is>
          <t>kilogram</t>
        </is>
      </c>
      <c r="D220" s="23" t="n">
        <v>-2.84</v>
      </c>
      <c r="E220" s="24" t="n">
        <v>70</v>
      </c>
      <c r="F220" s="24">
        <f>D220*E220</f>
        <v/>
      </c>
      <c r="G220" s="22" t="n"/>
    </row>
    <row r="221">
      <c r="A221" s="22" t="inlineStr">
        <is>
          <t>0368</t>
        </is>
      </c>
      <c r="B221" s="11" t="inlineStr">
        <is>
          <t>White Cement</t>
        </is>
      </c>
      <c r="C221" s="22" t="inlineStr">
        <is>
          <t>tonne</t>
        </is>
      </c>
      <c r="D221" s="23" t="n">
        <v>0.0203</v>
      </c>
      <c r="E221" s="24" t="n">
        <v>11200</v>
      </c>
      <c r="F221" s="24">
        <f>D221*E221</f>
        <v/>
      </c>
      <c r="G221" s="22" t="n"/>
    </row>
    <row r="222">
      <c r="A222" s="22" t="inlineStr">
        <is>
          <t>0367</t>
        </is>
      </c>
      <c r="B222" s="11" t="inlineStr">
        <is>
          <t>Portland Cement</t>
        </is>
      </c>
      <c r="C222" s="22" t="inlineStr">
        <is>
          <t>tonne</t>
        </is>
      </c>
      <c r="D222" s="23" t="n">
        <v>-0.0203</v>
      </c>
      <c r="E222" s="24" t="n">
        <v>4940</v>
      </c>
      <c r="F222" s="24">
        <f>D222*E222</f>
        <v/>
      </c>
      <c r="G222" s="22" t="n"/>
    </row>
    <row r="223">
      <c r="A223" s="8" t="inlineStr">
        <is>
          <t>Calculated W - SUM of the Amount column above</t>
        </is>
      </c>
      <c r="B223" s="9" t="n"/>
      <c r="C223" s="9" t="n"/>
      <c r="D223" s="9" t="n"/>
      <c r="E223" s="9" t="n"/>
      <c r="F223" s="25">
        <f>SUM(F218:F222)</f>
        <v/>
      </c>
      <c r="G223" s="9" t="n"/>
    </row>
    <row r="224">
      <c r="A224" s="26" t="inlineStr">
        <is>
          <t>W as printed in the DAR</t>
        </is>
      </c>
      <c r="B224" s="22" t="n"/>
      <c r="C224" s="22" t="n"/>
      <c r="D224" s="22" t="n"/>
      <c r="E224" s="22" t="n"/>
      <c r="F224" s="27" t="n">
        <v>8557.32</v>
      </c>
      <c r="G224" s="22" t="n"/>
    </row>
    <row r="225">
      <c r="A225" s="26" t="inlineStr">
        <is>
          <t>Difference (calculated - printed)</t>
        </is>
      </c>
      <c r="B225" s="22" t="n"/>
      <c r="C225" s="22" t="n"/>
      <c r="D225" s="22" t="n"/>
      <c r="E225" s="22" t="n"/>
      <c r="F225" s="27">
        <f>F223-F224</f>
        <v/>
      </c>
      <c r="G225" s="22" t="n"/>
    </row>
    <row r="226">
      <c r="A226" s="29" t="inlineStr">
        <is>
          <t>SAY (Rs.) - final DAR rate as printed (fixed value, not computed)</t>
        </is>
      </c>
      <c r="B226" s="30" t="n"/>
      <c r="C226" s="30" t="n"/>
      <c r="D226" s="30" t="n"/>
      <c r="E226" s="30" t="n"/>
      <c r="F226" s="31" t="n">
        <v>858.7</v>
      </c>
      <c r="G226" s="30" t="n"/>
    </row>
    <row r="228" ht="76.5" customHeight="1">
      <c r="A228" s="8" t="inlineStr">
        <is>
          <t>11.9</t>
        </is>
      </c>
      <c r="B228"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228" s="9" t="n"/>
      <c r="D228" s="9" t="n"/>
      <c r="E228" s="9" t="n"/>
      <c r="F228" s="9" t="n"/>
      <c r="G228" s="9" t="n"/>
    </row>
    <row r="229" ht="18.5" customHeight="1">
      <c r="A229" s="18" t="inlineStr">
        <is>
          <t>11.9.4</t>
        </is>
      </c>
      <c r="B229" s="19" t="inlineStr">
        <is>
          <t>White cement without any pigment</t>
        </is>
      </c>
      <c r="C229" s="20" t="n"/>
      <c r="D229" s="20" t="n"/>
      <c r="E229" s="20" t="n"/>
      <c r="F229" s="20" t="n"/>
      <c r="G229" s="20" t="n"/>
    </row>
    <row r="230">
      <c r="A230" s="21" t="inlineStr">
        <is>
          <t>Details of cost for 10 sqm   |   Source: CivilDAR_2019_Vol_1.pdf, page 730</t>
        </is>
      </c>
    </row>
    <row r="231">
      <c r="A231" s="5" t="inlineStr">
        <is>
          <t>Code</t>
        </is>
      </c>
      <c r="B231" s="5" t="inlineStr">
        <is>
          <t>Description</t>
        </is>
      </c>
      <c r="C231" s="5" t="inlineStr">
        <is>
          <t>Unit</t>
        </is>
      </c>
      <c r="D231" s="5" t="inlineStr">
        <is>
          <t>Quantity</t>
        </is>
      </c>
      <c r="E231" s="5" t="inlineStr">
        <is>
          <t>Rate (Rs.)</t>
        </is>
      </c>
      <c r="F231" s="5" t="inlineStr">
        <is>
          <t>Amount (Rs.)</t>
        </is>
      </c>
      <c r="G231" s="5" t="inlineStr">
        <is>
          <t>Note</t>
        </is>
      </c>
    </row>
    <row r="232">
      <c r="A232" s="22" t="inlineStr">
        <is>
          <t>0296</t>
        </is>
      </c>
      <c r="B232" s="11" t="inlineStr">
        <is>
          <t>Stone Aggregate (Single size) : 12.5 mm nominal size</t>
        </is>
      </c>
      <c r="C232" s="22" t="inlineStr">
        <is>
          <t>cum</t>
        </is>
      </c>
      <c r="D232" s="23" t="n">
        <v>0.227</v>
      </c>
      <c r="E232" s="24" t="n">
        <v>1350</v>
      </c>
      <c r="F232" s="24">
        <f>D232*E232</f>
        <v/>
      </c>
      <c r="G232" s="22" t="n"/>
    </row>
    <row r="233">
      <c r="A233" s="22" t="inlineStr">
        <is>
          <t>0297</t>
        </is>
      </c>
      <c r="B233" s="11" t="inlineStr">
        <is>
          <t>Stone Aggregate (Single size) : 10 mm nominal size</t>
        </is>
      </c>
      <c r="C233" s="22" t="inlineStr">
        <is>
          <t>cum</t>
        </is>
      </c>
      <c r="D233" s="23" t="n">
        <v>0.076</v>
      </c>
      <c r="E233" s="24" t="n">
        <v>1350</v>
      </c>
      <c r="F233" s="24">
        <f>D233*E233</f>
        <v/>
      </c>
      <c r="G233" s="22" t="n"/>
    </row>
    <row r="234">
      <c r="A234" s="22" t="inlineStr">
        <is>
          <t>2202</t>
        </is>
      </c>
      <c r="B234" s="11" t="inlineStr">
        <is>
          <t>Carriage of Stone aggregate below 40 mm nominal size</t>
        </is>
      </c>
      <c r="C234" s="22" t="inlineStr">
        <is>
          <t>cum</t>
        </is>
      </c>
      <c r="D234" s="23" t="n">
        <v>0.303</v>
      </c>
      <c r="E234" s="24" t="n">
        <v>103.77</v>
      </c>
      <c r="F234" s="24">
        <f>D234*E234</f>
        <v/>
      </c>
      <c r="G234" s="22" t="n"/>
    </row>
    <row r="235">
      <c r="A235" s="22" t="inlineStr">
        <is>
          <t>0982</t>
        </is>
      </c>
      <c r="B235" s="11" t="inlineStr">
        <is>
          <t>Coarse sand (zone III)</t>
        </is>
      </c>
      <c r="C235" s="22" t="inlineStr">
        <is>
          <t>cum</t>
        </is>
      </c>
      <c r="D235" s="23" t="n">
        <v>0.151</v>
      </c>
      <c r="E235" s="24" t="n">
        <v>1350</v>
      </c>
      <c r="F235" s="24">
        <f>D235*E235</f>
        <v/>
      </c>
      <c r="G235" s="22" t="n"/>
    </row>
    <row r="236">
      <c r="A236" s="22" t="inlineStr">
        <is>
          <t>2203</t>
        </is>
      </c>
      <c r="B236" s="11" t="inlineStr">
        <is>
          <t>Carriage of Coarse sand</t>
        </is>
      </c>
      <c r="C236" s="22" t="inlineStr">
        <is>
          <t>cum</t>
        </is>
      </c>
      <c r="D236" s="23" t="n">
        <v>0.151</v>
      </c>
      <c r="E236" s="24" t="n">
        <v>103.77</v>
      </c>
      <c r="F236" s="24">
        <f>D236*E236</f>
        <v/>
      </c>
      <c r="G236" s="22" t="n"/>
    </row>
    <row r="237">
      <c r="A237" s="22" t="inlineStr">
        <is>
          <t>0367</t>
        </is>
      </c>
      <c r="B237" s="11" t="inlineStr">
        <is>
          <t>Portland Cement</t>
        </is>
      </c>
      <c r="C237" s="22" t="inlineStr">
        <is>
          <t>tonne</t>
        </is>
      </c>
      <c r="D237" s="23" t="n">
        <v>0.109</v>
      </c>
      <c r="E237" s="24" t="n">
        <v>4940</v>
      </c>
      <c r="F237" s="24">
        <f>D237*E237</f>
        <v/>
      </c>
      <c r="G237" s="22" t="n"/>
    </row>
    <row r="238">
      <c r="A238" s="22" t="inlineStr">
        <is>
          <t>0367</t>
        </is>
      </c>
      <c r="B238" s="11" t="inlineStr">
        <is>
          <t>Portland Cement</t>
        </is>
      </c>
      <c r="C238" s="22" t="inlineStr">
        <is>
          <t>tonne</t>
        </is>
      </c>
      <c r="D238" s="23" t="n">
        <v>0.02</v>
      </c>
      <c r="E238" s="24" t="n">
        <v>4940</v>
      </c>
      <c r="F238" s="24">
        <f>D238*E238</f>
        <v/>
      </c>
      <c r="G238" s="22" t="n"/>
    </row>
    <row r="239">
      <c r="A239" s="22" t="inlineStr">
        <is>
          <t>2209</t>
        </is>
      </c>
      <c r="B239" s="11" t="inlineStr">
        <is>
          <t>Carriage of Cement</t>
        </is>
      </c>
      <c r="C239" s="22" t="inlineStr">
        <is>
          <t>tonne</t>
        </is>
      </c>
      <c r="D239" s="23" t="n">
        <v>0.129</v>
      </c>
      <c r="E239" s="24" t="n">
        <v>92.23999999999999</v>
      </c>
      <c r="F239" s="24">
        <f>D239*E239</f>
        <v/>
      </c>
      <c r="G239" s="22" t="n"/>
    </row>
    <row r="240">
      <c r="A240" s="22" t="inlineStr">
        <is>
          <t>0785</t>
        </is>
      </c>
      <c r="B240" s="11" t="inlineStr">
        <is>
          <t>Marble chips upto 4mm and downsize White &amp; black</t>
        </is>
      </c>
      <c r="C240" s="22" t="inlineStr">
        <is>
          <t>quintal</t>
        </is>
      </c>
      <c r="D240" s="23" t="n">
        <v>0.958</v>
      </c>
      <c r="E240" s="24" t="n">
        <v>189</v>
      </c>
      <c r="F240" s="24">
        <f>D240*E240</f>
        <v/>
      </c>
      <c r="G240" s="22" t="n"/>
    </row>
    <row r="241">
      <c r="A241" s="22" t="inlineStr">
        <is>
          <t>2268</t>
        </is>
      </c>
      <c r="B241" s="11" t="inlineStr">
        <is>
          <t>Carriage of Marble dust and marble chips</t>
        </is>
      </c>
      <c r="C241" s="22" t="inlineStr">
        <is>
          <t>cum</t>
        </is>
      </c>
      <c r="D241" s="23" t="n">
        <v>0.056</v>
      </c>
      <c r="E241" s="24" t="n">
        <v>103.77</v>
      </c>
      <c r="F241" s="24">
        <f>D241*E241</f>
        <v/>
      </c>
      <c r="G241" s="22" t="n"/>
    </row>
    <row r="242">
      <c r="A242" s="22" t="inlineStr">
        <is>
          <t>0368</t>
        </is>
      </c>
      <c r="B242" s="11" t="inlineStr">
        <is>
          <t>White Cement</t>
        </is>
      </c>
      <c r="C242" s="22" t="inlineStr">
        <is>
          <t>tonne</t>
        </is>
      </c>
      <c r="D242" s="23" t="n">
        <v>0.0405</v>
      </c>
      <c r="E242" s="24" t="n">
        <v>11200</v>
      </c>
      <c r="F242" s="24">
        <f>D242*E242</f>
        <v/>
      </c>
      <c r="G242" s="22" t="n"/>
    </row>
    <row r="243">
      <c r="A243" s="22" t="inlineStr">
        <is>
          <t>2209</t>
        </is>
      </c>
      <c r="B243" s="11" t="inlineStr">
        <is>
          <t>Carriage of Cement</t>
        </is>
      </c>
      <c r="C243" s="22" t="inlineStr">
        <is>
          <t>tonne</t>
        </is>
      </c>
      <c r="D243" s="23" t="n">
        <v>0.0405</v>
      </c>
      <c r="E243" s="24" t="n">
        <v>92.23999999999999</v>
      </c>
      <c r="F243" s="24">
        <f>D243*E243</f>
        <v/>
      </c>
      <c r="G243" s="22" t="n"/>
    </row>
    <row r="244">
      <c r="A244" s="22" t="inlineStr">
        <is>
          <t>0784</t>
        </is>
      </c>
      <c r="B244" s="11" t="inlineStr">
        <is>
          <t>Marble dust/ powder</t>
        </is>
      </c>
      <c r="C244" s="22" t="inlineStr">
        <is>
          <t>cum</t>
        </is>
      </c>
      <c r="D244" s="23" t="n">
        <v>0.007</v>
      </c>
      <c r="E244" s="24" t="n">
        <v>1130</v>
      </c>
      <c r="F244" s="24">
        <f>D244*E244</f>
        <v/>
      </c>
      <c r="G244" s="22" t="n"/>
    </row>
    <row r="245">
      <c r="A245" s="22" t="inlineStr">
        <is>
          <t>0124</t>
        </is>
      </c>
      <c r="B245" s="11" t="inlineStr">
        <is>
          <t>Mason (brick layer) 2nd class</t>
        </is>
      </c>
      <c r="C245" s="22" t="inlineStr">
        <is>
          <t>day</t>
        </is>
      </c>
      <c r="D245" s="23" t="n">
        <v>1.79</v>
      </c>
      <c r="E245" s="24" t="n">
        <v>679</v>
      </c>
      <c r="F245" s="24">
        <f>D245*E245</f>
        <v/>
      </c>
      <c r="G245" s="22" t="n"/>
    </row>
    <row r="246">
      <c r="A246" s="22" t="inlineStr">
        <is>
          <t>0114</t>
        </is>
      </c>
      <c r="B246" s="11" t="inlineStr">
        <is>
          <t>Beldar</t>
        </is>
      </c>
      <c r="C246" s="22" t="inlineStr">
        <is>
          <t>day</t>
        </is>
      </c>
      <c r="D246" s="23" t="n">
        <v>1.99</v>
      </c>
      <c r="E246" s="24" t="n">
        <v>558</v>
      </c>
      <c r="F246" s="24">
        <f>D246*E246</f>
        <v/>
      </c>
      <c r="G246" s="22" t="n"/>
    </row>
    <row r="247">
      <c r="A247" s="22" t="inlineStr">
        <is>
          <t>0101</t>
        </is>
      </c>
      <c r="B247" s="11" t="inlineStr">
        <is>
          <t>Bhisti</t>
        </is>
      </c>
      <c r="C247" s="22" t="inlineStr">
        <is>
          <t>day</t>
        </is>
      </c>
      <c r="D247" s="23" t="n">
        <v>1.04</v>
      </c>
      <c r="E247" s="24" t="n">
        <v>617</v>
      </c>
      <c r="F247" s="24">
        <f>D247*E247</f>
        <v/>
      </c>
      <c r="G247" s="22" t="n"/>
    </row>
    <row r="248">
      <c r="A248" s="22" t="inlineStr">
        <is>
          <t>0139</t>
        </is>
      </c>
      <c r="B248" s="11" t="inlineStr">
        <is>
          <t>Skilled Beldar (for floor rubbing etc.)</t>
        </is>
      </c>
      <c r="C248" s="22" t="inlineStr">
        <is>
          <t>day</t>
        </is>
      </c>
      <c r="D248" s="23" t="n">
        <v>1</v>
      </c>
      <c r="E248" s="24" t="n">
        <v>617</v>
      </c>
      <c r="F248" s="24">
        <f>D248*E248</f>
        <v/>
      </c>
      <c r="G248" s="22" t="n"/>
    </row>
    <row r="249">
      <c r="A249" s="22" t="inlineStr">
        <is>
          <t>0127</t>
        </is>
      </c>
      <c r="B249" s="11" t="inlineStr">
        <is>
          <t>Driver (for Road Roller, Concrete Mixer, Truck etc.)</t>
        </is>
      </c>
      <c r="C249" s="22" t="inlineStr">
        <is>
          <t>day</t>
        </is>
      </c>
      <c r="D249" s="23" t="n">
        <v>0.03</v>
      </c>
      <c r="E249" s="24" t="n">
        <v>738</v>
      </c>
      <c r="F249" s="24">
        <f>D249*E249</f>
        <v/>
      </c>
      <c r="G249" s="22" t="n"/>
    </row>
    <row r="250">
      <c r="A250" s="22" t="inlineStr">
        <is>
          <t>0002</t>
        </is>
      </c>
      <c r="B250" s="11" t="inlineStr">
        <is>
          <t>Hire charges of Concrete Mixer 0.25 to 0.40 cum with hooper</t>
        </is>
      </c>
      <c r="C250" s="22" t="inlineStr">
        <is>
          <t>day</t>
        </is>
      </c>
      <c r="D250" s="23" t="n">
        <v>0.03</v>
      </c>
      <c r="E250" s="24" t="n">
        <v>800</v>
      </c>
      <c r="F250" s="24">
        <f>D250*E250</f>
        <v/>
      </c>
      <c r="G250" s="22" t="n"/>
    </row>
    <row r="251">
      <c r="A251" s="22" t="inlineStr">
        <is>
          <t>0013</t>
        </is>
      </c>
      <c r="B251" s="11" t="inlineStr">
        <is>
          <t>Machine for rubbing of floors</t>
        </is>
      </c>
      <c r="C251" s="22" t="inlineStr">
        <is>
          <t>day</t>
        </is>
      </c>
      <c r="D251" s="23" t="n">
        <v>1.6</v>
      </c>
      <c r="E251" s="24" t="n">
        <v>300</v>
      </c>
      <c r="F251" s="24">
        <f>D251*E251</f>
        <v/>
      </c>
      <c r="G251" s="22" t="n"/>
    </row>
    <row r="252">
      <c r="A252" s="22" t="inlineStr">
        <is>
          <t>9999</t>
        </is>
      </c>
      <c r="B252" s="11" t="inlineStr">
        <is>
          <t>Sundries</t>
        </is>
      </c>
      <c r="C252" s="22" t="inlineStr">
        <is>
          <t>L.S.</t>
        </is>
      </c>
      <c r="D252" s="23" t="n">
        <v>161.46</v>
      </c>
      <c r="E252" s="24" t="n">
        <v>2</v>
      </c>
      <c r="F252" s="24">
        <f>D252*E252</f>
        <v/>
      </c>
      <c r="G252" s="22" t="n"/>
    </row>
    <row r="253">
      <c r="A253" s="8" t="inlineStr">
        <is>
          <t>Calculated W - SUM of the Amount column above</t>
        </is>
      </c>
      <c r="B253" s="9" t="n"/>
      <c r="C253" s="9" t="n"/>
      <c r="D253" s="9" t="n"/>
      <c r="E253" s="9" t="n"/>
      <c r="F253" s="25">
        <f>SUM(F232:F252)</f>
        <v/>
      </c>
      <c r="G253" s="9" t="n"/>
    </row>
    <row r="254">
      <c r="A254" s="26" t="inlineStr">
        <is>
          <t>W as printed in the DAR</t>
        </is>
      </c>
      <c r="B254" s="22" t="n"/>
      <c r="C254" s="22" t="n"/>
      <c r="D254" s="22" t="n"/>
      <c r="E254" s="22" t="n"/>
      <c r="F254" s="27" t="n">
        <v>6394.86</v>
      </c>
      <c r="G254" s="22" t="n"/>
    </row>
    <row r="255">
      <c r="A255" s="26" t="inlineStr">
        <is>
          <t>Difference (calculated - printed)</t>
        </is>
      </c>
      <c r="B255" s="22" t="n"/>
      <c r="C255" s="22" t="n"/>
      <c r="D255" s="22" t="n"/>
      <c r="E255" s="22" t="n"/>
      <c r="F255" s="27">
        <f>F253-F254</f>
        <v/>
      </c>
      <c r="G255" s="22" t="n"/>
    </row>
    <row r="256">
      <c r="A256" s="29" t="inlineStr">
        <is>
          <t>SAY (Rs.) - final DAR rate as printed (fixed value, not computed)</t>
        </is>
      </c>
      <c r="B256" s="30" t="n"/>
      <c r="C256" s="30" t="n"/>
      <c r="D256" s="30" t="n"/>
      <c r="E256" s="30" t="n"/>
      <c r="F256" s="31" t="n">
        <v>855.6</v>
      </c>
      <c r="G256" s="30" t="n"/>
    </row>
    <row r="258" ht="76.5" customHeight="1">
      <c r="A258" s="8" t="inlineStr">
        <is>
          <t>11.9</t>
        </is>
      </c>
      <c r="B258"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258" s="9" t="n"/>
      <c r="D258" s="9" t="n"/>
      <c r="E258" s="9" t="n"/>
      <c r="F258" s="9" t="n"/>
      <c r="G258" s="9" t="n"/>
    </row>
    <row r="259" ht="18.5" customHeight="1">
      <c r="A259" s="18" t="inlineStr">
        <is>
          <t>11.9.5</t>
        </is>
      </c>
      <c r="B259" s="19" t="inlineStr">
        <is>
          <t>Light shade pigment with ordinary cement</t>
        </is>
      </c>
      <c r="C259" s="20" t="n"/>
      <c r="D259" s="20" t="n"/>
      <c r="E259" s="20" t="n"/>
      <c r="F259" s="20" t="n"/>
      <c r="G259" s="20" t="n"/>
    </row>
    <row r="260">
      <c r="A260" s="21" t="inlineStr">
        <is>
          <t>Details of cost for 10 sqm   |   Source: CivilDAR_2019_Vol_1.pdf, page 731</t>
        </is>
      </c>
    </row>
    <row r="261">
      <c r="A261" s="5" t="inlineStr">
        <is>
          <t>Code</t>
        </is>
      </c>
      <c r="B261" s="5" t="inlineStr">
        <is>
          <t>Description</t>
        </is>
      </c>
      <c r="C261" s="5" t="inlineStr">
        <is>
          <t>Unit</t>
        </is>
      </c>
      <c r="D261" s="5" t="inlineStr">
        <is>
          <t>Quantity</t>
        </is>
      </c>
      <c r="E261" s="5" t="inlineStr">
        <is>
          <t>Rate (Rs.)</t>
        </is>
      </c>
      <c r="F261" s="5" t="inlineStr">
        <is>
          <t>Amount (Rs.)</t>
        </is>
      </c>
      <c r="G261" s="5" t="inlineStr">
        <is>
          <t>Note</t>
        </is>
      </c>
    </row>
    <row r="262">
      <c r="A262" s="7" t="inlineStr">
        <is>
          <t>11.9.1</t>
        </is>
      </c>
      <c r="B262" s="11" t="inlineStr">
        <is>
          <t>Rate as per item 11.9.1 - 40 mm thick marble chips flooring rubbed and polished to granolithic finish, under layer 34 mm thick cement...</t>
        </is>
      </c>
      <c r="C262" s="22" t="inlineStr">
        <is>
          <t>sqm</t>
        </is>
      </c>
      <c r="D262" s="23" t="n">
        <v>10</v>
      </c>
      <c r="E262" s="24" t="n">
        <v>847</v>
      </c>
      <c r="F262" s="24">
        <f>D262*E262</f>
        <v/>
      </c>
      <c r="G262" s="22" t="n"/>
    </row>
    <row r="263">
      <c r="A263" s="22" t="inlineStr">
        <is>
          <t>0875</t>
        </is>
      </c>
      <c r="B263" s="11" t="inlineStr">
        <is>
          <t>Red, chocolate, orange, buff or yellow (red oxide of iron) light shade pigment</t>
        </is>
      </c>
      <c r="C263" s="22" t="inlineStr">
        <is>
          <t>kilogram</t>
        </is>
      </c>
      <c r="D263" s="23" t="n">
        <v>2.84</v>
      </c>
      <c r="E263" s="24" t="n">
        <v>60</v>
      </c>
      <c r="F263" s="24">
        <f>D263*E263</f>
        <v/>
      </c>
      <c r="G263" s="22" t="n"/>
    </row>
    <row r="264">
      <c r="A264" s="22" t="inlineStr">
        <is>
          <t>0874</t>
        </is>
      </c>
      <c r="B264" s="11" t="inlineStr">
        <is>
          <t>Black colour dark shade pigment</t>
        </is>
      </c>
      <c r="C264" s="22" t="inlineStr">
        <is>
          <t>kilogram</t>
        </is>
      </c>
      <c r="D264" s="23" t="n">
        <v>-2.84</v>
      </c>
      <c r="E264" s="24" t="n">
        <v>70</v>
      </c>
      <c r="F264" s="24">
        <f>D264*E264</f>
        <v/>
      </c>
      <c r="G264" s="22" t="n"/>
    </row>
    <row r="265">
      <c r="A265" s="8" t="inlineStr">
        <is>
          <t>Calculated W - SUM of the Amount column above</t>
        </is>
      </c>
      <c r="B265" s="9" t="n"/>
      <c r="C265" s="9" t="n"/>
      <c r="D265" s="9" t="n"/>
      <c r="E265" s="9" t="n"/>
      <c r="F265" s="25">
        <f>SUM(F262:F264)</f>
        <v/>
      </c>
      <c r="G265" s="9" t="n"/>
    </row>
    <row r="266">
      <c r="A266" s="26" t="inlineStr">
        <is>
          <t>W as printed in the DAR</t>
        </is>
      </c>
      <c r="B266" s="22" t="n"/>
      <c r="C266" s="22" t="n"/>
      <c r="D266" s="22" t="n"/>
      <c r="E266" s="22" t="n"/>
      <c r="F266" s="27" t="n">
        <v>8441.6</v>
      </c>
      <c r="G266" s="22" t="n"/>
    </row>
    <row r="267">
      <c r="A267" s="26" t="inlineStr">
        <is>
          <t>Difference (calculated - printed)</t>
        </is>
      </c>
      <c r="B267" s="22" t="n"/>
      <c r="C267" s="22" t="n"/>
      <c r="D267" s="22" t="n"/>
      <c r="E267" s="22" t="n"/>
      <c r="F267" s="27">
        <f>F265-F266</f>
        <v/>
      </c>
      <c r="G267" s="22" t="n"/>
    </row>
    <row r="268">
      <c r="A268" s="29" t="inlineStr">
        <is>
          <t>SAY (Rs.) - final DAR rate as printed (fixed value, not computed)</t>
        </is>
      </c>
      <c r="B268" s="30" t="n"/>
      <c r="C268" s="30" t="n"/>
      <c r="D268" s="30" t="n"/>
      <c r="E268" s="30" t="n"/>
      <c r="F268" s="31" t="n">
        <v>843.2</v>
      </c>
      <c r="G268" s="30" t="n"/>
    </row>
    <row r="270" ht="76.5" customHeight="1">
      <c r="A270" s="8" t="inlineStr">
        <is>
          <t>11.9</t>
        </is>
      </c>
      <c r="B270" s="17"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is>
      </c>
      <c r="C270" s="9" t="n"/>
      <c r="D270" s="9" t="n"/>
      <c r="E270" s="9" t="n"/>
      <c r="F270" s="9" t="n"/>
      <c r="G270" s="9" t="n"/>
    </row>
    <row r="271" ht="18.5" customHeight="1">
      <c r="A271" s="18" t="inlineStr">
        <is>
          <t>11.9.6</t>
        </is>
      </c>
      <c r="B271" s="19" t="inlineStr">
        <is>
          <t>Ordinary cement without any pigment</t>
        </is>
      </c>
      <c r="C271" s="20" t="n"/>
      <c r="D271" s="20" t="n"/>
      <c r="E271" s="20" t="n"/>
      <c r="F271" s="20" t="n"/>
      <c r="G271" s="20" t="n"/>
    </row>
    <row r="272">
      <c r="A272" s="21" t="inlineStr">
        <is>
          <t>Details of cost for 10 sqm   |   Source: CivilDAR_2019_Vol_1.pdf, page 732</t>
        </is>
      </c>
    </row>
    <row r="273">
      <c r="A273" s="5" t="inlineStr">
        <is>
          <t>Code</t>
        </is>
      </c>
      <c r="B273" s="5" t="inlineStr">
        <is>
          <t>Description</t>
        </is>
      </c>
      <c r="C273" s="5" t="inlineStr">
        <is>
          <t>Unit</t>
        </is>
      </c>
      <c r="D273" s="5" t="inlineStr">
        <is>
          <t>Quantity</t>
        </is>
      </c>
      <c r="E273" s="5" t="inlineStr">
        <is>
          <t>Rate (Rs.)</t>
        </is>
      </c>
      <c r="F273" s="5" t="inlineStr">
        <is>
          <t>Amount (Rs.)</t>
        </is>
      </c>
      <c r="G273" s="5" t="inlineStr">
        <is>
          <t>Note</t>
        </is>
      </c>
    </row>
    <row r="274">
      <c r="A274" s="7" t="inlineStr">
        <is>
          <t>11.9.1</t>
        </is>
      </c>
      <c r="B274" s="11" t="inlineStr">
        <is>
          <t>Rate as per item 11.9.1 - 40 mm thick marble chips flooring rubbed and polished to granolithic finish, under layer 34 mm thick cement...</t>
        </is>
      </c>
      <c r="C274" s="22" t="inlineStr">
        <is>
          <t>sqm</t>
        </is>
      </c>
      <c r="D274" s="23" t="n">
        <v>10</v>
      </c>
      <c r="E274" s="24" t="n">
        <v>847</v>
      </c>
      <c r="F274" s="24">
        <f>D274*E274</f>
        <v/>
      </c>
      <c r="G274" s="22" t="n"/>
    </row>
    <row r="275">
      <c r="A275" s="22" t="inlineStr">
        <is>
          <t>0874</t>
        </is>
      </c>
      <c r="B275" s="11" t="inlineStr">
        <is>
          <t>Black colour dark shade pigment</t>
        </is>
      </c>
      <c r="C275" s="22" t="inlineStr">
        <is>
          <t>kilogram</t>
        </is>
      </c>
      <c r="D275" s="23" t="n">
        <v>-2.84</v>
      </c>
      <c r="E275" s="24" t="n">
        <v>70</v>
      </c>
      <c r="F275" s="24">
        <f>D275*E275</f>
        <v/>
      </c>
      <c r="G275" s="22" t="n"/>
    </row>
    <row r="276">
      <c r="A276" s="22" t="inlineStr">
        <is>
          <t>9999</t>
        </is>
      </c>
      <c r="B276" s="11" t="inlineStr">
        <is>
          <t>Deduct for carriage of pigment</t>
        </is>
      </c>
      <c r="C276" s="22" t="inlineStr">
        <is>
          <t>L.S.</t>
        </is>
      </c>
      <c r="D276" s="23" t="n">
        <v>-7.38</v>
      </c>
      <c r="E276" s="24" t="n">
        <v>2</v>
      </c>
      <c r="F276" s="24">
        <f>D276*E276</f>
        <v/>
      </c>
      <c r="G276" s="22" t="n"/>
    </row>
    <row r="277">
      <c r="A277" s="8" t="inlineStr">
        <is>
          <t>Calculated W - SUM of the Amount column above</t>
        </is>
      </c>
      <c r="B277" s="9" t="n"/>
      <c r="C277" s="9" t="n"/>
      <c r="D277" s="9" t="n"/>
      <c r="E277" s="9" t="n"/>
      <c r="F277" s="25">
        <f>SUM(F274:F276)</f>
        <v/>
      </c>
      <c r="G277" s="9" t="n"/>
    </row>
    <row r="278">
      <c r="A278" s="26" t="inlineStr">
        <is>
          <t>W as printed in the DAR</t>
        </is>
      </c>
      <c r="B278" s="22" t="n"/>
      <c r="C278" s="22" t="n"/>
      <c r="D278" s="22" t="n"/>
      <c r="E278" s="22" t="n"/>
      <c r="F278" s="27" t="n">
        <v>8256.440000000001</v>
      </c>
      <c r="G278" s="22" t="n"/>
    </row>
    <row r="279">
      <c r="A279" s="26" t="inlineStr">
        <is>
          <t>Difference (calculated - printed)</t>
        </is>
      </c>
      <c r="B279" s="22" t="n"/>
      <c r="C279" s="22" t="n"/>
      <c r="D279" s="22" t="n"/>
      <c r="E279" s="22" t="n"/>
      <c r="F279" s="27">
        <f>F277-F278</f>
        <v/>
      </c>
      <c r="G279" s="22" t="n"/>
    </row>
    <row r="280">
      <c r="A280" s="29" t="inlineStr">
        <is>
          <t>SAY (Rs.) - final DAR rate as printed (fixed value, not computed)</t>
        </is>
      </c>
      <c r="B280" s="30" t="n"/>
      <c r="C280" s="30" t="n"/>
      <c r="D280" s="30" t="n"/>
      <c r="E280" s="30" t="n"/>
      <c r="F280" s="31" t="n">
        <v>818.45</v>
      </c>
      <c r="G280" s="30" t="n"/>
    </row>
    <row r="282" ht="76.5" customHeight="1">
      <c r="A282" s="8" t="inlineStr">
        <is>
          <t>11.10</t>
        </is>
      </c>
      <c r="B282"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282" s="9" t="n"/>
      <c r="D282" s="9" t="n"/>
      <c r="E282" s="9" t="n"/>
      <c r="F282" s="9" t="n"/>
      <c r="G282" s="9" t="n"/>
    </row>
    <row r="283" ht="18.5" customHeight="1">
      <c r="A283" s="18" t="inlineStr">
        <is>
          <t>11.10.1</t>
        </is>
      </c>
      <c r="B283" s="19" t="inlineStr">
        <is>
          <t>Dark shade pigment with Ordinary cement</t>
        </is>
      </c>
      <c r="C283" s="20" t="n"/>
      <c r="D283" s="20" t="n"/>
      <c r="E283" s="20" t="n"/>
      <c r="F283" s="20" t="n"/>
      <c r="G283" s="20" t="n"/>
    </row>
    <row r="284">
      <c r="A284" s="21" t="inlineStr">
        <is>
          <t>Details of cost for 10 sqm   |   Source: CivilDAR_2019_Vol_1.pdf, page 732</t>
        </is>
      </c>
    </row>
    <row r="285">
      <c r="A285" s="5" t="inlineStr">
        <is>
          <t>Code</t>
        </is>
      </c>
      <c r="B285" s="5" t="inlineStr">
        <is>
          <t>Description</t>
        </is>
      </c>
      <c r="C285" s="5" t="inlineStr">
        <is>
          <t>Unit</t>
        </is>
      </c>
      <c r="D285" s="5" t="inlineStr">
        <is>
          <t>Quantity</t>
        </is>
      </c>
      <c r="E285" s="5" t="inlineStr">
        <is>
          <t>Rate (Rs.)</t>
        </is>
      </c>
      <c r="F285" s="5" t="inlineStr">
        <is>
          <t>Amount (Rs.)</t>
        </is>
      </c>
      <c r="G285" s="5" t="inlineStr">
        <is>
          <t>Note</t>
        </is>
      </c>
    </row>
    <row r="286">
      <c r="A286" s="22" t="inlineStr">
        <is>
          <t>0296</t>
        </is>
      </c>
      <c r="B286" s="11" t="inlineStr">
        <is>
          <t>Stone Aggregate (Single size) : 12.5 mm nominal size</t>
        </is>
      </c>
      <c r="C286" s="22" t="inlineStr">
        <is>
          <t>cum</t>
        </is>
      </c>
      <c r="D286" s="23" t="n">
        <v>0.21</v>
      </c>
      <c r="E286" s="24" t="n">
        <v>1350</v>
      </c>
      <c r="F286" s="24">
        <f>D286*E286</f>
        <v/>
      </c>
      <c r="G286" s="22" t="n"/>
    </row>
    <row r="287">
      <c r="A287" s="22" t="inlineStr">
        <is>
          <t>0297</t>
        </is>
      </c>
      <c r="B287" s="11" t="inlineStr">
        <is>
          <t>Stone Aggregate (Single size) : 10 mm nominal size</t>
        </is>
      </c>
      <c r="C287" s="22" t="inlineStr">
        <is>
          <t>cum</t>
        </is>
      </c>
      <c r="D287" s="23" t="n">
        <v>0.07000000000000001</v>
      </c>
      <c r="E287" s="24" t="n">
        <v>1350</v>
      </c>
      <c r="F287" s="24">
        <f>D287*E287</f>
        <v/>
      </c>
      <c r="G287" s="22" t="n"/>
    </row>
    <row r="288">
      <c r="A288" s="22" t="inlineStr">
        <is>
          <t>2202</t>
        </is>
      </c>
      <c r="B288" s="11" t="inlineStr">
        <is>
          <t>Carriage of Stone aggregate below 40 mm nominal size</t>
        </is>
      </c>
      <c r="C288" s="22" t="inlineStr">
        <is>
          <t>cum</t>
        </is>
      </c>
      <c r="D288" s="23" t="n">
        <v>0.28</v>
      </c>
      <c r="E288" s="24" t="n">
        <v>103.77</v>
      </c>
      <c r="F288" s="24">
        <f>D288*E288</f>
        <v/>
      </c>
      <c r="G288" s="22" t="n"/>
    </row>
    <row r="289">
      <c r="A289" s="22" t="inlineStr">
        <is>
          <t>0982</t>
        </is>
      </c>
      <c r="B289" s="11" t="inlineStr">
        <is>
          <t>Coarse sand (zone III)</t>
        </is>
      </c>
      <c r="C289" s="22" t="inlineStr">
        <is>
          <t>cum</t>
        </is>
      </c>
      <c r="D289" s="23" t="n">
        <v>0.14</v>
      </c>
      <c r="E289" s="24" t="n">
        <v>1350</v>
      </c>
      <c r="F289" s="24">
        <f>D289*E289</f>
        <v/>
      </c>
      <c r="G289" s="22" t="n"/>
    </row>
    <row r="290">
      <c r="A290" s="22" t="inlineStr">
        <is>
          <t>2203</t>
        </is>
      </c>
      <c r="B290" s="11" t="inlineStr">
        <is>
          <t>Carriage of Coarse sand</t>
        </is>
      </c>
      <c r="C290" s="22" t="inlineStr">
        <is>
          <t>cum</t>
        </is>
      </c>
      <c r="D290" s="23" t="n">
        <v>0.14</v>
      </c>
      <c r="E290" s="24" t="n">
        <v>103.77</v>
      </c>
      <c r="F290" s="24">
        <f>D290*E290</f>
        <v/>
      </c>
      <c r="G290" s="22" t="n"/>
    </row>
    <row r="291">
      <c r="A291" s="22" t="inlineStr">
        <is>
          <t>0367</t>
        </is>
      </c>
      <c r="B291" s="11" t="inlineStr">
        <is>
          <t>Portland Cement</t>
        </is>
      </c>
      <c r="C291" s="22" t="inlineStr">
        <is>
          <t>tonne</t>
        </is>
      </c>
      <c r="D291" s="23" t="n">
        <v>0.1005</v>
      </c>
      <c r="E291" s="24" t="n">
        <v>4940</v>
      </c>
      <c r="F291" s="24">
        <f>D291*E291</f>
        <v/>
      </c>
      <c r="G291" s="22" t="n"/>
    </row>
    <row r="292">
      <c r="A292" s="22" t="inlineStr">
        <is>
          <t>0367</t>
        </is>
      </c>
      <c r="B292" s="11" t="inlineStr">
        <is>
          <t>Portland Cement</t>
        </is>
      </c>
      <c r="C292" s="22" t="inlineStr">
        <is>
          <t>tonne</t>
        </is>
      </c>
      <c r="D292" s="23" t="n">
        <v>0.02</v>
      </c>
      <c r="E292" s="24" t="n">
        <v>4940</v>
      </c>
      <c r="F292" s="24">
        <f>D292*E292</f>
        <v/>
      </c>
      <c r="G292" s="22" t="n"/>
    </row>
    <row r="293">
      <c r="A293" s="22" t="inlineStr">
        <is>
          <t>2209</t>
        </is>
      </c>
      <c r="B293" s="11" t="inlineStr">
        <is>
          <t>Carriage of Cement</t>
        </is>
      </c>
      <c r="C293" s="22" t="inlineStr">
        <is>
          <t>tonne</t>
        </is>
      </c>
      <c r="D293" s="23" t="n">
        <v>0.1205</v>
      </c>
      <c r="E293" s="24" t="n">
        <v>92.23999999999999</v>
      </c>
      <c r="F293" s="24">
        <f>D293*E293</f>
        <v/>
      </c>
      <c r="G293" s="22" t="n"/>
    </row>
    <row r="294">
      <c r="A294" s="22" t="inlineStr">
        <is>
          <t>0788</t>
        </is>
      </c>
      <c r="B294" s="11" t="inlineStr">
        <is>
          <t>Marble chips large size above 4 mm White &amp; black</t>
        </is>
      </c>
      <c r="C294" s="22" t="inlineStr">
        <is>
          <t>quintal</t>
        </is>
      </c>
      <c r="D294" s="23" t="n">
        <v>1.4</v>
      </c>
      <c r="E294" s="24" t="n">
        <v>250</v>
      </c>
      <c r="F294" s="24">
        <f>D294*E294</f>
        <v/>
      </c>
      <c r="G294" s="22" t="n"/>
    </row>
    <row r="295">
      <c r="A295" s="22" t="inlineStr">
        <is>
          <t>2268</t>
        </is>
      </c>
      <c r="B295" s="11" t="inlineStr">
        <is>
          <t>Carriage of Marble dust and marble chips</t>
        </is>
      </c>
      <c r="C295" s="22" t="inlineStr">
        <is>
          <t>cum</t>
        </is>
      </c>
      <c r="D295" s="23" t="n">
        <v>0.082</v>
      </c>
      <c r="E295" s="24" t="n">
        <v>103.77</v>
      </c>
      <c r="F295" s="24">
        <f>D295*E295</f>
        <v/>
      </c>
      <c r="G295" s="22" t="n"/>
    </row>
    <row r="296">
      <c r="A296" s="22" t="inlineStr">
        <is>
          <t>0367</t>
        </is>
      </c>
      <c r="B296" s="11" t="inlineStr">
        <is>
          <t>Portland Cement</t>
        </is>
      </c>
      <c r="C296" s="22" t="inlineStr">
        <is>
          <t>tonne</t>
        </is>
      </c>
      <c r="D296" s="23" t="n">
        <v>0.0578</v>
      </c>
      <c r="E296" s="24" t="n">
        <v>4940</v>
      </c>
      <c r="F296" s="24">
        <f>D296*E296</f>
        <v/>
      </c>
      <c r="G296" s="22" t="n"/>
    </row>
    <row r="297">
      <c r="A297" s="22" t="inlineStr">
        <is>
          <t>2209</t>
        </is>
      </c>
      <c r="B297" s="11" t="inlineStr">
        <is>
          <t>Carriage of Cement</t>
        </is>
      </c>
      <c r="C297" s="22" t="inlineStr">
        <is>
          <t>tonne</t>
        </is>
      </c>
      <c r="D297" s="23" t="n">
        <v>0.0578</v>
      </c>
      <c r="E297" s="24" t="n">
        <v>92.23999999999999</v>
      </c>
      <c r="F297" s="24">
        <f>D297*E297</f>
        <v/>
      </c>
      <c r="G297" s="22" t="n"/>
    </row>
    <row r="298">
      <c r="A298" s="22" t="inlineStr">
        <is>
          <t>0784</t>
        </is>
      </c>
      <c r="B298" s="11" t="inlineStr">
        <is>
          <t>Marble dust/ powder</t>
        </is>
      </c>
      <c r="C298" s="22" t="inlineStr">
        <is>
          <t>cum</t>
        </is>
      </c>
      <c r="D298" s="23" t="n">
        <v>0.012</v>
      </c>
      <c r="E298" s="24" t="n">
        <v>1130</v>
      </c>
      <c r="F298" s="24">
        <f>D298*E298</f>
        <v/>
      </c>
      <c r="G298" s="22" t="n"/>
    </row>
    <row r="299">
      <c r="A299" s="22" t="inlineStr">
        <is>
          <t>0874</t>
        </is>
      </c>
      <c r="B299" s="11" t="inlineStr">
        <is>
          <t>Black colour dark shade pigment</t>
        </is>
      </c>
      <c r="C299" s="22" t="inlineStr">
        <is>
          <t>kilogram</t>
        </is>
      </c>
      <c r="D299" s="23" t="n">
        <v>4.05</v>
      </c>
      <c r="E299" s="24" t="n">
        <v>70</v>
      </c>
      <c r="F299" s="24">
        <f>D299*E299</f>
        <v/>
      </c>
      <c r="G299" s="22" t="n"/>
    </row>
    <row r="300">
      <c r="A300" s="22" t="inlineStr">
        <is>
          <t>9977</t>
        </is>
      </c>
      <c r="B300" s="11" t="inlineStr">
        <is>
          <t>Carriage of pigment &amp; marble powder etc.</t>
        </is>
      </c>
      <c r="C300" s="22" t="inlineStr">
        <is>
          <t>L.S.</t>
        </is>
      </c>
      <c r="D300" s="23" t="n">
        <v>5.46</v>
      </c>
      <c r="E300" s="24" t="n">
        <v>2</v>
      </c>
      <c r="F300" s="24">
        <f>D300*E300</f>
        <v/>
      </c>
      <c r="G300" s="22" t="n"/>
    </row>
    <row r="301">
      <c r="A301" s="22" t="inlineStr">
        <is>
          <t>0124</t>
        </is>
      </c>
      <c r="B301" s="11" t="inlineStr">
        <is>
          <t>Mason (brick layer) 2nd class</t>
        </is>
      </c>
      <c r="C301" s="22" t="inlineStr">
        <is>
          <t>day</t>
        </is>
      </c>
      <c r="D301" s="23" t="n">
        <v>1.79</v>
      </c>
      <c r="E301" s="24" t="n">
        <v>679</v>
      </c>
      <c r="F301" s="24">
        <f>D301*E301</f>
        <v/>
      </c>
      <c r="G301" s="22" t="n"/>
    </row>
    <row r="302">
      <c r="A302" s="22" t="inlineStr">
        <is>
          <t>0114</t>
        </is>
      </c>
      <c r="B302" s="11" t="inlineStr">
        <is>
          <t>Beldar</t>
        </is>
      </c>
      <c r="C302" s="22" t="inlineStr">
        <is>
          <t>day</t>
        </is>
      </c>
      <c r="D302" s="23" t="n">
        <v>1.99</v>
      </c>
      <c r="E302" s="24" t="n">
        <v>558</v>
      </c>
      <c r="F302" s="24">
        <f>D302*E302</f>
        <v/>
      </c>
      <c r="G302" s="22" t="n"/>
    </row>
    <row r="303">
      <c r="A303" s="22" t="inlineStr">
        <is>
          <t>0101</t>
        </is>
      </c>
      <c r="B303" s="11" t="inlineStr">
        <is>
          <t>Bhisti</t>
        </is>
      </c>
      <c r="C303" s="22" t="inlineStr">
        <is>
          <t>day</t>
        </is>
      </c>
      <c r="D303" s="23" t="n">
        <v>1.04</v>
      </c>
      <c r="E303" s="24" t="n">
        <v>617</v>
      </c>
      <c r="F303" s="24">
        <f>D303*E303</f>
        <v/>
      </c>
      <c r="G303" s="22" t="n"/>
    </row>
    <row r="304">
      <c r="A304" s="22" t="inlineStr">
        <is>
          <t>0139</t>
        </is>
      </c>
      <c r="B304" s="11" t="inlineStr">
        <is>
          <t>Skilled Beldar (for floor rubbing etc.)</t>
        </is>
      </c>
      <c r="C304" s="22" t="inlineStr">
        <is>
          <t>day</t>
        </is>
      </c>
      <c r="D304" s="23" t="n">
        <v>1</v>
      </c>
      <c r="E304" s="24" t="n">
        <v>617</v>
      </c>
      <c r="F304" s="24">
        <f>D304*E304</f>
        <v/>
      </c>
      <c r="G304" s="22" t="n"/>
    </row>
    <row r="305">
      <c r="A305" s="22" t="inlineStr">
        <is>
          <t>0127</t>
        </is>
      </c>
      <c r="B305" s="11" t="inlineStr">
        <is>
          <t>Driver (for Road Roller, Concrete Mixer, Truck etc.)</t>
        </is>
      </c>
      <c r="C305" s="22" t="inlineStr">
        <is>
          <t>day</t>
        </is>
      </c>
      <c r="D305" s="23" t="n">
        <v>0.03</v>
      </c>
      <c r="E305" s="24" t="n">
        <v>738</v>
      </c>
      <c r="F305" s="24">
        <f>D305*E305</f>
        <v/>
      </c>
      <c r="G305" s="22" t="n"/>
    </row>
    <row r="306">
      <c r="A306" s="22" t="inlineStr">
        <is>
          <t>0002</t>
        </is>
      </c>
      <c r="B306" s="11" t="inlineStr">
        <is>
          <t>Hire charges of Concrete Mixer 0.25 to 0.40 cum with hooper</t>
        </is>
      </c>
      <c r="C306" s="22" t="inlineStr">
        <is>
          <t>day</t>
        </is>
      </c>
      <c r="D306" s="23" t="n">
        <v>0.03</v>
      </c>
      <c r="E306" s="24" t="n">
        <v>800</v>
      </c>
      <c r="F306" s="24">
        <f>D306*E306</f>
        <v/>
      </c>
      <c r="G306" s="22" t="n"/>
    </row>
    <row r="307">
      <c r="A307" s="22" t="inlineStr">
        <is>
          <t>0013</t>
        </is>
      </c>
      <c r="B307" s="11" t="inlineStr">
        <is>
          <t>Machine for rubbing of floors</t>
        </is>
      </c>
      <c r="C307" s="22" t="inlineStr">
        <is>
          <t>day</t>
        </is>
      </c>
      <c r="D307" s="23" t="n">
        <v>1.6</v>
      </c>
      <c r="E307" s="24" t="n">
        <v>300</v>
      </c>
      <c r="F307" s="24">
        <f>D307*E307</f>
        <v/>
      </c>
      <c r="G307" s="22" t="n"/>
    </row>
    <row r="308">
      <c r="A308" s="22" t="inlineStr">
        <is>
          <t>9999</t>
        </is>
      </c>
      <c r="B308" s="11" t="inlineStr">
        <is>
          <t>Sundries</t>
        </is>
      </c>
      <c r="C308" s="22" t="inlineStr">
        <is>
          <t>L.S.</t>
        </is>
      </c>
      <c r="D308" s="23" t="n">
        <v>134.55</v>
      </c>
      <c r="E308" s="24" t="n">
        <v>2</v>
      </c>
      <c r="F308" s="24">
        <f>D308*E308</f>
        <v/>
      </c>
      <c r="G308" s="22" t="n"/>
    </row>
    <row r="309">
      <c r="A309" s="8" t="inlineStr">
        <is>
          <t>Calculated W - SUM of the Amount column above</t>
        </is>
      </c>
      <c r="B309" s="9" t="n"/>
      <c r="C309" s="9" t="n"/>
      <c r="D309" s="9" t="n"/>
      <c r="E309" s="9" t="n"/>
      <c r="F309" s="25">
        <f>SUM(F286:F308)</f>
        <v/>
      </c>
      <c r="G309" s="9" t="n"/>
    </row>
    <row r="310">
      <c r="A310" s="26" t="inlineStr">
        <is>
          <t>W as printed in the DAR</t>
        </is>
      </c>
      <c r="B310" s="22" t="n"/>
      <c r="C310" s="22" t="n"/>
      <c r="D310" s="22" t="n"/>
      <c r="E310" s="22" t="n"/>
      <c r="F310" s="27" t="n">
        <v>6554.07</v>
      </c>
      <c r="G310" s="22" t="n"/>
    </row>
    <row r="311">
      <c r="A311" s="26" t="inlineStr">
        <is>
          <t>Difference (calculated - printed)</t>
        </is>
      </c>
      <c r="B311" s="22" t="n"/>
      <c r="C311" s="22" t="n"/>
      <c r="D311" s="22" t="n"/>
      <c r="E311" s="22" t="n"/>
      <c r="F311" s="27">
        <f>F309-F310</f>
        <v/>
      </c>
      <c r="G311" s="22" t="n"/>
    </row>
    <row r="312">
      <c r="A312" s="29" t="inlineStr">
        <is>
          <t>SAY (Rs.) - final DAR rate as printed (fixed value, not computed)</t>
        </is>
      </c>
      <c r="B312" s="30" t="n"/>
      <c r="C312" s="30" t="n"/>
      <c r="D312" s="30" t="n"/>
      <c r="E312" s="30" t="n"/>
      <c r="F312" s="31" t="n">
        <v>876.9</v>
      </c>
      <c r="G312" s="30" t="n"/>
    </row>
    <row r="314" ht="76.5" customHeight="1">
      <c r="A314" s="8" t="inlineStr">
        <is>
          <t>11.10</t>
        </is>
      </c>
      <c r="B314"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314" s="9" t="n"/>
      <c r="D314" s="9" t="n"/>
      <c r="E314" s="9" t="n"/>
      <c r="F314" s="9" t="n"/>
      <c r="G314" s="9" t="n"/>
    </row>
    <row r="315" ht="18.5" customHeight="1">
      <c r="A315" s="18" t="inlineStr">
        <is>
          <t>11.10.2</t>
        </is>
      </c>
      <c r="B315" s="19" t="inlineStr">
        <is>
          <t>Light shade pigment with white cement</t>
        </is>
      </c>
      <c r="C315" s="20" t="n"/>
      <c r="D315" s="20" t="n"/>
      <c r="E315" s="20" t="n"/>
      <c r="F315" s="20" t="n"/>
      <c r="G315" s="20" t="n"/>
    </row>
    <row r="316">
      <c r="A316" s="21" t="inlineStr">
        <is>
          <t>Details of cost for 10 sqm   |   Source: CivilDAR_2019_Vol_1.pdf, page 733</t>
        </is>
      </c>
    </row>
    <row r="317">
      <c r="A317" s="5" t="inlineStr">
        <is>
          <t>Code</t>
        </is>
      </c>
      <c r="B317" s="5" t="inlineStr">
        <is>
          <t>Description</t>
        </is>
      </c>
      <c r="C317" s="5" t="inlineStr">
        <is>
          <t>Unit</t>
        </is>
      </c>
      <c r="D317" s="5" t="inlineStr">
        <is>
          <t>Quantity</t>
        </is>
      </c>
      <c r="E317" s="5" t="inlineStr">
        <is>
          <t>Rate (Rs.)</t>
        </is>
      </c>
      <c r="F317" s="5" t="inlineStr">
        <is>
          <t>Amount (Rs.)</t>
        </is>
      </c>
      <c r="G317" s="5" t="inlineStr">
        <is>
          <t>Note</t>
        </is>
      </c>
    </row>
    <row r="318">
      <c r="A318" s="7" t="inlineStr">
        <is>
          <t>11.10.1</t>
        </is>
      </c>
      <c r="B318" s="11" t="inlineStr">
        <is>
          <t>Rate as per item 11.10.1 - 40 mm thick marble chips flooring, rubbed and polished to granolithic finish, under layer 31 mm thick cemen...</t>
        </is>
      </c>
      <c r="C318" s="22" t="inlineStr">
        <is>
          <t>sqm</t>
        </is>
      </c>
      <c r="D318" s="23" t="n">
        <v>10</v>
      </c>
      <c r="E318" s="24" t="n">
        <v>876.9</v>
      </c>
      <c r="F318" s="24">
        <f>D318*E318</f>
        <v/>
      </c>
      <c r="G318" s="22" t="n"/>
    </row>
    <row r="319">
      <c r="A319" s="22" t="inlineStr">
        <is>
          <t>0875</t>
        </is>
      </c>
      <c r="B319" s="11" t="inlineStr">
        <is>
          <t>Red, chocolate, orange, buff or yellow (red oxide of iron) light shade pigment</t>
        </is>
      </c>
      <c r="C319" s="22" t="inlineStr">
        <is>
          <t>kilogram</t>
        </is>
      </c>
      <c r="D319" s="23" t="n">
        <v>4.05</v>
      </c>
      <c r="E319" s="24" t="n">
        <v>60</v>
      </c>
      <c r="F319" s="24">
        <f>D319*E319</f>
        <v/>
      </c>
      <c r="G319" s="22" t="n"/>
    </row>
    <row r="320">
      <c r="A320" s="22" t="inlineStr">
        <is>
          <t>0874</t>
        </is>
      </c>
      <c r="B320" s="11" t="inlineStr">
        <is>
          <t>Black colour dark shade pigment</t>
        </is>
      </c>
      <c r="C320" s="22" t="inlineStr">
        <is>
          <t>kilogram</t>
        </is>
      </c>
      <c r="D320" s="23" t="n">
        <v>-4.05</v>
      </c>
      <c r="E320" s="24" t="n">
        <v>70</v>
      </c>
      <c r="F320" s="24">
        <f>D320*E320</f>
        <v/>
      </c>
      <c r="G320" s="22" t="n"/>
    </row>
    <row r="321">
      <c r="A321" s="22" t="inlineStr">
        <is>
          <t>0368</t>
        </is>
      </c>
      <c r="B321" s="11" t="inlineStr">
        <is>
          <t>White Cement</t>
        </is>
      </c>
      <c r="C321" s="22" t="inlineStr">
        <is>
          <t>tonne</t>
        </is>
      </c>
      <c r="D321" s="23" t="n">
        <v>0.0578</v>
      </c>
      <c r="E321" s="24" t="n">
        <v>11200</v>
      </c>
      <c r="F321" s="24">
        <f>D321*E321</f>
        <v/>
      </c>
      <c r="G321" s="22" t="n"/>
    </row>
    <row r="322">
      <c r="A322" s="22" t="inlineStr">
        <is>
          <t>0367</t>
        </is>
      </c>
      <c r="B322" s="11" t="inlineStr">
        <is>
          <t>Portland Cement</t>
        </is>
      </c>
      <c r="C322" s="22" t="inlineStr">
        <is>
          <t>tonne</t>
        </is>
      </c>
      <c r="D322" s="23" t="n">
        <v>-0.0578</v>
      </c>
      <c r="E322" s="24" t="n">
        <v>4940</v>
      </c>
      <c r="F322" s="24">
        <f>D322*E322</f>
        <v/>
      </c>
      <c r="G322" s="22" t="n"/>
    </row>
    <row r="323">
      <c r="A323" s="8" t="inlineStr">
        <is>
          <t>Calculated W - SUM of the Amount column above</t>
        </is>
      </c>
      <c r="B323" s="9" t="n"/>
      <c r="C323" s="9" t="n"/>
      <c r="D323" s="9" t="n"/>
      <c r="E323" s="9" t="n"/>
      <c r="F323" s="25">
        <f>SUM(F318:F322)</f>
        <v/>
      </c>
      <c r="G323" s="9" t="n"/>
    </row>
    <row r="324">
      <c r="A324" s="26" t="inlineStr">
        <is>
          <t>W as printed in the DAR</t>
        </is>
      </c>
      <c r="B324" s="22" t="n"/>
      <c r="C324" s="22" t="n"/>
      <c r="D324" s="22" t="n"/>
      <c r="E324" s="22" t="n"/>
      <c r="F324" s="27" t="n">
        <v>9090.33</v>
      </c>
      <c r="G324" s="22" t="n"/>
    </row>
    <row r="325">
      <c r="A325" s="26" t="inlineStr">
        <is>
          <t>Difference (calculated - printed)</t>
        </is>
      </c>
      <c r="B325" s="22" t="n"/>
      <c r="C325" s="22" t="n"/>
      <c r="D325" s="22" t="n"/>
      <c r="E325" s="22" t="n"/>
      <c r="F325" s="27">
        <f>F323-F324</f>
        <v/>
      </c>
      <c r="G325" s="22" t="n"/>
    </row>
    <row r="326">
      <c r="A326" s="29" t="inlineStr">
        <is>
          <t>SAY (Rs.) - final DAR rate as printed (fixed value, not computed)</t>
        </is>
      </c>
      <c r="B326" s="30" t="n"/>
      <c r="C326" s="30" t="n"/>
      <c r="D326" s="30" t="n"/>
      <c r="E326" s="30" t="n"/>
      <c r="F326" s="31" t="n">
        <v>919.9</v>
      </c>
      <c r="G326" s="30" t="n"/>
    </row>
    <row r="328" ht="76.5" customHeight="1">
      <c r="A328" s="8" t="inlineStr">
        <is>
          <t>11.10</t>
        </is>
      </c>
      <c r="B328"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328" s="9" t="n"/>
      <c r="D328" s="9" t="n"/>
      <c r="E328" s="9" t="n"/>
      <c r="F328" s="9" t="n"/>
      <c r="G328" s="9" t="n"/>
    </row>
    <row r="329" ht="18.5" customHeight="1">
      <c r="A329" s="18" t="inlineStr">
        <is>
          <t>11.10.3</t>
        </is>
      </c>
      <c r="B329" s="19" t="inlineStr">
        <is>
          <t>Medium shade pigment with 50% white cement and 50% ordinary cement</t>
        </is>
      </c>
      <c r="C329" s="20" t="n"/>
      <c r="D329" s="20" t="n"/>
      <c r="E329" s="20" t="n"/>
      <c r="F329" s="20" t="n"/>
      <c r="G329" s="20" t="n"/>
    </row>
    <row r="330">
      <c r="A330" s="21" t="inlineStr">
        <is>
          <t>Details of cost for 10 sqm   |   Source: CivilDAR_2019_Vol_1.pdf, page 734</t>
        </is>
      </c>
    </row>
    <row r="331">
      <c r="A331" s="5" t="inlineStr">
        <is>
          <t>Code</t>
        </is>
      </c>
      <c r="B331" s="5" t="inlineStr">
        <is>
          <t>Description</t>
        </is>
      </c>
      <c r="C331" s="5" t="inlineStr">
        <is>
          <t>Unit</t>
        </is>
      </c>
      <c r="D331" s="5" t="inlineStr">
        <is>
          <t>Quantity</t>
        </is>
      </c>
      <c r="E331" s="5" t="inlineStr">
        <is>
          <t>Rate (Rs.)</t>
        </is>
      </c>
      <c r="F331" s="5" t="inlineStr">
        <is>
          <t>Amount (Rs.)</t>
        </is>
      </c>
      <c r="G331" s="5" t="inlineStr">
        <is>
          <t>Note</t>
        </is>
      </c>
    </row>
    <row r="332">
      <c r="A332" s="7" t="inlineStr">
        <is>
          <t>11.10.1</t>
        </is>
      </c>
      <c r="B332" s="11" t="inlineStr">
        <is>
          <t>Rate as per item 11.10.1 - 40 mm thick marble chips flooring, rubbed and polished to granolithic finish, under layer 31 mm thick cemen...</t>
        </is>
      </c>
      <c r="C332" s="22" t="inlineStr">
        <is>
          <t>sqm</t>
        </is>
      </c>
      <c r="D332" s="23" t="n">
        <v>10</v>
      </c>
      <c r="E332" s="24" t="n">
        <v>876.9</v>
      </c>
      <c r="F332" s="24">
        <f>D332*E332</f>
        <v/>
      </c>
      <c r="G332" s="22" t="n"/>
    </row>
    <row r="333">
      <c r="A333" s="22" t="inlineStr">
        <is>
          <t>0876</t>
        </is>
      </c>
      <c r="B333" s="11" t="inlineStr">
        <is>
          <t>Green or blue medium shade pigment</t>
        </is>
      </c>
      <c r="C333" s="22" t="inlineStr">
        <is>
          <t>kilogram</t>
        </is>
      </c>
      <c r="D333" s="23" t="n">
        <v>4.05</v>
      </c>
      <c r="E333" s="24" t="n">
        <v>56</v>
      </c>
      <c r="F333" s="24">
        <f>D333*E333</f>
        <v/>
      </c>
      <c r="G333" s="22" t="n"/>
    </row>
    <row r="334">
      <c r="A334" s="22" t="inlineStr">
        <is>
          <t>0874</t>
        </is>
      </c>
      <c r="B334" s="11" t="inlineStr">
        <is>
          <t>Black colour dark shade pigment</t>
        </is>
      </c>
      <c r="C334" s="22" t="inlineStr">
        <is>
          <t>kilogram</t>
        </is>
      </c>
      <c r="D334" s="23" t="n">
        <v>-4.05</v>
      </c>
      <c r="E334" s="24" t="n">
        <v>70</v>
      </c>
      <c r="F334" s="24">
        <f>D334*E334</f>
        <v/>
      </c>
      <c r="G334" s="22" t="n"/>
    </row>
    <row r="335">
      <c r="A335" s="22" t="inlineStr">
        <is>
          <t>0368</t>
        </is>
      </c>
      <c r="B335" s="11" t="inlineStr">
        <is>
          <t>White Cement</t>
        </is>
      </c>
      <c r="C335" s="22" t="inlineStr">
        <is>
          <t>tonne</t>
        </is>
      </c>
      <c r="D335" s="23" t="n">
        <v>0.0289</v>
      </c>
      <c r="E335" s="24" t="n">
        <v>11200</v>
      </c>
      <c r="F335" s="24">
        <f>D335*E335</f>
        <v/>
      </c>
      <c r="G335" s="22" t="n"/>
    </row>
    <row r="336">
      <c r="A336" s="22" t="inlineStr">
        <is>
          <t>0367</t>
        </is>
      </c>
      <c r="B336" s="11" t="inlineStr">
        <is>
          <t>Portland Cement</t>
        </is>
      </c>
      <c r="C336" s="22" t="inlineStr">
        <is>
          <t>tonne</t>
        </is>
      </c>
      <c r="D336" s="23" t="n">
        <v>-0.0289</v>
      </c>
      <c r="E336" s="24" t="n">
        <v>4940</v>
      </c>
      <c r="F336" s="24">
        <f>D336*E336</f>
        <v/>
      </c>
      <c r="G336" s="22" t="n"/>
    </row>
    <row r="337">
      <c r="A337" s="8" t="inlineStr">
        <is>
          <t>Calculated W - SUM of the Amount column above</t>
        </is>
      </c>
      <c r="B337" s="9" t="n"/>
      <c r="C337" s="9" t="n"/>
      <c r="D337" s="9" t="n"/>
      <c r="E337" s="9" t="n"/>
      <c r="F337" s="25">
        <f>SUM(F332:F336)</f>
        <v/>
      </c>
      <c r="G337" s="9" t="n"/>
    </row>
    <row r="338">
      <c r="A338" s="26" t="inlineStr">
        <is>
          <t>W as printed in the DAR</t>
        </is>
      </c>
      <c r="B338" s="22" t="n"/>
      <c r="C338" s="22" t="n"/>
      <c r="D338" s="22" t="n"/>
      <c r="E338" s="22" t="n"/>
      <c r="F338" s="27" t="n">
        <v>8893.209999999999</v>
      </c>
      <c r="G338" s="22" t="n"/>
    </row>
    <row r="339">
      <c r="A339" s="26" t="inlineStr">
        <is>
          <t>Difference (calculated - printed)</t>
        </is>
      </c>
      <c r="B339" s="22" t="n"/>
      <c r="C339" s="22" t="n"/>
      <c r="D339" s="22" t="n"/>
      <c r="E339" s="22" t="n"/>
      <c r="F339" s="27">
        <f>F337-F338</f>
        <v/>
      </c>
      <c r="G339" s="22" t="n"/>
    </row>
    <row r="340">
      <c r="A340" s="29" t="inlineStr">
        <is>
          <t>SAY (Rs.) - final DAR rate as printed (fixed value, not computed)</t>
        </is>
      </c>
      <c r="B340" s="30" t="n"/>
      <c r="C340" s="30" t="n"/>
      <c r="D340" s="30" t="n"/>
      <c r="E340" s="30" t="n"/>
      <c r="F340" s="31" t="n">
        <v>893.5</v>
      </c>
      <c r="G340" s="30" t="n"/>
    </row>
    <row r="342" ht="76.5" customHeight="1">
      <c r="A342" s="8" t="inlineStr">
        <is>
          <t>11.10</t>
        </is>
      </c>
      <c r="B342"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342" s="9" t="n"/>
      <c r="D342" s="9" t="n"/>
      <c r="E342" s="9" t="n"/>
      <c r="F342" s="9" t="n"/>
      <c r="G342" s="9" t="n"/>
    </row>
    <row r="343" ht="18.5" customHeight="1">
      <c r="A343" s="18" t="inlineStr">
        <is>
          <t>11.10.4</t>
        </is>
      </c>
      <c r="B343" s="19" t="inlineStr">
        <is>
          <t>White cement without any pigment</t>
        </is>
      </c>
      <c r="C343" s="20" t="n"/>
      <c r="D343" s="20" t="n"/>
      <c r="E343" s="20" t="n"/>
      <c r="F343" s="20" t="n"/>
      <c r="G343" s="20" t="n"/>
    </row>
    <row r="344">
      <c r="A344" s="21" t="inlineStr">
        <is>
          <t>Details of cost for 10 sqm   |   Source: CivilDAR_2019_Vol_1.pdf, page 735</t>
        </is>
      </c>
    </row>
    <row r="345">
      <c r="A345" s="5" t="inlineStr">
        <is>
          <t>Code</t>
        </is>
      </c>
      <c r="B345" s="5" t="inlineStr">
        <is>
          <t>Description</t>
        </is>
      </c>
      <c r="C345" s="5" t="inlineStr">
        <is>
          <t>Unit</t>
        </is>
      </c>
      <c r="D345" s="5" t="inlineStr">
        <is>
          <t>Quantity</t>
        </is>
      </c>
      <c r="E345" s="5" t="inlineStr">
        <is>
          <t>Rate (Rs.)</t>
        </is>
      </c>
      <c r="F345" s="5" t="inlineStr">
        <is>
          <t>Amount (Rs.)</t>
        </is>
      </c>
      <c r="G345" s="5" t="inlineStr">
        <is>
          <t>Note</t>
        </is>
      </c>
    </row>
    <row r="346">
      <c r="A346" s="22" t="inlineStr">
        <is>
          <t>0296</t>
        </is>
      </c>
      <c r="B346" s="11" t="inlineStr">
        <is>
          <t>Stone Aggregate (Single size) : 12.5 mm nominal size</t>
        </is>
      </c>
      <c r="C346" s="22" t="inlineStr">
        <is>
          <t>cum</t>
        </is>
      </c>
      <c r="D346" s="23" t="n">
        <v>0.21</v>
      </c>
      <c r="E346" s="24" t="n">
        <v>1350</v>
      </c>
      <c r="F346" s="24">
        <f>D346*E346</f>
        <v/>
      </c>
      <c r="G346" s="22" t="n"/>
    </row>
    <row r="347">
      <c r="A347" s="22" t="inlineStr">
        <is>
          <t>0297</t>
        </is>
      </c>
      <c r="B347" s="11" t="inlineStr">
        <is>
          <t>Stone Aggregate (Single size) : 10 mm nominal size</t>
        </is>
      </c>
      <c r="C347" s="22" t="inlineStr">
        <is>
          <t>cum</t>
        </is>
      </c>
      <c r="D347" s="23" t="n">
        <v>0.07000000000000001</v>
      </c>
      <c r="E347" s="24" t="n">
        <v>1350</v>
      </c>
      <c r="F347" s="24">
        <f>D347*E347</f>
        <v/>
      </c>
      <c r="G347" s="22" t="n"/>
    </row>
    <row r="348">
      <c r="A348" s="22" t="inlineStr">
        <is>
          <t>2202</t>
        </is>
      </c>
      <c r="B348" s="11" t="inlineStr">
        <is>
          <t>Carriage of Stone aggregate below 40 mm nominal size</t>
        </is>
      </c>
      <c r="C348" s="22" t="inlineStr">
        <is>
          <t>cum</t>
        </is>
      </c>
      <c r="D348" s="23" t="n">
        <v>0.28</v>
      </c>
      <c r="E348" s="24" t="n">
        <v>103.77</v>
      </c>
      <c r="F348" s="24">
        <f>D348*E348</f>
        <v/>
      </c>
      <c r="G348" s="22" t="n"/>
    </row>
    <row r="349">
      <c r="A349" s="22" t="inlineStr">
        <is>
          <t>0982</t>
        </is>
      </c>
      <c r="B349" s="11" t="inlineStr">
        <is>
          <t>Coarse sand (zone III)</t>
        </is>
      </c>
      <c r="C349" s="22" t="inlineStr">
        <is>
          <t>cum</t>
        </is>
      </c>
      <c r="D349" s="23" t="n">
        <v>0.14</v>
      </c>
      <c r="E349" s="24" t="n">
        <v>1350</v>
      </c>
      <c r="F349" s="24">
        <f>D349*E349</f>
        <v/>
      </c>
      <c r="G349" s="22" t="n"/>
    </row>
    <row r="350">
      <c r="A350" s="22" t="inlineStr">
        <is>
          <t>2203</t>
        </is>
      </c>
      <c r="B350" s="11" t="inlineStr">
        <is>
          <t>Carriage of Coarse sand</t>
        </is>
      </c>
      <c r="C350" s="22" t="inlineStr">
        <is>
          <t>cum</t>
        </is>
      </c>
      <c r="D350" s="23" t="n">
        <v>0.14</v>
      </c>
      <c r="E350" s="24" t="n">
        <v>103.77</v>
      </c>
      <c r="F350" s="24">
        <f>D350*E350</f>
        <v/>
      </c>
      <c r="G350" s="22" t="n"/>
    </row>
    <row r="351">
      <c r="A351" s="22" t="inlineStr">
        <is>
          <t>0367</t>
        </is>
      </c>
      <c r="B351" s="11" t="inlineStr">
        <is>
          <t>Portland Cement</t>
        </is>
      </c>
      <c r="C351" s="22" t="inlineStr">
        <is>
          <t>tonne</t>
        </is>
      </c>
      <c r="D351" s="23" t="n">
        <v>0.1005</v>
      </c>
      <c r="E351" s="24" t="n">
        <v>4940</v>
      </c>
      <c r="F351" s="24">
        <f>D351*E351</f>
        <v/>
      </c>
      <c r="G351" s="22" t="n"/>
    </row>
    <row r="352">
      <c r="A352" s="22" t="inlineStr">
        <is>
          <t>0367</t>
        </is>
      </c>
      <c r="B352" s="11" t="inlineStr">
        <is>
          <t>Portland Cement</t>
        </is>
      </c>
      <c r="C352" s="22" t="inlineStr">
        <is>
          <t>tonne</t>
        </is>
      </c>
      <c r="D352" s="23" t="n">
        <v>0.02</v>
      </c>
      <c r="E352" s="24" t="n">
        <v>4940</v>
      </c>
      <c r="F352" s="24">
        <f>D352*E352</f>
        <v/>
      </c>
      <c r="G352" s="22" t="n"/>
    </row>
    <row r="353">
      <c r="A353" s="22" t="inlineStr">
        <is>
          <t>2209</t>
        </is>
      </c>
      <c r="B353" s="11" t="inlineStr">
        <is>
          <t>Carriage of Cement</t>
        </is>
      </c>
      <c r="C353" s="22" t="inlineStr">
        <is>
          <t>tonne</t>
        </is>
      </c>
      <c r="D353" s="23" t="n">
        <v>0.1205</v>
      </c>
      <c r="E353" s="24" t="n">
        <v>92.23999999999999</v>
      </c>
      <c r="F353" s="24">
        <f>D353*E353</f>
        <v/>
      </c>
      <c r="G353" s="22" t="n"/>
    </row>
    <row r="354">
      <c r="A354" s="22" t="inlineStr">
        <is>
          <t>0788</t>
        </is>
      </c>
      <c r="B354" s="11" t="inlineStr">
        <is>
          <t>Marble chips large size above 4 mm White &amp; black</t>
        </is>
      </c>
      <c r="C354" s="22" t="inlineStr">
        <is>
          <t>quintal</t>
        </is>
      </c>
      <c r="D354" s="23" t="n">
        <v>1.4</v>
      </c>
      <c r="E354" s="24" t="n">
        <v>250</v>
      </c>
      <c r="F354" s="24">
        <f>D354*E354</f>
        <v/>
      </c>
      <c r="G354" s="22" t="n"/>
    </row>
    <row r="355">
      <c r="A355" s="22" t="inlineStr">
        <is>
          <t>2268</t>
        </is>
      </c>
      <c r="B355" s="11" t="inlineStr">
        <is>
          <t>Carriage of Marble dust and marble chips</t>
        </is>
      </c>
      <c r="C355" s="22" t="inlineStr">
        <is>
          <t>cum</t>
        </is>
      </c>
      <c r="D355" s="23" t="n">
        <v>0.082</v>
      </c>
      <c r="E355" s="24" t="n">
        <v>103.77</v>
      </c>
      <c r="F355" s="24">
        <f>D355*E355</f>
        <v/>
      </c>
      <c r="G355" s="22" t="n"/>
    </row>
    <row r="356">
      <c r="A356" s="22" t="inlineStr">
        <is>
          <t>0368</t>
        </is>
      </c>
      <c r="B356" s="11" t="inlineStr">
        <is>
          <t>White Cement</t>
        </is>
      </c>
      <c r="C356" s="22" t="inlineStr">
        <is>
          <t>tonne</t>
        </is>
      </c>
      <c r="D356" s="23" t="n">
        <v>0.0578</v>
      </c>
      <c r="E356" s="24" t="n">
        <v>11200</v>
      </c>
      <c r="F356" s="24">
        <f>D356*E356</f>
        <v/>
      </c>
      <c r="G356" s="22" t="n"/>
    </row>
    <row r="357">
      <c r="A357" s="22" t="inlineStr">
        <is>
          <t>2209</t>
        </is>
      </c>
      <c r="B357" s="11" t="inlineStr">
        <is>
          <t>Carriage of Cement</t>
        </is>
      </c>
      <c r="C357" s="22" t="inlineStr">
        <is>
          <t>tonne</t>
        </is>
      </c>
      <c r="D357" s="23" t="n">
        <v>0.0578</v>
      </c>
      <c r="E357" s="24" t="n">
        <v>92.23999999999999</v>
      </c>
      <c r="F357" s="24">
        <f>D357*E357</f>
        <v/>
      </c>
      <c r="G357" s="22" t="n"/>
    </row>
    <row r="358">
      <c r="A358" s="22" t="inlineStr">
        <is>
          <t>0784</t>
        </is>
      </c>
      <c r="B358" s="11" t="inlineStr">
        <is>
          <t>Marble dust/ powder</t>
        </is>
      </c>
      <c r="C358" s="22" t="inlineStr">
        <is>
          <t>cum</t>
        </is>
      </c>
      <c r="D358" s="23" t="n">
        <v>0.012</v>
      </c>
      <c r="E358" s="24" t="n">
        <v>1130</v>
      </c>
      <c r="F358" s="24">
        <f>D358*E358</f>
        <v/>
      </c>
      <c r="G358" s="22" t="n"/>
    </row>
    <row r="359">
      <c r="A359" s="22" t="inlineStr">
        <is>
          <t>0124</t>
        </is>
      </c>
      <c r="B359" s="11" t="inlineStr">
        <is>
          <t>Mason (brick layer) 2nd class</t>
        </is>
      </c>
      <c r="C359" s="22" t="inlineStr">
        <is>
          <t>day</t>
        </is>
      </c>
      <c r="D359" s="23" t="n">
        <v>1.79</v>
      </c>
      <c r="E359" s="24" t="n">
        <v>679</v>
      </c>
      <c r="F359" s="24">
        <f>D359*E359</f>
        <v/>
      </c>
      <c r="G359" s="22" t="n"/>
    </row>
    <row r="360">
      <c r="A360" s="22" t="inlineStr">
        <is>
          <t>0114</t>
        </is>
      </c>
      <c r="B360" s="11" t="inlineStr">
        <is>
          <t>Beldar</t>
        </is>
      </c>
      <c r="C360" s="22" t="inlineStr">
        <is>
          <t>day</t>
        </is>
      </c>
      <c r="D360" s="23" t="n">
        <v>1.99</v>
      </c>
      <c r="E360" s="24" t="n">
        <v>558</v>
      </c>
      <c r="F360" s="24">
        <f>D360*E360</f>
        <v/>
      </c>
      <c r="G360" s="22" t="n"/>
    </row>
    <row r="361">
      <c r="A361" s="22" t="inlineStr">
        <is>
          <t>0101</t>
        </is>
      </c>
      <c r="B361" s="11" t="inlineStr">
        <is>
          <t>Bhisti</t>
        </is>
      </c>
      <c r="C361" s="22" t="inlineStr">
        <is>
          <t>day</t>
        </is>
      </c>
      <c r="D361" s="23" t="n">
        <v>1.04</v>
      </c>
      <c r="E361" s="24" t="n">
        <v>617</v>
      </c>
      <c r="F361" s="24">
        <f>D361*E361</f>
        <v/>
      </c>
      <c r="G361" s="22" t="n"/>
    </row>
    <row r="362">
      <c r="A362" s="22" t="inlineStr">
        <is>
          <t>0139</t>
        </is>
      </c>
      <c r="B362" s="11" t="inlineStr">
        <is>
          <t>Skilled Beldar (for floor rubbing etc.)</t>
        </is>
      </c>
      <c r="C362" s="22" t="inlineStr">
        <is>
          <t>day</t>
        </is>
      </c>
      <c r="D362" s="23" t="n">
        <v>1</v>
      </c>
      <c r="E362" s="24" t="n">
        <v>617</v>
      </c>
      <c r="F362" s="24">
        <f>D362*E362</f>
        <v/>
      </c>
      <c r="G362" s="22" t="n"/>
    </row>
    <row r="363">
      <c r="A363" s="22" t="inlineStr">
        <is>
          <t>0127</t>
        </is>
      </c>
      <c r="B363" s="11" t="inlineStr">
        <is>
          <t>Driver (for Road Roller, Concrete Mixer, Truck etc.)</t>
        </is>
      </c>
      <c r="C363" s="22" t="inlineStr">
        <is>
          <t>day</t>
        </is>
      </c>
      <c r="D363" s="23" t="n">
        <v>0.03</v>
      </c>
      <c r="E363" s="24" t="n">
        <v>738</v>
      </c>
      <c r="F363" s="24">
        <f>D363*E363</f>
        <v/>
      </c>
      <c r="G363" s="22" t="n"/>
    </row>
    <row r="364">
      <c r="A364" s="22" t="inlineStr">
        <is>
          <t>0002</t>
        </is>
      </c>
      <c r="B364" s="11" t="inlineStr">
        <is>
          <t>Hire charges of Concrete Mixer 0.25 to 0.40 cum with hooper</t>
        </is>
      </c>
      <c r="C364" s="22" t="inlineStr">
        <is>
          <t>day</t>
        </is>
      </c>
      <c r="D364" s="23" t="n">
        <v>0.03</v>
      </c>
      <c r="E364" s="24" t="n">
        <v>800</v>
      </c>
      <c r="F364" s="24">
        <f>D364*E364</f>
        <v/>
      </c>
      <c r="G364" s="22" t="n"/>
    </row>
    <row r="365">
      <c r="A365" s="22" t="inlineStr">
        <is>
          <t>0013</t>
        </is>
      </c>
      <c r="B365" s="11" t="inlineStr">
        <is>
          <t>Machine for rubbing of floors</t>
        </is>
      </c>
      <c r="C365" s="22" t="inlineStr">
        <is>
          <t>day</t>
        </is>
      </c>
      <c r="D365" s="23" t="n">
        <v>1.6</v>
      </c>
      <c r="E365" s="24" t="n">
        <v>300</v>
      </c>
      <c r="F365" s="24">
        <f>D365*E365</f>
        <v/>
      </c>
      <c r="G365" s="22" t="n"/>
    </row>
    <row r="366">
      <c r="A366" s="22" t="inlineStr">
        <is>
          <t>9999</t>
        </is>
      </c>
      <c r="B366" s="11" t="inlineStr">
        <is>
          <t>Sundries</t>
        </is>
      </c>
      <c r="C366" s="22" t="inlineStr">
        <is>
          <t>L.S.</t>
        </is>
      </c>
      <c r="D366" s="23" t="n">
        <v>161.46</v>
      </c>
      <c r="E366" s="24" t="n">
        <v>2</v>
      </c>
      <c r="F366" s="24">
        <f>D366*E366</f>
        <v/>
      </c>
      <c r="G366" s="22" t="n"/>
    </row>
    <row r="367">
      <c r="A367" s="8" t="inlineStr">
        <is>
          <t>Calculated W - SUM of the Amount column above</t>
        </is>
      </c>
      <c r="B367" s="9" t="n"/>
      <c r="C367" s="9" t="n"/>
      <c r="D367" s="9" t="n"/>
      <c r="E367" s="9" t="n"/>
      <c r="F367" s="25">
        <f>SUM(F346:F366)</f>
        <v/>
      </c>
      <c r="G367" s="9" t="n"/>
    </row>
    <row r="368">
      <c r="A368" s="26" t="inlineStr">
        <is>
          <t>W as printed in the DAR</t>
        </is>
      </c>
      <c r="B368" s="22" t="n"/>
      <c r="C368" s="22" t="n"/>
      <c r="D368" s="22" t="n"/>
      <c r="E368" s="22" t="n"/>
      <c r="F368" s="27" t="n">
        <v>6675.3</v>
      </c>
      <c r="G368" s="22" t="n"/>
    </row>
    <row r="369">
      <c r="A369" s="26" t="inlineStr">
        <is>
          <t>Difference (calculated - printed)</t>
        </is>
      </c>
      <c r="B369" s="22" t="n"/>
      <c r="C369" s="22" t="n"/>
      <c r="D369" s="22" t="n"/>
      <c r="E369" s="22" t="n"/>
      <c r="F369" s="27">
        <f>F367-F368</f>
        <v/>
      </c>
      <c r="G369" s="22" t="n"/>
    </row>
    <row r="370">
      <c r="A370" s="29" t="inlineStr">
        <is>
          <t>SAY (Rs.) - final DAR rate as printed (fixed value, not computed)</t>
        </is>
      </c>
      <c r="B370" s="30" t="n"/>
      <c r="C370" s="30" t="n"/>
      <c r="D370" s="30" t="n"/>
      <c r="E370" s="30" t="n"/>
      <c r="F370" s="31" t="n">
        <v>893.1</v>
      </c>
      <c r="G370" s="30" t="n"/>
    </row>
    <row r="372" ht="76.5" customHeight="1">
      <c r="A372" s="8" t="inlineStr">
        <is>
          <t>11.10</t>
        </is>
      </c>
      <c r="B372"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372" s="9" t="n"/>
      <c r="D372" s="9" t="n"/>
      <c r="E372" s="9" t="n"/>
      <c r="F372" s="9" t="n"/>
      <c r="G372" s="9" t="n"/>
    </row>
    <row r="373" ht="18.5" customHeight="1">
      <c r="A373" s="18" t="inlineStr">
        <is>
          <t>11.10.5</t>
        </is>
      </c>
      <c r="B373" s="19" t="inlineStr">
        <is>
          <t>Light shade pigment with ordinary cement</t>
        </is>
      </c>
      <c r="C373" s="20" t="n"/>
      <c r="D373" s="20" t="n"/>
      <c r="E373" s="20" t="n"/>
      <c r="F373" s="20" t="n"/>
      <c r="G373" s="20" t="n"/>
    </row>
    <row r="374">
      <c r="A374" s="21" t="inlineStr">
        <is>
          <t>Details of cost for 10 sqm   |   Source: CivilDAR_2019_Vol_1.pdf, page 735</t>
        </is>
      </c>
    </row>
    <row r="375">
      <c r="A375" s="5" t="inlineStr">
        <is>
          <t>Code</t>
        </is>
      </c>
      <c r="B375" s="5" t="inlineStr">
        <is>
          <t>Description</t>
        </is>
      </c>
      <c r="C375" s="5" t="inlineStr">
        <is>
          <t>Unit</t>
        </is>
      </c>
      <c r="D375" s="5" t="inlineStr">
        <is>
          <t>Quantity</t>
        </is>
      </c>
      <c r="E375" s="5" t="inlineStr">
        <is>
          <t>Rate (Rs.)</t>
        </is>
      </c>
      <c r="F375" s="5" t="inlineStr">
        <is>
          <t>Amount (Rs.)</t>
        </is>
      </c>
      <c r="G375" s="5" t="inlineStr">
        <is>
          <t>Note</t>
        </is>
      </c>
    </row>
    <row r="376">
      <c r="A376" s="7" t="inlineStr">
        <is>
          <t>11.10.1</t>
        </is>
      </c>
      <c r="B376" s="11" t="inlineStr">
        <is>
          <t>Rate as per item 11.10.1 - 40 mm thick marble chips flooring, rubbed and polished to granolithic finish, under layer 31 mm thick cemen...</t>
        </is>
      </c>
      <c r="C376" s="22" t="inlineStr">
        <is>
          <t>sqm</t>
        </is>
      </c>
      <c r="D376" s="23" t="n">
        <v>10</v>
      </c>
      <c r="E376" s="24" t="n">
        <v>876.9</v>
      </c>
      <c r="F376" s="24">
        <f>D376*E376</f>
        <v/>
      </c>
      <c r="G376" s="22" t="n"/>
    </row>
    <row r="377">
      <c r="A377" s="22" t="inlineStr">
        <is>
          <t>0875</t>
        </is>
      </c>
      <c r="B377" s="11" t="inlineStr">
        <is>
          <t>Red, chocolate, orange, buff or yellow (red oxide of iron) light shade pigment</t>
        </is>
      </c>
      <c r="C377" s="22" t="inlineStr">
        <is>
          <t>kilogram</t>
        </is>
      </c>
      <c r="D377" s="23" t="n">
        <v>2.84</v>
      </c>
      <c r="E377" s="24" t="n">
        <v>60</v>
      </c>
      <c r="F377" s="24">
        <f>D377*E377</f>
        <v/>
      </c>
      <c r="G377" s="22" t="n"/>
    </row>
    <row r="378">
      <c r="A378" s="22" t="inlineStr">
        <is>
          <t>0874</t>
        </is>
      </c>
      <c r="B378" s="11" t="inlineStr">
        <is>
          <t>Black colour dark shade pigment</t>
        </is>
      </c>
      <c r="C378" s="22" t="inlineStr">
        <is>
          <t>kilogram</t>
        </is>
      </c>
      <c r="D378" s="23" t="n">
        <v>-2.84</v>
      </c>
      <c r="E378" s="24" t="n">
        <v>70</v>
      </c>
      <c r="F378" s="24">
        <f>D378*E378</f>
        <v/>
      </c>
      <c r="G378" s="22" t="n"/>
    </row>
    <row r="379">
      <c r="A379" s="8" t="inlineStr">
        <is>
          <t>Calculated W - SUM of the Amount column above</t>
        </is>
      </c>
      <c r="B379" s="9" t="n"/>
      <c r="C379" s="9" t="n"/>
      <c r="D379" s="9" t="n"/>
      <c r="E379" s="9" t="n"/>
      <c r="F379" s="25">
        <f>SUM(F376:F378)</f>
        <v/>
      </c>
      <c r="G379" s="9" t="n"/>
    </row>
    <row r="380">
      <c r="A380" s="26" t="inlineStr">
        <is>
          <t>W as printed in the DAR</t>
        </is>
      </c>
      <c r="B380" s="22" t="n"/>
      <c r="C380" s="22" t="n"/>
      <c r="D380" s="22" t="n"/>
      <c r="E380" s="22" t="n"/>
      <c r="F380" s="27" t="n">
        <v>8740.6</v>
      </c>
      <c r="G380" s="22" t="n"/>
    </row>
    <row r="381">
      <c r="A381" s="26" t="inlineStr">
        <is>
          <t>Difference (calculated - printed)</t>
        </is>
      </c>
      <c r="B381" s="22" t="n"/>
      <c r="C381" s="22" t="n"/>
      <c r="D381" s="22" t="n"/>
      <c r="E381" s="22" t="n"/>
      <c r="F381" s="27">
        <f>F379-F380</f>
        <v/>
      </c>
      <c r="G381" s="22" t="n"/>
    </row>
    <row r="382">
      <c r="A382" s="29" t="inlineStr">
        <is>
          <t>SAY (Rs.) - final DAR rate as printed (fixed value, not computed)</t>
        </is>
      </c>
      <c r="B382" s="30" t="n"/>
      <c r="C382" s="30" t="n"/>
      <c r="D382" s="30" t="n"/>
      <c r="E382" s="30" t="n"/>
      <c r="F382" s="31" t="n">
        <v>873.1</v>
      </c>
      <c r="G382" s="30" t="n"/>
    </row>
    <row r="384" ht="76.5" customHeight="1">
      <c r="A384" s="8" t="inlineStr">
        <is>
          <t>11.10</t>
        </is>
      </c>
      <c r="B384" s="17"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is>
      </c>
      <c r="C384" s="9" t="n"/>
      <c r="D384" s="9" t="n"/>
      <c r="E384" s="9" t="n"/>
      <c r="F384" s="9" t="n"/>
      <c r="G384" s="9" t="n"/>
    </row>
    <row r="385" ht="18.5" customHeight="1">
      <c r="A385" s="18" t="inlineStr">
        <is>
          <t>11.10.6</t>
        </is>
      </c>
      <c r="B385" s="19" t="inlineStr">
        <is>
          <t>Ordinary cement without any pigment</t>
        </is>
      </c>
      <c r="C385" s="20" t="n"/>
      <c r="D385" s="20" t="n"/>
      <c r="E385" s="20" t="n"/>
      <c r="F385" s="20" t="n"/>
      <c r="G385" s="20" t="n"/>
    </row>
    <row r="386">
      <c r="A386" s="21" t="inlineStr">
        <is>
          <t>Details of cost for 10 sqm   |   Source: CivilDAR_2019_Vol_1.pdf, page 736</t>
        </is>
      </c>
    </row>
    <row r="387">
      <c r="A387" s="5" t="inlineStr">
        <is>
          <t>Code</t>
        </is>
      </c>
      <c r="B387" s="5" t="inlineStr">
        <is>
          <t>Description</t>
        </is>
      </c>
      <c r="C387" s="5" t="inlineStr">
        <is>
          <t>Unit</t>
        </is>
      </c>
      <c r="D387" s="5" t="inlineStr">
        <is>
          <t>Quantity</t>
        </is>
      </c>
      <c r="E387" s="5" t="inlineStr">
        <is>
          <t>Rate (Rs.)</t>
        </is>
      </c>
      <c r="F387" s="5" t="inlineStr">
        <is>
          <t>Amount (Rs.)</t>
        </is>
      </c>
      <c r="G387" s="5" t="inlineStr">
        <is>
          <t>Note</t>
        </is>
      </c>
    </row>
    <row r="388">
      <c r="A388" s="22" t="inlineStr">
        <is>
          <t>0296</t>
        </is>
      </c>
      <c r="B388" s="11" t="inlineStr">
        <is>
          <t>Stone Aggregate (Single size) : 12.5 mm nominal size</t>
        </is>
      </c>
      <c r="C388" s="22" t="inlineStr">
        <is>
          <t>cum</t>
        </is>
      </c>
      <c r="D388" s="23" t="n">
        <v>0.21</v>
      </c>
      <c r="E388" s="24" t="n">
        <v>1350</v>
      </c>
      <c r="F388" s="24">
        <f>D388*E388</f>
        <v/>
      </c>
      <c r="G388" s="22" t="n"/>
    </row>
    <row r="389">
      <c r="A389" s="22" t="inlineStr">
        <is>
          <t>0297</t>
        </is>
      </c>
      <c r="B389" s="11" t="inlineStr">
        <is>
          <t>Stone Aggregate (Single size) : 10 mm nominal size</t>
        </is>
      </c>
      <c r="C389" s="22" t="inlineStr">
        <is>
          <t>cum</t>
        </is>
      </c>
      <c r="D389" s="23" t="n">
        <v>0.07000000000000001</v>
      </c>
      <c r="E389" s="24" t="n">
        <v>1350</v>
      </c>
      <c r="F389" s="24">
        <f>D389*E389</f>
        <v/>
      </c>
      <c r="G389" s="22" t="n"/>
    </row>
    <row r="390">
      <c r="A390" s="22" t="inlineStr">
        <is>
          <t>2202</t>
        </is>
      </c>
      <c r="B390" s="11" t="inlineStr">
        <is>
          <t>Carriage of Stone aggregate below 40 mm nominal size</t>
        </is>
      </c>
      <c r="C390" s="22" t="inlineStr">
        <is>
          <t>cum</t>
        </is>
      </c>
      <c r="D390" s="23" t="n">
        <v>0.28</v>
      </c>
      <c r="E390" s="24" t="n">
        <v>103.77</v>
      </c>
      <c r="F390" s="24">
        <f>D390*E390</f>
        <v/>
      </c>
      <c r="G390" s="22" t="n"/>
    </row>
    <row r="391">
      <c r="A391" s="22" t="inlineStr">
        <is>
          <t>0982</t>
        </is>
      </c>
      <c r="B391" s="11" t="inlineStr">
        <is>
          <t>Coarse sand (zone III)</t>
        </is>
      </c>
      <c r="C391" s="22" t="inlineStr">
        <is>
          <t>cum</t>
        </is>
      </c>
      <c r="D391" s="23" t="n">
        <v>0.14</v>
      </c>
      <c r="E391" s="24" t="n">
        <v>1350</v>
      </c>
      <c r="F391" s="24">
        <f>D391*E391</f>
        <v/>
      </c>
      <c r="G391" s="22" t="n"/>
    </row>
    <row r="392">
      <c r="A392" s="22" t="inlineStr">
        <is>
          <t>2203</t>
        </is>
      </c>
      <c r="B392" s="11" t="inlineStr">
        <is>
          <t>Carriage of Coarse sand</t>
        </is>
      </c>
      <c r="C392" s="22" t="inlineStr">
        <is>
          <t>cum</t>
        </is>
      </c>
      <c r="D392" s="23" t="n">
        <v>0.14</v>
      </c>
      <c r="E392" s="24" t="n">
        <v>103.77</v>
      </c>
      <c r="F392" s="24">
        <f>D392*E392</f>
        <v/>
      </c>
      <c r="G392" s="22" t="n"/>
    </row>
    <row r="393">
      <c r="A393" s="22" t="inlineStr">
        <is>
          <t>0367</t>
        </is>
      </c>
      <c r="B393" s="11" t="inlineStr">
        <is>
          <t>Portland Cement</t>
        </is>
      </c>
      <c r="C393" s="22" t="inlineStr">
        <is>
          <t>tonne</t>
        </is>
      </c>
      <c r="D393" s="23" t="n">
        <v>0.1005</v>
      </c>
      <c r="E393" s="24" t="n">
        <v>4940</v>
      </c>
      <c r="F393" s="24">
        <f>D393*E393</f>
        <v/>
      </c>
      <c r="G393" s="22" t="n"/>
    </row>
    <row r="394">
      <c r="A394" s="22" t="inlineStr">
        <is>
          <t>0367</t>
        </is>
      </c>
      <c r="B394" s="11" t="inlineStr">
        <is>
          <t>Portland Cement</t>
        </is>
      </c>
      <c r="C394" s="22" t="inlineStr">
        <is>
          <t>tonne</t>
        </is>
      </c>
      <c r="D394" s="23" t="n">
        <v>0.02</v>
      </c>
      <c r="E394" s="24" t="n">
        <v>4940</v>
      </c>
      <c r="F394" s="24">
        <f>D394*E394</f>
        <v/>
      </c>
      <c r="G394" s="22" t="n"/>
    </row>
    <row r="395">
      <c r="A395" s="22" t="inlineStr">
        <is>
          <t>2209</t>
        </is>
      </c>
      <c r="B395" s="11" t="inlineStr">
        <is>
          <t>Carriage of Cement</t>
        </is>
      </c>
      <c r="C395" s="22" t="inlineStr">
        <is>
          <t>tonne</t>
        </is>
      </c>
      <c r="D395" s="23" t="n">
        <v>0.1205</v>
      </c>
      <c r="E395" s="24" t="n">
        <v>92.23999999999999</v>
      </c>
      <c r="F395" s="24">
        <f>D395*E395</f>
        <v/>
      </c>
      <c r="G395" s="22" t="n"/>
    </row>
    <row r="396">
      <c r="A396" s="22" t="inlineStr">
        <is>
          <t>0788</t>
        </is>
      </c>
      <c r="B396" s="11" t="inlineStr">
        <is>
          <t>Marble chips large size above 4 mm White &amp; black</t>
        </is>
      </c>
      <c r="C396" s="22" t="inlineStr">
        <is>
          <t>quintal</t>
        </is>
      </c>
      <c r="D396" s="23" t="n">
        <v>1.4</v>
      </c>
      <c r="E396" s="24" t="n">
        <v>250</v>
      </c>
      <c r="F396" s="24">
        <f>D396*E396</f>
        <v/>
      </c>
      <c r="G396" s="22" t="n"/>
    </row>
    <row r="397">
      <c r="A397" s="22" t="inlineStr">
        <is>
          <t>2268</t>
        </is>
      </c>
      <c r="B397" s="11" t="inlineStr">
        <is>
          <t>Carriage of Marble dust and marble chips</t>
        </is>
      </c>
      <c r="C397" s="22" t="inlineStr">
        <is>
          <t>cum</t>
        </is>
      </c>
      <c r="D397" s="23" t="n">
        <v>0.082</v>
      </c>
      <c r="E397" s="24" t="n">
        <v>103.77</v>
      </c>
      <c r="F397" s="24">
        <f>D397*E397</f>
        <v/>
      </c>
      <c r="G397" s="22" t="n"/>
    </row>
    <row r="398">
      <c r="A398" s="22" t="inlineStr">
        <is>
          <t>0367</t>
        </is>
      </c>
      <c r="B398" s="11" t="inlineStr">
        <is>
          <t>Portland Cement</t>
        </is>
      </c>
      <c r="C398" s="22" t="inlineStr">
        <is>
          <t>tonne</t>
        </is>
      </c>
      <c r="D398" s="23" t="n">
        <v>0.0578</v>
      </c>
      <c r="E398" s="24" t="n">
        <v>4940</v>
      </c>
      <c r="F398" s="24">
        <f>D398*E398</f>
        <v/>
      </c>
      <c r="G398" s="22" t="n"/>
    </row>
    <row r="399">
      <c r="A399" s="22" t="inlineStr">
        <is>
          <t>2209</t>
        </is>
      </c>
      <c r="B399" s="11" t="inlineStr">
        <is>
          <t>Carriage of Cement</t>
        </is>
      </c>
      <c r="C399" s="22" t="inlineStr">
        <is>
          <t>tonne</t>
        </is>
      </c>
      <c r="D399" s="23" t="n">
        <v>0.0578</v>
      </c>
      <c r="E399" s="24" t="n">
        <v>92.23999999999999</v>
      </c>
      <c r="F399" s="24">
        <f>D399*E399</f>
        <v/>
      </c>
      <c r="G399" s="22" t="n"/>
    </row>
    <row r="400">
      <c r="A400" s="22" t="inlineStr">
        <is>
          <t>0784</t>
        </is>
      </c>
      <c r="B400" s="11" t="inlineStr">
        <is>
          <t>Marble dust/ powder</t>
        </is>
      </c>
      <c r="C400" s="22" t="inlineStr">
        <is>
          <t>cum</t>
        </is>
      </c>
      <c r="D400" s="23" t="n">
        <v>0.012</v>
      </c>
      <c r="E400" s="24" t="n">
        <v>1130</v>
      </c>
      <c r="F400" s="24">
        <f>D400*E400</f>
        <v/>
      </c>
      <c r="G400" s="22" t="n"/>
    </row>
    <row r="401">
      <c r="A401" s="22" t="inlineStr">
        <is>
          <t>0124</t>
        </is>
      </c>
      <c r="B401" s="11" t="inlineStr">
        <is>
          <t>Mason (brick layer) 2nd class</t>
        </is>
      </c>
      <c r="C401" s="22" t="inlineStr">
        <is>
          <t>day</t>
        </is>
      </c>
      <c r="D401" s="23" t="n">
        <v>1.79</v>
      </c>
      <c r="E401" s="24" t="n">
        <v>679</v>
      </c>
      <c r="F401" s="24">
        <f>D401*E401</f>
        <v/>
      </c>
      <c r="G401" s="22" t="n"/>
    </row>
    <row r="402">
      <c r="A402" s="22" t="inlineStr">
        <is>
          <t>0114</t>
        </is>
      </c>
      <c r="B402" s="11" t="inlineStr">
        <is>
          <t>Beldar</t>
        </is>
      </c>
      <c r="C402" s="22" t="inlineStr">
        <is>
          <t>day</t>
        </is>
      </c>
      <c r="D402" s="23" t="n">
        <v>1.99</v>
      </c>
      <c r="E402" s="24" t="n">
        <v>558</v>
      </c>
      <c r="F402" s="24">
        <f>D402*E402</f>
        <v/>
      </c>
      <c r="G402" s="22" t="n"/>
    </row>
    <row r="403">
      <c r="A403" s="22" t="inlineStr">
        <is>
          <t>0101</t>
        </is>
      </c>
      <c r="B403" s="11" t="inlineStr">
        <is>
          <t>Bhisti</t>
        </is>
      </c>
      <c r="C403" s="22" t="inlineStr">
        <is>
          <t>day</t>
        </is>
      </c>
      <c r="D403" s="23" t="n">
        <v>1.04</v>
      </c>
      <c r="E403" s="24" t="n">
        <v>617</v>
      </c>
      <c r="F403" s="24">
        <f>D403*E403</f>
        <v/>
      </c>
      <c r="G403" s="22" t="n"/>
    </row>
    <row r="404">
      <c r="A404" s="22" t="inlineStr">
        <is>
          <t>0139</t>
        </is>
      </c>
      <c r="B404" s="11" t="inlineStr">
        <is>
          <t>Skilled Beldar (for floor rubbing etc.)</t>
        </is>
      </c>
      <c r="C404" s="22" t="inlineStr">
        <is>
          <t>day</t>
        </is>
      </c>
      <c r="D404" s="23" t="n">
        <v>1</v>
      </c>
      <c r="E404" s="24" t="n">
        <v>617</v>
      </c>
      <c r="F404" s="24">
        <f>D404*E404</f>
        <v/>
      </c>
      <c r="G404" s="22" t="n"/>
    </row>
    <row r="405">
      <c r="A405" s="22" t="inlineStr">
        <is>
          <t>0127</t>
        </is>
      </c>
      <c r="B405" s="11" t="inlineStr">
        <is>
          <t>Driver (for Road Roller, Concrete Mixer, Truck etc.)</t>
        </is>
      </c>
      <c r="C405" s="22" t="inlineStr">
        <is>
          <t>day</t>
        </is>
      </c>
      <c r="D405" s="23" t="n">
        <v>0.03</v>
      </c>
      <c r="E405" s="24" t="n">
        <v>738</v>
      </c>
      <c r="F405" s="24">
        <f>D405*E405</f>
        <v/>
      </c>
      <c r="G405" s="22" t="n"/>
    </row>
    <row r="406">
      <c r="A406" s="22" t="inlineStr">
        <is>
          <t>0002</t>
        </is>
      </c>
      <c r="B406" s="11" t="inlineStr">
        <is>
          <t>Hire charges of Concrete Mixer 0.25 to 0.40 cum with hooper</t>
        </is>
      </c>
      <c r="C406" s="22" t="inlineStr">
        <is>
          <t>day</t>
        </is>
      </c>
      <c r="D406" s="23" t="n">
        <v>0.03</v>
      </c>
      <c r="E406" s="24" t="n">
        <v>800</v>
      </c>
      <c r="F406" s="24">
        <f>D406*E406</f>
        <v/>
      </c>
      <c r="G406" s="22" t="n"/>
    </row>
    <row r="407">
      <c r="A407" s="22" t="inlineStr">
        <is>
          <t>0013</t>
        </is>
      </c>
      <c r="B407" s="11" t="inlineStr">
        <is>
          <t>Machine for rubbing of floors</t>
        </is>
      </c>
      <c r="C407" s="22" t="inlineStr">
        <is>
          <t>day</t>
        </is>
      </c>
      <c r="D407" s="23" t="n">
        <v>1.6</v>
      </c>
      <c r="E407" s="24" t="n">
        <v>300</v>
      </c>
      <c r="F407" s="24">
        <f>D407*E407</f>
        <v/>
      </c>
      <c r="G407" s="22" t="n"/>
    </row>
    <row r="408">
      <c r="A408" s="22" t="inlineStr">
        <is>
          <t>9999</t>
        </is>
      </c>
      <c r="B408" s="11" t="inlineStr">
        <is>
          <t>Sundries</t>
        </is>
      </c>
      <c r="C408" s="22" t="inlineStr">
        <is>
          <t>L.S.</t>
        </is>
      </c>
      <c r="D408" s="23" t="n">
        <v>134.55</v>
      </c>
      <c r="E408" s="24" t="n">
        <v>2</v>
      </c>
      <c r="F408" s="24">
        <f>D408*E408</f>
        <v/>
      </c>
      <c r="G408" s="22" t="n"/>
    </row>
    <row r="409">
      <c r="A409" s="8" t="inlineStr">
        <is>
          <t>Calculated W - SUM of the Amount column above</t>
        </is>
      </c>
      <c r="B409" s="9" t="n"/>
      <c r="C409" s="9" t="n"/>
      <c r="D409" s="9" t="n"/>
      <c r="E409" s="9" t="n"/>
      <c r="F409" s="25">
        <f>SUM(F388:F408)</f>
        <v/>
      </c>
      <c r="G409" s="9" t="n"/>
    </row>
    <row r="410">
      <c r="A410" s="26" t="inlineStr">
        <is>
          <t>W as printed in the DAR</t>
        </is>
      </c>
      <c r="B410" s="22" t="n"/>
      <c r="C410" s="22" t="n"/>
      <c r="D410" s="22" t="n"/>
      <c r="E410" s="22" t="n"/>
      <c r="F410" s="27" t="n">
        <v>6259.65</v>
      </c>
      <c r="G410" s="22" t="n"/>
    </row>
    <row r="411">
      <c r="A411" s="26" t="inlineStr">
        <is>
          <t>Difference (calculated - printed)</t>
        </is>
      </c>
      <c r="B411" s="22" t="n"/>
      <c r="C411" s="22" t="n"/>
      <c r="D411" s="22" t="n"/>
      <c r="E411" s="22" t="n"/>
      <c r="F411" s="27">
        <f>F409-F410</f>
        <v/>
      </c>
      <c r="G411" s="22" t="n"/>
    </row>
    <row r="412">
      <c r="A412" s="29" t="inlineStr">
        <is>
          <t>SAY (Rs.) - final DAR rate as printed (fixed value, not computed)</t>
        </is>
      </c>
      <c r="B412" s="30" t="n"/>
      <c r="C412" s="30" t="n"/>
      <c r="D412" s="30" t="n"/>
      <c r="E412" s="30" t="n"/>
      <c r="F412" s="31" t="n">
        <v>837.5</v>
      </c>
      <c r="G412" s="30" t="n"/>
    </row>
    <row r="414" ht="76.5" customHeight="1">
      <c r="A414" s="8" t="inlineStr">
        <is>
          <t>11.11</t>
        </is>
      </c>
      <c r="B414"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414" s="9" t="n"/>
      <c r="D414" s="9" t="n"/>
      <c r="E414" s="9" t="n"/>
      <c r="F414" s="9" t="n"/>
      <c r="G414" s="9" t="n"/>
    </row>
    <row r="415" ht="18.5" customHeight="1">
      <c r="A415" s="18" t="inlineStr">
        <is>
          <t>11.11.1</t>
        </is>
      </c>
      <c r="B415" s="19" t="inlineStr">
        <is>
          <t>Dark shade pigment with ordinary cement</t>
        </is>
      </c>
      <c r="C415" s="20" t="n"/>
      <c r="D415" s="20" t="n"/>
      <c r="E415" s="20" t="n"/>
      <c r="F415" s="20" t="n"/>
      <c r="G415" s="20" t="n"/>
    </row>
    <row r="416">
      <c r="A416" s="21" t="inlineStr">
        <is>
          <t>Details of cost for 10 sqm   |   Source: CivilDAR_2019_Vol_1.pdf, page 737</t>
        </is>
      </c>
    </row>
    <row r="417">
      <c r="A417" s="5" t="inlineStr">
        <is>
          <t>Code</t>
        </is>
      </c>
      <c r="B417" s="5" t="inlineStr">
        <is>
          <t>Description</t>
        </is>
      </c>
      <c r="C417" s="5" t="inlineStr">
        <is>
          <t>Unit</t>
        </is>
      </c>
      <c r="D417" s="5" t="inlineStr">
        <is>
          <t>Quantity</t>
        </is>
      </c>
      <c r="E417" s="5" t="inlineStr">
        <is>
          <t>Rate (Rs.)</t>
        </is>
      </c>
      <c r="F417" s="5" t="inlineStr">
        <is>
          <t>Amount (Rs.)</t>
        </is>
      </c>
      <c r="G417" s="5" t="inlineStr">
        <is>
          <t>Note</t>
        </is>
      </c>
    </row>
    <row r="418">
      <c r="A418" s="22" t="inlineStr">
        <is>
          <t>0296</t>
        </is>
      </c>
      <c r="B418" s="11" t="inlineStr">
        <is>
          <t>Stone Aggregate (Single size) : 12.5 mm nominal size</t>
        </is>
      </c>
      <c r="C418" s="22" t="inlineStr">
        <is>
          <t>cum</t>
        </is>
      </c>
      <c r="D418" s="23" t="n">
        <v>0.19</v>
      </c>
      <c r="E418" s="24" t="n">
        <v>1350</v>
      </c>
      <c r="F418" s="24">
        <f>D418*E418</f>
        <v/>
      </c>
      <c r="G418" s="22" t="n"/>
    </row>
    <row r="419">
      <c r="A419" s="22" t="inlineStr">
        <is>
          <t>0297</t>
        </is>
      </c>
      <c r="B419" s="11" t="inlineStr">
        <is>
          <t>Stone Aggregate (Single size) : 10 mm nominal size</t>
        </is>
      </c>
      <c r="C419" s="22" t="inlineStr">
        <is>
          <t>cum</t>
        </is>
      </c>
      <c r="D419" s="23" t="n">
        <v>0.06</v>
      </c>
      <c r="E419" s="24" t="n">
        <v>1350</v>
      </c>
      <c r="F419" s="24">
        <f>D419*E419</f>
        <v/>
      </c>
      <c r="G419" s="22" t="n"/>
    </row>
    <row r="420">
      <c r="A420" s="22" t="inlineStr">
        <is>
          <t>2202</t>
        </is>
      </c>
      <c r="B420" s="11" t="inlineStr">
        <is>
          <t>Carriage of Stone aggregate below 40 mm nominal size</t>
        </is>
      </c>
      <c r="C420" s="22" t="inlineStr">
        <is>
          <t>cum</t>
        </is>
      </c>
      <c r="D420" s="23" t="n">
        <v>0.25</v>
      </c>
      <c r="E420" s="24" t="n">
        <v>103.77</v>
      </c>
      <c r="F420" s="24">
        <f>D420*E420</f>
        <v/>
      </c>
      <c r="G420" s="22" t="n"/>
    </row>
    <row r="421">
      <c r="A421" s="22" t="inlineStr">
        <is>
          <t>0982</t>
        </is>
      </c>
      <c r="B421" s="11" t="inlineStr">
        <is>
          <t>Coarse sand (zone III)</t>
        </is>
      </c>
      <c r="C421" s="22" t="inlineStr">
        <is>
          <t>cum</t>
        </is>
      </c>
      <c r="D421" s="23" t="n">
        <v>0.125</v>
      </c>
      <c r="E421" s="24" t="n">
        <v>1350</v>
      </c>
      <c r="F421" s="24">
        <f>D421*E421</f>
        <v/>
      </c>
      <c r="G421" s="22" t="n"/>
    </row>
    <row r="422">
      <c r="A422" s="22" t="inlineStr">
        <is>
          <t>2203</t>
        </is>
      </c>
      <c r="B422" s="11" t="inlineStr">
        <is>
          <t>Carriage of Coarse sand</t>
        </is>
      </c>
      <c r="C422" s="22" t="inlineStr">
        <is>
          <t>cum</t>
        </is>
      </c>
      <c r="D422" s="23" t="n">
        <v>0.125</v>
      </c>
      <c r="E422" s="24" t="n">
        <v>103.77</v>
      </c>
      <c r="F422" s="24">
        <f>D422*E422</f>
        <v/>
      </c>
      <c r="G422" s="22" t="n"/>
    </row>
    <row r="423">
      <c r="A423" s="22" t="inlineStr">
        <is>
          <t>0367</t>
        </is>
      </c>
      <c r="B423" s="11" t="inlineStr">
        <is>
          <t>Portland Cement</t>
        </is>
      </c>
      <c r="C423" s="22" t="inlineStr">
        <is>
          <t>tonne</t>
        </is>
      </c>
      <c r="D423" s="23" t="n">
        <v>0.0897</v>
      </c>
      <c r="E423" s="24" t="n">
        <v>4940</v>
      </c>
      <c r="F423" s="24">
        <f>D423*E423</f>
        <v/>
      </c>
      <c r="G423" s="22" t="n"/>
    </row>
    <row r="424">
      <c r="A424" s="22" t="inlineStr">
        <is>
          <t>0367</t>
        </is>
      </c>
      <c r="B424" s="11" t="inlineStr">
        <is>
          <t>Portland Cement</t>
        </is>
      </c>
      <c r="C424" s="22" t="inlineStr">
        <is>
          <t>tonne</t>
        </is>
      </c>
      <c r="D424" s="23" t="n">
        <v>0.02</v>
      </c>
      <c r="E424" s="24" t="n">
        <v>4940</v>
      </c>
      <c r="F424" s="24">
        <f>D424*E424</f>
        <v/>
      </c>
      <c r="G424" s="22" t="n"/>
    </row>
    <row r="425">
      <c r="A425" s="22" t="inlineStr">
        <is>
          <t>2209</t>
        </is>
      </c>
      <c r="B425" s="11" t="inlineStr">
        <is>
          <t>Carriage of Cement</t>
        </is>
      </c>
      <c r="C425" s="22" t="inlineStr">
        <is>
          <t>tonne</t>
        </is>
      </c>
      <c r="D425" s="23" t="n">
        <v>0.1097</v>
      </c>
      <c r="E425" s="24" t="n">
        <v>92.23999999999999</v>
      </c>
      <c r="F425" s="24">
        <f>D425*E425</f>
        <v/>
      </c>
      <c r="G425" s="22" t="n"/>
    </row>
    <row r="426">
      <c r="A426" s="22" t="inlineStr">
        <is>
          <t>0788</t>
        </is>
      </c>
      <c r="B426" s="11" t="inlineStr">
        <is>
          <t>Marble chips large size above 4 mm White &amp; black</t>
        </is>
      </c>
      <c r="C426" s="22" t="inlineStr">
        <is>
          <t>quintal</t>
        </is>
      </c>
      <c r="D426" s="23" t="n">
        <v>1.734</v>
      </c>
      <c r="E426" s="24" t="n">
        <v>250</v>
      </c>
      <c r="F426" s="24">
        <f>D426*E426</f>
        <v/>
      </c>
      <c r="G426" s="22" t="n"/>
    </row>
    <row r="427">
      <c r="A427" s="22" t="inlineStr">
        <is>
          <t>2268</t>
        </is>
      </c>
      <c r="B427" s="11" t="inlineStr">
        <is>
          <t>Carriage of Marble dust and marble chips</t>
        </is>
      </c>
      <c r="C427" s="22" t="inlineStr">
        <is>
          <t>cum</t>
        </is>
      </c>
      <c r="D427" s="23" t="n">
        <v>0.102</v>
      </c>
      <c r="E427" s="24" t="n">
        <v>103.77</v>
      </c>
      <c r="F427" s="24">
        <f>D427*E427</f>
        <v/>
      </c>
      <c r="G427" s="22" t="n"/>
    </row>
    <row r="428">
      <c r="A428" s="22" t="inlineStr">
        <is>
          <t>0367</t>
        </is>
      </c>
      <c r="B428" s="11" t="inlineStr">
        <is>
          <t>Portland Cement</t>
        </is>
      </c>
      <c r="C428" s="22" t="inlineStr">
        <is>
          <t>tonne</t>
        </is>
      </c>
      <c r="D428" s="23" t="n">
        <v>0.081</v>
      </c>
      <c r="E428" s="24" t="n">
        <v>4940</v>
      </c>
      <c r="F428" s="24">
        <f>D428*E428</f>
        <v/>
      </c>
      <c r="G428" s="22" t="n"/>
    </row>
    <row r="429">
      <c r="A429" s="22" t="inlineStr">
        <is>
          <t>2209</t>
        </is>
      </c>
      <c r="B429" s="11" t="inlineStr">
        <is>
          <t>Carriage of Cement</t>
        </is>
      </c>
      <c r="C429" s="22" t="inlineStr">
        <is>
          <t>tonne</t>
        </is>
      </c>
      <c r="D429" s="23" t="n">
        <v>0.081</v>
      </c>
      <c r="E429" s="24" t="n">
        <v>92.23999999999999</v>
      </c>
      <c r="F429" s="24">
        <f>D429*E429</f>
        <v/>
      </c>
      <c r="G429" s="22" t="n"/>
    </row>
    <row r="430">
      <c r="A430" s="22" t="inlineStr">
        <is>
          <t>0784</t>
        </is>
      </c>
      <c r="B430" s="11" t="inlineStr">
        <is>
          <t>Marble dust/ powder</t>
        </is>
      </c>
      <c r="C430" s="22" t="inlineStr">
        <is>
          <t>cum</t>
        </is>
      </c>
      <c r="D430" s="23" t="n">
        <v>0.017</v>
      </c>
      <c r="E430" s="24" t="n">
        <v>1130</v>
      </c>
      <c r="F430" s="24">
        <f>D430*E430</f>
        <v/>
      </c>
      <c r="G430" s="22" t="n"/>
    </row>
    <row r="431">
      <c r="A431" s="22" t="inlineStr">
        <is>
          <t>0874</t>
        </is>
      </c>
      <c r="B431" s="11" t="inlineStr">
        <is>
          <t>Black colour dark shade pigment</t>
        </is>
      </c>
      <c r="C431" s="22" t="inlineStr">
        <is>
          <t>kilogram</t>
        </is>
      </c>
      <c r="D431" s="23" t="n">
        <v>5.67</v>
      </c>
      <c r="E431" s="24" t="n">
        <v>70</v>
      </c>
      <c r="F431" s="24">
        <f>D431*E431</f>
        <v/>
      </c>
      <c r="G431" s="22" t="n"/>
    </row>
    <row r="432">
      <c r="A432" s="22" t="inlineStr">
        <is>
          <t>9977</t>
        </is>
      </c>
      <c r="B432" s="11" t="inlineStr">
        <is>
          <t>Carriage of pigment and marble powder etc.</t>
        </is>
      </c>
      <c r="C432" s="22" t="inlineStr">
        <is>
          <t>L.S.</t>
        </is>
      </c>
      <c r="D432" s="23" t="n">
        <v>6.24</v>
      </c>
      <c r="E432" s="24" t="n">
        <v>2</v>
      </c>
      <c r="F432" s="24">
        <f>D432*E432</f>
        <v/>
      </c>
      <c r="G432" s="22" t="n"/>
    </row>
    <row r="433">
      <c r="A433" s="22" t="inlineStr">
        <is>
          <t>0124</t>
        </is>
      </c>
      <c r="B433" s="11" t="inlineStr">
        <is>
          <t>Mason (brick layer) 2nd class</t>
        </is>
      </c>
      <c r="C433" s="22" t="inlineStr">
        <is>
          <t>day</t>
        </is>
      </c>
      <c r="D433" s="23" t="n">
        <v>1.79</v>
      </c>
      <c r="E433" s="24" t="n">
        <v>679</v>
      </c>
      <c r="F433" s="24">
        <f>D433*E433</f>
        <v/>
      </c>
      <c r="G433" s="22" t="n"/>
    </row>
    <row r="434">
      <c r="A434" s="22" t="inlineStr">
        <is>
          <t>0114</t>
        </is>
      </c>
      <c r="B434" s="11" t="inlineStr">
        <is>
          <t>Beldar</t>
        </is>
      </c>
      <c r="C434" s="22" t="inlineStr">
        <is>
          <t>day</t>
        </is>
      </c>
      <c r="D434" s="23" t="n">
        <v>1.99</v>
      </c>
      <c r="E434" s="24" t="n">
        <v>558</v>
      </c>
      <c r="F434" s="24">
        <f>D434*E434</f>
        <v/>
      </c>
      <c r="G434" s="22" t="n"/>
    </row>
    <row r="435">
      <c r="A435" s="22" t="inlineStr">
        <is>
          <t>0101</t>
        </is>
      </c>
      <c r="B435" s="11" t="inlineStr">
        <is>
          <t>Bhisti</t>
        </is>
      </c>
      <c r="C435" s="22" t="inlineStr">
        <is>
          <t>day</t>
        </is>
      </c>
      <c r="D435" s="23" t="n">
        <v>1.04</v>
      </c>
      <c r="E435" s="24" t="n">
        <v>617</v>
      </c>
      <c r="F435" s="24">
        <f>D435*E435</f>
        <v/>
      </c>
      <c r="G435" s="22" t="n"/>
    </row>
    <row r="436">
      <c r="A436" s="22" t="inlineStr">
        <is>
          <t>0139</t>
        </is>
      </c>
      <c r="B436" s="11" t="inlineStr">
        <is>
          <t>Skilled Beldar (for floor rubbing etc.)</t>
        </is>
      </c>
      <c r="C436" s="22" t="inlineStr">
        <is>
          <t>day</t>
        </is>
      </c>
      <c r="D436" s="23" t="n">
        <v>1</v>
      </c>
      <c r="E436" s="24" t="n">
        <v>617</v>
      </c>
      <c r="F436" s="24">
        <f>D436*E436</f>
        <v/>
      </c>
      <c r="G436" s="22" t="n"/>
    </row>
    <row r="437">
      <c r="A437" s="22" t="inlineStr">
        <is>
          <t>0127</t>
        </is>
      </c>
      <c r="B437" s="11" t="inlineStr">
        <is>
          <t>Driver (for Road Roller, Concrete Mixer, Truck etc.)</t>
        </is>
      </c>
      <c r="C437" s="22" t="inlineStr">
        <is>
          <t>day</t>
        </is>
      </c>
      <c r="D437" s="23" t="n">
        <v>0.03</v>
      </c>
      <c r="E437" s="24" t="n">
        <v>738</v>
      </c>
      <c r="F437" s="24">
        <f>D437*E437</f>
        <v/>
      </c>
      <c r="G437" s="22" t="n"/>
    </row>
    <row r="438">
      <c r="A438" s="22" t="inlineStr">
        <is>
          <t>0002</t>
        </is>
      </c>
      <c r="B438" s="11" t="inlineStr">
        <is>
          <t>Hire charges of Concrete Mixer 0.25 to 0.40 cum with hooper</t>
        </is>
      </c>
      <c r="C438" s="22" t="inlineStr">
        <is>
          <t>day</t>
        </is>
      </c>
      <c r="D438" s="23" t="n">
        <v>0.03</v>
      </c>
      <c r="E438" s="24" t="n">
        <v>800</v>
      </c>
      <c r="F438" s="24">
        <f>D438*E438</f>
        <v/>
      </c>
      <c r="G438" s="22" t="n"/>
    </row>
    <row r="439">
      <c r="A439" s="22" t="inlineStr">
        <is>
          <t>0013</t>
        </is>
      </c>
      <c r="B439" s="11" t="inlineStr">
        <is>
          <t>Machine for rubbing of floors</t>
        </is>
      </c>
      <c r="C439" s="22" t="inlineStr">
        <is>
          <t>day</t>
        </is>
      </c>
      <c r="D439" s="23" t="n">
        <v>1.6</v>
      </c>
      <c r="E439" s="24" t="n">
        <v>300</v>
      </c>
      <c r="F439" s="24">
        <f>D439*E439</f>
        <v/>
      </c>
      <c r="G439" s="22" t="n"/>
    </row>
    <row r="440">
      <c r="A440" s="22" t="inlineStr">
        <is>
          <t>9999</t>
        </is>
      </c>
      <c r="B440" s="11" t="inlineStr">
        <is>
          <t>Sundries</t>
        </is>
      </c>
      <c r="C440" s="22" t="inlineStr">
        <is>
          <t>L.S.</t>
        </is>
      </c>
      <c r="D440" s="23" t="n">
        <v>156.13</v>
      </c>
      <c r="E440" s="24" t="n">
        <v>2</v>
      </c>
      <c r="F440" s="24">
        <f>D440*E440</f>
        <v/>
      </c>
      <c r="G440" s="22" t="n"/>
    </row>
    <row r="441">
      <c r="A441" s="8" t="inlineStr">
        <is>
          <t>Calculated W - SUM of the Amount column above</t>
        </is>
      </c>
      <c r="B441" s="9" t="n"/>
      <c r="C441" s="9" t="n"/>
      <c r="D441" s="9" t="n"/>
      <c r="E441" s="9" t="n"/>
      <c r="F441" s="25">
        <f>SUM(F418:F440)</f>
        <v/>
      </c>
      <c r="G441" s="9" t="n"/>
    </row>
    <row r="442">
      <c r="A442" s="26" t="inlineStr">
        <is>
          <t>W as printed in the DAR</t>
        </is>
      </c>
      <c r="B442" s="22" t="n"/>
      <c r="C442" s="22" t="n"/>
      <c r="D442" s="22" t="n"/>
      <c r="E442" s="22" t="n"/>
      <c r="F442" s="27" t="n">
        <v>6800.4</v>
      </c>
      <c r="G442" s="22" t="n"/>
    </row>
    <row r="443">
      <c r="A443" s="26" t="inlineStr">
        <is>
          <t>Difference (calculated - printed)</t>
        </is>
      </c>
      <c r="B443" s="22" t="n"/>
      <c r="C443" s="22" t="n"/>
      <c r="D443" s="22" t="n"/>
      <c r="E443" s="22" t="n"/>
      <c r="F443" s="27">
        <f>F441-F442</f>
        <v/>
      </c>
      <c r="G443" s="22" t="n"/>
    </row>
    <row r="444">
      <c r="A444" s="29" t="inlineStr">
        <is>
          <t>SAY (Rs.) - final DAR rate as printed (fixed value, not computed)</t>
        </is>
      </c>
      <c r="B444" s="30" t="n"/>
      <c r="C444" s="30" t="n"/>
      <c r="D444" s="30" t="n"/>
      <c r="E444" s="30" t="n"/>
      <c r="F444" s="31" t="n">
        <v>909.85</v>
      </c>
      <c r="G444" s="30" t="n"/>
    </row>
    <row r="446" ht="76.5" customHeight="1">
      <c r="A446" s="8" t="inlineStr">
        <is>
          <t>11.11</t>
        </is>
      </c>
      <c r="B446"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446" s="9" t="n"/>
      <c r="D446" s="9" t="n"/>
      <c r="E446" s="9" t="n"/>
      <c r="F446" s="9" t="n"/>
      <c r="G446" s="9" t="n"/>
    </row>
    <row r="447" ht="18.5" customHeight="1">
      <c r="A447" s="18" t="inlineStr">
        <is>
          <t>11.11.2</t>
        </is>
      </c>
      <c r="B447" s="19" t="inlineStr">
        <is>
          <t>Light shade pigment with white cement</t>
        </is>
      </c>
      <c r="C447" s="20" t="n"/>
      <c r="D447" s="20" t="n"/>
      <c r="E447" s="20" t="n"/>
      <c r="F447" s="20" t="n"/>
      <c r="G447" s="20" t="n"/>
    </row>
    <row r="448">
      <c r="A448" s="21" t="inlineStr">
        <is>
          <t>Details of cost for 10 sqm   |   Source: CivilDAR_2019_Vol_1.pdf, page 738</t>
        </is>
      </c>
    </row>
    <row r="449">
      <c r="A449" s="5" t="inlineStr">
        <is>
          <t>Code</t>
        </is>
      </c>
      <c r="B449" s="5" t="inlineStr">
        <is>
          <t>Description</t>
        </is>
      </c>
      <c r="C449" s="5" t="inlineStr">
        <is>
          <t>Unit</t>
        </is>
      </c>
      <c r="D449" s="5" t="inlineStr">
        <is>
          <t>Quantity</t>
        </is>
      </c>
      <c r="E449" s="5" t="inlineStr">
        <is>
          <t>Rate (Rs.)</t>
        </is>
      </c>
      <c r="F449" s="5" t="inlineStr">
        <is>
          <t>Amount (Rs.)</t>
        </is>
      </c>
      <c r="G449" s="5" t="inlineStr">
        <is>
          <t>Note</t>
        </is>
      </c>
    </row>
    <row r="450">
      <c r="A450" s="7" t="inlineStr">
        <is>
          <t>11.11.1</t>
        </is>
      </c>
      <c r="B450" s="11" t="inlineStr">
        <is>
          <t>Rate as per item 11.11.1 - 40 mm thick marble chips flooring, rubbed and polished to granolithic finish, under layer 28 mm thick cemen...</t>
        </is>
      </c>
      <c r="C450" s="22" t="inlineStr">
        <is>
          <t>sqm</t>
        </is>
      </c>
      <c r="D450" s="23" t="n">
        <v>10</v>
      </c>
      <c r="E450" s="24" t="n">
        <v>909.85</v>
      </c>
      <c r="F450" s="24">
        <f>D450*E450</f>
        <v/>
      </c>
      <c r="G450" s="22" t="n"/>
    </row>
    <row r="451">
      <c r="A451" s="22" t="inlineStr">
        <is>
          <t>0875</t>
        </is>
      </c>
      <c r="B451" s="11" t="inlineStr">
        <is>
          <t>Red, chocolate, orange, buff or yellow (red oxide of iron) light shade pigment</t>
        </is>
      </c>
      <c r="C451" s="22" t="inlineStr">
        <is>
          <t>kilogram</t>
        </is>
      </c>
      <c r="D451" s="23" t="n">
        <v>5.67</v>
      </c>
      <c r="E451" s="24" t="n">
        <v>60</v>
      </c>
      <c r="F451" s="24">
        <f>D451*E451</f>
        <v/>
      </c>
      <c r="G451" s="22" t="n"/>
    </row>
    <row r="452">
      <c r="A452" s="22" t="inlineStr">
        <is>
          <t>0874</t>
        </is>
      </c>
      <c r="B452" s="11" t="inlineStr">
        <is>
          <t>Black colour dark shade pigment</t>
        </is>
      </c>
      <c r="C452" s="22" t="inlineStr">
        <is>
          <t>kilogram</t>
        </is>
      </c>
      <c r="D452" s="23" t="n">
        <v>-5.67</v>
      </c>
      <c r="E452" s="24" t="n">
        <v>70</v>
      </c>
      <c r="F452" s="24">
        <f>D452*E452</f>
        <v/>
      </c>
      <c r="G452" s="22" t="n"/>
    </row>
    <row r="453">
      <c r="A453" s="22" t="inlineStr">
        <is>
          <t>0368</t>
        </is>
      </c>
      <c r="B453" s="11" t="inlineStr">
        <is>
          <t>White Cement</t>
        </is>
      </c>
      <c r="C453" s="22" t="inlineStr">
        <is>
          <t>tonne</t>
        </is>
      </c>
      <c r="D453" s="23" t="n">
        <v>0.081</v>
      </c>
      <c r="E453" s="24" t="n">
        <v>11200</v>
      </c>
      <c r="F453" s="24">
        <f>D453*E453</f>
        <v/>
      </c>
      <c r="G453" s="22" t="n"/>
    </row>
    <row r="454">
      <c r="A454" s="22" t="inlineStr">
        <is>
          <t>0367</t>
        </is>
      </c>
      <c r="B454" s="11" t="inlineStr">
        <is>
          <t>Portland Cement</t>
        </is>
      </c>
      <c r="C454" s="22" t="inlineStr">
        <is>
          <t>tonne</t>
        </is>
      </c>
      <c r="D454" s="23" t="n">
        <v>-0.081</v>
      </c>
      <c r="E454" s="24" t="n">
        <v>4940</v>
      </c>
      <c r="F454" s="24">
        <f>D454*E454</f>
        <v/>
      </c>
      <c r="G454" s="22" t="n"/>
    </row>
    <row r="455">
      <c r="A455" s="8" t="inlineStr">
        <is>
          <t>Calculated W - SUM of the Amount column above</t>
        </is>
      </c>
      <c r="B455" s="9" t="n"/>
      <c r="C455" s="9" t="n"/>
      <c r="D455" s="9" t="n"/>
      <c r="E455" s="9" t="n"/>
      <c r="F455" s="25">
        <f>SUM(F450:F454)</f>
        <v/>
      </c>
      <c r="G455" s="9" t="n"/>
    </row>
    <row r="456">
      <c r="A456" s="26" t="inlineStr">
        <is>
          <t>W as printed in the DAR</t>
        </is>
      </c>
      <c r="B456" s="22" t="n"/>
      <c r="C456" s="22" t="n"/>
      <c r="D456" s="22" t="n"/>
      <c r="E456" s="22" t="n"/>
      <c r="F456" s="27" t="n">
        <v>9548.860000000001</v>
      </c>
      <c r="G456" s="22" t="n"/>
    </row>
    <row r="457">
      <c r="A457" s="26" t="inlineStr">
        <is>
          <t>Difference (calculated - printed)</t>
        </is>
      </c>
      <c r="B457" s="22" t="n"/>
      <c r="C457" s="22" t="n"/>
      <c r="D457" s="22" t="n"/>
      <c r="E457" s="22" t="n"/>
      <c r="F457" s="27">
        <f>F455-F456</f>
        <v/>
      </c>
      <c r="G457" s="22" t="n"/>
    </row>
    <row r="458">
      <c r="A458" s="29" t="inlineStr">
        <is>
          <t>SAY (Rs.) - final DAR rate as printed (fixed value, not computed)</t>
        </is>
      </c>
      <c r="B458" s="30" t="n"/>
      <c r="C458" s="30" t="n"/>
      <c r="D458" s="30" t="n"/>
      <c r="E458" s="30" t="n"/>
      <c r="F458" s="31" t="n">
        <v>970.1</v>
      </c>
      <c r="G458" s="30" t="n"/>
    </row>
    <row r="460" ht="76.5" customHeight="1">
      <c r="A460" s="8" t="inlineStr">
        <is>
          <t>11.11</t>
        </is>
      </c>
      <c r="B460"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460" s="9" t="n"/>
      <c r="D460" s="9" t="n"/>
      <c r="E460" s="9" t="n"/>
      <c r="F460" s="9" t="n"/>
      <c r="G460" s="9" t="n"/>
    </row>
    <row r="461" ht="18.5" customHeight="1">
      <c r="A461" s="18" t="inlineStr">
        <is>
          <t>11.11.3</t>
        </is>
      </c>
      <c r="B461" s="19" t="inlineStr">
        <is>
          <t>Medium shade pigment with 50% white cement and 50% ordinary cement</t>
        </is>
      </c>
      <c r="C461" s="20" t="n"/>
      <c r="D461" s="20" t="n"/>
      <c r="E461" s="20" t="n"/>
      <c r="F461" s="20" t="n"/>
      <c r="G461" s="20" t="n"/>
    </row>
    <row r="462">
      <c r="A462" s="21" t="inlineStr">
        <is>
          <t>Details of cost for 10 sqm   |   Source: CivilDAR_2019_Vol_1.pdf, page 739</t>
        </is>
      </c>
    </row>
    <row r="463">
      <c r="A463" s="5" t="inlineStr">
        <is>
          <t>Code</t>
        </is>
      </c>
      <c r="B463" s="5" t="inlineStr">
        <is>
          <t>Description</t>
        </is>
      </c>
      <c r="C463" s="5" t="inlineStr">
        <is>
          <t>Unit</t>
        </is>
      </c>
      <c r="D463" s="5" t="inlineStr">
        <is>
          <t>Quantity</t>
        </is>
      </c>
      <c r="E463" s="5" t="inlineStr">
        <is>
          <t>Rate (Rs.)</t>
        </is>
      </c>
      <c r="F463" s="5" t="inlineStr">
        <is>
          <t>Amount (Rs.)</t>
        </is>
      </c>
      <c r="G463" s="5" t="inlineStr">
        <is>
          <t>Note</t>
        </is>
      </c>
    </row>
    <row r="464">
      <c r="A464" s="7" t="inlineStr">
        <is>
          <t>11.11.1</t>
        </is>
      </c>
      <c r="B464" s="11" t="inlineStr">
        <is>
          <t>Rate as per item 11.11.1 - 40 mm thick marble chips flooring, rubbed and polished to granolithic finish, under layer 28 mm thick cemen...</t>
        </is>
      </c>
      <c r="C464" s="22" t="inlineStr">
        <is>
          <t>sqm</t>
        </is>
      </c>
      <c r="D464" s="23" t="n">
        <v>10</v>
      </c>
      <c r="E464" s="24" t="n">
        <v>909.85</v>
      </c>
      <c r="F464" s="24">
        <f>D464*E464</f>
        <v/>
      </c>
      <c r="G464" s="22" t="n"/>
    </row>
    <row r="465">
      <c r="A465" s="22" t="inlineStr">
        <is>
          <t>0876</t>
        </is>
      </c>
      <c r="B465" s="11" t="inlineStr">
        <is>
          <t>Green or blue medium shade pigment</t>
        </is>
      </c>
      <c r="C465" s="22" t="inlineStr">
        <is>
          <t>kilogram</t>
        </is>
      </c>
      <c r="D465" s="23" t="n">
        <v>5.67</v>
      </c>
      <c r="E465" s="24" t="n">
        <v>56</v>
      </c>
      <c r="F465" s="24">
        <f>D465*E465</f>
        <v/>
      </c>
      <c r="G465" s="22" t="n"/>
    </row>
    <row r="466">
      <c r="A466" s="22" t="inlineStr">
        <is>
          <t>0874</t>
        </is>
      </c>
      <c r="B466" s="11" t="inlineStr">
        <is>
          <t>Black colour dark shade pigment</t>
        </is>
      </c>
      <c r="C466" s="22" t="inlineStr">
        <is>
          <t>kilogram</t>
        </is>
      </c>
      <c r="D466" s="23" t="n">
        <v>-5.67</v>
      </c>
      <c r="E466" s="24" t="n">
        <v>70</v>
      </c>
      <c r="F466" s="24">
        <f>D466*E466</f>
        <v/>
      </c>
      <c r="G466" s="22" t="n"/>
    </row>
    <row r="467">
      <c r="A467" s="22" t="inlineStr">
        <is>
          <t>0368</t>
        </is>
      </c>
      <c r="B467" s="11" t="inlineStr">
        <is>
          <t>White Cement</t>
        </is>
      </c>
      <c r="C467" s="22" t="inlineStr">
        <is>
          <t>tonne</t>
        </is>
      </c>
      <c r="D467" s="23" t="n">
        <v>0.0405</v>
      </c>
      <c r="E467" s="24" t="n">
        <v>11200</v>
      </c>
      <c r="F467" s="24">
        <f>D467*E467</f>
        <v/>
      </c>
      <c r="G467" s="22" t="n"/>
    </row>
    <row r="468">
      <c r="A468" s="22" t="inlineStr">
        <is>
          <t>0367</t>
        </is>
      </c>
      <c r="B468" s="11" t="inlineStr">
        <is>
          <t>Portland Cement</t>
        </is>
      </c>
      <c r="C468" s="22" t="inlineStr">
        <is>
          <t>tonne</t>
        </is>
      </c>
      <c r="D468" s="23" t="n">
        <v>-0.0405</v>
      </c>
      <c r="E468" s="24" t="n">
        <v>4940</v>
      </c>
      <c r="F468" s="24">
        <f>D468*E468</f>
        <v/>
      </c>
      <c r="G468" s="22" t="n"/>
    </row>
    <row r="469">
      <c r="A469" s="8" t="inlineStr">
        <is>
          <t>Calculated W - SUM of the Amount column above</t>
        </is>
      </c>
      <c r="B469" s="9" t="n"/>
      <c r="C469" s="9" t="n"/>
      <c r="D469" s="9" t="n"/>
      <c r="E469" s="9" t="n"/>
      <c r="F469" s="25">
        <f>SUM(F464:F468)</f>
        <v/>
      </c>
      <c r="G469" s="9" t="n"/>
    </row>
    <row r="470">
      <c r="A470" s="26" t="inlineStr">
        <is>
          <t>W as printed in the DAR</t>
        </is>
      </c>
      <c r="B470" s="22" t="n"/>
      <c r="C470" s="22" t="n"/>
      <c r="D470" s="22" t="n"/>
      <c r="E470" s="22" t="n"/>
      <c r="F470" s="27" t="n">
        <v>9272.65</v>
      </c>
      <c r="G470" s="22" t="n"/>
    </row>
    <row r="471">
      <c r="A471" s="26" t="inlineStr">
        <is>
          <t>Difference (calculated - printed)</t>
        </is>
      </c>
      <c r="B471" s="22" t="n"/>
      <c r="C471" s="22" t="n"/>
      <c r="D471" s="22" t="n"/>
      <c r="E471" s="22" t="n"/>
      <c r="F471" s="27">
        <f>F469-F470</f>
        <v/>
      </c>
      <c r="G471" s="22" t="n"/>
    </row>
    <row r="472">
      <c r="A472" s="29" t="inlineStr">
        <is>
          <t>SAY (Rs.) - final DAR rate as printed (fixed value, not computed)</t>
        </is>
      </c>
      <c r="B472" s="30" t="n"/>
      <c r="C472" s="30" t="n"/>
      <c r="D472" s="30" t="n"/>
      <c r="E472" s="30" t="n"/>
      <c r="F472" s="31" t="n">
        <v>933.15</v>
      </c>
      <c r="G472" s="30" t="n"/>
    </row>
    <row r="474" ht="76.5" customHeight="1">
      <c r="A474" s="8" t="inlineStr">
        <is>
          <t>11.11</t>
        </is>
      </c>
      <c r="B474"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474" s="9" t="n"/>
      <c r="D474" s="9" t="n"/>
      <c r="E474" s="9" t="n"/>
      <c r="F474" s="9" t="n"/>
      <c r="G474" s="9" t="n"/>
    </row>
    <row r="475" ht="18.5" customHeight="1">
      <c r="A475" s="18" t="inlineStr">
        <is>
          <t>11.11.4</t>
        </is>
      </c>
      <c r="B475" s="19" t="inlineStr">
        <is>
          <t>White cement without any pigment</t>
        </is>
      </c>
      <c r="C475" s="20" t="n"/>
      <c r="D475" s="20" t="n"/>
      <c r="E475" s="20" t="n"/>
      <c r="F475" s="20" t="n"/>
      <c r="G475" s="20" t="n"/>
    </row>
    <row r="476">
      <c r="A476" s="21" t="inlineStr">
        <is>
          <t>Details of cost for 10 sqm   |   Source: CivilDAR_2019_Vol_1.pdf, page 740</t>
        </is>
      </c>
    </row>
    <row r="477">
      <c r="A477" s="5" t="inlineStr">
        <is>
          <t>Code</t>
        </is>
      </c>
      <c r="B477" s="5" t="inlineStr">
        <is>
          <t>Description</t>
        </is>
      </c>
      <c r="C477" s="5" t="inlineStr">
        <is>
          <t>Unit</t>
        </is>
      </c>
      <c r="D477" s="5" t="inlineStr">
        <is>
          <t>Quantity</t>
        </is>
      </c>
      <c r="E477" s="5" t="inlineStr">
        <is>
          <t>Rate (Rs.)</t>
        </is>
      </c>
      <c r="F477" s="5" t="inlineStr">
        <is>
          <t>Amount (Rs.)</t>
        </is>
      </c>
      <c r="G477" s="5" t="inlineStr">
        <is>
          <t>Note</t>
        </is>
      </c>
    </row>
    <row r="478">
      <c r="A478" s="22" t="inlineStr">
        <is>
          <t>0296</t>
        </is>
      </c>
      <c r="B478" s="11" t="inlineStr">
        <is>
          <t>Stone Aggregate (Single size) : 12.5 mm nominal size</t>
        </is>
      </c>
      <c r="C478" s="22" t="inlineStr">
        <is>
          <t>cum</t>
        </is>
      </c>
      <c r="D478" s="23" t="n">
        <v>0.19</v>
      </c>
      <c r="E478" s="24" t="n">
        <v>1350</v>
      </c>
      <c r="F478" s="24">
        <f>D478*E478</f>
        <v/>
      </c>
      <c r="G478" s="22" t="n"/>
    </row>
    <row r="479">
      <c r="A479" s="22" t="inlineStr">
        <is>
          <t>0297</t>
        </is>
      </c>
      <c r="B479" s="11" t="inlineStr">
        <is>
          <t>Stone Aggregate (Single size) : 10 mm nominal size</t>
        </is>
      </c>
      <c r="C479" s="22" t="inlineStr">
        <is>
          <t>cum</t>
        </is>
      </c>
      <c r="D479" s="23" t="n">
        <v>0.06</v>
      </c>
      <c r="E479" s="24" t="n">
        <v>1350</v>
      </c>
      <c r="F479" s="24">
        <f>D479*E479</f>
        <v/>
      </c>
      <c r="G479" s="22" t="n"/>
    </row>
    <row r="480">
      <c r="A480" s="22" t="inlineStr">
        <is>
          <t>2202</t>
        </is>
      </c>
      <c r="B480" s="11" t="inlineStr">
        <is>
          <t>Carriage of Stone aggregate below 40 mm nominal size</t>
        </is>
      </c>
      <c r="C480" s="22" t="inlineStr">
        <is>
          <t>cum</t>
        </is>
      </c>
      <c r="D480" s="23" t="n">
        <v>0.25</v>
      </c>
      <c r="E480" s="24" t="n">
        <v>103.77</v>
      </c>
      <c r="F480" s="24">
        <f>D480*E480</f>
        <v/>
      </c>
      <c r="G480" s="22" t="n"/>
    </row>
    <row r="481">
      <c r="A481" s="22" t="inlineStr">
        <is>
          <t>0982</t>
        </is>
      </c>
      <c r="B481" s="11" t="inlineStr">
        <is>
          <t>Coarse sand (zone III)</t>
        </is>
      </c>
      <c r="C481" s="22" t="inlineStr">
        <is>
          <t>cum</t>
        </is>
      </c>
      <c r="D481" s="23" t="n">
        <v>0.125</v>
      </c>
      <c r="E481" s="24" t="n">
        <v>1350</v>
      </c>
      <c r="F481" s="24">
        <f>D481*E481</f>
        <v/>
      </c>
      <c r="G481" s="22" t="n"/>
    </row>
    <row r="482">
      <c r="A482" s="22" t="inlineStr">
        <is>
          <t>2203</t>
        </is>
      </c>
      <c r="B482" s="11" t="inlineStr">
        <is>
          <t>Carriage of Coarse sand</t>
        </is>
      </c>
      <c r="C482" s="22" t="inlineStr">
        <is>
          <t>cum</t>
        </is>
      </c>
      <c r="D482" s="23" t="n">
        <v>0.125</v>
      </c>
      <c r="E482" s="24" t="n">
        <v>103.77</v>
      </c>
      <c r="F482" s="24">
        <f>D482*E482</f>
        <v/>
      </c>
      <c r="G482" s="22" t="n"/>
    </row>
    <row r="483">
      <c r="A483" s="22" t="inlineStr">
        <is>
          <t>0367</t>
        </is>
      </c>
      <c r="B483" s="11" t="inlineStr">
        <is>
          <t>Portland Cement</t>
        </is>
      </c>
      <c r="C483" s="22" t="inlineStr">
        <is>
          <t>tonne</t>
        </is>
      </c>
      <c r="D483" s="23" t="n">
        <v>0.0897</v>
      </c>
      <c r="E483" s="24" t="n">
        <v>4940</v>
      </c>
      <c r="F483" s="24">
        <f>D483*E483</f>
        <v/>
      </c>
      <c r="G483" s="22" t="n"/>
    </row>
    <row r="484">
      <c r="A484" s="22" t="inlineStr">
        <is>
          <t>0367</t>
        </is>
      </c>
      <c r="B484" s="11" t="inlineStr">
        <is>
          <t>Portland Cement</t>
        </is>
      </c>
      <c r="C484" s="22" t="inlineStr">
        <is>
          <t>tonne</t>
        </is>
      </c>
      <c r="D484" s="23" t="n">
        <v>0.02</v>
      </c>
      <c r="E484" s="24" t="n">
        <v>4940</v>
      </c>
      <c r="F484" s="24">
        <f>D484*E484</f>
        <v/>
      </c>
      <c r="G484" s="22" t="n"/>
    </row>
    <row r="485">
      <c r="A485" s="22" t="inlineStr">
        <is>
          <t>2209</t>
        </is>
      </c>
      <c r="B485" s="11" t="inlineStr">
        <is>
          <t>Carriage of Cement</t>
        </is>
      </c>
      <c r="C485" s="22" t="inlineStr">
        <is>
          <t>tonne</t>
        </is>
      </c>
      <c r="D485" s="23" t="n">
        <v>0.1097</v>
      </c>
      <c r="E485" s="24" t="n">
        <v>92.23999999999999</v>
      </c>
      <c r="F485" s="24">
        <f>D485*E485</f>
        <v/>
      </c>
      <c r="G485" s="22" t="n"/>
    </row>
    <row r="486">
      <c r="A486" s="22" t="inlineStr">
        <is>
          <t>0788</t>
        </is>
      </c>
      <c r="B486" s="11" t="inlineStr">
        <is>
          <t>Marble chips large size above 4 mm White &amp; black</t>
        </is>
      </c>
      <c r="C486" s="22" t="inlineStr">
        <is>
          <t>quintal</t>
        </is>
      </c>
      <c r="D486" s="23" t="n">
        <v>1.916</v>
      </c>
      <c r="E486" s="24" t="n">
        <v>250</v>
      </c>
      <c r="F486" s="24">
        <f>D486*E486</f>
        <v/>
      </c>
      <c r="G486" s="22" t="n"/>
    </row>
    <row r="487">
      <c r="A487" s="22" t="inlineStr">
        <is>
          <t>2268</t>
        </is>
      </c>
      <c r="B487" s="11" t="inlineStr">
        <is>
          <t>Carriage of Marble dust and marble chips</t>
        </is>
      </c>
      <c r="C487" s="22" t="inlineStr">
        <is>
          <t>cum</t>
        </is>
      </c>
      <c r="D487" s="23" t="n">
        <v>0.1128</v>
      </c>
      <c r="E487" s="24" t="n">
        <v>103.77</v>
      </c>
      <c r="F487" s="24">
        <f>D487*E487</f>
        <v/>
      </c>
      <c r="G487" s="22" t="n"/>
    </row>
    <row r="488">
      <c r="A488" s="22" t="inlineStr">
        <is>
          <t>0368</t>
        </is>
      </c>
      <c r="B488" s="11" t="inlineStr">
        <is>
          <t>White Cement</t>
        </is>
      </c>
      <c r="C488" s="22" t="inlineStr">
        <is>
          <t>tonne</t>
        </is>
      </c>
      <c r="D488" s="23" t="n">
        <v>0.081</v>
      </c>
      <c r="E488" s="24" t="n">
        <v>11200</v>
      </c>
      <c r="F488" s="24">
        <f>D488*E488</f>
        <v/>
      </c>
      <c r="G488" s="22" t="n"/>
    </row>
    <row r="489">
      <c r="A489" s="22" t="inlineStr">
        <is>
          <t>2209</t>
        </is>
      </c>
      <c r="B489" s="11" t="inlineStr">
        <is>
          <t>Carriage of Cement</t>
        </is>
      </c>
      <c r="C489" s="22" t="inlineStr">
        <is>
          <t>tonne</t>
        </is>
      </c>
      <c r="D489" s="23" t="n">
        <v>0.081</v>
      </c>
      <c r="E489" s="24" t="n">
        <v>92.23999999999999</v>
      </c>
      <c r="F489" s="24">
        <f>D489*E489</f>
        <v/>
      </c>
      <c r="G489" s="22" t="n"/>
    </row>
    <row r="490">
      <c r="A490" s="22" t="inlineStr">
        <is>
          <t>0784</t>
        </is>
      </c>
      <c r="B490" s="11" t="inlineStr">
        <is>
          <t>Marble dust/ powder</t>
        </is>
      </c>
      <c r="C490" s="22" t="inlineStr">
        <is>
          <t>cum</t>
        </is>
      </c>
      <c r="D490" s="23" t="n">
        <v>0.017</v>
      </c>
      <c r="E490" s="24" t="n">
        <v>1130</v>
      </c>
      <c r="F490" s="24">
        <f>D490*E490</f>
        <v/>
      </c>
      <c r="G490" s="22" t="n"/>
    </row>
    <row r="491">
      <c r="A491" s="22" t="inlineStr">
        <is>
          <t>0124</t>
        </is>
      </c>
      <c r="B491" s="11" t="inlineStr">
        <is>
          <t>Mason (brick layer) 2nd class</t>
        </is>
      </c>
      <c r="C491" s="22" t="inlineStr">
        <is>
          <t>day</t>
        </is>
      </c>
      <c r="D491" s="23" t="n">
        <v>1.79</v>
      </c>
      <c r="E491" s="24" t="n">
        <v>679</v>
      </c>
      <c r="F491" s="24">
        <f>D491*E491</f>
        <v/>
      </c>
      <c r="G491" s="22" t="n"/>
    </row>
    <row r="492">
      <c r="A492" s="22" t="inlineStr">
        <is>
          <t>0114</t>
        </is>
      </c>
      <c r="B492" s="11" t="inlineStr">
        <is>
          <t>Beldar</t>
        </is>
      </c>
      <c r="C492" s="22" t="inlineStr">
        <is>
          <t>day</t>
        </is>
      </c>
      <c r="D492" s="23" t="n">
        <v>1.99</v>
      </c>
      <c r="E492" s="24" t="n">
        <v>558</v>
      </c>
      <c r="F492" s="24">
        <f>D492*E492</f>
        <v/>
      </c>
      <c r="G492" s="22" t="n"/>
    </row>
    <row r="493">
      <c r="A493" s="22" t="inlineStr">
        <is>
          <t>0101</t>
        </is>
      </c>
      <c r="B493" s="11" t="inlineStr">
        <is>
          <t>Bhisti</t>
        </is>
      </c>
      <c r="C493" s="22" t="inlineStr">
        <is>
          <t>day</t>
        </is>
      </c>
      <c r="D493" s="23" t="n">
        <v>1.04</v>
      </c>
      <c r="E493" s="24" t="n">
        <v>617</v>
      </c>
      <c r="F493" s="24">
        <f>D493*E493</f>
        <v/>
      </c>
      <c r="G493" s="22" t="n"/>
    </row>
    <row r="494">
      <c r="A494" s="22" t="inlineStr">
        <is>
          <t>0139</t>
        </is>
      </c>
      <c r="B494" s="11" t="inlineStr">
        <is>
          <t>Skilled Beldar (for floor rubbing etc.)</t>
        </is>
      </c>
      <c r="C494" s="22" t="inlineStr">
        <is>
          <t>day</t>
        </is>
      </c>
      <c r="D494" s="23" t="n">
        <v>1</v>
      </c>
      <c r="E494" s="24" t="n">
        <v>617</v>
      </c>
      <c r="F494" s="24">
        <f>D494*E494</f>
        <v/>
      </c>
      <c r="G494" s="22" t="n"/>
    </row>
    <row r="495">
      <c r="A495" s="22" t="inlineStr">
        <is>
          <t>0127</t>
        </is>
      </c>
      <c r="B495" s="11" t="inlineStr">
        <is>
          <t>Driver (for Road Roller, Concrete Mixer, Truck etc.)</t>
        </is>
      </c>
      <c r="C495" s="22" t="inlineStr">
        <is>
          <t>day</t>
        </is>
      </c>
      <c r="D495" s="23" t="n">
        <v>0.03</v>
      </c>
      <c r="E495" s="24" t="n">
        <v>738</v>
      </c>
      <c r="F495" s="24">
        <f>D495*E495</f>
        <v/>
      </c>
      <c r="G495" s="22" t="n"/>
    </row>
    <row r="496">
      <c r="A496" s="22" t="inlineStr">
        <is>
          <t>0002</t>
        </is>
      </c>
      <c r="B496" s="11" t="inlineStr">
        <is>
          <t>Hire charges of Concrete Mixer 0.25 to 0.40 cum with hooper</t>
        </is>
      </c>
      <c r="C496" s="22" t="inlineStr">
        <is>
          <t>day</t>
        </is>
      </c>
      <c r="D496" s="23" t="n">
        <v>0.03</v>
      </c>
      <c r="E496" s="24" t="n">
        <v>800</v>
      </c>
      <c r="F496" s="24">
        <f>D496*E496</f>
        <v/>
      </c>
      <c r="G496" s="22" t="n"/>
    </row>
    <row r="497">
      <c r="A497" s="22" t="inlineStr">
        <is>
          <t>0013</t>
        </is>
      </c>
      <c r="B497" s="11" t="inlineStr">
        <is>
          <t>Machine for rubbing of floors</t>
        </is>
      </c>
      <c r="C497" s="22" t="inlineStr">
        <is>
          <t>day</t>
        </is>
      </c>
      <c r="D497" s="23" t="n">
        <v>1.6</v>
      </c>
      <c r="E497" s="24" t="n">
        <v>300</v>
      </c>
      <c r="F497" s="24">
        <f>D497*E497</f>
        <v/>
      </c>
      <c r="G497" s="22" t="n"/>
    </row>
    <row r="498">
      <c r="A498" s="22" t="inlineStr">
        <is>
          <t>9999</t>
        </is>
      </c>
      <c r="B498" s="11" t="inlineStr">
        <is>
          <t>Sundries</t>
        </is>
      </c>
      <c r="C498" s="22" t="inlineStr">
        <is>
          <t>L.S.</t>
        </is>
      </c>
      <c r="D498" s="23" t="n">
        <v>134.55</v>
      </c>
      <c r="E498" s="24" t="n">
        <v>2</v>
      </c>
      <c r="F498" s="24">
        <f>D498*E498</f>
        <v/>
      </c>
      <c r="G498" s="22" t="n"/>
    </row>
    <row r="499">
      <c r="A499" s="8" t="inlineStr">
        <is>
          <t>Calculated W - SUM of the Amount column above</t>
        </is>
      </c>
      <c r="B499" s="9" t="n"/>
      <c r="C499" s="9" t="n"/>
      <c r="D499" s="9" t="n"/>
      <c r="E499" s="9" t="n"/>
      <c r="F499" s="25">
        <f>SUM(F478:F498)</f>
        <v/>
      </c>
      <c r="G499" s="9" t="n"/>
    </row>
    <row r="500">
      <c r="A500" s="26" t="inlineStr">
        <is>
          <t>W as printed in the DAR</t>
        </is>
      </c>
      <c r="B500" s="22" t="n"/>
      <c r="C500" s="22" t="n"/>
      <c r="D500" s="22" t="n"/>
      <c r="E500" s="22" t="n"/>
      <c r="F500" s="27" t="n">
        <v>6901.54</v>
      </c>
      <c r="G500" s="22" t="n"/>
    </row>
    <row r="501">
      <c r="A501" s="26" t="inlineStr">
        <is>
          <t>Difference (calculated - printed)</t>
        </is>
      </c>
      <c r="B501" s="22" t="n"/>
      <c r="C501" s="22" t="n"/>
      <c r="D501" s="22" t="n"/>
      <c r="E501" s="22" t="n"/>
      <c r="F501" s="27">
        <f>F499-F500</f>
        <v/>
      </c>
      <c r="G501" s="22" t="n"/>
    </row>
    <row r="502">
      <c r="A502" s="29" t="inlineStr">
        <is>
          <t>SAY (Rs.) - final DAR rate as printed (fixed value, not computed)</t>
        </is>
      </c>
      <c r="B502" s="30" t="n"/>
      <c r="C502" s="30" t="n"/>
      <c r="D502" s="30" t="n"/>
      <c r="E502" s="30" t="n"/>
      <c r="F502" s="31" t="n">
        <v>923.4</v>
      </c>
      <c r="G502" s="30" t="n"/>
    </row>
    <row r="504" ht="76.5" customHeight="1">
      <c r="A504" s="8" t="inlineStr">
        <is>
          <t>11.11</t>
        </is>
      </c>
      <c r="B504"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504" s="9" t="n"/>
      <c r="D504" s="9" t="n"/>
      <c r="E504" s="9" t="n"/>
      <c r="F504" s="9" t="n"/>
      <c r="G504" s="9" t="n"/>
    </row>
    <row r="505" ht="18.5" customHeight="1">
      <c r="A505" s="18" t="inlineStr">
        <is>
          <t>11.11.5</t>
        </is>
      </c>
      <c r="B505" s="19" t="inlineStr">
        <is>
          <t>Light shade pigment with ordinary cement</t>
        </is>
      </c>
      <c r="C505" s="20" t="n"/>
      <c r="D505" s="20" t="n"/>
      <c r="E505" s="20" t="n"/>
      <c r="F505" s="20" t="n"/>
      <c r="G505" s="20" t="n"/>
    </row>
    <row r="506">
      <c r="A506" s="21" t="inlineStr">
        <is>
          <t>Details of cost for 10 sqm   |   Source: CivilDAR_2019_Vol_1.pdf, page 741</t>
        </is>
      </c>
    </row>
    <row r="507">
      <c r="A507" s="5" t="inlineStr">
        <is>
          <t>Code</t>
        </is>
      </c>
      <c r="B507" s="5" t="inlineStr">
        <is>
          <t>Description</t>
        </is>
      </c>
      <c r="C507" s="5" t="inlineStr">
        <is>
          <t>Unit</t>
        </is>
      </c>
      <c r="D507" s="5" t="inlineStr">
        <is>
          <t>Quantity</t>
        </is>
      </c>
      <c r="E507" s="5" t="inlineStr">
        <is>
          <t>Rate (Rs.)</t>
        </is>
      </c>
      <c r="F507" s="5" t="inlineStr">
        <is>
          <t>Amount (Rs.)</t>
        </is>
      </c>
      <c r="G507" s="5" t="inlineStr">
        <is>
          <t>Note</t>
        </is>
      </c>
    </row>
    <row r="508">
      <c r="A508" s="7" t="inlineStr">
        <is>
          <t>11.11.1</t>
        </is>
      </c>
      <c r="B508" s="11" t="inlineStr">
        <is>
          <t>Rate as per item 11.11.1 - 40 mm thick marble chips flooring, rubbed and polished to granolithic finish, under layer 28 mm thick cemen...</t>
        </is>
      </c>
      <c r="C508" s="22" t="inlineStr">
        <is>
          <t>sqm</t>
        </is>
      </c>
      <c r="D508" s="23" t="n">
        <v>10</v>
      </c>
      <c r="E508" s="24" t="n">
        <v>909.85</v>
      </c>
      <c r="F508" s="24">
        <f>D508*E508</f>
        <v/>
      </c>
      <c r="G508" s="22" t="n"/>
    </row>
    <row r="509">
      <c r="A509" s="22" t="inlineStr">
        <is>
          <t>0875</t>
        </is>
      </c>
      <c r="B509" s="11" t="inlineStr">
        <is>
          <t>Red, chocolate, orange, buff or yellow (red oxide of iron) light shade pigment</t>
        </is>
      </c>
      <c r="C509" s="22" t="inlineStr">
        <is>
          <t>kilogram</t>
        </is>
      </c>
      <c r="D509" s="23" t="n">
        <v>5.67</v>
      </c>
      <c r="E509" s="24" t="n">
        <v>60</v>
      </c>
      <c r="F509" s="24">
        <f>D509*E509</f>
        <v/>
      </c>
      <c r="G509" s="22" t="n"/>
    </row>
    <row r="510">
      <c r="A510" s="22" t="inlineStr">
        <is>
          <t>0874</t>
        </is>
      </c>
      <c r="B510" s="11" t="inlineStr">
        <is>
          <t>Black colour dark shade pigment</t>
        </is>
      </c>
      <c r="C510" s="22" t="inlineStr">
        <is>
          <t>kilogram</t>
        </is>
      </c>
      <c r="D510" s="23" t="n">
        <v>-5.67</v>
      </c>
      <c r="E510" s="24" t="n">
        <v>70</v>
      </c>
      <c r="F510" s="24">
        <f>D510*E510</f>
        <v/>
      </c>
      <c r="G510" s="22" t="n"/>
    </row>
    <row r="511">
      <c r="A511" s="8" t="inlineStr">
        <is>
          <t>Calculated W - SUM of the Amount column above</t>
        </is>
      </c>
      <c r="B511" s="9" t="n"/>
      <c r="C511" s="9" t="n"/>
      <c r="D511" s="9" t="n"/>
      <c r="E511" s="9" t="n"/>
      <c r="F511" s="25">
        <f>SUM(F508:F510)</f>
        <v/>
      </c>
      <c r="G511" s="9" t="n"/>
    </row>
    <row r="512">
      <c r="A512" s="26" t="inlineStr">
        <is>
          <t>W as printed in the DAR</t>
        </is>
      </c>
      <c r="B512" s="22" t="n"/>
      <c r="C512" s="22" t="n"/>
      <c r="D512" s="22" t="n"/>
      <c r="E512" s="22" t="n"/>
      <c r="F512" s="27" t="n">
        <v>9041.799999999999</v>
      </c>
      <c r="G512" s="22" t="n"/>
    </row>
    <row r="513">
      <c r="A513" s="26" t="inlineStr">
        <is>
          <t>Difference (calculated - printed)</t>
        </is>
      </c>
      <c r="B513" s="22" t="n"/>
      <c r="C513" s="22" t="n"/>
      <c r="D513" s="22" t="n"/>
      <c r="E513" s="22" t="n"/>
      <c r="F513" s="27">
        <f>F511-F512</f>
        <v/>
      </c>
      <c r="G513" s="22" t="n"/>
    </row>
    <row r="514">
      <c r="A514" s="29" t="inlineStr">
        <is>
          <t>SAY (Rs.) - final DAR rate as printed (fixed value, not computed)</t>
        </is>
      </c>
      <c r="B514" s="30" t="n"/>
      <c r="C514" s="30" t="n"/>
      <c r="D514" s="30" t="n"/>
      <c r="E514" s="30" t="n"/>
      <c r="F514" s="31" t="n">
        <v>902.25</v>
      </c>
      <c r="G514" s="30" t="n"/>
    </row>
    <row r="516" ht="76.5" customHeight="1">
      <c r="A516" s="8" t="inlineStr">
        <is>
          <t>11.11</t>
        </is>
      </c>
      <c r="B516" s="17"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is>
      </c>
      <c r="C516" s="9" t="n"/>
      <c r="D516" s="9" t="n"/>
      <c r="E516" s="9" t="n"/>
      <c r="F516" s="9" t="n"/>
      <c r="G516" s="9" t="n"/>
    </row>
    <row r="517" ht="18.5" customHeight="1">
      <c r="A517" s="18" t="inlineStr">
        <is>
          <t>11.11.6</t>
        </is>
      </c>
      <c r="B517" s="19" t="inlineStr">
        <is>
          <t>Ordinary cement without any pigment</t>
        </is>
      </c>
      <c r="C517" s="20" t="n"/>
      <c r="D517" s="20" t="n"/>
      <c r="E517" s="20" t="n"/>
      <c r="F517" s="20" t="n"/>
      <c r="G517" s="20" t="n"/>
    </row>
    <row r="518">
      <c r="A518" s="21" t="inlineStr">
        <is>
          <t>Details of cost for 10 sqm   |   Source: CivilDAR_2019_Vol_1.pdf, page 741</t>
        </is>
      </c>
    </row>
    <row r="519">
      <c r="A519" s="5" t="inlineStr">
        <is>
          <t>Code</t>
        </is>
      </c>
      <c r="B519" s="5" t="inlineStr">
        <is>
          <t>Description</t>
        </is>
      </c>
      <c r="C519" s="5" t="inlineStr">
        <is>
          <t>Unit</t>
        </is>
      </c>
      <c r="D519" s="5" t="inlineStr">
        <is>
          <t>Quantity</t>
        </is>
      </c>
      <c r="E519" s="5" t="inlineStr">
        <is>
          <t>Rate (Rs.)</t>
        </is>
      </c>
      <c r="F519" s="5" t="inlineStr">
        <is>
          <t>Amount (Rs.)</t>
        </is>
      </c>
      <c r="G519" s="5" t="inlineStr">
        <is>
          <t>Note</t>
        </is>
      </c>
    </row>
    <row r="520">
      <c r="A520" s="22" t="inlineStr">
        <is>
          <t>0296</t>
        </is>
      </c>
      <c r="B520" s="11" t="inlineStr">
        <is>
          <t>Stone Aggregate (Single size) : 12.5 mm nominal size</t>
        </is>
      </c>
      <c r="C520" s="22" t="inlineStr">
        <is>
          <t>cum</t>
        </is>
      </c>
      <c r="D520" s="23" t="n">
        <v>0.19</v>
      </c>
      <c r="E520" s="24" t="n">
        <v>1350</v>
      </c>
      <c r="F520" s="24">
        <f>D520*E520</f>
        <v/>
      </c>
      <c r="G520" s="22" t="n"/>
    </row>
    <row r="521">
      <c r="A521" s="22" t="inlineStr">
        <is>
          <t>0297</t>
        </is>
      </c>
      <c r="B521" s="11" t="inlineStr">
        <is>
          <t>Stone Aggregate (Single size) : 10 mm nominal size</t>
        </is>
      </c>
      <c r="C521" s="22" t="inlineStr">
        <is>
          <t>cum</t>
        </is>
      </c>
      <c r="D521" s="23" t="n">
        <v>0.06</v>
      </c>
      <c r="E521" s="24" t="n">
        <v>1350</v>
      </c>
      <c r="F521" s="24">
        <f>D521*E521</f>
        <v/>
      </c>
      <c r="G521" s="22" t="n"/>
    </row>
    <row r="522">
      <c r="A522" s="22" t="inlineStr">
        <is>
          <t>2202</t>
        </is>
      </c>
      <c r="B522" s="11" t="inlineStr">
        <is>
          <t>Carriage of Stone aggregate below 40 mm nominal size</t>
        </is>
      </c>
      <c r="C522" s="22" t="inlineStr">
        <is>
          <t>cum</t>
        </is>
      </c>
      <c r="D522" s="23" t="n">
        <v>0.25</v>
      </c>
      <c r="E522" s="24" t="n">
        <v>103.77</v>
      </c>
      <c r="F522" s="24">
        <f>D522*E522</f>
        <v/>
      </c>
      <c r="G522" s="22" t="n"/>
    </row>
    <row r="523">
      <c r="A523" s="22" t="inlineStr">
        <is>
          <t>0982</t>
        </is>
      </c>
      <c r="B523" s="11" t="inlineStr">
        <is>
          <t>Coarse sand (zone III)</t>
        </is>
      </c>
      <c r="C523" s="22" t="inlineStr">
        <is>
          <t>cum</t>
        </is>
      </c>
      <c r="D523" s="23" t="n">
        <v>0.125</v>
      </c>
      <c r="E523" s="24" t="n">
        <v>1350</v>
      </c>
      <c r="F523" s="24">
        <f>D523*E523</f>
        <v/>
      </c>
      <c r="G523" s="22" t="n"/>
    </row>
    <row r="524">
      <c r="A524" s="22" t="inlineStr">
        <is>
          <t>2203</t>
        </is>
      </c>
      <c r="B524" s="11" t="inlineStr">
        <is>
          <t>Carriage of Coarse sand</t>
        </is>
      </c>
      <c r="C524" s="22" t="inlineStr">
        <is>
          <t>cum</t>
        </is>
      </c>
      <c r="D524" s="23" t="n">
        <v>0.125</v>
      </c>
      <c r="E524" s="24" t="n">
        <v>103.77</v>
      </c>
      <c r="F524" s="24">
        <f>D524*E524</f>
        <v/>
      </c>
      <c r="G524" s="22" t="n"/>
    </row>
    <row r="525">
      <c r="A525" s="22" t="inlineStr">
        <is>
          <t>0367</t>
        </is>
      </c>
      <c r="B525" s="11" t="inlineStr">
        <is>
          <t>Portland Cement</t>
        </is>
      </c>
      <c r="C525" s="22" t="inlineStr">
        <is>
          <t>tonne</t>
        </is>
      </c>
      <c r="D525" s="23" t="n">
        <v>0.0897</v>
      </c>
      <c r="E525" s="24" t="n">
        <v>4940</v>
      </c>
      <c r="F525" s="24">
        <f>D525*E525</f>
        <v/>
      </c>
      <c r="G525" s="22" t="n"/>
    </row>
    <row r="526">
      <c r="A526" s="22" t="inlineStr">
        <is>
          <t>0367</t>
        </is>
      </c>
      <c r="B526" s="11" t="inlineStr">
        <is>
          <t>Portland Cement</t>
        </is>
      </c>
      <c r="C526" s="22" t="inlineStr">
        <is>
          <t>tonne</t>
        </is>
      </c>
      <c r="D526" s="23" t="n">
        <v>0.02</v>
      </c>
      <c r="E526" s="24" t="n">
        <v>4940</v>
      </c>
      <c r="F526" s="24">
        <f>D526*E526</f>
        <v/>
      </c>
      <c r="G526" s="22" t="n"/>
    </row>
    <row r="527">
      <c r="A527" s="22" t="inlineStr">
        <is>
          <t>2209</t>
        </is>
      </c>
      <c r="B527" s="11" t="inlineStr">
        <is>
          <t>Carriage of Cement</t>
        </is>
      </c>
      <c r="C527" s="22" t="inlineStr">
        <is>
          <t>tonne</t>
        </is>
      </c>
      <c r="D527" s="23" t="n">
        <v>0.1097</v>
      </c>
      <c r="E527" s="24" t="n">
        <v>92.23999999999999</v>
      </c>
      <c r="F527" s="24">
        <f>D527*E527</f>
        <v/>
      </c>
      <c r="G527" s="22" t="n"/>
    </row>
    <row r="528">
      <c r="A528" s="22" t="inlineStr">
        <is>
          <t>0788</t>
        </is>
      </c>
      <c r="B528" s="11" t="inlineStr">
        <is>
          <t>Marble chips large size above 4 mm White &amp; black</t>
        </is>
      </c>
      <c r="C528" s="22" t="inlineStr">
        <is>
          <t>quintal</t>
        </is>
      </c>
      <c r="D528" s="23" t="n">
        <v>1.916</v>
      </c>
      <c r="E528" s="24" t="n">
        <v>250</v>
      </c>
      <c r="F528" s="24">
        <f>D528*E528</f>
        <v/>
      </c>
      <c r="G528" s="22" t="n"/>
    </row>
    <row r="529">
      <c r="A529" s="22" t="inlineStr">
        <is>
          <t>2268</t>
        </is>
      </c>
      <c r="B529" s="11" t="inlineStr">
        <is>
          <t>Carriage of Marble dust and marble chips</t>
        </is>
      </c>
      <c r="C529" s="22" t="inlineStr">
        <is>
          <t>cum</t>
        </is>
      </c>
      <c r="D529" s="23" t="n">
        <v>0.1128</v>
      </c>
      <c r="E529" s="24" t="n">
        <v>103.77</v>
      </c>
      <c r="F529" s="24">
        <f>D529*E529</f>
        <v/>
      </c>
      <c r="G529" s="22" t="n"/>
    </row>
    <row r="530">
      <c r="A530" s="22" t="inlineStr">
        <is>
          <t>0367</t>
        </is>
      </c>
      <c r="B530" s="11" t="inlineStr">
        <is>
          <t>Portland Cement</t>
        </is>
      </c>
      <c r="C530" s="22" t="inlineStr">
        <is>
          <t>tonne</t>
        </is>
      </c>
      <c r="D530" s="23" t="n">
        <v>0.081</v>
      </c>
      <c r="E530" s="24" t="n">
        <v>4940</v>
      </c>
      <c r="F530" s="24">
        <f>D530*E530</f>
        <v/>
      </c>
      <c r="G530" s="22" t="n"/>
    </row>
    <row r="531">
      <c r="A531" s="22" t="inlineStr">
        <is>
          <t>2209</t>
        </is>
      </c>
      <c r="B531" s="11" t="inlineStr">
        <is>
          <t>Carriage of Cement</t>
        </is>
      </c>
      <c r="C531" s="22" t="inlineStr">
        <is>
          <t>tonne</t>
        </is>
      </c>
      <c r="D531" s="23" t="n">
        <v>0.081</v>
      </c>
      <c r="E531" s="24" t="n">
        <v>92.23999999999999</v>
      </c>
      <c r="F531" s="24">
        <f>D531*E531</f>
        <v/>
      </c>
      <c r="G531" s="22" t="n"/>
    </row>
    <row r="532">
      <c r="A532" s="22" t="inlineStr">
        <is>
          <t>0784</t>
        </is>
      </c>
      <c r="B532" s="11" t="inlineStr">
        <is>
          <t>Marble dust/ powder</t>
        </is>
      </c>
      <c r="C532" s="22" t="inlineStr">
        <is>
          <t>cum</t>
        </is>
      </c>
      <c r="D532" s="23" t="n">
        <v>0.017</v>
      </c>
      <c r="E532" s="24" t="n">
        <v>1130</v>
      </c>
      <c r="F532" s="24">
        <f>D532*E532</f>
        <v/>
      </c>
      <c r="G532" s="22" t="n"/>
    </row>
    <row r="533">
      <c r="A533" s="22" t="inlineStr">
        <is>
          <t>0124</t>
        </is>
      </c>
      <c r="B533" s="11" t="inlineStr">
        <is>
          <t>Mason (brick layer) 2nd class</t>
        </is>
      </c>
      <c r="C533" s="22" t="inlineStr">
        <is>
          <t>day</t>
        </is>
      </c>
      <c r="D533" s="23" t="n">
        <v>1.79</v>
      </c>
      <c r="E533" s="24" t="n">
        <v>679</v>
      </c>
      <c r="F533" s="24">
        <f>D533*E533</f>
        <v/>
      </c>
      <c r="G533" s="22" t="n"/>
    </row>
    <row r="534">
      <c r="A534" s="22" t="inlineStr">
        <is>
          <t>0114</t>
        </is>
      </c>
      <c r="B534" s="11" t="inlineStr">
        <is>
          <t>Beldar</t>
        </is>
      </c>
      <c r="C534" s="22" t="inlineStr">
        <is>
          <t>day</t>
        </is>
      </c>
      <c r="D534" s="23" t="n">
        <v>1.99</v>
      </c>
      <c r="E534" s="24" t="n">
        <v>558</v>
      </c>
      <c r="F534" s="24">
        <f>D534*E534</f>
        <v/>
      </c>
      <c r="G534" s="22" t="n"/>
    </row>
    <row r="535">
      <c r="A535" s="22" t="inlineStr">
        <is>
          <t>0101</t>
        </is>
      </c>
      <c r="B535" s="11" t="inlineStr">
        <is>
          <t>Bhisti</t>
        </is>
      </c>
      <c r="C535" s="22" t="inlineStr">
        <is>
          <t>day</t>
        </is>
      </c>
      <c r="D535" s="23" t="n">
        <v>1.04</v>
      </c>
      <c r="E535" s="24" t="n">
        <v>617</v>
      </c>
      <c r="F535" s="24">
        <f>D535*E535</f>
        <v/>
      </c>
      <c r="G535" s="22" t="n"/>
    </row>
    <row r="536">
      <c r="A536" s="22" t="inlineStr">
        <is>
          <t>0139</t>
        </is>
      </c>
      <c r="B536" s="11" t="inlineStr">
        <is>
          <t>Skilled Beldar (for floor rubbing etc.)</t>
        </is>
      </c>
      <c r="C536" s="22" t="inlineStr">
        <is>
          <t>day</t>
        </is>
      </c>
      <c r="D536" s="23" t="n">
        <v>1</v>
      </c>
      <c r="E536" s="24" t="n">
        <v>617</v>
      </c>
      <c r="F536" s="24">
        <f>D536*E536</f>
        <v/>
      </c>
      <c r="G536" s="22" t="n"/>
    </row>
    <row r="537">
      <c r="A537" s="22" t="inlineStr">
        <is>
          <t>0127</t>
        </is>
      </c>
      <c r="B537" s="11" t="inlineStr">
        <is>
          <t>Driver (for Road Roller, Concrete Mixer, Truck etc.)</t>
        </is>
      </c>
      <c r="C537" s="22" t="inlineStr">
        <is>
          <t>day</t>
        </is>
      </c>
      <c r="D537" s="23" t="n">
        <v>0.03</v>
      </c>
      <c r="E537" s="24" t="n">
        <v>738</v>
      </c>
      <c r="F537" s="24">
        <f>D537*E537</f>
        <v/>
      </c>
      <c r="G537" s="22" t="n"/>
    </row>
    <row r="538">
      <c r="A538" s="22" t="inlineStr">
        <is>
          <t>0002</t>
        </is>
      </c>
      <c r="B538" s="11" t="inlineStr">
        <is>
          <t>Hire charges of Concrete Mixer 0.25 to 0.40 cum with hooper</t>
        </is>
      </c>
      <c r="C538" s="22" t="inlineStr">
        <is>
          <t>day</t>
        </is>
      </c>
      <c r="D538" s="23" t="n">
        <v>0.03</v>
      </c>
      <c r="E538" s="24" t="n">
        <v>800</v>
      </c>
      <c r="F538" s="24">
        <f>D538*E538</f>
        <v/>
      </c>
      <c r="G538" s="22" t="n"/>
    </row>
    <row r="539">
      <c r="A539" s="22" t="inlineStr">
        <is>
          <t>0013</t>
        </is>
      </c>
      <c r="B539" s="11" t="inlineStr">
        <is>
          <t>Machine for rubbing of floors</t>
        </is>
      </c>
      <c r="C539" s="22" t="inlineStr">
        <is>
          <t>day</t>
        </is>
      </c>
      <c r="D539" s="23" t="n">
        <v>1.6</v>
      </c>
      <c r="E539" s="24" t="n">
        <v>300</v>
      </c>
      <c r="F539" s="24">
        <f>D539*E539</f>
        <v/>
      </c>
      <c r="G539" s="22" t="n"/>
    </row>
    <row r="540">
      <c r="A540" s="22" t="inlineStr">
        <is>
          <t>9999</t>
        </is>
      </c>
      <c r="B540" s="11" t="inlineStr">
        <is>
          <t>Sundries</t>
        </is>
      </c>
      <c r="C540" s="22" t="inlineStr">
        <is>
          <t>L.S.</t>
        </is>
      </c>
      <c r="D540" s="23" t="n">
        <v>134.55</v>
      </c>
      <c r="E540" s="24" t="n">
        <v>2</v>
      </c>
      <c r="F540" s="24">
        <f>D540*E540</f>
        <v/>
      </c>
      <c r="G540" s="22" t="n"/>
    </row>
    <row r="541">
      <c r="A541" s="8" t="inlineStr">
        <is>
          <t>Calculated W - SUM of the Amount column above</t>
        </is>
      </c>
      <c r="B541" s="9" t="n"/>
      <c r="C541" s="9" t="n"/>
      <c r="D541" s="9" t="n"/>
      <c r="E541" s="9" t="n"/>
      <c r="F541" s="25">
        <f>SUM(F520:F540)</f>
        <v/>
      </c>
      <c r="G541" s="9" t="n"/>
    </row>
    <row r="542">
      <c r="A542" s="26" t="inlineStr">
        <is>
          <t>W as printed in the DAR</t>
        </is>
      </c>
      <c r="B542" s="22" t="n"/>
      <c r="C542" s="22" t="n"/>
      <c r="D542" s="22" t="n"/>
      <c r="E542" s="22" t="n"/>
      <c r="F542" s="27" t="n">
        <v>6394.48</v>
      </c>
      <c r="G542" s="22" t="n"/>
    </row>
    <row r="543">
      <c r="A543" s="26" t="inlineStr">
        <is>
          <t>Difference (calculated - printed)</t>
        </is>
      </c>
      <c r="B543" s="22" t="n"/>
      <c r="C543" s="22" t="n"/>
      <c r="D543" s="22" t="n"/>
      <c r="E543" s="22" t="n"/>
      <c r="F543" s="27">
        <f>F541-F542</f>
        <v/>
      </c>
      <c r="G543" s="22" t="n"/>
    </row>
    <row r="544">
      <c r="A544" s="29" t="inlineStr">
        <is>
          <t>SAY (Rs.) - final DAR rate as printed (fixed value, not computed)</t>
        </is>
      </c>
      <c r="B544" s="30" t="n"/>
      <c r="C544" s="30" t="n"/>
      <c r="D544" s="30" t="n"/>
      <c r="E544" s="30" t="n"/>
      <c r="F544" s="31" t="n">
        <v>855.55</v>
      </c>
      <c r="G544" s="30" t="n"/>
    </row>
    <row r="546" ht="47.5" customHeight="1">
      <c r="A546" s="8" t="inlineStr">
        <is>
          <t>11.12</t>
        </is>
      </c>
      <c r="B546"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546" s="9" t="n"/>
      <c r="D546" s="9" t="n"/>
      <c r="E546" s="9" t="n"/>
      <c r="F546" s="9" t="n"/>
      <c r="G546" s="9" t="n"/>
    </row>
    <row r="547" ht="18.5" customHeight="1">
      <c r="A547" s="8" t="inlineStr">
        <is>
          <t>11.12.1</t>
        </is>
      </c>
      <c r="B547" s="17" t="inlineStr">
        <is>
          <t>18 mm thick with under layer 12 mm thick in cement plaster 1:3 (1 cement : 3 coarse sand) :</t>
        </is>
      </c>
      <c r="C547" s="9" t="n"/>
      <c r="D547" s="9" t="n"/>
      <c r="E547" s="9" t="n"/>
      <c r="F547" s="9" t="n"/>
      <c r="G547" s="9" t="n"/>
    </row>
    <row r="548" ht="18.5" customHeight="1">
      <c r="A548" s="18" t="inlineStr">
        <is>
          <t>11.12.1.1</t>
        </is>
      </c>
      <c r="B548" s="19" t="inlineStr">
        <is>
          <t>Dark shade pigment with ordinary cement</t>
        </is>
      </c>
      <c r="C548" s="20" t="n"/>
      <c r="D548" s="20" t="n"/>
      <c r="E548" s="20" t="n"/>
      <c r="F548" s="20" t="n"/>
      <c r="G548" s="20" t="n"/>
    </row>
    <row r="549">
      <c r="A549" s="21" t="inlineStr">
        <is>
          <t>Details of cost for 10 sqm   |   Source: CivilDAR_2019_Vol_1.pdf, page 742</t>
        </is>
      </c>
    </row>
    <row r="550">
      <c r="A550" s="5" t="inlineStr">
        <is>
          <t>Code</t>
        </is>
      </c>
      <c r="B550" s="5" t="inlineStr">
        <is>
          <t>Description</t>
        </is>
      </c>
      <c r="C550" s="5" t="inlineStr">
        <is>
          <t>Unit</t>
        </is>
      </c>
      <c r="D550" s="5" t="inlineStr">
        <is>
          <t>Quantity</t>
        </is>
      </c>
      <c r="E550" s="5" t="inlineStr">
        <is>
          <t>Rate (Rs.)</t>
        </is>
      </c>
      <c r="F550" s="5" t="inlineStr">
        <is>
          <t>Amount (Rs.)</t>
        </is>
      </c>
      <c r="G550" s="5" t="inlineStr">
        <is>
          <t>Note</t>
        </is>
      </c>
    </row>
    <row r="551">
      <c r="A551" s="7" t="inlineStr">
        <is>
          <t>3.8</t>
        </is>
      </c>
      <c r="B551" s="11" t="inlineStr">
        <is>
          <t>Rate as per item 3.8 - Cement mortar 1:3 (1 cement : 3 coarse sand)</t>
        </is>
      </c>
      <c r="C551" s="22" t="inlineStr">
        <is>
          <t>cum</t>
        </is>
      </c>
      <c r="D551" s="23" t="n">
        <v>0.174</v>
      </c>
      <c r="E551" s="24" t="n">
        <v>4664.55</v>
      </c>
      <c r="F551" s="24">
        <f>D551*E551</f>
        <v/>
      </c>
      <c r="G551" s="22" t="n"/>
    </row>
    <row r="552">
      <c r="A552" s="22" t="inlineStr">
        <is>
          <t>0785</t>
        </is>
      </c>
      <c r="B552" s="11" t="inlineStr">
        <is>
          <t>Marble chips upto 4mm and downsize White &amp; black</t>
        </is>
      </c>
      <c r="C552" s="22" t="inlineStr">
        <is>
          <t>quintal</t>
        </is>
      </c>
      <c r="D552" s="23" t="n">
        <v>0.872</v>
      </c>
      <c r="E552" s="24" t="n">
        <v>189</v>
      </c>
      <c r="F552" s="24">
        <f>D552*E552</f>
        <v/>
      </c>
      <c r="G552" s="22" t="n"/>
    </row>
    <row r="553">
      <c r="A553" s="22" t="inlineStr">
        <is>
          <t>2268</t>
        </is>
      </c>
      <c r="B553" s="11" t="inlineStr">
        <is>
          <t>Carriage of Marble dust and marble chips</t>
        </is>
      </c>
      <c r="C553" s="22" t="inlineStr">
        <is>
          <t>cum</t>
        </is>
      </c>
      <c r="D553" s="23" t="n">
        <v>0.051</v>
      </c>
      <c r="E553" s="24" t="n">
        <v>103.77</v>
      </c>
      <c r="F553" s="24">
        <f>D553*E553</f>
        <v/>
      </c>
      <c r="G553" s="22" t="n"/>
    </row>
    <row r="554">
      <c r="A554" s="22" t="inlineStr">
        <is>
          <t>0367</t>
        </is>
      </c>
      <c r="B554" s="11" t="inlineStr">
        <is>
          <t>Portland Cement</t>
        </is>
      </c>
      <c r="C554" s="22" t="inlineStr">
        <is>
          <t>tonne</t>
        </is>
      </c>
      <c r="D554" s="23" t="n">
        <v>0.0405</v>
      </c>
      <c r="E554" s="24" t="n">
        <v>4940</v>
      </c>
      <c r="F554" s="24">
        <f>D554*E554</f>
        <v/>
      </c>
      <c r="G554" s="22" t="n"/>
    </row>
    <row r="555">
      <c r="A555" s="22" t="inlineStr">
        <is>
          <t>2209</t>
        </is>
      </c>
      <c r="B555" s="11" t="inlineStr">
        <is>
          <t>Carriage of Cement</t>
        </is>
      </c>
      <c r="C555" s="22" t="inlineStr">
        <is>
          <t>tonne</t>
        </is>
      </c>
      <c r="D555" s="23" t="n">
        <v>0.0405</v>
      </c>
      <c r="E555" s="24" t="n">
        <v>92.23999999999999</v>
      </c>
      <c r="F555" s="24">
        <f>D555*E555</f>
        <v/>
      </c>
      <c r="G555" s="22" t="n"/>
    </row>
    <row r="556">
      <c r="A556" s="22" t="inlineStr">
        <is>
          <t>0784</t>
        </is>
      </c>
      <c r="B556" s="11" t="inlineStr">
        <is>
          <t>Marble dust/ powder</t>
        </is>
      </c>
      <c r="C556" s="22" t="inlineStr">
        <is>
          <t>cum</t>
        </is>
      </c>
      <c r="D556" s="23" t="n">
        <v>0.007</v>
      </c>
      <c r="E556" s="24" t="n">
        <v>1130</v>
      </c>
      <c r="F556" s="24">
        <f>D556*E556</f>
        <v/>
      </c>
      <c r="G556" s="22" t="n"/>
    </row>
    <row r="557">
      <c r="A557" s="22" t="inlineStr">
        <is>
          <t>0874</t>
        </is>
      </c>
      <c r="B557" s="11" t="inlineStr">
        <is>
          <t>Black colour dark shade pigment</t>
        </is>
      </c>
      <c r="C557" s="22" t="inlineStr">
        <is>
          <t>kilogram</t>
        </is>
      </c>
      <c r="D557" s="23" t="n">
        <v>2.84</v>
      </c>
      <c r="E557" s="24" t="n">
        <v>70</v>
      </c>
      <c r="F557" s="24">
        <f>D557*E557</f>
        <v/>
      </c>
      <c r="G557" s="22" t="n"/>
    </row>
    <row r="558">
      <c r="A558" s="22" t="inlineStr">
        <is>
          <t>9977</t>
        </is>
      </c>
      <c r="B558" s="11" t="inlineStr">
        <is>
          <t>Carriage of pigment &amp; marble powder etc.</t>
        </is>
      </c>
      <c r="C558" s="22" t="inlineStr">
        <is>
          <t>L.S.</t>
        </is>
      </c>
      <c r="D558" s="23" t="n">
        <v>3.64</v>
      </c>
      <c r="E558" s="24" t="n">
        <v>2</v>
      </c>
      <c r="F558" s="24">
        <f>D558*E558</f>
        <v/>
      </c>
      <c r="G558" s="22" t="n"/>
    </row>
    <row r="559">
      <c r="A559" s="22" t="inlineStr">
        <is>
          <t>0124</t>
        </is>
      </c>
      <c r="B559" s="11" t="inlineStr">
        <is>
          <t>Mason (brick layer) 2nd class</t>
        </is>
      </c>
      <c r="C559" s="22" t="inlineStr">
        <is>
          <t>day</t>
        </is>
      </c>
      <c r="D559" s="23" t="n">
        <v>3</v>
      </c>
      <c r="E559" s="24" t="n">
        <v>679</v>
      </c>
      <c r="F559" s="24">
        <f>D559*E559</f>
        <v/>
      </c>
      <c r="G559" s="22" t="n"/>
    </row>
    <row r="560">
      <c r="A560" s="22" t="inlineStr">
        <is>
          <t>0114</t>
        </is>
      </c>
      <c r="B560" s="11" t="inlineStr">
        <is>
          <t>Beldar</t>
        </is>
      </c>
      <c r="C560" s="22" t="inlineStr">
        <is>
          <t>day</t>
        </is>
      </c>
      <c r="D560" s="23" t="n">
        <v>3</v>
      </c>
      <c r="E560" s="24" t="n">
        <v>558</v>
      </c>
      <c r="F560" s="24">
        <f>D560*E560</f>
        <v/>
      </c>
      <c r="G560" s="22" t="n"/>
    </row>
    <row r="561">
      <c r="A561" s="22" t="inlineStr">
        <is>
          <t>0101</t>
        </is>
      </c>
      <c r="B561" s="11" t="inlineStr">
        <is>
          <t>Bhisti</t>
        </is>
      </c>
      <c r="C561" s="22" t="inlineStr">
        <is>
          <t>day</t>
        </is>
      </c>
      <c r="D561" s="23" t="n">
        <v>1</v>
      </c>
      <c r="E561" s="24" t="n">
        <v>617</v>
      </c>
      <c r="F561" s="24">
        <f>D561*E561</f>
        <v/>
      </c>
      <c r="G561" s="22" t="n"/>
    </row>
    <row r="562">
      <c r="A562" s="22" t="inlineStr">
        <is>
          <t>0139</t>
        </is>
      </c>
      <c r="B562" s="11" t="inlineStr">
        <is>
          <t>Skilled Beldar (for floor rubbing etc.)</t>
        </is>
      </c>
      <c r="C562" s="22" t="inlineStr">
        <is>
          <t>day</t>
        </is>
      </c>
      <c r="D562" s="23" t="n">
        <v>7</v>
      </c>
      <c r="E562" s="24" t="n">
        <v>617</v>
      </c>
      <c r="F562" s="24">
        <f>D562*E562</f>
        <v/>
      </c>
      <c r="G562" s="22" t="n"/>
    </row>
    <row r="563">
      <c r="A563" s="22" t="inlineStr">
        <is>
          <t>9999</t>
        </is>
      </c>
      <c r="B563" s="11" t="inlineStr">
        <is>
          <t>Sundries</t>
        </is>
      </c>
      <c r="C563" s="22" t="inlineStr">
        <is>
          <t>L.S.</t>
        </is>
      </c>
      <c r="D563" s="23" t="n">
        <v>201.89</v>
      </c>
      <c r="E563" s="24" t="n">
        <v>2</v>
      </c>
      <c r="F563" s="24">
        <f>D563*E563</f>
        <v/>
      </c>
      <c r="G563" s="22" t="n"/>
    </row>
    <row r="564">
      <c r="A564" s="8" t="inlineStr">
        <is>
          <t>Calculated W - SUM of the Amount column above</t>
        </is>
      </c>
      <c r="B564" s="9" t="n"/>
      <c r="C564" s="9" t="n"/>
      <c r="D564" s="9" t="n"/>
      <c r="E564" s="9" t="n"/>
      <c r="F564" s="25">
        <f>SUM(F551:F563)</f>
        <v/>
      </c>
      <c r="G564" s="9" t="n"/>
    </row>
    <row r="565">
      <c r="A565" s="26" t="inlineStr">
        <is>
          <t>W as printed in the DAR</t>
        </is>
      </c>
      <c r="B565" s="22" t="n"/>
      <c r="C565" s="22" t="n"/>
      <c r="D565" s="22" t="n"/>
      <c r="E565" s="22" t="n"/>
      <c r="F565" s="27" t="n">
        <v>10450.31</v>
      </c>
      <c r="G565" s="22" t="n"/>
    </row>
    <row r="566">
      <c r="A566" s="26" t="inlineStr">
        <is>
          <t>Difference (calculated - printed)</t>
        </is>
      </c>
      <c r="B566" s="22" t="n"/>
      <c r="C566" s="22" t="n"/>
      <c r="D566" s="22" t="n"/>
      <c r="E566" s="22" t="n"/>
      <c r="F566" s="27">
        <f>F564-F565</f>
        <v/>
      </c>
      <c r="G566" s="22" t="n"/>
    </row>
    <row r="567">
      <c r="A567" s="29" t="inlineStr">
        <is>
          <t>SAY (Rs.) - final DAR rate as printed (fixed value, not computed)</t>
        </is>
      </c>
      <c r="B567" s="30" t="n"/>
      <c r="C567" s="30" t="n"/>
      <c r="D567" s="30" t="n"/>
      <c r="E567" s="30" t="n"/>
      <c r="F567" s="31" t="n">
        <v>1398.2</v>
      </c>
      <c r="G567" s="30" t="n"/>
    </row>
    <row r="569" ht="47.5" customHeight="1">
      <c r="A569" s="8" t="inlineStr">
        <is>
          <t>11.12</t>
        </is>
      </c>
      <c r="B569"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569" s="9" t="n"/>
      <c r="D569" s="9" t="n"/>
      <c r="E569" s="9" t="n"/>
      <c r="F569" s="9" t="n"/>
      <c r="G569" s="9" t="n"/>
    </row>
    <row r="570" ht="18.5" customHeight="1">
      <c r="A570" s="8" t="inlineStr">
        <is>
          <t>11.12.1</t>
        </is>
      </c>
      <c r="B570" s="17" t="inlineStr">
        <is>
          <t>18 mm thick with under layer 12 mm thick in cement plaster 1:3 (1 cement : 3 coarse sand) :</t>
        </is>
      </c>
      <c r="C570" s="9" t="n"/>
      <c r="D570" s="9" t="n"/>
      <c r="E570" s="9" t="n"/>
      <c r="F570" s="9" t="n"/>
      <c r="G570" s="9" t="n"/>
    </row>
    <row r="571" ht="18.5" customHeight="1">
      <c r="A571" s="18" t="inlineStr">
        <is>
          <t>11.12.1.2</t>
        </is>
      </c>
      <c r="B571" s="19" t="inlineStr">
        <is>
          <t>Light shade pigment with white cement</t>
        </is>
      </c>
      <c r="C571" s="20" t="n"/>
      <c r="D571" s="20" t="n"/>
      <c r="E571" s="20" t="n"/>
      <c r="F571" s="20" t="n"/>
      <c r="G571" s="20" t="n"/>
    </row>
    <row r="572">
      <c r="A572" s="21" t="inlineStr">
        <is>
          <t>Details of cost for 10 sqm   |   Source: CivilDAR_2019_Vol_1.pdf, page 743</t>
        </is>
      </c>
    </row>
    <row r="573">
      <c r="A573" s="5" t="inlineStr">
        <is>
          <t>Code</t>
        </is>
      </c>
      <c r="B573" s="5" t="inlineStr">
        <is>
          <t>Description</t>
        </is>
      </c>
      <c r="C573" s="5" t="inlineStr">
        <is>
          <t>Unit</t>
        </is>
      </c>
      <c r="D573" s="5" t="inlineStr">
        <is>
          <t>Quantity</t>
        </is>
      </c>
      <c r="E573" s="5" t="inlineStr">
        <is>
          <t>Rate (Rs.)</t>
        </is>
      </c>
      <c r="F573" s="5" t="inlineStr">
        <is>
          <t>Amount (Rs.)</t>
        </is>
      </c>
      <c r="G573" s="5" t="inlineStr">
        <is>
          <t>Note</t>
        </is>
      </c>
    </row>
    <row r="574">
      <c r="A574" s="7" t="inlineStr">
        <is>
          <t>11.12.1.1</t>
        </is>
      </c>
      <c r="B574" s="11" t="inlineStr">
        <is>
          <t>Rate as per item 11.12.1.1 - Marble chips skirting up to 30 cm height, rubbed and polished to granolithic finish, top layer 6 mm thick w...</t>
        </is>
      </c>
      <c r="C574" s="22" t="inlineStr">
        <is>
          <t>sqm</t>
        </is>
      </c>
      <c r="D574" s="23" t="n">
        <v>10</v>
      </c>
      <c r="E574" s="24" t="n">
        <v>1398.2</v>
      </c>
      <c r="F574" s="24">
        <f>D574*E574</f>
        <v/>
      </c>
      <c r="G574" s="22" t="n"/>
    </row>
    <row r="575">
      <c r="A575" s="22" t="inlineStr">
        <is>
          <t>0875</t>
        </is>
      </c>
      <c r="B575" s="11" t="inlineStr">
        <is>
          <t>Red, chocolate, orange, buff or yellow (red oxide of iron) light shade pigment</t>
        </is>
      </c>
      <c r="C575" s="22" t="inlineStr">
        <is>
          <t>kilogram</t>
        </is>
      </c>
      <c r="D575" s="23" t="n">
        <v>2.84</v>
      </c>
      <c r="E575" s="24" t="n">
        <v>60</v>
      </c>
      <c r="F575" s="24">
        <f>D575*E575</f>
        <v/>
      </c>
      <c r="G575" s="22" t="n"/>
    </row>
    <row r="576">
      <c r="A576" s="22" t="inlineStr">
        <is>
          <t>0874</t>
        </is>
      </c>
      <c r="B576" s="11" t="inlineStr">
        <is>
          <t>Black colour dark shade pigment</t>
        </is>
      </c>
      <c r="C576" s="22" t="inlineStr">
        <is>
          <t>kilogram</t>
        </is>
      </c>
      <c r="D576" s="23" t="n">
        <v>-2.84</v>
      </c>
      <c r="E576" s="24" t="n">
        <v>70</v>
      </c>
      <c r="F576" s="24">
        <f>D576*E576</f>
        <v/>
      </c>
      <c r="G576" s="22" t="n"/>
    </row>
    <row r="577">
      <c r="A577" s="22" t="inlineStr">
        <is>
          <t>0368</t>
        </is>
      </c>
      <c r="B577" s="11" t="inlineStr">
        <is>
          <t>White Cement</t>
        </is>
      </c>
      <c r="C577" s="22" t="inlineStr">
        <is>
          <t>tonne</t>
        </is>
      </c>
      <c r="D577" s="23" t="n">
        <v>0.0405</v>
      </c>
      <c r="E577" s="24" t="n">
        <v>11200</v>
      </c>
      <c r="F577" s="24">
        <f>D577*E577</f>
        <v/>
      </c>
      <c r="G577" s="22" t="n"/>
    </row>
    <row r="578">
      <c r="A578" s="22" t="inlineStr">
        <is>
          <t>0367</t>
        </is>
      </c>
      <c r="B578" s="11" t="inlineStr">
        <is>
          <t>Portland Cement</t>
        </is>
      </c>
      <c r="C578" s="22" t="inlineStr">
        <is>
          <t>tonne</t>
        </is>
      </c>
      <c r="D578" s="23" t="n">
        <v>-0.0405</v>
      </c>
      <c r="E578" s="24" t="n">
        <v>4940</v>
      </c>
      <c r="F578" s="24">
        <f>D578*E578</f>
        <v/>
      </c>
      <c r="G578" s="22" t="n"/>
    </row>
    <row r="579">
      <c r="A579" s="8" t="inlineStr">
        <is>
          <t>Calculated W - SUM of the Amount column above</t>
        </is>
      </c>
      <c r="B579" s="9" t="n"/>
      <c r="C579" s="9" t="n"/>
      <c r="D579" s="9" t="n"/>
      <c r="E579" s="9" t="n"/>
      <c r="F579" s="25">
        <f>SUM(F574:F578)</f>
        <v/>
      </c>
      <c r="G579" s="9" t="n"/>
    </row>
    <row r="580">
      <c r="A580" s="26" t="inlineStr">
        <is>
          <t>W as printed in the DAR</t>
        </is>
      </c>
      <c r="B580" s="22" t="n"/>
      <c r="C580" s="22" t="n"/>
      <c r="D580" s="22" t="n"/>
      <c r="E580" s="22" t="n"/>
      <c r="F580" s="27" t="n">
        <v>14207.13</v>
      </c>
      <c r="G580" s="22" t="n"/>
    </row>
    <row r="581">
      <c r="A581" s="26" t="inlineStr">
        <is>
          <t>Difference (calculated - printed)</t>
        </is>
      </c>
      <c r="B581" s="22" t="n"/>
      <c r="C581" s="22" t="n"/>
      <c r="D581" s="22" t="n"/>
      <c r="E581" s="22" t="n"/>
      <c r="F581" s="27">
        <f>F579-F580</f>
        <v/>
      </c>
      <c r="G581" s="22" t="n"/>
    </row>
    <row r="582">
      <c r="A582" s="29" t="inlineStr">
        <is>
          <t>SAY (Rs.) - final DAR rate as printed (fixed value, not computed)</t>
        </is>
      </c>
      <c r="B582" s="30" t="n"/>
      <c r="C582" s="30" t="n"/>
      <c r="D582" s="30" t="n"/>
      <c r="E582" s="30" t="n"/>
      <c r="F582" s="31" t="n">
        <v>1428.3</v>
      </c>
      <c r="G582" s="30" t="n"/>
    </row>
    <row r="584" ht="47.5" customHeight="1">
      <c r="A584" s="8" t="inlineStr">
        <is>
          <t>11.12</t>
        </is>
      </c>
      <c r="B584"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584" s="9" t="n"/>
      <c r="D584" s="9" t="n"/>
      <c r="E584" s="9" t="n"/>
      <c r="F584" s="9" t="n"/>
      <c r="G584" s="9" t="n"/>
    </row>
    <row r="585" ht="18.5" customHeight="1">
      <c r="A585" s="8" t="inlineStr">
        <is>
          <t>11.12.1</t>
        </is>
      </c>
      <c r="B585" s="17" t="inlineStr">
        <is>
          <t>18 mm thick with under layer 12 mm thick in cement plaster 1:3 (1 cement : 3 coarse sand) :</t>
        </is>
      </c>
      <c r="C585" s="9" t="n"/>
      <c r="D585" s="9" t="n"/>
      <c r="E585" s="9" t="n"/>
      <c r="F585" s="9" t="n"/>
      <c r="G585" s="9" t="n"/>
    </row>
    <row r="586" ht="18.5" customHeight="1">
      <c r="A586" s="18" t="inlineStr">
        <is>
          <t>11.12.1.3</t>
        </is>
      </c>
      <c r="B586" s="19" t="inlineStr">
        <is>
          <t>Medium shade pigment with 50% white cement and 50% ordinary cement</t>
        </is>
      </c>
      <c r="C586" s="20" t="n"/>
      <c r="D586" s="20" t="n"/>
      <c r="E586" s="20" t="n"/>
      <c r="F586" s="20" t="n"/>
      <c r="G586" s="20" t="n"/>
    </row>
    <row r="587">
      <c r="A587" s="21" t="inlineStr">
        <is>
          <t>Details of cost for 10 sqm   |   Source: CivilDAR_2019_Vol_1.pdf, page 744</t>
        </is>
      </c>
    </row>
    <row r="588">
      <c r="A588" s="5" t="inlineStr">
        <is>
          <t>Code</t>
        </is>
      </c>
      <c r="B588" s="5" t="inlineStr">
        <is>
          <t>Description</t>
        </is>
      </c>
      <c r="C588" s="5" t="inlineStr">
        <is>
          <t>Unit</t>
        </is>
      </c>
      <c r="D588" s="5" t="inlineStr">
        <is>
          <t>Quantity</t>
        </is>
      </c>
      <c r="E588" s="5" t="inlineStr">
        <is>
          <t>Rate (Rs.)</t>
        </is>
      </c>
      <c r="F588" s="5" t="inlineStr">
        <is>
          <t>Amount (Rs.)</t>
        </is>
      </c>
      <c r="G588" s="5" t="inlineStr">
        <is>
          <t>Note</t>
        </is>
      </c>
    </row>
    <row r="589">
      <c r="A589" s="7" t="inlineStr">
        <is>
          <t>11.12.1.1</t>
        </is>
      </c>
      <c r="B589" s="11" t="inlineStr">
        <is>
          <t>Rate as per item 11.12.1.1 - Marble chips skirting up to 30 cm height, rubbed and polished to granolithic finish, top layer 6 mm thick w...</t>
        </is>
      </c>
      <c r="C589" s="22" t="inlineStr">
        <is>
          <t>sqm</t>
        </is>
      </c>
      <c r="D589" s="23" t="n">
        <v>10</v>
      </c>
      <c r="E589" s="24" t="n">
        <v>1398.2</v>
      </c>
      <c r="F589" s="24">
        <f>D589*E589</f>
        <v/>
      </c>
      <c r="G589" s="22" t="n"/>
    </row>
    <row r="590">
      <c r="A590" s="22" t="inlineStr">
        <is>
          <t>0876</t>
        </is>
      </c>
      <c r="B590" s="11" t="inlineStr">
        <is>
          <t>Green or blue medium shade pigment</t>
        </is>
      </c>
      <c r="C590" s="22" t="inlineStr">
        <is>
          <t>kilogram</t>
        </is>
      </c>
      <c r="D590" s="23" t="n">
        <v>2.84</v>
      </c>
      <c r="E590" s="24" t="n">
        <v>56</v>
      </c>
      <c r="F590" s="24">
        <f>D590*E590</f>
        <v/>
      </c>
      <c r="G590" s="22" t="n"/>
    </row>
    <row r="591">
      <c r="A591" s="22" t="inlineStr">
        <is>
          <t>0874</t>
        </is>
      </c>
      <c r="B591" s="11" t="inlineStr">
        <is>
          <t>Black colour dark shade pigment</t>
        </is>
      </c>
      <c r="C591" s="22" t="inlineStr">
        <is>
          <t>kilogram</t>
        </is>
      </c>
      <c r="D591" s="23" t="n">
        <v>-2.84</v>
      </c>
      <c r="E591" s="24" t="n">
        <v>70</v>
      </c>
      <c r="F591" s="24">
        <f>D591*E591</f>
        <v/>
      </c>
      <c r="G591" s="22" t="n"/>
    </row>
    <row r="592">
      <c r="A592" s="22" t="inlineStr">
        <is>
          <t>0368</t>
        </is>
      </c>
      <c r="B592" s="11" t="inlineStr">
        <is>
          <t>White Cement</t>
        </is>
      </c>
      <c r="C592" s="22" t="inlineStr">
        <is>
          <t>tonne</t>
        </is>
      </c>
      <c r="D592" s="23" t="n">
        <v>0.0203</v>
      </c>
      <c r="E592" s="24" t="n">
        <v>11200</v>
      </c>
      <c r="F592" s="24">
        <f>D592*E592</f>
        <v/>
      </c>
      <c r="G592" s="22" t="n"/>
    </row>
    <row r="593">
      <c r="A593" s="22" t="inlineStr">
        <is>
          <t>0367</t>
        </is>
      </c>
      <c r="B593" s="11" t="inlineStr">
        <is>
          <t>Portland Cement</t>
        </is>
      </c>
      <c r="C593" s="22" t="inlineStr">
        <is>
          <t>tonne</t>
        </is>
      </c>
      <c r="D593" s="23" t="n">
        <v>-0.0203</v>
      </c>
      <c r="E593" s="24" t="n">
        <v>4940</v>
      </c>
      <c r="F593" s="24">
        <f>D593*E593</f>
        <v/>
      </c>
      <c r="G593" s="22" t="n"/>
    </row>
    <row r="594">
      <c r="A594" s="8" t="inlineStr">
        <is>
          <t>Calculated W - SUM of the Amount column above</t>
        </is>
      </c>
      <c r="B594" s="9" t="n"/>
      <c r="C594" s="9" t="n"/>
      <c r="D594" s="9" t="n"/>
      <c r="E594" s="9" t="n"/>
      <c r="F594" s="25">
        <f>SUM(F589:F593)</f>
        <v/>
      </c>
      <c r="G594" s="9" t="n"/>
    </row>
    <row r="595">
      <c r="A595" s="26" t="inlineStr">
        <is>
          <t>W as printed in the DAR</t>
        </is>
      </c>
      <c r="B595" s="22" t="n"/>
      <c r="C595" s="22" t="n"/>
      <c r="D595" s="22" t="n"/>
      <c r="E595" s="22" t="n"/>
      <c r="F595" s="27" t="n">
        <v>14069.32</v>
      </c>
      <c r="G595" s="22" t="n"/>
    </row>
    <row r="596">
      <c r="A596" s="26" t="inlineStr">
        <is>
          <t>Difference (calculated - printed)</t>
        </is>
      </c>
      <c r="B596" s="22" t="n"/>
      <c r="C596" s="22" t="n"/>
      <c r="D596" s="22" t="n"/>
      <c r="E596" s="22" t="n"/>
      <c r="F596" s="27">
        <f>F594-F595</f>
        <v/>
      </c>
      <c r="G596" s="22" t="n"/>
    </row>
    <row r="597">
      <c r="A597" s="29" t="inlineStr">
        <is>
          <t>SAY (Rs.) - final DAR rate as printed (fixed value, not computed)</t>
        </is>
      </c>
      <c r="B597" s="30" t="n"/>
      <c r="C597" s="30" t="n"/>
      <c r="D597" s="30" t="n"/>
      <c r="E597" s="30" t="n"/>
      <c r="F597" s="31" t="n">
        <v>1409.9</v>
      </c>
      <c r="G597" s="30" t="n"/>
    </row>
    <row r="599" ht="47.5" customHeight="1">
      <c r="A599" s="8" t="inlineStr">
        <is>
          <t>11.12</t>
        </is>
      </c>
      <c r="B599"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599" s="9" t="n"/>
      <c r="D599" s="9" t="n"/>
      <c r="E599" s="9" t="n"/>
      <c r="F599" s="9" t="n"/>
      <c r="G599" s="9" t="n"/>
    </row>
    <row r="600" ht="18.5" customHeight="1">
      <c r="A600" s="8" t="inlineStr">
        <is>
          <t>11.12.1</t>
        </is>
      </c>
      <c r="B600" s="17" t="inlineStr">
        <is>
          <t>18 mm thick with under layer 12 mm thick in cement plaster 1:3 (1 cement : 3 coarse sand) :</t>
        </is>
      </c>
      <c r="C600" s="9" t="n"/>
      <c r="D600" s="9" t="n"/>
      <c r="E600" s="9" t="n"/>
      <c r="F600" s="9" t="n"/>
      <c r="G600" s="9" t="n"/>
    </row>
    <row r="601" ht="18.5" customHeight="1">
      <c r="A601" s="18" t="inlineStr">
        <is>
          <t>11.12.1.4</t>
        </is>
      </c>
      <c r="B601" s="19" t="inlineStr">
        <is>
          <t>White cement without any pigment</t>
        </is>
      </c>
      <c r="C601" s="20" t="n"/>
      <c r="D601" s="20" t="n"/>
      <c r="E601" s="20" t="n"/>
      <c r="F601" s="20" t="n"/>
      <c r="G601" s="20" t="n"/>
    </row>
    <row r="602">
      <c r="A602" s="21" t="inlineStr">
        <is>
          <t>Details of cost for 10 sqm   |   Source: CivilDAR_2019_Vol_1.pdf, page 745</t>
        </is>
      </c>
    </row>
    <row r="603">
      <c r="A603" s="5" t="inlineStr">
        <is>
          <t>Code</t>
        </is>
      </c>
      <c r="B603" s="5" t="inlineStr">
        <is>
          <t>Description</t>
        </is>
      </c>
      <c r="C603" s="5" t="inlineStr">
        <is>
          <t>Unit</t>
        </is>
      </c>
      <c r="D603" s="5" t="inlineStr">
        <is>
          <t>Quantity</t>
        </is>
      </c>
      <c r="E603" s="5" t="inlineStr">
        <is>
          <t>Rate (Rs.)</t>
        </is>
      </c>
      <c r="F603" s="5" t="inlineStr">
        <is>
          <t>Amount (Rs.)</t>
        </is>
      </c>
      <c r="G603" s="5" t="inlineStr">
        <is>
          <t>Note</t>
        </is>
      </c>
    </row>
    <row r="604">
      <c r="A604" s="7" t="inlineStr">
        <is>
          <t>3.8</t>
        </is>
      </c>
      <c r="B604" s="11" t="inlineStr">
        <is>
          <t>Rate as per item 3.8 - Cement mortar 1:3 (1 cement : 3 coarse sand)</t>
        </is>
      </c>
      <c r="C604" s="22" t="inlineStr">
        <is>
          <t>cum</t>
        </is>
      </c>
      <c r="D604" s="23" t="n">
        <v>0.174</v>
      </c>
      <c r="E604" s="24" t="n">
        <v>4664.55</v>
      </c>
      <c r="F604" s="24">
        <f>D604*E604</f>
        <v/>
      </c>
      <c r="G604" s="22" t="n"/>
    </row>
    <row r="605">
      <c r="A605" s="22" t="inlineStr">
        <is>
          <t>0785</t>
        </is>
      </c>
      <c r="B605" s="11" t="inlineStr">
        <is>
          <t>Marble chips upto 4mm and downsize White &amp; black</t>
        </is>
      </c>
      <c r="C605" s="22" t="inlineStr">
        <is>
          <t>quintal</t>
        </is>
      </c>
      <c r="D605" s="23" t="n">
        <v>0.958</v>
      </c>
      <c r="E605" s="24" t="n">
        <v>189</v>
      </c>
      <c r="F605" s="24">
        <f>D605*E605</f>
        <v/>
      </c>
      <c r="G605" s="22" t="n"/>
    </row>
    <row r="606">
      <c r="A606" s="22" t="inlineStr">
        <is>
          <t>2268</t>
        </is>
      </c>
      <c r="B606" s="11" t="inlineStr">
        <is>
          <t>Carriage of Marble dust and marble chips</t>
        </is>
      </c>
      <c r="C606" s="22" t="inlineStr">
        <is>
          <t>cum</t>
        </is>
      </c>
      <c r="D606" s="23" t="n">
        <v>0.056</v>
      </c>
      <c r="E606" s="24" t="n">
        <v>103.77</v>
      </c>
      <c r="F606" s="24">
        <f>D606*E606</f>
        <v/>
      </c>
      <c r="G606" s="22" t="n"/>
    </row>
    <row r="607">
      <c r="A607" s="22" t="inlineStr">
        <is>
          <t>0368</t>
        </is>
      </c>
      <c r="B607" s="11" t="inlineStr">
        <is>
          <t>White Cement</t>
        </is>
      </c>
      <c r="C607" s="22" t="inlineStr">
        <is>
          <t>tonne</t>
        </is>
      </c>
      <c r="D607" s="23" t="n">
        <v>0.0405</v>
      </c>
      <c r="E607" s="24" t="n">
        <v>11200</v>
      </c>
      <c r="F607" s="24">
        <f>D607*E607</f>
        <v/>
      </c>
      <c r="G607" s="22" t="n"/>
    </row>
    <row r="608">
      <c r="A608" s="22" t="inlineStr">
        <is>
          <t>2209</t>
        </is>
      </c>
      <c r="B608" s="11" t="inlineStr">
        <is>
          <t>Carriage of Cement</t>
        </is>
      </c>
      <c r="C608" s="22" t="inlineStr">
        <is>
          <t>tonne</t>
        </is>
      </c>
      <c r="D608" s="23" t="n">
        <v>0.0405</v>
      </c>
      <c r="E608" s="24" t="n">
        <v>92.23999999999999</v>
      </c>
      <c r="F608" s="24">
        <f>D608*E608</f>
        <v/>
      </c>
      <c r="G608" s="22" t="n"/>
    </row>
    <row r="609">
      <c r="A609" s="22" t="inlineStr">
        <is>
          <t>0784</t>
        </is>
      </c>
      <c r="B609" s="11" t="inlineStr">
        <is>
          <t>Marble dust/ powder</t>
        </is>
      </c>
      <c r="C609" s="22" t="inlineStr">
        <is>
          <t>cum</t>
        </is>
      </c>
      <c r="D609" s="23" t="n">
        <v>0.007</v>
      </c>
      <c r="E609" s="24" t="n">
        <v>1130</v>
      </c>
      <c r="F609" s="24">
        <f>D609*E609</f>
        <v/>
      </c>
      <c r="G609" s="22" t="n"/>
    </row>
    <row r="610">
      <c r="A610" s="22" t="inlineStr">
        <is>
          <t>0124</t>
        </is>
      </c>
      <c r="B610" s="11" t="inlineStr">
        <is>
          <t>Mason (brick layer) 2nd class</t>
        </is>
      </c>
      <c r="C610" s="22" t="inlineStr">
        <is>
          <t>day</t>
        </is>
      </c>
      <c r="D610" s="23" t="n">
        <v>3</v>
      </c>
      <c r="E610" s="24" t="n">
        <v>679</v>
      </c>
      <c r="F610" s="24">
        <f>D610*E610</f>
        <v/>
      </c>
      <c r="G610" s="22" t="n"/>
    </row>
    <row r="611">
      <c r="A611" s="22" t="inlineStr">
        <is>
          <t>0114</t>
        </is>
      </c>
      <c r="B611" s="11" t="inlineStr">
        <is>
          <t>Beldar</t>
        </is>
      </c>
      <c r="C611" s="22" t="inlineStr">
        <is>
          <t>day</t>
        </is>
      </c>
      <c r="D611" s="23" t="n">
        <v>3</v>
      </c>
      <c r="E611" s="24" t="n">
        <v>558</v>
      </c>
      <c r="F611" s="24">
        <f>D611*E611</f>
        <v/>
      </c>
      <c r="G611" s="22" t="n"/>
    </row>
    <row r="612">
      <c r="A612" s="22" t="inlineStr">
        <is>
          <t>0101</t>
        </is>
      </c>
      <c r="B612" s="11" t="inlineStr">
        <is>
          <t>Bhisti</t>
        </is>
      </c>
      <c r="C612" s="22" t="inlineStr">
        <is>
          <t>day</t>
        </is>
      </c>
      <c r="D612" s="23" t="n">
        <v>1</v>
      </c>
      <c r="E612" s="24" t="n">
        <v>617</v>
      </c>
      <c r="F612" s="24">
        <f>D612*E612</f>
        <v/>
      </c>
      <c r="G612" s="22" t="n"/>
    </row>
    <row r="613">
      <c r="A613" s="22" t="inlineStr">
        <is>
          <t>0139</t>
        </is>
      </c>
      <c r="B613" s="11" t="inlineStr">
        <is>
          <t>Skilled Beldar (for floor rubbing etc.)</t>
        </is>
      </c>
      <c r="C613" s="22" t="inlineStr">
        <is>
          <t>day</t>
        </is>
      </c>
      <c r="D613" s="23" t="n">
        <v>7</v>
      </c>
      <c r="E613" s="24" t="n">
        <v>617</v>
      </c>
      <c r="F613" s="24">
        <f>D613*E613</f>
        <v/>
      </c>
      <c r="G613" s="22" t="n"/>
    </row>
    <row r="614">
      <c r="A614" s="22" t="inlineStr">
        <is>
          <t>9999</t>
        </is>
      </c>
      <c r="B614" s="11" t="inlineStr">
        <is>
          <t>Sundries</t>
        </is>
      </c>
      <c r="C614" s="22" t="inlineStr">
        <is>
          <t>L.S.</t>
        </is>
      </c>
      <c r="D614" s="23" t="n">
        <v>201.89</v>
      </c>
      <c r="E614" s="24" t="n">
        <v>2</v>
      </c>
      <c r="F614" s="24">
        <f>D614*E614</f>
        <v/>
      </c>
      <c r="G614" s="22" t="n"/>
    </row>
    <row r="615">
      <c r="A615" s="8" t="inlineStr">
        <is>
          <t>Calculated W - SUM of the Amount column above</t>
        </is>
      </c>
      <c r="B615" s="9" t="n"/>
      <c r="C615" s="9" t="n"/>
      <c r="D615" s="9" t="n"/>
      <c r="E615" s="9" t="n"/>
      <c r="F615" s="25">
        <f>SUM(F604:F614)</f>
        <v/>
      </c>
      <c r="G615" s="9" t="n"/>
    </row>
    <row r="616">
      <c r="A616" s="26" t="inlineStr">
        <is>
          <t>W as printed in the DAR</t>
        </is>
      </c>
      <c r="B616" s="22" t="n"/>
      <c r="C616" s="22" t="n"/>
      <c r="D616" s="22" t="n"/>
      <c r="E616" s="22" t="n"/>
      <c r="F616" s="27" t="n">
        <v>10514.53</v>
      </c>
      <c r="G616" s="22" t="n"/>
    </row>
    <row r="617">
      <c r="A617" s="26" t="inlineStr">
        <is>
          <t>Difference (calculated - printed)</t>
        </is>
      </c>
      <c r="B617" s="22" t="n"/>
      <c r="C617" s="22" t="n"/>
      <c r="D617" s="22" t="n"/>
      <c r="E617" s="22" t="n"/>
      <c r="F617" s="27">
        <f>F615-F616</f>
        <v/>
      </c>
      <c r="G617" s="22" t="n"/>
    </row>
    <row r="618">
      <c r="A618" s="29" t="inlineStr">
        <is>
          <t>SAY (Rs.) - final DAR rate as printed (fixed value, not computed)</t>
        </is>
      </c>
      <c r="B618" s="30" t="n"/>
      <c r="C618" s="30" t="n"/>
      <c r="D618" s="30" t="n"/>
      <c r="E618" s="30" t="n"/>
      <c r="F618" s="31" t="n">
        <v>1406.8</v>
      </c>
      <c r="G618" s="30" t="n"/>
    </row>
    <row r="620" ht="47.5" customHeight="1">
      <c r="A620" s="8" t="inlineStr">
        <is>
          <t>11.12</t>
        </is>
      </c>
      <c r="B620"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620" s="9" t="n"/>
      <c r="D620" s="9" t="n"/>
      <c r="E620" s="9" t="n"/>
      <c r="F620" s="9" t="n"/>
      <c r="G620" s="9" t="n"/>
    </row>
    <row r="621" ht="18.5" customHeight="1">
      <c r="A621" s="8" t="inlineStr">
        <is>
          <t>11.12.1</t>
        </is>
      </c>
      <c r="B621" s="17" t="inlineStr">
        <is>
          <t>18 mm thick with under layer 12 mm thick in cement plaster 1:3 (1 cement : 3 coarse sand) :</t>
        </is>
      </c>
      <c r="C621" s="9" t="n"/>
      <c r="D621" s="9" t="n"/>
      <c r="E621" s="9" t="n"/>
      <c r="F621" s="9" t="n"/>
      <c r="G621" s="9" t="n"/>
    </row>
    <row r="622" ht="18.5" customHeight="1">
      <c r="A622" s="18" t="inlineStr">
        <is>
          <t>11.12.1.5</t>
        </is>
      </c>
      <c r="B622" s="19" t="inlineStr">
        <is>
          <t>Light shade pigment with ordinary cement</t>
        </is>
      </c>
      <c r="C622" s="20" t="n"/>
      <c r="D622" s="20" t="n"/>
      <c r="E622" s="20" t="n"/>
      <c r="F622" s="20" t="n"/>
      <c r="G622" s="20" t="n"/>
    </row>
    <row r="623">
      <c r="A623" s="21" t="inlineStr">
        <is>
          <t>Details of cost for 10 sqm   |   Source: CivilDAR_2019_Vol_1.pdf, page 745</t>
        </is>
      </c>
    </row>
    <row r="624">
      <c r="A624" s="5" t="inlineStr">
        <is>
          <t>Code</t>
        </is>
      </c>
      <c r="B624" s="5" t="inlineStr">
        <is>
          <t>Description</t>
        </is>
      </c>
      <c r="C624" s="5" t="inlineStr">
        <is>
          <t>Unit</t>
        </is>
      </c>
      <c r="D624" s="5" t="inlineStr">
        <is>
          <t>Quantity</t>
        </is>
      </c>
      <c r="E624" s="5" t="inlineStr">
        <is>
          <t>Rate (Rs.)</t>
        </is>
      </c>
      <c r="F624" s="5" t="inlineStr">
        <is>
          <t>Amount (Rs.)</t>
        </is>
      </c>
      <c r="G624" s="5" t="inlineStr">
        <is>
          <t>Note</t>
        </is>
      </c>
    </row>
    <row r="625">
      <c r="A625" s="7" t="inlineStr">
        <is>
          <t>11.12.1.1</t>
        </is>
      </c>
      <c r="B625" s="11" t="inlineStr">
        <is>
          <t>Rate as per item 11.12.1.1 - Marble chips skirting up to 30 cm height, rubbed and polished to granolithic finish, top layer 6 mm thick w...</t>
        </is>
      </c>
      <c r="C625" s="22" t="inlineStr">
        <is>
          <t>sqm</t>
        </is>
      </c>
      <c r="D625" s="23" t="n">
        <v>10</v>
      </c>
      <c r="E625" s="24" t="n">
        <v>1398.2</v>
      </c>
      <c r="F625" s="24">
        <f>D625*E625</f>
        <v/>
      </c>
      <c r="G625" s="22" t="n"/>
    </row>
    <row r="626">
      <c r="A626" s="22" t="inlineStr">
        <is>
          <t>0875</t>
        </is>
      </c>
      <c r="B626" s="11" t="inlineStr">
        <is>
          <t>Red, chocolate, orange, buff or yellow (red oxide of iron) light shade pigment</t>
        </is>
      </c>
      <c r="C626" s="22" t="inlineStr">
        <is>
          <t>kilogram</t>
        </is>
      </c>
      <c r="D626" s="23" t="n">
        <v>2.84</v>
      </c>
      <c r="E626" s="24" t="n">
        <v>60</v>
      </c>
      <c r="F626" s="24">
        <f>D626*E626</f>
        <v/>
      </c>
      <c r="G626" s="22" t="n"/>
    </row>
    <row r="627">
      <c r="A627" s="22" t="inlineStr">
        <is>
          <t>0874</t>
        </is>
      </c>
      <c r="B627" s="11" t="inlineStr">
        <is>
          <t>Black colour dark shade pigment</t>
        </is>
      </c>
      <c r="C627" s="22" t="inlineStr">
        <is>
          <t>kilogram</t>
        </is>
      </c>
      <c r="D627" s="23" t="n">
        <v>-2.84</v>
      </c>
      <c r="E627" s="24" t="n">
        <v>70</v>
      </c>
      <c r="F627" s="24">
        <f>D627*E627</f>
        <v/>
      </c>
      <c r="G627" s="22" t="n"/>
    </row>
    <row r="628">
      <c r="A628" s="8" t="inlineStr">
        <is>
          <t>Calculated W - SUM of the Amount column above</t>
        </is>
      </c>
      <c r="B628" s="9" t="n"/>
      <c r="C628" s="9" t="n"/>
      <c r="D628" s="9" t="n"/>
      <c r="E628" s="9" t="n"/>
      <c r="F628" s="25">
        <f>SUM(F625:F627)</f>
        <v/>
      </c>
      <c r="G628" s="9" t="n"/>
    </row>
    <row r="629">
      <c r="A629" s="26" t="inlineStr">
        <is>
          <t>W as printed in the DAR</t>
        </is>
      </c>
      <c r="B629" s="22" t="n"/>
      <c r="C629" s="22" t="n"/>
      <c r="D629" s="22" t="n"/>
      <c r="E629" s="22" t="n"/>
      <c r="F629" s="27" t="n">
        <v>13953.6</v>
      </c>
      <c r="G629" s="22" t="n"/>
    </row>
    <row r="630">
      <c r="A630" s="26" t="inlineStr">
        <is>
          <t>Difference (calculated - printed)</t>
        </is>
      </c>
      <c r="B630" s="22" t="n"/>
      <c r="C630" s="22" t="n"/>
      <c r="D630" s="22" t="n"/>
      <c r="E630" s="22" t="n"/>
      <c r="F630" s="27">
        <f>F628-F629</f>
        <v/>
      </c>
      <c r="G630" s="22" t="n"/>
    </row>
    <row r="631">
      <c r="A631" s="29" t="inlineStr">
        <is>
          <t>SAY (Rs.) - final DAR rate as printed (fixed value, not computed)</t>
        </is>
      </c>
      <c r="B631" s="30" t="n"/>
      <c r="C631" s="30" t="n"/>
      <c r="D631" s="30" t="n"/>
      <c r="E631" s="30" t="n"/>
      <c r="F631" s="31" t="n">
        <v>1394.4</v>
      </c>
      <c r="G631" s="30" t="n"/>
    </row>
    <row r="633" ht="47.5" customHeight="1">
      <c r="A633" s="8" t="inlineStr">
        <is>
          <t>11.12</t>
        </is>
      </c>
      <c r="B633" s="17"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is>
      </c>
      <c r="C633" s="9" t="n"/>
      <c r="D633" s="9" t="n"/>
      <c r="E633" s="9" t="n"/>
      <c r="F633" s="9" t="n"/>
      <c r="G633" s="9" t="n"/>
    </row>
    <row r="634" ht="18.5" customHeight="1">
      <c r="A634" s="8" t="inlineStr">
        <is>
          <t>11.12.1</t>
        </is>
      </c>
      <c r="B634" s="17" t="inlineStr">
        <is>
          <t>18 mm thick with under layer 12 mm thick in cement plaster 1:3 (1 cement : 3 coarse sand) :</t>
        </is>
      </c>
      <c r="C634" s="9" t="n"/>
      <c r="D634" s="9" t="n"/>
      <c r="E634" s="9" t="n"/>
      <c r="F634" s="9" t="n"/>
      <c r="G634" s="9" t="n"/>
    </row>
    <row r="635" ht="18.5" customHeight="1">
      <c r="A635" s="18" t="inlineStr">
        <is>
          <t>11.12.1.6</t>
        </is>
      </c>
      <c r="B635" s="19" t="inlineStr">
        <is>
          <t>Ordinary cement without any pigment</t>
        </is>
      </c>
      <c r="C635" s="20" t="n"/>
      <c r="D635" s="20" t="n"/>
      <c r="E635" s="20" t="n"/>
      <c r="F635" s="20" t="n"/>
      <c r="G635" s="20" t="n"/>
    </row>
    <row r="636">
      <c r="A636" s="21" t="inlineStr">
        <is>
          <t>Details of cost for 10 sqm   |   Source: CivilDAR_2019_Vol_1.pdf, page 746</t>
        </is>
      </c>
    </row>
    <row r="637">
      <c r="A637" s="5" t="inlineStr">
        <is>
          <t>Code</t>
        </is>
      </c>
      <c r="B637" s="5" t="inlineStr">
        <is>
          <t>Description</t>
        </is>
      </c>
      <c r="C637" s="5" t="inlineStr">
        <is>
          <t>Unit</t>
        </is>
      </c>
      <c r="D637" s="5" t="inlineStr">
        <is>
          <t>Quantity</t>
        </is>
      </c>
      <c r="E637" s="5" t="inlineStr">
        <is>
          <t>Rate (Rs.)</t>
        </is>
      </c>
      <c r="F637" s="5" t="inlineStr">
        <is>
          <t>Amount (Rs.)</t>
        </is>
      </c>
      <c r="G637" s="5" t="inlineStr">
        <is>
          <t>Note</t>
        </is>
      </c>
    </row>
    <row r="638">
      <c r="A638" s="7" t="inlineStr">
        <is>
          <t>11.12.1.1</t>
        </is>
      </c>
      <c r="B638" s="11" t="inlineStr">
        <is>
          <t>Rate as per item 11.12.1.1 - Marble chips skirting up to 30 cm height, rubbed and polished to granolithic finish, top layer 6 mm thick w...</t>
        </is>
      </c>
      <c r="C638" s="22" t="inlineStr">
        <is>
          <t>sqm</t>
        </is>
      </c>
      <c r="D638" s="23" t="n">
        <v>10</v>
      </c>
      <c r="E638" s="24" t="n">
        <v>1398.2</v>
      </c>
      <c r="F638" s="24">
        <f>D638*E638</f>
        <v/>
      </c>
      <c r="G638" s="22" t="n"/>
    </row>
    <row r="639">
      <c r="A639" s="22" t="inlineStr">
        <is>
          <t>0874</t>
        </is>
      </c>
      <c r="B639" s="11" t="inlineStr">
        <is>
          <t>Black colour dark shade pigment</t>
        </is>
      </c>
      <c r="C639" s="22" t="inlineStr">
        <is>
          <t>kilogram</t>
        </is>
      </c>
      <c r="D639" s="23" t="n">
        <v>-2.84</v>
      </c>
      <c r="E639" s="24" t="n">
        <v>70</v>
      </c>
      <c r="F639" s="24">
        <f>D639*E639</f>
        <v/>
      </c>
      <c r="G639" s="22" t="n"/>
    </row>
    <row r="640">
      <c r="A640" s="22" t="inlineStr">
        <is>
          <t>9999</t>
        </is>
      </c>
      <c r="B640" s="11" t="inlineStr">
        <is>
          <t>Deduct for Carriage of pigment</t>
        </is>
      </c>
      <c r="C640" s="22" t="inlineStr">
        <is>
          <t>L.S.</t>
        </is>
      </c>
      <c r="D640" s="23" t="n">
        <v>-3.64</v>
      </c>
      <c r="E640" s="24" t="n">
        <v>2</v>
      </c>
      <c r="F640" s="24">
        <f>D640*E640</f>
        <v/>
      </c>
      <c r="G640" s="22" t="n"/>
    </row>
    <row r="641">
      <c r="A641" s="22" t="inlineStr">
        <is>
          <t>2268</t>
        </is>
      </c>
      <c r="B641" s="11" t="inlineStr">
        <is>
          <t>Marble dust and/or marble chips</t>
        </is>
      </c>
      <c r="C641" s="22" t="inlineStr">
        <is>
          <t>cum</t>
        </is>
      </c>
      <c r="D641" s="23" t="n">
        <v>0.007</v>
      </c>
      <c r="E641" s="24" t="n">
        <v>103.77</v>
      </c>
      <c r="F641" s="24">
        <f>D641*E641</f>
        <v/>
      </c>
      <c r="G641" s="22" t="n"/>
    </row>
    <row r="642">
      <c r="A642" s="8" t="inlineStr">
        <is>
          <t>Calculated W - SUM of the Amount column above</t>
        </is>
      </c>
      <c r="B642" s="9" t="n"/>
      <c r="C642" s="9" t="n"/>
      <c r="D642" s="9" t="n"/>
      <c r="E642" s="9" t="n"/>
      <c r="F642" s="25">
        <f>SUM(F638:F641)</f>
        <v/>
      </c>
      <c r="G642" s="9" t="n"/>
    </row>
    <row r="643">
      <c r="A643" s="26" t="inlineStr">
        <is>
          <t>W as printed in the DAR</t>
        </is>
      </c>
      <c r="B643" s="22" t="n"/>
      <c r="C643" s="22" t="n"/>
      <c r="D643" s="22" t="n"/>
      <c r="E643" s="22" t="n"/>
      <c r="F643" s="27" t="n">
        <v>13776.65</v>
      </c>
      <c r="G643" s="22" t="n"/>
    </row>
    <row r="644">
      <c r="A644" s="26" t="inlineStr">
        <is>
          <t>Difference (calculated - printed)</t>
        </is>
      </c>
      <c r="B644" s="22" t="n"/>
      <c r="C644" s="22" t="n"/>
      <c r="D644" s="22" t="n"/>
      <c r="E644" s="22" t="n"/>
      <c r="F644" s="27">
        <f>F642-F643</f>
        <v/>
      </c>
      <c r="G644" s="22" t="n"/>
    </row>
    <row r="645">
      <c r="A645" s="29" t="inlineStr">
        <is>
          <t>SAY (Rs.) - final DAR rate as printed (fixed value, not computed)</t>
        </is>
      </c>
      <c r="B645" s="30" t="n"/>
      <c r="C645" s="30" t="n"/>
      <c r="D645" s="30" t="n"/>
      <c r="E645" s="30" t="n"/>
      <c r="F645" s="31" t="n">
        <v>1370.7</v>
      </c>
      <c r="G645" s="30" t="n"/>
    </row>
    <row r="647" ht="18.5" customHeight="1">
      <c r="A647" s="8" t="inlineStr">
        <is>
          <t>11.13</t>
        </is>
      </c>
      <c r="B647" s="17" t="inlineStr">
        <is>
          <t>Providing and fixing glass strips in joints of terrazo/ cement concrete floors.</t>
        </is>
      </c>
      <c r="C647" s="9" t="n"/>
      <c r="D647" s="9" t="n"/>
      <c r="E647" s="9" t="n"/>
      <c r="F647" s="9" t="n"/>
      <c r="G647" s="9" t="n"/>
    </row>
    <row r="648" ht="18.5" customHeight="1">
      <c r="A648" s="18" t="inlineStr">
        <is>
          <t>11.13.1</t>
        </is>
      </c>
      <c r="B648" s="19" t="inlineStr">
        <is>
          <t>40 mm wide and 4 mm thick</t>
        </is>
      </c>
      <c r="C648" s="20" t="n"/>
      <c r="D648" s="20" t="n"/>
      <c r="E648" s="20" t="n"/>
      <c r="F648" s="20" t="n"/>
      <c r="G648" s="20" t="n"/>
    </row>
    <row r="649">
      <c r="A649" s="21" t="inlineStr">
        <is>
          <t>Details of cost for 10 metre   |   Source: CivilDAR_2019_Vol_1.pdf, page 747</t>
        </is>
      </c>
    </row>
    <row r="650">
      <c r="A650" s="5" t="inlineStr">
        <is>
          <t>Code</t>
        </is>
      </c>
      <c r="B650" s="5" t="inlineStr">
        <is>
          <t>Description</t>
        </is>
      </c>
      <c r="C650" s="5" t="inlineStr">
        <is>
          <t>Unit</t>
        </is>
      </c>
      <c r="D650" s="5" t="inlineStr">
        <is>
          <t>Quantity</t>
        </is>
      </c>
      <c r="E650" s="5" t="inlineStr">
        <is>
          <t>Rate (Rs.)</t>
        </is>
      </c>
      <c r="F650" s="5" t="inlineStr">
        <is>
          <t>Amount (Rs.)</t>
        </is>
      </c>
      <c r="G650" s="5" t="inlineStr">
        <is>
          <t>Note</t>
        </is>
      </c>
    </row>
    <row r="651">
      <c r="A651" s="22" t="inlineStr">
        <is>
          <t>1149</t>
        </is>
      </c>
      <c r="B651" s="11" t="inlineStr">
        <is>
          <t>Glass strip 4 mm thick40 mm deep</t>
        </is>
      </c>
      <c r="C651" s="22" t="inlineStr">
        <is>
          <t>metre</t>
        </is>
      </c>
      <c r="D651" s="23" t="n">
        <v>11</v>
      </c>
      <c r="E651" s="24" t="n">
        <v>20</v>
      </c>
      <c r="F651" s="24">
        <f>D651*E651</f>
        <v/>
      </c>
      <c r="G651" s="22" t="n"/>
    </row>
    <row r="652">
      <c r="A652" s="22" t="inlineStr">
        <is>
          <t>9977</t>
        </is>
      </c>
      <c r="B652" s="11" t="inlineStr">
        <is>
          <t>Carriage of glass</t>
        </is>
      </c>
      <c r="C652" s="22" t="inlineStr">
        <is>
          <t>L.S.</t>
        </is>
      </c>
      <c r="D652" s="23" t="n">
        <v>2.73</v>
      </c>
      <c r="E652" s="24" t="n">
        <v>2</v>
      </c>
      <c r="F652" s="24">
        <f>D652*E652</f>
        <v/>
      </c>
      <c r="G652" s="22" t="n"/>
    </row>
    <row r="653">
      <c r="A653" s="22" t="inlineStr">
        <is>
          <t>0124</t>
        </is>
      </c>
      <c r="B653" s="11" t="inlineStr">
        <is>
          <t>Mason (brick layer) 2nd class</t>
        </is>
      </c>
      <c r="C653" s="22" t="inlineStr">
        <is>
          <t>day</t>
        </is>
      </c>
      <c r="D653" s="23" t="n">
        <v>0.25</v>
      </c>
      <c r="E653" s="24" t="n">
        <v>679</v>
      </c>
      <c r="F653" s="24">
        <f>D653*E653</f>
        <v/>
      </c>
      <c r="G653" s="22" t="n"/>
    </row>
    <row r="654">
      <c r="A654" s="22" t="inlineStr">
        <is>
          <t>0114</t>
        </is>
      </c>
      <c r="B654" s="11" t="inlineStr">
        <is>
          <t>Beldar</t>
        </is>
      </c>
      <c r="C654" s="22" t="inlineStr">
        <is>
          <t>day</t>
        </is>
      </c>
      <c r="D654" s="23" t="n">
        <v>0.25</v>
      </c>
      <c r="E654" s="24" t="n">
        <v>558</v>
      </c>
      <c r="F654" s="24">
        <f>D654*E654</f>
        <v/>
      </c>
      <c r="G654" s="22" t="n"/>
    </row>
    <row r="655">
      <c r="A655" s="22" t="inlineStr">
        <is>
          <t>9999</t>
        </is>
      </c>
      <c r="B655" s="11" t="inlineStr">
        <is>
          <t>Sundries</t>
        </is>
      </c>
      <c r="C655" s="22" t="inlineStr">
        <is>
          <t>L.S.</t>
        </is>
      </c>
      <c r="D655" s="23" t="n">
        <v>13.52</v>
      </c>
      <c r="E655" s="24" t="n">
        <v>2</v>
      </c>
      <c r="F655" s="24">
        <f>D655*E655</f>
        <v/>
      </c>
      <c r="G655" s="22" t="n"/>
    </row>
    <row r="656">
      <c r="A656" s="8" t="inlineStr">
        <is>
          <t>Calculated W - SUM of the Amount column above</t>
        </is>
      </c>
      <c r="B656" s="9" t="n"/>
      <c r="C656" s="9" t="n"/>
      <c r="D656" s="9" t="n"/>
      <c r="E656" s="9" t="n"/>
      <c r="F656" s="25">
        <f>SUM(F651:F655)</f>
        <v/>
      </c>
      <c r="G656" s="9" t="n"/>
    </row>
    <row r="657">
      <c r="A657" s="26" t="inlineStr">
        <is>
          <t>W as printed in the DAR</t>
        </is>
      </c>
      <c r="B657" s="22" t="n"/>
      <c r="C657" s="22" t="n"/>
      <c r="D657" s="22" t="n"/>
      <c r="E657" s="22" t="n"/>
      <c r="F657" s="27" t="n">
        <v>561.75</v>
      </c>
      <c r="G657" s="22" t="n"/>
    </row>
    <row r="658">
      <c r="A658" s="26" t="inlineStr">
        <is>
          <t>Difference (calculated - printed)</t>
        </is>
      </c>
      <c r="B658" s="22" t="n"/>
      <c r="C658" s="22" t="n"/>
      <c r="D658" s="22" t="n"/>
      <c r="E658" s="22" t="n"/>
      <c r="F658" s="27">
        <f>F656-F657</f>
        <v/>
      </c>
      <c r="G658" s="22" t="n"/>
    </row>
    <row r="659">
      <c r="A659" s="29" t="inlineStr">
        <is>
          <t>SAY (Rs.) - final DAR rate as printed (fixed value, not computed)</t>
        </is>
      </c>
      <c r="B659" s="30" t="n"/>
      <c r="C659" s="30" t="n"/>
      <c r="D659" s="30" t="n"/>
      <c r="E659" s="30" t="n"/>
      <c r="F659" s="31" t="n">
        <v>75.15000000000001</v>
      </c>
      <c r="G659" s="30" t="n"/>
    </row>
    <row r="661" ht="18.5" customHeight="1">
      <c r="A661" s="18" t="inlineStr">
        <is>
          <t>11.14</t>
        </is>
      </c>
      <c r="B661" s="19" t="inlineStr">
        <is>
          <t>Extra for laying terrazo flooring on staircase treads not exceeding 30 cm in width, including cost of forming, nosing etc.</t>
        </is>
      </c>
      <c r="C661" s="20" t="n"/>
      <c r="D661" s="20" t="n"/>
      <c r="E661" s="20" t="n"/>
      <c r="F661" s="20" t="n"/>
      <c r="G661" s="20" t="n"/>
    </row>
    <row r="662">
      <c r="A662" s="21" t="inlineStr">
        <is>
          <t>Details of cost for 10 sqm   |   Source: CivilDAR_2019_Vol_1.pdf, page 747</t>
        </is>
      </c>
    </row>
    <row r="663">
      <c r="A663" s="5" t="inlineStr">
        <is>
          <t>Code</t>
        </is>
      </c>
      <c r="B663" s="5" t="inlineStr">
        <is>
          <t>Description</t>
        </is>
      </c>
      <c r="C663" s="5" t="inlineStr">
        <is>
          <t>Unit</t>
        </is>
      </c>
      <c r="D663" s="5" t="inlineStr">
        <is>
          <t>Quantity</t>
        </is>
      </c>
      <c r="E663" s="5" t="inlineStr">
        <is>
          <t>Rate (Rs.)</t>
        </is>
      </c>
      <c r="F663" s="5" t="inlineStr">
        <is>
          <t>Amount (Rs.)</t>
        </is>
      </c>
      <c r="G663" s="5" t="inlineStr">
        <is>
          <t>Note</t>
        </is>
      </c>
    </row>
    <row r="664">
      <c r="A664" s="22" t="inlineStr">
        <is>
          <t>0124</t>
        </is>
      </c>
      <c r="B664" s="11" t="inlineStr">
        <is>
          <t>Mason (brick layer) 2nd class</t>
        </is>
      </c>
      <c r="C664" s="22" t="inlineStr">
        <is>
          <t>day</t>
        </is>
      </c>
      <c r="D664" s="23" t="n">
        <v>0.3</v>
      </c>
      <c r="E664" s="24" t="n">
        <v>679</v>
      </c>
      <c r="F664" s="24">
        <f>D664*E664</f>
        <v/>
      </c>
      <c r="G664" s="22" t="n"/>
    </row>
    <row r="665">
      <c r="A665" s="22" t="inlineStr">
        <is>
          <t>0114</t>
        </is>
      </c>
      <c r="B665" s="11" t="inlineStr">
        <is>
          <t>Beldar</t>
        </is>
      </c>
      <c r="C665" s="22" t="inlineStr">
        <is>
          <t>day</t>
        </is>
      </c>
      <c r="D665" s="23" t="n">
        <v>0.3</v>
      </c>
      <c r="E665" s="24" t="n">
        <v>558</v>
      </c>
      <c r="F665" s="24">
        <f>D665*E665</f>
        <v/>
      </c>
      <c r="G665" s="22" t="n"/>
    </row>
    <row r="666">
      <c r="A666" s="22" t="inlineStr">
        <is>
          <t>0115</t>
        </is>
      </c>
      <c r="B666" s="11" t="inlineStr">
        <is>
          <t>Coolie</t>
        </is>
      </c>
      <c r="C666" s="22" t="inlineStr">
        <is>
          <t>day</t>
        </is>
      </c>
      <c r="D666" s="23" t="n">
        <v>0.3</v>
      </c>
      <c r="E666" s="24" t="n">
        <v>558</v>
      </c>
      <c r="F666" s="24">
        <f>D666*E666</f>
        <v/>
      </c>
      <c r="G666" s="22" t="n"/>
    </row>
    <row r="667">
      <c r="A667" s="8" t="inlineStr">
        <is>
          <t>Calculated W - SUM of the Amount column above</t>
        </is>
      </c>
      <c r="B667" s="9" t="n"/>
      <c r="C667" s="9" t="n"/>
      <c r="D667" s="9" t="n"/>
      <c r="E667" s="9" t="n"/>
      <c r="F667" s="25">
        <f>SUM(F664:F666)</f>
        <v/>
      </c>
      <c r="G667" s="9" t="n"/>
    </row>
    <row r="668">
      <c r="A668" s="26" t="inlineStr">
        <is>
          <t>W as printed in the DAR</t>
        </is>
      </c>
      <c r="B668" s="22" t="n"/>
      <c r="C668" s="22" t="n"/>
      <c r="D668" s="22" t="n"/>
      <c r="E668" s="22" t="n"/>
      <c r="F668" s="27" t="n">
        <v>538.5</v>
      </c>
      <c r="G668" s="22" t="n"/>
    </row>
    <row r="669">
      <c r="A669" s="26" t="inlineStr">
        <is>
          <t>Difference (calculated - printed)</t>
        </is>
      </c>
      <c r="B669" s="22" t="n"/>
      <c r="C669" s="22" t="n"/>
      <c r="D669" s="22" t="n"/>
      <c r="E669" s="22" t="n"/>
      <c r="F669" s="27">
        <f>F667-F668</f>
        <v/>
      </c>
      <c r="G669" s="22" t="n"/>
    </row>
    <row r="670">
      <c r="A670" s="29" t="inlineStr">
        <is>
          <t>SAY (Rs.) - final DAR rate as printed (fixed value, not computed)</t>
        </is>
      </c>
      <c r="B670" s="30" t="n"/>
      <c r="C670" s="30" t="n"/>
      <c r="D670" s="30" t="n"/>
      <c r="E670" s="30" t="n"/>
      <c r="F670" s="31" t="n">
        <v>72.05</v>
      </c>
      <c r="G670" s="30" t="n"/>
    </row>
    <row r="672" ht="76.5" customHeight="1">
      <c r="A672" s="8" t="inlineStr">
        <is>
          <t>11.15</t>
        </is>
      </c>
      <c r="B672" s="17" t="inlineStr">
        <is>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t>
        </is>
      </c>
      <c r="C672" s="9" t="n"/>
      <c r="D672" s="9" t="n"/>
      <c r="E672" s="9" t="n"/>
      <c r="F672" s="9" t="n"/>
      <c r="G672" s="9" t="n"/>
    </row>
    <row r="673" ht="18.5" customHeight="1">
      <c r="A673" s="18" t="inlineStr">
        <is>
          <t>11.15.1</t>
        </is>
      </c>
      <c r="B673" s="19" t="inlineStr">
        <is>
          <t>18 mm thick crazy marble stone white, black or as specified</t>
        </is>
      </c>
      <c r="C673" s="20" t="n"/>
      <c r="D673" s="20" t="n"/>
      <c r="E673" s="20" t="n"/>
      <c r="F673" s="20" t="n"/>
      <c r="G673" s="20" t="n"/>
    </row>
    <row r="674">
      <c r="A674" s="21" t="inlineStr">
        <is>
          <t>Details of cost for 10 sqm   |   Source: CivilDAR_2019_Vol_1.pdf, page 748</t>
        </is>
      </c>
    </row>
    <row r="675">
      <c r="A675" s="5" t="inlineStr">
        <is>
          <t>Code</t>
        </is>
      </c>
      <c r="B675" s="5" t="inlineStr">
        <is>
          <t>Description</t>
        </is>
      </c>
      <c r="C675" s="5" t="inlineStr">
        <is>
          <t>Unit</t>
        </is>
      </c>
      <c r="D675" s="5" t="inlineStr">
        <is>
          <t>Quantity</t>
        </is>
      </c>
      <c r="E675" s="5" t="inlineStr">
        <is>
          <t>Rate (Rs.)</t>
        </is>
      </c>
      <c r="F675" s="5" t="inlineStr">
        <is>
          <t>Amount (Rs.)</t>
        </is>
      </c>
      <c r="G675" s="5" t="inlineStr">
        <is>
          <t>Note</t>
        </is>
      </c>
    </row>
    <row r="676">
      <c r="A676" s="7" t="inlineStr">
        <is>
          <t>11.7</t>
        </is>
      </c>
      <c r="B676" s="11" t="inlineStr">
        <is>
          <t>Rate as per item 11.7 - Cement concrete pavement with 1:2:4 (1 cement : 2 coarse sand : 4 graded stone aggregate 20 mm nominal size...</t>
        </is>
      </c>
      <c r="C676" s="22" t="inlineStr">
        <is>
          <t>cum</t>
        </is>
      </c>
      <c r="D676" s="23" t="n">
        <v>0.25</v>
      </c>
      <c r="E676" s="24" t="n">
        <v>7335.1</v>
      </c>
      <c r="F676" s="24">
        <f>D676*E676</f>
        <v/>
      </c>
      <c r="G676" s="22" t="n"/>
    </row>
    <row r="677">
      <c r="A677" s="22" t="inlineStr">
        <is>
          <t>0367</t>
        </is>
      </c>
      <c r="B677" s="11" t="inlineStr">
        <is>
          <t>Portland Cement</t>
        </is>
      </c>
      <c r="C677" s="22" t="inlineStr">
        <is>
          <t>tonne</t>
        </is>
      </c>
      <c r="D677" s="23" t="n">
        <v>0.04</v>
      </c>
      <c r="E677" s="24" t="n">
        <v>4940</v>
      </c>
      <c r="F677" s="24">
        <f>D677*E677</f>
        <v/>
      </c>
      <c r="G677" s="22" t="n"/>
    </row>
    <row r="678">
      <c r="A678" s="22" t="inlineStr">
        <is>
          <t>2209</t>
        </is>
      </c>
      <c r="B678" s="11" t="inlineStr">
        <is>
          <t>Carriage of Cement</t>
        </is>
      </c>
      <c r="C678" s="22" t="inlineStr">
        <is>
          <t>tonne</t>
        </is>
      </c>
      <c r="D678" s="23" t="n">
        <v>0.04</v>
      </c>
      <c r="E678" s="24" t="n">
        <v>92.23999999999999</v>
      </c>
      <c r="F678" s="24">
        <f>D678*E678</f>
        <v/>
      </c>
      <c r="G678" s="22" t="n"/>
    </row>
    <row r="679">
      <c r="A679" s="22" t="inlineStr">
        <is>
          <t>0114</t>
        </is>
      </c>
      <c r="B679" s="11" t="inlineStr">
        <is>
          <t>Beldar</t>
        </is>
      </c>
      <c r="C679" s="22" t="inlineStr">
        <is>
          <t>day</t>
        </is>
      </c>
      <c r="D679" s="23" t="n">
        <v>0.5</v>
      </c>
      <c r="E679" s="24" t="n">
        <v>558</v>
      </c>
      <c r="F679" s="24">
        <f>D679*E679</f>
        <v/>
      </c>
      <c r="G679" s="22" t="n"/>
    </row>
    <row r="680">
      <c r="A680" s="22" t="inlineStr">
        <is>
          <t>2710</t>
        </is>
      </c>
      <c r="B680" s="11" t="inlineStr">
        <is>
          <t>White marble makrana second quality plain veined stone pieces for crazy flooring</t>
        </is>
      </c>
      <c r="C680" s="22" t="inlineStr">
        <is>
          <t>quintal</t>
        </is>
      </c>
      <c r="D680" s="23" t="n">
        <v>2.4</v>
      </c>
      <c r="E680" s="24" t="n">
        <v>150</v>
      </c>
      <c r="F680" s="24">
        <f>D680*E680</f>
        <v/>
      </c>
      <c r="G680" s="22" t="n"/>
    </row>
    <row r="681">
      <c r="A681" s="22" t="inlineStr">
        <is>
          <t>0368</t>
        </is>
      </c>
      <c r="B681" s="11" t="inlineStr">
        <is>
          <t>White Cement</t>
        </is>
      </c>
      <c r="C681" s="22" t="inlineStr">
        <is>
          <t>tonne</t>
        </is>
      </c>
      <c r="D681" s="23" t="n">
        <v>0.0405</v>
      </c>
      <c r="E681" s="24" t="n">
        <v>11200</v>
      </c>
      <c r="F681" s="24">
        <f>D681*E681</f>
        <v/>
      </c>
      <c r="G681" s="22" t="n"/>
    </row>
    <row r="682">
      <c r="A682" s="22" t="inlineStr">
        <is>
          <t>0784</t>
        </is>
      </c>
      <c r="B682" s="11" t="inlineStr">
        <is>
          <t>Marble dust/ powder</t>
        </is>
      </c>
      <c r="C682" s="22" t="inlineStr">
        <is>
          <t>cum</t>
        </is>
      </c>
      <c r="D682" s="23" t="n">
        <v>0.007</v>
      </c>
      <c r="E682" s="24" t="n">
        <v>1130</v>
      </c>
      <c r="F682" s="24">
        <f>D682*E682</f>
        <v/>
      </c>
      <c r="G682" s="22" t="n"/>
    </row>
    <row r="683">
      <c r="A683" s="22" t="inlineStr">
        <is>
          <t>0875</t>
        </is>
      </c>
      <c r="B683" s="11" t="inlineStr">
        <is>
          <t>Red, chocolate, orange, buff or yellow (red oxide of iron) light shade pigment</t>
        </is>
      </c>
      <c r="C683" s="22" t="inlineStr">
        <is>
          <t>kilogram</t>
        </is>
      </c>
      <c r="D683" s="23" t="n">
        <v>2.84</v>
      </c>
      <c r="E683" s="24" t="n">
        <v>60</v>
      </c>
      <c r="F683" s="24">
        <f>D683*E683</f>
        <v/>
      </c>
      <c r="G683" s="22" t="n"/>
    </row>
    <row r="684">
      <c r="A684" s="22" t="inlineStr">
        <is>
          <t>0785</t>
        </is>
      </c>
      <c r="B684" s="11" t="inlineStr">
        <is>
          <t>Marble chips upto 4mm and downsize White &amp; black</t>
        </is>
      </c>
      <c r="C684" s="22" t="inlineStr">
        <is>
          <t>quintal</t>
        </is>
      </c>
      <c r="D684" s="23" t="n">
        <v>0.872</v>
      </c>
      <c r="E684" s="24" t="n">
        <v>189</v>
      </c>
      <c r="F684" s="24">
        <f>D684*E684</f>
        <v/>
      </c>
      <c r="G684" s="22" t="n"/>
    </row>
    <row r="685">
      <c r="A685" s="22" t="inlineStr">
        <is>
          <t>2268</t>
        </is>
      </c>
      <c r="B685" s="11" t="inlineStr">
        <is>
          <t>Carriage of Marble dust and marble chips</t>
        </is>
      </c>
      <c r="C685" s="22" t="inlineStr">
        <is>
          <t>cum</t>
        </is>
      </c>
      <c r="D685" s="23" t="n">
        <v>0.051</v>
      </c>
      <c r="E685" s="24" t="n">
        <v>103.77</v>
      </c>
      <c r="F685" s="24">
        <f>D685*E685</f>
        <v/>
      </c>
      <c r="G685" s="22" t="n"/>
    </row>
    <row r="686">
      <c r="A686" s="22" t="inlineStr">
        <is>
          <t>2209</t>
        </is>
      </c>
      <c r="B686" s="11" t="inlineStr">
        <is>
          <t>Carriage of Cement</t>
        </is>
      </c>
      <c r="C686" s="22" t="inlineStr">
        <is>
          <t>tonne</t>
        </is>
      </c>
      <c r="D686" s="23" t="n">
        <v>0.0405</v>
      </c>
      <c r="E686" s="24" t="n">
        <v>92.23999999999999</v>
      </c>
      <c r="F686" s="24">
        <f>D686*E686</f>
        <v/>
      </c>
      <c r="G686" s="22" t="n"/>
    </row>
    <row r="687">
      <c r="A687" s="22" t="inlineStr">
        <is>
          <t>9977</t>
        </is>
      </c>
      <c r="B687" s="11" t="inlineStr">
        <is>
          <t>Carriage of pigment &amp; marble powder</t>
        </is>
      </c>
      <c r="C687" s="22" t="inlineStr">
        <is>
          <t>L.S.</t>
        </is>
      </c>
      <c r="D687" s="23" t="n">
        <v>3.64</v>
      </c>
      <c r="E687" s="24" t="n">
        <v>2</v>
      </c>
      <c r="F687" s="24">
        <f>D687*E687</f>
        <v/>
      </c>
      <c r="G687" s="22" t="n"/>
    </row>
    <row r="688">
      <c r="A688" s="22" t="inlineStr">
        <is>
          <t>2216</t>
        </is>
      </c>
      <c r="B688" s="11" t="inlineStr">
        <is>
          <t>Carriage of Stone blocks white &amp; red sand stone &amp; kota stone slab</t>
        </is>
      </c>
      <c r="C688" s="22" t="inlineStr">
        <is>
          <t>tonne</t>
        </is>
      </c>
      <c r="D688" s="23" t="n">
        <v>0.24</v>
      </c>
      <c r="E688" s="24" t="n">
        <v>92.23999999999999</v>
      </c>
      <c r="F688" s="24">
        <f>D688*E688</f>
        <v/>
      </c>
      <c r="G688" s="22" t="n"/>
    </row>
    <row r="689">
      <c r="A689" s="22" t="inlineStr">
        <is>
          <t>0123</t>
        </is>
      </c>
      <c r="B689" s="11" t="inlineStr">
        <is>
          <t>Mason (brick layer) 1st class</t>
        </is>
      </c>
      <c r="C689" s="22" t="inlineStr">
        <is>
          <t>day</t>
        </is>
      </c>
      <c r="D689" s="23" t="n">
        <v>1.2</v>
      </c>
      <c r="E689" s="24" t="n">
        <v>738</v>
      </c>
      <c r="F689" s="24">
        <f>D689*E689</f>
        <v/>
      </c>
      <c r="G689" s="22" t="n"/>
    </row>
    <row r="690">
      <c r="A690" s="22" t="inlineStr">
        <is>
          <t>0114</t>
        </is>
      </c>
      <c r="B690" s="11" t="inlineStr">
        <is>
          <t>Beldar</t>
        </is>
      </c>
      <c r="C690" s="22" t="inlineStr">
        <is>
          <t>day</t>
        </is>
      </c>
      <c r="D690" s="23" t="n">
        <v>1</v>
      </c>
      <c r="E690" s="24" t="n">
        <v>558</v>
      </c>
      <c r="F690" s="24">
        <f>D690*E690</f>
        <v/>
      </c>
      <c r="G690" s="22" t="n"/>
    </row>
    <row r="691">
      <c r="A691" s="22" t="inlineStr">
        <is>
          <t>0115</t>
        </is>
      </c>
      <c r="B691" s="11" t="inlineStr">
        <is>
          <t>Coolie</t>
        </is>
      </c>
      <c r="C691" s="22" t="inlineStr">
        <is>
          <t>day</t>
        </is>
      </c>
      <c r="D691" s="23" t="n">
        <v>1</v>
      </c>
      <c r="E691" s="24" t="n">
        <v>558</v>
      </c>
      <c r="F691" s="24">
        <f>D691*E691</f>
        <v/>
      </c>
      <c r="G691" s="22" t="n"/>
    </row>
    <row r="692">
      <c r="A692" s="22" t="inlineStr">
        <is>
          <t>0139</t>
        </is>
      </c>
      <c r="B692" s="11" t="inlineStr">
        <is>
          <t>Skilled Beldar (for floor rubbing etc.)</t>
        </is>
      </c>
      <c r="C692" s="22" t="inlineStr">
        <is>
          <t>day</t>
        </is>
      </c>
      <c r="D692" s="23" t="n">
        <v>5</v>
      </c>
      <c r="E692" s="24" t="n">
        <v>617</v>
      </c>
      <c r="F692" s="24">
        <f>D692*E692</f>
        <v/>
      </c>
      <c r="G692" s="22" t="n"/>
    </row>
    <row r="693">
      <c r="A693" s="22" t="inlineStr">
        <is>
          <t>9999</t>
        </is>
      </c>
      <c r="B693" s="11" t="inlineStr">
        <is>
          <t>Sundries including carborandum etc.</t>
        </is>
      </c>
      <c r="C693" s="22" t="inlineStr">
        <is>
          <t>L.S.</t>
        </is>
      </c>
      <c r="D693" s="23" t="n">
        <v>134.55</v>
      </c>
      <c r="E693" s="24" t="n">
        <v>2</v>
      </c>
      <c r="F693" s="24">
        <f>D693*E693</f>
        <v/>
      </c>
      <c r="G693" s="22" t="n"/>
    </row>
    <row r="694">
      <c r="A694" s="22" t="inlineStr">
        <is>
          <t>0101</t>
        </is>
      </c>
      <c r="B694" s="11" t="inlineStr">
        <is>
          <t>Bhisti</t>
        </is>
      </c>
      <c r="C694" s="22" t="inlineStr">
        <is>
          <t>day</t>
        </is>
      </c>
      <c r="D694" s="23" t="n">
        <v>0.54</v>
      </c>
      <c r="E694" s="24" t="n">
        <v>617</v>
      </c>
      <c r="F694" s="24">
        <f>D694*E694</f>
        <v/>
      </c>
      <c r="G694" s="22" t="n"/>
    </row>
    <row r="695">
      <c r="A695" s="22" t="inlineStr">
        <is>
          <t>0013</t>
        </is>
      </c>
      <c r="B695" s="11" t="inlineStr">
        <is>
          <t>Machine for rubbing of floors</t>
        </is>
      </c>
      <c r="C695" s="22" t="inlineStr">
        <is>
          <t>day</t>
        </is>
      </c>
      <c r="D695" s="23" t="n">
        <v>4</v>
      </c>
      <c r="E695" s="24" t="n">
        <v>300</v>
      </c>
      <c r="F695" s="24">
        <f>D695*E695</f>
        <v/>
      </c>
      <c r="G695" s="22" t="n"/>
    </row>
    <row r="696">
      <c r="A696" s="8" t="inlineStr">
        <is>
          <t>Calculated W - SUM of the Amount column above</t>
        </is>
      </c>
      <c r="B696" s="9" t="n"/>
      <c r="C696" s="9" t="n"/>
      <c r="D696" s="9" t="n"/>
      <c r="E696" s="9" t="n"/>
      <c r="F696" s="25">
        <f>SUM(F676:F695)</f>
        <v/>
      </c>
      <c r="G696" s="9" t="n"/>
    </row>
    <row r="697">
      <c r="A697" s="26" t="inlineStr">
        <is>
          <t>W as printed in the DAR</t>
        </is>
      </c>
      <c r="B697" s="22" t="n"/>
      <c r="C697" s="22" t="n"/>
      <c r="D697" s="22" t="n"/>
      <c r="E697" s="22" t="n"/>
      <c r="F697" s="27" t="n">
        <v>10398.11</v>
      </c>
      <c r="G697" s="22" t="n"/>
    </row>
    <row r="698">
      <c r="A698" s="26" t="inlineStr">
        <is>
          <t>Difference (calculated - printed)</t>
        </is>
      </c>
      <c r="B698" s="22" t="n"/>
      <c r="C698" s="22" t="n"/>
      <c r="D698" s="22" t="n"/>
      <c r="E698" s="22" t="n"/>
      <c r="F698" s="27">
        <f>F696-F697</f>
        <v/>
      </c>
      <c r="G698" s="22" t="n"/>
    </row>
    <row r="699">
      <c r="A699" s="29" t="inlineStr">
        <is>
          <t>SAY (Rs.) - final DAR rate as printed (fixed value, not computed)</t>
        </is>
      </c>
      <c r="B699" s="30" t="n"/>
      <c r="C699" s="30" t="n"/>
      <c r="D699" s="30" t="n"/>
      <c r="E699" s="30" t="n"/>
      <c r="F699" s="31" t="n">
        <v>1329.25</v>
      </c>
      <c r="G699" s="30" t="n"/>
    </row>
    <row r="701" ht="47.5" customHeight="1">
      <c r="A701" s="8" t="inlineStr">
        <is>
          <t>11.16</t>
        </is>
      </c>
      <c r="B701" s="17"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is>
      </c>
      <c r="C701" s="9" t="n"/>
      <c r="D701" s="9" t="n"/>
      <c r="E701" s="9" t="n"/>
      <c r="F701" s="9" t="n"/>
      <c r="G701" s="9" t="n"/>
    </row>
    <row r="702" ht="18.5" customHeight="1">
      <c r="A702" s="18" t="inlineStr">
        <is>
          <t>11.16.1</t>
        </is>
      </c>
      <c r="B702" s="19" t="inlineStr">
        <is>
          <t>Light shade pigment using white cement</t>
        </is>
      </c>
      <c r="C702" s="20" t="n"/>
      <c r="D702" s="20" t="n"/>
      <c r="E702" s="20" t="n"/>
      <c r="F702" s="20" t="n"/>
      <c r="G702" s="20" t="n"/>
    </row>
    <row r="703">
      <c r="A703" s="21" t="inlineStr">
        <is>
          <t>Details of cost for 10 sqm   |   Source: CivilDAR_2019_Vol_1.pdf, page 749</t>
        </is>
      </c>
    </row>
    <row r="704">
      <c r="A704" s="5" t="inlineStr">
        <is>
          <t>Code</t>
        </is>
      </c>
      <c r="B704" s="5" t="inlineStr">
        <is>
          <t>Description</t>
        </is>
      </c>
      <c r="C704" s="5" t="inlineStr">
        <is>
          <t>Unit</t>
        </is>
      </c>
      <c r="D704" s="5" t="inlineStr">
        <is>
          <t>Quantity</t>
        </is>
      </c>
      <c r="E704" s="5" t="inlineStr">
        <is>
          <t>Rate (Rs.)</t>
        </is>
      </c>
      <c r="F704" s="5" t="inlineStr">
        <is>
          <t>Amount (Rs.)</t>
        </is>
      </c>
      <c r="G704" s="5" t="inlineStr">
        <is>
          <t>Note</t>
        </is>
      </c>
    </row>
    <row r="705">
      <c r="A705" s="22" t="inlineStr">
        <is>
          <t>1201</t>
        </is>
      </c>
      <c r="B705" s="11" t="inlineStr">
        <is>
          <t>Precast terrazo tiles 22 mm thick (light shade) including 10% wastage</t>
        </is>
      </c>
      <c r="C705" s="22" t="inlineStr">
        <is>
          <t>sqm</t>
        </is>
      </c>
      <c r="D705" s="23" t="n">
        <v>11</v>
      </c>
      <c r="E705" s="24" t="n">
        <v>285</v>
      </c>
      <c r="F705" s="24">
        <f>D705*E705</f>
        <v/>
      </c>
      <c r="G705" s="22" t="n"/>
    </row>
    <row r="706">
      <c r="A706" s="22" t="inlineStr">
        <is>
          <t>9977</t>
        </is>
      </c>
      <c r="B706" s="11" t="inlineStr">
        <is>
          <t>Carriage of tiles</t>
        </is>
      </c>
      <c r="C706" s="22" t="inlineStr">
        <is>
          <t>L.S.</t>
        </is>
      </c>
      <c r="D706" s="23" t="n">
        <v>40.43</v>
      </c>
      <c r="E706" s="24" t="n">
        <v>2</v>
      </c>
      <c r="F706" s="24">
        <f>D706*E706</f>
        <v/>
      </c>
      <c r="G706" s="22" t="n"/>
    </row>
    <row r="707">
      <c r="A707" s="7" t="inlineStr">
        <is>
          <t>3.9</t>
        </is>
      </c>
      <c r="B707" s="11" t="inlineStr">
        <is>
          <t>Rate as per item 3.9 - Cement mortar 1:4 (1 cement : 4 coarse sand)</t>
        </is>
      </c>
      <c r="C707" s="22" t="inlineStr">
        <is>
          <t>cum</t>
        </is>
      </c>
      <c r="D707" s="23" t="n">
        <v>0.224</v>
      </c>
      <c r="E707" s="24" t="n">
        <v>4010.35</v>
      </c>
      <c r="F707" s="24">
        <f>D707*E707</f>
        <v/>
      </c>
      <c r="G707" s="22" t="n"/>
    </row>
    <row r="708">
      <c r="A708" s="22" t="inlineStr">
        <is>
          <t>0367</t>
        </is>
      </c>
      <c r="B708" s="11" t="inlineStr">
        <is>
          <t>Portland Cement</t>
        </is>
      </c>
      <c r="C708" s="22" t="inlineStr">
        <is>
          <t>tonne</t>
        </is>
      </c>
      <c r="D708" s="23" t="n">
        <v>0.044</v>
      </c>
      <c r="E708" s="24" t="n">
        <v>4940</v>
      </c>
      <c r="F708" s="24">
        <f>D708*E708</f>
        <v/>
      </c>
      <c r="G708" s="22" t="n"/>
    </row>
    <row r="709">
      <c r="A709" s="22" t="inlineStr">
        <is>
          <t>0368</t>
        </is>
      </c>
      <c r="B709" s="11" t="inlineStr">
        <is>
          <t>White Cement</t>
        </is>
      </c>
      <c r="C709" s="22" t="inlineStr">
        <is>
          <t>tonne</t>
        </is>
      </c>
      <c r="D709" s="23" t="n">
        <v>0.044</v>
      </c>
      <c r="E709" s="24" t="n">
        <v>11200</v>
      </c>
      <c r="F709" s="24">
        <f>D709*E709</f>
        <v/>
      </c>
      <c r="G709" s="22" t="n"/>
    </row>
    <row r="710">
      <c r="A710" s="22" t="inlineStr">
        <is>
          <t>2209</t>
        </is>
      </c>
      <c r="B710" s="11" t="inlineStr">
        <is>
          <t>Carriage of Cement</t>
        </is>
      </c>
      <c r="C710" s="22" t="inlineStr">
        <is>
          <t>tonne</t>
        </is>
      </c>
      <c r="D710" s="23" t="n">
        <v>0.08799999999999999</v>
      </c>
      <c r="E710" s="24" t="n">
        <v>92.23999999999999</v>
      </c>
      <c r="F710" s="24">
        <f>D710*E710</f>
        <v/>
      </c>
      <c r="G710" s="22" t="n"/>
    </row>
    <row r="711">
      <c r="A711" s="22" t="inlineStr">
        <is>
          <t>0875</t>
        </is>
      </c>
      <c r="B711" s="11" t="inlineStr">
        <is>
          <t>Red, chocolate, orange, buff or yellow (red oxide of iron) light shade pigment</t>
        </is>
      </c>
      <c r="C711" s="22" t="inlineStr">
        <is>
          <t>kilogram</t>
        </is>
      </c>
      <c r="D711" s="23" t="n">
        <v>3.08</v>
      </c>
      <c r="E711" s="24" t="n">
        <v>60</v>
      </c>
      <c r="F711" s="24">
        <f>D711*E711</f>
        <v/>
      </c>
      <c r="G711" s="22" t="n"/>
    </row>
    <row r="712">
      <c r="A712" s="22" t="inlineStr">
        <is>
          <t>0124</t>
        </is>
      </c>
      <c r="B712" s="11" t="inlineStr">
        <is>
          <t>Mason (brick layer) 2nd class</t>
        </is>
      </c>
      <c r="C712" s="22" t="inlineStr">
        <is>
          <t>day</t>
        </is>
      </c>
      <c r="D712" s="23" t="n">
        <v>1.6</v>
      </c>
      <c r="E712" s="24" t="n">
        <v>679</v>
      </c>
      <c r="F712" s="24">
        <f>D712*E712</f>
        <v/>
      </c>
      <c r="G712" s="22" t="n"/>
    </row>
    <row r="713">
      <c r="A713" s="22" t="inlineStr">
        <is>
          <t>0115</t>
        </is>
      </c>
      <c r="B713" s="11" t="inlineStr">
        <is>
          <t>Coolie</t>
        </is>
      </c>
      <c r="C713" s="22" t="inlineStr">
        <is>
          <t>day</t>
        </is>
      </c>
      <c r="D713" s="23" t="n">
        <v>2</v>
      </c>
      <c r="E713" s="24" t="n">
        <v>558</v>
      </c>
      <c r="F713" s="24">
        <f>D713*E713</f>
        <v/>
      </c>
      <c r="G713" s="22" t="n"/>
    </row>
    <row r="714">
      <c r="A714" s="22" t="inlineStr">
        <is>
          <t>0139</t>
        </is>
      </c>
      <c r="B714" s="11" t="inlineStr">
        <is>
          <t>Skilled Beldar (for floor rubbing etc.)</t>
        </is>
      </c>
      <c r="C714" s="22" t="inlineStr">
        <is>
          <t>day</t>
        </is>
      </c>
      <c r="D714" s="23" t="n">
        <v>1</v>
      </c>
      <c r="E714" s="24" t="n">
        <v>617</v>
      </c>
      <c r="F714" s="24">
        <f>D714*E714</f>
        <v/>
      </c>
      <c r="G714" s="22" t="n"/>
    </row>
    <row r="715">
      <c r="A715" s="22" t="inlineStr">
        <is>
          <t>0101</t>
        </is>
      </c>
      <c r="B715" s="11" t="inlineStr">
        <is>
          <t>Bhisti</t>
        </is>
      </c>
      <c r="C715" s="22" t="inlineStr">
        <is>
          <t>day</t>
        </is>
      </c>
      <c r="D715" s="23" t="n">
        <v>1</v>
      </c>
      <c r="E715" s="24" t="n">
        <v>617</v>
      </c>
      <c r="F715" s="24">
        <f>D715*E715</f>
        <v/>
      </c>
      <c r="G715" s="22" t="n"/>
    </row>
    <row r="716">
      <c r="A716" s="22" t="inlineStr">
        <is>
          <t>0013</t>
        </is>
      </c>
      <c r="B716" s="11" t="inlineStr">
        <is>
          <t>Machine for rubbing of floors</t>
        </is>
      </c>
      <c r="C716" s="22" t="inlineStr">
        <is>
          <t>day</t>
        </is>
      </c>
      <c r="D716" s="23" t="n">
        <v>1.6</v>
      </c>
      <c r="E716" s="24" t="n">
        <v>300</v>
      </c>
      <c r="F716" s="24">
        <f>D716*E716</f>
        <v/>
      </c>
      <c r="G716" s="22" t="n"/>
    </row>
    <row r="717">
      <c r="A717" s="22" t="inlineStr">
        <is>
          <t>9999</t>
        </is>
      </c>
      <c r="B717" s="11" t="inlineStr">
        <is>
          <t>Sundries including carborandum stone etc.</t>
        </is>
      </c>
      <c r="C717" s="22" t="inlineStr">
        <is>
          <t>L.S.</t>
        </is>
      </c>
      <c r="D717" s="23" t="n">
        <v>161.98</v>
      </c>
      <c r="E717" s="24" t="n">
        <v>2</v>
      </c>
      <c r="F717" s="24">
        <f>D717*E717</f>
        <v/>
      </c>
      <c r="G717" s="22" t="n"/>
    </row>
    <row r="718">
      <c r="A718" s="8" t="inlineStr">
        <is>
          <t>Calculated W - SUM of the Amount column above</t>
        </is>
      </c>
      <c r="B718" s="9" t="n"/>
      <c r="C718" s="9" t="n"/>
      <c r="D718" s="9" t="n"/>
      <c r="E718" s="9" t="n"/>
      <c r="F718" s="25">
        <f>SUM(F705:F717)</f>
        <v/>
      </c>
      <c r="G718" s="9" t="n"/>
    </row>
    <row r="719">
      <c r="A719" s="26" t="inlineStr">
        <is>
          <t>W as printed in the DAR</t>
        </is>
      </c>
      <c r="B719" s="22" t="n"/>
      <c r="C719" s="22" t="n"/>
      <c r="D719" s="22" t="n"/>
      <c r="E719" s="22" t="n"/>
      <c r="F719" s="27" t="n">
        <v>9257.620000000001</v>
      </c>
      <c r="G719" s="22" t="n"/>
    </row>
    <row r="720">
      <c r="A720" s="26" t="inlineStr">
        <is>
          <t>Difference (calculated - printed)</t>
        </is>
      </c>
      <c r="B720" s="22" t="n"/>
      <c r="C720" s="22" t="n"/>
      <c r="D720" s="22" t="n"/>
      <c r="E720" s="22" t="n"/>
      <c r="F720" s="27">
        <f>F718-F719</f>
        <v/>
      </c>
      <c r="G720" s="22" t="n"/>
    </row>
    <row r="721">
      <c r="A721" s="29" t="inlineStr">
        <is>
          <t>SAY (Rs.) - final DAR rate as printed (fixed value, not computed)</t>
        </is>
      </c>
      <c r="B721" s="30" t="n"/>
      <c r="C721" s="30" t="n"/>
      <c r="D721" s="30" t="n"/>
      <c r="E721" s="30" t="n"/>
      <c r="F721" s="31" t="n">
        <v>1238.6</v>
      </c>
      <c r="G721" s="30" t="n"/>
    </row>
    <row r="723" ht="47.5" customHeight="1">
      <c r="A723" s="8" t="inlineStr">
        <is>
          <t>11.16</t>
        </is>
      </c>
      <c r="B723" s="17"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is>
      </c>
      <c r="C723" s="9" t="n"/>
      <c r="D723" s="9" t="n"/>
      <c r="E723" s="9" t="n"/>
      <c r="F723" s="9" t="n"/>
      <c r="G723" s="9" t="n"/>
    </row>
    <row r="724" ht="18.5" customHeight="1">
      <c r="A724" s="18" t="inlineStr">
        <is>
          <t>11.16.2</t>
        </is>
      </c>
      <c r="B724" s="19" t="inlineStr">
        <is>
          <t>Medium shade pigment using 50% white cement and 50% ordinary cement</t>
        </is>
      </c>
      <c r="C724" s="20" t="n"/>
      <c r="D724" s="20" t="n"/>
      <c r="E724" s="20" t="n"/>
      <c r="F724" s="20" t="n"/>
      <c r="G724" s="20" t="n"/>
    </row>
    <row r="725">
      <c r="A725" s="21" t="inlineStr">
        <is>
          <t>Details of cost for 10 sqm   |   Source: CivilDAR_2019_Vol_1.pdf, page 750</t>
        </is>
      </c>
    </row>
    <row r="726">
      <c r="A726" s="5" t="inlineStr">
        <is>
          <t>Code</t>
        </is>
      </c>
      <c r="B726" s="5" t="inlineStr">
        <is>
          <t>Description</t>
        </is>
      </c>
      <c r="C726" s="5" t="inlineStr">
        <is>
          <t>Unit</t>
        </is>
      </c>
      <c r="D726" s="5" t="inlineStr">
        <is>
          <t>Quantity</t>
        </is>
      </c>
      <c r="E726" s="5" t="inlineStr">
        <is>
          <t>Rate (Rs.)</t>
        </is>
      </c>
      <c r="F726" s="5" t="inlineStr">
        <is>
          <t>Amount (Rs.)</t>
        </is>
      </c>
      <c r="G726" s="5" t="inlineStr">
        <is>
          <t>Note</t>
        </is>
      </c>
    </row>
    <row r="727">
      <c r="A727" s="22" t="inlineStr">
        <is>
          <t>1202</t>
        </is>
      </c>
      <c r="B727" s="11" t="inlineStr">
        <is>
          <t>Precast terrazo tiles 22 mm thick (medium shade) including 10% wastage</t>
        </is>
      </c>
      <c r="C727" s="22" t="inlineStr">
        <is>
          <t>sqm</t>
        </is>
      </c>
      <c r="D727" s="23" t="n">
        <v>11</v>
      </c>
      <c r="E727" s="24" t="n">
        <v>265</v>
      </c>
      <c r="F727" s="24">
        <f>D727*E727</f>
        <v/>
      </c>
      <c r="G727" s="22" t="n"/>
    </row>
    <row r="728">
      <c r="A728" s="22" t="inlineStr">
        <is>
          <t>9977</t>
        </is>
      </c>
      <c r="B728" s="11" t="inlineStr">
        <is>
          <t>Carriage of tiles</t>
        </is>
      </c>
      <c r="C728" s="22" t="inlineStr">
        <is>
          <t>L.S.</t>
        </is>
      </c>
      <c r="D728" s="23" t="n">
        <v>40.43</v>
      </c>
      <c r="E728" s="24" t="n">
        <v>2</v>
      </c>
      <c r="F728" s="24">
        <f>D728*E728</f>
        <v/>
      </c>
      <c r="G728" s="22" t="n"/>
    </row>
    <row r="729">
      <c r="A729" s="7" t="inlineStr">
        <is>
          <t>3.9</t>
        </is>
      </c>
      <c r="B729" s="11" t="inlineStr">
        <is>
          <t>Rate as per item 3.9 - Cement mortar 1:4 (1 cement : 4 coarse sand)</t>
        </is>
      </c>
      <c r="C729" s="22" t="inlineStr">
        <is>
          <t>cum</t>
        </is>
      </c>
      <c r="D729" s="23" t="n">
        <v>0.224</v>
      </c>
      <c r="E729" s="24" t="n">
        <v>4010.35</v>
      </c>
      <c r="F729" s="24">
        <f>D729*E729</f>
        <v/>
      </c>
      <c r="G729" s="22" t="n"/>
    </row>
    <row r="730">
      <c r="A730" s="22" t="inlineStr">
        <is>
          <t>0367</t>
        </is>
      </c>
      <c r="B730" s="11" t="inlineStr">
        <is>
          <t>Portland Cement</t>
        </is>
      </c>
      <c r="C730" s="22" t="inlineStr">
        <is>
          <t>tonne</t>
        </is>
      </c>
      <c r="D730" s="23" t="n">
        <v>0.066</v>
      </c>
      <c r="E730" s="24" t="n">
        <v>4940</v>
      </c>
      <c r="F730" s="24">
        <f>D730*E730</f>
        <v/>
      </c>
      <c r="G730" s="22" t="n"/>
    </row>
    <row r="731">
      <c r="A731" s="22" t="inlineStr">
        <is>
          <t>0368</t>
        </is>
      </c>
      <c r="B731" s="11" t="inlineStr">
        <is>
          <t>White Cement</t>
        </is>
      </c>
      <c r="C731" s="22" t="inlineStr">
        <is>
          <t>tonne</t>
        </is>
      </c>
      <c r="D731" s="23" t="n">
        <v>0.022</v>
      </c>
      <c r="E731" s="24" t="n">
        <v>11200</v>
      </c>
      <c r="F731" s="24">
        <f>D731*E731</f>
        <v/>
      </c>
      <c r="G731" s="22" t="n"/>
    </row>
    <row r="732">
      <c r="A732" s="22" t="inlineStr">
        <is>
          <t>2209</t>
        </is>
      </c>
      <c r="B732" s="11" t="inlineStr">
        <is>
          <t>Carriage of Cement</t>
        </is>
      </c>
      <c r="C732" s="22" t="inlineStr">
        <is>
          <t>tonne</t>
        </is>
      </c>
      <c r="D732" s="23" t="n">
        <v>0.08799999999999999</v>
      </c>
      <c r="E732" s="24" t="n">
        <v>92.23999999999999</v>
      </c>
      <c r="F732" s="24">
        <f>D732*E732</f>
        <v/>
      </c>
      <c r="G732" s="22" t="n"/>
    </row>
    <row r="733">
      <c r="A733" s="22" t="inlineStr">
        <is>
          <t>0876</t>
        </is>
      </c>
      <c r="B733" s="11" t="inlineStr">
        <is>
          <t>Green or blue medium shade pigment</t>
        </is>
      </c>
      <c r="C733" s="22" t="inlineStr">
        <is>
          <t>kilogram</t>
        </is>
      </c>
      <c r="D733" s="23" t="n">
        <v>3.08</v>
      </c>
      <c r="E733" s="24" t="n">
        <v>56</v>
      </c>
      <c r="F733" s="24">
        <f>D733*E733</f>
        <v/>
      </c>
      <c r="G733" s="22" t="n"/>
    </row>
    <row r="734">
      <c r="A734" s="22" t="inlineStr">
        <is>
          <t>0124</t>
        </is>
      </c>
      <c r="B734" s="11" t="inlineStr">
        <is>
          <t>Mason (brick layer) 2nd class</t>
        </is>
      </c>
      <c r="C734" s="22" t="inlineStr">
        <is>
          <t>day</t>
        </is>
      </c>
      <c r="D734" s="23" t="n">
        <v>1.6</v>
      </c>
      <c r="E734" s="24" t="n">
        <v>679</v>
      </c>
      <c r="F734" s="24">
        <f>D734*E734</f>
        <v/>
      </c>
      <c r="G734" s="22" t="n"/>
    </row>
    <row r="735">
      <c r="A735" s="22" t="inlineStr">
        <is>
          <t>0115</t>
        </is>
      </c>
      <c r="B735" s="11" t="inlineStr">
        <is>
          <t>Coolie</t>
        </is>
      </c>
      <c r="C735" s="22" t="inlineStr">
        <is>
          <t>day</t>
        </is>
      </c>
      <c r="D735" s="23" t="n">
        <v>2</v>
      </c>
      <c r="E735" s="24" t="n">
        <v>558</v>
      </c>
      <c r="F735" s="24">
        <f>D735*E735</f>
        <v/>
      </c>
      <c r="G735" s="22" t="n"/>
    </row>
    <row r="736">
      <c r="A736" s="22" t="inlineStr">
        <is>
          <t>0139</t>
        </is>
      </c>
      <c r="B736" s="11" t="inlineStr">
        <is>
          <t>Skilled Beldar (for floor rubbing etc.)</t>
        </is>
      </c>
      <c r="C736" s="22" t="inlineStr">
        <is>
          <t>day</t>
        </is>
      </c>
      <c r="D736" s="23" t="n">
        <v>1</v>
      </c>
      <c r="E736" s="24" t="n">
        <v>617</v>
      </c>
      <c r="F736" s="24">
        <f>D736*E736</f>
        <v/>
      </c>
      <c r="G736" s="22" t="n"/>
    </row>
    <row r="737">
      <c r="A737" s="22" t="inlineStr">
        <is>
          <t>0101</t>
        </is>
      </c>
      <c r="B737" s="11" t="inlineStr">
        <is>
          <t>Bhisti</t>
        </is>
      </c>
      <c r="C737" s="22" t="inlineStr">
        <is>
          <t>day</t>
        </is>
      </c>
      <c r="D737" s="23" t="n">
        <v>1</v>
      </c>
      <c r="E737" s="24" t="n">
        <v>617</v>
      </c>
      <c r="F737" s="24">
        <f>D737*E737</f>
        <v/>
      </c>
      <c r="G737" s="22" t="n"/>
    </row>
    <row r="738">
      <c r="A738" s="22" t="inlineStr">
        <is>
          <t>0013</t>
        </is>
      </c>
      <c r="B738" s="11" t="inlineStr">
        <is>
          <t>Machine for rubbing of floors</t>
        </is>
      </c>
      <c r="C738" s="22" t="inlineStr">
        <is>
          <t>day</t>
        </is>
      </c>
      <c r="D738" s="23" t="n">
        <v>1.6</v>
      </c>
      <c r="E738" s="24" t="n">
        <v>300</v>
      </c>
      <c r="F738" s="24">
        <f>D738*E738</f>
        <v/>
      </c>
      <c r="G738" s="22" t="n"/>
    </row>
    <row r="739">
      <c r="A739" s="22" t="inlineStr">
        <is>
          <t>9999</t>
        </is>
      </c>
      <c r="B739" s="11" t="inlineStr">
        <is>
          <t>Sundries including carborandum stone etc.</t>
        </is>
      </c>
      <c r="C739" s="22" t="inlineStr">
        <is>
          <t>L.S.</t>
        </is>
      </c>
      <c r="D739" s="23" t="n">
        <v>161.98</v>
      </c>
      <c r="E739" s="24" t="n">
        <v>2</v>
      </c>
      <c r="F739" s="24">
        <f>D739*E739</f>
        <v/>
      </c>
      <c r="G739" s="22" t="n"/>
    </row>
    <row r="740">
      <c r="A740" s="8" t="inlineStr">
        <is>
          <t>Calculated W - SUM of the Amount column above</t>
        </is>
      </c>
      <c r="B740" s="9" t="n"/>
      <c r="C740" s="9" t="n"/>
      <c r="D740" s="9" t="n"/>
      <c r="E740" s="9" t="n"/>
      <c r="F740" s="25">
        <f>SUM(F727:F739)</f>
        <v/>
      </c>
      <c r="G740" s="9" t="n"/>
    </row>
    <row r="741">
      <c r="A741" s="26" t="inlineStr">
        <is>
          <t>W as printed in the DAR</t>
        </is>
      </c>
      <c r="B741" s="22" t="n"/>
      <c r="C741" s="22" t="n"/>
      <c r="D741" s="22" t="n"/>
      <c r="E741" s="22" t="n"/>
      <c r="F741" s="27" t="n">
        <v>8887.58</v>
      </c>
      <c r="G741" s="22" t="n"/>
    </row>
    <row r="742">
      <c r="A742" s="26" t="inlineStr">
        <is>
          <t>Difference (calculated - printed)</t>
        </is>
      </c>
      <c r="B742" s="22" t="n"/>
      <c r="C742" s="22" t="n"/>
      <c r="D742" s="22" t="n"/>
      <c r="E742" s="22" t="n"/>
      <c r="F742" s="27">
        <f>F740-F741</f>
        <v/>
      </c>
      <c r="G742" s="22" t="n"/>
    </row>
    <row r="743">
      <c r="A743" s="29" t="inlineStr">
        <is>
          <t>SAY (Rs.) - final DAR rate as printed (fixed value, not computed)</t>
        </is>
      </c>
      <c r="B743" s="30" t="n"/>
      <c r="C743" s="30" t="n"/>
      <c r="D743" s="30" t="n"/>
      <c r="E743" s="30" t="n"/>
      <c r="F743" s="31" t="n">
        <v>1189.1</v>
      </c>
      <c r="G743" s="30" t="n"/>
    </row>
    <row r="745" ht="47.5" customHeight="1">
      <c r="A745" s="8" t="inlineStr">
        <is>
          <t>11.16</t>
        </is>
      </c>
      <c r="B745" s="17"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is>
      </c>
      <c r="C745" s="9" t="n"/>
      <c r="D745" s="9" t="n"/>
      <c r="E745" s="9" t="n"/>
      <c r="F745" s="9" t="n"/>
      <c r="G745" s="9" t="n"/>
    </row>
    <row r="746" ht="18.5" customHeight="1">
      <c r="A746" s="18" t="inlineStr">
        <is>
          <t>11.16.3</t>
        </is>
      </c>
      <c r="B746" s="19" t="inlineStr">
        <is>
          <t>Dark shade pigment using ordinary cement</t>
        </is>
      </c>
      <c r="C746" s="20" t="n"/>
      <c r="D746" s="20" t="n"/>
      <c r="E746" s="20" t="n"/>
      <c r="F746" s="20" t="n"/>
      <c r="G746" s="20" t="n"/>
    </row>
    <row r="747">
      <c r="A747" s="21" t="inlineStr">
        <is>
          <t>Details of cost for 10 sqm   |   Source: CivilDAR_2019_Vol_1.pdf, page 750</t>
        </is>
      </c>
    </row>
    <row r="748">
      <c r="A748" s="5" t="inlineStr">
        <is>
          <t>Code</t>
        </is>
      </c>
      <c r="B748" s="5" t="inlineStr">
        <is>
          <t>Description</t>
        </is>
      </c>
      <c r="C748" s="5" t="inlineStr">
        <is>
          <t>Unit</t>
        </is>
      </c>
      <c r="D748" s="5" t="inlineStr">
        <is>
          <t>Quantity</t>
        </is>
      </c>
      <c r="E748" s="5" t="inlineStr">
        <is>
          <t>Rate (Rs.)</t>
        </is>
      </c>
      <c r="F748" s="5" t="inlineStr">
        <is>
          <t>Amount (Rs.)</t>
        </is>
      </c>
      <c r="G748" s="5" t="inlineStr">
        <is>
          <t>Note</t>
        </is>
      </c>
    </row>
    <row r="749">
      <c r="A749" s="22" t="inlineStr">
        <is>
          <t>1203</t>
        </is>
      </c>
      <c r="B749" s="11" t="inlineStr">
        <is>
          <t>Precast terrazo tiles 22 mm thick (dark shade) including 10% wastage</t>
        </is>
      </c>
      <c r="C749" s="22" t="inlineStr">
        <is>
          <t>sqm</t>
        </is>
      </c>
      <c r="D749" s="23" t="n">
        <v>11</v>
      </c>
      <c r="E749" s="24" t="n">
        <v>245</v>
      </c>
      <c r="F749" s="24">
        <f>D749*E749</f>
        <v/>
      </c>
      <c r="G749" s="22" t="n"/>
    </row>
    <row r="750">
      <c r="A750" s="22" t="inlineStr">
        <is>
          <t>9977</t>
        </is>
      </c>
      <c r="B750" s="11" t="inlineStr">
        <is>
          <t>Carriage of tiles</t>
        </is>
      </c>
      <c r="C750" s="22" t="inlineStr">
        <is>
          <t>L.S.</t>
        </is>
      </c>
      <c r="D750" s="23" t="n">
        <v>40.43</v>
      </c>
      <c r="E750" s="24" t="n">
        <v>2</v>
      </c>
      <c r="F750" s="24">
        <f>D750*E750</f>
        <v/>
      </c>
      <c r="G750" s="22" t="n"/>
    </row>
    <row r="751">
      <c r="A751" s="7" t="inlineStr">
        <is>
          <t>3.9</t>
        </is>
      </c>
      <c r="B751" s="11" t="inlineStr">
        <is>
          <t>Rate as per item 3.9 - Cement mortar 1:4 (1 cement : 4 coarse sand)</t>
        </is>
      </c>
      <c r="C751" s="22" t="inlineStr">
        <is>
          <t>cum</t>
        </is>
      </c>
      <c r="D751" s="23" t="n">
        <v>0.224</v>
      </c>
      <c r="E751" s="24" t="n">
        <v>4010.35</v>
      </c>
      <c r="F751" s="24">
        <f>D751*E751</f>
        <v/>
      </c>
      <c r="G751" s="22" t="n"/>
    </row>
    <row r="752">
      <c r="A752" s="22" t="inlineStr">
        <is>
          <t>0367</t>
        </is>
      </c>
      <c r="B752" s="11" t="inlineStr">
        <is>
          <t>Portland Cement</t>
        </is>
      </c>
      <c r="C752" s="22" t="inlineStr">
        <is>
          <t>tonne</t>
        </is>
      </c>
      <c r="D752" s="23" t="n">
        <v>0.08799999999999999</v>
      </c>
      <c r="E752" s="24" t="n">
        <v>4940</v>
      </c>
      <c r="F752" s="24">
        <f>D752*E752</f>
        <v/>
      </c>
      <c r="G752" s="22" t="n"/>
    </row>
    <row r="753">
      <c r="A753" s="22" t="inlineStr">
        <is>
          <t>2209</t>
        </is>
      </c>
      <c r="B753" s="11" t="inlineStr">
        <is>
          <t>Carriage of Cement</t>
        </is>
      </c>
      <c r="C753" s="22" t="inlineStr">
        <is>
          <t>tonne</t>
        </is>
      </c>
      <c r="D753" s="23" t="n">
        <v>0.08799999999999999</v>
      </c>
      <c r="E753" s="24" t="n">
        <v>92.23999999999999</v>
      </c>
      <c r="F753" s="24">
        <f>D753*E753</f>
        <v/>
      </c>
      <c r="G753" s="22" t="n"/>
    </row>
    <row r="754">
      <c r="A754" s="22" t="inlineStr">
        <is>
          <t>0874</t>
        </is>
      </c>
      <c r="B754" s="11" t="inlineStr">
        <is>
          <t>Black colour dark shade pigment</t>
        </is>
      </c>
      <c r="C754" s="22" t="inlineStr">
        <is>
          <t>kilogram</t>
        </is>
      </c>
      <c r="D754" s="23" t="n">
        <v>3.08</v>
      </c>
      <c r="E754" s="24" t="n">
        <v>70</v>
      </c>
      <c r="F754" s="24">
        <f>D754*E754</f>
        <v/>
      </c>
      <c r="G754" s="22" t="n"/>
    </row>
    <row r="755">
      <c r="A755" s="22" t="inlineStr">
        <is>
          <t>0124</t>
        </is>
      </c>
      <c r="B755" s="11" t="inlineStr">
        <is>
          <t>Mason (brick layer) 2nd class</t>
        </is>
      </c>
      <c r="C755" s="22" t="inlineStr">
        <is>
          <t>day</t>
        </is>
      </c>
      <c r="D755" s="23" t="n">
        <v>1.6</v>
      </c>
      <c r="E755" s="24" t="n">
        <v>679</v>
      </c>
      <c r="F755" s="24">
        <f>D755*E755</f>
        <v/>
      </c>
      <c r="G755" s="22" t="n"/>
    </row>
    <row r="756">
      <c r="A756" s="22" t="inlineStr">
        <is>
          <t>0115</t>
        </is>
      </c>
      <c r="B756" s="11" t="inlineStr">
        <is>
          <t>Coolie</t>
        </is>
      </c>
      <c r="C756" s="22" t="inlineStr">
        <is>
          <t>day</t>
        </is>
      </c>
      <c r="D756" s="23" t="n">
        <v>2</v>
      </c>
      <c r="E756" s="24" t="n">
        <v>558</v>
      </c>
      <c r="F756" s="24">
        <f>D756*E756</f>
        <v/>
      </c>
      <c r="G756" s="22" t="n"/>
    </row>
    <row r="757">
      <c r="A757" s="22" t="inlineStr">
        <is>
          <t>0139</t>
        </is>
      </c>
      <c r="B757" s="11" t="inlineStr">
        <is>
          <t>Skilled Beldar (for floor rubbing etc.)</t>
        </is>
      </c>
      <c r="C757" s="22" t="inlineStr">
        <is>
          <t>day</t>
        </is>
      </c>
      <c r="D757" s="23" t="n">
        <v>1</v>
      </c>
      <c r="E757" s="24" t="n">
        <v>617</v>
      </c>
      <c r="F757" s="24">
        <f>D757*E757</f>
        <v/>
      </c>
      <c r="G757" s="22" t="n"/>
    </row>
    <row r="758">
      <c r="A758" s="22" t="inlineStr">
        <is>
          <t>0101</t>
        </is>
      </c>
      <c r="B758" s="11" t="inlineStr">
        <is>
          <t>Bhisti</t>
        </is>
      </c>
      <c r="C758" s="22" t="inlineStr">
        <is>
          <t>day</t>
        </is>
      </c>
      <c r="D758" s="23" t="n">
        <v>1</v>
      </c>
      <c r="E758" s="24" t="n">
        <v>617</v>
      </c>
      <c r="F758" s="24">
        <f>D758*E758</f>
        <v/>
      </c>
      <c r="G758" s="22" t="n"/>
    </row>
    <row r="759">
      <c r="A759" s="22" t="inlineStr">
        <is>
          <t>0013</t>
        </is>
      </c>
      <c r="B759" s="11" t="inlineStr">
        <is>
          <t>Machine for rubbing of floors</t>
        </is>
      </c>
      <c r="C759" s="22" t="inlineStr">
        <is>
          <t>day</t>
        </is>
      </c>
      <c r="D759" s="23" t="n">
        <v>1.6</v>
      </c>
      <c r="E759" s="24" t="n">
        <v>300</v>
      </c>
      <c r="F759" s="24">
        <f>D759*E759</f>
        <v/>
      </c>
      <c r="G759" s="22" t="n"/>
    </row>
    <row r="760">
      <c r="A760" s="22" t="inlineStr">
        <is>
          <t>9999</t>
        </is>
      </c>
      <c r="B760" s="11" t="inlineStr">
        <is>
          <t>Sundries including carborandum stone etc.</t>
        </is>
      </c>
      <c r="C760" s="22" t="inlineStr">
        <is>
          <t>L.S.</t>
        </is>
      </c>
      <c r="D760" s="23" t="n">
        <v>161.98</v>
      </c>
      <c r="E760" s="24" t="n">
        <v>2</v>
      </c>
      <c r="F760" s="24">
        <f>D760*E760</f>
        <v/>
      </c>
      <c r="G760" s="22" t="n"/>
    </row>
    <row r="761">
      <c r="A761" s="8" t="inlineStr">
        <is>
          <t>Calculated W - SUM of the Amount column above</t>
        </is>
      </c>
      <c r="B761" s="9" t="n"/>
      <c r="C761" s="9" t="n"/>
      <c r="D761" s="9" t="n"/>
      <c r="E761" s="9" t="n"/>
      <c r="F761" s="25">
        <f>SUM(F749:F760)</f>
        <v/>
      </c>
      <c r="G761" s="9" t="n"/>
    </row>
    <row r="762">
      <c r="A762" s="26" t="inlineStr">
        <is>
          <t>W as printed in the DAR</t>
        </is>
      </c>
      <c r="B762" s="22" t="n"/>
      <c r="C762" s="22" t="n"/>
      <c r="D762" s="22" t="n"/>
      <c r="E762" s="22" t="n"/>
      <c r="F762" s="27" t="n">
        <v>8572.98</v>
      </c>
      <c r="G762" s="22" t="n"/>
    </row>
    <row r="763">
      <c r="A763" s="26" t="inlineStr">
        <is>
          <t>Difference (calculated - printed)</t>
        </is>
      </c>
      <c r="B763" s="22" t="n"/>
      <c r="C763" s="22" t="n"/>
      <c r="D763" s="22" t="n"/>
      <c r="E763" s="22" t="n"/>
      <c r="F763" s="27">
        <f>F761-F762</f>
        <v/>
      </c>
      <c r="G763" s="22" t="n"/>
    </row>
    <row r="764">
      <c r="A764" s="29" t="inlineStr">
        <is>
          <t>SAY (Rs.) - final DAR rate as printed (fixed value, not computed)</t>
        </is>
      </c>
      <c r="B764" s="30" t="n"/>
      <c r="C764" s="30" t="n"/>
      <c r="D764" s="30" t="n"/>
      <c r="E764" s="30" t="n"/>
      <c r="F764" s="31" t="n">
        <v>1147</v>
      </c>
      <c r="G764" s="30" t="n"/>
    </row>
    <row r="766" ht="47.5" customHeight="1">
      <c r="A766" s="8" t="inlineStr">
        <is>
          <t>11.16</t>
        </is>
      </c>
      <c r="B766" s="17"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is>
      </c>
      <c r="C766" s="9" t="n"/>
      <c r="D766" s="9" t="n"/>
      <c r="E766" s="9" t="n"/>
      <c r="F766" s="9" t="n"/>
      <c r="G766" s="9" t="n"/>
    </row>
    <row r="767" ht="18.5" customHeight="1">
      <c r="A767" s="18" t="inlineStr">
        <is>
          <t>11.16.4</t>
        </is>
      </c>
      <c r="B767" s="19" t="inlineStr">
        <is>
          <t>Ordinary cement without any pigment</t>
        </is>
      </c>
      <c r="C767" s="20" t="n"/>
      <c r="D767" s="20" t="n"/>
      <c r="E767" s="20" t="n"/>
      <c r="F767" s="20" t="n"/>
      <c r="G767" s="20" t="n"/>
    </row>
    <row r="768">
      <c r="A768" s="21" t="inlineStr">
        <is>
          <t>Details of cost for 10 sqm   |   Source: CivilDAR_2019_Vol_1.pdf, page 751</t>
        </is>
      </c>
    </row>
    <row r="769">
      <c r="A769" s="5" t="inlineStr">
        <is>
          <t>Code</t>
        </is>
      </c>
      <c r="B769" s="5" t="inlineStr">
        <is>
          <t>Description</t>
        </is>
      </c>
      <c r="C769" s="5" t="inlineStr">
        <is>
          <t>Unit</t>
        </is>
      </c>
      <c r="D769" s="5" t="inlineStr">
        <is>
          <t>Quantity</t>
        </is>
      </c>
      <c r="E769" s="5" t="inlineStr">
        <is>
          <t>Rate (Rs.)</t>
        </is>
      </c>
      <c r="F769" s="5" t="inlineStr">
        <is>
          <t>Amount (Rs.)</t>
        </is>
      </c>
      <c r="G769" s="5" t="inlineStr">
        <is>
          <t>Note</t>
        </is>
      </c>
    </row>
    <row r="770">
      <c r="A770" s="22" t="inlineStr">
        <is>
          <t>1203</t>
        </is>
      </c>
      <c r="B770" s="11" t="inlineStr">
        <is>
          <t>Precast terrazo tiles 22 mm thick (dark shade) including 10% wastage</t>
        </is>
      </c>
      <c r="C770" s="22" t="inlineStr">
        <is>
          <t>sqm</t>
        </is>
      </c>
      <c r="D770" s="23" t="n">
        <v>11</v>
      </c>
      <c r="E770" s="24" t="n">
        <v>245</v>
      </c>
      <c r="F770" s="24">
        <f>D770*E770</f>
        <v/>
      </c>
      <c r="G770" s="22" t="n"/>
    </row>
    <row r="771">
      <c r="A771" s="22" t="inlineStr">
        <is>
          <t>9977</t>
        </is>
      </c>
      <c r="B771" s="11" t="inlineStr">
        <is>
          <t>Carriage of tiles</t>
        </is>
      </c>
      <c r="C771" s="22" t="inlineStr">
        <is>
          <t>L.S.</t>
        </is>
      </c>
      <c r="D771" s="23" t="n">
        <v>40.43</v>
      </c>
      <c r="E771" s="24" t="n">
        <v>2</v>
      </c>
      <c r="F771" s="24">
        <f>D771*E771</f>
        <v/>
      </c>
      <c r="G771" s="22" t="n"/>
    </row>
    <row r="772">
      <c r="A772" s="7" t="inlineStr">
        <is>
          <t>3.9</t>
        </is>
      </c>
      <c r="B772" s="11" t="inlineStr">
        <is>
          <t>Rate as per item 3.9 - Cement mortar 1:4 (1 cement : 4 coarse sand)</t>
        </is>
      </c>
      <c r="C772" s="22" t="inlineStr">
        <is>
          <t>cum</t>
        </is>
      </c>
      <c r="D772" s="23" t="n">
        <v>0.224</v>
      </c>
      <c r="E772" s="24" t="n">
        <v>4010.35</v>
      </c>
      <c r="F772" s="24">
        <f>D772*E772</f>
        <v/>
      </c>
      <c r="G772" s="22" t="n"/>
    </row>
    <row r="773">
      <c r="A773" s="22" t="inlineStr">
        <is>
          <t>0367</t>
        </is>
      </c>
      <c r="B773" s="11" t="inlineStr">
        <is>
          <t>Portland Cement</t>
        </is>
      </c>
      <c r="C773" s="22" t="inlineStr">
        <is>
          <t>tonne</t>
        </is>
      </c>
      <c r="D773" s="23" t="n">
        <v>0.08799999999999999</v>
      </c>
      <c r="E773" s="24" t="n">
        <v>4940</v>
      </c>
      <c r="F773" s="24">
        <f>D773*E773</f>
        <v/>
      </c>
      <c r="G773" s="22" t="n"/>
    </row>
    <row r="774">
      <c r="A774" s="22" t="inlineStr">
        <is>
          <t>2209</t>
        </is>
      </c>
      <c r="B774" s="11" t="inlineStr">
        <is>
          <t>Carriage of Cement</t>
        </is>
      </c>
      <c r="C774" s="22" t="inlineStr">
        <is>
          <t>tonne</t>
        </is>
      </c>
      <c r="D774" s="23" t="n">
        <v>0.08799999999999999</v>
      </c>
      <c r="E774" s="24" t="n">
        <v>92.23999999999999</v>
      </c>
      <c r="F774" s="24">
        <f>D774*E774</f>
        <v/>
      </c>
      <c r="G774" s="22" t="n"/>
    </row>
    <row r="775">
      <c r="A775" s="22" t="inlineStr">
        <is>
          <t>0874</t>
        </is>
      </c>
      <c r="B775" s="11" t="inlineStr">
        <is>
          <t>Black colour dark shade pigment</t>
        </is>
      </c>
      <c r="C775" s="22" t="inlineStr">
        <is>
          <t>kilogram</t>
        </is>
      </c>
      <c r="D775" s="23" t="n">
        <v>3.08</v>
      </c>
      <c r="E775" s="24" t="n">
        <v>70</v>
      </c>
      <c r="F775" s="24">
        <f>D775*E775</f>
        <v/>
      </c>
      <c r="G775" s="22" t="n"/>
    </row>
    <row r="776">
      <c r="A776" s="22" t="inlineStr">
        <is>
          <t>0124</t>
        </is>
      </c>
      <c r="B776" s="11" t="inlineStr">
        <is>
          <t>Mason (brick layer) 2nd class</t>
        </is>
      </c>
      <c r="C776" s="22" t="inlineStr">
        <is>
          <t>day</t>
        </is>
      </c>
      <c r="D776" s="23" t="n">
        <v>1.6</v>
      </c>
      <c r="E776" s="24" t="n">
        <v>679</v>
      </c>
      <c r="F776" s="24">
        <f>D776*E776</f>
        <v/>
      </c>
      <c r="G776" s="22" t="n"/>
    </row>
    <row r="777">
      <c r="A777" s="22" t="inlineStr">
        <is>
          <t>0115</t>
        </is>
      </c>
      <c r="B777" s="11" t="inlineStr">
        <is>
          <t>Coolie</t>
        </is>
      </c>
      <c r="C777" s="22" t="inlineStr">
        <is>
          <t>day</t>
        </is>
      </c>
      <c r="D777" s="23" t="n">
        <v>2</v>
      </c>
      <c r="E777" s="24" t="n">
        <v>558</v>
      </c>
      <c r="F777" s="24">
        <f>D777*E777</f>
        <v/>
      </c>
      <c r="G777" s="22" t="n"/>
    </row>
    <row r="778">
      <c r="A778" s="22" t="inlineStr">
        <is>
          <t>0139</t>
        </is>
      </c>
      <c r="B778" s="11" t="inlineStr">
        <is>
          <t>Skilled Beldar (for floor rubbing etc.)</t>
        </is>
      </c>
      <c r="C778" s="22" t="inlineStr">
        <is>
          <t>day</t>
        </is>
      </c>
      <c r="D778" s="23" t="n">
        <v>1</v>
      </c>
      <c r="E778" s="24" t="n">
        <v>617</v>
      </c>
      <c r="F778" s="24">
        <f>D778*E778</f>
        <v/>
      </c>
      <c r="G778" s="22" t="n"/>
    </row>
    <row r="779">
      <c r="A779" s="22" t="inlineStr">
        <is>
          <t>0101</t>
        </is>
      </c>
      <c r="B779" s="11" t="inlineStr">
        <is>
          <t>Bhisti</t>
        </is>
      </c>
      <c r="C779" s="22" t="inlineStr">
        <is>
          <t>day</t>
        </is>
      </c>
      <c r="D779" s="23" t="n">
        <v>1</v>
      </c>
      <c r="E779" s="24" t="n">
        <v>617</v>
      </c>
      <c r="F779" s="24">
        <f>D779*E779</f>
        <v/>
      </c>
      <c r="G779" s="22" t="n"/>
    </row>
    <row r="780">
      <c r="A780" s="22" t="inlineStr">
        <is>
          <t>0013</t>
        </is>
      </c>
      <c r="B780" s="11" t="inlineStr">
        <is>
          <t>Machine for rubbing of floors</t>
        </is>
      </c>
      <c r="C780" s="22" t="inlineStr">
        <is>
          <t>day</t>
        </is>
      </c>
      <c r="D780" s="23" t="n">
        <v>1.6</v>
      </c>
      <c r="E780" s="24" t="n">
        <v>300</v>
      </c>
      <c r="F780" s="24">
        <f>D780*E780</f>
        <v/>
      </c>
      <c r="G780" s="22" t="n"/>
    </row>
    <row r="781">
      <c r="A781" s="22" t="inlineStr">
        <is>
          <t>9999</t>
        </is>
      </c>
      <c r="B781" s="11" t="inlineStr">
        <is>
          <t>Sundries including carborandum stone etc.</t>
        </is>
      </c>
      <c r="C781" s="22" t="inlineStr">
        <is>
          <t>L.S.</t>
        </is>
      </c>
      <c r="D781" s="23" t="n">
        <v>161.98</v>
      </c>
      <c r="E781" s="24" t="n">
        <v>2</v>
      </c>
      <c r="F781" s="24">
        <f>D781*E781</f>
        <v/>
      </c>
      <c r="G781" s="22" t="n"/>
    </row>
    <row r="782">
      <c r="A782" s="22" t="inlineStr">
        <is>
          <t>0874</t>
        </is>
      </c>
      <c r="B782" s="11" t="inlineStr">
        <is>
          <t>Black colour dark shade pigment</t>
        </is>
      </c>
      <c r="C782" s="22" t="inlineStr">
        <is>
          <t>kilogram</t>
        </is>
      </c>
      <c r="D782" s="23" t="n">
        <v>-5.92</v>
      </c>
      <c r="E782" s="24" t="n">
        <v>70</v>
      </c>
      <c r="F782" s="24">
        <f>D782*E782</f>
        <v/>
      </c>
      <c r="G782" s="22" t="n"/>
    </row>
    <row r="783">
      <c r="A783" s="8" t="inlineStr">
        <is>
          <t>Calculated W - SUM of the Amount column above</t>
        </is>
      </c>
      <c r="B783" s="9" t="n"/>
      <c r="C783" s="9" t="n"/>
      <c r="D783" s="9" t="n"/>
      <c r="E783" s="9" t="n"/>
      <c r="F783" s="25">
        <f>SUM(F770:F782)</f>
        <v/>
      </c>
      <c r="G783" s="9" t="n"/>
    </row>
    <row r="784">
      <c r="A784" s="26" t="inlineStr">
        <is>
          <t>W as printed in the DAR</t>
        </is>
      </c>
      <c r="B784" s="22" t="n"/>
      <c r="C784" s="22" t="n"/>
      <c r="D784" s="22" t="n"/>
      <c r="E784" s="22" t="n"/>
      <c r="F784" s="27" t="n">
        <v>8158.58</v>
      </c>
      <c r="G784" s="22" t="n"/>
    </row>
    <row r="785">
      <c r="A785" s="26" t="inlineStr">
        <is>
          <t>Difference (calculated - printed)</t>
        </is>
      </c>
      <c r="B785" s="22" t="n"/>
      <c r="C785" s="22" t="n"/>
      <c r="D785" s="22" t="n"/>
      <c r="E785" s="22" t="n"/>
      <c r="F785" s="27">
        <f>F783-F784</f>
        <v/>
      </c>
      <c r="G785" s="22" t="n"/>
    </row>
    <row r="786">
      <c r="A786" s="29" t="inlineStr">
        <is>
          <t>SAY (Rs.) - final DAR rate as printed (fixed value, not computed)</t>
        </is>
      </c>
      <c r="B786" s="30" t="n"/>
      <c r="C786" s="30" t="n"/>
      <c r="D786" s="30" t="n"/>
      <c r="E786" s="30" t="n"/>
      <c r="F786" s="31" t="n">
        <v>1091.55</v>
      </c>
      <c r="G786" s="30" t="n"/>
    </row>
    <row r="788" ht="18.5" customHeight="1">
      <c r="A788" s="18" t="inlineStr">
        <is>
          <t>11.17</t>
        </is>
      </c>
      <c r="B788" s="19" t="inlineStr">
        <is>
          <t>Extra if terrazo tiles are laid in treads of steps not exceeding 30 cm in width.</t>
        </is>
      </c>
      <c r="C788" s="20" t="n"/>
      <c r="D788" s="20" t="n"/>
      <c r="E788" s="20" t="n"/>
      <c r="F788" s="20" t="n"/>
      <c r="G788" s="20" t="n"/>
    </row>
    <row r="789">
      <c r="A789" s="21" t="inlineStr">
        <is>
          <t>Details of cost for 10 sqm   |   Source: CivilDAR_2019_Vol_1.pdf, page 752</t>
        </is>
      </c>
    </row>
    <row r="790">
      <c r="A790" s="5" t="inlineStr">
        <is>
          <t>Code</t>
        </is>
      </c>
      <c r="B790" s="5" t="inlineStr">
        <is>
          <t>Description</t>
        </is>
      </c>
      <c r="C790" s="5" t="inlineStr">
        <is>
          <t>Unit</t>
        </is>
      </c>
      <c r="D790" s="5" t="inlineStr">
        <is>
          <t>Quantity</t>
        </is>
      </c>
      <c r="E790" s="5" t="inlineStr">
        <is>
          <t>Rate (Rs.)</t>
        </is>
      </c>
      <c r="F790" s="5" t="inlineStr">
        <is>
          <t>Amount (Rs.)</t>
        </is>
      </c>
      <c r="G790" s="5" t="inlineStr">
        <is>
          <t>Note</t>
        </is>
      </c>
    </row>
    <row r="791">
      <c r="A791" s="22" t="inlineStr">
        <is>
          <t>0124</t>
        </is>
      </c>
      <c r="B791" s="11" t="inlineStr">
        <is>
          <t>Mason (brick layer) 2nd class</t>
        </is>
      </c>
      <c r="C791" s="22" t="inlineStr">
        <is>
          <t>day</t>
        </is>
      </c>
      <c r="D791" s="23" t="n">
        <v>0.22</v>
      </c>
      <c r="E791" s="24" t="n">
        <v>679</v>
      </c>
      <c r="F791" s="24">
        <f>D791*E791</f>
        <v/>
      </c>
      <c r="G791" s="22" t="n"/>
    </row>
    <row r="792">
      <c r="A792" s="22" t="inlineStr">
        <is>
          <t>0115</t>
        </is>
      </c>
      <c r="B792" s="11" t="inlineStr">
        <is>
          <t>Coolie</t>
        </is>
      </c>
      <c r="C792" s="22" t="inlineStr">
        <is>
          <t>day</t>
        </is>
      </c>
      <c r="D792" s="23" t="n">
        <v>0.22</v>
      </c>
      <c r="E792" s="24" t="n">
        <v>558</v>
      </c>
      <c r="F792" s="24">
        <f>D792*E792</f>
        <v/>
      </c>
      <c r="G792" s="22" t="n"/>
    </row>
    <row r="793">
      <c r="A793" s="22" t="inlineStr">
        <is>
          <t>0139</t>
        </is>
      </c>
      <c r="B793" s="11" t="inlineStr">
        <is>
          <t>Skilled Beldar (for floor rubbing etc.)</t>
        </is>
      </c>
      <c r="C793" s="22" t="inlineStr">
        <is>
          <t>day</t>
        </is>
      </c>
      <c r="D793" s="23" t="n">
        <v>0.65</v>
      </c>
      <c r="E793" s="24" t="n">
        <v>617</v>
      </c>
      <c r="F793" s="24">
        <f>D793*E793</f>
        <v/>
      </c>
      <c r="G793" s="22" t="n"/>
    </row>
    <row r="794">
      <c r="A794" s="8" t="inlineStr">
        <is>
          <t>Calculated W - SUM of the Amount column above</t>
        </is>
      </c>
      <c r="B794" s="9" t="n"/>
      <c r="C794" s="9" t="n"/>
      <c r="D794" s="9" t="n"/>
      <c r="E794" s="9" t="n"/>
      <c r="F794" s="25">
        <f>SUM(F791:F793)</f>
        <v/>
      </c>
      <c r="G794" s="9" t="n"/>
    </row>
    <row r="795">
      <c r="A795" s="26" t="inlineStr">
        <is>
          <t>W as printed in the DAR</t>
        </is>
      </c>
      <c r="B795" s="22" t="n"/>
      <c r="C795" s="22" t="n"/>
      <c r="D795" s="22" t="n"/>
      <c r="E795" s="22" t="n"/>
      <c r="F795" s="27" t="n">
        <v>673.1900000000001</v>
      </c>
      <c r="G795" s="22" t="n"/>
    </row>
    <row r="796">
      <c r="A796" s="26" t="inlineStr">
        <is>
          <t>Difference (calculated - printed)</t>
        </is>
      </c>
      <c r="B796" s="22" t="n"/>
      <c r="C796" s="22" t="n"/>
      <c r="D796" s="22" t="n"/>
      <c r="E796" s="22" t="n"/>
      <c r="F796" s="27">
        <f>F794-F795</f>
        <v/>
      </c>
      <c r="G796" s="22" t="n"/>
    </row>
    <row r="797">
      <c r="A797" s="29" t="inlineStr">
        <is>
          <t>SAY (Rs.) - final DAR rate as printed (fixed value, not computed)</t>
        </is>
      </c>
      <c r="B797" s="30" t="n"/>
      <c r="C797" s="30" t="n"/>
      <c r="D797" s="30" t="n"/>
      <c r="E797" s="30" t="n"/>
      <c r="F797" s="31" t="n">
        <v>90.05</v>
      </c>
      <c r="G797" s="30" t="n"/>
    </row>
    <row r="799" ht="47.5" customHeight="1">
      <c r="A799" s="8" t="inlineStr">
        <is>
          <t>11.18</t>
        </is>
      </c>
      <c r="B799" s="17"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is>
      </c>
      <c r="C799" s="9" t="n"/>
      <c r="D799" s="9" t="n"/>
      <c r="E799" s="9" t="n"/>
      <c r="F799" s="9" t="n"/>
      <c r="G799" s="9" t="n"/>
    </row>
    <row r="800" ht="18.5" customHeight="1">
      <c r="A800" s="18" t="inlineStr">
        <is>
          <t>11.18.1</t>
        </is>
      </c>
      <c r="B800" s="19" t="inlineStr">
        <is>
          <t>Light shade pigment using white cement</t>
        </is>
      </c>
      <c r="C800" s="20" t="n"/>
      <c r="D800" s="20" t="n"/>
      <c r="E800" s="20" t="n"/>
      <c r="F800" s="20" t="n"/>
      <c r="G800" s="20" t="n"/>
    </row>
    <row r="801">
      <c r="A801" s="21" t="inlineStr">
        <is>
          <t>Details of cost for 10 sqm   |   Source: CivilDAR_2019_Vol_1.pdf, page 752</t>
        </is>
      </c>
    </row>
    <row r="802">
      <c r="A802" s="5" t="inlineStr">
        <is>
          <t>Code</t>
        </is>
      </c>
      <c r="B802" s="5" t="inlineStr">
        <is>
          <t>Description</t>
        </is>
      </c>
      <c r="C802" s="5" t="inlineStr">
        <is>
          <t>Unit</t>
        </is>
      </c>
      <c r="D802" s="5" t="inlineStr">
        <is>
          <t>Quantity</t>
        </is>
      </c>
      <c r="E802" s="5" t="inlineStr">
        <is>
          <t>Rate (Rs.)</t>
        </is>
      </c>
      <c r="F802" s="5" t="inlineStr">
        <is>
          <t>Amount (Rs.)</t>
        </is>
      </c>
      <c r="G802" s="5" t="inlineStr">
        <is>
          <t>Note</t>
        </is>
      </c>
    </row>
    <row r="803">
      <c r="A803" s="22" t="inlineStr">
        <is>
          <t>1201</t>
        </is>
      </c>
      <c r="B803" s="11" t="inlineStr">
        <is>
          <t>Precast terrazo tiles 22 mm thick (light shade) including 10% wastage</t>
        </is>
      </c>
      <c r="C803" s="22" t="inlineStr">
        <is>
          <t>sqm</t>
        </is>
      </c>
      <c r="D803" s="23" t="n">
        <v>11</v>
      </c>
      <c r="E803" s="24" t="n">
        <v>285</v>
      </c>
      <c r="F803" s="24">
        <f>D803*E803</f>
        <v/>
      </c>
      <c r="G803" s="22" t="n"/>
    </row>
    <row r="804">
      <c r="A804" s="22" t="inlineStr">
        <is>
          <t>9977</t>
        </is>
      </c>
      <c r="B804" s="11" t="inlineStr">
        <is>
          <t>Carriage of tiles</t>
        </is>
      </c>
      <c r="C804" s="22" t="inlineStr">
        <is>
          <t>L.S.</t>
        </is>
      </c>
      <c r="D804" s="23" t="n">
        <v>40.43</v>
      </c>
      <c r="E804" s="24" t="n">
        <v>2</v>
      </c>
      <c r="F804" s="24">
        <f>D804*E804</f>
        <v/>
      </c>
      <c r="G804" s="22" t="n"/>
    </row>
    <row r="805">
      <c r="A805" s="7" t="inlineStr">
        <is>
          <t>3.8</t>
        </is>
      </c>
      <c r="B805" s="11" t="inlineStr">
        <is>
          <t>Rate as per item 3.8 - Cement mortar 1:3 (1 cement : 3 coarse sand)</t>
        </is>
      </c>
      <c r="C805" s="22" t="inlineStr">
        <is>
          <t>cum</t>
        </is>
      </c>
      <c r="D805" s="23" t="n">
        <v>0.144</v>
      </c>
      <c r="E805" s="24" t="n">
        <v>4664.55</v>
      </c>
      <c r="F805" s="24">
        <f>D805*E805</f>
        <v/>
      </c>
      <c r="G805" s="22" t="n"/>
    </row>
    <row r="806">
      <c r="A806" s="22" t="inlineStr">
        <is>
          <t>0368</t>
        </is>
      </c>
      <c r="B806" s="11" t="inlineStr">
        <is>
          <t>White Cement</t>
        </is>
      </c>
      <c r="C806" s="22" t="inlineStr">
        <is>
          <t>tonne</t>
        </is>
      </c>
      <c r="D806" s="23" t="n">
        <v>0.066</v>
      </c>
      <c r="E806" s="24" t="n">
        <v>11200</v>
      </c>
      <c r="F806" s="24">
        <f>D806*E806</f>
        <v/>
      </c>
      <c r="G806" s="22" t="n"/>
    </row>
    <row r="807">
      <c r="A807" s="22" t="inlineStr">
        <is>
          <t>2209</t>
        </is>
      </c>
      <c r="B807" s="11" t="inlineStr">
        <is>
          <t>Carriage of Cement</t>
        </is>
      </c>
      <c r="C807" s="22" t="inlineStr">
        <is>
          <t>tonne</t>
        </is>
      </c>
      <c r="D807" s="23" t="n">
        <v>0.066</v>
      </c>
      <c r="E807" s="24" t="n">
        <v>92.23999999999999</v>
      </c>
      <c r="F807" s="24">
        <f>D807*E807</f>
        <v/>
      </c>
      <c r="G807" s="22" t="n"/>
    </row>
    <row r="808">
      <c r="A808" s="22" t="inlineStr">
        <is>
          <t>0875</t>
        </is>
      </c>
      <c r="B808" s="11" t="inlineStr">
        <is>
          <t>Red, chocolate, orange, buff or yellow (red oxide of iron) light shade pigment</t>
        </is>
      </c>
      <c r="C808" s="22" t="inlineStr">
        <is>
          <t>kilogram</t>
        </is>
      </c>
      <c r="D808" s="23" t="n">
        <v>4.62</v>
      </c>
      <c r="E808" s="24" t="n">
        <v>60</v>
      </c>
      <c r="F808" s="24">
        <f>D808*E808</f>
        <v/>
      </c>
      <c r="G808" s="22" t="n"/>
    </row>
    <row r="809">
      <c r="A809" s="22" t="inlineStr">
        <is>
          <t>0124</t>
        </is>
      </c>
      <c r="B809" s="11" t="inlineStr">
        <is>
          <t>Mason (brick layer) 2nd class</t>
        </is>
      </c>
      <c r="C809" s="22" t="inlineStr">
        <is>
          <t>day</t>
        </is>
      </c>
      <c r="D809" s="23" t="n">
        <v>3.25</v>
      </c>
      <c r="E809" s="24" t="n">
        <v>679</v>
      </c>
      <c r="F809" s="24">
        <f>D809*E809</f>
        <v/>
      </c>
      <c r="G809" s="22" t="n"/>
    </row>
    <row r="810">
      <c r="A810" s="22" t="inlineStr">
        <is>
          <t>0115</t>
        </is>
      </c>
      <c r="B810" s="11" t="inlineStr">
        <is>
          <t>Coolie</t>
        </is>
      </c>
      <c r="C810" s="22" t="inlineStr">
        <is>
          <t>day</t>
        </is>
      </c>
      <c r="D810" s="23" t="n">
        <v>3.25</v>
      </c>
      <c r="E810" s="24" t="n">
        <v>558</v>
      </c>
      <c r="F810" s="24">
        <f>D810*E810</f>
        <v/>
      </c>
      <c r="G810" s="22" t="n"/>
    </row>
    <row r="811">
      <c r="A811" s="22" t="inlineStr">
        <is>
          <t>0139</t>
        </is>
      </c>
      <c r="B811" s="11" t="inlineStr">
        <is>
          <t>Skilled Beldar (for floor rubbing etc.)</t>
        </is>
      </c>
      <c r="C811" s="22" t="inlineStr">
        <is>
          <t>day</t>
        </is>
      </c>
      <c r="D811" s="23" t="n">
        <v>7.6</v>
      </c>
      <c r="E811" s="24" t="n">
        <v>617</v>
      </c>
      <c r="F811" s="24">
        <f>D811*E811</f>
        <v/>
      </c>
      <c r="G811" s="22" t="n"/>
    </row>
    <row r="812">
      <c r="A812" s="22" t="inlineStr">
        <is>
          <t>9999</t>
        </is>
      </c>
      <c r="B812" s="11" t="inlineStr">
        <is>
          <t>Sundries including carborandum stone and polishing powder etc.</t>
        </is>
      </c>
      <c r="C812" s="22" t="inlineStr">
        <is>
          <t>L.S.</t>
        </is>
      </c>
      <c r="D812" s="23" t="n">
        <v>161.46</v>
      </c>
      <c r="E812" s="24" t="n">
        <v>2</v>
      </c>
      <c r="F812" s="24">
        <f>D812*E812</f>
        <v/>
      </c>
      <c r="G812" s="22" t="n"/>
    </row>
    <row r="813">
      <c r="A813" s="8" t="inlineStr">
        <is>
          <t>Calculated W - SUM of the Amount column above</t>
        </is>
      </c>
      <c r="B813" s="9" t="n"/>
      <c r="C813" s="9" t="n"/>
      <c r="D813" s="9" t="n"/>
      <c r="E813" s="9" t="n"/>
      <c r="F813" s="25">
        <f>SUM(F803:F812)</f>
        <v/>
      </c>
      <c r="G813" s="9" t="n"/>
    </row>
    <row r="814">
      <c r="A814" s="26" t="inlineStr">
        <is>
          <t>W as printed in the DAR</t>
        </is>
      </c>
      <c r="B814" s="22" t="n"/>
      <c r="C814" s="22" t="n"/>
      <c r="D814" s="22" t="n"/>
      <c r="E814" s="22" t="n"/>
      <c r="F814" s="27" t="n">
        <v>13942.41</v>
      </c>
      <c r="G814" s="22" t="n"/>
    </row>
    <row r="815">
      <c r="A815" s="26" t="inlineStr">
        <is>
          <t>Difference (calculated - printed)</t>
        </is>
      </c>
      <c r="B815" s="22" t="n"/>
      <c r="C815" s="22" t="n"/>
      <c r="D815" s="22" t="n"/>
      <c r="E815" s="22" t="n"/>
      <c r="F815" s="27">
        <f>F813-F814</f>
        <v/>
      </c>
      <c r="G815" s="22" t="n"/>
    </row>
    <row r="816">
      <c r="A816" s="29" t="inlineStr">
        <is>
          <t>SAY (Rs.) - final DAR rate as printed (fixed value, not computed)</t>
        </is>
      </c>
      <c r="B816" s="30" t="n"/>
      <c r="C816" s="30" t="n"/>
      <c r="D816" s="30" t="n"/>
      <c r="E816" s="30" t="n"/>
      <c r="F816" s="31" t="n">
        <v>1865.4</v>
      </c>
      <c r="G816" s="30" t="n"/>
    </row>
    <row r="818" ht="47.5" customHeight="1">
      <c r="A818" s="8" t="inlineStr">
        <is>
          <t>11.18</t>
        </is>
      </c>
      <c r="B818" s="17"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is>
      </c>
      <c r="C818" s="9" t="n"/>
      <c r="D818" s="9" t="n"/>
      <c r="E818" s="9" t="n"/>
      <c r="F818" s="9" t="n"/>
      <c r="G818" s="9" t="n"/>
    </row>
    <row r="819" ht="18.5" customHeight="1">
      <c r="A819" s="18" t="inlineStr">
        <is>
          <t>11.18.2</t>
        </is>
      </c>
      <c r="B819" s="19" t="inlineStr">
        <is>
          <t>Medium shades pigment using 50% white cement and 50% ordinary cement</t>
        </is>
      </c>
      <c r="C819" s="20" t="n"/>
      <c r="D819" s="20" t="n"/>
      <c r="E819" s="20" t="n"/>
      <c r="F819" s="20" t="n"/>
      <c r="G819" s="20" t="n"/>
    </row>
    <row r="820">
      <c r="A820" s="21" t="inlineStr">
        <is>
          <t>Details of cost for 10 sqm   |   Source: CivilDAR_2019_Vol_1.pdf, page 753</t>
        </is>
      </c>
    </row>
    <row r="821">
      <c r="A821" s="5" t="inlineStr">
        <is>
          <t>Code</t>
        </is>
      </c>
      <c r="B821" s="5" t="inlineStr">
        <is>
          <t>Description</t>
        </is>
      </c>
      <c r="C821" s="5" t="inlineStr">
        <is>
          <t>Unit</t>
        </is>
      </c>
      <c r="D821" s="5" t="inlineStr">
        <is>
          <t>Quantity</t>
        </is>
      </c>
      <c r="E821" s="5" t="inlineStr">
        <is>
          <t>Rate (Rs.)</t>
        </is>
      </c>
      <c r="F821" s="5" t="inlineStr">
        <is>
          <t>Amount (Rs.)</t>
        </is>
      </c>
      <c r="G821" s="5" t="inlineStr">
        <is>
          <t>Note</t>
        </is>
      </c>
    </row>
    <row r="822">
      <c r="A822" s="22" t="inlineStr">
        <is>
          <t>1202</t>
        </is>
      </c>
      <c r="B822" s="11" t="inlineStr">
        <is>
          <t>Precast terrazo tiles 22 mm thick (medium shade) including wastage &amp; breakage</t>
        </is>
      </c>
      <c r="C822" s="22" t="inlineStr">
        <is>
          <t>sqm</t>
        </is>
      </c>
      <c r="D822" s="23" t="n">
        <v>11</v>
      </c>
      <c r="E822" s="24" t="n">
        <v>265</v>
      </c>
      <c r="F822" s="24">
        <f>D822*E822</f>
        <v/>
      </c>
      <c r="G822" s="22" t="n"/>
    </row>
    <row r="823">
      <c r="A823" s="22" t="inlineStr">
        <is>
          <t>9977</t>
        </is>
      </c>
      <c r="B823" s="11" t="inlineStr">
        <is>
          <t>Carriage of tiles</t>
        </is>
      </c>
      <c r="C823" s="22" t="inlineStr">
        <is>
          <t>L.S.</t>
        </is>
      </c>
      <c r="D823" s="23" t="n">
        <v>40.43</v>
      </c>
      <c r="E823" s="24" t="n">
        <v>2</v>
      </c>
      <c r="F823" s="24">
        <f>D823*E823</f>
        <v/>
      </c>
      <c r="G823" s="22" t="n"/>
    </row>
    <row r="824">
      <c r="A824" s="7" t="inlineStr">
        <is>
          <t>3.8</t>
        </is>
      </c>
      <c r="B824" s="11" t="inlineStr">
        <is>
          <t>Rate as per item 3.8 - Cement mortar 1:3 (1 cement : 3 coarse sand)</t>
        </is>
      </c>
      <c r="C824" s="22" t="inlineStr">
        <is>
          <t>cum</t>
        </is>
      </c>
      <c r="D824" s="23" t="n">
        <v>0.144</v>
      </c>
      <c r="E824" s="24" t="n">
        <v>4664.55</v>
      </c>
      <c r="F824" s="24">
        <f>D824*E824</f>
        <v/>
      </c>
      <c r="G824" s="22" t="n"/>
    </row>
    <row r="825">
      <c r="A825" s="22" t="inlineStr">
        <is>
          <t>0368</t>
        </is>
      </c>
      <c r="B825" s="11" t="inlineStr">
        <is>
          <t>White Cement</t>
        </is>
      </c>
      <c r="C825" s="22" t="inlineStr">
        <is>
          <t>tonne</t>
        </is>
      </c>
      <c r="D825" s="23" t="n">
        <v>0.033</v>
      </c>
      <c r="E825" s="24" t="n">
        <v>11200</v>
      </c>
      <c r="F825" s="24">
        <f>D825*E825</f>
        <v/>
      </c>
      <c r="G825" s="22" t="n"/>
    </row>
    <row r="826">
      <c r="A826" s="22" t="inlineStr">
        <is>
          <t>0367</t>
        </is>
      </c>
      <c r="B826" s="11" t="inlineStr">
        <is>
          <t>Portland Cement</t>
        </is>
      </c>
      <c r="C826" s="22" t="inlineStr">
        <is>
          <t>tonne</t>
        </is>
      </c>
      <c r="D826" s="23" t="n">
        <v>0.033</v>
      </c>
      <c r="E826" s="24" t="n">
        <v>4940</v>
      </c>
      <c r="F826" s="24">
        <f>D826*E826</f>
        <v/>
      </c>
      <c r="G826" s="22" t="n"/>
    </row>
    <row r="827">
      <c r="A827" s="22" t="inlineStr">
        <is>
          <t>2209</t>
        </is>
      </c>
      <c r="B827" s="11" t="inlineStr">
        <is>
          <t>Carriage of Cement</t>
        </is>
      </c>
      <c r="C827" s="22" t="inlineStr">
        <is>
          <t>tonne</t>
        </is>
      </c>
      <c r="D827" s="23" t="n">
        <v>0.066</v>
      </c>
      <c r="E827" s="24" t="n">
        <v>92.23999999999999</v>
      </c>
      <c r="F827" s="24">
        <f>D827*E827</f>
        <v/>
      </c>
      <c r="G827" s="22" t="n"/>
    </row>
    <row r="828">
      <c r="A828" s="22" t="inlineStr">
        <is>
          <t>0876</t>
        </is>
      </c>
      <c r="B828" s="11" t="inlineStr">
        <is>
          <t>Green or blue medium shade pigment</t>
        </is>
      </c>
      <c r="C828" s="22" t="inlineStr">
        <is>
          <t>kilogram</t>
        </is>
      </c>
      <c r="D828" s="23" t="n">
        <v>4.62</v>
      </c>
      <c r="E828" s="24" t="n">
        <v>56</v>
      </c>
      <c r="F828" s="24">
        <f>D828*E828</f>
        <v/>
      </c>
      <c r="G828" s="22" t="n"/>
    </row>
    <row r="829">
      <c r="A829" s="22" t="inlineStr">
        <is>
          <t>0124</t>
        </is>
      </c>
      <c r="B829" s="11" t="inlineStr">
        <is>
          <t>Mason (brick layer) 2nd class</t>
        </is>
      </c>
      <c r="C829" s="22" t="inlineStr">
        <is>
          <t>day</t>
        </is>
      </c>
      <c r="D829" s="23" t="n">
        <v>3.25</v>
      </c>
      <c r="E829" s="24" t="n">
        <v>679</v>
      </c>
      <c r="F829" s="24">
        <f>D829*E829</f>
        <v/>
      </c>
      <c r="G829" s="22" t="n"/>
    </row>
    <row r="830">
      <c r="A830" s="22" t="inlineStr">
        <is>
          <t>0115</t>
        </is>
      </c>
      <c r="B830" s="11" t="inlineStr">
        <is>
          <t>Coolie</t>
        </is>
      </c>
      <c r="C830" s="22" t="inlineStr">
        <is>
          <t>day</t>
        </is>
      </c>
      <c r="D830" s="23" t="n">
        <v>3.25</v>
      </c>
      <c r="E830" s="24" t="n">
        <v>558</v>
      </c>
      <c r="F830" s="24">
        <f>D830*E830</f>
        <v/>
      </c>
      <c r="G830" s="22" t="n"/>
    </row>
    <row r="831">
      <c r="A831" s="22" t="inlineStr">
        <is>
          <t>0139</t>
        </is>
      </c>
      <c r="B831" s="11" t="inlineStr">
        <is>
          <t>Skilled Beldar (for floor rubbing etc.)</t>
        </is>
      </c>
      <c r="C831" s="22" t="inlineStr">
        <is>
          <t>day</t>
        </is>
      </c>
      <c r="D831" s="23" t="n">
        <v>7.6</v>
      </c>
      <c r="E831" s="24" t="n">
        <v>617</v>
      </c>
      <c r="F831" s="24">
        <f>D831*E831</f>
        <v/>
      </c>
      <c r="G831" s="22" t="n"/>
    </row>
    <row r="832">
      <c r="A832" s="22" t="inlineStr">
        <is>
          <t>9999</t>
        </is>
      </c>
      <c r="B832" s="11" t="inlineStr">
        <is>
          <t>Sundries including carborandum stone and polishing powder etc.</t>
        </is>
      </c>
      <c r="C832" s="22" t="inlineStr">
        <is>
          <t>L.S.</t>
        </is>
      </c>
      <c r="D832" s="23" t="n">
        <v>161.46</v>
      </c>
      <c r="E832" s="24" t="n">
        <v>2</v>
      </c>
      <c r="F832" s="24">
        <f>D832*E832</f>
        <v/>
      </c>
      <c r="G832" s="22" t="n"/>
    </row>
    <row r="833">
      <c r="A833" s="8" t="inlineStr">
        <is>
          <t>Calculated W - SUM of the Amount column above</t>
        </is>
      </c>
      <c r="B833" s="9" t="n"/>
      <c r="C833" s="9" t="n"/>
      <c r="D833" s="9" t="n"/>
      <c r="E833" s="9" t="n"/>
      <c r="F833" s="25">
        <f>SUM(F822:F832)</f>
        <v/>
      </c>
      <c r="G833" s="9" t="n"/>
    </row>
    <row r="834">
      <c r="A834" s="26" t="inlineStr">
        <is>
          <t>W as printed in the DAR</t>
        </is>
      </c>
      <c r="B834" s="22" t="n"/>
      <c r="C834" s="22" t="n"/>
      <c r="D834" s="22" t="n"/>
      <c r="E834" s="22" t="n"/>
      <c r="F834" s="27" t="n">
        <v>13497.35</v>
      </c>
      <c r="G834" s="22" t="n"/>
    </row>
    <row r="835">
      <c r="A835" s="26" t="inlineStr">
        <is>
          <t>Difference (calculated - printed)</t>
        </is>
      </c>
      <c r="B835" s="22" t="n"/>
      <c r="C835" s="22" t="n"/>
      <c r="D835" s="22" t="n"/>
      <c r="E835" s="22" t="n"/>
      <c r="F835" s="27">
        <f>F833-F834</f>
        <v/>
      </c>
      <c r="G835" s="22" t="n"/>
    </row>
    <row r="836">
      <c r="A836" s="29" t="inlineStr">
        <is>
          <t>SAY (Rs.) - final DAR rate as printed (fixed value, not computed)</t>
        </is>
      </c>
      <c r="B836" s="30" t="n"/>
      <c r="C836" s="30" t="n"/>
      <c r="D836" s="30" t="n"/>
      <c r="E836" s="30" t="n"/>
      <c r="F836" s="31" t="n">
        <v>1805.85</v>
      </c>
      <c r="G836" s="30" t="n"/>
    </row>
    <row r="838" ht="47.5" customHeight="1">
      <c r="A838" s="8" t="inlineStr">
        <is>
          <t>11.18</t>
        </is>
      </c>
      <c r="B838" s="17"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is>
      </c>
      <c r="C838" s="9" t="n"/>
      <c r="D838" s="9" t="n"/>
      <c r="E838" s="9" t="n"/>
      <c r="F838" s="9" t="n"/>
      <c r="G838" s="9" t="n"/>
    </row>
    <row r="839" ht="18.5" customHeight="1">
      <c r="A839" s="18" t="inlineStr">
        <is>
          <t>11.18.3</t>
        </is>
      </c>
      <c r="B839" s="19" t="inlineStr">
        <is>
          <t>Dark shade pigment using ordinary cement</t>
        </is>
      </c>
      <c r="C839" s="20" t="n"/>
      <c r="D839" s="20" t="n"/>
      <c r="E839" s="20" t="n"/>
      <c r="F839" s="20" t="n"/>
      <c r="G839" s="20" t="n"/>
    </row>
    <row r="840">
      <c r="A840" s="21" t="inlineStr">
        <is>
          <t>Details of cost for 10 sqm   |   Source: CivilDAR_2019_Vol_1.pdf, page 754</t>
        </is>
      </c>
    </row>
    <row r="841">
      <c r="A841" s="5" t="inlineStr">
        <is>
          <t>Code</t>
        </is>
      </c>
      <c r="B841" s="5" t="inlineStr">
        <is>
          <t>Description</t>
        </is>
      </c>
      <c r="C841" s="5" t="inlineStr">
        <is>
          <t>Unit</t>
        </is>
      </c>
      <c r="D841" s="5" t="inlineStr">
        <is>
          <t>Quantity</t>
        </is>
      </c>
      <c r="E841" s="5" t="inlineStr">
        <is>
          <t>Rate (Rs.)</t>
        </is>
      </c>
      <c r="F841" s="5" t="inlineStr">
        <is>
          <t>Amount (Rs.)</t>
        </is>
      </c>
      <c r="G841" s="5" t="inlineStr">
        <is>
          <t>Note</t>
        </is>
      </c>
    </row>
    <row r="842">
      <c r="A842" s="22" t="inlineStr">
        <is>
          <t>1203</t>
        </is>
      </c>
      <c r="B842" s="11" t="inlineStr">
        <is>
          <t>Precast terrazo tiles 22 mm thick (dark shade) including wastage &amp; breakage</t>
        </is>
      </c>
      <c r="C842" s="22" t="inlineStr">
        <is>
          <t>sqm</t>
        </is>
      </c>
      <c r="D842" s="23" t="n">
        <v>11</v>
      </c>
      <c r="E842" s="24" t="n">
        <v>245</v>
      </c>
      <c r="F842" s="24">
        <f>D842*E842</f>
        <v/>
      </c>
      <c r="G842" s="22" t="n"/>
    </row>
    <row r="843">
      <c r="A843" s="22" t="inlineStr">
        <is>
          <t>9977</t>
        </is>
      </c>
      <c r="B843" s="11" t="inlineStr">
        <is>
          <t>Carriage of tiles</t>
        </is>
      </c>
      <c r="C843" s="22" t="inlineStr">
        <is>
          <t>L.S.</t>
        </is>
      </c>
      <c r="D843" s="23" t="n">
        <v>40.43</v>
      </c>
      <c r="E843" s="24" t="n">
        <v>2</v>
      </c>
      <c r="F843" s="24">
        <f>D843*E843</f>
        <v/>
      </c>
      <c r="G843" s="22" t="n"/>
    </row>
    <row r="844">
      <c r="A844" s="7" t="inlineStr">
        <is>
          <t>3.8</t>
        </is>
      </c>
      <c r="B844" s="11" t="inlineStr">
        <is>
          <t>Rate as per item 3.8 - Cement mortar 1:3 (1 cement : 3 coarse sand)</t>
        </is>
      </c>
      <c r="C844" s="22" t="inlineStr">
        <is>
          <t>cum</t>
        </is>
      </c>
      <c r="D844" s="23" t="n">
        <v>0.144</v>
      </c>
      <c r="E844" s="24" t="n">
        <v>4664.55</v>
      </c>
      <c r="F844" s="24">
        <f>D844*E844</f>
        <v/>
      </c>
      <c r="G844" s="22" t="n"/>
    </row>
    <row r="845">
      <c r="A845" s="22" t="inlineStr">
        <is>
          <t>0367</t>
        </is>
      </c>
      <c r="B845" s="11" t="inlineStr">
        <is>
          <t>Portland Cement</t>
        </is>
      </c>
      <c r="C845" s="22" t="inlineStr">
        <is>
          <t>tonne</t>
        </is>
      </c>
      <c r="D845" s="23" t="n">
        <v>0.066</v>
      </c>
      <c r="E845" s="24" t="n">
        <v>4940</v>
      </c>
      <c r="F845" s="24">
        <f>D845*E845</f>
        <v/>
      </c>
      <c r="G845" s="22" t="n"/>
    </row>
    <row r="846">
      <c r="A846" s="22" t="inlineStr">
        <is>
          <t>2209</t>
        </is>
      </c>
      <c r="B846" s="11" t="inlineStr">
        <is>
          <t>Carriage of Cement</t>
        </is>
      </c>
      <c r="C846" s="22" t="inlineStr">
        <is>
          <t>tonne</t>
        </is>
      </c>
      <c r="D846" s="23" t="n">
        <v>0.066</v>
      </c>
      <c r="E846" s="24" t="n">
        <v>92.23999999999999</v>
      </c>
      <c r="F846" s="24">
        <f>D846*E846</f>
        <v/>
      </c>
      <c r="G846" s="22" t="n"/>
    </row>
    <row r="847">
      <c r="A847" s="22" t="inlineStr">
        <is>
          <t>0874</t>
        </is>
      </c>
      <c r="B847" s="11" t="inlineStr">
        <is>
          <t>Black colour dark shade pigment</t>
        </is>
      </c>
      <c r="C847" s="22" t="inlineStr">
        <is>
          <t>kilogram</t>
        </is>
      </c>
      <c r="D847" s="23" t="n">
        <v>4.62</v>
      </c>
      <c r="E847" s="24" t="n">
        <v>70</v>
      </c>
      <c r="F847" s="24">
        <f>D847*E847</f>
        <v/>
      </c>
      <c r="G847" s="22" t="n"/>
    </row>
    <row r="848">
      <c r="A848" s="22" t="inlineStr">
        <is>
          <t>0124</t>
        </is>
      </c>
      <c r="B848" s="11" t="inlineStr">
        <is>
          <t>Mason (brick layer) 2nd class</t>
        </is>
      </c>
      <c r="C848" s="22" t="inlineStr">
        <is>
          <t>day</t>
        </is>
      </c>
      <c r="D848" s="23" t="n">
        <v>3.25</v>
      </c>
      <c r="E848" s="24" t="n">
        <v>679</v>
      </c>
      <c r="F848" s="24">
        <f>D848*E848</f>
        <v/>
      </c>
      <c r="G848" s="22" t="n"/>
    </row>
    <row r="849">
      <c r="A849" s="22" t="inlineStr">
        <is>
          <t>0115</t>
        </is>
      </c>
      <c r="B849" s="11" t="inlineStr">
        <is>
          <t>Coolie</t>
        </is>
      </c>
      <c r="C849" s="22" t="inlineStr">
        <is>
          <t>day</t>
        </is>
      </c>
      <c r="D849" s="23" t="n">
        <v>3.25</v>
      </c>
      <c r="E849" s="24" t="n">
        <v>558</v>
      </c>
      <c r="F849" s="24">
        <f>D849*E849</f>
        <v/>
      </c>
      <c r="G849" s="22" t="n"/>
    </row>
    <row r="850">
      <c r="A850" s="22" t="inlineStr">
        <is>
          <t>0139</t>
        </is>
      </c>
      <c r="B850" s="11" t="inlineStr">
        <is>
          <t>Skilled Beldar (for floor rubbing etc.)</t>
        </is>
      </c>
      <c r="C850" s="22" t="inlineStr">
        <is>
          <t>day</t>
        </is>
      </c>
      <c r="D850" s="23" t="n">
        <v>7.6</v>
      </c>
      <c r="E850" s="24" t="n">
        <v>617</v>
      </c>
      <c r="F850" s="24">
        <f>D850*E850</f>
        <v/>
      </c>
      <c r="G850" s="22" t="n"/>
    </row>
    <row r="851">
      <c r="A851" s="22" t="inlineStr">
        <is>
          <t>9999</t>
        </is>
      </c>
      <c r="B851" s="11" t="inlineStr">
        <is>
          <t>Sundries including carborandum stone and polishing powder etc.</t>
        </is>
      </c>
      <c r="C851" s="22" t="inlineStr">
        <is>
          <t>L.S.</t>
        </is>
      </c>
      <c r="D851" s="23" t="n">
        <v>161.46</v>
      </c>
      <c r="E851" s="24" t="n">
        <v>2</v>
      </c>
      <c r="F851" s="24">
        <f>D851*E851</f>
        <v/>
      </c>
      <c r="G851" s="22" t="n"/>
    </row>
    <row r="852">
      <c r="A852" s="8" t="inlineStr">
        <is>
          <t>Calculated W - SUM of the Amount column above</t>
        </is>
      </c>
      <c r="B852" s="9" t="n"/>
      <c r="C852" s="9" t="n"/>
      <c r="D852" s="9" t="n"/>
      <c r="E852" s="9" t="n"/>
      <c r="F852" s="25">
        <f>SUM(F842:F851)</f>
        <v/>
      </c>
      <c r="G852" s="9" t="n"/>
    </row>
    <row r="853">
      <c r="A853" s="26" t="inlineStr">
        <is>
          <t>W as printed in the DAR</t>
        </is>
      </c>
      <c r="B853" s="22" t="n"/>
      <c r="C853" s="22" t="n"/>
      <c r="D853" s="22" t="n"/>
      <c r="E853" s="22" t="n"/>
      <c r="F853" s="27" t="n">
        <v>13135.45</v>
      </c>
      <c r="G853" s="22" t="n"/>
    </row>
    <row r="854">
      <c r="A854" s="26" t="inlineStr">
        <is>
          <t>Difference (calculated - printed)</t>
        </is>
      </c>
      <c r="B854" s="22" t="n"/>
      <c r="C854" s="22" t="n"/>
      <c r="D854" s="22" t="n"/>
      <c r="E854" s="22" t="n"/>
      <c r="F854" s="27">
        <f>F852-F853</f>
        <v/>
      </c>
      <c r="G854" s="22" t="n"/>
    </row>
    <row r="855">
      <c r="A855" s="29" t="inlineStr">
        <is>
          <t>SAY (Rs.) - final DAR rate as printed (fixed value, not computed)</t>
        </is>
      </c>
      <c r="B855" s="30" t="n"/>
      <c r="C855" s="30" t="n"/>
      <c r="D855" s="30" t="n"/>
      <c r="E855" s="30" t="n"/>
      <c r="F855" s="31" t="n">
        <v>1757.45</v>
      </c>
      <c r="G855" s="30" t="n"/>
    </row>
    <row r="857" ht="47.5" customHeight="1">
      <c r="A857" s="8" t="inlineStr">
        <is>
          <t>11.18</t>
        </is>
      </c>
      <c r="B857" s="17"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is>
      </c>
      <c r="C857" s="9" t="n"/>
      <c r="D857" s="9" t="n"/>
      <c r="E857" s="9" t="n"/>
      <c r="F857" s="9" t="n"/>
      <c r="G857" s="9" t="n"/>
    </row>
    <row r="858" ht="18.5" customHeight="1">
      <c r="A858" s="18" t="inlineStr">
        <is>
          <t>11.18.4</t>
        </is>
      </c>
      <c r="B858" s="19" t="inlineStr">
        <is>
          <t>Ordinary cement without any pigment</t>
        </is>
      </c>
      <c r="C858" s="20" t="n"/>
      <c r="D858" s="20" t="n"/>
      <c r="E858" s="20" t="n"/>
      <c r="F858" s="20" t="n"/>
      <c r="G858" s="20" t="n"/>
    </row>
    <row r="859">
      <c r="A859" s="21" t="inlineStr">
        <is>
          <t>Details of cost for 10 sqm   |   Source: CivilDAR_2019_Vol_1.pdf, page 755</t>
        </is>
      </c>
    </row>
    <row r="860">
      <c r="A860" s="5" t="inlineStr">
        <is>
          <t>Code</t>
        </is>
      </c>
      <c r="B860" s="5" t="inlineStr">
        <is>
          <t>Description</t>
        </is>
      </c>
      <c r="C860" s="5" t="inlineStr">
        <is>
          <t>Unit</t>
        </is>
      </c>
      <c r="D860" s="5" t="inlineStr">
        <is>
          <t>Quantity</t>
        </is>
      </c>
      <c r="E860" s="5" t="inlineStr">
        <is>
          <t>Rate (Rs.)</t>
        </is>
      </c>
      <c r="F860" s="5" t="inlineStr">
        <is>
          <t>Amount (Rs.)</t>
        </is>
      </c>
      <c r="G860" s="5" t="inlineStr">
        <is>
          <t>Note</t>
        </is>
      </c>
    </row>
    <row r="861">
      <c r="A861" s="22" t="inlineStr">
        <is>
          <t>1203</t>
        </is>
      </c>
      <c r="B861" s="11" t="inlineStr">
        <is>
          <t>Precast terrazo tiles 22 mm thick (dark shade) including wastage &amp; breakage</t>
        </is>
      </c>
      <c r="C861" s="22" t="inlineStr">
        <is>
          <t>sqm</t>
        </is>
      </c>
      <c r="D861" s="23" t="n">
        <v>11</v>
      </c>
      <c r="E861" s="24" t="n">
        <v>245</v>
      </c>
      <c r="F861" s="24">
        <f>D861*E861</f>
        <v/>
      </c>
      <c r="G861" s="22" t="n"/>
    </row>
    <row r="862">
      <c r="A862" s="22" t="inlineStr">
        <is>
          <t>9977</t>
        </is>
      </c>
      <c r="B862" s="11" t="inlineStr">
        <is>
          <t>Carriage of tiles</t>
        </is>
      </c>
      <c r="C862" s="22" t="inlineStr">
        <is>
          <t>L.S.</t>
        </is>
      </c>
      <c r="D862" s="23" t="n">
        <v>40.43</v>
      </c>
      <c r="E862" s="24" t="n">
        <v>2</v>
      </c>
      <c r="F862" s="24">
        <f>D862*E862</f>
        <v/>
      </c>
      <c r="G862" s="22" t="n"/>
    </row>
    <row r="863">
      <c r="A863" s="7" t="inlineStr">
        <is>
          <t>3.8</t>
        </is>
      </c>
      <c r="B863" s="11" t="inlineStr">
        <is>
          <t>Rate as per item 3.8 - Cement mortar 1:3 (1 cement : 3 coarse sand)</t>
        </is>
      </c>
      <c r="C863" s="22" t="inlineStr">
        <is>
          <t>cum</t>
        </is>
      </c>
      <c r="D863" s="23" t="n">
        <v>0.144</v>
      </c>
      <c r="E863" s="24" t="n">
        <v>4664.55</v>
      </c>
      <c r="F863" s="24">
        <f>D863*E863</f>
        <v/>
      </c>
      <c r="G863" s="22" t="n"/>
    </row>
    <row r="864">
      <c r="A864" s="22" t="inlineStr">
        <is>
          <t>0367</t>
        </is>
      </c>
      <c r="B864" s="11" t="inlineStr">
        <is>
          <t>Portland Cement</t>
        </is>
      </c>
      <c r="C864" s="22" t="inlineStr">
        <is>
          <t>tonne</t>
        </is>
      </c>
      <c r="D864" s="23" t="n">
        <v>0.066</v>
      </c>
      <c r="E864" s="24" t="n">
        <v>4940</v>
      </c>
      <c r="F864" s="24">
        <f>D864*E864</f>
        <v/>
      </c>
      <c r="G864" s="22" t="n"/>
    </row>
    <row r="865">
      <c r="A865" s="22" t="inlineStr">
        <is>
          <t>2209</t>
        </is>
      </c>
      <c r="B865" s="11" t="inlineStr">
        <is>
          <t>Carriage of Cement</t>
        </is>
      </c>
      <c r="C865" s="22" t="inlineStr">
        <is>
          <t>tonne</t>
        </is>
      </c>
      <c r="D865" s="23" t="n">
        <v>0.066</v>
      </c>
      <c r="E865" s="24" t="n">
        <v>92.23999999999999</v>
      </c>
      <c r="F865" s="24">
        <f>D865*E865</f>
        <v/>
      </c>
      <c r="G865" s="22" t="n"/>
    </row>
    <row r="866">
      <c r="A866" s="22" t="inlineStr">
        <is>
          <t>0874</t>
        </is>
      </c>
      <c r="B866" s="11" t="inlineStr">
        <is>
          <t>Black colour dark shade pigment</t>
        </is>
      </c>
      <c r="C866" s="22" t="inlineStr">
        <is>
          <t>kilogram</t>
        </is>
      </c>
      <c r="D866" s="23" t="n">
        <v>4.62</v>
      </c>
      <c r="E866" s="24" t="n">
        <v>70</v>
      </c>
      <c r="F866" s="24">
        <f>D866*E866</f>
        <v/>
      </c>
      <c r="G866" s="22" t="n"/>
    </row>
    <row r="867">
      <c r="A867" s="22" t="inlineStr">
        <is>
          <t>0124</t>
        </is>
      </c>
      <c r="B867" s="11" t="inlineStr">
        <is>
          <t>Mason (brick layer) 2nd class</t>
        </is>
      </c>
      <c r="C867" s="22" t="inlineStr">
        <is>
          <t>day</t>
        </is>
      </c>
      <c r="D867" s="23" t="n">
        <v>3.25</v>
      </c>
      <c r="E867" s="24" t="n">
        <v>679</v>
      </c>
      <c r="F867" s="24">
        <f>D867*E867</f>
        <v/>
      </c>
      <c r="G867" s="22" t="n"/>
    </row>
    <row r="868">
      <c r="A868" s="22" t="inlineStr">
        <is>
          <t>0115</t>
        </is>
      </c>
      <c r="B868" s="11" t="inlineStr">
        <is>
          <t>Coolie</t>
        </is>
      </c>
      <c r="C868" s="22" t="inlineStr">
        <is>
          <t>day</t>
        </is>
      </c>
      <c r="D868" s="23" t="n">
        <v>3.25</v>
      </c>
      <c r="E868" s="24" t="n">
        <v>558</v>
      </c>
      <c r="F868" s="24">
        <f>D868*E868</f>
        <v/>
      </c>
      <c r="G868" s="22" t="n"/>
    </row>
    <row r="869">
      <c r="A869" s="22" t="inlineStr">
        <is>
          <t>0139</t>
        </is>
      </c>
      <c r="B869" s="11" t="inlineStr">
        <is>
          <t>Skilled Beldar (for floor rubbing etc.)</t>
        </is>
      </c>
      <c r="C869" s="22" t="inlineStr">
        <is>
          <t>day</t>
        </is>
      </c>
      <c r="D869" s="23" t="n">
        <v>7.6</v>
      </c>
      <c r="E869" s="24" t="n">
        <v>617</v>
      </c>
      <c r="F869" s="24">
        <f>D869*E869</f>
        <v/>
      </c>
      <c r="G869" s="22" t="n"/>
    </row>
    <row r="870">
      <c r="A870" s="22" t="inlineStr">
        <is>
          <t>9999</t>
        </is>
      </c>
      <c r="B870" s="11" t="inlineStr">
        <is>
          <t>Sundries including carborandum stone and polishing powder etc.</t>
        </is>
      </c>
      <c r="C870" s="22" t="inlineStr">
        <is>
          <t>L.S.</t>
        </is>
      </c>
      <c r="D870" s="23" t="n">
        <v>161.46</v>
      </c>
      <c r="E870" s="24" t="n">
        <v>2</v>
      </c>
      <c r="F870" s="24">
        <f>D870*E870</f>
        <v/>
      </c>
      <c r="G870" s="22" t="n"/>
    </row>
    <row r="871">
      <c r="A871" s="22" t="inlineStr">
        <is>
          <t>0874</t>
        </is>
      </c>
      <c r="B871" s="11" t="inlineStr">
        <is>
          <t>Black colour dark shade pigment</t>
        </is>
      </c>
      <c r="C871" s="22" t="inlineStr">
        <is>
          <t>kilogram</t>
        </is>
      </c>
      <c r="D871" s="23" t="n">
        <v>-7.46</v>
      </c>
      <c r="E871" s="24" t="n">
        <v>70</v>
      </c>
      <c r="F871" s="24">
        <f>D871*E871</f>
        <v/>
      </c>
      <c r="G871" s="22" t="n"/>
    </row>
    <row r="872">
      <c r="A872" s="8" t="inlineStr">
        <is>
          <t>Calculated W - SUM of the Amount column above</t>
        </is>
      </c>
      <c r="B872" s="9" t="n"/>
      <c r="C872" s="9" t="n"/>
      <c r="D872" s="9" t="n"/>
      <c r="E872" s="9" t="n"/>
      <c r="F872" s="25">
        <f>SUM(F861:F871)</f>
        <v/>
      </c>
      <c r="G872" s="9" t="n"/>
    </row>
    <row r="873">
      <c r="A873" s="26" t="inlineStr">
        <is>
          <t>W as printed in the DAR</t>
        </is>
      </c>
      <c r="B873" s="22" t="n"/>
      <c r="C873" s="22" t="n"/>
      <c r="D873" s="22" t="n"/>
      <c r="E873" s="22" t="n"/>
      <c r="F873" s="27" t="n">
        <v>12613.25</v>
      </c>
      <c r="G873" s="22" t="n"/>
    </row>
    <row r="874">
      <c r="A874" s="26" t="inlineStr">
        <is>
          <t>Difference (calculated - printed)</t>
        </is>
      </c>
      <c r="B874" s="22" t="n"/>
      <c r="C874" s="22" t="n"/>
      <c r="D874" s="22" t="n"/>
      <c r="E874" s="22" t="n"/>
      <c r="F874" s="27">
        <f>F872-F873</f>
        <v/>
      </c>
      <c r="G874" s="22" t="n"/>
    </row>
    <row r="875">
      <c r="A875" s="29" t="inlineStr">
        <is>
          <t>SAY (Rs.) - final DAR rate as printed (fixed value, not computed)</t>
        </is>
      </c>
      <c r="B875" s="30" t="n"/>
      <c r="C875" s="30" t="n"/>
      <c r="D875" s="30" t="n"/>
      <c r="E875" s="30" t="n"/>
      <c r="F875" s="31" t="n">
        <v>1687.55</v>
      </c>
      <c r="G875" s="30" t="n"/>
    </row>
    <row r="877" ht="47.5" customHeight="1">
      <c r="A877" s="8" t="inlineStr">
        <is>
          <t>11.19</t>
        </is>
      </c>
      <c r="B877" s="17"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is>
      </c>
      <c r="C877" s="9" t="n"/>
      <c r="D877" s="9" t="n"/>
      <c r="E877" s="9" t="n"/>
      <c r="F877" s="9" t="n"/>
      <c r="G877" s="9" t="n"/>
    </row>
    <row r="878" ht="18.5" customHeight="1">
      <c r="A878" s="18" t="inlineStr">
        <is>
          <t>11.19.1</t>
        </is>
      </c>
      <c r="B878" s="19" t="inlineStr">
        <is>
          <t>Light shade pigment using white cement</t>
        </is>
      </c>
      <c r="C878" s="20" t="n"/>
      <c r="D878" s="20" t="n"/>
      <c r="E878" s="20" t="n"/>
      <c r="F878" s="20" t="n"/>
      <c r="G878" s="20" t="n"/>
    </row>
    <row r="879">
      <c r="A879" s="21" t="inlineStr">
        <is>
          <t>Details of cost for 10 sqm   |   Source: CivilDAR_2019_Vol_1.pdf, page 755</t>
        </is>
      </c>
    </row>
    <row r="880">
      <c r="A880" s="5" t="inlineStr">
        <is>
          <t>Code</t>
        </is>
      </c>
      <c r="B880" s="5" t="inlineStr">
        <is>
          <t>Description</t>
        </is>
      </c>
      <c r="C880" s="5" t="inlineStr">
        <is>
          <t>Unit</t>
        </is>
      </c>
      <c r="D880" s="5" t="inlineStr">
        <is>
          <t>Quantity</t>
        </is>
      </c>
      <c r="E880" s="5" t="inlineStr">
        <is>
          <t>Rate (Rs.)</t>
        </is>
      </c>
      <c r="F880" s="5" t="inlineStr">
        <is>
          <t>Amount (Rs.)</t>
        </is>
      </c>
      <c r="G880" s="5" t="inlineStr">
        <is>
          <t>Note</t>
        </is>
      </c>
    </row>
    <row r="881">
      <c r="A881" s="22" t="inlineStr">
        <is>
          <t>1227</t>
        </is>
      </c>
      <c r="B881" s="11" t="inlineStr">
        <is>
          <t>Chequered terrazo tiles 22 mm thick (light shade) including 10% wastage</t>
        </is>
      </c>
      <c r="C881" s="22" t="inlineStr">
        <is>
          <t>sqm</t>
        </is>
      </c>
      <c r="D881" s="23" t="n">
        <v>11</v>
      </c>
      <c r="E881" s="24" t="n">
        <v>275</v>
      </c>
      <c r="F881" s="24">
        <f>D881*E881</f>
        <v/>
      </c>
      <c r="G881" s="22" t="n"/>
    </row>
    <row r="882">
      <c r="A882" s="22" t="inlineStr">
        <is>
          <t>9977</t>
        </is>
      </c>
      <c r="B882" s="11" t="inlineStr">
        <is>
          <t>Carriage of tiles</t>
        </is>
      </c>
      <c r="C882" s="22" t="inlineStr">
        <is>
          <t>L.S.</t>
        </is>
      </c>
      <c r="D882" s="23" t="n">
        <v>40.43</v>
      </c>
      <c r="E882" s="24" t="n">
        <v>2</v>
      </c>
      <c r="F882" s="24">
        <f>D882*E882</f>
        <v/>
      </c>
      <c r="G882" s="22" t="n"/>
    </row>
    <row r="883">
      <c r="A883" s="7" t="inlineStr">
        <is>
          <t>3.9</t>
        </is>
      </c>
      <c r="B883" s="11" t="inlineStr">
        <is>
          <t>Rate as per item 3.9 - Cement mortar 1:4 (1 cement : 4 coarse sand)</t>
        </is>
      </c>
      <c r="C883" s="22" t="inlineStr">
        <is>
          <t>cum</t>
        </is>
      </c>
      <c r="D883" s="23" t="n">
        <v>0.224</v>
      </c>
      <c r="E883" s="24" t="n">
        <v>4010.35</v>
      </c>
      <c r="F883" s="24">
        <f>D883*E883</f>
        <v/>
      </c>
      <c r="G883" s="22" t="n"/>
    </row>
    <row r="884">
      <c r="A884" s="22" t="inlineStr">
        <is>
          <t>0367</t>
        </is>
      </c>
      <c r="B884" s="11" t="inlineStr">
        <is>
          <t>Portland Cement</t>
        </is>
      </c>
      <c r="C884" s="22" t="inlineStr">
        <is>
          <t>tonne</t>
        </is>
      </c>
      <c r="D884" s="23" t="n">
        <v>0.044</v>
      </c>
      <c r="E884" s="24" t="n">
        <v>4940</v>
      </c>
      <c r="F884" s="24">
        <f>D884*E884</f>
        <v/>
      </c>
      <c r="G884" s="22" t="n"/>
    </row>
    <row r="885">
      <c r="A885" s="22" t="inlineStr">
        <is>
          <t>0368</t>
        </is>
      </c>
      <c r="B885" s="11" t="inlineStr">
        <is>
          <t>White Cement</t>
        </is>
      </c>
      <c r="C885" s="22" t="inlineStr">
        <is>
          <t>tonne</t>
        </is>
      </c>
      <c r="D885" s="23" t="n">
        <v>0.044</v>
      </c>
      <c r="E885" s="24" t="n">
        <v>11200</v>
      </c>
      <c r="F885" s="24">
        <f>D885*E885</f>
        <v/>
      </c>
      <c r="G885" s="22" t="n"/>
    </row>
    <row r="886">
      <c r="A886" s="22" t="inlineStr">
        <is>
          <t>2209</t>
        </is>
      </c>
      <c r="B886" s="11" t="inlineStr">
        <is>
          <t>Carriage of Cement</t>
        </is>
      </c>
      <c r="C886" s="22" t="inlineStr">
        <is>
          <t>tonne</t>
        </is>
      </c>
      <c r="D886" s="23" t="n">
        <v>0.08799999999999999</v>
      </c>
      <c r="E886" s="24" t="n">
        <v>92.23999999999999</v>
      </c>
      <c r="F886" s="24">
        <f>D886*E886</f>
        <v/>
      </c>
      <c r="G886" s="22" t="n"/>
    </row>
    <row r="887">
      <c r="A887" s="22" t="inlineStr">
        <is>
          <t>0875</t>
        </is>
      </c>
      <c r="B887" s="11" t="inlineStr">
        <is>
          <t>Red, chocolate, orange, buff or yellow (red oxide of iron) light shade pigment</t>
        </is>
      </c>
      <c r="C887" s="22" t="inlineStr">
        <is>
          <t>kilogram</t>
        </is>
      </c>
      <c r="D887" s="23" t="n">
        <v>3.08</v>
      </c>
      <c r="E887" s="24" t="n">
        <v>60</v>
      </c>
      <c r="F887" s="24">
        <f>D887*E887</f>
        <v/>
      </c>
      <c r="G887" s="22" t="n"/>
    </row>
    <row r="888">
      <c r="A888" s="22" t="inlineStr">
        <is>
          <t>0124</t>
        </is>
      </c>
      <c r="B888" s="11" t="inlineStr">
        <is>
          <t>Mason (brick layer) 2nd class</t>
        </is>
      </c>
      <c r="C888" s="22" t="inlineStr">
        <is>
          <t>day</t>
        </is>
      </c>
      <c r="D888" s="23" t="n">
        <v>1.6</v>
      </c>
      <c r="E888" s="24" t="n">
        <v>679</v>
      </c>
      <c r="F888" s="24">
        <f>D888*E888</f>
        <v/>
      </c>
      <c r="G888" s="22" t="n"/>
    </row>
    <row r="889">
      <c r="A889" s="22" t="inlineStr">
        <is>
          <t>0115</t>
        </is>
      </c>
      <c r="B889" s="11" t="inlineStr">
        <is>
          <t>Coolie</t>
        </is>
      </c>
      <c r="C889" s="22" t="inlineStr">
        <is>
          <t>day</t>
        </is>
      </c>
      <c r="D889" s="23" t="n">
        <v>2</v>
      </c>
      <c r="E889" s="24" t="n">
        <v>558</v>
      </c>
      <c r="F889" s="24">
        <f>D889*E889</f>
        <v/>
      </c>
      <c r="G889" s="22" t="n"/>
    </row>
    <row r="890">
      <c r="A890" s="22" t="inlineStr">
        <is>
          <t>0139</t>
        </is>
      </c>
      <c r="B890" s="11" t="inlineStr">
        <is>
          <t>Skilled Beldar (for floor rubbing etc.)</t>
        </is>
      </c>
      <c r="C890" s="22" t="inlineStr">
        <is>
          <t>day</t>
        </is>
      </c>
      <c r="D890" s="23" t="n">
        <v>1</v>
      </c>
      <c r="E890" s="24" t="n">
        <v>617</v>
      </c>
      <c r="F890" s="24">
        <f>D890*E890</f>
        <v/>
      </c>
      <c r="G890" s="22" t="n"/>
    </row>
    <row r="891">
      <c r="A891" s="22" t="inlineStr">
        <is>
          <t>0101</t>
        </is>
      </c>
      <c r="B891" s="11" t="inlineStr">
        <is>
          <t>Bhisti</t>
        </is>
      </c>
      <c r="C891" s="22" t="inlineStr">
        <is>
          <t>day</t>
        </is>
      </c>
      <c r="D891" s="23" t="n">
        <v>1</v>
      </c>
      <c r="E891" s="24" t="n">
        <v>617</v>
      </c>
      <c r="F891" s="24">
        <f>D891*E891</f>
        <v/>
      </c>
      <c r="G891" s="22" t="n"/>
    </row>
    <row r="892">
      <c r="A892" s="22" t="inlineStr">
        <is>
          <t>0013</t>
        </is>
      </c>
      <c r="B892" s="11" t="inlineStr">
        <is>
          <t>Machine for rubbing of floors</t>
        </is>
      </c>
      <c r="C892" s="22" t="inlineStr">
        <is>
          <t>day</t>
        </is>
      </c>
      <c r="D892" s="23" t="n">
        <v>1.6</v>
      </c>
      <c r="E892" s="24" t="n">
        <v>300</v>
      </c>
      <c r="F892" s="24">
        <f>D892*E892</f>
        <v/>
      </c>
      <c r="G892" s="22" t="n"/>
    </row>
    <row r="893">
      <c r="A893" s="22" t="inlineStr">
        <is>
          <t>9999</t>
        </is>
      </c>
      <c r="B893" s="11" t="inlineStr">
        <is>
          <t>Sundries including carborandum stone etc.</t>
        </is>
      </c>
      <c r="C893" s="22" t="inlineStr">
        <is>
          <t>L.S.</t>
        </is>
      </c>
      <c r="D893" s="23" t="n">
        <v>161.98</v>
      </c>
      <c r="E893" s="24" t="n">
        <v>2</v>
      </c>
      <c r="F893" s="24">
        <f>D893*E893</f>
        <v/>
      </c>
      <c r="G893" s="22" t="n"/>
    </row>
    <row r="894">
      <c r="A894" s="8" t="inlineStr">
        <is>
          <t>Calculated W - SUM of the Amount column above</t>
        </is>
      </c>
      <c r="B894" s="9" t="n"/>
      <c r="C894" s="9" t="n"/>
      <c r="D894" s="9" t="n"/>
      <c r="E894" s="9" t="n"/>
      <c r="F894" s="25">
        <f>SUM(F881:F893)</f>
        <v/>
      </c>
      <c r="G894" s="9" t="n"/>
    </row>
    <row r="895">
      <c r="A895" s="26" t="inlineStr">
        <is>
          <t>W as printed in the DAR</t>
        </is>
      </c>
      <c r="B895" s="22" t="n"/>
      <c r="C895" s="22" t="n"/>
      <c r="D895" s="22" t="n"/>
      <c r="E895" s="22" t="n"/>
      <c r="F895" s="27" t="n">
        <v>9147.620000000001</v>
      </c>
      <c r="G895" s="22" t="n"/>
    </row>
    <row r="896">
      <c r="A896" s="26" t="inlineStr">
        <is>
          <t>Difference (calculated - printed)</t>
        </is>
      </c>
      <c r="B896" s="22" t="n"/>
      <c r="C896" s="22" t="n"/>
      <c r="D896" s="22" t="n"/>
      <c r="E896" s="22" t="n"/>
      <c r="F896" s="27">
        <f>F894-F895</f>
        <v/>
      </c>
      <c r="G896" s="22" t="n"/>
    </row>
    <row r="897">
      <c r="A897" s="29" t="inlineStr">
        <is>
          <t>SAY (Rs.) - final DAR rate as printed (fixed value, not computed)</t>
        </is>
      </c>
      <c r="B897" s="30" t="n"/>
      <c r="C897" s="30" t="n"/>
      <c r="D897" s="30" t="n"/>
      <c r="E897" s="30" t="n"/>
      <c r="F897" s="31" t="n">
        <v>1223.9</v>
      </c>
      <c r="G897" s="30" t="n"/>
    </row>
    <row r="899" ht="47.5" customHeight="1">
      <c r="A899" s="8" t="inlineStr">
        <is>
          <t>11.19</t>
        </is>
      </c>
      <c r="B899" s="17"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is>
      </c>
      <c r="C899" s="9" t="n"/>
      <c r="D899" s="9" t="n"/>
      <c r="E899" s="9" t="n"/>
      <c r="F899" s="9" t="n"/>
      <c r="G899" s="9" t="n"/>
    </row>
    <row r="900" ht="18.5" customHeight="1">
      <c r="A900" s="18" t="inlineStr">
        <is>
          <t>11.19.2</t>
        </is>
      </c>
      <c r="B900" s="19" t="inlineStr">
        <is>
          <t>Medium shade pigment using 50% white cement, 50% ordinary cement</t>
        </is>
      </c>
      <c r="C900" s="20" t="n"/>
      <c r="D900" s="20" t="n"/>
      <c r="E900" s="20" t="n"/>
      <c r="F900" s="20" t="n"/>
      <c r="G900" s="20" t="n"/>
    </row>
    <row r="901">
      <c r="A901" s="21" t="inlineStr">
        <is>
          <t>Details of cost for 10 sqm   |   Source: CivilDAR_2019_Vol_1.pdf, page 756</t>
        </is>
      </c>
    </row>
    <row r="902">
      <c r="A902" s="5" t="inlineStr">
        <is>
          <t>Code</t>
        </is>
      </c>
      <c r="B902" s="5" t="inlineStr">
        <is>
          <t>Description</t>
        </is>
      </c>
      <c r="C902" s="5" t="inlineStr">
        <is>
          <t>Unit</t>
        </is>
      </c>
      <c r="D902" s="5" t="inlineStr">
        <is>
          <t>Quantity</t>
        </is>
      </c>
      <c r="E902" s="5" t="inlineStr">
        <is>
          <t>Rate (Rs.)</t>
        </is>
      </c>
      <c r="F902" s="5" t="inlineStr">
        <is>
          <t>Amount (Rs.)</t>
        </is>
      </c>
      <c r="G902" s="5" t="inlineStr">
        <is>
          <t>Note</t>
        </is>
      </c>
    </row>
    <row r="903">
      <c r="A903" s="22" t="inlineStr">
        <is>
          <t>1228</t>
        </is>
      </c>
      <c r="B903" s="11" t="inlineStr">
        <is>
          <t>Chequered terrazo tiles 22 mm thick (medium shade) including 10% wastage</t>
        </is>
      </c>
      <c r="C903" s="22" t="inlineStr">
        <is>
          <t>sqm</t>
        </is>
      </c>
      <c r="D903" s="23" t="n">
        <v>11</v>
      </c>
      <c r="E903" s="24" t="n">
        <v>300</v>
      </c>
      <c r="F903" s="24">
        <f>D903*E903</f>
        <v/>
      </c>
      <c r="G903" s="22" t="n"/>
    </row>
    <row r="904">
      <c r="A904" s="22" t="inlineStr">
        <is>
          <t>9977</t>
        </is>
      </c>
      <c r="B904" s="11" t="inlineStr">
        <is>
          <t>Carriage of tiles</t>
        </is>
      </c>
      <c r="C904" s="22" t="inlineStr">
        <is>
          <t>L.S.</t>
        </is>
      </c>
      <c r="D904" s="23" t="n">
        <v>40.43</v>
      </c>
      <c r="E904" s="24" t="n">
        <v>2</v>
      </c>
      <c r="F904" s="24">
        <f>D904*E904</f>
        <v/>
      </c>
      <c r="G904" s="22" t="n"/>
    </row>
    <row r="905">
      <c r="A905" s="7" t="inlineStr">
        <is>
          <t>3.9</t>
        </is>
      </c>
      <c r="B905" s="11" t="inlineStr">
        <is>
          <t>Rate as per item 3.9 - Cement mortar 1:4 (1 cement : 4 coarse sand)</t>
        </is>
      </c>
      <c r="C905" s="22" t="inlineStr">
        <is>
          <t>cum</t>
        </is>
      </c>
      <c r="D905" s="23" t="n">
        <v>0.224</v>
      </c>
      <c r="E905" s="24" t="n">
        <v>4010.35</v>
      </c>
      <c r="F905" s="24">
        <f>D905*E905</f>
        <v/>
      </c>
      <c r="G905" s="22" t="n"/>
    </row>
    <row r="906">
      <c r="A906" s="22" t="inlineStr">
        <is>
          <t>0367</t>
        </is>
      </c>
      <c r="B906" s="11" t="inlineStr">
        <is>
          <t>Portland Cement</t>
        </is>
      </c>
      <c r="C906" s="22" t="inlineStr">
        <is>
          <t>tonne</t>
        </is>
      </c>
      <c r="D906" s="23" t="n">
        <v>0.066</v>
      </c>
      <c r="E906" s="24" t="n">
        <v>4940</v>
      </c>
      <c r="F906" s="24">
        <f>D906*E906</f>
        <v/>
      </c>
      <c r="G906" s="22" t="n"/>
    </row>
    <row r="907">
      <c r="A907" s="22" t="inlineStr">
        <is>
          <t>0368</t>
        </is>
      </c>
      <c r="B907" s="11" t="inlineStr">
        <is>
          <t>White Cement</t>
        </is>
      </c>
      <c r="C907" s="22" t="inlineStr">
        <is>
          <t>tonne</t>
        </is>
      </c>
      <c r="D907" s="23" t="n">
        <v>0.022</v>
      </c>
      <c r="E907" s="24" t="n">
        <v>11200</v>
      </c>
      <c r="F907" s="24">
        <f>D907*E907</f>
        <v/>
      </c>
      <c r="G907" s="22" t="n"/>
    </row>
    <row r="908">
      <c r="A908" s="22" t="inlineStr">
        <is>
          <t>2209</t>
        </is>
      </c>
      <c r="B908" s="11" t="inlineStr">
        <is>
          <t>Carriage of Cement</t>
        </is>
      </c>
      <c r="C908" s="22" t="inlineStr">
        <is>
          <t>tonne</t>
        </is>
      </c>
      <c r="D908" s="23" t="n">
        <v>0.08799999999999999</v>
      </c>
      <c r="E908" s="24" t="n">
        <v>92.23999999999999</v>
      </c>
      <c r="F908" s="24">
        <f>D908*E908</f>
        <v/>
      </c>
      <c r="G908" s="22" t="n"/>
    </row>
    <row r="909">
      <c r="A909" s="22" t="inlineStr">
        <is>
          <t>0876</t>
        </is>
      </c>
      <c r="B909" s="11" t="inlineStr">
        <is>
          <t>Green or blue medium shade pigment</t>
        </is>
      </c>
      <c r="C909" s="22" t="inlineStr">
        <is>
          <t>kilogram</t>
        </is>
      </c>
      <c r="D909" s="23" t="n">
        <v>3.08</v>
      </c>
      <c r="E909" s="24" t="n">
        <v>56</v>
      </c>
      <c r="F909" s="24">
        <f>D909*E909</f>
        <v/>
      </c>
      <c r="G909" s="22" t="n"/>
    </row>
    <row r="910">
      <c r="A910" s="22" t="inlineStr">
        <is>
          <t>0124</t>
        </is>
      </c>
      <c r="B910" s="11" t="inlineStr">
        <is>
          <t>Mason (brick layer) 2nd class</t>
        </is>
      </c>
      <c r="C910" s="22" t="inlineStr">
        <is>
          <t>day</t>
        </is>
      </c>
      <c r="D910" s="23" t="n">
        <v>1.6</v>
      </c>
      <c r="E910" s="24" t="n">
        <v>679</v>
      </c>
      <c r="F910" s="24">
        <f>D910*E910</f>
        <v/>
      </c>
      <c r="G910" s="22" t="n"/>
    </row>
    <row r="911">
      <c r="A911" s="22" t="inlineStr">
        <is>
          <t>0115</t>
        </is>
      </c>
      <c r="B911" s="11" t="inlineStr">
        <is>
          <t>Coolie</t>
        </is>
      </c>
      <c r="C911" s="22" t="inlineStr">
        <is>
          <t>day</t>
        </is>
      </c>
      <c r="D911" s="23" t="n">
        <v>2</v>
      </c>
      <c r="E911" s="24" t="n">
        <v>558</v>
      </c>
      <c r="F911" s="24">
        <f>D911*E911</f>
        <v/>
      </c>
      <c r="G911" s="22" t="n"/>
    </row>
    <row r="912">
      <c r="A912" s="22" t="inlineStr">
        <is>
          <t>0139</t>
        </is>
      </c>
      <c r="B912" s="11" t="inlineStr">
        <is>
          <t>Skilled Beldar (for floor rubbing etc.)</t>
        </is>
      </c>
      <c r="C912" s="22" t="inlineStr">
        <is>
          <t>day</t>
        </is>
      </c>
      <c r="D912" s="23" t="n">
        <v>1</v>
      </c>
      <c r="E912" s="24" t="n">
        <v>617</v>
      </c>
      <c r="F912" s="24">
        <f>D912*E912</f>
        <v/>
      </c>
      <c r="G912" s="22" t="n"/>
    </row>
    <row r="913">
      <c r="A913" s="22" t="inlineStr">
        <is>
          <t>0101</t>
        </is>
      </c>
      <c r="B913" s="11" t="inlineStr">
        <is>
          <t>Bhisti</t>
        </is>
      </c>
      <c r="C913" s="22" t="inlineStr">
        <is>
          <t>day</t>
        </is>
      </c>
      <c r="D913" s="23" t="n">
        <v>1</v>
      </c>
      <c r="E913" s="24" t="n">
        <v>617</v>
      </c>
      <c r="F913" s="24">
        <f>D913*E913</f>
        <v/>
      </c>
      <c r="G913" s="22" t="n"/>
    </row>
    <row r="914">
      <c r="A914" s="22" t="inlineStr">
        <is>
          <t>0013</t>
        </is>
      </c>
      <c r="B914" s="11" t="inlineStr">
        <is>
          <t>Machine for rubbing of floors</t>
        </is>
      </c>
      <c r="C914" s="22" t="inlineStr">
        <is>
          <t>day</t>
        </is>
      </c>
      <c r="D914" s="23" t="n">
        <v>1.6</v>
      </c>
      <c r="E914" s="24" t="n">
        <v>300</v>
      </c>
      <c r="F914" s="24">
        <f>D914*E914</f>
        <v/>
      </c>
      <c r="G914" s="22" t="n"/>
    </row>
    <row r="915">
      <c r="A915" s="22" t="inlineStr">
        <is>
          <t>9999</t>
        </is>
      </c>
      <c r="B915" s="11" t="inlineStr">
        <is>
          <t>Sundries including carborandum stone etc.</t>
        </is>
      </c>
      <c r="C915" s="22" t="inlineStr">
        <is>
          <t>L.S.</t>
        </is>
      </c>
      <c r="D915" s="23" t="n">
        <v>161.98</v>
      </c>
      <c r="E915" s="24" t="n">
        <v>2</v>
      </c>
      <c r="F915" s="24">
        <f>D915*E915</f>
        <v/>
      </c>
      <c r="G915" s="22" t="n"/>
    </row>
    <row r="916">
      <c r="A916" s="8" t="inlineStr">
        <is>
          <t>Calculated W - SUM of the Amount column above</t>
        </is>
      </c>
      <c r="B916" s="9" t="n"/>
      <c r="C916" s="9" t="n"/>
      <c r="D916" s="9" t="n"/>
      <c r="E916" s="9" t="n"/>
      <c r="F916" s="25">
        <f>SUM(F903:F915)</f>
        <v/>
      </c>
      <c r="G916" s="9" t="n"/>
    </row>
    <row r="917">
      <c r="A917" s="26" t="inlineStr">
        <is>
          <t>W as printed in the DAR</t>
        </is>
      </c>
      <c r="B917" s="22" t="n"/>
      <c r="C917" s="22" t="n"/>
      <c r="D917" s="22" t="n"/>
      <c r="E917" s="22" t="n"/>
      <c r="F917" s="27" t="n">
        <v>9272.58</v>
      </c>
      <c r="G917" s="22" t="n"/>
    </row>
    <row r="918">
      <c r="A918" s="26" t="inlineStr">
        <is>
          <t>Difference (calculated - printed)</t>
        </is>
      </c>
      <c r="B918" s="22" t="n"/>
      <c r="C918" s="22" t="n"/>
      <c r="D918" s="22" t="n"/>
      <c r="E918" s="22" t="n"/>
      <c r="F918" s="27">
        <f>F916-F917</f>
        <v/>
      </c>
      <c r="G918" s="22" t="n"/>
    </row>
    <row r="919">
      <c r="A919" s="29" t="inlineStr">
        <is>
          <t>SAY (Rs.) - final DAR rate as printed (fixed value, not computed)</t>
        </is>
      </c>
      <c r="B919" s="30" t="n"/>
      <c r="C919" s="30" t="n"/>
      <c r="D919" s="30" t="n"/>
      <c r="E919" s="30" t="n"/>
      <c r="F919" s="31" t="n">
        <v>1240.6</v>
      </c>
      <c r="G919" s="30" t="n"/>
    </row>
    <row r="921" ht="47.5" customHeight="1">
      <c r="A921" s="8" t="inlineStr">
        <is>
          <t>11.19</t>
        </is>
      </c>
      <c r="B921" s="17"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is>
      </c>
      <c r="C921" s="9" t="n"/>
      <c r="D921" s="9" t="n"/>
      <c r="E921" s="9" t="n"/>
      <c r="F921" s="9" t="n"/>
      <c r="G921" s="9" t="n"/>
    </row>
    <row r="922" ht="18.5" customHeight="1">
      <c r="A922" s="18" t="inlineStr">
        <is>
          <t>11.19.3</t>
        </is>
      </c>
      <c r="B922" s="19" t="inlineStr">
        <is>
          <t>Dark shade pigment using ordinary cement</t>
        </is>
      </c>
      <c r="C922" s="20" t="n"/>
      <c r="D922" s="20" t="n"/>
      <c r="E922" s="20" t="n"/>
      <c r="F922" s="20" t="n"/>
      <c r="G922" s="20" t="n"/>
    </row>
    <row r="923">
      <c r="A923" s="21" t="inlineStr">
        <is>
          <t>Details of cost for 10 sqm   |   Source: CivilDAR_2019_Vol_1.pdf, page 757</t>
        </is>
      </c>
    </row>
    <row r="924">
      <c r="A924" s="5" t="inlineStr">
        <is>
          <t>Code</t>
        </is>
      </c>
      <c r="B924" s="5" t="inlineStr">
        <is>
          <t>Description</t>
        </is>
      </c>
      <c r="C924" s="5" t="inlineStr">
        <is>
          <t>Unit</t>
        </is>
      </c>
      <c r="D924" s="5" t="inlineStr">
        <is>
          <t>Quantity</t>
        </is>
      </c>
      <c r="E924" s="5" t="inlineStr">
        <is>
          <t>Rate (Rs.)</t>
        </is>
      </c>
      <c r="F924" s="5" t="inlineStr">
        <is>
          <t>Amount (Rs.)</t>
        </is>
      </c>
      <c r="G924" s="5" t="inlineStr">
        <is>
          <t>Note</t>
        </is>
      </c>
    </row>
    <row r="925">
      <c r="A925" s="22" t="inlineStr">
        <is>
          <t>1229</t>
        </is>
      </c>
      <c r="B925" s="11" t="inlineStr">
        <is>
          <t>Chequered terrazo tiles 22 mm thick (dark shade) including 10% wastage</t>
        </is>
      </c>
      <c r="C925" s="22" t="inlineStr">
        <is>
          <t>sqm</t>
        </is>
      </c>
      <c r="D925" s="23" t="n">
        <v>11</v>
      </c>
      <c r="E925" s="24" t="n">
        <v>260</v>
      </c>
      <c r="F925" s="24">
        <f>D925*E925</f>
        <v/>
      </c>
      <c r="G925" s="22" t="n"/>
    </row>
    <row r="926">
      <c r="A926" s="22" t="inlineStr">
        <is>
          <t>9977</t>
        </is>
      </c>
      <c r="B926" s="11" t="inlineStr">
        <is>
          <t>Carriage of tiles</t>
        </is>
      </c>
      <c r="C926" s="22" t="inlineStr">
        <is>
          <t>L.S.</t>
        </is>
      </c>
      <c r="D926" s="23" t="n">
        <v>40.43</v>
      </c>
      <c r="E926" s="24" t="n">
        <v>2</v>
      </c>
      <c r="F926" s="24">
        <f>D926*E926</f>
        <v/>
      </c>
      <c r="G926" s="22" t="n"/>
    </row>
    <row r="927">
      <c r="A927" s="7" t="inlineStr">
        <is>
          <t>3.9</t>
        </is>
      </c>
      <c r="B927" s="11" t="inlineStr">
        <is>
          <t>Rate as per item 3.9 - Cement mortar 1:4 (1 cement : 4 coarse sand)</t>
        </is>
      </c>
      <c r="C927" s="22" t="inlineStr">
        <is>
          <t>cum</t>
        </is>
      </c>
      <c r="D927" s="23" t="n">
        <v>0.224</v>
      </c>
      <c r="E927" s="24" t="n">
        <v>4010.35</v>
      </c>
      <c r="F927" s="24">
        <f>D927*E927</f>
        <v/>
      </c>
      <c r="G927" s="22" t="n"/>
    </row>
    <row r="928">
      <c r="A928" s="22" t="inlineStr">
        <is>
          <t>0367</t>
        </is>
      </c>
      <c r="B928" s="11" t="inlineStr">
        <is>
          <t>Portland Cement</t>
        </is>
      </c>
      <c r="C928" s="22" t="inlineStr">
        <is>
          <t>tonne</t>
        </is>
      </c>
      <c r="D928" s="23" t="n">
        <v>0.08799999999999999</v>
      </c>
      <c r="E928" s="24" t="n">
        <v>4940</v>
      </c>
      <c r="F928" s="24">
        <f>D928*E928</f>
        <v/>
      </c>
      <c r="G928" s="22" t="n"/>
    </row>
    <row r="929">
      <c r="A929" s="22" t="inlineStr">
        <is>
          <t>2209</t>
        </is>
      </c>
      <c r="B929" s="11" t="inlineStr">
        <is>
          <t>Carriage of Cement</t>
        </is>
      </c>
      <c r="C929" s="22" t="inlineStr">
        <is>
          <t>tonne</t>
        </is>
      </c>
      <c r="D929" s="23" t="n">
        <v>0.08799999999999999</v>
      </c>
      <c r="E929" s="24" t="n">
        <v>92.23999999999999</v>
      </c>
      <c r="F929" s="24">
        <f>D929*E929</f>
        <v/>
      </c>
      <c r="G929" s="22" t="n"/>
    </row>
    <row r="930">
      <c r="A930" s="22" t="inlineStr">
        <is>
          <t>0874</t>
        </is>
      </c>
      <c r="B930" s="11" t="inlineStr">
        <is>
          <t>Black colour dark shade pigment</t>
        </is>
      </c>
      <c r="C930" s="22" t="inlineStr">
        <is>
          <t>kilogram</t>
        </is>
      </c>
      <c r="D930" s="23" t="n">
        <v>3.08</v>
      </c>
      <c r="E930" s="24" t="n">
        <v>70</v>
      </c>
      <c r="F930" s="24">
        <f>D930*E930</f>
        <v/>
      </c>
      <c r="G930" s="22" t="n"/>
    </row>
    <row r="931">
      <c r="A931" s="22" t="inlineStr">
        <is>
          <t>0124</t>
        </is>
      </c>
      <c r="B931" s="11" t="inlineStr">
        <is>
          <t>Mason (brick layer) 2nd class</t>
        </is>
      </c>
      <c r="C931" s="22" t="inlineStr">
        <is>
          <t>day</t>
        </is>
      </c>
      <c r="D931" s="23" t="n">
        <v>1.6</v>
      </c>
      <c r="E931" s="24" t="n">
        <v>679</v>
      </c>
      <c r="F931" s="24">
        <f>D931*E931</f>
        <v/>
      </c>
      <c r="G931" s="22" t="n"/>
    </row>
    <row r="932">
      <c r="A932" s="22" t="inlineStr">
        <is>
          <t>0115</t>
        </is>
      </c>
      <c r="B932" s="11" t="inlineStr">
        <is>
          <t>Coolie</t>
        </is>
      </c>
      <c r="C932" s="22" t="inlineStr">
        <is>
          <t>day</t>
        </is>
      </c>
      <c r="D932" s="23" t="n">
        <v>2</v>
      </c>
      <c r="E932" s="24" t="n">
        <v>558</v>
      </c>
      <c r="F932" s="24">
        <f>D932*E932</f>
        <v/>
      </c>
      <c r="G932" s="22" t="n"/>
    </row>
    <row r="933">
      <c r="A933" s="22" t="inlineStr">
        <is>
          <t>0139</t>
        </is>
      </c>
      <c r="B933" s="11" t="inlineStr">
        <is>
          <t>Skilled Beldar (for floor rubbing etc.)</t>
        </is>
      </c>
      <c r="C933" s="22" t="inlineStr">
        <is>
          <t>day</t>
        </is>
      </c>
      <c r="D933" s="23" t="n">
        <v>1</v>
      </c>
      <c r="E933" s="24" t="n">
        <v>617</v>
      </c>
      <c r="F933" s="24">
        <f>D933*E933</f>
        <v/>
      </c>
      <c r="G933" s="22" t="n"/>
    </row>
    <row r="934">
      <c r="A934" s="22" t="inlineStr">
        <is>
          <t>0101</t>
        </is>
      </c>
      <c r="B934" s="11" t="inlineStr">
        <is>
          <t>Bhisti</t>
        </is>
      </c>
      <c r="C934" s="22" t="inlineStr">
        <is>
          <t>day</t>
        </is>
      </c>
      <c r="D934" s="23" t="n">
        <v>1</v>
      </c>
      <c r="E934" s="24" t="n">
        <v>617</v>
      </c>
      <c r="F934" s="24">
        <f>D934*E934</f>
        <v/>
      </c>
      <c r="G934" s="22" t="n"/>
    </row>
    <row r="935">
      <c r="A935" s="22" t="inlineStr">
        <is>
          <t>0013</t>
        </is>
      </c>
      <c r="B935" s="11" t="inlineStr">
        <is>
          <t>Machine for rubbing of floors</t>
        </is>
      </c>
      <c r="C935" s="22" t="inlineStr">
        <is>
          <t>day</t>
        </is>
      </c>
      <c r="D935" s="23" t="n">
        <v>1.6</v>
      </c>
      <c r="E935" s="24" t="n">
        <v>300</v>
      </c>
      <c r="F935" s="24">
        <f>D935*E935</f>
        <v/>
      </c>
      <c r="G935" s="22" t="n"/>
    </row>
    <row r="936">
      <c r="A936" s="22" t="inlineStr">
        <is>
          <t>9999</t>
        </is>
      </c>
      <c r="B936" s="11" t="inlineStr">
        <is>
          <t>Sundries including carborandum stone etc.</t>
        </is>
      </c>
      <c r="C936" s="22" t="inlineStr">
        <is>
          <t>L.S.</t>
        </is>
      </c>
      <c r="D936" s="23" t="n">
        <v>161.98</v>
      </c>
      <c r="E936" s="24" t="n">
        <v>2</v>
      </c>
      <c r="F936" s="24">
        <f>D936*E936</f>
        <v/>
      </c>
      <c r="G936" s="22" t="n"/>
    </row>
    <row r="937">
      <c r="A937" s="8" t="inlineStr">
        <is>
          <t>Calculated W - SUM of the Amount column above</t>
        </is>
      </c>
      <c r="B937" s="9" t="n"/>
      <c r="C937" s="9" t="n"/>
      <c r="D937" s="9" t="n"/>
      <c r="E937" s="9" t="n"/>
      <c r="F937" s="25">
        <f>SUM(F925:F936)</f>
        <v/>
      </c>
      <c r="G937" s="9" t="n"/>
    </row>
    <row r="938">
      <c r="A938" s="26" t="inlineStr">
        <is>
          <t>W as printed in the DAR</t>
        </is>
      </c>
      <c r="B938" s="22" t="n"/>
      <c r="C938" s="22" t="n"/>
      <c r="D938" s="22" t="n"/>
      <c r="E938" s="22" t="n"/>
      <c r="F938" s="27" t="n">
        <v>8737.98</v>
      </c>
      <c r="G938" s="22" t="n"/>
    </row>
    <row r="939">
      <c r="A939" s="26" t="inlineStr">
        <is>
          <t>Difference (calculated - printed)</t>
        </is>
      </c>
      <c r="B939" s="22" t="n"/>
      <c r="C939" s="22" t="n"/>
      <c r="D939" s="22" t="n"/>
      <c r="E939" s="22" t="n"/>
      <c r="F939" s="27">
        <f>F937-F938</f>
        <v/>
      </c>
      <c r="G939" s="22" t="n"/>
    </row>
    <row r="940">
      <c r="A940" s="29" t="inlineStr">
        <is>
          <t>SAY (Rs.) - final DAR rate as printed (fixed value, not computed)</t>
        </is>
      </c>
      <c r="B940" s="30" t="n"/>
      <c r="C940" s="30" t="n"/>
      <c r="D940" s="30" t="n"/>
      <c r="E940" s="30" t="n"/>
      <c r="F940" s="31" t="n">
        <v>1169.1</v>
      </c>
      <c r="G940" s="30" t="n"/>
    </row>
    <row r="942" ht="47.5" customHeight="1">
      <c r="A942" s="8" t="inlineStr">
        <is>
          <t>11.19</t>
        </is>
      </c>
      <c r="B942" s="17"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is>
      </c>
      <c r="C942" s="9" t="n"/>
      <c r="D942" s="9" t="n"/>
      <c r="E942" s="9" t="n"/>
      <c r="F942" s="9" t="n"/>
      <c r="G942" s="9" t="n"/>
    </row>
    <row r="943" ht="18.5" customHeight="1">
      <c r="A943" s="18" t="inlineStr">
        <is>
          <t>11.19.4</t>
        </is>
      </c>
      <c r="B943" s="19" t="inlineStr">
        <is>
          <t>Ordinary cement without any pigment</t>
        </is>
      </c>
      <c r="C943" s="20" t="n"/>
      <c r="D943" s="20" t="n"/>
      <c r="E943" s="20" t="n"/>
      <c r="F943" s="20" t="n"/>
      <c r="G943" s="20" t="n"/>
    </row>
    <row r="944">
      <c r="A944" s="21" t="inlineStr">
        <is>
          <t>Details of cost for 10 sqm   |   Source: CivilDAR_2019_Vol_1.pdf, page 758</t>
        </is>
      </c>
    </row>
    <row r="945">
      <c r="A945" s="5" t="inlineStr">
        <is>
          <t>Code</t>
        </is>
      </c>
      <c r="B945" s="5" t="inlineStr">
        <is>
          <t>Description</t>
        </is>
      </c>
      <c r="C945" s="5" t="inlineStr">
        <is>
          <t>Unit</t>
        </is>
      </c>
      <c r="D945" s="5" t="inlineStr">
        <is>
          <t>Quantity</t>
        </is>
      </c>
      <c r="E945" s="5" t="inlineStr">
        <is>
          <t>Rate (Rs.)</t>
        </is>
      </c>
      <c r="F945" s="5" t="inlineStr">
        <is>
          <t>Amount (Rs.)</t>
        </is>
      </c>
      <c r="G945" s="5" t="inlineStr">
        <is>
          <t>Note</t>
        </is>
      </c>
    </row>
    <row r="946">
      <c r="A946" s="22" t="inlineStr">
        <is>
          <t>1229</t>
        </is>
      </c>
      <c r="B946" s="11" t="inlineStr">
        <is>
          <t>Chequered terrazo tiles 22 mm thick (dark shade) including 10% wastage</t>
        </is>
      </c>
      <c r="C946" s="22" t="inlineStr">
        <is>
          <t>sqm</t>
        </is>
      </c>
      <c r="D946" s="23" t="n">
        <v>11</v>
      </c>
      <c r="E946" s="24" t="n">
        <v>260</v>
      </c>
      <c r="F946" s="24">
        <f>D946*E946</f>
        <v/>
      </c>
      <c r="G946" s="22" t="n"/>
    </row>
    <row r="947">
      <c r="A947" s="22" t="inlineStr">
        <is>
          <t>9977</t>
        </is>
      </c>
      <c r="B947" s="11" t="inlineStr">
        <is>
          <t>Carriage of tiles</t>
        </is>
      </c>
      <c r="C947" s="22" t="inlineStr">
        <is>
          <t>L.S.</t>
        </is>
      </c>
      <c r="D947" s="23" t="n">
        <v>40.43</v>
      </c>
      <c r="E947" s="24" t="n">
        <v>2</v>
      </c>
      <c r="F947" s="24">
        <f>D947*E947</f>
        <v/>
      </c>
      <c r="G947" s="22" t="n"/>
    </row>
    <row r="948">
      <c r="A948" s="7" t="inlineStr">
        <is>
          <t>3.9</t>
        </is>
      </c>
      <c r="B948" s="11" t="inlineStr">
        <is>
          <t>Rate as per item 3.9 - Cement mortar 1:4 (1 cement : 4 coarse sand)</t>
        </is>
      </c>
      <c r="C948" s="22" t="inlineStr">
        <is>
          <t>cum</t>
        </is>
      </c>
      <c r="D948" s="23" t="n">
        <v>0.224</v>
      </c>
      <c r="E948" s="24" t="n">
        <v>4010.35</v>
      </c>
      <c r="F948" s="24">
        <f>D948*E948</f>
        <v/>
      </c>
      <c r="G948" s="22" t="n"/>
    </row>
    <row r="949">
      <c r="A949" s="22" t="inlineStr">
        <is>
          <t>0367</t>
        </is>
      </c>
      <c r="B949" s="11" t="inlineStr">
        <is>
          <t>Portland Cement</t>
        </is>
      </c>
      <c r="C949" s="22" t="inlineStr">
        <is>
          <t>tonne</t>
        </is>
      </c>
      <c r="D949" s="23" t="n">
        <v>0.08799999999999999</v>
      </c>
      <c r="E949" s="24" t="n">
        <v>4940</v>
      </c>
      <c r="F949" s="24">
        <f>D949*E949</f>
        <v/>
      </c>
      <c r="G949" s="22" t="n"/>
    </row>
    <row r="950">
      <c r="A950" s="22" t="inlineStr">
        <is>
          <t>2209</t>
        </is>
      </c>
      <c r="B950" s="11" t="inlineStr">
        <is>
          <t>Carriage of Cement</t>
        </is>
      </c>
      <c r="C950" s="22" t="inlineStr">
        <is>
          <t>tonne</t>
        </is>
      </c>
      <c r="D950" s="23" t="n">
        <v>0.08799999999999999</v>
      </c>
      <c r="E950" s="24" t="n">
        <v>92.23999999999999</v>
      </c>
      <c r="F950" s="24">
        <f>D950*E950</f>
        <v/>
      </c>
      <c r="G950" s="22" t="n"/>
    </row>
    <row r="951">
      <c r="A951" s="22" t="inlineStr">
        <is>
          <t>0874</t>
        </is>
      </c>
      <c r="B951" s="11" t="inlineStr">
        <is>
          <t>Black colour dark shade pigment</t>
        </is>
      </c>
      <c r="C951" s="22" t="inlineStr">
        <is>
          <t>kilogram</t>
        </is>
      </c>
      <c r="D951" s="23" t="n">
        <v>3.08</v>
      </c>
      <c r="E951" s="24" t="n">
        <v>70</v>
      </c>
      <c r="F951" s="24">
        <f>D951*E951</f>
        <v/>
      </c>
      <c r="G951" s="22" t="n"/>
    </row>
    <row r="952">
      <c r="A952" s="22" t="inlineStr">
        <is>
          <t>0124</t>
        </is>
      </c>
      <c r="B952" s="11" t="inlineStr">
        <is>
          <t>Mason (brick layer) 2nd class</t>
        </is>
      </c>
      <c r="C952" s="22" t="inlineStr">
        <is>
          <t>day</t>
        </is>
      </c>
      <c r="D952" s="23" t="n">
        <v>1.6</v>
      </c>
      <c r="E952" s="24" t="n">
        <v>679</v>
      </c>
      <c r="F952" s="24">
        <f>D952*E952</f>
        <v/>
      </c>
      <c r="G952" s="22" t="n"/>
    </row>
    <row r="953">
      <c r="A953" s="22" t="inlineStr">
        <is>
          <t>0115</t>
        </is>
      </c>
      <c r="B953" s="11" t="inlineStr">
        <is>
          <t>Coolie</t>
        </is>
      </c>
      <c r="C953" s="22" t="inlineStr">
        <is>
          <t>day</t>
        </is>
      </c>
      <c r="D953" s="23" t="n">
        <v>2</v>
      </c>
      <c r="E953" s="24" t="n">
        <v>558</v>
      </c>
      <c r="F953" s="24">
        <f>D953*E953</f>
        <v/>
      </c>
      <c r="G953" s="22" t="n"/>
    </row>
    <row r="954">
      <c r="A954" s="22" t="inlineStr">
        <is>
          <t>0139</t>
        </is>
      </c>
      <c r="B954" s="11" t="inlineStr">
        <is>
          <t>Skilled Beldar (for floor rubbing etc.)</t>
        </is>
      </c>
      <c r="C954" s="22" t="inlineStr">
        <is>
          <t>day</t>
        </is>
      </c>
      <c r="D954" s="23" t="n">
        <v>1</v>
      </c>
      <c r="E954" s="24" t="n">
        <v>617</v>
      </c>
      <c r="F954" s="24">
        <f>D954*E954</f>
        <v/>
      </c>
      <c r="G954" s="22" t="n"/>
    </row>
    <row r="955">
      <c r="A955" s="22" t="inlineStr">
        <is>
          <t>0101</t>
        </is>
      </c>
      <c r="B955" s="11" t="inlineStr">
        <is>
          <t>Bhisti</t>
        </is>
      </c>
      <c r="C955" s="22" t="inlineStr">
        <is>
          <t>day</t>
        </is>
      </c>
      <c r="D955" s="23" t="n">
        <v>1</v>
      </c>
      <c r="E955" s="24" t="n">
        <v>617</v>
      </c>
      <c r="F955" s="24">
        <f>D955*E955</f>
        <v/>
      </c>
      <c r="G955" s="22" t="n"/>
    </row>
    <row r="956">
      <c r="A956" s="22" t="inlineStr">
        <is>
          <t>0013</t>
        </is>
      </c>
      <c r="B956" s="11" t="inlineStr">
        <is>
          <t>Machine for rubbing of floors</t>
        </is>
      </c>
      <c r="C956" s="22" t="inlineStr">
        <is>
          <t>day</t>
        </is>
      </c>
      <c r="D956" s="23" t="n">
        <v>1.6</v>
      </c>
      <c r="E956" s="24" t="n">
        <v>300</v>
      </c>
      <c r="F956" s="24">
        <f>D956*E956</f>
        <v/>
      </c>
      <c r="G956" s="22" t="n"/>
    </row>
    <row r="957">
      <c r="A957" s="22" t="inlineStr">
        <is>
          <t>9999</t>
        </is>
      </c>
      <c r="B957" s="11" t="inlineStr">
        <is>
          <t>Sundries including carborandum stone etc.</t>
        </is>
      </c>
      <c r="C957" s="22" t="inlineStr">
        <is>
          <t>L.S.</t>
        </is>
      </c>
      <c r="D957" s="23" t="n">
        <v>162.59</v>
      </c>
      <c r="E957" s="24" t="n">
        <v>2</v>
      </c>
      <c r="F957" s="24">
        <f>D957*E957</f>
        <v/>
      </c>
      <c r="G957" s="22" t="n"/>
    </row>
    <row r="958">
      <c r="A958" s="22" t="inlineStr">
        <is>
          <t>0874</t>
        </is>
      </c>
      <c r="B958" s="11" t="inlineStr">
        <is>
          <t>Black colour dark shade pigment</t>
        </is>
      </c>
      <c r="C958" s="22" t="inlineStr">
        <is>
          <t>kilogram</t>
        </is>
      </c>
      <c r="D958" s="23" t="n">
        <v>-5.92</v>
      </c>
      <c r="E958" s="24" t="n">
        <v>70</v>
      </c>
      <c r="F958" s="24">
        <f>D958*E958</f>
        <v/>
      </c>
      <c r="G958" s="22" t="n"/>
    </row>
    <row r="959">
      <c r="A959" s="8" t="inlineStr">
        <is>
          <t>Calculated W - SUM of the Amount column above</t>
        </is>
      </c>
      <c r="B959" s="9" t="n"/>
      <c r="C959" s="9" t="n"/>
      <c r="D959" s="9" t="n"/>
      <c r="E959" s="9" t="n"/>
      <c r="F959" s="25">
        <f>SUM(F946:F958)</f>
        <v/>
      </c>
      <c r="G959" s="9" t="n"/>
    </row>
    <row r="960">
      <c r="A960" s="26" t="inlineStr">
        <is>
          <t>W as printed in the DAR</t>
        </is>
      </c>
      <c r="B960" s="22" t="n"/>
      <c r="C960" s="22" t="n"/>
      <c r="D960" s="22" t="n"/>
      <c r="E960" s="22" t="n"/>
      <c r="F960" s="27" t="n">
        <v>8324.799999999999</v>
      </c>
      <c r="G960" s="22" t="n"/>
    </row>
    <row r="961">
      <c r="A961" s="26" t="inlineStr">
        <is>
          <t>Difference (calculated - printed)</t>
        </is>
      </c>
      <c r="B961" s="22" t="n"/>
      <c r="C961" s="22" t="n"/>
      <c r="D961" s="22" t="n"/>
      <c r="E961" s="22" t="n"/>
      <c r="F961" s="27">
        <f>F959-F960</f>
        <v/>
      </c>
      <c r="G961" s="22" t="n"/>
    </row>
    <row r="962">
      <c r="A962" s="29" t="inlineStr">
        <is>
          <t>SAY (Rs.) - final DAR rate as printed (fixed value, not computed)</t>
        </is>
      </c>
      <c r="B962" s="30" t="n"/>
      <c r="C962" s="30" t="n"/>
      <c r="D962" s="30" t="n"/>
      <c r="E962" s="30" t="n"/>
      <c r="F962" s="31" t="n">
        <v>1113.8</v>
      </c>
      <c r="G962" s="30" t="n"/>
    </row>
    <row r="964" ht="47.5" customHeight="1">
      <c r="A964" s="8" t="inlineStr">
        <is>
          <t>11.20</t>
        </is>
      </c>
      <c r="B964" s="17" t="inlineStr">
        <is>
          <t>Chequerred precast cement concrete tiles 22 mm thick in footpath &amp; courtyard, jointed with neat cement slurry mixed with pigment to match the shade of tiles, including rubbing and cleaning etc. complete, on 20 mm thick bed of cement mortar 1:4 (1 cement: 4 coarse sand).</t>
        </is>
      </c>
      <c r="C964" s="9" t="n"/>
      <c r="D964" s="9" t="n"/>
      <c r="E964" s="9" t="n"/>
      <c r="F964" s="9" t="n"/>
      <c r="G964" s="9" t="n"/>
    </row>
    <row r="965" ht="18.5" customHeight="1">
      <c r="A965" s="18" t="inlineStr">
        <is>
          <t>11.20.1</t>
        </is>
      </c>
      <c r="B965" s="19" t="inlineStr">
        <is>
          <t>Light shade pigment using white cement</t>
        </is>
      </c>
      <c r="C965" s="20" t="n"/>
      <c r="D965" s="20" t="n"/>
      <c r="E965" s="20" t="n"/>
      <c r="F965" s="20" t="n"/>
      <c r="G965" s="20" t="n"/>
    </row>
    <row r="966">
      <c r="A966" s="21" t="inlineStr">
        <is>
          <t>Details of cost for 10 sqm   |   Source: CivilDAR_2019_Vol_1.pdf, page 759</t>
        </is>
      </c>
    </row>
    <row r="967">
      <c r="A967" s="5" t="inlineStr">
        <is>
          <t>Code</t>
        </is>
      </c>
      <c r="B967" s="5" t="inlineStr">
        <is>
          <t>Description</t>
        </is>
      </c>
      <c r="C967" s="5" t="inlineStr">
        <is>
          <t>Unit</t>
        </is>
      </c>
      <c r="D967" s="5" t="inlineStr">
        <is>
          <t>Quantity</t>
        </is>
      </c>
      <c r="E967" s="5" t="inlineStr">
        <is>
          <t>Rate (Rs.)</t>
        </is>
      </c>
      <c r="F967" s="5" t="inlineStr">
        <is>
          <t>Amount (Rs.)</t>
        </is>
      </c>
      <c r="G967" s="5" t="inlineStr">
        <is>
          <t>Note</t>
        </is>
      </c>
    </row>
    <row r="968">
      <c r="A968" s="22" t="inlineStr">
        <is>
          <t>7070</t>
        </is>
      </c>
      <c r="B968" s="11" t="inlineStr">
        <is>
          <t>Chequered precast cement concrete tiles 22mm thick using marble chips of size 6mm - Light shade using white cement including 10% wastage</t>
        </is>
      </c>
      <c r="C968" s="22" t="inlineStr">
        <is>
          <t>sqm</t>
        </is>
      </c>
      <c r="D968" s="23" t="n">
        <v>11</v>
      </c>
      <c r="E968" s="24" t="n">
        <v>400</v>
      </c>
      <c r="F968" s="24">
        <f>D968*E968</f>
        <v/>
      </c>
      <c r="G968" s="22" t="n"/>
    </row>
    <row r="969">
      <c r="A969" s="22" t="inlineStr">
        <is>
          <t>9977</t>
        </is>
      </c>
      <c r="B969" s="11" t="inlineStr">
        <is>
          <t>Carriage of tiles</t>
        </is>
      </c>
      <c r="C969" s="22" t="inlineStr">
        <is>
          <t>L.S.</t>
        </is>
      </c>
      <c r="D969" s="23" t="n">
        <v>40.43</v>
      </c>
      <c r="E969" s="24" t="n">
        <v>2</v>
      </c>
      <c r="F969" s="24">
        <f>D969*E969</f>
        <v/>
      </c>
      <c r="G969" s="22" t="n"/>
    </row>
    <row r="970">
      <c r="A970" s="7" t="inlineStr">
        <is>
          <t>3.9</t>
        </is>
      </c>
      <c r="B970" s="11" t="inlineStr">
        <is>
          <t>Rate as per item 3.9 - Cement mortar 1:4 (1 cement : 4 coarse sand)</t>
        </is>
      </c>
      <c r="C970" s="22" t="inlineStr">
        <is>
          <t>cum</t>
        </is>
      </c>
      <c r="D970" s="23" t="n">
        <v>0.22</v>
      </c>
      <c r="E970" s="24" t="n">
        <v>4010.35</v>
      </c>
      <c r="F970" s="24">
        <f>D970*E970</f>
        <v/>
      </c>
      <c r="G970" s="22" t="n"/>
    </row>
    <row r="971">
      <c r="A971" s="22" t="inlineStr">
        <is>
          <t>0367</t>
        </is>
      </c>
      <c r="B971" s="11" t="inlineStr">
        <is>
          <t>Portland Cement</t>
        </is>
      </c>
      <c r="C971" s="22" t="inlineStr">
        <is>
          <t>tonne</t>
        </is>
      </c>
      <c r="D971" s="23" t="n">
        <v>0.044</v>
      </c>
      <c r="E971" s="24" t="n">
        <v>4940</v>
      </c>
      <c r="F971" s="24">
        <f>D971*E971</f>
        <v/>
      </c>
      <c r="G971" s="22" t="n"/>
    </row>
    <row r="972">
      <c r="A972" s="22" t="inlineStr">
        <is>
          <t>0368</t>
        </is>
      </c>
      <c r="B972" s="11" t="inlineStr">
        <is>
          <t>White Cement</t>
        </is>
      </c>
      <c r="C972" s="22" t="inlineStr">
        <is>
          <t>tonne</t>
        </is>
      </c>
      <c r="D972" s="23" t="n">
        <v>0.048</v>
      </c>
      <c r="E972" s="24" t="n">
        <v>11200</v>
      </c>
      <c r="F972" s="24">
        <f>D972*E972</f>
        <v/>
      </c>
      <c r="G972" s="22" t="n"/>
    </row>
    <row r="973">
      <c r="A973" s="22" t="inlineStr">
        <is>
          <t>2209</t>
        </is>
      </c>
      <c r="B973" s="11" t="inlineStr">
        <is>
          <t>Carriage of Cement</t>
        </is>
      </c>
      <c r="C973" s="22" t="inlineStr">
        <is>
          <t>tonne</t>
        </is>
      </c>
      <c r="D973" s="23" t="n">
        <v>0.092</v>
      </c>
      <c r="E973" s="24" t="n">
        <v>92.23999999999999</v>
      </c>
      <c r="F973" s="24">
        <f>D973*E973</f>
        <v/>
      </c>
      <c r="G973" s="22" t="n"/>
    </row>
    <row r="974">
      <c r="A974" s="22" t="inlineStr">
        <is>
          <t>0875</t>
        </is>
      </c>
      <c r="B974" s="11" t="inlineStr">
        <is>
          <t>Red, chocolate, orange, buff or yellow (red oxide of iron) light shade pigment</t>
        </is>
      </c>
      <c r="C974" s="22" t="inlineStr">
        <is>
          <t>kilogram</t>
        </is>
      </c>
      <c r="D974" s="23" t="n">
        <v>3.08</v>
      </c>
      <c r="E974" s="24" t="n">
        <v>60</v>
      </c>
      <c r="F974" s="24">
        <f>D974*E974</f>
        <v/>
      </c>
      <c r="G974" s="22" t="n"/>
    </row>
    <row r="975">
      <c r="A975" s="22" t="inlineStr">
        <is>
          <t>0124</t>
        </is>
      </c>
      <c r="B975" s="11" t="inlineStr">
        <is>
          <t>Mason (brick layer) 2nd class</t>
        </is>
      </c>
      <c r="C975" s="22" t="inlineStr">
        <is>
          <t>day</t>
        </is>
      </c>
      <c r="D975" s="23" t="n">
        <v>1.6</v>
      </c>
      <c r="E975" s="24" t="n">
        <v>679</v>
      </c>
      <c r="F975" s="24">
        <f>D975*E975</f>
        <v/>
      </c>
      <c r="G975" s="22" t="n"/>
    </row>
    <row r="976">
      <c r="A976" s="22" t="inlineStr">
        <is>
          <t>0115</t>
        </is>
      </c>
      <c r="B976" s="11" t="inlineStr">
        <is>
          <t>Coolie</t>
        </is>
      </c>
      <c r="C976" s="22" t="inlineStr">
        <is>
          <t>day</t>
        </is>
      </c>
      <c r="D976" s="23" t="n">
        <v>2</v>
      </c>
      <c r="E976" s="24" t="n">
        <v>558</v>
      </c>
      <c r="F976" s="24">
        <f>D976*E976</f>
        <v/>
      </c>
      <c r="G976" s="22" t="n"/>
    </row>
    <row r="977">
      <c r="A977" s="22" t="inlineStr">
        <is>
          <t>0101</t>
        </is>
      </c>
      <c r="B977" s="11" t="inlineStr">
        <is>
          <t>Bhisti</t>
        </is>
      </c>
      <c r="C977" s="22" t="inlineStr">
        <is>
          <t>day</t>
        </is>
      </c>
      <c r="D977" s="23" t="n">
        <v>1</v>
      </c>
      <c r="E977" s="24" t="n">
        <v>617</v>
      </c>
      <c r="F977" s="24">
        <f>D977*E977</f>
        <v/>
      </c>
      <c r="G977" s="22" t="n"/>
    </row>
    <row r="978">
      <c r="A978" s="8" t="inlineStr">
        <is>
          <t>Calculated W - SUM of the Amount column above</t>
        </is>
      </c>
      <c r="B978" s="9" t="n"/>
      <c r="C978" s="9" t="n"/>
      <c r="D978" s="9" t="n"/>
      <c r="E978" s="9" t="n"/>
      <c r="F978" s="25">
        <f>SUM(F968:F977)</f>
        <v/>
      </c>
      <c r="G978" s="9" t="n"/>
    </row>
    <row r="979">
      <c r="A979" s="26" t="inlineStr">
        <is>
          <t>W as printed in the DAR</t>
        </is>
      </c>
      <c r="B979" s="22" t="n"/>
      <c r="C979" s="22" t="n"/>
      <c r="D979" s="22" t="n"/>
      <c r="E979" s="22" t="n"/>
      <c r="F979" s="27" t="n">
        <v>9130.780000000001</v>
      </c>
      <c r="G979" s="22" t="n"/>
    </row>
    <row r="980">
      <c r="A980" s="26" t="inlineStr">
        <is>
          <t>Difference (calculated - printed)</t>
        </is>
      </c>
      <c r="B980" s="22" t="n"/>
      <c r="C980" s="22" t="n"/>
      <c r="D980" s="22" t="n"/>
      <c r="E980" s="22" t="n"/>
      <c r="F980" s="27">
        <f>F978-F979</f>
        <v/>
      </c>
      <c r="G980" s="22" t="n"/>
    </row>
    <row r="981">
      <c r="A981" s="29" t="inlineStr">
        <is>
          <t>SAY (Rs.) - final DAR rate as printed (fixed value, not computed)</t>
        </is>
      </c>
      <c r="B981" s="30" t="n"/>
      <c r="C981" s="30" t="n"/>
      <c r="D981" s="30" t="n"/>
      <c r="E981" s="30" t="n"/>
      <c r="F981" s="31" t="n">
        <v>1221.65</v>
      </c>
      <c r="G981" s="30" t="n"/>
    </row>
    <row r="983" ht="47.5" customHeight="1">
      <c r="A983" s="8" t="inlineStr">
        <is>
          <t>11.20</t>
        </is>
      </c>
      <c r="B983" s="17" t="inlineStr">
        <is>
          <t>Chequerred precast cement concrete tiles 22 mm thick in footpath &amp; courtyard, jointed with neat cement slurry mixed with pigment to match the shade of tiles, including rubbing and cleaning etc. complete, on 20 mm thick bed of cement mortar 1:4 (1 cement: 4 coarse sand).</t>
        </is>
      </c>
      <c r="C983" s="9" t="n"/>
      <c r="D983" s="9" t="n"/>
      <c r="E983" s="9" t="n"/>
      <c r="F983" s="9" t="n"/>
      <c r="G983" s="9" t="n"/>
    </row>
    <row r="984" ht="18.5" customHeight="1">
      <c r="A984" s="18" t="inlineStr">
        <is>
          <t>11.20.2</t>
        </is>
      </c>
      <c r="B984" s="19" t="inlineStr">
        <is>
          <t>Medium shade pigment using 50% white cement 50% Grey cement</t>
        </is>
      </c>
      <c r="C984" s="20" t="n"/>
      <c r="D984" s="20" t="n"/>
      <c r="E984" s="20" t="n"/>
      <c r="F984" s="20" t="n"/>
      <c r="G984" s="20" t="n"/>
    </row>
    <row r="985">
      <c r="A985" s="21" t="inlineStr">
        <is>
          <t>Details of cost for 10 sqm   |   Source: CivilDAR_2019_Vol_1.pdf, page 759</t>
        </is>
      </c>
    </row>
    <row r="986">
      <c r="A986" s="5" t="inlineStr">
        <is>
          <t>Code</t>
        </is>
      </c>
      <c r="B986" s="5" t="inlineStr">
        <is>
          <t>Description</t>
        </is>
      </c>
      <c r="C986" s="5" t="inlineStr">
        <is>
          <t>Unit</t>
        </is>
      </c>
      <c r="D986" s="5" t="inlineStr">
        <is>
          <t>Quantity</t>
        </is>
      </c>
      <c r="E986" s="5" t="inlineStr">
        <is>
          <t>Rate (Rs.)</t>
        </is>
      </c>
      <c r="F986" s="5" t="inlineStr">
        <is>
          <t>Amount (Rs.)</t>
        </is>
      </c>
      <c r="G986" s="5" t="inlineStr">
        <is>
          <t>Note</t>
        </is>
      </c>
    </row>
    <row r="987">
      <c r="A987" s="22" t="inlineStr">
        <is>
          <t>7237</t>
        </is>
      </c>
      <c r="B987" s="11" t="inlineStr">
        <is>
          <t>Precast chequered cement tiles 22 mm thick medium shade using 50% white cement, 50% ordinary cement including 10% wastage</t>
        </is>
      </c>
      <c r="C987" s="22" t="inlineStr">
        <is>
          <t>sqm</t>
        </is>
      </c>
      <c r="D987" s="23" t="n">
        <v>11</v>
      </c>
      <c r="E987" s="24" t="n">
        <v>335</v>
      </c>
      <c r="F987" s="24">
        <f>D987*E987</f>
        <v/>
      </c>
      <c r="G987" s="22" t="n"/>
    </row>
    <row r="988">
      <c r="A988" s="22" t="inlineStr">
        <is>
          <t>9977</t>
        </is>
      </c>
      <c r="B988" s="11" t="inlineStr">
        <is>
          <t>Carriage of tiles</t>
        </is>
      </c>
      <c r="C988" s="22" t="inlineStr">
        <is>
          <t>L.S.</t>
        </is>
      </c>
      <c r="D988" s="23" t="n">
        <v>40.43</v>
      </c>
      <c r="E988" s="24" t="n">
        <v>2</v>
      </c>
      <c r="F988" s="24">
        <f>D988*E988</f>
        <v/>
      </c>
      <c r="G988" s="22" t="n"/>
    </row>
    <row r="989">
      <c r="A989" s="7" t="inlineStr">
        <is>
          <t>3.9</t>
        </is>
      </c>
      <c r="B989" s="11" t="inlineStr">
        <is>
          <t>Rate as per item 3.9 - Cement mortar 1:4 (1 cement : 4 coarse sand)</t>
        </is>
      </c>
      <c r="C989" s="22" t="inlineStr">
        <is>
          <t>cum</t>
        </is>
      </c>
      <c r="D989" s="23" t="n">
        <v>0.22</v>
      </c>
      <c r="E989" s="24" t="n">
        <v>4010.35</v>
      </c>
      <c r="F989" s="24">
        <f>D989*E989</f>
        <v/>
      </c>
      <c r="G989" s="22" t="n"/>
    </row>
    <row r="990">
      <c r="A990" s="22" t="inlineStr">
        <is>
          <t>0367</t>
        </is>
      </c>
      <c r="B990" s="11" t="inlineStr">
        <is>
          <t>Portland Cement</t>
        </is>
      </c>
      <c r="C990" s="22" t="inlineStr">
        <is>
          <t>tonne</t>
        </is>
      </c>
      <c r="D990" s="23" t="n">
        <v>0.068</v>
      </c>
      <c r="E990" s="24" t="n">
        <v>4940</v>
      </c>
      <c r="F990" s="24">
        <f>D990*E990</f>
        <v/>
      </c>
      <c r="G990" s="22" t="n"/>
    </row>
    <row r="991">
      <c r="A991" s="22" t="inlineStr">
        <is>
          <t>0368</t>
        </is>
      </c>
      <c r="B991" s="11" t="inlineStr">
        <is>
          <t>White Cement</t>
        </is>
      </c>
      <c r="C991" s="22" t="inlineStr">
        <is>
          <t>tonne</t>
        </is>
      </c>
      <c r="D991" s="23" t="n">
        <v>0.024</v>
      </c>
      <c r="E991" s="24" t="n">
        <v>11200</v>
      </c>
      <c r="F991" s="24">
        <f>D991*E991</f>
        <v/>
      </c>
      <c r="G991" s="22" t="n"/>
    </row>
    <row r="992">
      <c r="A992" s="22" t="inlineStr">
        <is>
          <t>2209</t>
        </is>
      </c>
      <c r="B992" s="11" t="inlineStr">
        <is>
          <t>Carriage of Cement</t>
        </is>
      </c>
      <c r="C992" s="22" t="inlineStr">
        <is>
          <t>tonne</t>
        </is>
      </c>
      <c r="D992" s="23" t="n">
        <v>0.092</v>
      </c>
      <c r="E992" s="24" t="n">
        <v>92.23999999999999</v>
      </c>
      <c r="F992" s="24">
        <f>D992*E992</f>
        <v/>
      </c>
      <c r="G992" s="22" t="n"/>
    </row>
    <row r="993">
      <c r="A993" s="22" t="inlineStr">
        <is>
          <t>0876</t>
        </is>
      </c>
      <c r="B993" s="11" t="inlineStr">
        <is>
          <t>Green or blue medium shade pigment</t>
        </is>
      </c>
      <c r="C993" s="22" t="inlineStr">
        <is>
          <t>kilogram</t>
        </is>
      </c>
      <c r="D993" s="23" t="n">
        <v>3.08</v>
      </c>
      <c r="E993" s="24" t="n">
        <v>56</v>
      </c>
      <c r="F993" s="24">
        <f>D993*E993</f>
        <v/>
      </c>
      <c r="G993" s="22" t="n"/>
    </row>
    <row r="994">
      <c r="A994" s="22" t="inlineStr">
        <is>
          <t>0124</t>
        </is>
      </c>
      <c r="B994" s="11" t="inlineStr">
        <is>
          <t>Mason (brick layer) 2nd class</t>
        </is>
      </c>
      <c r="C994" s="22" t="inlineStr">
        <is>
          <t>day</t>
        </is>
      </c>
      <c r="D994" s="23" t="n">
        <v>1.6</v>
      </c>
      <c r="E994" s="24" t="n">
        <v>679</v>
      </c>
      <c r="F994" s="24">
        <f>D994*E994</f>
        <v/>
      </c>
      <c r="G994" s="22" t="n"/>
    </row>
    <row r="995">
      <c r="A995" s="22" t="inlineStr">
        <is>
          <t>0115</t>
        </is>
      </c>
      <c r="B995" s="11" t="inlineStr">
        <is>
          <t>Coolie</t>
        </is>
      </c>
      <c r="C995" s="22" t="inlineStr">
        <is>
          <t>day</t>
        </is>
      </c>
      <c r="D995" s="23" t="n">
        <v>2</v>
      </c>
      <c r="E995" s="24" t="n">
        <v>558</v>
      </c>
      <c r="F995" s="24">
        <f>D995*E995</f>
        <v/>
      </c>
      <c r="G995" s="22" t="n"/>
    </row>
    <row r="996">
      <c r="A996" s="22" t="inlineStr">
        <is>
          <t>0101</t>
        </is>
      </c>
      <c r="B996" s="11" t="inlineStr">
        <is>
          <t>Bhisti</t>
        </is>
      </c>
      <c r="C996" s="22" t="inlineStr">
        <is>
          <t>day</t>
        </is>
      </c>
      <c r="D996" s="23" t="n">
        <v>1</v>
      </c>
      <c r="E996" s="24" t="n">
        <v>617</v>
      </c>
      <c r="F996" s="24">
        <f>D996*E996</f>
        <v/>
      </c>
      <c r="G996" s="22" t="n"/>
    </row>
    <row r="997">
      <c r="A997" s="8" t="inlineStr">
        <is>
          <t>Calculated W - SUM of the Amount column above</t>
        </is>
      </c>
      <c r="B997" s="9" t="n"/>
      <c r="C997" s="9" t="n"/>
      <c r="D997" s="9" t="n"/>
      <c r="E997" s="9" t="n"/>
      <c r="F997" s="25">
        <f>SUM(F987:F996)</f>
        <v/>
      </c>
      <c r="G997" s="9" t="n"/>
    </row>
    <row r="998">
      <c r="A998" s="26" t="inlineStr">
        <is>
          <t>W as printed in the DAR</t>
        </is>
      </c>
      <c r="B998" s="22" t="n"/>
      <c r="C998" s="22" t="n"/>
      <c r="D998" s="22" t="n"/>
      <c r="E998" s="22" t="n"/>
      <c r="F998" s="27" t="n">
        <v>8253.219999999999</v>
      </c>
      <c r="G998" s="22" t="n"/>
    </row>
    <row r="999">
      <c r="A999" s="26" t="inlineStr">
        <is>
          <t>Difference (calculated - printed)</t>
        </is>
      </c>
      <c r="B999" s="22" t="n"/>
      <c r="C999" s="22" t="n"/>
      <c r="D999" s="22" t="n"/>
      <c r="E999" s="22" t="n"/>
      <c r="F999" s="27">
        <f>F997-F998</f>
        <v/>
      </c>
      <c r="G999" s="22" t="n"/>
    </row>
    <row r="1000">
      <c r="A1000" s="29" t="inlineStr">
        <is>
          <t>SAY (Rs.) - final DAR rate as printed (fixed value, not computed)</t>
        </is>
      </c>
      <c r="B1000" s="30" t="n"/>
      <c r="C1000" s="30" t="n"/>
      <c r="D1000" s="30" t="n"/>
      <c r="E1000" s="30" t="n"/>
      <c r="F1000" s="31" t="n">
        <v>1104.25</v>
      </c>
      <c r="G1000" s="30" t="n"/>
    </row>
    <row r="1002" ht="47.5" customHeight="1">
      <c r="A1002" s="8" t="inlineStr">
        <is>
          <t>11.20</t>
        </is>
      </c>
      <c r="B1002" s="17" t="inlineStr">
        <is>
          <t>Chequerred precast cement concrete tiles 22 mm thick in footpath &amp; courtyard, jointed with neat cement slurry mixed with pigment to match the shade of tiles, including rubbing and cleaning etc. complete, on 20 mm thick bed of cement mortar 1:4 (1 cement: 4 coarse sand).</t>
        </is>
      </c>
      <c r="C1002" s="9" t="n"/>
      <c r="D1002" s="9" t="n"/>
      <c r="E1002" s="9" t="n"/>
      <c r="F1002" s="9" t="n"/>
      <c r="G1002" s="9" t="n"/>
    </row>
    <row r="1003" ht="18.5" customHeight="1">
      <c r="A1003" s="18" t="inlineStr">
        <is>
          <t>11.20.3</t>
        </is>
      </c>
      <c r="B1003" s="19" t="inlineStr">
        <is>
          <t>Dark shade pigment using ordinary cement</t>
        </is>
      </c>
      <c r="C1003" s="20" t="n"/>
      <c r="D1003" s="20" t="n"/>
      <c r="E1003" s="20" t="n"/>
      <c r="F1003" s="20" t="n"/>
      <c r="G1003" s="20" t="n"/>
    </row>
    <row r="1004">
      <c r="A1004" s="21" t="inlineStr">
        <is>
          <t>Details of cost for 10 sqm   |   Source: CivilDAR_2019_Vol_1.pdf, page 760</t>
        </is>
      </c>
    </row>
    <row r="1005">
      <c r="A1005" s="5" t="inlineStr">
        <is>
          <t>Code</t>
        </is>
      </c>
      <c r="B1005" s="5" t="inlineStr">
        <is>
          <t>Description</t>
        </is>
      </c>
      <c r="C1005" s="5" t="inlineStr">
        <is>
          <t>Unit</t>
        </is>
      </c>
      <c r="D1005" s="5" t="inlineStr">
        <is>
          <t>Quantity</t>
        </is>
      </c>
      <c r="E1005" s="5" t="inlineStr">
        <is>
          <t>Rate (Rs.)</t>
        </is>
      </c>
      <c r="F1005" s="5" t="inlineStr">
        <is>
          <t>Amount (Rs.)</t>
        </is>
      </c>
      <c r="G1005" s="5" t="inlineStr">
        <is>
          <t>Note</t>
        </is>
      </c>
    </row>
    <row r="1006">
      <c r="A1006" s="22" t="inlineStr">
        <is>
          <t>7236</t>
        </is>
      </c>
      <c r="B1006" s="11" t="inlineStr">
        <is>
          <t>Precast chequered cement tiles 22 mm thick Dark shade using ordinary cement including 10% wastage</t>
        </is>
      </c>
      <c r="C1006" s="22" t="inlineStr">
        <is>
          <t>sqm</t>
        </is>
      </c>
      <c r="D1006" s="23" t="n">
        <v>11</v>
      </c>
      <c r="E1006" s="24" t="n">
        <v>225</v>
      </c>
      <c r="F1006" s="24">
        <f>D1006*E1006</f>
        <v/>
      </c>
      <c r="G1006" s="22" t="n"/>
    </row>
    <row r="1007">
      <c r="A1007" s="22" t="inlineStr">
        <is>
          <t>9977</t>
        </is>
      </c>
      <c r="B1007" s="11" t="inlineStr">
        <is>
          <t>Carriage of tiles</t>
        </is>
      </c>
      <c r="C1007" s="22" t="inlineStr">
        <is>
          <t>L.S.</t>
        </is>
      </c>
      <c r="D1007" s="23" t="n">
        <v>40.43</v>
      </c>
      <c r="E1007" s="24" t="n">
        <v>2</v>
      </c>
      <c r="F1007" s="24">
        <f>D1007*E1007</f>
        <v/>
      </c>
      <c r="G1007" s="22" t="n"/>
    </row>
    <row r="1008">
      <c r="A1008" s="7" t="inlineStr">
        <is>
          <t>3.9</t>
        </is>
      </c>
      <c r="B1008" s="11" t="inlineStr">
        <is>
          <t>Rate as per item 3.9 - Cement mortar 1:4 (1 cement : 4 coarse sand)</t>
        </is>
      </c>
      <c r="C1008" s="22" t="inlineStr">
        <is>
          <t>cum</t>
        </is>
      </c>
      <c r="D1008" s="23" t="n">
        <v>0.22</v>
      </c>
      <c r="E1008" s="24" t="n">
        <v>4010.35</v>
      </c>
      <c r="F1008" s="24">
        <f>D1008*E1008</f>
        <v/>
      </c>
      <c r="G1008" s="22" t="n"/>
    </row>
    <row r="1009">
      <c r="A1009" s="22" t="inlineStr">
        <is>
          <t>0367</t>
        </is>
      </c>
      <c r="B1009" s="11" t="inlineStr">
        <is>
          <t>Portland Cement</t>
        </is>
      </c>
      <c r="C1009" s="22" t="inlineStr">
        <is>
          <t>tonne</t>
        </is>
      </c>
      <c r="D1009" s="23" t="n">
        <v>0.092</v>
      </c>
      <c r="E1009" s="24" t="n">
        <v>4940</v>
      </c>
      <c r="F1009" s="24">
        <f>D1009*E1009</f>
        <v/>
      </c>
      <c r="G1009" s="22" t="n"/>
    </row>
    <row r="1010">
      <c r="A1010" s="22" t="inlineStr">
        <is>
          <t>2209</t>
        </is>
      </c>
      <c r="B1010" s="11" t="inlineStr">
        <is>
          <t>Carriage of Cement</t>
        </is>
      </c>
      <c r="C1010" s="22" t="inlineStr">
        <is>
          <t>tonne</t>
        </is>
      </c>
      <c r="D1010" s="23" t="n">
        <v>0.092</v>
      </c>
      <c r="E1010" s="24" t="n">
        <v>92.23999999999999</v>
      </c>
      <c r="F1010" s="24">
        <f>D1010*E1010</f>
        <v/>
      </c>
      <c r="G1010" s="22" t="n"/>
    </row>
    <row r="1011">
      <c r="A1011" s="22" t="inlineStr">
        <is>
          <t>0874</t>
        </is>
      </c>
      <c r="B1011" s="11" t="inlineStr">
        <is>
          <t>Black colour dark shade pigment</t>
        </is>
      </c>
      <c r="C1011" s="22" t="inlineStr">
        <is>
          <t>kilogram</t>
        </is>
      </c>
      <c r="D1011" s="23" t="n">
        <v>3.08</v>
      </c>
      <c r="E1011" s="24" t="n">
        <v>70</v>
      </c>
      <c r="F1011" s="24">
        <f>D1011*E1011</f>
        <v/>
      </c>
      <c r="G1011" s="22" t="n"/>
    </row>
    <row r="1012">
      <c r="A1012" s="22" t="inlineStr">
        <is>
          <t>0124</t>
        </is>
      </c>
      <c r="B1012" s="11" t="inlineStr">
        <is>
          <t>Mason (brick layer) 2nd class</t>
        </is>
      </c>
      <c r="C1012" s="22" t="inlineStr">
        <is>
          <t>day</t>
        </is>
      </c>
      <c r="D1012" s="23" t="n">
        <v>1.6</v>
      </c>
      <c r="E1012" s="24" t="n">
        <v>679</v>
      </c>
      <c r="F1012" s="24">
        <f>D1012*E1012</f>
        <v/>
      </c>
      <c r="G1012" s="22" t="n"/>
    </row>
    <row r="1013">
      <c r="A1013" s="22" t="inlineStr">
        <is>
          <t>0115</t>
        </is>
      </c>
      <c r="B1013" s="11" t="inlineStr">
        <is>
          <t>Coolie</t>
        </is>
      </c>
      <c r="C1013" s="22" t="inlineStr">
        <is>
          <t>day</t>
        </is>
      </c>
      <c r="D1013" s="23" t="n">
        <v>2</v>
      </c>
      <c r="E1013" s="24" t="n">
        <v>558</v>
      </c>
      <c r="F1013" s="24">
        <f>D1013*E1013</f>
        <v/>
      </c>
      <c r="G1013" s="22" t="n"/>
    </row>
    <row r="1014">
      <c r="A1014" s="22" t="inlineStr">
        <is>
          <t>0101</t>
        </is>
      </c>
      <c r="B1014" s="11" t="inlineStr">
        <is>
          <t>Bhisti</t>
        </is>
      </c>
      <c r="C1014" s="22" t="inlineStr">
        <is>
          <t>day</t>
        </is>
      </c>
      <c r="D1014" s="23" t="n">
        <v>1</v>
      </c>
      <c r="E1014" s="24" t="n">
        <v>617</v>
      </c>
      <c r="F1014" s="24">
        <f>D1014*E1014</f>
        <v/>
      </c>
      <c r="G1014" s="22" t="n"/>
    </row>
    <row r="1015">
      <c r="A1015" s="8" t="inlineStr">
        <is>
          <t>Calculated W - SUM of the Amount column above</t>
        </is>
      </c>
      <c r="B1015" s="9" t="n"/>
      <c r="C1015" s="9" t="n"/>
      <c r="D1015" s="9" t="n"/>
      <c r="E1015" s="9" t="n"/>
      <c r="F1015" s="25">
        <f>SUM(F1006:F1014)</f>
        <v/>
      </c>
      <c r="G1015" s="9" t="n"/>
    </row>
    <row r="1016">
      <c r="A1016" s="26" t="inlineStr">
        <is>
          <t>W as printed in the DAR</t>
        </is>
      </c>
      <c r="B1016" s="22" t="n"/>
      <c r="C1016" s="22" t="n"/>
      <c r="D1016" s="22" t="n"/>
      <c r="E1016" s="22" t="n"/>
      <c r="F1016" s="27" t="n">
        <v>6936.1</v>
      </c>
      <c r="G1016" s="22" t="n"/>
    </row>
    <row r="1017">
      <c r="A1017" s="26" t="inlineStr">
        <is>
          <t>Difference (calculated - printed)</t>
        </is>
      </c>
      <c r="B1017" s="22" t="n"/>
      <c r="C1017" s="22" t="n"/>
      <c r="D1017" s="22" t="n"/>
      <c r="E1017" s="22" t="n"/>
      <c r="F1017" s="27">
        <f>F1015-F1016</f>
        <v/>
      </c>
      <c r="G1017" s="22" t="n"/>
    </row>
    <row r="1018">
      <c r="A1018" s="29" t="inlineStr">
        <is>
          <t>SAY (Rs.) - final DAR rate as printed (fixed value, not computed)</t>
        </is>
      </c>
      <c r="B1018" s="30" t="n"/>
      <c r="C1018" s="30" t="n"/>
      <c r="D1018" s="30" t="n"/>
      <c r="E1018" s="30" t="n"/>
      <c r="F1018" s="31" t="n">
        <v>928</v>
      </c>
      <c r="G1018" s="30" t="n"/>
    </row>
    <row r="1020" ht="47.5" customHeight="1">
      <c r="A1020" s="8" t="inlineStr">
        <is>
          <t>11.20</t>
        </is>
      </c>
      <c r="B1020" s="17" t="inlineStr">
        <is>
          <t>Chequerred precast cement concrete tiles 22 mm thick in footpath &amp; courtyard, jointed with neat cement slurry mixed with pigment to match the shade of tiles, including rubbing and cleaning etc. complete, on 20 mm thick bed of cement mortar 1:4 (1 cement: 4 coarse sand).</t>
        </is>
      </c>
      <c r="C1020" s="9" t="n"/>
      <c r="D1020" s="9" t="n"/>
      <c r="E1020" s="9" t="n"/>
      <c r="F1020" s="9" t="n"/>
      <c r="G1020" s="9" t="n"/>
    </row>
    <row r="1021" ht="18.5" customHeight="1">
      <c r="A1021" s="18" t="inlineStr">
        <is>
          <t>11.20.4</t>
        </is>
      </c>
      <c r="B1021" s="19" t="inlineStr">
        <is>
          <t>Ordinary cement without any pigment</t>
        </is>
      </c>
      <c r="C1021" s="20" t="n"/>
      <c r="D1021" s="20" t="n"/>
      <c r="E1021" s="20" t="n"/>
      <c r="F1021" s="20" t="n"/>
      <c r="G1021" s="20" t="n"/>
    </row>
    <row r="1022">
      <c r="A1022" s="21" t="inlineStr">
        <is>
          <t>Details of cost for 10 sqm   |   Source: CivilDAR_2019_Vol_1.pdf, page 761</t>
        </is>
      </c>
    </row>
    <row r="1023">
      <c r="A1023" s="5" t="inlineStr">
        <is>
          <t>Code</t>
        </is>
      </c>
      <c r="B1023" s="5" t="inlineStr">
        <is>
          <t>Description</t>
        </is>
      </c>
      <c r="C1023" s="5" t="inlineStr">
        <is>
          <t>Unit</t>
        </is>
      </c>
      <c r="D1023" s="5" t="inlineStr">
        <is>
          <t>Quantity</t>
        </is>
      </c>
      <c r="E1023" s="5" t="inlineStr">
        <is>
          <t>Rate (Rs.)</t>
        </is>
      </c>
      <c r="F1023" s="5" t="inlineStr">
        <is>
          <t>Amount (Rs.)</t>
        </is>
      </c>
      <c r="G1023" s="5" t="inlineStr">
        <is>
          <t>Note</t>
        </is>
      </c>
    </row>
    <row r="1024">
      <c r="A1024" s="22" t="inlineStr">
        <is>
          <t>7236</t>
        </is>
      </c>
      <c r="B1024" s="11" t="inlineStr">
        <is>
          <t>Precast chequered cement tiles 22 mm thick Dark shade using ordinary cement including 10% wastage</t>
        </is>
      </c>
      <c r="C1024" s="22" t="inlineStr">
        <is>
          <t>sqm</t>
        </is>
      </c>
      <c r="D1024" s="23" t="n">
        <v>11</v>
      </c>
      <c r="E1024" s="24" t="n">
        <v>225</v>
      </c>
      <c r="F1024" s="24">
        <f>D1024*E1024</f>
        <v/>
      </c>
      <c r="G1024" s="22" t="n"/>
    </row>
    <row r="1025">
      <c r="A1025" s="22" t="inlineStr">
        <is>
          <t>9977</t>
        </is>
      </c>
      <c r="B1025" s="11" t="inlineStr">
        <is>
          <t>Carriage of tiles</t>
        </is>
      </c>
      <c r="C1025" s="22" t="inlineStr">
        <is>
          <t>L.S.</t>
        </is>
      </c>
      <c r="D1025" s="23" t="n">
        <v>40.43</v>
      </c>
      <c r="E1025" s="24" t="n">
        <v>2</v>
      </c>
      <c r="F1025" s="24">
        <f>D1025*E1025</f>
        <v/>
      </c>
      <c r="G1025" s="22" t="n"/>
    </row>
    <row r="1026">
      <c r="A1026" s="7" t="inlineStr">
        <is>
          <t>3.9</t>
        </is>
      </c>
      <c r="B1026" s="11" t="inlineStr">
        <is>
          <t>Rate as per item 3.9 - Cement mortar 1:4 (1 cement : 4 coarse sand)</t>
        </is>
      </c>
      <c r="C1026" s="22" t="inlineStr">
        <is>
          <t>cum</t>
        </is>
      </c>
      <c r="D1026" s="23" t="n">
        <v>0.22</v>
      </c>
      <c r="E1026" s="24" t="n">
        <v>4010.35</v>
      </c>
      <c r="F1026" s="24">
        <f>D1026*E1026</f>
        <v/>
      </c>
      <c r="G1026" s="22" t="n"/>
    </row>
    <row r="1027">
      <c r="A1027" s="22" t="inlineStr">
        <is>
          <t>0367</t>
        </is>
      </c>
      <c r="B1027" s="11" t="inlineStr">
        <is>
          <t>Portland Cement</t>
        </is>
      </c>
      <c r="C1027" s="22" t="inlineStr">
        <is>
          <t>tonne</t>
        </is>
      </c>
      <c r="D1027" s="23" t="n">
        <v>0.092</v>
      </c>
      <c r="E1027" s="24" t="n">
        <v>4940</v>
      </c>
      <c r="F1027" s="24">
        <f>D1027*E1027</f>
        <v/>
      </c>
      <c r="G1027" s="22" t="n"/>
    </row>
    <row r="1028">
      <c r="A1028" s="22" t="inlineStr">
        <is>
          <t>2209</t>
        </is>
      </c>
      <c r="B1028" s="11" t="inlineStr">
        <is>
          <t>Carriage of Cement</t>
        </is>
      </c>
      <c r="C1028" s="22" t="inlineStr">
        <is>
          <t>tonne</t>
        </is>
      </c>
      <c r="D1028" s="23" t="n">
        <v>0.092</v>
      </c>
      <c r="E1028" s="24" t="n">
        <v>92.23999999999999</v>
      </c>
      <c r="F1028" s="24">
        <f>D1028*E1028</f>
        <v/>
      </c>
      <c r="G1028" s="22" t="n"/>
    </row>
    <row r="1029">
      <c r="A1029" s="22" t="inlineStr">
        <is>
          <t>0874</t>
        </is>
      </c>
      <c r="B1029" s="11" t="inlineStr">
        <is>
          <t>Black colour dark shade pigment</t>
        </is>
      </c>
      <c r="C1029" s="22" t="inlineStr">
        <is>
          <t>kilogram</t>
        </is>
      </c>
      <c r="D1029" s="23" t="n">
        <v>3.08</v>
      </c>
      <c r="E1029" s="24" t="n">
        <v>70</v>
      </c>
      <c r="F1029" s="24">
        <f>D1029*E1029</f>
        <v/>
      </c>
      <c r="G1029" s="22" t="n"/>
    </row>
    <row r="1030">
      <c r="A1030" s="22" t="inlineStr">
        <is>
          <t>0124</t>
        </is>
      </c>
      <c r="B1030" s="11" t="inlineStr">
        <is>
          <t>Mason (brick layer) 2nd class</t>
        </is>
      </c>
      <c r="C1030" s="22" t="inlineStr">
        <is>
          <t>day</t>
        </is>
      </c>
      <c r="D1030" s="23" t="n">
        <v>1.6</v>
      </c>
      <c r="E1030" s="24" t="n">
        <v>679</v>
      </c>
      <c r="F1030" s="24">
        <f>D1030*E1030</f>
        <v/>
      </c>
      <c r="G1030" s="22" t="n"/>
    </row>
    <row r="1031">
      <c r="A1031" s="22" t="inlineStr">
        <is>
          <t>0115</t>
        </is>
      </c>
      <c r="B1031" s="11" t="inlineStr">
        <is>
          <t>Coolie</t>
        </is>
      </c>
      <c r="C1031" s="22" t="inlineStr">
        <is>
          <t>day</t>
        </is>
      </c>
      <c r="D1031" s="23" t="n">
        <v>2</v>
      </c>
      <c r="E1031" s="24" t="n">
        <v>558</v>
      </c>
      <c r="F1031" s="24">
        <f>D1031*E1031</f>
        <v/>
      </c>
      <c r="G1031" s="22" t="n"/>
    </row>
    <row r="1032">
      <c r="A1032" s="22" t="inlineStr">
        <is>
          <t>0101</t>
        </is>
      </c>
      <c r="B1032" s="11" t="inlineStr">
        <is>
          <t>Bhisti</t>
        </is>
      </c>
      <c r="C1032" s="22" t="inlineStr">
        <is>
          <t>day</t>
        </is>
      </c>
      <c r="D1032" s="23" t="n">
        <v>1</v>
      </c>
      <c r="E1032" s="24" t="n">
        <v>617</v>
      </c>
      <c r="F1032" s="24">
        <f>D1032*E1032</f>
        <v/>
      </c>
      <c r="G1032" s="22" t="n"/>
    </row>
    <row r="1033">
      <c r="A1033" s="22" t="inlineStr">
        <is>
          <t>0874</t>
        </is>
      </c>
      <c r="B1033" s="11" t="inlineStr">
        <is>
          <t>Black colour dark shade pigment</t>
        </is>
      </c>
      <c r="C1033" s="22" t="inlineStr">
        <is>
          <t>kilogram</t>
        </is>
      </c>
      <c r="D1033" s="23" t="n">
        <v>-5.92</v>
      </c>
      <c r="E1033" s="24" t="n">
        <v>70</v>
      </c>
      <c r="F1033" s="24">
        <f>D1033*E1033</f>
        <v/>
      </c>
      <c r="G1033" s="22" t="n"/>
    </row>
    <row r="1034">
      <c r="A1034" s="8" t="inlineStr">
        <is>
          <t>Calculated W - SUM of the Amount column above</t>
        </is>
      </c>
      <c r="B1034" s="9" t="n"/>
      <c r="C1034" s="9" t="n"/>
      <c r="D1034" s="9" t="n"/>
      <c r="E1034" s="9" t="n"/>
      <c r="F1034" s="25">
        <f>SUM(F1024:F1033)</f>
        <v/>
      </c>
      <c r="G1034" s="9" t="n"/>
    </row>
    <row r="1035">
      <c r="A1035" s="26" t="inlineStr">
        <is>
          <t>W as printed in the DAR</t>
        </is>
      </c>
      <c r="B1035" s="22" t="n"/>
      <c r="C1035" s="22" t="n"/>
      <c r="D1035" s="22" t="n"/>
      <c r="E1035" s="22" t="n"/>
      <c r="F1035" s="27" t="n">
        <v>6521.7</v>
      </c>
      <c r="G1035" s="22" t="n"/>
    </row>
    <row r="1036">
      <c r="A1036" s="26" t="inlineStr">
        <is>
          <t>Difference (calculated - printed)</t>
        </is>
      </c>
      <c r="B1036" s="22" t="n"/>
      <c r="C1036" s="22" t="n"/>
      <c r="D1036" s="22" t="n"/>
      <c r="E1036" s="22" t="n"/>
      <c r="F1036" s="27">
        <f>F1034-F1035</f>
        <v/>
      </c>
      <c r="G1036" s="22" t="n"/>
    </row>
    <row r="1037">
      <c r="A1037" s="29" t="inlineStr">
        <is>
          <t>SAY (Rs.) - final DAR rate as printed (fixed value, not computed)</t>
        </is>
      </c>
      <c r="B1037" s="30" t="n"/>
      <c r="C1037" s="30" t="n"/>
      <c r="D1037" s="30" t="n"/>
      <c r="E1037" s="30" t="n"/>
      <c r="F1037" s="31" t="n">
        <v>872.55</v>
      </c>
      <c r="G1037" s="30" t="n"/>
    </row>
    <row r="1039" ht="47.5" customHeight="1">
      <c r="A1039" s="8" t="inlineStr">
        <is>
          <t>11.21</t>
        </is>
      </c>
      <c r="B1039" s="17"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t>
        </is>
      </c>
      <c r="C1039" s="9" t="n"/>
      <c r="D1039" s="9" t="n"/>
      <c r="E1039" s="9" t="n"/>
      <c r="F1039" s="9" t="n"/>
      <c r="G1039" s="9" t="n"/>
    </row>
    <row r="1040" ht="18.5" customHeight="1">
      <c r="A1040" s="8" t="inlineStr">
        <is>
          <t>11.21.1</t>
        </is>
      </c>
      <c r="B1040" s="17" t="inlineStr">
        <is>
          <t>In flooring on a bed of 10 mm thick mortar 1:4 (1 acid proof cement : 4 coarse sand)</t>
        </is>
      </c>
      <c r="C1040" s="9" t="n"/>
      <c r="D1040" s="9" t="n"/>
      <c r="E1040" s="9" t="n"/>
      <c r="F1040" s="9" t="n"/>
      <c r="G1040" s="9" t="n"/>
    </row>
    <row r="1041" ht="18.5" customHeight="1">
      <c r="A1041" s="18" t="inlineStr">
        <is>
          <t>11.21.1.1</t>
        </is>
      </c>
      <c r="B1041" s="19" t="inlineStr">
        <is>
          <t>Acid and alkali resistant tile</t>
        </is>
      </c>
      <c r="C1041" s="20" t="n"/>
      <c r="D1041" s="20" t="n"/>
      <c r="E1041" s="20" t="n"/>
      <c r="F1041" s="20" t="n"/>
      <c r="G1041" s="20" t="n"/>
    </row>
    <row r="1042">
      <c r="A1042" s="21" t="inlineStr">
        <is>
          <t>Details of cost for 1 sqm   |   Source: CivilDAR_2019_Vol_1.pdf, page 762</t>
        </is>
      </c>
    </row>
    <row r="1043">
      <c r="A1043" s="5" t="inlineStr">
        <is>
          <t>Code</t>
        </is>
      </c>
      <c r="B1043" s="5" t="inlineStr">
        <is>
          <t>Description</t>
        </is>
      </c>
      <c r="C1043" s="5" t="inlineStr">
        <is>
          <t>Unit</t>
        </is>
      </c>
      <c r="D1043" s="5" t="inlineStr">
        <is>
          <t>Quantity</t>
        </is>
      </c>
      <c r="E1043" s="5" t="inlineStr">
        <is>
          <t>Rate (Rs.)</t>
        </is>
      </c>
      <c r="F1043" s="5" t="inlineStr">
        <is>
          <t>Amount (Rs.)</t>
        </is>
      </c>
      <c r="G1043" s="5" t="inlineStr">
        <is>
          <t>Note</t>
        </is>
      </c>
    </row>
    <row r="1044">
      <c r="A1044" s="22" t="inlineStr">
        <is>
          <t>7077</t>
        </is>
      </c>
      <c r="B1044" s="11" t="inlineStr">
        <is>
          <t>Acid and alkali resistant tiles 300x300 mm size, 10 mm thick</t>
        </is>
      </c>
      <c r="C1044" s="22" t="inlineStr">
        <is>
          <t>10 Nos</t>
        </is>
      </c>
      <c r="D1044" s="23" t="n">
        <v>1.2</v>
      </c>
      <c r="E1044" s="24" t="n">
        <v>520</v>
      </c>
      <c r="F1044" s="24">
        <f>D1044*E1044</f>
        <v/>
      </c>
      <c r="G1044" s="22" t="n"/>
    </row>
    <row r="1045">
      <c r="A1045" s="22" t="inlineStr">
        <is>
          <t>9977</t>
        </is>
      </c>
      <c r="B1045" s="11" t="inlineStr">
        <is>
          <t>Carriage</t>
        </is>
      </c>
      <c r="C1045" s="22" t="inlineStr">
        <is>
          <t>L.S.</t>
        </is>
      </c>
      <c r="D1045" s="23" t="n">
        <v>6.24</v>
      </c>
      <c r="E1045" s="24" t="n">
        <v>2</v>
      </c>
      <c r="F1045" s="24">
        <f>D1045*E1045</f>
        <v/>
      </c>
      <c r="G1045" s="22" t="n"/>
    </row>
    <row r="1046">
      <c r="A1046" s="7" t="inlineStr">
        <is>
          <t>3.9</t>
        </is>
      </c>
      <c r="B1046" s="11" t="inlineStr">
        <is>
          <t>Rate as per item 3.9 - Cement mortar 1:4 (1 cement : 4 coarse sand)</t>
        </is>
      </c>
      <c r="C1046" s="22" t="inlineStr">
        <is>
          <t>cum</t>
        </is>
      </c>
      <c r="D1046" s="23" t="n">
        <v>0.012</v>
      </c>
      <c r="E1046" s="24" t="n">
        <v>4010.35</v>
      </c>
      <c r="F1046" s="24">
        <f>D1046*E1046</f>
        <v/>
      </c>
      <c r="G1046" s="22" t="n"/>
    </row>
    <row r="1047">
      <c r="A1047" s="22" t="inlineStr">
        <is>
          <t>9999</t>
        </is>
      </c>
      <c r="B1047" s="11" t="inlineStr">
        <is>
          <t>Mortar for pointing in acid/alkali resistant cement</t>
        </is>
      </c>
      <c r="C1047" s="22" t="inlineStr">
        <is>
          <t>L.S.</t>
        </is>
      </c>
      <c r="D1047" s="23" t="n">
        <v>40.43</v>
      </c>
      <c r="E1047" s="24" t="n">
        <v>2</v>
      </c>
      <c r="F1047" s="24">
        <f>D1047*E1047</f>
        <v/>
      </c>
      <c r="G1047" s="22" t="n"/>
    </row>
    <row r="1048">
      <c r="A1048" s="22" t="inlineStr">
        <is>
          <t>0367</t>
        </is>
      </c>
      <c r="B1048" s="11" t="inlineStr">
        <is>
          <t>Portland Cement</t>
        </is>
      </c>
      <c r="C1048" s="22" t="inlineStr">
        <is>
          <t>tonne</t>
        </is>
      </c>
      <c r="D1048" s="23" t="n">
        <v>0.0033</v>
      </c>
      <c r="E1048" s="24" t="n">
        <v>4940</v>
      </c>
      <c r="F1048" s="24">
        <f>D1048*E1048</f>
        <v/>
      </c>
      <c r="G1048" s="22" t="n"/>
    </row>
    <row r="1049">
      <c r="A1049" s="22" t="inlineStr">
        <is>
          <t>7024</t>
        </is>
      </c>
      <c r="B1049" s="11" t="inlineStr">
        <is>
          <t>Acid Proof cement</t>
        </is>
      </c>
      <c r="C1049" s="22" t="inlineStr">
        <is>
          <t>tonne</t>
        </is>
      </c>
      <c r="D1049" s="23" t="n">
        <v>0.007900000000000001</v>
      </c>
      <c r="E1049" s="24" t="n">
        <v>7800</v>
      </c>
      <c r="F1049" s="24">
        <f>D1049*E1049</f>
        <v/>
      </c>
      <c r="G1049" s="22" t="n"/>
    </row>
    <row r="1050">
      <c r="A1050" s="22" t="inlineStr">
        <is>
          <t>0367</t>
        </is>
      </c>
      <c r="B1050" s="11" t="inlineStr">
        <is>
          <t>Portland Cement</t>
        </is>
      </c>
      <c r="C1050" s="22" t="inlineStr">
        <is>
          <t>tonne</t>
        </is>
      </c>
      <c r="D1050" s="23" t="n">
        <v>-0.007900000000000001</v>
      </c>
      <c r="E1050" s="24" t="n">
        <v>4940</v>
      </c>
      <c r="F1050" s="24">
        <f>D1050*E1050</f>
        <v/>
      </c>
      <c r="G1050" s="22" t="n"/>
    </row>
    <row r="1051">
      <c r="A1051" s="22" t="inlineStr">
        <is>
          <t>0123</t>
        </is>
      </c>
      <c r="B1051" s="11" t="inlineStr">
        <is>
          <t>Mason (brick layer) 1st class</t>
        </is>
      </c>
      <c r="C1051" s="22" t="inlineStr">
        <is>
          <t>day</t>
        </is>
      </c>
      <c r="D1051" s="23" t="n">
        <v>0.2</v>
      </c>
      <c r="E1051" s="24" t="n">
        <v>738</v>
      </c>
      <c r="F1051" s="24">
        <f>D1051*E1051</f>
        <v/>
      </c>
      <c r="G1051" s="22" t="n"/>
    </row>
    <row r="1052">
      <c r="A1052" s="22" t="inlineStr">
        <is>
          <t>0115</t>
        </is>
      </c>
      <c r="B1052" s="11" t="inlineStr">
        <is>
          <t>Coolie</t>
        </is>
      </c>
      <c r="C1052" s="22" t="inlineStr">
        <is>
          <t>day</t>
        </is>
      </c>
      <c r="D1052" s="23" t="n">
        <v>0.2</v>
      </c>
      <c r="E1052" s="24" t="n">
        <v>558</v>
      </c>
      <c r="F1052" s="24">
        <f>D1052*E1052</f>
        <v/>
      </c>
      <c r="G1052" s="22" t="n"/>
    </row>
    <row r="1053">
      <c r="A1053" s="22" t="inlineStr">
        <is>
          <t>9988</t>
        </is>
      </c>
      <c r="B1053" s="11" t="inlineStr">
        <is>
          <t>Sundries including carriage of cement etc.</t>
        </is>
      </c>
      <c r="C1053" s="22" t="inlineStr">
        <is>
          <t>L.S.</t>
        </is>
      </c>
      <c r="D1053" s="23" t="n">
        <v>26.91</v>
      </c>
      <c r="E1053" s="24" t="n">
        <v>2</v>
      </c>
      <c r="F1053" s="24">
        <f>D1053*E1053</f>
        <v/>
      </c>
      <c r="G1053" s="22" t="n"/>
    </row>
    <row r="1054">
      <c r="A1054" s="8" t="inlineStr">
        <is>
          <t>Calculated W - SUM of the Amount column above</t>
        </is>
      </c>
      <c r="B1054" s="9" t="n"/>
      <c r="C1054" s="9" t="n"/>
      <c r="D1054" s="9" t="n"/>
      <c r="E1054" s="9" t="n"/>
      <c r="F1054" s="25">
        <f>SUM(F1044:F1053)</f>
        <v/>
      </c>
      <c r="G1054" s="9" t="n"/>
    </row>
    <row r="1055">
      <c r="A1055" s="26" t="inlineStr">
        <is>
          <t>W as printed in the DAR</t>
        </is>
      </c>
      <c r="B1055" s="22" t="n"/>
      <c r="C1055" s="22" t="n"/>
      <c r="D1055" s="22" t="n"/>
      <c r="E1055" s="22" t="n"/>
      <c r="F1055" s="27" t="n">
        <v>1117.38</v>
      </c>
      <c r="G1055" s="22" t="n"/>
    </row>
    <row r="1056">
      <c r="A1056" s="26" t="inlineStr">
        <is>
          <t>Difference (calculated - printed)</t>
        </is>
      </c>
      <c r="B1056" s="22" t="n"/>
      <c r="C1056" s="22" t="n"/>
      <c r="D1056" s="22" t="n"/>
      <c r="E1056" s="22" t="n"/>
      <c r="F1056" s="27">
        <f>F1054-F1055</f>
        <v/>
      </c>
      <c r="G1056" s="22" t="n"/>
    </row>
    <row r="1057">
      <c r="A1057" s="29" t="inlineStr">
        <is>
          <t>SAY (Rs.) - final DAR rate as printed (fixed value, not computed)</t>
        </is>
      </c>
      <c r="B1057" s="30" t="n"/>
      <c r="C1057" s="30" t="n"/>
      <c r="D1057" s="30" t="n"/>
      <c r="E1057" s="30" t="n"/>
      <c r="F1057" s="31" t="n">
        <v>1495</v>
      </c>
      <c r="G1057" s="30" t="n"/>
    </row>
    <row r="1059" ht="47.5" customHeight="1">
      <c r="A1059" s="8" t="inlineStr">
        <is>
          <t>11.21</t>
        </is>
      </c>
      <c r="B1059" s="17"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t>
        </is>
      </c>
      <c r="C1059" s="9" t="n"/>
      <c r="D1059" s="9" t="n"/>
      <c r="E1059" s="9" t="n"/>
      <c r="F1059" s="9" t="n"/>
      <c r="G1059" s="9" t="n"/>
    </row>
    <row r="1060" ht="18.5" customHeight="1">
      <c r="A1060" s="8" t="inlineStr">
        <is>
          <t>11.21.2</t>
        </is>
      </c>
      <c r="B1060" s="17" t="inlineStr">
        <is>
          <t>In dado/skirting on 12 mm thick mortar 1:4 (1 acid proof cement : 4 coarse sand)</t>
        </is>
      </c>
      <c r="C1060" s="9" t="n"/>
      <c r="D1060" s="9" t="n"/>
      <c r="E1060" s="9" t="n"/>
      <c r="F1060" s="9" t="n"/>
      <c r="G1060" s="9" t="n"/>
    </row>
    <row r="1061" ht="18.5" customHeight="1">
      <c r="A1061" s="18" t="inlineStr">
        <is>
          <t>11.21.2.1</t>
        </is>
      </c>
      <c r="B1061" s="19" t="inlineStr">
        <is>
          <t>Acid and alkali resistant tile</t>
        </is>
      </c>
      <c r="C1061" s="20" t="n"/>
      <c r="D1061" s="20" t="n"/>
      <c r="E1061" s="20" t="n"/>
      <c r="F1061" s="20" t="n"/>
      <c r="G1061" s="20" t="n"/>
    </row>
    <row r="1062">
      <c r="A1062" s="21" t="inlineStr">
        <is>
          <t>Details of cost for 1 sqm   |   Source: CivilDAR_2019_Vol_1.pdf, page 763</t>
        </is>
      </c>
    </row>
    <row r="1063">
      <c r="A1063" s="5" t="inlineStr">
        <is>
          <t>Code</t>
        </is>
      </c>
      <c r="B1063" s="5" t="inlineStr">
        <is>
          <t>Description</t>
        </is>
      </c>
      <c r="C1063" s="5" t="inlineStr">
        <is>
          <t>Unit</t>
        </is>
      </c>
      <c r="D1063" s="5" t="inlineStr">
        <is>
          <t>Quantity</t>
        </is>
      </c>
      <c r="E1063" s="5" t="inlineStr">
        <is>
          <t>Rate (Rs.)</t>
        </is>
      </c>
      <c r="F1063" s="5" t="inlineStr">
        <is>
          <t>Amount (Rs.)</t>
        </is>
      </c>
      <c r="G1063" s="5" t="inlineStr">
        <is>
          <t>Note</t>
        </is>
      </c>
    </row>
    <row r="1064">
      <c r="A1064" s="22" t="inlineStr">
        <is>
          <t>7077</t>
        </is>
      </c>
      <c r="B1064" s="11" t="inlineStr">
        <is>
          <t>Acid and alkali resistant tiles 300x300 mm size, 10 mm thick</t>
        </is>
      </c>
      <c r="C1064" s="22" t="inlineStr">
        <is>
          <t>10 Nos</t>
        </is>
      </c>
      <c r="D1064" s="23" t="n">
        <v>1.2</v>
      </c>
      <c r="E1064" s="24" t="n">
        <v>520</v>
      </c>
      <c r="F1064" s="24">
        <f>D1064*E1064</f>
        <v/>
      </c>
      <c r="G1064" s="22" t="n"/>
    </row>
    <row r="1065">
      <c r="A1065" s="22" t="inlineStr">
        <is>
          <t>9977</t>
        </is>
      </c>
      <c r="B1065" s="11" t="inlineStr">
        <is>
          <t>Carriage of tiles</t>
        </is>
      </c>
      <c r="C1065" s="22" t="inlineStr">
        <is>
          <t>L.S.</t>
        </is>
      </c>
      <c r="D1065" s="23" t="n">
        <v>6.24</v>
      </c>
      <c r="E1065" s="24" t="n">
        <v>2</v>
      </c>
      <c r="F1065" s="24">
        <f>D1065*E1065</f>
        <v/>
      </c>
      <c r="G1065" s="22" t="n"/>
    </row>
    <row r="1066">
      <c r="A1066" s="7" t="inlineStr">
        <is>
          <t>3.9</t>
        </is>
      </c>
      <c r="B1066" s="11" t="inlineStr">
        <is>
          <t>Rate as per item 3.9 - Cement mortar 1:4 (1 cement : 4 coarse sand)</t>
        </is>
      </c>
      <c r="C1066" s="22" t="inlineStr">
        <is>
          <t>cum</t>
        </is>
      </c>
      <c r="D1066" s="23" t="n">
        <v>0.014</v>
      </c>
      <c r="E1066" s="24" t="n">
        <v>4010.35</v>
      </c>
      <c r="F1066" s="24">
        <f>D1066*E1066</f>
        <v/>
      </c>
      <c r="G1066" s="22" t="n"/>
    </row>
    <row r="1067">
      <c r="A1067" s="22" t="inlineStr">
        <is>
          <t>7024</t>
        </is>
      </c>
      <c r="B1067" s="11" t="inlineStr">
        <is>
          <t>Acid Proof cement</t>
        </is>
      </c>
      <c r="C1067" s="22" t="inlineStr">
        <is>
          <t>tonne</t>
        </is>
      </c>
      <c r="D1067" s="23" t="n">
        <v>0.0086</v>
      </c>
      <c r="E1067" s="24" t="n">
        <v>7800</v>
      </c>
      <c r="F1067" s="24">
        <f>D1067*E1067</f>
        <v/>
      </c>
      <c r="G1067" s="22" t="n"/>
    </row>
    <row r="1068">
      <c r="A1068" s="22" t="inlineStr">
        <is>
          <t>0367</t>
        </is>
      </c>
      <c r="B1068" s="11" t="inlineStr">
        <is>
          <t>Portland Cement</t>
        </is>
      </c>
      <c r="C1068" s="22" t="inlineStr">
        <is>
          <t>tonne</t>
        </is>
      </c>
      <c r="D1068" s="23" t="n">
        <v>-0.0086</v>
      </c>
      <c r="E1068" s="24" t="n">
        <v>4940</v>
      </c>
      <c r="F1068" s="24">
        <f>D1068*E1068</f>
        <v/>
      </c>
      <c r="G1068" s="22" t="n"/>
    </row>
    <row r="1069">
      <c r="A1069" s="22" t="inlineStr">
        <is>
          <t>9999</t>
        </is>
      </c>
      <c r="B1069" s="11" t="inlineStr">
        <is>
          <t>Mortar for pointing in acid proof cement</t>
        </is>
      </c>
      <c r="C1069" s="22" t="inlineStr">
        <is>
          <t>L.S.</t>
        </is>
      </c>
      <c r="D1069" s="23" t="n">
        <v>40.43</v>
      </c>
      <c r="E1069" s="24" t="n">
        <v>2</v>
      </c>
      <c r="F1069" s="24">
        <f>D1069*E1069</f>
        <v/>
      </c>
      <c r="G1069" s="22" t="n"/>
    </row>
    <row r="1070">
      <c r="A1070" s="22" t="inlineStr">
        <is>
          <t>7024</t>
        </is>
      </c>
      <c r="B1070" s="11" t="inlineStr">
        <is>
          <t>Acid Proof cement</t>
        </is>
      </c>
      <c r="C1070" s="22" t="inlineStr">
        <is>
          <t>tonne</t>
        </is>
      </c>
      <c r="D1070" s="23" t="n">
        <v>0.0033</v>
      </c>
      <c r="E1070" s="24" t="n">
        <v>7800</v>
      </c>
      <c r="F1070" s="24">
        <f>D1070*E1070</f>
        <v/>
      </c>
      <c r="G1070" s="22" t="n"/>
    </row>
    <row r="1071">
      <c r="A1071" s="22" t="inlineStr">
        <is>
          <t>0123</t>
        </is>
      </c>
      <c r="B1071" s="11" t="inlineStr">
        <is>
          <t>Mason (brick layer) 1st class</t>
        </is>
      </c>
      <c r="C1071" s="22" t="inlineStr">
        <is>
          <t>day</t>
        </is>
      </c>
      <c r="D1071" s="23" t="n">
        <v>0.25</v>
      </c>
      <c r="E1071" s="24" t="n">
        <v>738</v>
      </c>
      <c r="F1071" s="24">
        <f>D1071*E1071</f>
        <v/>
      </c>
      <c r="G1071" s="22" t="n"/>
    </row>
    <row r="1072">
      <c r="A1072" s="22" t="inlineStr">
        <is>
          <t>0115</t>
        </is>
      </c>
      <c r="B1072" s="11" t="inlineStr">
        <is>
          <t>Coolie</t>
        </is>
      </c>
      <c r="C1072" s="22" t="inlineStr">
        <is>
          <t>day</t>
        </is>
      </c>
      <c r="D1072" s="23" t="n">
        <v>0.25</v>
      </c>
      <c r="E1072" s="24" t="n">
        <v>558</v>
      </c>
      <c r="F1072" s="24">
        <f>D1072*E1072</f>
        <v/>
      </c>
      <c r="G1072" s="22" t="n"/>
    </row>
    <row r="1073">
      <c r="A1073" s="22" t="inlineStr">
        <is>
          <t>9988</t>
        </is>
      </c>
      <c r="B1073" s="11" t="inlineStr">
        <is>
          <t>Sundries including carriage of cement etc.</t>
        </is>
      </c>
      <c r="C1073" s="22" t="inlineStr">
        <is>
          <t>L.S.</t>
        </is>
      </c>
      <c r="D1073" s="23" t="n">
        <v>26.91</v>
      </c>
      <c r="E1073" s="24" t="n">
        <v>2</v>
      </c>
      <c r="F1073" s="24">
        <f>D1073*E1073</f>
        <v/>
      </c>
      <c r="G1073" s="22" t="n"/>
    </row>
    <row r="1074">
      <c r="A1074" s="8" t="inlineStr">
        <is>
          <t>Calculated W - SUM of the Amount column above</t>
        </is>
      </c>
      <c r="B1074" s="9" t="n"/>
      <c r="C1074" s="9" t="n"/>
      <c r="D1074" s="9" t="n"/>
      <c r="E1074" s="9" t="n"/>
      <c r="F1074" s="25">
        <f>SUM(F1064:F1073)</f>
        <v/>
      </c>
      <c r="G1074" s="9" t="n"/>
    </row>
    <row r="1075">
      <c r="A1075" s="26" t="inlineStr">
        <is>
          <t>W as printed in the DAR</t>
        </is>
      </c>
      <c r="B1075" s="22" t="n"/>
      <c r="C1075" s="22" t="n"/>
      <c r="D1075" s="22" t="n"/>
      <c r="E1075" s="22" t="n"/>
      <c r="F1075" s="27" t="n">
        <v>1201.64</v>
      </c>
      <c r="G1075" s="22" t="n"/>
    </row>
    <row r="1076">
      <c r="A1076" s="26" t="inlineStr">
        <is>
          <t>Difference (calculated - printed)</t>
        </is>
      </c>
      <c r="B1076" s="22" t="n"/>
      <c r="C1076" s="22" t="n"/>
      <c r="D1076" s="22" t="n"/>
      <c r="E1076" s="22" t="n"/>
      <c r="F1076" s="27">
        <f>F1074-F1075</f>
        <v/>
      </c>
      <c r="G1076" s="22" t="n"/>
    </row>
    <row r="1077">
      <c r="A1077" s="29" t="inlineStr">
        <is>
          <t>SAY (Rs.) - final DAR rate as printed (fixed value, not computed)</t>
        </is>
      </c>
      <c r="B1077" s="30" t="n"/>
      <c r="C1077" s="30" t="n"/>
      <c r="D1077" s="30" t="n"/>
      <c r="E1077" s="30" t="n"/>
      <c r="F1077" s="31" t="n">
        <v>1607.7</v>
      </c>
      <c r="G1077" s="30" t="n"/>
    </row>
    <row r="1079" ht="47.5" customHeight="1">
      <c r="A1079" s="8" t="inlineStr">
        <is>
          <t>11.22</t>
        </is>
      </c>
      <c r="B1079" s="17" t="inlineStr">
        <is>
          <t>Tile work in skirting, risers of steps and dado up to 2 m height over 12 mm thick bed of cement mortar 1:3 (1 cement :3 coarse sand) and jointed with grey cement slurry @ 3.3 kg/sqm, including pointing in white cement mixed with pigment of matching shade complete.</t>
        </is>
      </c>
      <c r="C1079" s="9" t="n"/>
      <c r="D1079" s="9" t="n"/>
      <c r="E1079" s="9" t="n"/>
      <c r="F1079" s="9" t="n"/>
      <c r="G1079" s="9" t="n"/>
    </row>
    <row r="1080" ht="18.5" customHeight="1">
      <c r="A1080" s="8" t="inlineStr">
        <is>
          <t>11.22.1</t>
        </is>
      </c>
      <c r="B1080" s="17" t="inlineStr">
        <is>
          <t>Marble tiles (polished) Raj Nagar</t>
        </is>
      </c>
      <c r="C1080" s="9" t="n"/>
      <c r="D1080" s="9" t="n"/>
      <c r="E1080" s="9" t="n"/>
      <c r="F1080" s="9" t="n"/>
      <c r="G1080" s="9" t="n"/>
    </row>
    <row r="1081" ht="18.5" customHeight="1">
      <c r="A1081" s="18" t="inlineStr">
        <is>
          <t>11.22.1.1</t>
        </is>
      </c>
      <c r="B1081" s="19" t="inlineStr">
        <is>
          <t>8 mm thick</t>
        </is>
      </c>
      <c r="C1081" s="20" t="n"/>
      <c r="D1081" s="20" t="n"/>
      <c r="E1081" s="20" t="n"/>
      <c r="F1081" s="20" t="n"/>
      <c r="G1081" s="20" t="n"/>
    </row>
    <row r="1082">
      <c r="A1082" s="21" t="inlineStr">
        <is>
          <t>Details of cost for 1 sqm   |   Source: CivilDAR_2019_Vol_1.pdf, page 764</t>
        </is>
      </c>
    </row>
    <row r="1083">
      <c r="A1083" s="5" t="inlineStr">
        <is>
          <t>Code</t>
        </is>
      </c>
      <c r="B1083" s="5" t="inlineStr">
        <is>
          <t>Description</t>
        </is>
      </c>
      <c r="C1083" s="5" t="inlineStr">
        <is>
          <t>Unit</t>
        </is>
      </c>
      <c r="D1083" s="5" t="inlineStr">
        <is>
          <t>Quantity</t>
        </is>
      </c>
      <c r="E1083" s="5" t="inlineStr">
        <is>
          <t>Rate (Rs.)</t>
        </is>
      </c>
      <c r="F1083" s="5" t="inlineStr">
        <is>
          <t>Amount (Rs.)</t>
        </is>
      </c>
      <c r="G1083" s="5" t="inlineStr">
        <is>
          <t>Note</t>
        </is>
      </c>
    </row>
    <row r="1084">
      <c r="A1084" s="22" t="inlineStr">
        <is>
          <t>2751</t>
        </is>
      </c>
      <c r="B1084" s="11" t="inlineStr">
        <is>
          <t>8 mm thick marble tiles (polished) Raj Nagar</t>
        </is>
      </c>
      <c r="C1084" s="22" t="inlineStr">
        <is>
          <t>sqm</t>
        </is>
      </c>
      <c r="D1084" s="23" t="n">
        <v>1.061</v>
      </c>
      <c r="E1084" s="24" t="n">
        <v>400</v>
      </c>
      <c r="F1084" s="24">
        <f>D1084*E1084</f>
        <v/>
      </c>
      <c r="G1084" s="22" t="n"/>
    </row>
    <row r="1085">
      <c r="A1085" s="22" t="inlineStr">
        <is>
          <t>9977</t>
        </is>
      </c>
      <c r="B1085" s="11" t="inlineStr">
        <is>
          <t>Carriage of tiles</t>
        </is>
      </c>
      <c r="C1085" s="22" t="inlineStr">
        <is>
          <t>L.S.</t>
        </is>
      </c>
      <c r="D1085" s="23" t="n">
        <v>3.9</v>
      </c>
      <c r="E1085" s="24" t="n">
        <v>2</v>
      </c>
      <c r="F1085" s="24">
        <f>D1085*E1085</f>
        <v/>
      </c>
      <c r="G1085" s="22" t="n"/>
    </row>
    <row r="1086">
      <c r="A1086" s="7" t="inlineStr">
        <is>
          <t>3.8</t>
        </is>
      </c>
      <c r="B1086" s="11" t="inlineStr">
        <is>
          <t>Rate as per item 3.8 - Cement mortar 1:3 (1 cement : 3 coarse sand)</t>
        </is>
      </c>
      <c r="C1086" s="22" t="inlineStr">
        <is>
          <t>cum</t>
        </is>
      </c>
      <c r="D1086" s="23" t="n">
        <v>0.014</v>
      </c>
      <c r="E1086" s="24" t="n">
        <v>4664.55</v>
      </c>
      <c r="F1086" s="24">
        <f>D1086*E1086</f>
        <v/>
      </c>
      <c r="G1086" s="22" t="n"/>
    </row>
    <row r="1087">
      <c r="A1087" s="22" t="inlineStr">
        <is>
          <t>9999</t>
        </is>
      </c>
      <c r="B1087" s="11" t="inlineStr">
        <is>
          <t>Mortar for pointing in white cement</t>
        </is>
      </c>
      <c r="C1087" s="22" t="inlineStr">
        <is>
          <t>L.S.</t>
        </is>
      </c>
      <c r="D1087" s="23" t="n">
        <v>25.35</v>
      </c>
      <c r="E1087" s="24" t="n">
        <v>2</v>
      </c>
      <c r="F1087" s="24">
        <f>D1087*E1087</f>
        <v/>
      </c>
      <c r="G1087" s="22" t="n"/>
    </row>
    <row r="1088">
      <c r="A1088" s="22" t="inlineStr">
        <is>
          <t>0367</t>
        </is>
      </c>
      <c r="B1088" s="11" t="inlineStr">
        <is>
          <t>Portland Cement</t>
        </is>
      </c>
      <c r="C1088" s="22" t="inlineStr">
        <is>
          <t>tonne</t>
        </is>
      </c>
      <c r="D1088" s="23" t="n">
        <v>0.0033</v>
      </c>
      <c r="E1088" s="24" t="n">
        <v>4940</v>
      </c>
      <c r="F1088" s="24">
        <f>D1088*E1088</f>
        <v/>
      </c>
      <c r="G1088" s="22" t="n"/>
    </row>
    <row r="1089">
      <c r="A1089" s="22" t="inlineStr">
        <is>
          <t>9999</t>
        </is>
      </c>
      <c r="B1089" s="11" t="inlineStr">
        <is>
          <t>Pigment</t>
        </is>
      </c>
      <c r="C1089" s="22" t="inlineStr">
        <is>
          <t>L.S.</t>
        </is>
      </c>
      <c r="D1089" s="23" t="n">
        <v>2.08</v>
      </c>
      <c r="E1089" s="24" t="n">
        <v>2</v>
      </c>
      <c r="F1089" s="24">
        <f>D1089*E1089</f>
        <v/>
      </c>
      <c r="G1089" s="22" t="n"/>
    </row>
    <row r="1090">
      <c r="A1090" s="22" t="inlineStr">
        <is>
          <t>0123</t>
        </is>
      </c>
      <c r="B1090" s="11" t="inlineStr">
        <is>
          <t>Mason (brick layer) 1st class</t>
        </is>
      </c>
      <c r="C1090" s="22" t="inlineStr">
        <is>
          <t>day</t>
        </is>
      </c>
      <c r="D1090" s="23" t="n">
        <v>0.25</v>
      </c>
      <c r="E1090" s="24" t="n">
        <v>738</v>
      </c>
      <c r="F1090" s="24">
        <f>D1090*E1090</f>
        <v/>
      </c>
      <c r="G1090" s="22" t="n"/>
    </row>
    <row r="1091">
      <c r="A1091" s="22" t="inlineStr">
        <is>
          <t>0115</t>
        </is>
      </c>
      <c r="B1091" s="11" t="inlineStr">
        <is>
          <t>Coolie</t>
        </is>
      </c>
      <c r="C1091" s="22" t="inlineStr">
        <is>
          <t>day</t>
        </is>
      </c>
      <c r="D1091" s="23" t="n">
        <v>0.25</v>
      </c>
      <c r="E1091" s="24" t="n">
        <v>558</v>
      </c>
      <c r="F1091" s="24">
        <f>D1091*E1091</f>
        <v/>
      </c>
      <c r="G1091" s="22" t="n"/>
    </row>
    <row r="1092">
      <c r="A1092" s="22" t="inlineStr">
        <is>
          <t>9988</t>
        </is>
      </c>
      <c r="B1092" s="11" t="inlineStr">
        <is>
          <t>Sundries including carriage of cement etc.</t>
        </is>
      </c>
      <c r="C1092" s="22" t="inlineStr">
        <is>
          <t>L.S.</t>
        </is>
      </c>
      <c r="D1092" s="23" t="n">
        <v>16.9</v>
      </c>
      <c r="E1092" s="24" t="n">
        <v>2</v>
      </c>
      <c r="F1092" s="24">
        <f>D1092*E1092</f>
        <v/>
      </c>
      <c r="G1092" s="22" t="n"/>
    </row>
    <row r="1093">
      <c r="A1093" s="8" t="inlineStr">
        <is>
          <t>Calculated W - SUM of the Amount column above</t>
        </is>
      </c>
      <c r="B1093" s="9" t="n"/>
      <c r="C1093" s="9" t="n"/>
      <c r="D1093" s="9" t="n"/>
      <c r="E1093" s="9" t="n"/>
      <c r="F1093" s="25">
        <f>SUM(F1084:F1092)</f>
        <v/>
      </c>
      <c r="G1093" s="9" t="n"/>
    </row>
    <row r="1094">
      <c r="A1094" s="26" t="inlineStr">
        <is>
          <t>W as printed in the DAR</t>
        </is>
      </c>
      <c r="B1094" s="22" t="n"/>
      <c r="C1094" s="22" t="n"/>
      <c r="D1094" s="22" t="n"/>
      <c r="E1094" s="22" t="n"/>
      <c r="F1094" s="27" t="n">
        <v>926.47</v>
      </c>
      <c r="G1094" s="22" t="n"/>
    </row>
    <row r="1095">
      <c r="A1095" s="26" t="inlineStr">
        <is>
          <t>Difference (calculated - printed)</t>
        </is>
      </c>
      <c r="B1095" s="22" t="n"/>
      <c r="C1095" s="22" t="n"/>
      <c r="D1095" s="22" t="n"/>
      <c r="E1095" s="22" t="n"/>
      <c r="F1095" s="27">
        <f>F1093-F1094</f>
        <v/>
      </c>
      <c r="G1095" s="22" t="n"/>
    </row>
    <row r="1096">
      <c r="A1096" s="29" t="inlineStr">
        <is>
          <t>SAY (Rs.) - final DAR rate as printed (fixed value, not computed)</t>
        </is>
      </c>
      <c r="B1096" s="30" t="n"/>
      <c r="C1096" s="30" t="n"/>
      <c r="D1096" s="30" t="n"/>
      <c r="E1096" s="30" t="n"/>
      <c r="F1096" s="31" t="n">
        <v>1239.55</v>
      </c>
      <c r="G1096" s="30" t="n"/>
    </row>
    <row r="1098" ht="47.5" customHeight="1">
      <c r="A1098" s="8" t="inlineStr">
        <is>
          <t>11.23</t>
        </is>
      </c>
      <c r="B1098"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098" s="9" t="n"/>
      <c r="D1098" s="9" t="n"/>
      <c r="E1098" s="9" t="n"/>
      <c r="F1098" s="9" t="n"/>
      <c r="G1098" s="9" t="n"/>
    </row>
    <row r="1099" ht="18.5" customHeight="1">
      <c r="A1099" s="18" t="inlineStr">
        <is>
          <t>11.23.1</t>
        </is>
      </c>
      <c r="B1099" s="19" t="inlineStr">
        <is>
          <t>Makrana white second quality</t>
        </is>
      </c>
      <c r="C1099" s="20" t="n"/>
      <c r="D1099" s="20" t="n"/>
      <c r="E1099" s="20" t="n"/>
      <c r="F1099" s="20" t="n"/>
      <c r="G1099" s="20" t="n"/>
    </row>
    <row r="1100">
      <c r="A1100" s="21" t="inlineStr">
        <is>
          <t>Details of cost for 10 sqm   |   Source: CivilDAR_2019_Vol_1.pdf, page 764</t>
        </is>
      </c>
    </row>
    <row r="1101">
      <c r="A1101" s="5" t="inlineStr">
        <is>
          <t>Code</t>
        </is>
      </c>
      <c r="B1101" s="5" t="inlineStr">
        <is>
          <t>Description</t>
        </is>
      </c>
      <c r="C1101" s="5" t="inlineStr">
        <is>
          <t>Unit</t>
        </is>
      </c>
      <c r="D1101" s="5" t="inlineStr">
        <is>
          <t>Quantity</t>
        </is>
      </c>
      <c r="E1101" s="5" t="inlineStr">
        <is>
          <t>Rate (Rs.)</t>
        </is>
      </c>
      <c r="F1101" s="5" t="inlineStr">
        <is>
          <t>Amount (Rs.)</t>
        </is>
      </c>
      <c r="G1101" s="5" t="inlineStr">
        <is>
          <t>Note</t>
        </is>
      </c>
    </row>
    <row r="1102">
      <c r="A1102" s="22" t="inlineStr">
        <is>
          <t>6001</t>
        </is>
      </c>
      <c r="B1102" s="11" t="inlineStr">
        <is>
          <t>White marble slab Makrana second quality plain veined 18 mm thick</t>
        </is>
      </c>
      <c r="C1102" s="22" t="inlineStr">
        <is>
          <t>sqm</t>
        </is>
      </c>
      <c r="D1102" s="23" t="n">
        <v>11.5</v>
      </c>
      <c r="E1102" s="24" t="n">
        <v>1430</v>
      </c>
      <c r="F1102" s="24">
        <f>D1102*E1102</f>
        <v/>
      </c>
      <c r="G1102" s="22" t="n"/>
    </row>
    <row r="1103">
      <c r="A1103" s="7" t="inlineStr">
        <is>
          <t>3.9</t>
        </is>
      </c>
      <c r="B1103" s="11" t="inlineStr">
        <is>
          <t>Rate as per item 3.9 - Cement mortar 1:4 (1 cement : 4 coarse sand)</t>
        </is>
      </c>
      <c r="C1103" s="22" t="inlineStr">
        <is>
          <t>cum</t>
        </is>
      </c>
      <c r="D1103" s="23" t="n">
        <v>0.224</v>
      </c>
      <c r="E1103" s="24" t="n">
        <v>4010.35</v>
      </c>
      <c r="F1103" s="24">
        <f>D1103*E1103</f>
        <v/>
      </c>
      <c r="G1103" s="22" t="n"/>
    </row>
    <row r="1104">
      <c r="A1104" s="22" t="inlineStr">
        <is>
          <t>0367</t>
        </is>
      </c>
      <c r="B1104" s="11" t="inlineStr">
        <is>
          <t>Portland Cement</t>
        </is>
      </c>
      <c r="C1104" s="22" t="inlineStr">
        <is>
          <t>tonne</t>
        </is>
      </c>
      <c r="D1104" s="23" t="n">
        <v>0.05</v>
      </c>
      <c r="E1104" s="24" t="n">
        <v>4940</v>
      </c>
      <c r="F1104" s="24">
        <f>D1104*E1104</f>
        <v/>
      </c>
      <c r="G1104" s="22" t="n"/>
    </row>
    <row r="1105">
      <c r="A1105" s="22" t="inlineStr">
        <is>
          <t>9977</t>
        </is>
      </c>
      <c r="B1105" s="11" t="inlineStr">
        <is>
          <t>Carriage of marble slab</t>
        </is>
      </c>
      <c r="C1105" s="22" t="inlineStr">
        <is>
          <t>L.S.</t>
        </is>
      </c>
      <c r="D1105" s="23" t="n">
        <v>26.91</v>
      </c>
      <c r="E1105" s="24" t="n">
        <v>2</v>
      </c>
      <c r="F1105" s="24">
        <f>D1105*E1105</f>
        <v/>
      </c>
      <c r="G1105" s="22" t="n"/>
    </row>
    <row r="1106">
      <c r="A1106" s="22" t="inlineStr">
        <is>
          <t>0123</t>
        </is>
      </c>
      <c r="B1106" s="11" t="inlineStr">
        <is>
          <t>Mason (brick layer) 1st class</t>
        </is>
      </c>
      <c r="C1106" s="22" t="inlineStr">
        <is>
          <t>day</t>
        </is>
      </c>
      <c r="D1106" s="23" t="n">
        <v>1.2</v>
      </c>
      <c r="E1106" s="24" t="n">
        <v>738</v>
      </c>
      <c r="F1106" s="24">
        <f>D1106*E1106</f>
        <v/>
      </c>
      <c r="G1106" s="22" t="n"/>
    </row>
    <row r="1107">
      <c r="A1107" s="22" t="inlineStr">
        <is>
          <t>0114</t>
        </is>
      </c>
      <c r="B1107" s="11" t="inlineStr">
        <is>
          <t>Beldar</t>
        </is>
      </c>
      <c r="C1107" s="22" t="inlineStr">
        <is>
          <t>day</t>
        </is>
      </c>
      <c r="D1107" s="23" t="n">
        <v>1</v>
      </c>
      <c r="E1107" s="24" t="n">
        <v>558</v>
      </c>
      <c r="F1107" s="24">
        <f>D1107*E1107</f>
        <v/>
      </c>
      <c r="G1107" s="22" t="n"/>
    </row>
    <row r="1108">
      <c r="A1108" s="22" t="inlineStr">
        <is>
          <t>0115</t>
        </is>
      </c>
      <c r="B1108" s="11" t="inlineStr">
        <is>
          <t>Coolie</t>
        </is>
      </c>
      <c r="C1108" s="22" t="inlineStr">
        <is>
          <t>day</t>
        </is>
      </c>
      <c r="D1108" s="23" t="n">
        <v>1</v>
      </c>
      <c r="E1108" s="24" t="n">
        <v>558</v>
      </c>
      <c r="F1108" s="24">
        <f>D1108*E1108</f>
        <v/>
      </c>
      <c r="G1108" s="22" t="n"/>
    </row>
    <row r="1109">
      <c r="A1109" s="22" t="inlineStr">
        <is>
          <t>0139</t>
        </is>
      </c>
      <c r="B1109" s="11" t="inlineStr">
        <is>
          <t>Skilled Beldar (for floor rubbing etc.)</t>
        </is>
      </c>
      <c r="C1109" s="22" t="inlineStr">
        <is>
          <t>day</t>
        </is>
      </c>
      <c r="D1109" s="23" t="n">
        <v>5</v>
      </c>
      <c r="E1109" s="24" t="n">
        <v>617</v>
      </c>
      <c r="F1109" s="24">
        <f>D1109*E1109</f>
        <v/>
      </c>
      <c r="G1109" s="22" t="n"/>
    </row>
    <row r="1110">
      <c r="A1110" s="22" t="inlineStr">
        <is>
          <t>0013</t>
        </is>
      </c>
      <c r="B1110" s="11" t="inlineStr">
        <is>
          <t>Machine for rubbing of floors</t>
        </is>
      </c>
      <c r="C1110" s="22" t="inlineStr">
        <is>
          <t>day</t>
        </is>
      </c>
      <c r="D1110" s="23" t="n">
        <v>4</v>
      </c>
      <c r="E1110" s="24" t="n">
        <v>300</v>
      </c>
      <c r="F1110" s="24">
        <f>D1110*E1110</f>
        <v/>
      </c>
      <c r="G1110" s="22" t="n"/>
    </row>
    <row r="1111">
      <c r="A1111" s="22" t="inlineStr">
        <is>
          <t>9988</t>
        </is>
      </c>
      <c r="B1111" s="11" t="inlineStr">
        <is>
          <t>Sundries and carriage of cement etc.</t>
        </is>
      </c>
      <c r="C1111" s="22" t="inlineStr">
        <is>
          <t>L.S.</t>
        </is>
      </c>
      <c r="D1111" s="23" t="n">
        <v>134.55</v>
      </c>
      <c r="E1111" s="24" t="n">
        <v>2</v>
      </c>
      <c r="F1111" s="24">
        <f>D1111*E1111</f>
        <v/>
      </c>
      <c r="G1111" s="22" t="n"/>
    </row>
    <row r="1112">
      <c r="A1112" s="8" t="inlineStr">
        <is>
          <t>Calculated W - SUM of the Amount column above</t>
        </is>
      </c>
      <c r="B1112" s="9" t="n"/>
      <c r="C1112" s="9" t="n"/>
      <c r="D1112" s="9" t="n"/>
      <c r="E1112" s="9" t="n"/>
      <c r="F1112" s="25">
        <f>SUM(F1102:F1111)</f>
        <v/>
      </c>
      <c r="G1112" s="9" t="n"/>
    </row>
    <row r="1113">
      <c r="A1113" s="26" t="inlineStr">
        <is>
          <t>W as printed in the DAR</t>
        </is>
      </c>
      <c r="B1113" s="22" t="n"/>
      <c r="C1113" s="22" t="n"/>
      <c r="D1113" s="22" t="n"/>
      <c r="E1113" s="22" t="n"/>
      <c r="F1113" s="27" t="n">
        <v>24199.84</v>
      </c>
      <c r="G1113" s="22" t="n"/>
    </row>
    <row r="1114">
      <c r="A1114" s="26" t="inlineStr">
        <is>
          <t>Difference (calculated - printed)</t>
        </is>
      </c>
      <c r="B1114" s="22" t="n"/>
      <c r="C1114" s="22" t="n"/>
      <c r="D1114" s="22" t="n"/>
      <c r="E1114" s="22" t="n"/>
      <c r="F1114" s="27">
        <f>F1112-F1113</f>
        <v/>
      </c>
      <c r="G1114" s="22" t="n"/>
    </row>
    <row r="1115">
      <c r="A1115" s="29" t="inlineStr">
        <is>
          <t>SAY (Rs.) - final DAR rate as printed (fixed value, not computed)</t>
        </is>
      </c>
      <c r="B1115" s="30" t="n"/>
      <c r="C1115" s="30" t="n"/>
      <c r="D1115" s="30" t="n"/>
      <c r="E1115" s="30" t="n"/>
      <c r="F1115" s="31" t="n">
        <v>3237.8</v>
      </c>
      <c r="G1115" s="30" t="n"/>
    </row>
    <row r="1117" ht="47.5" customHeight="1">
      <c r="A1117" s="8" t="inlineStr">
        <is>
          <t>11.23</t>
        </is>
      </c>
      <c r="B1117"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117" s="9" t="n"/>
      <c r="D1117" s="9" t="n"/>
      <c r="E1117" s="9" t="n"/>
      <c r="F1117" s="9" t="n"/>
      <c r="G1117" s="9" t="n"/>
    </row>
    <row r="1118" ht="18.5" customHeight="1">
      <c r="A1118" s="18" t="inlineStr">
        <is>
          <t>11.23.2</t>
        </is>
      </c>
      <c r="B1118" s="19" t="inlineStr">
        <is>
          <t>Raj Nagar plain</t>
        </is>
      </c>
      <c r="C1118" s="20" t="n"/>
      <c r="D1118" s="20" t="n"/>
      <c r="E1118" s="20" t="n"/>
      <c r="F1118" s="20" t="n"/>
      <c r="G1118" s="20" t="n"/>
    </row>
    <row r="1119">
      <c r="A1119" s="21" t="inlineStr">
        <is>
          <t>Details of cost for 10 sqm   |   Source: CivilDAR_2019_Vol_1.pdf, page 765</t>
        </is>
      </c>
    </row>
    <row r="1120">
      <c r="A1120" s="5" t="inlineStr">
        <is>
          <t>Code</t>
        </is>
      </c>
      <c r="B1120" s="5" t="inlineStr">
        <is>
          <t>Description</t>
        </is>
      </c>
      <c r="C1120" s="5" t="inlineStr">
        <is>
          <t>Unit</t>
        </is>
      </c>
      <c r="D1120" s="5" t="inlineStr">
        <is>
          <t>Quantity</t>
        </is>
      </c>
      <c r="E1120" s="5" t="inlineStr">
        <is>
          <t>Rate (Rs.)</t>
        </is>
      </c>
      <c r="F1120" s="5" t="inlineStr">
        <is>
          <t>Amount (Rs.)</t>
        </is>
      </c>
      <c r="G1120" s="5" t="inlineStr">
        <is>
          <t>Note</t>
        </is>
      </c>
    </row>
    <row r="1121">
      <c r="A1121" s="22" t="inlineStr">
        <is>
          <t>7071</t>
        </is>
      </c>
      <c r="B1121" s="11" t="inlineStr">
        <is>
          <t>White marble Raj Nagar plain 18 mm thick upto 0.50 sqm area</t>
        </is>
      </c>
      <c r="C1121" s="22" t="inlineStr">
        <is>
          <t>sqm</t>
        </is>
      </c>
      <c r="D1121" s="23" t="n">
        <v>11.5</v>
      </c>
      <c r="E1121" s="24" t="n">
        <v>600</v>
      </c>
      <c r="F1121" s="24">
        <f>D1121*E1121</f>
        <v/>
      </c>
      <c r="G1121" s="22" t="n"/>
    </row>
    <row r="1122">
      <c r="A1122" s="7" t="inlineStr">
        <is>
          <t>3.9</t>
        </is>
      </c>
      <c r="B1122" s="11" t="inlineStr">
        <is>
          <t>Rate as per item 3.9 - Cement mortar 1:4 (1 cement : 4 coarse sand)</t>
        </is>
      </c>
      <c r="C1122" s="22" t="inlineStr">
        <is>
          <t>cum</t>
        </is>
      </c>
      <c r="D1122" s="23" t="n">
        <v>0.224</v>
      </c>
      <c r="E1122" s="24" t="n">
        <v>4010.35</v>
      </c>
      <c r="F1122" s="24">
        <f>D1122*E1122</f>
        <v/>
      </c>
      <c r="G1122" s="22" t="n"/>
    </row>
    <row r="1123">
      <c r="A1123" s="22" t="inlineStr">
        <is>
          <t>0367</t>
        </is>
      </c>
      <c r="B1123" s="11" t="inlineStr">
        <is>
          <t>Portland Cement</t>
        </is>
      </c>
      <c r="C1123" s="22" t="inlineStr">
        <is>
          <t>tonne</t>
        </is>
      </c>
      <c r="D1123" s="23" t="n">
        <v>0.05</v>
      </c>
      <c r="E1123" s="24" t="n">
        <v>4940</v>
      </c>
      <c r="F1123" s="24">
        <f>D1123*E1123</f>
        <v/>
      </c>
      <c r="G1123" s="22" t="n"/>
    </row>
    <row r="1124">
      <c r="A1124" s="22" t="inlineStr">
        <is>
          <t>9977</t>
        </is>
      </c>
      <c r="B1124" s="11" t="inlineStr">
        <is>
          <t>Carriage of marble slab</t>
        </is>
      </c>
      <c r="C1124" s="22" t="inlineStr">
        <is>
          <t>L.S.</t>
        </is>
      </c>
      <c r="D1124" s="23" t="n">
        <v>26.91</v>
      </c>
      <c r="E1124" s="24" t="n">
        <v>2</v>
      </c>
      <c r="F1124" s="24">
        <f>D1124*E1124</f>
        <v/>
      </c>
      <c r="G1124" s="22" t="n"/>
    </row>
    <row r="1125">
      <c r="A1125" s="22" t="inlineStr">
        <is>
          <t>0123</t>
        </is>
      </c>
      <c r="B1125" s="11" t="inlineStr">
        <is>
          <t>Mason (brick layer) 1st class</t>
        </is>
      </c>
      <c r="C1125" s="22" t="inlineStr">
        <is>
          <t>day</t>
        </is>
      </c>
      <c r="D1125" s="23" t="n">
        <v>1.2</v>
      </c>
      <c r="E1125" s="24" t="n">
        <v>738</v>
      </c>
      <c r="F1125" s="24">
        <f>D1125*E1125</f>
        <v/>
      </c>
      <c r="G1125" s="22" t="n"/>
    </row>
    <row r="1126">
      <c r="A1126" s="22" t="inlineStr">
        <is>
          <t>0114</t>
        </is>
      </c>
      <c r="B1126" s="11" t="inlineStr">
        <is>
          <t>Beldar</t>
        </is>
      </c>
      <c r="C1126" s="22" t="inlineStr">
        <is>
          <t>day</t>
        </is>
      </c>
      <c r="D1126" s="23" t="n">
        <v>1</v>
      </c>
      <c r="E1126" s="24" t="n">
        <v>558</v>
      </c>
      <c r="F1126" s="24">
        <f>D1126*E1126</f>
        <v/>
      </c>
      <c r="G1126" s="22" t="n"/>
    </row>
    <row r="1127">
      <c r="A1127" s="22" t="inlineStr">
        <is>
          <t>0115</t>
        </is>
      </c>
      <c r="B1127" s="11" t="inlineStr">
        <is>
          <t>Coolie</t>
        </is>
      </c>
      <c r="C1127" s="22" t="inlineStr">
        <is>
          <t>day</t>
        </is>
      </c>
      <c r="D1127" s="23" t="n">
        <v>1</v>
      </c>
      <c r="E1127" s="24" t="n">
        <v>558</v>
      </c>
      <c r="F1127" s="24">
        <f>D1127*E1127</f>
        <v/>
      </c>
      <c r="G1127" s="22" t="n"/>
    </row>
    <row r="1128">
      <c r="A1128" s="22" t="inlineStr">
        <is>
          <t>0139</t>
        </is>
      </c>
      <c r="B1128" s="11" t="inlineStr">
        <is>
          <t>Skilled Beldar (for floor rubbing etc.)</t>
        </is>
      </c>
      <c r="C1128" s="22" t="inlineStr">
        <is>
          <t>day</t>
        </is>
      </c>
      <c r="D1128" s="23" t="n">
        <v>5</v>
      </c>
      <c r="E1128" s="24" t="n">
        <v>617</v>
      </c>
      <c r="F1128" s="24">
        <f>D1128*E1128</f>
        <v/>
      </c>
      <c r="G1128" s="22" t="n"/>
    </row>
    <row r="1129">
      <c r="A1129" s="22" t="inlineStr">
        <is>
          <t>0013</t>
        </is>
      </c>
      <c r="B1129" s="11" t="inlineStr">
        <is>
          <t>Machine for rubbing of floors</t>
        </is>
      </c>
      <c r="C1129" s="22" t="inlineStr">
        <is>
          <t>day</t>
        </is>
      </c>
      <c r="D1129" s="23" t="n">
        <v>4</v>
      </c>
      <c r="E1129" s="24" t="n">
        <v>300</v>
      </c>
      <c r="F1129" s="24">
        <f>D1129*E1129</f>
        <v/>
      </c>
      <c r="G1129" s="22" t="n"/>
    </row>
    <row r="1130">
      <c r="A1130" s="22" t="inlineStr">
        <is>
          <t>9988</t>
        </is>
      </c>
      <c r="B1130" s="11" t="inlineStr">
        <is>
          <t>Sundries and carriage of cement etc.</t>
        </is>
      </c>
      <c r="C1130" s="22" t="inlineStr">
        <is>
          <t>L.S.</t>
        </is>
      </c>
      <c r="D1130" s="23" t="n">
        <v>134.55</v>
      </c>
      <c r="E1130" s="24" t="n">
        <v>2</v>
      </c>
      <c r="F1130" s="24">
        <f>D1130*E1130</f>
        <v/>
      </c>
      <c r="G1130" s="22" t="n"/>
    </row>
    <row r="1131">
      <c r="A1131" s="8" t="inlineStr">
        <is>
          <t>Calculated W - SUM of the Amount column above</t>
        </is>
      </c>
      <c r="B1131" s="9" t="n"/>
      <c r="C1131" s="9" t="n"/>
      <c r="D1131" s="9" t="n"/>
      <c r="E1131" s="9" t="n"/>
      <c r="F1131" s="25">
        <f>SUM(F1121:F1130)</f>
        <v/>
      </c>
      <c r="G1131" s="9" t="n"/>
    </row>
    <row r="1132">
      <c r="A1132" s="26" t="inlineStr">
        <is>
          <t>W as printed in the DAR</t>
        </is>
      </c>
      <c r="B1132" s="22" t="n"/>
      <c r="C1132" s="22" t="n"/>
      <c r="D1132" s="22" t="n"/>
      <c r="E1132" s="22" t="n"/>
      <c r="F1132" s="27" t="n">
        <v>14654.84</v>
      </c>
      <c r="G1132" s="22" t="n"/>
    </row>
    <row r="1133">
      <c r="A1133" s="26" t="inlineStr">
        <is>
          <t>Difference (calculated - printed)</t>
        </is>
      </c>
      <c r="B1133" s="22" t="n"/>
      <c r="C1133" s="22" t="n"/>
      <c r="D1133" s="22" t="n"/>
      <c r="E1133" s="22" t="n"/>
      <c r="F1133" s="27">
        <f>F1131-F1132</f>
        <v/>
      </c>
      <c r="G1133" s="22" t="n"/>
    </row>
    <row r="1134">
      <c r="A1134" s="29" t="inlineStr">
        <is>
          <t>SAY (Rs.) - final DAR rate as printed (fixed value, not computed)</t>
        </is>
      </c>
      <c r="B1134" s="30" t="n"/>
      <c r="C1134" s="30" t="n"/>
      <c r="D1134" s="30" t="n"/>
      <c r="E1134" s="30" t="n"/>
      <c r="F1134" s="31" t="n">
        <v>1960.75</v>
      </c>
      <c r="G1134" s="30" t="n"/>
    </row>
    <row r="1136" ht="47.5" customHeight="1">
      <c r="A1136" s="8" t="inlineStr">
        <is>
          <t>11.23</t>
        </is>
      </c>
      <c r="B1136"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136" s="9" t="n"/>
      <c r="D1136" s="9" t="n"/>
      <c r="E1136" s="9" t="n"/>
      <c r="F1136" s="9" t="n"/>
      <c r="G1136" s="9" t="n"/>
    </row>
    <row r="1137" ht="18.5" customHeight="1">
      <c r="A1137" s="18" t="inlineStr">
        <is>
          <t>11.23.3</t>
        </is>
      </c>
      <c r="B1137" s="19" t="inlineStr">
        <is>
          <t>Agaria White</t>
        </is>
      </c>
      <c r="C1137" s="20" t="n"/>
      <c r="D1137" s="20" t="n"/>
      <c r="E1137" s="20" t="n"/>
      <c r="F1137" s="20" t="n"/>
      <c r="G1137" s="20" t="n"/>
    </row>
    <row r="1138">
      <c r="A1138" s="21" t="inlineStr">
        <is>
          <t>Details of cost for 10 sqm   |   Source: CivilDAR_2019_Vol_1.pdf, page 766</t>
        </is>
      </c>
    </row>
    <row r="1139">
      <c r="A1139" s="5" t="inlineStr">
        <is>
          <t>Code</t>
        </is>
      </c>
      <c r="B1139" s="5" t="inlineStr">
        <is>
          <t>Description</t>
        </is>
      </c>
      <c r="C1139" s="5" t="inlineStr">
        <is>
          <t>Unit</t>
        </is>
      </c>
      <c r="D1139" s="5" t="inlineStr">
        <is>
          <t>Quantity</t>
        </is>
      </c>
      <c r="E1139" s="5" t="inlineStr">
        <is>
          <t>Rate (Rs.)</t>
        </is>
      </c>
      <c r="F1139" s="5" t="inlineStr">
        <is>
          <t>Amount (Rs.)</t>
        </is>
      </c>
      <c r="G1139" s="5" t="inlineStr">
        <is>
          <t>Note</t>
        </is>
      </c>
    </row>
    <row r="1140">
      <c r="A1140" s="22" t="inlineStr">
        <is>
          <t>7850</t>
        </is>
      </c>
      <c r="B1140" s="11" t="inlineStr">
        <is>
          <t>Agaria White marble slab plain 18mm thick</t>
        </is>
      </c>
      <c r="C1140" s="22" t="inlineStr">
        <is>
          <t>sqm</t>
        </is>
      </c>
      <c r="D1140" s="23" t="n">
        <v>11.5</v>
      </c>
      <c r="E1140" s="24" t="n">
        <v>1100</v>
      </c>
      <c r="F1140" s="24">
        <f>D1140*E1140</f>
        <v/>
      </c>
      <c r="G1140" s="22" t="n"/>
    </row>
    <row r="1141">
      <c r="A1141" s="7" t="inlineStr">
        <is>
          <t>3.9</t>
        </is>
      </c>
      <c r="B1141" s="11" t="inlineStr">
        <is>
          <t>Rate as per item 3.9 - Cement mortar 1:4 (1 cement : 4 coarse sand)</t>
        </is>
      </c>
      <c r="C1141" s="22" t="inlineStr">
        <is>
          <t>cum</t>
        </is>
      </c>
      <c r="D1141" s="23" t="n">
        <v>0.224</v>
      </c>
      <c r="E1141" s="24" t="n">
        <v>4010.35</v>
      </c>
      <c r="F1141" s="24">
        <f>D1141*E1141</f>
        <v/>
      </c>
      <c r="G1141" s="22" t="n"/>
    </row>
    <row r="1142">
      <c r="A1142" s="22" t="inlineStr">
        <is>
          <t>0367</t>
        </is>
      </c>
      <c r="B1142" s="11" t="inlineStr">
        <is>
          <t>Portland Cement</t>
        </is>
      </c>
      <c r="C1142" s="22" t="inlineStr">
        <is>
          <t>tonne</t>
        </is>
      </c>
      <c r="D1142" s="23" t="n">
        <v>0.05</v>
      </c>
      <c r="E1142" s="24" t="n">
        <v>4940</v>
      </c>
      <c r="F1142" s="24">
        <f>D1142*E1142</f>
        <v/>
      </c>
      <c r="G1142" s="22" t="n"/>
    </row>
    <row r="1143">
      <c r="A1143" s="22" t="inlineStr">
        <is>
          <t>9977</t>
        </is>
      </c>
      <c r="B1143" s="11" t="inlineStr">
        <is>
          <t>Carriage of marble slab</t>
        </is>
      </c>
      <c r="C1143" s="22" t="inlineStr">
        <is>
          <t>L.S.</t>
        </is>
      </c>
      <c r="D1143" s="23" t="n">
        <v>26.91</v>
      </c>
      <c r="E1143" s="24" t="n">
        <v>2</v>
      </c>
      <c r="F1143" s="24">
        <f>D1143*E1143</f>
        <v/>
      </c>
      <c r="G1143" s="22" t="n"/>
    </row>
    <row r="1144">
      <c r="A1144" s="22" t="inlineStr">
        <is>
          <t>0123</t>
        </is>
      </c>
      <c r="B1144" s="11" t="inlineStr">
        <is>
          <t>Mason (brick layer) 1st class</t>
        </is>
      </c>
      <c r="C1144" s="22" t="inlineStr">
        <is>
          <t>day</t>
        </is>
      </c>
      <c r="D1144" s="23" t="n">
        <v>1.2</v>
      </c>
      <c r="E1144" s="24" t="n">
        <v>738</v>
      </c>
      <c r="F1144" s="24">
        <f>D1144*E1144</f>
        <v/>
      </c>
      <c r="G1144" s="22" t="n"/>
    </row>
    <row r="1145">
      <c r="A1145" s="22" t="inlineStr">
        <is>
          <t>0114</t>
        </is>
      </c>
      <c r="B1145" s="11" t="inlineStr">
        <is>
          <t>Beldar</t>
        </is>
      </c>
      <c r="C1145" s="22" t="inlineStr">
        <is>
          <t>day</t>
        </is>
      </c>
      <c r="D1145" s="23" t="n">
        <v>1</v>
      </c>
      <c r="E1145" s="24" t="n">
        <v>558</v>
      </c>
      <c r="F1145" s="24">
        <f>D1145*E1145</f>
        <v/>
      </c>
      <c r="G1145" s="22" t="n"/>
    </row>
    <row r="1146">
      <c r="A1146" s="22" t="inlineStr">
        <is>
          <t>0115</t>
        </is>
      </c>
      <c r="B1146" s="11" t="inlineStr">
        <is>
          <t>Coolie</t>
        </is>
      </c>
      <c r="C1146" s="22" t="inlineStr">
        <is>
          <t>day</t>
        </is>
      </c>
      <c r="D1146" s="23" t="n">
        <v>1</v>
      </c>
      <c r="E1146" s="24" t="n">
        <v>558</v>
      </c>
      <c r="F1146" s="24">
        <f>D1146*E1146</f>
        <v/>
      </c>
      <c r="G1146" s="22" t="n"/>
    </row>
    <row r="1147">
      <c r="A1147" s="22" t="inlineStr">
        <is>
          <t>0139</t>
        </is>
      </c>
      <c r="B1147" s="11" t="inlineStr">
        <is>
          <t>Skilled Beldar (for floor rubbing etc.)</t>
        </is>
      </c>
      <c r="C1147" s="22" t="inlineStr">
        <is>
          <t>day</t>
        </is>
      </c>
      <c r="D1147" s="23" t="n">
        <v>5</v>
      </c>
      <c r="E1147" s="24" t="n">
        <v>617</v>
      </c>
      <c r="F1147" s="24">
        <f>D1147*E1147</f>
        <v/>
      </c>
      <c r="G1147" s="22" t="n"/>
    </row>
    <row r="1148">
      <c r="A1148" s="22" t="inlineStr">
        <is>
          <t>0013</t>
        </is>
      </c>
      <c r="B1148" s="11" t="inlineStr">
        <is>
          <t>Machine for rubbing of floors</t>
        </is>
      </c>
      <c r="C1148" s="22" t="inlineStr">
        <is>
          <t>day</t>
        </is>
      </c>
      <c r="D1148" s="23" t="n">
        <v>4</v>
      </c>
      <c r="E1148" s="24" t="n">
        <v>300</v>
      </c>
      <c r="F1148" s="24">
        <f>D1148*E1148</f>
        <v/>
      </c>
      <c r="G1148" s="22" t="n"/>
    </row>
    <row r="1149">
      <c r="A1149" s="22" t="inlineStr">
        <is>
          <t>9988</t>
        </is>
      </c>
      <c r="B1149" s="11" t="inlineStr">
        <is>
          <t>Sundries and carriage of cement etc.</t>
        </is>
      </c>
      <c r="C1149" s="22" t="inlineStr">
        <is>
          <t>L.S.</t>
        </is>
      </c>
      <c r="D1149" s="23" t="n">
        <v>134.55</v>
      </c>
      <c r="E1149" s="24" t="n">
        <v>2</v>
      </c>
      <c r="F1149" s="24">
        <f>D1149*E1149</f>
        <v/>
      </c>
      <c r="G1149" s="22" t="n"/>
    </row>
    <row r="1150">
      <c r="A1150" s="8" t="inlineStr">
        <is>
          <t>Calculated W - SUM of the Amount column above</t>
        </is>
      </c>
      <c r="B1150" s="9" t="n"/>
      <c r="C1150" s="9" t="n"/>
      <c r="D1150" s="9" t="n"/>
      <c r="E1150" s="9" t="n"/>
      <c r="F1150" s="25">
        <f>SUM(F1140:F1149)</f>
        <v/>
      </c>
      <c r="G1150" s="9" t="n"/>
    </row>
    <row r="1151">
      <c r="A1151" s="26" t="inlineStr">
        <is>
          <t>W as printed in the DAR</t>
        </is>
      </c>
      <c r="B1151" s="22" t="n"/>
      <c r="C1151" s="22" t="n"/>
      <c r="D1151" s="22" t="n"/>
      <c r="E1151" s="22" t="n"/>
      <c r="F1151" s="27" t="n">
        <v>20404.84</v>
      </c>
      <c r="G1151" s="22" t="n"/>
    </row>
    <row r="1152">
      <c r="A1152" s="26" t="inlineStr">
        <is>
          <t>Difference (calculated - printed)</t>
        </is>
      </c>
      <c r="B1152" s="22" t="n"/>
      <c r="C1152" s="22" t="n"/>
      <c r="D1152" s="22" t="n"/>
      <c r="E1152" s="22" t="n"/>
      <c r="F1152" s="27">
        <f>F1150-F1151</f>
        <v/>
      </c>
      <c r="G1152" s="22" t="n"/>
    </row>
    <row r="1153">
      <c r="A1153" s="29" t="inlineStr">
        <is>
          <t>SAY (Rs.) - final DAR rate as printed (fixed value, not computed)</t>
        </is>
      </c>
      <c r="B1153" s="30" t="n"/>
      <c r="C1153" s="30" t="n"/>
      <c r="D1153" s="30" t="n"/>
      <c r="E1153" s="30" t="n"/>
      <c r="F1153" s="31" t="n">
        <v>2730.05</v>
      </c>
      <c r="G1153" s="30" t="n"/>
    </row>
    <row r="1155" ht="47.5" customHeight="1">
      <c r="A1155" s="8" t="inlineStr">
        <is>
          <t>11.23</t>
        </is>
      </c>
      <c r="B1155"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155" s="9" t="n"/>
      <c r="D1155" s="9" t="n"/>
      <c r="E1155" s="9" t="n"/>
      <c r="F1155" s="9" t="n"/>
      <c r="G1155" s="9" t="n"/>
    </row>
    <row r="1156" ht="18.5" customHeight="1">
      <c r="A1156" s="18" t="inlineStr">
        <is>
          <t>11.23.4</t>
        </is>
      </c>
      <c r="B1156" s="19" t="inlineStr">
        <is>
          <t>Black Zebra</t>
        </is>
      </c>
      <c r="C1156" s="20" t="n"/>
      <c r="D1156" s="20" t="n"/>
      <c r="E1156" s="20" t="n"/>
      <c r="F1156" s="20" t="n"/>
      <c r="G1156" s="20" t="n"/>
    </row>
    <row r="1157">
      <c r="A1157" s="21" t="inlineStr">
        <is>
          <t>Details of cost for 10 sqm   |   Source: CivilDAR_2019_Vol_1.pdf, page 767</t>
        </is>
      </c>
    </row>
    <row r="1158">
      <c r="A1158" s="5" t="inlineStr">
        <is>
          <t>Code</t>
        </is>
      </c>
      <c r="B1158" s="5" t="inlineStr">
        <is>
          <t>Description</t>
        </is>
      </c>
      <c r="C1158" s="5" t="inlineStr">
        <is>
          <t>Unit</t>
        </is>
      </c>
      <c r="D1158" s="5" t="inlineStr">
        <is>
          <t>Quantity</t>
        </is>
      </c>
      <c r="E1158" s="5" t="inlineStr">
        <is>
          <t>Rate (Rs.)</t>
        </is>
      </c>
      <c r="F1158" s="5" t="inlineStr">
        <is>
          <t>Amount (Rs.)</t>
        </is>
      </c>
      <c r="G1158" s="5" t="inlineStr">
        <is>
          <t>Note</t>
        </is>
      </c>
    </row>
    <row r="1159">
      <c r="A1159" s="22" t="inlineStr">
        <is>
          <t>6019</t>
        </is>
      </c>
      <c r="B1159" s="11" t="inlineStr">
        <is>
          <t>Black Zebra marble slab plain 18mm thick</t>
        </is>
      </c>
      <c r="C1159" s="22" t="inlineStr">
        <is>
          <t>sqm</t>
        </is>
      </c>
      <c r="D1159" s="23" t="n">
        <v>11.5</v>
      </c>
      <c r="E1159" s="24" t="n">
        <v>900</v>
      </c>
      <c r="F1159" s="24">
        <f>D1159*E1159</f>
        <v/>
      </c>
      <c r="G1159" s="22" t="n"/>
    </row>
    <row r="1160">
      <c r="A1160" s="7" t="inlineStr">
        <is>
          <t>3.9</t>
        </is>
      </c>
      <c r="B1160" s="11" t="inlineStr">
        <is>
          <t>Rate as per item 3.9 - Cement mortar 1:4 (1 cement : 4 coarse sand)</t>
        </is>
      </c>
      <c r="C1160" s="22" t="inlineStr">
        <is>
          <t>cum</t>
        </is>
      </c>
      <c r="D1160" s="23" t="n">
        <v>0.224</v>
      </c>
      <c r="E1160" s="24" t="n">
        <v>4010.35</v>
      </c>
      <c r="F1160" s="24">
        <f>D1160*E1160</f>
        <v/>
      </c>
      <c r="G1160" s="22" t="n"/>
    </row>
    <row r="1161">
      <c r="A1161" s="22" t="inlineStr">
        <is>
          <t>0367</t>
        </is>
      </c>
      <c r="B1161" s="11" t="inlineStr">
        <is>
          <t>Portland Cement</t>
        </is>
      </c>
      <c r="C1161" s="22" t="inlineStr">
        <is>
          <t>tonne</t>
        </is>
      </c>
      <c r="D1161" s="23" t="n">
        <v>0.05</v>
      </c>
      <c r="E1161" s="24" t="n">
        <v>4940</v>
      </c>
      <c r="F1161" s="24">
        <f>D1161*E1161</f>
        <v/>
      </c>
      <c r="G1161" s="22" t="n"/>
    </row>
    <row r="1162">
      <c r="A1162" s="22" t="inlineStr">
        <is>
          <t>9977</t>
        </is>
      </c>
      <c r="B1162" s="11" t="inlineStr">
        <is>
          <t>Carriage of marble slab</t>
        </is>
      </c>
      <c r="C1162" s="22" t="inlineStr">
        <is>
          <t>L.S.</t>
        </is>
      </c>
      <c r="D1162" s="23" t="n">
        <v>26.91</v>
      </c>
      <c r="E1162" s="24" t="n">
        <v>2</v>
      </c>
      <c r="F1162" s="24">
        <f>D1162*E1162</f>
        <v/>
      </c>
      <c r="G1162" s="22" t="n"/>
    </row>
    <row r="1163">
      <c r="A1163" s="22" t="inlineStr">
        <is>
          <t>0123</t>
        </is>
      </c>
      <c r="B1163" s="11" t="inlineStr">
        <is>
          <t>Mason (brick layer) 1st class</t>
        </is>
      </c>
      <c r="C1163" s="22" t="inlineStr">
        <is>
          <t>day</t>
        </is>
      </c>
      <c r="D1163" s="23" t="n">
        <v>1.2</v>
      </c>
      <c r="E1163" s="24" t="n">
        <v>738</v>
      </c>
      <c r="F1163" s="24">
        <f>D1163*E1163</f>
        <v/>
      </c>
      <c r="G1163" s="22" t="n"/>
    </row>
    <row r="1164">
      <c r="A1164" s="22" t="inlineStr">
        <is>
          <t>0114</t>
        </is>
      </c>
      <c r="B1164" s="11" t="inlineStr">
        <is>
          <t>Beldar</t>
        </is>
      </c>
      <c r="C1164" s="22" t="inlineStr">
        <is>
          <t>day</t>
        </is>
      </c>
      <c r="D1164" s="23" t="n">
        <v>1</v>
      </c>
      <c r="E1164" s="24" t="n">
        <v>558</v>
      </c>
      <c r="F1164" s="24">
        <f>D1164*E1164</f>
        <v/>
      </c>
      <c r="G1164" s="22" t="n"/>
    </row>
    <row r="1165">
      <c r="A1165" s="22" t="inlineStr">
        <is>
          <t>0115</t>
        </is>
      </c>
      <c r="B1165" s="11" t="inlineStr">
        <is>
          <t>Coolie</t>
        </is>
      </c>
      <c r="C1165" s="22" t="inlineStr">
        <is>
          <t>day</t>
        </is>
      </c>
      <c r="D1165" s="23" t="n">
        <v>1</v>
      </c>
      <c r="E1165" s="24" t="n">
        <v>558</v>
      </c>
      <c r="F1165" s="24">
        <f>D1165*E1165</f>
        <v/>
      </c>
      <c r="G1165" s="22" t="n"/>
    </row>
    <row r="1166">
      <c r="A1166" s="22" t="inlineStr">
        <is>
          <t>0139</t>
        </is>
      </c>
      <c r="B1166" s="11" t="inlineStr">
        <is>
          <t>Skilled Beldar (for floor rubbing etc.)</t>
        </is>
      </c>
      <c r="C1166" s="22" t="inlineStr">
        <is>
          <t>day</t>
        </is>
      </c>
      <c r="D1166" s="23" t="n">
        <v>5</v>
      </c>
      <c r="E1166" s="24" t="n">
        <v>617</v>
      </c>
      <c r="F1166" s="24">
        <f>D1166*E1166</f>
        <v/>
      </c>
      <c r="G1166" s="22" t="n"/>
    </row>
    <row r="1167">
      <c r="A1167" s="22" t="inlineStr">
        <is>
          <t>0013</t>
        </is>
      </c>
      <c r="B1167" s="11" t="inlineStr">
        <is>
          <t>Machine for rubbing of floors</t>
        </is>
      </c>
      <c r="C1167" s="22" t="inlineStr">
        <is>
          <t>day</t>
        </is>
      </c>
      <c r="D1167" s="23" t="n">
        <v>4</v>
      </c>
      <c r="E1167" s="24" t="n">
        <v>300</v>
      </c>
      <c r="F1167" s="24">
        <f>D1167*E1167</f>
        <v/>
      </c>
      <c r="G1167" s="22" t="n"/>
    </row>
    <row r="1168">
      <c r="A1168" s="22" t="inlineStr">
        <is>
          <t>9988</t>
        </is>
      </c>
      <c r="B1168" s="11" t="inlineStr">
        <is>
          <t>Sundries and carriage of cement etc.</t>
        </is>
      </c>
      <c r="C1168" s="22" t="inlineStr">
        <is>
          <t>L.S.</t>
        </is>
      </c>
      <c r="D1168" s="23" t="n">
        <v>134.55</v>
      </c>
      <c r="E1168" s="24" t="n">
        <v>2</v>
      </c>
      <c r="F1168" s="24">
        <f>D1168*E1168</f>
        <v/>
      </c>
      <c r="G1168" s="22" t="n"/>
    </row>
    <row r="1169">
      <c r="A1169" s="8" t="inlineStr">
        <is>
          <t>Calculated W - SUM of the Amount column above</t>
        </is>
      </c>
      <c r="B1169" s="9" t="n"/>
      <c r="C1169" s="9" t="n"/>
      <c r="D1169" s="9" t="n"/>
      <c r="E1169" s="9" t="n"/>
      <c r="F1169" s="25">
        <f>SUM(F1159:F1168)</f>
        <v/>
      </c>
      <c r="G1169" s="9" t="n"/>
    </row>
    <row r="1170">
      <c r="A1170" s="26" t="inlineStr">
        <is>
          <t>W as printed in the DAR</t>
        </is>
      </c>
      <c r="B1170" s="22" t="n"/>
      <c r="C1170" s="22" t="n"/>
      <c r="D1170" s="22" t="n"/>
      <c r="E1170" s="22" t="n"/>
      <c r="F1170" s="27" t="n">
        <v>18104.84</v>
      </c>
      <c r="G1170" s="22" t="n"/>
    </row>
    <row r="1171">
      <c r="A1171" s="26" t="inlineStr">
        <is>
          <t>Difference (calculated - printed)</t>
        </is>
      </c>
      <c r="B1171" s="22" t="n"/>
      <c r="C1171" s="22" t="n"/>
      <c r="D1171" s="22" t="n"/>
      <c r="E1171" s="22" t="n"/>
      <c r="F1171" s="27">
        <f>F1169-F1170</f>
        <v/>
      </c>
      <c r="G1171" s="22" t="n"/>
    </row>
    <row r="1172">
      <c r="A1172" s="29" t="inlineStr">
        <is>
          <t>SAY (Rs.) - final DAR rate as printed (fixed value, not computed)</t>
        </is>
      </c>
      <c r="B1172" s="30" t="n"/>
      <c r="C1172" s="30" t="n"/>
      <c r="D1172" s="30" t="n"/>
      <c r="E1172" s="30" t="n"/>
      <c r="F1172" s="31" t="n">
        <v>2422.3</v>
      </c>
      <c r="G1172" s="30" t="n"/>
    </row>
    <row r="1174" ht="47.5" customHeight="1">
      <c r="A1174" s="8" t="inlineStr">
        <is>
          <t>11.23</t>
        </is>
      </c>
      <c r="B1174"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174" s="9" t="n"/>
      <c r="D1174" s="9" t="n"/>
      <c r="E1174" s="9" t="n"/>
      <c r="F1174" s="9" t="n"/>
      <c r="G1174" s="9" t="n"/>
    </row>
    <row r="1175" ht="18.5" customHeight="1">
      <c r="A1175" s="18" t="inlineStr">
        <is>
          <t>11.23.5</t>
        </is>
      </c>
      <c r="B1175" s="19" t="inlineStr">
        <is>
          <t>Udaipur green marble</t>
        </is>
      </c>
      <c r="C1175" s="20" t="n"/>
      <c r="D1175" s="20" t="n"/>
      <c r="E1175" s="20" t="n"/>
      <c r="F1175" s="20" t="n"/>
      <c r="G1175" s="20" t="n"/>
    </row>
    <row r="1176">
      <c r="A1176" s="21" t="inlineStr">
        <is>
          <t>Details of cost for 10 sqm   |   Source: CivilDAR_2019_Vol_1.pdf, page 768</t>
        </is>
      </c>
    </row>
    <row r="1177">
      <c r="A1177" s="5" t="inlineStr">
        <is>
          <t>Code</t>
        </is>
      </c>
      <c r="B1177" s="5" t="inlineStr">
        <is>
          <t>Description</t>
        </is>
      </c>
      <c r="C1177" s="5" t="inlineStr">
        <is>
          <t>Unit</t>
        </is>
      </c>
      <c r="D1177" s="5" t="inlineStr">
        <is>
          <t>Quantity</t>
        </is>
      </c>
      <c r="E1177" s="5" t="inlineStr">
        <is>
          <t>Rate (Rs.)</t>
        </is>
      </c>
      <c r="F1177" s="5" t="inlineStr">
        <is>
          <t>Amount (Rs.)</t>
        </is>
      </c>
      <c r="G1177" s="5" t="inlineStr">
        <is>
          <t>Note</t>
        </is>
      </c>
    </row>
    <row r="1178">
      <c r="A1178" s="22" t="inlineStr">
        <is>
          <t>6010</t>
        </is>
      </c>
      <c r="B1178" s="11" t="inlineStr">
        <is>
          <t>Udaypur green marble slab plain 18mm thick</t>
        </is>
      </c>
      <c r="C1178" s="22" t="inlineStr">
        <is>
          <t>sqm</t>
        </is>
      </c>
      <c r="D1178" s="23" t="n">
        <v>11.5</v>
      </c>
      <c r="E1178" s="24" t="n">
        <v>620</v>
      </c>
      <c r="F1178" s="24">
        <f>D1178*E1178</f>
        <v/>
      </c>
      <c r="G1178" s="22" t="n"/>
    </row>
    <row r="1179">
      <c r="A1179" s="7" t="inlineStr">
        <is>
          <t>3.9</t>
        </is>
      </c>
      <c r="B1179" s="11" t="inlineStr">
        <is>
          <t>Rate as per item 3.9 - Cement mortar 1:4 (1 cement : 4 coarse sand)</t>
        </is>
      </c>
      <c r="C1179" s="22" t="inlineStr">
        <is>
          <t>cum</t>
        </is>
      </c>
      <c r="D1179" s="23" t="n">
        <v>0.224</v>
      </c>
      <c r="E1179" s="24" t="n">
        <v>4010.35</v>
      </c>
      <c r="F1179" s="24">
        <f>D1179*E1179</f>
        <v/>
      </c>
      <c r="G1179" s="22" t="n"/>
    </row>
    <row r="1180">
      <c r="A1180" s="22" t="inlineStr">
        <is>
          <t>0367</t>
        </is>
      </c>
      <c r="B1180" s="11" t="inlineStr">
        <is>
          <t>Portland Cement</t>
        </is>
      </c>
      <c r="C1180" s="22" t="inlineStr">
        <is>
          <t>tonne</t>
        </is>
      </c>
      <c r="D1180" s="23" t="n">
        <v>0.05</v>
      </c>
      <c r="E1180" s="24" t="n">
        <v>4940</v>
      </c>
      <c r="F1180" s="24">
        <f>D1180*E1180</f>
        <v/>
      </c>
      <c r="G1180" s="22" t="n"/>
    </row>
    <row r="1181">
      <c r="A1181" s="22" t="inlineStr">
        <is>
          <t>9977</t>
        </is>
      </c>
      <c r="B1181" s="11" t="inlineStr">
        <is>
          <t>Carriage of marble slab</t>
        </is>
      </c>
      <c r="C1181" s="22" t="inlineStr">
        <is>
          <t>L.S.</t>
        </is>
      </c>
      <c r="D1181" s="23" t="n">
        <v>26.91</v>
      </c>
      <c r="E1181" s="24" t="n">
        <v>2</v>
      </c>
      <c r="F1181" s="24">
        <f>D1181*E1181</f>
        <v/>
      </c>
      <c r="G1181" s="22" t="n"/>
    </row>
    <row r="1182">
      <c r="A1182" s="22" t="inlineStr">
        <is>
          <t>0123</t>
        </is>
      </c>
      <c r="B1182" s="11" t="inlineStr">
        <is>
          <t>Mason (brick layer) 1st class</t>
        </is>
      </c>
      <c r="C1182" s="22" t="inlineStr">
        <is>
          <t>day</t>
        </is>
      </c>
      <c r="D1182" s="23" t="n">
        <v>1.2</v>
      </c>
      <c r="E1182" s="24" t="n">
        <v>738</v>
      </c>
      <c r="F1182" s="24">
        <f>D1182*E1182</f>
        <v/>
      </c>
      <c r="G1182" s="22" t="n"/>
    </row>
    <row r="1183">
      <c r="A1183" s="22" t="inlineStr">
        <is>
          <t>0114</t>
        </is>
      </c>
      <c r="B1183" s="11" t="inlineStr">
        <is>
          <t>Beldar</t>
        </is>
      </c>
      <c r="C1183" s="22" t="inlineStr">
        <is>
          <t>day</t>
        </is>
      </c>
      <c r="D1183" s="23" t="n">
        <v>1</v>
      </c>
      <c r="E1183" s="24" t="n">
        <v>558</v>
      </c>
      <c r="F1183" s="24">
        <f>D1183*E1183</f>
        <v/>
      </c>
      <c r="G1183" s="22" t="n"/>
    </row>
    <row r="1184">
      <c r="A1184" s="22" t="inlineStr">
        <is>
          <t>0115</t>
        </is>
      </c>
      <c r="B1184" s="11" t="inlineStr">
        <is>
          <t>Coolie</t>
        </is>
      </c>
      <c r="C1184" s="22" t="inlineStr">
        <is>
          <t>day</t>
        </is>
      </c>
      <c r="D1184" s="23" t="n">
        <v>1</v>
      </c>
      <c r="E1184" s="24" t="n">
        <v>558</v>
      </c>
      <c r="F1184" s="24">
        <f>D1184*E1184</f>
        <v/>
      </c>
      <c r="G1184" s="22" t="n"/>
    </row>
    <row r="1185">
      <c r="A1185" s="22" t="inlineStr">
        <is>
          <t>0139</t>
        </is>
      </c>
      <c r="B1185" s="11" t="inlineStr">
        <is>
          <t>Skilled Beldar (for floor rubbing etc.)</t>
        </is>
      </c>
      <c r="C1185" s="22" t="inlineStr">
        <is>
          <t>day</t>
        </is>
      </c>
      <c r="D1185" s="23" t="n">
        <v>5</v>
      </c>
      <c r="E1185" s="24" t="n">
        <v>617</v>
      </c>
      <c r="F1185" s="24">
        <f>D1185*E1185</f>
        <v/>
      </c>
      <c r="G1185" s="22" t="n"/>
    </row>
    <row r="1186">
      <c r="A1186" s="22" t="inlineStr">
        <is>
          <t>0013</t>
        </is>
      </c>
      <c r="B1186" s="11" t="inlineStr">
        <is>
          <t>Machine for rubbing of floors</t>
        </is>
      </c>
      <c r="C1186" s="22" t="inlineStr">
        <is>
          <t>day</t>
        </is>
      </c>
      <c r="D1186" s="23" t="n">
        <v>4</v>
      </c>
      <c r="E1186" s="24" t="n">
        <v>300</v>
      </c>
      <c r="F1186" s="24">
        <f>D1186*E1186</f>
        <v/>
      </c>
      <c r="G1186" s="22" t="n"/>
    </row>
    <row r="1187">
      <c r="A1187" s="22" t="inlineStr">
        <is>
          <t>9988</t>
        </is>
      </c>
      <c r="B1187" s="11" t="inlineStr">
        <is>
          <t>Sundries and carriage of cement etc.</t>
        </is>
      </c>
      <c r="C1187" s="22" t="inlineStr">
        <is>
          <t>L.S.</t>
        </is>
      </c>
      <c r="D1187" s="23" t="n">
        <v>134.55</v>
      </c>
      <c r="E1187" s="24" t="n">
        <v>2</v>
      </c>
      <c r="F1187" s="24">
        <f>D1187*E1187</f>
        <v/>
      </c>
      <c r="G1187" s="22" t="n"/>
    </row>
    <row r="1188">
      <c r="A1188" s="8" t="inlineStr">
        <is>
          <t>Calculated W - SUM of the Amount column above</t>
        </is>
      </c>
      <c r="B1188" s="9" t="n"/>
      <c r="C1188" s="9" t="n"/>
      <c r="D1188" s="9" t="n"/>
      <c r="E1188" s="9" t="n"/>
      <c r="F1188" s="25">
        <f>SUM(F1178:F1187)</f>
        <v/>
      </c>
      <c r="G1188" s="9" t="n"/>
    </row>
    <row r="1189">
      <c r="A1189" s="26" t="inlineStr">
        <is>
          <t>W as printed in the DAR</t>
        </is>
      </c>
      <c r="B1189" s="22" t="n"/>
      <c r="C1189" s="22" t="n"/>
      <c r="D1189" s="22" t="n"/>
      <c r="E1189" s="22" t="n"/>
      <c r="F1189" s="27" t="n">
        <v>14884.84</v>
      </c>
      <c r="G1189" s="22" t="n"/>
    </row>
    <row r="1190">
      <c r="A1190" s="26" t="inlineStr">
        <is>
          <t>Difference (calculated - printed)</t>
        </is>
      </c>
      <c r="B1190" s="22" t="n"/>
      <c r="C1190" s="22" t="n"/>
      <c r="D1190" s="22" t="n"/>
      <c r="E1190" s="22" t="n"/>
      <c r="F1190" s="27">
        <f>F1188-F1189</f>
        <v/>
      </c>
      <c r="G1190" s="22" t="n"/>
    </row>
    <row r="1191">
      <c r="A1191" s="29" t="inlineStr">
        <is>
          <t>SAY (Rs.) - final DAR rate as printed (fixed value, not computed)</t>
        </is>
      </c>
      <c r="B1191" s="30" t="n"/>
      <c r="C1191" s="30" t="n"/>
      <c r="D1191" s="30" t="n"/>
      <c r="E1191" s="30" t="n"/>
      <c r="F1191" s="31" t="n">
        <v>1991.5</v>
      </c>
      <c r="G1191" s="30" t="n"/>
    </row>
    <row r="1193" ht="47.5" customHeight="1">
      <c r="A1193" s="8" t="inlineStr">
        <is>
          <t>11.23</t>
        </is>
      </c>
      <c r="B1193" s="17"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t>
        </is>
      </c>
      <c r="C1193" s="9" t="n"/>
      <c r="D1193" s="9" t="n"/>
      <c r="E1193" s="9" t="n"/>
      <c r="F1193" s="9" t="n"/>
      <c r="G1193" s="9" t="n"/>
    </row>
    <row r="1194" ht="18.5" customHeight="1">
      <c r="A1194" s="18" t="inlineStr">
        <is>
          <t>11.23.6</t>
        </is>
      </c>
      <c r="B1194" s="19" t="inlineStr">
        <is>
          <t>Pink plain marble</t>
        </is>
      </c>
      <c r="C1194" s="20" t="n"/>
      <c r="D1194" s="20" t="n"/>
      <c r="E1194" s="20" t="n"/>
      <c r="F1194" s="20" t="n"/>
      <c r="G1194" s="20" t="n"/>
    </row>
    <row r="1195">
      <c r="A1195" s="21" t="inlineStr">
        <is>
          <t>Details of cost for 10 sqm   |   Source: CivilDAR_2019_Vol_1.pdf, page 768</t>
        </is>
      </c>
    </row>
    <row r="1196">
      <c r="A1196" s="5" t="inlineStr">
        <is>
          <t>Code</t>
        </is>
      </c>
      <c r="B1196" s="5" t="inlineStr">
        <is>
          <t>Description</t>
        </is>
      </c>
      <c r="C1196" s="5" t="inlineStr">
        <is>
          <t>Unit</t>
        </is>
      </c>
      <c r="D1196" s="5" t="inlineStr">
        <is>
          <t>Quantity</t>
        </is>
      </c>
      <c r="E1196" s="5" t="inlineStr">
        <is>
          <t>Rate (Rs.)</t>
        </is>
      </c>
      <c r="F1196" s="5" t="inlineStr">
        <is>
          <t>Amount (Rs.)</t>
        </is>
      </c>
      <c r="G1196" s="5" t="inlineStr">
        <is>
          <t>Note</t>
        </is>
      </c>
    </row>
    <row r="1197">
      <c r="A1197" s="22" t="inlineStr">
        <is>
          <t>6007</t>
        </is>
      </c>
      <c r="B1197" s="11" t="inlineStr">
        <is>
          <t>Pink marble slab plain 18mm thick</t>
        </is>
      </c>
      <c r="C1197" s="22" t="inlineStr">
        <is>
          <t>sqm</t>
        </is>
      </c>
      <c r="D1197" s="23" t="n">
        <v>11.5</v>
      </c>
      <c r="E1197" s="24" t="n">
        <v>645</v>
      </c>
      <c r="F1197" s="24">
        <f>D1197*E1197</f>
        <v/>
      </c>
      <c r="G1197" s="22" t="n"/>
    </row>
    <row r="1198">
      <c r="A1198" s="7" t="inlineStr">
        <is>
          <t>3.9</t>
        </is>
      </c>
      <c r="B1198" s="11" t="inlineStr">
        <is>
          <t>Rate as per item 3.9 - Cement mortar 1:4 (1 cement : 4 coarse sand)</t>
        </is>
      </c>
      <c r="C1198" s="22" t="inlineStr">
        <is>
          <t>cum</t>
        </is>
      </c>
      <c r="D1198" s="23" t="n">
        <v>0.224</v>
      </c>
      <c r="E1198" s="24" t="n">
        <v>4010.35</v>
      </c>
      <c r="F1198" s="24">
        <f>D1198*E1198</f>
        <v/>
      </c>
      <c r="G1198" s="22" t="n"/>
    </row>
    <row r="1199">
      <c r="A1199" s="22" t="inlineStr">
        <is>
          <t>0367</t>
        </is>
      </c>
      <c r="B1199" s="11" t="inlineStr">
        <is>
          <t>Portland Cement</t>
        </is>
      </c>
      <c r="C1199" s="22" t="inlineStr">
        <is>
          <t>tonne</t>
        </is>
      </c>
      <c r="D1199" s="23" t="n">
        <v>0.05</v>
      </c>
      <c r="E1199" s="24" t="n">
        <v>4940</v>
      </c>
      <c r="F1199" s="24">
        <f>D1199*E1199</f>
        <v/>
      </c>
      <c r="G1199" s="22" t="n"/>
    </row>
    <row r="1200">
      <c r="A1200" s="22" t="inlineStr">
        <is>
          <t>9977</t>
        </is>
      </c>
      <c r="B1200" s="11" t="inlineStr">
        <is>
          <t>Carriage of marble slab</t>
        </is>
      </c>
      <c r="C1200" s="22" t="inlineStr">
        <is>
          <t>L.S.</t>
        </is>
      </c>
      <c r="D1200" s="23" t="n">
        <v>26.91</v>
      </c>
      <c r="E1200" s="24" t="n">
        <v>2</v>
      </c>
      <c r="F1200" s="24">
        <f>D1200*E1200</f>
        <v/>
      </c>
      <c r="G1200" s="22" t="n"/>
    </row>
    <row r="1201">
      <c r="A1201" s="22" t="inlineStr">
        <is>
          <t>0123</t>
        </is>
      </c>
      <c r="B1201" s="11" t="inlineStr">
        <is>
          <t>Mason (brick layer) 1st class</t>
        </is>
      </c>
      <c r="C1201" s="22" t="inlineStr">
        <is>
          <t>day</t>
        </is>
      </c>
      <c r="D1201" s="23" t="n">
        <v>1.2</v>
      </c>
      <c r="E1201" s="24" t="n">
        <v>738</v>
      </c>
      <c r="F1201" s="24">
        <f>D1201*E1201</f>
        <v/>
      </c>
      <c r="G1201" s="22" t="n"/>
    </row>
    <row r="1202">
      <c r="A1202" s="22" t="inlineStr">
        <is>
          <t>0114</t>
        </is>
      </c>
      <c r="B1202" s="11" t="inlineStr">
        <is>
          <t>Beldar</t>
        </is>
      </c>
      <c r="C1202" s="22" t="inlineStr">
        <is>
          <t>day</t>
        </is>
      </c>
      <c r="D1202" s="23" t="n">
        <v>1</v>
      </c>
      <c r="E1202" s="24" t="n">
        <v>558</v>
      </c>
      <c r="F1202" s="24">
        <f>D1202*E1202</f>
        <v/>
      </c>
      <c r="G1202" s="22" t="n"/>
    </row>
    <row r="1203">
      <c r="A1203" s="22" t="inlineStr">
        <is>
          <t>0115</t>
        </is>
      </c>
      <c r="B1203" s="11" t="inlineStr">
        <is>
          <t>Coolie</t>
        </is>
      </c>
      <c r="C1203" s="22" t="inlineStr">
        <is>
          <t>day</t>
        </is>
      </c>
      <c r="D1203" s="23" t="n">
        <v>1</v>
      </c>
      <c r="E1203" s="24" t="n">
        <v>558</v>
      </c>
      <c r="F1203" s="24">
        <f>D1203*E1203</f>
        <v/>
      </c>
      <c r="G1203" s="22" t="n"/>
    </row>
    <row r="1204">
      <c r="A1204" s="22" t="inlineStr">
        <is>
          <t>0139</t>
        </is>
      </c>
      <c r="B1204" s="11" t="inlineStr">
        <is>
          <t>Skilled Beldar (for floor rubbing etc.)</t>
        </is>
      </c>
      <c r="C1204" s="22" t="inlineStr">
        <is>
          <t>day</t>
        </is>
      </c>
      <c r="D1204" s="23" t="n">
        <v>5</v>
      </c>
      <c r="E1204" s="24" t="n">
        <v>617</v>
      </c>
      <c r="F1204" s="24">
        <f>D1204*E1204</f>
        <v/>
      </c>
      <c r="G1204" s="22" t="n"/>
    </row>
    <row r="1205">
      <c r="A1205" s="22" t="inlineStr">
        <is>
          <t>0013</t>
        </is>
      </c>
      <c r="B1205" s="11" t="inlineStr">
        <is>
          <t>Machine for rubbing of floors</t>
        </is>
      </c>
      <c r="C1205" s="22" t="inlineStr">
        <is>
          <t>day</t>
        </is>
      </c>
      <c r="D1205" s="23" t="n">
        <v>4</v>
      </c>
      <c r="E1205" s="24" t="n">
        <v>300</v>
      </c>
      <c r="F1205" s="24">
        <f>D1205*E1205</f>
        <v/>
      </c>
      <c r="G1205" s="22" t="n"/>
    </row>
    <row r="1206">
      <c r="A1206" s="22" t="inlineStr">
        <is>
          <t>9988</t>
        </is>
      </c>
      <c r="B1206" s="11" t="inlineStr">
        <is>
          <t>Sundries and carriage of cement etc.</t>
        </is>
      </c>
      <c r="C1206" s="22" t="inlineStr">
        <is>
          <t>L.S.</t>
        </is>
      </c>
      <c r="D1206" s="23" t="n">
        <v>134.55</v>
      </c>
      <c r="E1206" s="24" t="n">
        <v>2</v>
      </c>
      <c r="F1206" s="24">
        <f>D1206*E1206</f>
        <v/>
      </c>
      <c r="G1206" s="22" t="n"/>
    </row>
    <row r="1207">
      <c r="A1207" s="8" t="inlineStr">
        <is>
          <t>Calculated W - SUM of the Amount column above</t>
        </is>
      </c>
      <c r="B1207" s="9" t="n"/>
      <c r="C1207" s="9" t="n"/>
      <c r="D1207" s="9" t="n"/>
      <c r="E1207" s="9" t="n"/>
      <c r="F1207" s="25">
        <f>SUM(F1197:F1206)</f>
        <v/>
      </c>
      <c r="G1207" s="9" t="n"/>
    </row>
    <row r="1208">
      <c r="A1208" s="26" t="inlineStr">
        <is>
          <t>W as printed in the DAR</t>
        </is>
      </c>
      <c r="B1208" s="22" t="n"/>
      <c r="C1208" s="22" t="n"/>
      <c r="D1208" s="22" t="n"/>
      <c r="E1208" s="22" t="n"/>
      <c r="F1208" s="27" t="n">
        <v>15172.34</v>
      </c>
      <c r="G1208" s="22" t="n"/>
    </row>
    <row r="1209">
      <c r="A1209" s="26" t="inlineStr">
        <is>
          <t>Difference (calculated - printed)</t>
        </is>
      </c>
      <c r="B1209" s="22" t="n"/>
      <c r="C1209" s="22" t="n"/>
      <c r="D1209" s="22" t="n"/>
      <c r="E1209" s="22" t="n"/>
      <c r="F1209" s="27">
        <f>F1207-F1208</f>
        <v/>
      </c>
      <c r="G1209" s="22" t="n"/>
    </row>
    <row r="1210">
      <c r="A1210" s="29" t="inlineStr">
        <is>
          <t>SAY (Rs.) - final DAR rate as printed (fixed value, not computed)</t>
        </is>
      </c>
      <c r="B1210" s="30" t="n"/>
      <c r="C1210" s="30" t="n"/>
      <c r="D1210" s="30" t="n"/>
      <c r="E1210" s="30" t="n"/>
      <c r="F1210" s="31" t="n">
        <v>2029.95</v>
      </c>
      <c r="G1210" s="30" t="n"/>
    </row>
    <row r="1212" ht="18.5" customHeight="1">
      <c r="A1212" s="18" t="inlineStr">
        <is>
          <t>11.24</t>
        </is>
      </c>
      <c r="B1212" s="19" t="inlineStr">
        <is>
          <t>Extra for pre finished nosing to treads of steps of marble stone.</t>
        </is>
      </c>
      <c r="C1212" s="20" t="n"/>
      <c r="D1212" s="20" t="n"/>
      <c r="E1212" s="20" t="n"/>
      <c r="F1212" s="20" t="n"/>
      <c r="G1212" s="20" t="n"/>
    </row>
    <row r="1213">
      <c r="A1213" s="21" t="inlineStr">
        <is>
          <t>Details of cost for 10 metre   |   Source: CivilDAR_2019_Vol_1.pdf, page 769</t>
        </is>
      </c>
    </row>
    <row r="1214">
      <c r="A1214" s="5" t="inlineStr">
        <is>
          <t>Code</t>
        </is>
      </c>
      <c r="B1214" s="5" t="inlineStr">
        <is>
          <t>Description</t>
        </is>
      </c>
      <c r="C1214" s="5" t="inlineStr">
        <is>
          <t>Unit</t>
        </is>
      </c>
      <c r="D1214" s="5" t="inlineStr">
        <is>
          <t>Quantity</t>
        </is>
      </c>
      <c r="E1214" s="5" t="inlineStr">
        <is>
          <t>Rate (Rs.)</t>
        </is>
      </c>
      <c r="F1214" s="5" t="inlineStr">
        <is>
          <t>Amount (Rs.)</t>
        </is>
      </c>
      <c r="G1214" s="5" t="inlineStr">
        <is>
          <t>Note</t>
        </is>
      </c>
    </row>
    <row r="1215">
      <c r="A1215" s="22" t="inlineStr">
        <is>
          <t>0126</t>
        </is>
      </c>
      <c r="B1215" s="11" t="inlineStr">
        <is>
          <t>Mason (for ornamental stone work) 1st class</t>
        </is>
      </c>
      <c r="C1215" s="22" t="inlineStr">
        <is>
          <t>day</t>
        </is>
      </c>
      <c r="D1215" s="23" t="n">
        <v>2</v>
      </c>
      <c r="E1215" s="24" t="n">
        <v>738</v>
      </c>
      <c r="F1215" s="24">
        <f>D1215*E1215</f>
        <v/>
      </c>
      <c r="G1215" s="22" t="n"/>
    </row>
    <row r="1216">
      <c r="A1216" s="22" t="inlineStr">
        <is>
          <t>0114</t>
        </is>
      </c>
      <c r="B1216" s="11" t="inlineStr">
        <is>
          <t>Beldar</t>
        </is>
      </c>
      <c r="C1216" s="22" t="inlineStr">
        <is>
          <t>day</t>
        </is>
      </c>
      <c r="D1216" s="23" t="n">
        <v>1.5</v>
      </c>
      <c r="E1216" s="24" t="n">
        <v>558</v>
      </c>
      <c r="F1216" s="24">
        <f>D1216*E1216</f>
        <v/>
      </c>
      <c r="G1216" s="22" t="n"/>
    </row>
    <row r="1217">
      <c r="A1217" s="22" t="inlineStr">
        <is>
          <t>0139</t>
        </is>
      </c>
      <c r="B1217" s="11" t="inlineStr">
        <is>
          <t>Skilled Beldar (for floor rubbing etc.)</t>
        </is>
      </c>
      <c r="C1217" s="22" t="inlineStr">
        <is>
          <t>day</t>
        </is>
      </c>
      <c r="D1217" s="23" t="n">
        <v>2.5</v>
      </c>
      <c r="E1217" s="24" t="n">
        <v>617</v>
      </c>
      <c r="F1217" s="24">
        <f>D1217*E1217</f>
        <v/>
      </c>
      <c r="G1217" s="22" t="n"/>
    </row>
    <row r="1218">
      <c r="A1218" s="22" t="inlineStr">
        <is>
          <t>9999</t>
        </is>
      </c>
      <c r="B1218" s="11" t="inlineStr">
        <is>
          <t>Sundries</t>
        </is>
      </c>
      <c r="C1218" s="22" t="inlineStr">
        <is>
          <t>L.S.</t>
        </is>
      </c>
      <c r="D1218" s="23" t="n">
        <v>53.82</v>
      </c>
      <c r="E1218" s="24" t="n">
        <v>2</v>
      </c>
      <c r="F1218" s="24">
        <f>D1218*E1218</f>
        <v/>
      </c>
      <c r="G1218" s="22" t="n"/>
    </row>
    <row r="1219">
      <c r="A1219" s="8" t="inlineStr">
        <is>
          <t>Calculated W - SUM of the Amount column above</t>
        </is>
      </c>
      <c r="B1219" s="9" t="n"/>
      <c r="C1219" s="9" t="n"/>
      <c r="D1219" s="9" t="n"/>
      <c r="E1219" s="9" t="n"/>
      <c r="F1219" s="25">
        <f>SUM(F1215:F1218)</f>
        <v/>
      </c>
      <c r="G1219" s="9" t="n"/>
    </row>
    <row r="1220">
      <c r="A1220" s="26" t="inlineStr">
        <is>
          <t>W as printed in the DAR</t>
        </is>
      </c>
      <c r="B1220" s="22" t="n"/>
      <c r="C1220" s="22" t="n"/>
      <c r="D1220" s="22" t="n"/>
      <c r="E1220" s="22" t="n"/>
      <c r="F1220" s="27" t="n">
        <v>3963.14</v>
      </c>
      <c r="G1220" s="22" t="n"/>
    </row>
    <row r="1221">
      <c r="A1221" s="26" t="inlineStr">
        <is>
          <t>Difference (calculated - printed)</t>
        </is>
      </c>
      <c r="B1221" s="22" t="n"/>
      <c r="C1221" s="22" t="n"/>
      <c r="D1221" s="22" t="n"/>
      <c r="E1221" s="22" t="n"/>
      <c r="F1221" s="27">
        <f>F1219-F1220</f>
        <v/>
      </c>
      <c r="G1221" s="22" t="n"/>
    </row>
    <row r="1222">
      <c r="A1222" s="29" t="inlineStr">
        <is>
          <t>SAY (Rs.) - final DAR rate as printed (fixed value, not computed)</t>
        </is>
      </c>
      <c r="B1222" s="30" t="n"/>
      <c r="C1222" s="30" t="n"/>
      <c r="D1222" s="30" t="n"/>
      <c r="E1222" s="30" t="n"/>
      <c r="F1222" s="31" t="n">
        <v>530.25</v>
      </c>
      <c r="G1222" s="30" t="n"/>
    </row>
    <row r="1224" ht="18.5" customHeight="1">
      <c r="A1224" s="18" t="inlineStr">
        <is>
          <t>11.25</t>
        </is>
      </c>
      <c r="B1224" s="19" t="inlineStr">
        <is>
          <t>Extra for marble stone flooring in treads of steps and risers using single length up to 2.00 metre.</t>
        </is>
      </c>
      <c r="C1224" s="20" t="n"/>
      <c r="D1224" s="20" t="n"/>
      <c r="E1224" s="20" t="n"/>
      <c r="F1224" s="20" t="n"/>
      <c r="G1224" s="20" t="n"/>
    </row>
    <row r="1225">
      <c r="A1225" s="21" t="inlineStr">
        <is>
          <t>Details of cost for 10 sqm   |   Source: CivilDAR_2019_Vol_1.pdf, page 770</t>
        </is>
      </c>
    </row>
    <row r="1226">
      <c r="A1226" s="5" t="inlineStr">
        <is>
          <t>Code</t>
        </is>
      </c>
      <c r="B1226" s="5" t="inlineStr">
        <is>
          <t>Description</t>
        </is>
      </c>
      <c r="C1226" s="5" t="inlineStr">
        <is>
          <t>Unit</t>
        </is>
      </c>
      <c r="D1226" s="5" t="inlineStr">
        <is>
          <t>Quantity</t>
        </is>
      </c>
      <c r="E1226" s="5" t="inlineStr">
        <is>
          <t>Rate (Rs.)</t>
        </is>
      </c>
      <c r="F1226" s="5" t="inlineStr">
        <is>
          <t>Amount (Rs.)</t>
        </is>
      </c>
      <c r="G1226" s="5" t="inlineStr">
        <is>
          <t>Note</t>
        </is>
      </c>
    </row>
    <row r="1227">
      <c r="A1227" s="22" t="inlineStr">
        <is>
          <t>0123</t>
        </is>
      </c>
      <c r="B1227" s="11" t="inlineStr">
        <is>
          <t>Mason (brick layer) 1st class</t>
        </is>
      </c>
      <c r="C1227" s="22" t="inlineStr">
        <is>
          <t>day</t>
        </is>
      </c>
      <c r="D1227" s="23" t="n">
        <v>1.95</v>
      </c>
      <c r="E1227" s="24" t="n">
        <v>738</v>
      </c>
      <c r="F1227" s="24">
        <f>D1227*E1227</f>
        <v/>
      </c>
      <c r="G1227" s="22" t="n"/>
    </row>
    <row r="1228">
      <c r="A1228" s="22" t="inlineStr">
        <is>
          <t>0114</t>
        </is>
      </c>
      <c r="B1228" s="11" t="inlineStr">
        <is>
          <t>Beldar</t>
        </is>
      </c>
      <c r="C1228" s="22" t="inlineStr">
        <is>
          <t>day</t>
        </is>
      </c>
      <c r="D1228" s="23" t="n">
        <v>1.4</v>
      </c>
      <c r="E1228" s="24" t="n">
        <v>558</v>
      </c>
      <c r="F1228" s="24">
        <f>D1228*E1228</f>
        <v/>
      </c>
      <c r="G1228" s="22" t="n"/>
    </row>
    <row r="1229">
      <c r="A1229" s="22" t="inlineStr">
        <is>
          <t>0115</t>
        </is>
      </c>
      <c r="B1229" s="11" t="inlineStr">
        <is>
          <t>Coolie</t>
        </is>
      </c>
      <c r="C1229" s="22" t="inlineStr">
        <is>
          <t>day</t>
        </is>
      </c>
      <c r="D1229" s="23" t="n">
        <v>0.75</v>
      </c>
      <c r="E1229" s="24" t="n">
        <v>558</v>
      </c>
      <c r="F1229" s="24">
        <f>D1229*E1229</f>
        <v/>
      </c>
      <c r="G1229" s="22" t="n"/>
    </row>
    <row r="1230">
      <c r="A1230" s="22" t="inlineStr">
        <is>
          <t>0139</t>
        </is>
      </c>
      <c r="B1230" s="11" t="inlineStr">
        <is>
          <t>Skilled Beldar (for floor rubbing etc.)</t>
        </is>
      </c>
      <c r="C1230" s="22" t="inlineStr">
        <is>
          <t>day</t>
        </is>
      </c>
      <c r="D1230" s="23" t="n">
        <v>3.18</v>
      </c>
      <c r="E1230" s="24" t="n">
        <v>617</v>
      </c>
      <c r="F1230" s="24">
        <f>D1230*E1230</f>
        <v/>
      </c>
      <c r="G1230" s="22" t="n"/>
    </row>
    <row r="1231">
      <c r="A1231" s="22" t="inlineStr">
        <is>
          <t>9999</t>
        </is>
      </c>
      <c r="B1231" s="11" t="inlineStr">
        <is>
          <t>Sundries</t>
        </is>
      </c>
      <c r="C1231" s="22" t="inlineStr">
        <is>
          <t>L.S.</t>
        </is>
      </c>
      <c r="D1231" s="23" t="n">
        <v>26.91</v>
      </c>
      <c r="E1231" s="24" t="n">
        <v>2</v>
      </c>
      <c r="F1231" s="24">
        <f>D1231*E1231</f>
        <v/>
      </c>
      <c r="G1231" s="22" t="n"/>
    </row>
    <row r="1232">
      <c r="A1232" s="8" t="inlineStr">
        <is>
          <t>Calculated W - SUM of the Amount column above</t>
        </is>
      </c>
      <c r="B1232" s="9" t="n"/>
      <c r="C1232" s="9" t="n"/>
      <c r="D1232" s="9" t="n"/>
      <c r="E1232" s="9" t="n"/>
      <c r="F1232" s="25">
        <f>SUM(F1227:F1231)</f>
        <v/>
      </c>
      <c r="G1232" s="9" t="n"/>
    </row>
    <row r="1233">
      <c r="A1233" s="26" t="inlineStr">
        <is>
          <t>W as printed in the DAR</t>
        </is>
      </c>
      <c r="B1233" s="22" t="n"/>
      <c r="C1233" s="22" t="n"/>
      <c r="D1233" s="22" t="n"/>
      <c r="E1233" s="22" t="n"/>
      <c r="F1233" s="27" t="n">
        <v>4654.68</v>
      </c>
      <c r="G1233" s="22" t="n"/>
    </row>
    <row r="1234">
      <c r="A1234" s="26" t="inlineStr">
        <is>
          <t>Difference (calculated - printed)</t>
        </is>
      </c>
      <c r="B1234" s="22" t="n"/>
      <c r="C1234" s="22" t="n"/>
      <c r="D1234" s="22" t="n"/>
      <c r="E1234" s="22" t="n"/>
      <c r="F1234" s="27">
        <f>F1232-F1233</f>
        <v/>
      </c>
      <c r="G1234" s="22" t="n"/>
    </row>
    <row r="1235">
      <c r="A1235" s="29" t="inlineStr">
        <is>
          <t>SAY (Rs.) - final DAR rate as printed (fixed value, not computed)</t>
        </is>
      </c>
      <c r="B1235" s="30" t="n"/>
      <c r="C1235" s="30" t="n"/>
      <c r="D1235" s="30" t="n"/>
      <c r="E1235" s="30" t="n"/>
      <c r="F1235" s="31" t="n">
        <v>622.75</v>
      </c>
      <c r="G1235" s="30" t="n"/>
    </row>
    <row r="1237" ht="47.5" customHeight="1">
      <c r="A1237" s="8" t="inlineStr">
        <is>
          <t>11.26</t>
        </is>
      </c>
      <c r="B1237" s="17" t="inlineStr">
        <is>
          <t>Kota stone slab flooring over 20 mm (average) thick base laid over and jointed with grey cement slurry mixed with pigment to match the shade of the slab, including rubbing and polishing complete with base of cement mortar 1 : 4 (1 cement : 4 coarse sand) :</t>
        </is>
      </c>
      <c r="C1237" s="9" t="n"/>
      <c r="D1237" s="9" t="n"/>
      <c r="E1237" s="9" t="n"/>
      <c r="F1237" s="9" t="n"/>
      <c r="G1237" s="9" t="n"/>
    </row>
    <row r="1238" ht="18.5" customHeight="1">
      <c r="A1238" s="18" t="inlineStr">
        <is>
          <t>11.26.1</t>
        </is>
      </c>
      <c r="B1238" s="19" t="inlineStr">
        <is>
          <t>25 mm thick</t>
        </is>
      </c>
      <c r="C1238" s="20" t="n"/>
      <c r="D1238" s="20" t="n"/>
      <c r="E1238" s="20" t="n"/>
      <c r="F1238" s="20" t="n"/>
      <c r="G1238" s="20" t="n"/>
    </row>
    <row r="1239">
      <c r="A1239" s="21" t="inlineStr">
        <is>
          <t>Details of cost for 10 sqm   |   Source: CivilDAR_2019_Vol_1.pdf, page 770</t>
        </is>
      </c>
    </row>
    <row r="1240">
      <c r="A1240" s="5" t="inlineStr">
        <is>
          <t>Code</t>
        </is>
      </c>
      <c r="B1240" s="5" t="inlineStr">
        <is>
          <t>Description</t>
        </is>
      </c>
      <c r="C1240" s="5" t="inlineStr">
        <is>
          <t>Unit</t>
        </is>
      </c>
      <c r="D1240" s="5" t="inlineStr">
        <is>
          <t>Quantity</t>
        </is>
      </c>
      <c r="E1240" s="5" t="inlineStr">
        <is>
          <t>Rate (Rs.)</t>
        </is>
      </c>
      <c r="F1240" s="5" t="inlineStr">
        <is>
          <t>Amount (Rs.)</t>
        </is>
      </c>
      <c r="G1240" s="5" t="inlineStr">
        <is>
          <t>Note</t>
        </is>
      </c>
    </row>
    <row r="1241">
      <c r="A1241" s="22" t="inlineStr">
        <is>
          <t>1168</t>
        </is>
      </c>
      <c r="B1241" s="11" t="inlineStr">
        <is>
          <t>Kota stone slab 20 mm to 25 mm thick (semi-polished) including 15% wastage</t>
        </is>
      </c>
      <c r="C1241" s="22" t="inlineStr">
        <is>
          <t>sqm</t>
        </is>
      </c>
      <c r="D1241" s="23" t="n">
        <v>11.5</v>
      </c>
      <c r="E1241" s="24" t="n">
        <v>280</v>
      </c>
      <c r="F1241" s="24">
        <f>D1241*E1241</f>
        <v/>
      </c>
      <c r="G1241" s="22" t="n"/>
    </row>
    <row r="1242">
      <c r="A1242" s="22" t="inlineStr">
        <is>
          <t>2216</t>
        </is>
      </c>
      <c r="B1242" s="11" t="inlineStr">
        <is>
          <t>Carriage of Stone blocks white &amp; red sand stone &amp; kota stone slab</t>
        </is>
      </c>
      <c r="C1242" s="22" t="inlineStr">
        <is>
          <t>tonne</t>
        </is>
      </c>
      <c r="D1242" s="23" t="n">
        <v>0.67</v>
      </c>
      <c r="E1242" s="24" t="n">
        <v>92.23999999999999</v>
      </c>
      <c r="F1242" s="24">
        <f>D1242*E1242</f>
        <v/>
      </c>
      <c r="G1242" s="22" t="n"/>
    </row>
    <row r="1243">
      <c r="A1243" s="7" t="inlineStr">
        <is>
          <t>3.9</t>
        </is>
      </c>
      <c r="B1243" s="11" t="inlineStr">
        <is>
          <t>Rate as per item 3.9 - Cement mortar 1:4 (1 cement : 4 coarse sand)</t>
        </is>
      </c>
      <c r="C1243" s="22" t="inlineStr">
        <is>
          <t>cum</t>
        </is>
      </c>
      <c r="D1243" s="23" t="n">
        <v>0.224</v>
      </c>
      <c r="E1243" s="24" t="n">
        <v>4010.35</v>
      </c>
      <c r="F1243" s="24">
        <f>D1243*E1243</f>
        <v/>
      </c>
      <c r="G1243" s="22" t="n"/>
    </row>
    <row r="1244">
      <c r="A1244" s="22" t="inlineStr">
        <is>
          <t>0367</t>
        </is>
      </c>
      <c r="B1244" s="11" t="inlineStr">
        <is>
          <t>Portland Cement</t>
        </is>
      </c>
      <c r="C1244" s="22" t="inlineStr">
        <is>
          <t>tonne</t>
        </is>
      </c>
      <c r="D1244" s="23" t="n">
        <v>0.064</v>
      </c>
      <c r="E1244" s="24" t="n">
        <v>4940</v>
      </c>
      <c r="F1244" s="24">
        <f>D1244*E1244</f>
        <v/>
      </c>
      <c r="G1244" s="22" t="n"/>
    </row>
    <row r="1245">
      <c r="A1245" s="22" t="inlineStr">
        <is>
          <t>2209</t>
        </is>
      </c>
      <c r="B1245" s="11" t="inlineStr">
        <is>
          <t>Carriage of Cement</t>
        </is>
      </c>
      <c r="C1245" s="22" t="inlineStr">
        <is>
          <t>tonne</t>
        </is>
      </c>
      <c r="D1245" s="23" t="n">
        <v>0.064</v>
      </c>
      <c r="E1245" s="24" t="n">
        <v>92.23999999999999</v>
      </c>
      <c r="F1245" s="24">
        <f>D1245*E1245</f>
        <v/>
      </c>
      <c r="G1245" s="22" t="n"/>
    </row>
    <row r="1246">
      <c r="A1246" s="22" t="inlineStr">
        <is>
          <t>0874</t>
        </is>
      </c>
      <c r="B1246" s="11" t="inlineStr">
        <is>
          <t>Black colour dark shade pigment</t>
        </is>
      </c>
      <c r="C1246" s="22" t="inlineStr">
        <is>
          <t>kilogram</t>
        </is>
      </c>
      <c r="D1246" s="23" t="n">
        <v>4.5</v>
      </c>
      <c r="E1246" s="24" t="n">
        <v>70</v>
      </c>
      <c r="F1246" s="24">
        <f>D1246*E1246</f>
        <v/>
      </c>
      <c r="G1246" s="22" t="n"/>
    </row>
    <row r="1247">
      <c r="A1247" s="22" t="inlineStr">
        <is>
          <t>0124</t>
        </is>
      </c>
      <c r="B1247" s="11" t="inlineStr">
        <is>
          <t>Mason (brick layer) 2nd class</t>
        </is>
      </c>
      <c r="C1247" s="22" t="inlineStr">
        <is>
          <t>day</t>
        </is>
      </c>
      <c r="D1247" s="23" t="n">
        <v>1.2</v>
      </c>
      <c r="E1247" s="24" t="n">
        <v>679</v>
      </c>
      <c r="F1247" s="24">
        <f>D1247*E1247</f>
        <v/>
      </c>
      <c r="G1247" s="22" t="n"/>
    </row>
    <row r="1248">
      <c r="A1248" s="22" t="inlineStr">
        <is>
          <t>0114</t>
        </is>
      </c>
      <c r="B1248" s="11" t="inlineStr">
        <is>
          <t>Beldar</t>
        </is>
      </c>
      <c r="C1248" s="22" t="inlineStr">
        <is>
          <t>day</t>
        </is>
      </c>
      <c r="D1248" s="23" t="n">
        <v>1</v>
      </c>
      <c r="E1248" s="24" t="n">
        <v>558</v>
      </c>
      <c r="F1248" s="24">
        <f>D1248*E1248</f>
        <v/>
      </c>
      <c r="G1248" s="22" t="n"/>
    </row>
    <row r="1249">
      <c r="A1249" s="22" t="inlineStr">
        <is>
          <t>0115</t>
        </is>
      </c>
      <c r="B1249" s="11" t="inlineStr">
        <is>
          <t>Coolie</t>
        </is>
      </c>
      <c r="C1249" s="22" t="inlineStr">
        <is>
          <t>day</t>
        </is>
      </c>
      <c r="D1249" s="23" t="n">
        <v>1</v>
      </c>
      <c r="E1249" s="24" t="n">
        <v>558</v>
      </c>
      <c r="F1249" s="24">
        <f>D1249*E1249</f>
        <v/>
      </c>
      <c r="G1249" s="22" t="n"/>
    </row>
    <row r="1250">
      <c r="A1250" s="22" t="inlineStr">
        <is>
          <t>0139</t>
        </is>
      </c>
      <c r="B1250" s="11" t="inlineStr">
        <is>
          <t>Skilled Beldar (for floor rubbing etc.)</t>
        </is>
      </c>
      <c r="C1250" s="22" t="inlineStr">
        <is>
          <t>day</t>
        </is>
      </c>
      <c r="D1250" s="23" t="n">
        <v>5</v>
      </c>
      <c r="E1250" s="24" t="n">
        <v>617</v>
      </c>
      <c r="F1250" s="24">
        <f>D1250*E1250</f>
        <v/>
      </c>
      <c r="G1250" s="22" t="n"/>
    </row>
    <row r="1251">
      <c r="A1251" s="22" t="inlineStr">
        <is>
          <t>0013</t>
        </is>
      </c>
      <c r="B1251" s="11" t="inlineStr">
        <is>
          <t>Machine for rubbing of floors</t>
        </is>
      </c>
      <c r="C1251" s="22" t="inlineStr">
        <is>
          <t>day</t>
        </is>
      </c>
      <c r="D1251" s="23" t="n">
        <v>4</v>
      </c>
      <c r="E1251" s="24" t="n">
        <v>300</v>
      </c>
      <c r="F1251" s="24">
        <f>D1251*E1251</f>
        <v/>
      </c>
      <c r="G1251" s="22" t="n"/>
    </row>
    <row r="1252">
      <c r="A1252" s="22" t="inlineStr">
        <is>
          <t>9999</t>
        </is>
      </c>
      <c r="B1252" s="11" t="inlineStr">
        <is>
          <t>Sundries</t>
        </is>
      </c>
      <c r="C1252" s="22" t="inlineStr">
        <is>
          <t>L.S.</t>
        </is>
      </c>
      <c r="D1252" s="23" t="n">
        <v>208.13</v>
      </c>
      <c r="E1252" s="24" t="n">
        <v>2</v>
      </c>
      <c r="F1252" s="24">
        <f>D1252*E1252</f>
        <v/>
      </c>
      <c r="G1252" s="22" t="n"/>
    </row>
    <row r="1253">
      <c r="A1253" s="8" t="inlineStr">
        <is>
          <t>Calculated W - SUM of the Amount column above</t>
        </is>
      </c>
      <c r="B1253" s="9" t="n"/>
      <c r="C1253" s="9" t="n"/>
      <c r="D1253" s="9" t="n"/>
      <c r="E1253" s="9" t="n"/>
      <c r="F1253" s="25">
        <f>SUM(F1241:F1252)</f>
        <v/>
      </c>
      <c r="G1253" s="9" t="n"/>
    </row>
    <row r="1254">
      <c r="A1254" s="26" t="inlineStr">
        <is>
          <t>W as printed in the DAR</t>
        </is>
      </c>
      <c r="B1254" s="22" t="n"/>
      <c r="C1254" s="22" t="n"/>
      <c r="D1254" s="22" t="n"/>
      <c r="E1254" s="22" t="n"/>
      <c r="F1254" s="27" t="n">
        <v>11449.24</v>
      </c>
      <c r="G1254" s="22" t="n"/>
    </row>
    <row r="1255">
      <c r="A1255" s="26" t="inlineStr">
        <is>
          <t>Difference (calculated - printed)</t>
        </is>
      </c>
      <c r="B1255" s="22" t="n"/>
      <c r="C1255" s="22" t="n"/>
      <c r="D1255" s="22" t="n"/>
      <c r="E1255" s="22" t="n"/>
      <c r="F1255" s="27">
        <f>F1253-F1254</f>
        <v/>
      </c>
      <c r="G1255" s="22" t="n"/>
    </row>
    <row r="1256">
      <c r="A1256" s="29" t="inlineStr">
        <is>
          <t>SAY (Rs.) - final DAR rate as printed (fixed value, not computed)</t>
        </is>
      </c>
      <c r="B1256" s="30" t="n"/>
      <c r="C1256" s="30" t="n"/>
      <c r="D1256" s="30" t="n"/>
      <c r="E1256" s="30" t="n"/>
      <c r="F1256" s="31" t="n">
        <v>1531.85</v>
      </c>
      <c r="G1256" s="30" t="n"/>
    </row>
    <row r="1258" ht="47.5" customHeight="1">
      <c r="A1258" s="18" t="inlineStr">
        <is>
          <t>11.27</t>
        </is>
      </c>
      <c r="B1258" s="19" t="inlineStr">
        <is>
          <t>Kota stone slabs 20 mm thick in risers of steps, skirting, dado and pillars laid on 12 mm (average) thick cement mortar 1:3 (1 cement: 3 coarse sand) and jointed with grey cement slurry mixed with pigment to match the shade of the slabs, including rubbing and polishing complete.</t>
        </is>
      </c>
      <c r="C1258" s="20" t="n"/>
      <c r="D1258" s="20" t="n"/>
      <c r="E1258" s="20" t="n"/>
      <c r="F1258" s="20" t="n"/>
      <c r="G1258" s="20" t="n"/>
    </row>
    <row r="1259">
      <c r="A1259" s="21" t="inlineStr">
        <is>
          <t>Details of cost for 10 sqm   |   Source: CivilDAR_2019_Vol_1.pdf, page 771</t>
        </is>
      </c>
    </row>
    <row r="1260">
      <c r="A1260" s="5" t="inlineStr">
        <is>
          <t>Code</t>
        </is>
      </c>
      <c r="B1260" s="5" t="inlineStr">
        <is>
          <t>Description</t>
        </is>
      </c>
      <c r="C1260" s="5" t="inlineStr">
        <is>
          <t>Unit</t>
        </is>
      </c>
      <c r="D1260" s="5" t="inlineStr">
        <is>
          <t>Quantity</t>
        </is>
      </c>
      <c r="E1260" s="5" t="inlineStr">
        <is>
          <t>Rate (Rs.)</t>
        </is>
      </c>
      <c r="F1260" s="5" t="inlineStr">
        <is>
          <t>Amount (Rs.)</t>
        </is>
      </c>
      <c r="G1260" s="5" t="inlineStr">
        <is>
          <t>Note</t>
        </is>
      </c>
    </row>
    <row r="1261">
      <c r="A1261" s="22" t="inlineStr">
        <is>
          <t>1168</t>
        </is>
      </c>
      <c r="B1261" s="11" t="inlineStr">
        <is>
          <t>Kota stone slab 20 mm to 25 mm thick (semi-polished) including 15% wastage</t>
        </is>
      </c>
      <c r="C1261" s="22" t="inlineStr">
        <is>
          <t>sqm</t>
        </is>
      </c>
      <c r="D1261" s="23" t="n">
        <v>11.5</v>
      </c>
      <c r="E1261" s="24" t="n">
        <v>280</v>
      </c>
      <c r="F1261" s="24">
        <f>D1261*E1261</f>
        <v/>
      </c>
      <c r="G1261" s="22" t="n"/>
    </row>
    <row r="1262">
      <c r="A1262" s="22" t="inlineStr">
        <is>
          <t>2216</t>
        </is>
      </c>
      <c r="B1262" s="11" t="inlineStr">
        <is>
          <t>Carriage of Stone blocks white &amp; red sand stone &amp; kota stone slab</t>
        </is>
      </c>
      <c r="C1262" s="22" t="inlineStr">
        <is>
          <t>tonne</t>
        </is>
      </c>
      <c r="D1262" s="23" t="n">
        <v>0.67</v>
      </c>
      <c r="E1262" s="24" t="n">
        <v>92.23999999999999</v>
      </c>
      <c r="F1262" s="24">
        <f>D1262*E1262</f>
        <v/>
      </c>
      <c r="G1262" s="22" t="n"/>
    </row>
    <row r="1263">
      <c r="A1263" s="7" t="inlineStr">
        <is>
          <t>3.8</t>
        </is>
      </c>
      <c r="B1263" s="11" t="inlineStr">
        <is>
          <t>Rate as per item 3.8 - Cement mortar 1:3 (1 cement : 3 coarse sand)</t>
        </is>
      </c>
      <c r="C1263" s="22" t="inlineStr">
        <is>
          <t>cum</t>
        </is>
      </c>
      <c r="D1263" s="23" t="n">
        <v>0.144</v>
      </c>
      <c r="E1263" s="24" t="n">
        <v>4664.55</v>
      </c>
      <c r="F1263" s="24">
        <f>D1263*E1263</f>
        <v/>
      </c>
      <c r="G1263" s="22" t="n"/>
    </row>
    <row r="1264">
      <c r="A1264" s="22" t="inlineStr">
        <is>
          <t>0367</t>
        </is>
      </c>
      <c r="B1264" s="11" t="inlineStr">
        <is>
          <t>Portland Cement</t>
        </is>
      </c>
      <c r="C1264" s="22" t="inlineStr">
        <is>
          <t>tonne</t>
        </is>
      </c>
      <c r="D1264" s="23" t="n">
        <v>0.064</v>
      </c>
      <c r="E1264" s="24" t="n">
        <v>4940</v>
      </c>
      <c r="F1264" s="24">
        <f>D1264*E1264</f>
        <v/>
      </c>
      <c r="G1264" s="22" t="n"/>
    </row>
    <row r="1265">
      <c r="A1265" s="22" t="inlineStr">
        <is>
          <t>2209</t>
        </is>
      </c>
      <c r="B1265" s="11" t="inlineStr">
        <is>
          <t>Carriage of Cement</t>
        </is>
      </c>
      <c r="C1265" s="22" t="inlineStr">
        <is>
          <t>tonne</t>
        </is>
      </c>
      <c r="D1265" s="23" t="n">
        <v>0.064</v>
      </c>
      <c r="E1265" s="24" t="n">
        <v>92.23999999999999</v>
      </c>
      <c r="F1265" s="24">
        <f>D1265*E1265</f>
        <v/>
      </c>
      <c r="G1265" s="22" t="n"/>
    </row>
    <row r="1266">
      <c r="A1266" s="22" t="inlineStr">
        <is>
          <t>0874</t>
        </is>
      </c>
      <c r="B1266" s="11" t="inlineStr">
        <is>
          <t>Black colour dark shade pigment</t>
        </is>
      </c>
      <c r="C1266" s="22" t="inlineStr">
        <is>
          <t>kilogram</t>
        </is>
      </c>
      <c r="D1266" s="23" t="n">
        <v>4.5</v>
      </c>
      <c r="E1266" s="24" t="n">
        <v>70</v>
      </c>
      <c r="F1266" s="24">
        <f>D1266*E1266</f>
        <v/>
      </c>
      <c r="G1266" s="22" t="n"/>
    </row>
    <row r="1267">
      <c r="A1267" s="22" t="inlineStr">
        <is>
          <t>0124</t>
        </is>
      </c>
      <c r="B1267" s="11" t="inlineStr">
        <is>
          <t>Mason (brick layer) 2nd class</t>
        </is>
      </c>
      <c r="C1267" s="22" t="inlineStr">
        <is>
          <t>day</t>
        </is>
      </c>
      <c r="D1267" s="23" t="n">
        <v>3</v>
      </c>
      <c r="E1267" s="24" t="n">
        <v>679</v>
      </c>
      <c r="F1267" s="24">
        <f>D1267*E1267</f>
        <v/>
      </c>
      <c r="G1267" s="22" t="n"/>
    </row>
    <row r="1268">
      <c r="A1268" s="22" t="inlineStr">
        <is>
          <t>0114</t>
        </is>
      </c>
      <c r="B1268" s="11" t="inlineStr">
        <is>
          <t>Beldar</t>
        </is>
      </c>
      <c r="C1268" s="22" t="inlineStr">
        <is>
          <t>day</t>
        </is>
      </c>
      <c r="D1268" s="23" t="n">
        <v>3</v>
      </c>
      <c r="E1268" s="24" t="n">
        <v>558</v>
      </c>
      <c r="F1268" s="24">
        <f>D1268*E1268</f>
        <v/>
      </c>
      <c r="G1268" s="22" t="n"/>
    </row>
    <row r="1269">
      <c r="A1269" s="22" t="inlineStr">
        <is>
          <t>0115</t>
        </is>
      </c>
      <c r="B1269" s="11" t="inlineStr">
        <is>
          <t>Coolie</t>
        </is>
      </c>
      <c r="C1269" s="22" t="inlineStr">
        <is>
          <t>day</t>
        </is>
      </c>
      <c r="D1269" s="23" t="n">
        <v>1</v>
      </c>
      <c r="E1269" s="24" t="n">
        <v>558</v>
      </c>
      <c r="F1269" s="24">
        <f>D1269*E1269</f>
        <v/>
      </c>
      <c r="G1269" s="22" t="n"/>
    </row>
    <row r="1270">
      <c r="A1270" s="22" t="inlineStr">
        <is>
          <t>0139</t>
        </is>
      </c>
      <c r="B1270" s="11" t="inlineStr">
        <is>
          <t>Skilled Beldar (for floor rubbing etc.)</t>
        </is>
      </c>
      <c r="C1270" s="22" t="inlineStr">
        <is>
          <t>day</t>
        </is>
      </c>
      <c r="D1270" s="23" t="n">
        <v>7</v>
      </c>
      <c r="E1270" s="24" t="n">
        <v>617</v>
      </c>
      <c r="F1270" s="24">
        <f>D1270*E1270</f>
        <v/>
      </c>
      <c r="G1270" s="22" t="n"/>
    </row>
    <row r="1271">
      <c r="A1271" s="22" t="inlineStr">
        <is>
          <t>9999</t>
        </is>
      </c>
      <c r="B1271" s="11" t="inlineStr">
        <is>
          <t>Sundries</t>
        </is>
      </c>
      <c r="C1271" s="22" t="inlineStr">
        <is>
          <t>L.S.</t>
        </is>
      </c>
      <c r="D1271" s="23" t="n">
        <v>174.98</v>
      </c>
      <c r="E1271" s="24" t="n">
        <v>2</v>
      </c>
      <c r="F1271" s="24">
        <f>D1271*E1271</f>
        <v/>
      </c>
      <c r="G1271" s="22" t="n"/>
    </row>
    <row r="1272">
      <c r="A1272" s="8" t="inlineStr">
        <is>
          <t>Calculated W - SUM of the Amount column above</t>
        </is>
      </c>
      <c r="B1272" s="9" t="n"/>
      <c r="C1272" s="9" t="n"/>
      <c r="D1272" s="9" t="n"/>
      <c r="E1272" s="9" t="n"/>
      <c r="F1272" s="25">
        <f>SUM(F1261:F1271)</f>
        <v/>
      </c>
      <c r="G1272" s="9" t="n"/>
    </row>
    <row r="1273">
      <c r="A1273" s="26" t="inlineStr">
        <is>
          <t>W as printed in the DAR</t>
        </is>
      </c>
      <c r="B1273" s="22" t="n"/>
      <c r="C1273" s="22" t="n"/>
      <c r="D1273" s="22" t="n"/>
      <c r="E1273" s="22" t="n"/>
      <c r="F1273" s="27" t="n">
        <v>13528.52</v>
      </c>
      <c r="G1273" s="22" t="n"/>
    </row>
    <row r="1274">
      <c r="A1274" s="26" t="inlineStr">
        <is>
          <t>Difference (calculated - printed)</t>
        </is>
      </c>
      <c r="B1274" s="22" t="n"/>
      <c r="C1274" s="22" t="n"/>
      <c r="D1274" s="22" t="n"/>
      <c r="E1274" s="22" t="n"/>
      <c r="F1274" s="27">
        <f>F1272-F1273</f>
        <v/>
      </c>
      <c r="G1274" s="22" t="n"/>
    </row>
    <row r="1275">
      <c r="A1275" s="29" t="inlineStr">
        <is>
          <t>SAY (Rs.) - final DAR rate as printed (fixed value, not computed)</t>
        </is>
      </c>
      <c r="B1275" s="30" t="n"/>
      <c r="C1275" s="30" t="n"/>
      <c r="D1275" s="30" t="n"/>
      <c r="E1275" s="30" t="n"/>
      <c r="F1275" s="31" t="n">
        <v>1810.05</v>
      </c>
      <c r="G1275" s="30" t="n"/>
    </row>
    <row r="1277" ht="33" customHeight="1">
      <c r="A1277" s="8" t="inlineStr">
        <is>
          <t>11.28</t>
        </is>
      </c>
      <c r="B1277" s="17" t="inlineStr">
        <is>
          <t>40 mm thick fine dressed stone flooring over 20 mm (average) thick base of cement mortar 1:5 (1 cement : 5 coarse sand) with joints finished flush.</t>
        </is>
      </c>
      <c r="C1277" s="9" t="n"/>
      <c r="D1277" s="9" t="n"/>
      <c r="E1277" s="9" t="n"/>
      <c r="F1277" s="9" t="n"/>
      <c r="G1277" s="9" t="n"/>
    </row>
    <row r="1278" ht="18.5" customHeight="1">
      <c r="A1278" s="18" t="inlineStr">
        <is>
          <t>11.28.1</t>
        </is>
      </c>
      <c r="B1278" s="19" t="inlineStr">
        <is>
          <t>Red sand stone</t>
        </is>
      </c>
      <c r="C1278" s="20" t="n"/>
      <c r="D1278" s="20" t="n"/>
      <c r="E1278" s="20" t="n"/>
      <c r="F1278" s="20" t="n"/>
      <c r="G1278" s="20" t="n"/>
    </row>
    <row r="1279">
      <c r="A1279" s="21" t="inlineStr">
        <is>
          <t>Details of cost for 10 sqm   |   Source: CivilDAR_2019_Vol_1.pdf, page 772</t>
        </is>
      </c>
    </row>
    <row r="1280">
      <c r="A1280" s="5" t="inlineStr">
        <is>
          <t>Code</t>
        </is>
      </c>
      <c r="B1280" s="5" t="inlineStr">
        <is>
          <t>Description</t>
        </is>
      </c>
      <c r="C1280" s="5" t="inlineStr">
        <is>
          <t>Unit</t>
        </is>
      </c>
      <c r="D1280" s="5" t="inlineStr">
        <is>
          <t>Quantity</t>
        </is>
      </c>
      <c r="E1280" s="5" t="inlineStr">
        <is>
          <t>Rate (Rs.)</t>
        </is>
      </c>
      <c r="F1280" s="5" t="inlineStr">
        <is>
          <t>Amount (Rs.)</t>
        </is>
      </c>
      <c r="G1280" s="5" t="inlineStr">
        <is>
          <t>Note</t>
        </is>
      </c>
    </row>
    <row r="1281">
      <c r="A1281" s="22" t="inlineStr">
        <is>
          <t>1164</t>
        </is>
      </c>
      <c r="B1281" s="11" t="inlineStr">
        <is>
          <t>Red sand stone slab 40 mmthick (un-dressed)</t>
        </is>
      </c>
      <c r="C1281" s="22" t="inlineStr">
        <is>
          <t>sqm</t>
        </is>
      </c>
      <c r="D1281" s="23" t="n">
        <v>11</v>
      </c>
      <c r="E1281" s="24" t="n">
        <v>200</v>
      </c>
      <c r="F1281" s="24">
        <f>D1281*E1281</f>
        <v/>
      </c>
      <c r="G1281" s="22" t="n"/>
    </row>
    <row r="1282">
      <c r="A1282" s="22" t="inlineStr">
        <is>
          <t>9977</t>
        </is>
      </c>
      <c r="B1282" s="11" t="inlineStr">
        <is>
          <t>Carriage</t>
        </is>
      </c>
      <c r="C1282" s="22" t="inlineStr">
        <is>
          <t>L.S.</t>
        </is>
      </c>
      <c r="D1282" s="23" t="n">
        <v>34.06</v>
      </c>
      <c r="E1282" s="24" t="n">
        <v>2</v>
      </c>
      <c r="F1282" s="24">
        <f>D1282*E1282</f>
        <v/>
      </c>
      <c r="G1282" s="22" t="n"/>
    </row>
    <row r="1283">
      <c r="A1283" s="7" t="inlineStr">
        <is>
          <t>3.10</t>
        </is>
      </c>
      <c r="B1283" s="11" t="inlineStr">
        <is>
          <t>Rate as per item 3.10 - Cement mortar 1:5 (1 cement : 5 coarse sand)</t>
        </is>
      </c>
      <c r="C1283" s="22" t="inlineStr">
        <is>
          <t>cum</t>
        </is>
      </c>
      <c r="D1283" s="23" t="n">
        <v>0.25</v>
      </c>
      <c r="E1283" s="24" t="n">
        <v>3658.1</v>
      </c>
      <c r="F1283" s="24">
        <f>D1283*E1283</f>
        <v/>
      </c>
      <c r="G1283" s="22" t="n"/>
    </row>
    <row r="1284">
      <c r="A1284" s="22" t="inlineStr">
        <is>
          <t>0123</t>
        </is>
      </c>
      <c r="B1284" s="11" t="inlineStr">
        <is>
          <t>Mason (brick layer) 1st class</t>
        </is>
      </c>
      <c r="C1284" s="22" t="inlineStr">
        <is>
          <t>day</t>
        </is>
      </c>
      <c r="D1284" s="23" t="n">
        <v>3.1</v>
      </c>
      <c r="E1284" s="24" t="n">
        <v>738</v>
      </c>
      <c r="F1284" s="24">
        <f>D1284*E1284</f>
        <v/>
      </c>
      <c r="G1284" s="22" t="n"/>
    </row>
    <row r="1285">
      <c r="A1285" s="22" t="inlineStr">
        <is>
          <t>0100</t>
        </is>
      </c>
      <c r="B1285" s="11" t="inlineStr">
        <is>
          <t>Bandhani</t>
        </is>
      </c>
      <c r="C1285" s="22" t="inlineStr">
        <is>
          <t>day</t>
        </is>
      </c>
      <c r="D1285" s="23" t="n">
        <v>1.1</v>
      </c>
      <c r="E1285" s="24" t="n">
        <v>617</v>
      </c>
      <c r="F1285" s="24">
        <f>D1285*E1285</f>
        <v/>
      </c>
      <c r="G1285" s="22" t="n"/>
    </row>
    <row r="1286">
      <c r="A1286" s="22" t="inlineStr">
        <is>
          <t>0115</t>
        </is>
      </c>
      <c r="B1286" s="11" t="inlineStr">
        <is>
          <t>Coolie</t>
        </is>
      </c>
      <c r="C1286" s="22" t="inlineStr">
        <is>
          <t>day</t>
        </is>
      </c>
      <c r="D1286" s="23" t="n">
        <v>0.55</v>
      </c>
      <c r="E1286" s="24" t="n">
        <v>558</v>
      </c>
      <c r="F1286" s="24">
        <f>D1286*E1286</f>
        <v/>
      </c>
      <c r="G1286" s="22" t="n"/>
    </row>
    <row r="1287">
      <c r="A1287" s="22" t="inlineStr">
        <is>
          <t>0101</t>
        </is>
      </c>
      <c r="B1287" s="11" t="inlineStr">
        <is>
          <t>Bhisti</t>
        </is>
      </c>
      <c r="C1287" s="22" t="inlineStr">
        <is>
          <t>day</t>
        </is>
      </c>
      <c r="D1287" s="23" t="n">
        <v>0.27</v>
      </c>
      <c r="E1287" s="24" t="n">
        <v>617</v>
      </c>
      <c r="F1287" s="24">
        <f>D1287*E1287</f>
        <v/>
      </c>
      <c r="G1287" s="22" t="n"/>
    </row>
    <row r="1288">
      <c r="A1288" s="22" t="inlineStr">
        <is>
          <t>9999</t>
        </is>
      </c>
      <c r="B1288" s="11" t="inlineStr">
        <is>
          <t>Sundries</t>
        </is>
      </c>
      <c r="C1288" s="22" t="inlineStr">
        <is>
          <t>L.S.</t>
        </is>
      </c>
      <c r="D1288" s="23" t="n">
        <v>10.79</v>
      </c>
      <c r="E1288" s="24" t="n">
        <v>2</v>
      </c>
      <c r="F1288" s="24">
        <f>D1288*E1288</f>
        <v/>
      </c>
      <c r="G1288" s="22" t="n"/>
    </row>
    <row r="1289">
      <c r="A1289" s="8" t="inlineStr">
        <is>
          <t>Calculated W - SUM of the Amount column above</t>
        </is>
      </c>
      <c r="B1289" s="9" t="n"/>
      <c r="C1289" s="9" t="n"/>
      <c r="D1289" s="9" t="n"/>
      <c r="E1289" s="9" t="n"/>
      <c r="F1289" s="25">
        <f>SUM(F1281:F1288)</f>
        <v/>
      </c>
      <c r="G1289" s="9" t="n"/>
    </row>
    <row r="1290">
      <c r="A1290" s="26" t="inlineStr">
        <is>
          <t>W as printed in the DAR</t>
        </is>
      </c>
      <c r="B1290" s="22" t="n"/>
      <c r="C1290" s="22" t="n"/>
      <c r="D1290" s="22" t="n"/>
      <c r="E1290" s="22" t="n"/>
      <c r="F1290" s="27" t="n">
        <v>6644.22</v>
      </c>
      <c r="G1290" s="22" t="n"/>
    </row>
    <row r="1291">
      <c r="A1291" s="26" t="inlineStr">
        <is>
          <t>Difference (calculated - printed)</t>
        </is>
      </c>
      <c r="B1291" s="22" t="n"/>
      <c r="C1291" s="22" t="n"/>
      <c r="D1291" s="22" t="n"/>
      <c r="E1291" s="22" t="n"/>
      <c r="F1291" s="27">
        <f>F1289-F1290</f>
        <v/>
      </c>
      <c r="G1291" s="22" t="n"/>
    </row>
    <row r="1292">
      <c r="A1292" s="29" t="inlineStr">
        <is>
          <t>SAY (Rs.) - final DAR rate as printed (fixed value, not computed)</t>
        </is>
      </c>
      <c r="B1292" s="30" t="n"/>
      <c r="C1292" s="30" t="n"/>
      <c r="D1292" s="30" t="n"/>
      <c r="E1292" s="30" t="n"/>
      <c r="F1292" s="31" t="n">
        <v>888.95</v>
      </c>
      <c r="G1292" s="30" t="n"/>
    </row>
    <row r="1294" ht="33" customHeight="1">
      <c r="A1294" s="8" t="inlineStr">
        <is>
          <t>11.28</t>
        </is>
      </c>
      <c r="B1294" s="17" t="inlineStr">
        <is>
          <t>40 mm thick fine dressed stone flooring over 20 mm (average) thick base of cement mortar 1:5 (1 cement : 5 coarse sand) with joints finished flush.</t>
        </is>
      </c>
      <c r="C1294" s="9" t="n"/>
      <c r="D1294" s="9" t="n"/>
      <c r="E1294" s="9" t="n"/>
      <c r="F1294" s="9" t="n"/>
      <c r="G1294" s="9" t="n"/>
    </row>
    <row r="1295" ht="18.5" customHeight="1">
      <c r="A1295" s="18" t="inlineStr">
        <is>
          <t>11.28.2</t>
        </is>
      </c>
      <c r="B1295" s="19" t="inlineStr">
        <is>
          <t>White sand stone</t>
        </is>
      </c>
      <c r="C1295" s="20" t="n"/>
      <c r="D1295" s="20" t="n"/>
      <c r="E1295" s="20" t="n"/>
      <c r="F1295" s="20" t="n"/>
      <c r="G1295" s="20" t="n"/>
    </row>
    <row r="1296">
      <c r="A1296" s="21" t="inlineStr">
        <is>
          <t>Details of cost for 10 sqm   |   Source: CivilDAR_2019_Vol_1.pdf, page 772</t>
        </is>
      </c>
    </row>
    <row r="1297">
      <c r="A1297" s="5" t="inlineStr">
        <is>
          <t>Code</t>
        </is>
      </c>
      <c r="B1297" s="5" t="inlineStr">
        <is>
          <t>Description</t>
        </is>
      </c>
      <c r="C1297" s="5" t="inlineStr">
        <is>
          <t>Unit</t>
        </is>
      </c>
      <c r="D1297" s="5" t="inlineStr">
        <is>
          <t>Quantity</t>
        </is>
      </c>
      <c r="E1297" s="5" t="inlineStr">
        <is>
          <t>Rate (Rs.)</t>
        </is>
      </c>
      <c r="F1297" s="5" t="inlineStr">
        <is>
          <t>Amount (Rs.)</t>
        </is>
      </c>
      <c r="G1297" s="5" t="inlineStr">
        <is>
          <t>Note</t>
        </is>
      </c>
    </row>
    <row r="1298">
      <c r="A1298" s="22" t="inlineStr">
        <is>
          <t>1165</t>
        </is>
      </c>
      <c r="B1298" s="11" t="inlineStr">
        <is>
          <t>White sand stone slab 40 mm thick (un-dressed)</t>
        </is>
      </c>
      <c r="C1298" s="22" t="inlineStr">
        <is>
          <t>sqm</t>
        </is>
      </c>
      <c r="D1298" s="23" t="n">
        <v>11</v>
      </c>
      <c r="E1298" s="24" t="n">
        <v>200</v>
      </c>
      <c r="F1298" s="24">
        <f>D1298*E1298</f>
        <v/>
      </c>
      <c r="G1298" s="22" t="n"/>
    </row>
    <row r="1299">
      <c r="A1299" s="22" t="inlineStr">
        <is>
          <t>9977</t>
        </is>
      </c>
      <c r="B1299" s="11" t="inlineStr">
        <is>
          <t>Carriage</t>
        </is>
      </c>
      <c r="C1299" s="22" t="inlineStr">
        <is>
          <t>L.S.</t>
        </is>
      </c>
      <c r="D1299" s="23" t="n">
        <v>34.06</v>
      </c>
      <c r="E1299" s="24" t="n">
        <v>2</v>
      </c>
      <c r="F1299" s="24">
        <f>D1299*E1299</f>
        <v/>
      </c>
      <c r="G1299" s="22" t="n"/>
    </row>
    <row r="1300">
      <c r="A1300" s="7" t="inlineStr">
        <is>
          <t>3.10</t>
        </is>
      </c>
      <c r="B1300" s="11" t="inlineStr">
        <is>
          <t>Rate as per item 3.10 - Cement mortar 1:5 (1 cement : 5 coarse sand)</t>
        </is>
      </c>
      <c r="C1300" s="22" t="inlineStr">
        <is>
          <t>cum</t>
        </is>
      </c>
      <c r="D1300" s="23" t="n">
        <v>0.25</v>
      </c>
      <c r="E1300" s="24" t="n">
        <v>3658.1</v>
      </c>
      <c r="F1300" s="24">
        <f>D1300*E1300</f>
        <v/>
      </c>
      <c r="G1300" s="22" t="n"/>
    </row>
    <row r="1301">
      <c r="A1301" s="22" t="inlineStr">
        <is>
          <t>0123</t>
        </is>
      </c>
      <c r="B1301" s="11" t="inlineStr">
        <is>
          <t>Mason (brick layer) 1st class</t>
        </is>
      </c>
      <c r="C1301" s="22" t="inlineStr">
        <is>
          <t>day</t>
        </is>
      </c>
      <c r="D1301" s="23" t="n">
        <v>3.1</v>
      </c>
      <c r="E1301" s="24" t="n">
        <v>738</v>
      </c>
      <c r="F1301" s="24">
        <f>D1301*E1301</f>
        <v/>
      </c>
      <c r="G1301" s="22" t="n"/>
    </row>
    <row r="1302">
      <c r="A1302" s="22" t="inlineStr">
        <is>
          <t>0100</t>
        </is>
      </c>
      <c r="B1302" s="11" t="inlineStr">
        <is>
          <t>Bandhani</t>
        </is>
      </c>
      <c r="C1302" s="22" t="inlineStr">
        <is>
          <t>day</t>
        </is>
      </c>
      <c r="D1302" s="23" t="n">
        <v>1.1</v>
      </c>
      <c r="E1302" s="24" t="n">
        <v>617</v>
      </c>
      <c r="F1302" s="24">
        <f>D1302*E1302</f>
        <v/>
      </c>
      <c r="G1302" s="22" t="n"/>
    </row>
    <row r="1303">
      <c r="A1303" s="22" t="inlineStr">
        <is>
          <t>0115</t>
        </is>
      </c>
      <c r="B1303" s="11" t="inlineStr">
        <is>
          <t>Coolie</t>
        </is>
      </c>
      <c r="C1303" s="22" t="inlineStr">
        <is>
          <t>day</t>
        </is>
      </c>
      <c r="D1303" s="23" t="n">
        <v>0.55</v>
      </c>
      <c r="E1303" s="24" t="n">
        <v>558</v>
      </c>
      <c r="F1303" s="24">
        <f>D1303*E1303</f>
        <v/>
      </c>
      <c r="G1303" s="22" t="n"/>
    </row>
    <row r="1304">
      <c r="A1304" s="22" t="inlineStr">
        <is>
          <t>0101</t>
        </is>
      </c>
      <c r="B1304" s="11" t="inlineStr">
        <is>
          <t>Bhisti</t>
        </is>
      </c>
      <c r="C1304" s="22" t="inlineStr">
        <is>
          <t>day</t>
        </is>
      </c>
      <c r="D1304" s="23" t="n">
        <v>0.27</v>
      </c>
      <c r="E1304" s="24" t="n">
        <v>617</v>
      </c>
      <c r="F1304" s="24">
        <f>D1304*E1304</f>
        <v/>
      </c>
      <c r="G1304" s="22" t="n"/>
    </row>
    <row r="1305">
      <c r="A1305" s="22" t="inlineStr">
        <is>
          <t>9999</t>
        </is>
      </c>
      <c r="B1305" s="11" t="inlineStr">
        <is>
          <t>Sundries</t>
        </is>
      </c>
      <c r="C1305" s="22" t="inlineStr">
        <is>
          <t>L.S.</t>
        </is>
      </c>
      <c r="D1305" s="23" t="n">
        <v>10.79</v>
      </c>
      <c r="E1305" s="24" t="n">
        <v>2</v>
      </c>
      <c r="F1305" s="24">
        <f>D1305*E1305</f>
        <v/>
      </c>
      <c r="G1305" s="22" t="n"/>
    </row>
    <row r="1306">
      <c r="A1306" s="8" t="inlineStr">
        <is>
          <t>Calculated W - SUM of the Amount column above</t>
        </is>
      </c>
      <c r="B1306" s="9" t="n"/>
      <c r="C1306" s="9" t="n"/>
      <c r="D1306" s="9" t="n"/>
      <c r="E1306" s="9" t="n"/>
      <c r="F1306" s="25">
        <f>SUM(F1298:F1305)</f>
        <v/>
      </c>
      <c r="G1306" s="9" t="n"/>
    </row>
    <row r="1307">
      <c r="A1307" s="26" t="inlineStr">
        <is>
          <t>W as printed in the DAR</t>
        </is>
      </c>
      <c r="B1307" s="22" t="n"/>
      <c r="C1307" s="22" t="n"/>
      <c r="D1307" s="22" t="n"/>
      <c r="E1307" s="22" t="n"/>
      <c r="F1307" s="27" t="n">
        <v>6644.22</v>
      </c>
      <c r="G1307" s="22" t="n"/>
    </row>
    <row r="1308">
      <c r="A1308" s="26" t="inlineStr">
        <is>
          <t>Difference (calculated - printed)</t>
        </is>
      </c>
      <c r="B1308" s="22" t="n"/>
      <c r="C1308" s="22" t="n"/>
      <c r="D1308" s="22" t="n"/>
      <c r="E1308" s="22" t="n"/>
      <c r="F1308" s="27">
        <f>F1306-F1307</f>
        <v/>
      </c>
      <c r="G1308" s="22" t="n"/>
    </row>
    <row r="1309">
      <c r="A1309" s="29" t="inlineStr">
        <is>
          <t>SAY (Rs.) - final DAR rate as printed (fixed value, not computed)</t>
        </is>
      </c>
      <c r="B1309" s="30" t="n"/>
      <c r="C1309" s="30" t="n"/>
      <c r="D1309" s="30" t="n"/>
      <c r="E1309" s="30" t="n"/>
      <c r="F1309" s="31" t="n">
        <v>888.95</v>
      </c>
      <c r="G1309" s="30" t="n"/>
    </row>
    <row r="1311" ht="33" customHeight="1">
      <c r="A1311" s="8" t="inlineStr">
        <is>
          <t>11.29</t>
        </is>
      </c>
      <c r="B1311" s="17" t="inlineStr">
        <is>
          <t>40 mm thick fine dressed stone flooring over 20 mm (average) thick base of cement mortar 1:5 (1 cement : 5 coarse sand), including pointing with cement mortar 1:2 (1 cement : 2 stone dust) with an admixture of pigment to match the shade of stone.</t>
        </is>
      </c>
      <c r="C1311" s="9" t="n"/>
      <c r="D1311" s="9" t="n"/>
      <c r="E1311" s="9" t="n"/>
      <c r="F1311" s="9" t="n"/>
      <c r="G1311" s="9" t="n"/>
    </row>
    <row r="1312" ht="18.5" customHeight="1">
      <c r="A1312" s="18" t="inlineStr">
        <is>
          <t>11.29.1</t>
        </is>
      </c>
      <c r="B1312" s="19" t="inlineStr">
        <is>
          <t>Red sand stone</t>
        </is>
      </c>
      <c r="C1312" s="20" t="n"/>
      <c r="D1312" s="20" t="n"/>
      <c r="E1312" s="20" t="n"/>
      <c r="F1312" s="20" t="n"/>
      <c r="G1312" s="20" t="n"/>
    </row>
    <row r="1313">
      <c r="A1313" s="21" t="inlineStr">
        <is>
          <t>Details of cost for 10 sqm   |   Source: CivilDAR_2019_Vol_1.pdf, page 773</t>
        </is>
      </c>
    </row>
    <row r="1314">
      <c r="A1314" s="5" t="inlineStr">
        <is>
          <t>Code</t>
        </is>
      </c>
      <c r="B1314" s="5" t="inlineStr">
        <is>
          <t>Description</t>
        </is>
      </c>
      <c r="C1314" s="5" t="inlineStr">
        <is>
          <t>Unit</t>
        </is>
      </c>
      <c r="D1314" s="5" t="inlineStr">
        <is>
          <t>Quantity</t>
        </is>
      </c>
      <c r="E1314" s="5" t="inlineStr">
        <is>
          <t>Rate (Rs.)</t>
        </is>
      </c>
      <c r="F1314" s="5" t="inlineStr">
        <is>
          <t>Amount (Rs.)</t>
        </is>
      </c>
      <c r="G1314" s="5" t="inlineStr">
        <is>
          <t>Note</t>
        </is>
      </c>
    </row>
    <row r="1315">
      <c r="A1315" s="22" t="inlineStr">
        <is>
          <t>1164</t>
        </is>
      </c>
      <c r="B1315" s="11" t="inlineStr">
        <is>
          <t>Red sand stone slab 40 mmthick (un-dressed)</t>
        </is>
      </c>
      <c r="C1315" s="22" t="inlineStr">
        <is>
          <t>sqm</t>
        </is>
      </c>
      <c r="D1315" s="23" t="n">
        <v>11</v>
      </c>
      <c r="E1315" s="24" t="n">
        <v>200</v>
      </c>
      <c r="F1315" s="24">
        <f>D1315*E1315</f>
        <v/>
      </c>
      <c r="G1315" s="22" t="n"/>
    </row>
    <row r="1316">
      <c r="A1316" s="22" t="inlineStr">
        <is>
          <t>9977</t>
        </is>
      </c>
      <c r="B1316" s="11" t="inlineStr">
        <is>
          <t>Carriage</t>
        </is>
      </c>
      <c r="C1316" s="22" t="inlineStr">
        <is>
          <t>L.S.</t>
        </is>
      </c>
      <c r="D1316" s="23" t="n">
        <v>34.06</v>
      </c>
      <c r="E1316" s="24" t="n">
        <v>2</v>
      </c>
      <c r="F1316" s="24">
        <f>D1316*E1316</f>
        <v/>
      </c>
      <c r="G1316" s="22" t="n"/>
    </row>
    <row r="1317">
      <c r="A1317" s="7" t="inlineStr">
        <is>
          <t>3.10</t>
        </is>
      </c>
      <c r="B1317" s="11" t="inlineStr">
        <is>
          <t>Rate as per item 3.10 - Cement mortar 1:5 (1 cement : 5 coarse sand)</t>
        </is>
      </c>
      <c r="C1317" s="22" t="inlineStr">
        <is>
          <t>cum</t>
        </is>
      </c>
      <c r="D1317" s="23" t="n">
        <v>0.25</v>
      </c>
      <c r="E1317" s="24" t="n">
        <v>3658.1</v>
      </c>
      <c r="F1317" s="24">
        <f>D1317*E1317</f>
        <v/>
      </c>
      <c r="G1317" s="22" t="n"/>
    </row>
    <row r="1318">
      <c r="A1318" s="7" t="inlineStr">
        <is>
          <t>3.12</t>
        </is>
      </c>
      <c r="B1318" s="11" t="inlineStr">
        <is>
          <t>Rate as per item 3.12 - Cement mortar 1:2 (1 cement : 2 stone dust)</t>
        </is>
      </c>
      <c r="C1318" s="22" t="inlineStr">
        <is>
          <t>cum</t>
        </is>
      </c>
      <c r="D1318" s="23" t="n">
        <v>0.023</v>
      </c>
      <c r="E1318" s="24" t="n">
        <v>5108.05</v>
      </c>
      <c r="F1318" s="24">
        <f>D1318*E1318</f>
        <v/>
      </c>
      <c r="G1318" s="22" t="n"/>
    </row>
    <row r="1319">
      <c r="A1319" s="22" t="inlineStr">
        <is>
          <t>0123</t>
        </is>
      </c>
      <c r="B1319" s="11" t="inlineStr">
        <is>
          <t>Mason (brick layer) 1st class</t>
        </is>
      </c>
      <c r="C1319" s="22" t="inlineStr">
        <is>
          <t>day</t>
        </is>
      </c>
      <c r="D1319" s="23" t="n">
        <v>3.9</v>
      </c>
      <c r="E1319" s="24" t="n">
        <v>738</v>
      </c>
      <c r="F1319" s="24">
        <f>D1319*E1319</f>
        <v/>
      </c>
      <c r="G1319" s="22" t="n"/>
    </row>
    <row r="1320">
      <c r="A1320" s="22" t="inlineStr">
        <is>
          <t>0100</t>
        </is>
      </c>
      <c r="B1320" s="11" t="inlineStr">
        <is>
          <t>Bandhani</t>
        </is>
      </c>
      <c r="C1320" s="22" t="inlineStr">
        <is>
          <t>day</t>
        </is>
      </c>
      <c r="D1320" s="23" t="n">
        <v>1.1</v>
      </c>
      <c r="E1320" s="24" t="n">
        <v>617</v>
      </c>
      <c r="F1320" s="24">
        <f>D1320*E1320</f>
        <v/>
      </c>
      <c r="G1320" s="22" t="n"/>
    </row>
    <row r="1321">
      <c r="A1321" s="22" t="inlineStr">
        <is>
          <t>0115</t>
        </is>
      </c>
      <c r="B1321" s="11" t="inlineStr">
        <is>
          <t>Coolie</t>
        </is>
      </c>
      <c r="C1321" s="22" t="inlineStr">
        <is>
          <t>day</t>
        </is>
      </c>
      <c r="D1321" s="23" t="n">
        <v>1.4</v>
      </c>
      <c r="E1321" s="24" t="n">
        <v>558</v>
      </c>
      <c r="F1321" s="24">
        <f>D1321*E1321</f>
        <v/>
      </c>
      <c r="G1321" s="22" t="n"/>
    </row>
    <row r="1322">
      <c r="A1322" s="22" t="inlineStr">
        <is>
          <t>0101</t>
        </is>
      </c>
      <c r="B1322" s="11" t="inlineStr">
        <is>
          <t>Bhisti</t>
        </is>
      </c>
      <c r="C1322" s="22" t="inlineStr">
        <is>
          <t>day</t>
        </is>
      </c>
      <c r="D1322" s="23" t="n">
        <v>0.55</v>
      </c>
      <c r="E1322" s="24" t="n">
        <v>617</v>
      </c>
      <c r="F1322" s="24">
        <f>D1322*E1322</f>
        <v/>
      </c>
      <c r="G1322" s="22" t="n"/>
    </row>
    <row r="1323">
      <c r="A1323" s="22" t="inlineStr">
        <is>
          <t>9999</t>
        </is>
      </c>
      <c r="B1323" s="11" t="inlineStr">
        <is>
          <t>Sundries</t>
        </is>
      </c>
      <c r="C1323" s="22" t="inlineStr">
        <is>
          <t>L.S.</t>
        </is>
      </c>
      <c r="D1323" s="23" t="n">
        <v>26.91</v>
      </c>
      <c r="E1323" s="24" t="n">
        <v>2</v>
      </c>
      <c r="F1323" s="24">
        <f>D1323*E1323</f>
        <v/>
      </c>
      <c r="G1323" s="22" t="n"/>
    </row>
    <row r="1324">
      <c r="A1324" s="8" t="inlineStr">
        <is>
          <t>Calculated W - SUM of the Amount column above</t>
        </is>
      </c>
      <c r="B1324" s="9" t="n"/>
      <c r="C1324" s="9" t="n"/>
      <c r="D1324" s="9" t="n"/>
      <c r="E1324" s="9" t="n"/>
      <c r="F1324" s="25">
        <f>SUM(F1315:F1323)</f>
        <v/>
      </c>
      <c r="G1324" s="9" t="n"/>
    </row>
    <row r="1325">
      <c r="A1325" s="26" t="inlineStr">
        <is>
          <t>W as printed in the DAR</t>
        </is>
      </c>
      <c r="B1325" s="22" t="n"/>
      <c r="C1325" s="22" t="n"/>
      <c r="D1325" s="22" t="n"/>
      <c r="E1325" s="22" t="n"/>
      <c r="F1325" s="27" t="n">
        <v>8031.4</v>
      </c>
      <c r="G1325" s="22" t="n"/>
    </row>
    <row r="1326">
      <c r="A1326" s="26" t="inlineStr">
        <is>
          <t>Difference (calculated - printed)</t>
        </is>
      </c>
      <c r="B1326" s="22" t="n"/>
      <c r="C1326" s="22" t="n"/>
      <c r="D1326" s="22" t="n"/>
      <c r="E1326" s="22" t="n"/>
      <c r="F1326" s="27">
        <f>F1324-F1325</f>
        <v/>
      </c>
      <c r="G1326" s="22" t="n"/>
    </row>
    <row r="1327">
      <c r="A1327" s="29" t="inlineStr">
        <is>
          <t>SAY (Rs.) - final DAR rate as printed (fixed value, not computed)</t>
        </is>
      </c>
      <c r="B1327" s="30" t="n"/>
      <c r="C1327" s="30" t="n"/>
      <c r="D1327" s="30" t="n"/>
      <c r="E1327" s="30" t="n"/>
      <c r="F1327" s="31" t="n">
        <v>1074.55</v>
      </c>
      <c r="G1327" s="30" t="n"/>
    </row>
    <row r="1329" ht="33" customHeight="1">
      <c r="A1329" s="8" t="inlineStr">
        <is>
          <t>11.29</t>
        </is>
      </c>
      <c r="B1329" s="17" t="inlineStr">
        <is>
          <t>40 mm thick fine dressed stone flooring over 20 mm (average) thick base of cement mortar 1:5 (1 cement : 5 coarse sand), including pointing with cement mortar 1:2 (1 cement : 2 stone dust) with an admixture of pigment to match the shade of stone.</t>
        </is>
      </c>
      <c r="C1329" s="9" t="n"/>
      <c r="D1329" s="9" t="n"/>
      <c r="E1329" s="9" t="n"/>
      <c r="F1329" s="9" t="n"/>
      <c r="G1329" s="9" t="n"/>
    </row>
    <row r="1330" ht="18.5" customHeight="1">
      <c r="A1330" s="18" t="inlineStr">
        <is>
          <t>11.29.2</t>
        </is>
      </c>
      <c r="B1330" s="19" t="inlineStr">
        <is>
          <t>White sand stone</t>
        </is>
      </c>
      <c r="C1330" s="20" t="n"/>
      <c r="D1330" s="20" t="n"/>
      <c r="E1330" s="20" t="n"/>
      <c r="F1330" s="20" t="n"/>
      <c r="G1330" s="20" t="n"/>
    </row>
    <row r="1331">
      <c r="A1331" s="21" t="inlineStr">
        <is>
          <t>Details of cost for 10 sqm   |   Source: CivilDAR_2019_Vol_1.pdf, page 774</t>
        </is>
      </c>
    </row>
    <row r="1332">
      <c r="A1332" s="5" t="inlineStr">
        <is>
          <t>Code</t>
        </is>
      </c>
      <c r="B1332" s="5" t="inlineStr">
        <is>
          <t>Description</t>
        </is>
      </c>
      <c r="C1332" s="5" t="inlineStr">
        <is>
          <t>Unit</t>
        </is>
      </c>
      <c r="D1332" s="5" t="inlineStr">
        <is>
          <t>Quantity</t>
        </is>
      </c>
      <c r="E1332" s="5" t="inlineStr">
        <is>
          <t>Rate (Rs.)</t>
        </is>
      </c>
      <c r="F1332" s="5" t="inlineStr">
        <is>
          <t>Amount (Rs.)</t>
        </is>
      </c>
      <c r="G1332" s="5" t="inlineStr">
        <is>
          <t>Note</t>
        </is>
      </c>
    </row>
    <row r="1333">
      <c r="A1333" s="22" t="inlineStr">
        <is>
          <t>1165</t>
        </is>
      </c>
      <c r="B1333" s="11" t="inlineStr">
        <is>
          <t>White sand stone slab 40 mm thick (un-dressed)</t>
        </is>
      </c>
      <c r="C1333" s="22" t="inlineStr">
        <is>
          <t>sqm</t>
        </is>
      </c>
      <c r="D1333" s="23" t="n">
        <v>11</v>
      </c>
      <c r="E1333" s="24" t="n">
        <v>200</v>
      </c>
      <c r="F1333" s="24">
        <f>D1333*E1333</f>
        <v/>
      </c>
      <c r="G1333" s="22" t="n"/>
    </row>
    <row r="1334">
      <c r="A1334" s="22" t="inlineStr">
        <is>
          <t>9977</t>
        </is>
      </c>
      <c r="B1334" s="11" t="inlineStr">
        <is>
          <t>Carriage</t>
        </is>
      </c>
      <c r="C1334" s="22" t="inlineStr">
        <is>
          <t>L.S.</t>
        </is>
      </c>
      <c r="D1334" s="23" t="n">
        <v>34.06</v>
      </c>
      <c r="E1334" s="24" t="n">
        <v>2</v>
      </c>
      <c r="F1334" s="24">
        <f>D1334*E1334</f>
        <v/>
      </c>
      <c r="G1334" s="22" t="n"/>
    </row>
    <row r="1335">
      <c r="A1335" s="7" t="inlineStr">
        <is>
          <t>3.10</t>
        </is>
      </c>
      <c r="B1335" s="11" t="inlineStr">
        <is>
          <t>Rate as per item 3.10 - Cement mortar 1:5 (1 cement : 5 coarse sand)</t>
        </is>
      </c>
      <c r="C1335" s="22" t="inlineStr">
        <is>
          <t>cum</t>
        </is>
      </c>
      <c r="D1335" s="23" t="n">
        <v>0.25</v>
      </c>
      <c r="E1335" s="24" t="n">
        <v>3658.1</v>
      </c>
      <c r="F1335" s="24">
        <f>D1335*E1335</f>
        <v/>
      </c>
      <c r="G1335" s="22" t="n"/>
    </row>
    <row r="1336">
      <c r="A1336" s="7" t="inlineStr">
        <is>
          <t>3.12</t>
        </is>
      </c>
      <c r="B1336" s="11" t="inlineStr">
        <is>
          <t>Rate as per item 3.12 - Cement mortar 1:2 (1 cement : 2 stone dust)</t>
        </is>
      </c>
      <c r="C1336" s="22" t="inlineStr">
        <is>
          <t>cum</t>
        </is>
      </c>
      <c r="D1336" s="23" t="n">
        <v>0.023</v>
      </c>
      <c r="E1336" s="24" t="n">
        <v>5108.05</v>
      </c>
      <c r="F1336" s="24">
        <f>D1336*E1336</f>
        <v/>
      </c>
      <c r="G1336" s="22" t="n"/>
    </row>
    <row r="1337">
      <c r="A1337" s="22" t="inlineStr">
        <is>
          <t>0123</t>
        </is>
      </c>
      <c r="B1337" s="11" t="inlineStr">
        <is>
          <t>Mason (brick layer) 1st class</t>
        </is>
      </c>
      <c r="C1337" s="22" t="inlineStr">
        <is>
          <t>day</t>
        </is>
      </c>
      <c r="D1337" s="23" t="n">
        <v>3.9</v>
      </c>
      <c r="E1337" s="24" t="n">
        <v>738</v>
      </c>
      <c r="F1337" s="24">
        <f>D1337*E1337</f>
        <v/>
      </c>
      <c r="G1337" s="22" t="n"/>
    </row>
    <row r="1338">
      <c r="A1338" s="22" t="inlineStr">
        <is>
          <t>0100</t>
        </is>
      </c>
      <c r="B1338" s="11" t="inlineStr">
        <is>
          <t>Bandhani</t>
        </is>
      </c>
      <c r="C1338" s="22" t="inlineStr">
        <is>
          <t>day</t>
        </is>
      </c>
      <c r="D1338" s="23" t="n">
        <v>1.1</v>
      </c>
      <c r="E1338" s="24" t="n">
        <v>617</v>
      </c>
      <c r="F1338" s="24">
        <f>D1338*E1338</f>
        <v/>
      </c>
      <c r="G1338" s="22" t="n"/>
    </row>
    <row r="1339">
      <c r="A1339" s="22" t="inlineStr">
        <is>
          <t>0115</t>
        </is>
      </c>
      <c r="B1339" s="11" t="inlineStr">
        <is>
          <t>Coolie</t>
        </is>
      </c>
      <c r="C1339" s="22" t="inlineStr">
        <is>
          <t>day</t>
        </is>
      </c>
      <c r="D1339" s="23" t="n">
        <v>1.4</v>
      </c>
      <c r="E1339" s="24" t="n">
        <v>558</v>
      </c>
      <c r="F1339" s="24">
        <f>D1339*E1339</f>
        <v/>
      </c>
      <c r="G1339" s="22" t="n"/>
    </row>
    <row r="1340">
      <c r="A1340" s="22" t="inlineStr">
        <is>
          <t>0101</t>
        </is>
      </c>
      <c r="B1340" s="11" t="inlineStr">
        <is>
          <t>Bhisti</t>
        </is>
      </c>
      <c r="C1340" s="22" t="inlineStr">
        <is>
          <t>day</t>
        </is>
      </c>
      <c r="D1340" s="23" t="n">
        <v>0.55</v>
      </c>
      <c r="E1340" s="24" t="n">
        <v>617</v>
      </c>
      <c r="F1340" s="24">
        <f>D1340*E1340</f>
        <v/>
      </c>
      <c r="G1340" s="22" t="n"/>
    </row>
    <row r="1341">
      <c r="A1341" s="22" t="inlineStr">
        <is>
          <t>9999</t>
        </is>
      </c>
      <c r="B1341" s="11" t="inlineStr">
        <is>
          <t>Sundries</t>
        </is>
      </c>
      <c r="C1341" s="22" t="inlineStr">
        <is>
          <t>L.S.</t>
        </is>
      </c>
      <c r="D1341" s="23" t="n">
        <v>26.91</v>
      </c>
      <c r="E1341" s="24" t="n">
        <v>2</v>
      </c>
      <c r="F1341" s="24">
        <f>D1341*E1341</f>
        <v/>
      </c>
      <c r="G1341" s="22" t="n"/>
    </row>
    <row r="1342">
      <c r="A1342" s="8" t="inlineStr">
        <is>
          <t>Calculated W - SUM of the Amount column above</t>
        </is>
      </c>
      <c r="B1342" s="9" t="n"/>
      <c r="C1342" s="9" t="n"/>
      <c r="D1342" s="9" t="n"/>
      <c r="E1342" s="9" t="n"/>
      <c r="F1342" s="25">
        <f>SUM(F1333:F1341)</f>
        <v/>
      </c>
      <c r="G1342" s="9" t="n"/>
    </row>
    <row r="1343">
      <c r="A1343" s="26" t="inlineStr">
        <is>
          <t>W as printed in the DAR</t>
        </is>
      </c>
      <c r="B1343" s="22" t="n"/>
      <c r="C1343" s="22" t="n"/>
      <c r="D1343" s="22" t="n"/>
      <c r="E1343" s="22" t="n"/>
      <c r="F1343" s="27" t="n">
        <v>8031.4</v>
      </c>
      <c r="G1343" s="22" t="n"/>
    </row>
    <row r="1344">
      <c r="A1344" s="26" t="inlineStr">
        <is>
          <t>Difference (calculated - printed)</t>
        </is>
      </c>
      <c r="B1344" s="22" t="n"/>
      <c r="C1344" s="22" t="n"/>
      <c r="D1344" s="22" t="n"/>
      <c r="E1344" s="22" t="n"/>
      <c r="F1344" s="27">
        <f>F1342-F1343</f>
        <v/>
      </c>
      <c r="G1344" s="22" t="n"/>
    </row>
    <row r="1345">
      <c r="A1345" s="29" t="inlineStr">
        <is>
          <t>SAY (Rs.) - final DAR rate as printed (fixed value, not computed)</t>
        </is>
      </c>
      <c r="B1345" s="30" t="n"/>
      <c r="C1345" s="30" t="n"/>
      <c r="D1345" s="30" t="n"/>
      <c r="E1345" s="30" t="n"/>
      <c r="F1345" s="31" t="n">
        <v>1074.55</v>
      </c>
      <c r="G1345" s="30" t="n"/>
    </row>
    <row r="1347" ht="47.5" customHeight="1">
      <c r="A1347" s="8" t="inlineStr">
        <is>
          <t>11.30</t>
        </is>
      </c>
      <c r="B1347" s="17"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t>
        </is>
      </c>
      <c r="C1347" s="9" t="n"/>
      <c r="D1347" s="9" t="n"/>
      <c r="E1347" s="9" t="n"/>
      <c r="F1347" s="9" t="n"/>
      <c r="G1347" s="9" t="n"/>
    </row>
    <row r="1348" ht="18.5" customHeight="1">
      <c r="A1348" s="18" t="inlineStr">
        <is>
          <t>11.30.1</t>
        </is>
      </c>
      <c r="B1348" s="19" t="inlineStr">
        <is>
          <t>Red sand stone</t>
        </is>
      </c>
      <c r="C1348" s="20" t="n"/>
      <c r="D1348" s="20" t="n"/>
      <c r="E1348" s="20" t="n"/>
      <c r="F1348" s="20" t="n"/>
      <c r="G1348" s="20" t="n"/>
    </row>
    <row r="1349">
      <c r="A1349" s="21" t="inlineStr">
        <is>
          <t>Details of cost for 10 sqm   |   Source: CivilDAR_2019_Vol_1.pdf, page 775</t>
        </is>
      </c>
    </row>
    <row r="1350">
      <c r="A1350" s="5" t="inlineStr">
        <is>
          <t>Code</t>
        </is>
      </c>
      <c r="B1350" s="5" t="inlineStr">
        <is>
          <t>Description</t>
        </is>
      </c>
      <c r="C1350" s="5" t="inlineStr">
        <is>
          <t>Unit</t>
        </is>
      </c>
      <c r="D1350" s="5" t="inlineStr">
        <is>
          <t>Quantity</t>
        </is>
      </c>
      <c r="E1350" s="5" t="inlineStr">
        <is>
          <t>Rate (Rs.)</t>
        </is>
      </c>
      <c r="F1350" s="5" t="inlineStr">
        <is>
          <t>Amount (Rs.)</t>
        </is>
      </c>
      <c r="G1350" s="5" t="inlineStr">
        <is>
          <t>Note</t>
        </is>
      </c>
    </row>
    <row r="1351">
      <c r="A1351" s="22" t="inlineStr">
        <is>
          <t>1164</t>
        </is>
      </c>
      <c r="B1351" s="11" t="inlineStr">
        <is>
          <t>Red sand stone slab 40 mmthick (un-dressed)</t>
        </is>
      </c>
      <c r="C1351" s="22" t="inlineStr">
        <is>
          <t>sqm</t>
        </is>
      </c>
      <c r="D1351" s="23" t="n">
        <v>11</v>
      </c>
      <c r="E1351" s="24" t="n">
        <v>200</v>
      </c>
      <c r="F1351" s="24">
        <f>D1351*E1351</f>
        <v/>
      </c>
      <c r="G1351" s="22" t="n"/>
    </row>
    <row r="1352">
      <c r="A1352" s="22" t="inlineStr">
        <is>
          <t>9977</t>
        </is>
      </c>
      <c r="B1352" s="11" t="inlineStr">
        <is>
          <t>Carriage</t>
        </is>
      </c>
      <c r="C1352" s="22" t="inlineStr">
        <is>
          <t>L.S.</t>
        </is>
      </c>
      <c r="D1352" s="23" t="n">
        <v>34.06</v>
      </c>
      <c r="E1352" s="24" t="n">
        <v>2</v>
      </c>
      <c r="F1352" s="24">
        <f>D1352*E1352</f>
        <v/>
      </c>
      <c r="G1352" s="22" t="n"/>
    </row>
    <row r="1353">
      <c r="A1353" s="7" t="inlineStr">
        <is>
          <t>3.10</t>
        </is>
      </c>
      <c r="B1353" s="11" t="inlineStr">
        <is>
          <t>Rate as per item 3.10 - Cement mortar 1:5 (1 cement : 5 coarse sand)</t>
        </is>
      </c>
      <c r="C1353" s="22" t="inlineStr">
        <is>
          <t>cum</t>
        </is>
      </c>
      <c r="D1353" s="23" t="n">
        <v>0.25</v>
      </c>
      <c r="E1353" s="24" t="n">
        <v>3658.1</v>
      </c>
      <c r="F1353" s="24">
        <f>D1353*E1353</f>
        <v/>
      </c>
      <c r="G1353" s="22" t="n"/>
    </row>
    <row r="1354">
      <c r="A1354" s="7" t="inlineStr">
        <is>
          <t>3.12</t>
        </is>
      </c>
      <c r="B1354" s="11" t="inlineStr">
        <is>
          <t>Rate as per item 3.12 - Cement mortar 1:2 (1 cement : 2 stone dust)</t>
        </is>
      </c>
      <c r="C1354" s="22" t="inlineStr">
        <is>
          <t>cum</t>
        </is>
      </c>
      <c r="D1354" s="23" t="n">
        <v>0.023</v>
      </c>
      <c r="E1354" s="24" t="n">
        <v>5108.05</v>
      </c>
      <c r="F1354" s="24">
        <f>D1354*E1354</f>
        <v/>
      </c>
      <c r="G1354" s="22" t="n"/>
    </row>
    <row r="1355">
      <c r="A1355" s="22" t="inlineStr">
        <is>
          <t>0123</t>
        </is>
      </c>
      <c r="B1355" s="11" t="inlineStr">
        <is>
          <t>Mason (brick layer) 1st class</t>
        </is>
      </c>
      <c r="C1355" s="22" t="inlineStr">
        <is>
          <t>day</t>
        </is>
      </c>
      <c r="D1355" s="23" t="n">
        <v>3.9</v>
      </c>
      <c r="E1355" s="24" t="n">
        <v>738</v>
      </c>
      <c r="F1355" s="24">
        <f>D1355*E1355</f>
        <v/>
      </c>
      <c r="G1355" s="22" t="n"/>
    </row>
    <row r="1356">
      <c r="A1356" s="22" t="inlineStr">
        <is>
          <t>0100</t>
        </is>
      </c>
      <c r="B1356" s="11" t="inlineStr">
        <is>
          <t>Bandhani</t>
        </is>
      </c>
      <c r="C1356" s="22" t="inlineStr">
        <is>
          <t>day</t>
        </is>
      </c>
      <c r="D1356" s="23" t="n">
        <v>1.1</v>
      </c>
      <c r="E1356" s="24" t="n">
        <v>617</v>
      </c>
      <c r="F1356" s="24">
        <f>D1356*E1356</f>
        <v/>
      </c>
      <c r="G1356" s="22" t="n"/>
    </row>
    <row r="1357">
      <c r="A1357" s="22" t="inlineStr">
        <is>
          <t>0115</t>
        </is>
      </c>
      <c r="B1357" s="11" t="inlineStr">
        <is>
          <t>Coolie</t>
        </is>
      </c>
      <c r="C1357" s="22" t="inlineStr">
        <is>
          <t>day</t>
        </is>
      </c>
      <c r="D1357" s="23" t="n">
        <v>1.4</v>
      </c>
      <c r="E1357" s="24" t="n">
        <v>558</v>
      </c>
      <c r="F1357" s="24">
        <f>D1357*E1357</f>
        <v/>
      </c>
      <c r="G1357" s="22" t="n"/>
    </row>
    <row r="1358">
      <c r="A1358" s="22" t="inlineStr">
        <is>
          <t>0101</t>
        </is>
      </c>
      <c r="B1358" s="11" t="inlineStr">
        <is>
          <t>Bhisti</t>
        </is>
      </c>
      <c r="C1358" s="22" t="inlineStr">
        <is>
          <t>day</t>
        </is>
      </c>
      <c r="D1358" s="23" t="n">
        <v>0.55</v>
      </c>
      <c r="E1358" s="24" t="n">
        <v>617</v>
      </c>
      <c r="F1358" s="24">
        <f>D1358*E1358</f>
        <v/>
      </c>
      <c r="G1358" s="22" t="n"/>
    </row>
    <row r="1359">
      <c r="A1359" s="22" t="inlineStr">
        <is>
          <t>9999</t>
        </is>
      </c>
      <c r="B1359" s="11" t="inlineStr">
        <is>
          <t>Sundries</t>
        </is>
      </c>
      <c r="C1359" s="22" t="inlineStr">
        <is>
          <t>L.S.</t>
        </is>
      </c>
      <c r="D1359" s="23" t="n">
        <v>26.91</v>
      </c>
      <c r="E1359" s="24" t="n">
        <v>2</v>
      </c>
      <c r="F1359" s="24">
        <f>D1359*E1359</f>
        <v/>
      </c>
      <c r="G1359" s="22" t="n"/>
    </row>
    <row r="1360">
      <c r="A1360" s="22" t="inlineStr">
        <is>
          <t>0139</t>
        </is>
      </c>
      <c r="B1360" s="11" t="inlineStr">
        <is>
          <t>Skilled Beldar (for floor rubbing etc.)</t>
        </is>
      </c>
      <c r="C1360" s="22" t="inlineStr">
        <is>
          <t>day</t>
        </is>
      </c>
      <c r="D1360" s="23" t="n">
        <v>0.618</v>
      </c>
      <c r="E1360" s="24" t="n">
        <v>617</v>
      </c>
      <c r="F1360" s="24">
        <f>D1360*E1360</f>
        <v/>
      </c>
      <c r="G1360" s="22" t="n"/>
    </row>
    <row r="1361">
      <c r="A1361" s="22" t="inlineStr">
        <is>
          <t>0013</t>
        </is>
      </c>
      <c r="B1361" s="11" t="inlineStr">
        <is>
          <t>Machine for rubbing of floors</t>
        </is>
      </c>
      <c r="C1361" s="22" t="inlineStr">
        <is>
          <t>day</t>
        </is>
      </c>
      <c r="D1361" s="23" t="n">
        <v>0.988</v>
      </c>
      <c r="E1361" s="24" t="n">
        <v>300</v>
      </c>
      <c r="F1361" s="24">
        <f>D1361*E1361</f>
        <v/>
      </c>
      <c r="G1361" s="22" t="n"/>
    </row>
    <row r="1362">
      <c r="A1362" s="8" t="inlineStr">
        <is>
          <t>Calculated W - SUM of the Amount column above</t>
        </is>
      </c>
      <c r="B1362" s="9" t="n"/>
      <c r="C1362" s="9" t="n"/>
      <c r="D1362" s="9" t="n"/>
      <c r="E1362" s="9" t="n"/>
      <c r="F1362" s="25">
        <f>SUM(F1351:F1361)</f>
        <v/>
      </c>
      <c r="G1362" s="9" t="n"/>
    </row>
    <row r="1363">
      <c r="A1363" s="26" t="inlineStr">
        <is>
          <t>W as printed in the DAR</t>
        </is>
      </c>
      <c r="B1363" s="22" t="n"/>
      <c r="C1363" s="22" t="n"/>
      <c r="D1363" s="22" t="n"/>
      <c r="E1363" s="22" t="n"/>
      <c r="F1363" s="27" t="n">
        <v>8709.110000000001</v>
      </c>
      <c r="G1363" s="22" t="n"/>
    </row>
    <row r="1364">
      <c r="A1364" s="26" t="inlineStr">
        <is>
          <t>Difference (calculated - printed)</t>
        </is>
      </c>
      <c r="B1364" s="22" t="n"/>
      <c r="C1364" s="22" t="n"/>
      <c r="D1364" s="22" t="n"/>
      <c r="E1364" s="22" t="n"/>
      <c r="F1364" s="27">
        <f>F1362-F1363</f>
        <v/>
      </c>
      <c r="G1364" s="22" t="n"/>
    </row>
    <row r="1365">
      <c r="A1365" s="29" t="inlineStr">
        <is>
          <t>SAY (Rs.) - final DAR rate as printed (fixed value, not computed)</t>
        </is>
      </c>
      <c r="B1365" s="30" t="n"/>
      <c r="C1365" s="30" t="n"/>
      <c r="D1365" s="30" t="n"/>
      <c r="E1365" s="30" t="n"/>
      <c r="F1365" s="31" t="n">
        <v>1165.2</v>
      </c>
      <c r="G1365" s="30" t="n"/>
    </row>
    <row r="1367" ht="47.5" customHeight="1">
      <c r="A1367" s="8" t="inlineStr">
        <is>
          <t>11.30</t>
        </is>
      </c>
      <c r="B1367" s="17"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t>
        </is>
      </c>
      <c r="C1367" s="9" t="n"/>
      <c r="D1367" s="9" t="n"/>
      <c r="E1367" s="9" t="n"/>
      <c r="F1367" s="9" t="n"/>
      <c r="G1367" s="9" t="n"/>
    </row>
    <row r="1368" ht="18.5" customHeight="1">
      <c r="A1368" s="18" t="inlineStr">
        <is>
          <t>11.30.2</t>
        </is>
      </c>
      <c r="B1368" s="19" t="inlineStr">
        <is>
          <t>White sand stone</t>
        </is>
      </c>
      <c r="C1368" s="20" t="n"/>
      <c r="D1368" s="20" t="n"/>
      <c r="E1368" s="20" t="n"/>
      <c r="F1368" s="20" t="n"/>
      <c r="G1368" s="20" t="n"/>
    </row>
    <row r="1369">
      <c r="A1369" s="21" t="inlineStr">
        <is>
          <t>Details of cost for 10 sqm   |   Source: CivilDAR_2019_Vol_1.pdf, page 776</t>
        </is>
      </c>
    </row>
    <row r="1370">
      <c r="A1370" s="5" t="inlineStr">
        <is>
          <t>Code</t>
        </is>
      </c>
      <c r="B1370" s="5" t="inlineStr">
        <is>
          <t>Description</t>
        </is>
      </c>
      <c r="C1370" s="5" t="inlineStr">
        <is>
          <t>Unit</t>
        </is>
      </c>
      <c r="D1370" s="5" t="inlineStr">
        <is>
          <t>Quantity</t>
        </is>
      </c>
      <c r="E1370" s="5" t="inlineStr">
        <is>
          <t>Rate (Rs.)</t>
        </is>
      </c>
      <c r="F1370" s="5" t="inlineStr">
        <is>
          <t>Amount (Rs.)</t>
        </is>
      </c>
      <c r="G1370" s="5" t="inlineStr">
        <is>
          <t>Note</t>
        </is>
      </c>
    </row>
    <row r="1371">
      <c r="A1371" s="22" t="inlineStr">
        <is>
          <t>1165</t>
        </is>
      </c>
      <c r="B1371" s="11" t="inlineStr">
        <is>
          <t>White sand stone slab 40 mm thick (un-dressed)</t>
        </is>
      </c>
      <c r="C1371" s="22" t="inlineStr">
        <is>
          <t>sqm</t>
        </is>
      </c>
      <c r="D1371" s="23" t="n">
        <v>11</v>
      </c>
      <c r="E1371" s="24" t="n">
        <v>200</v>
      </c>
      <c r="F1371" s="24">
        <f>D1371*E1371</f>
        <v/>
      </c>
      <c r="G1371" s="22" t="n"/>
    </row>
    <row r="1372">
      <c r="A1372" s="22" t="inlineStr">
        <is>
          <t>9977</t>
        </is>
      </c>
      <c r="B1372" s="11" t="inlineStr">
        <is>
          <t>Carriage</t>
        </is>
      </c>
      <c r="C1372" s="22" t="inlineStr">
        <is>
          <t>L.S.</t>
        </is>
      </c>
      <c r="D1372" s="23" t="n">
        <v>34.06</v>
      </c>
      <c r="E1372" s="24" t="n">
        <v>2</v>
      </c>
      <c r="F1372" s="24">
        <f>D1372*E1372</f>
        <v/>
      </c>
      <c r="G1372" s="22" t="n"/>
    </row>
    <row r="1373">
      <c r="A1373" s="7" t="inlineStr">
        <is>
          <t>3.10</t>
        </is>
      </c>
      <c r="B1373" s="11" t="inlineStr">
        <is>
          <t>Rate as per item 3.10 - Cement mortar 1:5 (1 cement : 5 coarse sand)</t>
        </is>
      </c>
      <c r="C1373" s="22" t="inlineStr">
        <is>
          <t>cum</t>
        </is>
      </c>
      <c r="D1373" s="23" t="n">
        <v>0.25</v>
      </c>
      <c r="E1373" s="24" t="n">
        <v>3658.1</v>
      </c>
      <c r="F1373" s="24">
        <f>D1373*E1373</f>
        <v/>
      </c>
      <c r="G1373" s="22" t="n"/>
    </row>
    <row r="1374">
      <c r="A1374" s="7" t="inlineStr">
        <is>
          <t>3.12</t>
        </is>
      </c>
      <c r="B1374" s="11" t="inlineStr">
        <is>
          <t>Rate as per item 3.12 - Cement mortar 1:2 (1 cement : 2 stone dust)</t>
        </is>
      </c>
      <c r="C1374" s="22" t="inlineStr">
        <is>
          <t>cum</t>
        </is>
      </c>
      <c r="D1374" s="23" t="n">
        <v>0.023</v>
      </c>
      <c r="E1374" s="24" t="n">
        <v>5108.05</v>
      </c>
      <c r="F1374" s="24">
        <f>D1374*E1374</f>
        <v/>
      </c>
      <c r="G1374" s="22" t="n"/>
    </row>
    <row r="1375">
      <c r="A1375" s="22" t="inlineStr">
        <is>
          <t>0123</t>
        </is>
      </c>
      <c r="B1375" s="11" t="inlineStr">
        <is>
          <t>Mason (brick layer) 1st class</t>
        </is>
      </c>
      <c r="C1375" s="22" t="inlineStr">
        <is>
          <t>day</t>
        </is>
      </c>
      <c r="D1375" s="23" t="n">
        <v>3.9</v>
      </c>
      <c r="E1375" s="24" t="n">
        <v>738</v>
      </c>
      <c r="F1375" s="24">
        <f>D1375*E1375</f>
        <v/>
      </c>
      <c r="G1375" s="22" t="n"/>
    </row>
    <row r="1376">
      <c r="A1376" s="22" t="inlineStr">
        <is>
          <t>0100</t>
        </is>
      </c>
      <c r="B1376" s="11" t="inlineStr">
        <is>
          <t>Bandhani</t>
        </is>
      </c>
      <c r="C1376" s="22" t="inlineStr">
        <is>
          <t>day</t>
        </is>
      </c>
      <c r="D1376" s="23" t="n">
        <v>1.1</v>
      </c>
      <c r="E1376" s="24" t="n">
        <v>617</v>
      </c>
      <c r="F1376" s="24">
        <f>D1376*E1376</f>
        <v/>
      </c>
      <c r="G1376" s="22" t="n"/>
    </row>
    <row r="1377">
      <c r="A1377" s="22" t="inlineStr">
        <is>
          <t>0115</t>
        </is>
      </c>
      <c r="B1377" s="11" t="inlineStr">
        <is>
          <t>Coolie</t>
        </is>
      </c>
      <c r="C1377" s="22" t="inlineStr">
        <is>
          <t>day</t>
        </is>
      </c>
      <c r="D1377" s="23" t="n">
        <v>1.4</v>
      </c>
      <c r="E1377" s="24" t="n">
        <v>558</v>
      </c>
      <c r="F1377" s="24">
        <f>D1377*E1377</f>
        <v/>
      </c>
      <c r="G1377" s="22" t="n"/>
    </row>
    <row r="1378">
      <c r="A1378" s="22" t="inlineStr">
        <is>
          <t>0101</t>
        </is>
      </c>
      <c r="B1378" s="11" t="inlineStr">
        <is>
          <t>Bhisti</t>
        </is>
      </c>
      <c r="C1378" s="22" t="inlineStr">
        <is>
          <t>day</t>
        </is>
      </c>
      <c r="D1378" s="23" t="n">
        <v>0.55</v>
      </c>
      <c r="E1378" s="24" t="n">
        <v>617</v>
      </c>
      <c r="F1378" s="24">
        <f>D1378*E1378</f>
        <v/>
      </c>
      <c r="G1378" s="22" t="n"/>
    </row>
    <row r="1379">
      <c r="A1379" s="22" t="inlineStr">
        <is>
          <t>9999</t>
        </is>
      </c>
      <c r="B1379" s="11" t="inlineStr">
        <is>
          <t>Sundries</t>
        </is>
      </c>
      <c r="C1379" s="22" t="inlineStr">
        <is>
          <t>L.S.</t>
        </is>
      </c>
      <c r="D1379" s="23" t="n">
        <v>26.91</v>
      </c>
      <c r="E1379" s="24" t="n">
        <v>2</v>
      </c>
      <c r="F1379" s="24">
        <f>D1379*E1379</f>
        <v/>
      </c>
      <c r="G1379" s="22" t="n"/>
    </row>
    <row r="1380">
      <c r="A1380" s="22" t="inlineStr">
        <is>
          <t>0139</t>
        </is>
      </c>
      <c r="B1380" s="11" t="inlineStr">
        <is>
          <t>Skilled Beldar (for floor rubbing etc.)</t>
        </is>
      </c>
      <c r="C1380" s="22" t="inlineStr">
        <is>
          <t>day</t>
        </is>
      </c>
      <c r="D1380" s="23" t="n">
        <v>0.618</v>
      </c>
      <c r="E1380" s="24" t="n">
        <v>617</v>
      </c>
      <c r="F1380" s="24">
        <f>D1380*E1380</f>
        <v/>
      </c>
      <c r="G1380" s="22" t="n"/>
    </row>
    <row r="1381">
      <c r="A1381" s="22" t="inlineStr">
        <is>
          <t>0013</t>
        </is>
      </c>
      <c r="B1381" s="11" t="inlineStr">
        <is>
          <t>Machine for rubbing of floors</t>
        </is>
      </c>
      <c r="C1381" s="22" t="inlineStr">
        <is>
          <t>day</t>
        </is>
      </c>
      <c r="D1381" s="23" t="n">
        <v>0.988</v>
      </c>
      <c r="E1381" s="24" t="n">
        <v>300</v>
      </c>
      <c r="F1381" s="24">
        <f>D1381*E1381</f>
        <v/>
      </c>
      <c r="G1381" s="22" t="n"/>
    </row>
    <row r="1382">
      <c r="A1382" s="8" t="inlineStr">
        <is>
          <t>Calculated W - SUM of the Amount column above</t>
        </is>
      </c>
      <c r="B1382" s="9" t="n"/>
      <c r="C1382" s="9" t="n"/>
      <c r="D1382" s="9" t="n"/>
      <c r="E1382" s="9" t="n"/>
      <c r="F1382" s="25">
        <f>SUM(F1371:F1381)</f>
        <v/>
      </c>
      <c r="G1382" s="9" t="n"/>
    </row>
    <row r="1383">
      <c r="A1383" s="26" t="inlineStr">
        <is>
          <t>W as printed in the DAR</t>
        </is>
      </c>
      <c r="B1383" s="22" t="n"/>
      <c r="C1383" s="22" t="n"/>
      <c r="D1383" s="22" t="n"/>
      <c r="E1383" s="22" t="n"/>
      <c r="F1383" s="27" t="n">
        <v>8709.110000000001</v>
      </c>
      <c r="G1383" s="22" t="n"/>
    </row>
    <row r="1384">
      <c r="A1384" s="26" t="inlineStr">
        <is>
          <t>Difference (calculated - printed)</t>
        </is>
      </c>
      <c r="B1384" s="22" t="n"/>
      <c r="C1384" s="22" t="n"/>
      <c r="D1384" s="22" t="n"/>
      <c r="E1384" s="22" t="n"/>
      <c r="F1384" s="27">
        <f>F1382-F1383</f>
        <v/>
      </c>
      <c r="G1384" s="22" t="n"/>
    </row>
    <row r="1385">
      <c r="A1385" s="29" t="inlineStr">
        <is>
          <t>SAY (Rs.) - final DAR rate as printed (fixed value, not computed)</t>
        </is>
      </c>
      <c r="B1385" s="30" t="n"/>
      <c r="C1385" s="30" t="n"/>
      <c r="D1385" s="30" t="n"/>
      <c r="E1385" s="30" t="n"/>
      <c r="F1385" s="31" t="n">
        <v>1165.2</v>
      </c>
      <c r="G1385" s="30" t="n"/>
    </row>
    <row r="1387" ht="18.5" customHeight="1">
      <c r="A1387" s="18" t="inlineStr">
        <is>
          <t>11.31</t>
        </is>
      </c>
      <c r="B1387" s="19" t="inlineStr">
        <is>
          <t>Extra for pre finished nosing in treads of steps of Kota stone/ sand stone slab.</t>
        </is>
      </c>
      <c r="C1387" s="20" t="n"/>
      <c r="D1387" s="20" t="n"/>
      <c r="E1387" s="20" t="n"/>
      <c r="F1387" s="20" t="n"/>
      <c r="G1387" s="20" t="n"/>
    </row>
    <row r="1388">
      <c r="A1388" s="21" t="inlineStr">
        <is>
          <t>Details of cost for 10 metre   |   Source: CivilDAR_2019_Vol_1.pdf, page 777</t>
        </is>
      </c>
    </row>
    <row r="1389">
      <c r="A1389" s="5" t="inlineStr">
        <is>
          <t>Code</t>
        </is>
      </c>
      <c r="B1389" s="5" t="inlineStr">
        <is>
          <t>Description</t>
        </is>
      </c>
      <c r="C1389" s="5" t="inlineStr">
        <is>
          <t>Unit</t>
        </is>
      </c>
      <c r="D1389" s="5" t="inlineStr">
        <is>
          <t>Quantity</t>
        </is>
      </c>
      <c r="E1389" s="5" t="inlineStr">
        <is>
          <t>Rate (Rs.)</t>
        </is>
      </c>
      <c r="F1389" s="5" t="inlineStr">
        <is>
          <t>Amount (Rs.)</t>
        </is>
      </c>
      <c r="G1389" s="5" t="inlineStr">
        <is>
          <t>Note</t>
        </is>
      </c>
    </row>
    <row r="1390">
      <c r="A1390" s="22" t="inlineStr">
        <is>
          <t>0126</t>
        </is>
      </c>
      <c r="B1390" s="11" t="inlineStr">
        <is>
          <t>Mason (for ornamental stone work) 1st class</t>
        </is>
      </c>
      <c r="C1390" s="22" t="inlineStr">
        <is>
          <t>day</t>
        </is>
      </c>
      <c r="D1390" s="23" t="n">
        <v>1.5</v>
      </c>
      <c r="E1390" s="24" t="n">
        <v>738</v>
      </c>
      <c r="F1390" s="24">
        <f>D1390*E1390</f>
        <v/>
      </c>
      <c r="G1390" s="22" t="n"/>
    </row>
    <row r="1391">
      <c r="A1391" s="8" t="inlineStr">
        <is>
          <t>Calculated W - SUM of the Amount column above</t>
        </is>
      </c>
      <c r="B1391" s="9" t="n"/>
      <c r="C1391" s="9" t="n"/>
      <c r="D1391" s="9" t="n"/>
      <c r="E1391" s="9" t="n"/>
      <c r="F1391" s="25">
        <f>SUM(F1390:F1390)</f>
        <v/>
      </c>
      <c r="G1391" s="9" t="n"/>
    </row>
    <row r="1392">
      <c r="A1392" s="26" t="inlineStr">
        <is>
          <t>W as printed in the DAR</t>
        </is>
      </c>
      <c r="B1392" s="22" t="n"/>
      <c r="C1392" s="22" t="n"/>
      <c r="D1392" s="22" t="n"/>
      <c r="E1392" s="22" t="n"/>
      <c r="F1392" s="27" t="n">
        <v>1107</v>
      </c>
      <c r="G1392" s="22" t="n"/>
    </row>
    <row r="1393">
      <c r="A1393" s="26" t="inlineStr">
        <is>
          <t>Difference (calculated - printed)</t>
        </is>
      </c>
      <c r="B1393" s="22" t="n"/>
      <c r="C1393" s="22" t="n"/>
      <c r="D1393" s="22" t="n"/>
      <c r="E1393" s="22" t="n"/>
      <c r="F1393" s="27">
        <f>F1391-F1392</f>
        <v/>
      </c>
      <c r="G1393" s="22" t="n"/>
    </row>
    <row r="1394">
      <c r="A1394" s="29" t="inlineStr">
        <is>
          <t>SAY (Rs.) - final DAR rate as printed (fixed value, not computed)</t>
        </is>
      </c>
      <c r="B1394" s="30" t="n"/>
      <c r="C1394" s="30" t="n"/>
      <c r="D1394" s="30" t="n"/>
      <c r="E1394" s="30" t="n"/>
      <c r="F1394" s="31" t="n">
        <v>148.1</v>
      </c>
      <c r="G1394" s="30" t="n"/>
    </row>
    <row r="1396" ht="18.5" customHeight="1">
      <c r="A1396" s="18" t="inlineStr">
        <is>
          <t>11.32</t>
        </is>
      </c>
      <c r="B1396" s="19" t="inlineStr">
        <is>
          <t>Extra for Kota stone/ sand stone in treads of steps and risers using single length up to 1.05 metre.</t>
        </is>
      </c>
      <c r="C1396" s="20" t="n"/>
      <c r="D1396" s="20" t="n"/>
      <c r="E1396" s="20" t="n"/>
      <c r="F1396" s="20" t="n"/>
      <c r="G1396" s="20" t="n"/>
    </row>
    <row r="1397">
      <c r="A1397" s="21" t="inlineStr">
        <is>
          <t>Details of cost for 10 sqm   |   Source: CivilDAR_2019_Vol_1.pdf, page 777</t>
        </is>
      </c>
    </row>
    <row r="1398">
      <c r="A1398" s="5" t="inlineStr">
        <is>
          <t>Code</t>
        </is>
      </c>
      <c r="B1398" s="5" t="inlineStr">
        <is>
          <t>Description</t>
        </is>
      </c>
      <c r="C1398" s="5" t="inlineStr">
        <is>
          <t>Unit</t>
        </is>
      </c>
      <c r="D1398" s="5" t="inlineStr">
        <is>
          <t>Quantity</t>
        </is>
      </c>
      <c r="E1398" s="5" t="inlineStr">
        <is>
          <t>Rate (Rs.)</t>
        </is>
      </c>
      <c r="F1398" s="5" t="inlineStr">
        <is>
          <t>Amount (Rs.)</t>
        </is>
      </c>
      <c r="G1398" s="5" t="inlineStr">
        <is>
          <t>Note</t>
        </is>
      </c>
    </row>
    <row r="1399">
      <c r="A1399" s="22" t="inlineStr">
        <is>
          <t>0124</t>
        </is>
      </c>
      <c r="B1399" s="11" t="inlineStr">
        <is>
          <t>Mason (brick layer) 2nd class</t>
        </is>
      </c>
      <c r="C1399" s="22" t="inlineStr">
        <is>
          <t>day</t>
        </is>
      </c>
      <c r="D1399" s="23" t="n">
        <v>0.2</v>
      </c>
      <c r="E1399" s="24" t="n">
        <v>679</v>
      </c>
      <c r="F1399" s="24">
        <f>D1399*E1399</f>
        <v/>
      </c>
      <c r="G1399" s="22" t="n"/>
    </row>
    <row r="1400">
      <c r="A1400" s="22" t="inlineStr">
        <is>
          <t>0114</t>
        </is>
      </c>
      <c r="B1400" s="11" t="inlineStr">
        <is>
          <t>Beldar</t>
        </is>
      </c>
      <c r="C1400" s="22" t="inlineStr">
        <is>
          <t>day</t>
        </is>
      </c>
      <c r="D1400" s="23" t="n">
        <v>0.2</v>
      </c>
      <c r="E1400" s="24" t="n">
        <v>558</v>
      </c>
      <c r="F1400" s="24">
        <f>D1400*E1400</f>
        <v/>
      </c>
      <c r="G1400" s="22" t="n"/>
    </row>
    <row r="1401">
      <c r="A1401" s="8" t="inlineStr">
        <is>
          <t>Calculated W - SUM of the Amount column above</t>
        </is>
      </c>
      <c r="B1401" s="9" t="n"/>
      <c r="C1401" s="9" t="n"/>
      <c r="D1401" s="9" t="n"/>
      <c r="E1401" s="9" t="n"/>
      <c r="F1401" s="25">
        <f>SUM(F1399:F1400)</f>
        <v/>
      </c>
      <c r="G1401" s="9" t="n"/>
    </row>
    <row r="1402">
      <c r="A1402" s="26" t="inlineStr">
        <is>
          <t>W as printed in the DAR</t>
        </is>
      </c>
      <c r="B1402" s="22" t="n"/>
      <c r="C1402" s="22" t="n"/>
      <c r="D1402" s="22" t="n"/>
      <c r="E1402" s="22" t="n"/>
      <c r="F1402" s="27" t="n">
        <v>247.4</v>
      </c>
      <c r="G1402" s="22" t="n"/>
    </row>
    <row r="1403">
      <c r="A1403" s="26" t="inlineStr">
        <is>
          <t>Difference (calculated - printed)</t>
        </is>
      </c>
      <c r="B1403" s="22" t="n"/>
      <c r="C1403" s="22" t="n"/>
      <c r="D1403" s="22" t="n"/>
      <c r="E1403" s="22" t="n"/>
      <c r="F1403" s="27">
        <f>F1401-F1402</f>
        <v/>
      </c>
      <c r="G1403" s="22" t="n"/>
    </row>
    <row r="1404">
      <c r="A1404" s="29" t="inlineStr">
        <is>
          <t>SAY (Rs.) - final DAR rate as printed (fixed value, not computed)</t>
        </is>
      </c>
      <c r="B1404" s="30" t="n"/>
      <c r="C1404" s="30" t="n"/>
      <c r="D1404" s="30" t="n"/>
      <c r="E1404" s="30" t="n"/>
      <c r="F1404" s="31" t="n">
        <v>33.1</v>
      </c>
      <c r="G1404" s="30" t="n"/>
    </row>
    <row r="1406" ht="18.5" customHeight="1">
      <c r="A1406" s="8" t="inlineStr">
        <is>
          <t>11.33</t>
        </is>
      </c>
      <c r="B1406" s="17" t="inlineStr">
        <is>
          <t>25 mm wooden planking, tongued and grooved in flooring, including fixing with iron screws complete with :</t>
        </is>
      </c>
      <c r="C1406" s="9" t="n"/>
      <c r="D1406" s="9" t="n"/>
      <c r="E1406" s="9" t="n"/>
      <c r="F1406" s="9" t="n"/>
      <c r="G1406" s="9" t="n"/>
    </row>
    <row r="1407" ht="18.5" customHeight="1">
      <c r="A1407" s="18" t="inlineStr">
        <is>
          <t>11.33.1</t>
        </is>
      </c>
      <c r="B1407" s="19" t="inlineStr">
        <is>
          <t>Second class teak wood</t>
        </is>
      </c>
      <c r="C1407" s="20" t="n"/>
      <c r="D1407" s="20" t="n"/>
      <c r="E1407" s="20" t="n"/>
      <c r="F1407" s="20" t="n"/>
      <c r="G1407" s="20" t="n"/>
    </row>
    <row r="1408">
      <c r="A1408" s="21" t="inlineStr">
        <is>
          <t>Details of cost for 10 sqm   |   Source: CivilDAR_2019_Vol_1.pdf, page 778</t>
        </is>
      </c>
    </row>
    <row r="1409">
      <c r="A1409" s="5" t="inlineStr">
        <is>
          <t>Code</t>
        </is>
      </c>
      <c r="B1409" s="5" t="inlineStr">
        <is>
          <t>Description</t>
        </is>
      </c>
      <c r="C1409" s="5" t="inlineStr">
        <is>
          <t>Unit</t>
        </is>
      </c>
      <c r="D1409" s="5" t="inlineStr">
        <is>
          <t>Quantity</t>
        </is>
      </c>
      <c r="E1409" s="5" t="inlineStr">
        <is>
          <t>Rate (Rs.)</t>
        </is>
      </c>
      <c r="F1409" s="5" t="inlineStr">
        <is>
          <t>Amount (Rs.)</t>
        </is>
      </c>
      <c r="G1409" s="5" t="inlineStr">
        <is>
          <t>Note</t>
        </is>
      </c>
    </row>
    <row r="1410">
      <c r="A1410" s="22" t="inlineStr">
        <is>
          <t>1190</t>
        </is>
      </c>
      <c r="B1410" s="11" t="inlineStr">
        <is>
          <t>Second class teak wood in planks</t>
        </is>
      </c>
      <c r="C1410" s="22" t="inlineStr">
        <is>
          <t>10 cudm</t>
        </is>
      </c>
      <c r="D1410" s="23" t="n">
        <v>29.81</v>
      </c>
      <c r="E1410" s="24" t="n">
        <v>791</v>
      </c>
      <c r="F1410" s="24">
        <f>D1410*E1410</f>
        <v/>
      </c>
      <c r="G1410" s="22" t="n"/>
    </row>
    <row r="1411">
      <c r="A1411" s="22" t="inlineStr">
        <is>
          <t>1231</t>
        </is>
      </c>
      <c r="B1411" s="11" t="inlineStr">
        <is>
          <t>Extra for selected planks of second class teakwood</t>
        </is>
      </c>
      <c r="C1411" s="22" t="inlineStr">
        <is>
          <t>10 cudm</t>
        </is>
      </c>
      <c r="D1411" s="23" t="n">
        <v>29.81</v>
      </c>
      <c r="E1411" s="24" t="n">
        <v>150</v>
      </c>
      <c r="F1411" s="24">
        <f>D1411*E1411</f>
        <v/>
      </c>
      <c r="G1411" s="22" t="n"/>
    </row>
    <row r="1412">
      <c r="A1412" s="22" t="inlineStr">
        <is>
          <t>2204</t>
        </is>
      </c>
      <c r="B1412" s="11" t="inlineStr">
        <is>
          <t>Carriage of Timber</t>
        </is>
      </c>
      <c r="C1412" s="22" t="inlineStr">
        <is>
          <t>cum</t>
        </is>
      </c>
      <c r="D1412" s="23" t="n">
        <v>0.2981</v>
      </c>
      <c r="E1412" s="24" t="n">
        <v>118.59</v>
      </c>
      <c r="F1412" s="24">
        <f>D1412*E1412</f>
        <v/>
      </c>
      <c r="G1412" s="22" t="n"/>
    </row>
    <row r="1413">
      <c r="A1413" s="22" t="inlineStr">
        <is>
          <t>0682</t>
        </is>
      </c>
      <c r="B1413" s="11" t="inlineStr">
        <is>
          <t>Oxidised mild steel screws 50 mm</t>
        </is>
      </c>
      <c r="C1413" s="22" t="inlineStr">
        <is>
          <t>100 Nos</t>
        </is>
      </c>
      <c r="D1413" s="23" t="n">
        <v>2</v>
      </c>
      <c r="E1413" s="24" t="n">
        <v>76</v>
      </c>
      <c r="F1413" s="24">
        <f>D1413*E1413</f>
        <v/>
      </c>
      <c r="G1413" s="22" t="n"/>
    </row>
    <row r="1414">
      <c r="A1414" s="22" t="inlineStr">
        <is>
          <t>0111</t>
        </is>
      </c>
      <c r="B1414" s="11" t="inlineStr">
        <is>
          <t>Carpenter 1st class</t>
        </is>
      </c>
      <c r="C1414" s="22" t="inlineStr">
        <is>
          <t>day</t>
        </is>
      </c>
      <c r="D1414" s="23" t="n">
        <v>2.68</v>
      </c>
      <c r="E1414" s="24" t="n">
        <v>738</v>
      </c>
      <c r="F1414" s="24">
        <f>D1414*E1414</f>
        <v/>
      </c>
      <c r="G1414" s="22" t="n"/>
    </row>
    <row r="1415">
      <c r="A1415" s="22" t="inlineStr">
        <is>
          <t>0114</t>
        </is>
      </c>
      <c r="B1415" s="11" t="inlineStr">
        <is>
          <t>Beldar</t>
        </is>
      </c>
      <c r="C1415" s="22" t="inlineStr">
        <is>
          <t>day</t>
        </is>
      </c>
      <c r="D1415" s="23" t="n">
        <v>1.35</v>
      </c>
      <c r="E1415" s="24" t="n">
        <v>558</v>
      </c>
      <c r="F1415" s="24">
        <f>D1415*E1415</f>
        <v/>
      </c>
      <c r="G1415" s="22" t="n"/>
    </row>
    <row r="1416">
      <c r="A1416" s="22" t="inlineStr">
        <is>
          <t>9999</t>
        </is>
      </c>
      <c r="B1416" s="11" t="inlineStr">
        <is>
          <t>Sundries for glue etc.</t>
        </is>
      </c>
      <c r="C1416" s="22" t="inlineStr">
        <is>
          <t>L.S.</t>
        </is>
      </c>
      <c r="D1416" s="23" t="n">
        <v>33.28</v>
      </c>
      <c r="E1416" s="24" t="n">
        <v>2</v>
      </c>
      <c r="F1416" s="24">
        <f>D1416*E1416</f>
        <v/>
      </c>
      <c r="G1416" s="22" t="n"/>
    </row>
    <row r="1417">
      <c r="A1417" s="8" t="inlineStr">
        <is>
          <t>Calculated W - SUM of the Amount column above</t>
        </is>
      </c>
      <c r="B1417" s="9" t="n"/>
      <c r="C1417" s="9" t="n"/>
      <c r="D1417" s="9" t="n"/>
      <c r="E1417" s="9" t="n"/>
      <c r="F1417" s="25">
        <f>SUM(F1410:F1416)</f>
        <v/>
      </c>
      <c r="G1417" s="9" t="n"/>
    </row>
    <row r="1418">
      <c r="A1418" s="26" t="inlineStr">
        <is>
          <t>W as printed in the DAR</t>
        </is>
      </c>
      <c r="B1418" s="22" t="n"/>
      <c r="C1418" s="22" t="n"/>
      <c r="D1418" s="22" t="n"/>
      <c r="E1418" s="22" t="n"/>
      <c r="F1418" s="27" t="n">
        <v>31036.26</v>
      </c>
      <c r="G1418" s="22" t="n"/>
    </row>
    <row r="1419">
      <c r="A1419" s="26" t="inlineStr">
        <is>
          <t>Difference (calculated - printed)</t>
        </is>
      </c>
      <c r="B1419" s="22" t="n"/>
      <c r="C1419" s="22" t="n"/>
      <c r="D1419" s="22" t="n"/>
      <c r="E1419" s="22" t="n"/>
      <c r="F1419" s="27">
        <f>F1417-F1418</f>
        <v/>
      </c>
      <c r="G1419" s="22" t="n"/>
    </row>
    <row r="1420">
      <c r="A1420" s="29" t="inlineStr">
        <is>
          <t>SAY (Rs.) - final DAR rate as printed (fixed value, not computed)</t>
        </is>
      </c>
      <c r="B1420" s="30" t="n"/>
      <c r="C1420" s="30" t="n"/>
      <c r="D1420" s="30" t="n"/>
      <c r="E1420" s="30" t="n"/>
      <c r="F1420" s="31" t="n">
        <v>4152.45</v>
      </c>
      <c r="G1420" s="30" t="n"/>
    </row>
    <row r="1422" ht="18.5" customHeight="1">
      <c r="A1422" s="8" t="inlineStr">
        <is>
          <t>11.33</t>
        </is>
      </c>
      <c r="B1422" s="17" t="inlineStr">
        <is>
          <t>25 mm wooden planking, tongued and grooved in flooring, including fixing with iron screws complete with :</t>
        </is>
      </c>
      <c r="C1422" s="9" t="n"/>
      <c r="D1422" s="9" t="n"/>
      <c r="E1422" s="9" t="n"/>
      <c r="F1422" s="9" t="n"/>
      <c r="G1422" s="9" t="n"/>
    </row>
    <row r="1423" ht="18.5" customHeight="1">
      <c r="A1423" s="18" t="inlineStr">
        <is>
          <t>11.33.2</t>
        </is>
      </c>
      <c r="B1423" s="19" t="inlineStr">
        <is>
          <t>Second class deodar wood</t>
        </is>
      </c>
      <c r="C1423" s="20" t="n"/>
      <c r="D1423" s="20" t="n"/>
      <c r="E1423" s="20" t="n"/>
      <c r="F1423" s="20" t="n"/>
      <c r="G1423" s="20" t="n"/>
    </row>
    <row r="1424">
      <c r="A1424" s="21" t="inlineStr">
        <is>
          <t>Details of cost for 10 sqm   |   Source: CivilDAR_2019_Vol_1.pdf, page 778</t>
        </is>
      </c>
    </row>
    <row r="1425">
      <c r="A1425" s="5" t="inlineStr">
        <is>
          <t>Code</t>
        </is>
      </c>
      <c r="B1425" s="5" t="inlineStr">
        <is>
          <t>Description</t>
        </is>
      </c>
      <c r="C1425" s="5" t="inlineStr">
        <is>
          <t>Unit</t>
        </is>
      </c>
      <c r="D1425" s="5" t="inlineStr">
        <is>
          <t>Quantity</t>
        </is>
      </c>
      <c r="E1425" s="5" t="inlineStr">
        <is>
          <t>Rate (Rs.)</t>
        </is>
      </c>
      <c r="F1425" s="5" t="inlineStr">
        <is>
          <t>Amount (Rs.)</t>
        </is>
      </c>
      <c r="G1425" s="5" t="inlineStr">
        <is>
          <t>Note</t>
        </is>
      </c>
    </row>
    <row r="1426">
      <c r="A1426" s="22" t="inlineStr">
        <is>
          <t>1194</t>
        </is>
      </c>
      <c r="B1426" s="11" t="inlineStr">
        <is>
          <t>Second class deodar wood in planks</t>
        </is>
      </c>
      <c r="C1426" s="22" t="inlineStr">
        <is>
          <t>10 cudm</t>
        </is>
      </c>
      <c r="D1426" s="23" t="n">
        <v>29.81</v>
      </c>
      <c r="E1426" s="24" t="n">
        <v>500</v>
      </c>
      <c r="F1426" s="24">
        <f>D1426*E1426</f>
        <v/>
      </c>
      <c r="G1426" s="22" t="n"/>
    </row>
    <row r="1427">
      <c r="A1427" s="22" t="inlineStr">
        <is>
          <t>2500</t>
        </is>
      </c>
      <c r="B1427" s="11" t="inlineStr">
        <is>
          <t>Extra for selected planks of second class deodar wood</t>
        </is>
      </c>
      <c r="C1427" s="22" t="inlineStr">
        <is>
          <t>10 cudm</t>
        </is>
      </c>
      <c r="D1427" s="23" t="n">
        <v>29.81</v>
      </c>
      <c r="E1427" s="24" t="n">
        <v>110</v>
      </c>
      <c r="F1427" s="24">
        <f>D1427*E1427</f>
        <v/>
      </c>
      <c r="G1427" s="22" t="n"/>
    </row>
    <row r="1428">
      <c r="A1428" s="22" t="inlineStr">
        <is>
          <t>2204</t>
        </is>
      </c>
      <c r="B1428" s="11" t="inlineStr">
        <is>
          <t>Carriage of Timber</t>
        </is>
      </c>
      <c r="C1428" s="22" t="inlineStr">
        <is>
          <t>cum</t>
        </is>
      </c>
      <c r="D1428" s="23" t="n">
        <v>0.2981</v>
      </c>
      <c r="E1428" s="24" t="n">
        <v>118.59</v>
      </c>
      <c r="F1428" s="24">
        <f>D1428*E1428</f>
        <v/>
      </c>
      <c r="G1428" s="22" t="n"/>
    </row>
    <row r="1429">
      <c r="A1429" s="22" t="inlineStr">
        <is>
          <t>0682</t>
        </is>
      </c>
      <c r="B1429" s="11" t="inlineStr">
        <is>
          <t>Oxidised mild steel screws 50 mm</t>
        </is>
      </c>
      <c r="C1429" s="22" t="inlineStr">
        <is>
          <t>100 Nos</t>
        </is>
      </c>
      <c r="D1429" s="23" t="n">
        <v>2</v>
      </c>
      <c r="E1429" s="24" t="n">
        <v>76</v>
      </c>
      <c r="F1429" s="24">
        <f>D1429*E1429</f>
        <v/>
      </c>
      <c r="G1429" s="22" t="n"/>
    </row>
    <row r="1430">
      <c r="A1430" s="22" t="inlineStr">
        <is>
          <t>0111</t>
        </is>
      </c>
      <c r="B1430" s="11" t="inlineStr">
        <is>
          <t>Carpenter 1st class</t>
        </is>
      </c>
      <c r="C1430" s="22" t="inlineStr">
        <is>
          <t>day</t>
        </is>
      </c>
      <c r="D1430" s="23" t="n">
        <v>2.16</v>
      </c>
      <c r="E1430" s="24" t="n">
        <v>738</v>
      </c>
      <c r="F1430" s="24">
        <f>D1430*E1430</f>
        <v/>
      </c>
      <c r="G1430" s="22" t="n"/>
    </row>
    <row r="1431">
      <c r="A1431" s="22" t="inlineStr">
        <is>
          <t>0114</t>
        </is>
      </c>
      <c r="B1431" s="11" t="inlineStr">
        <is>
          <t>Beldar</t>
        </is>
      </c>
      <c r="C1431" s="22" t="inlineStr">
        <is>
          <t>day</t>
        </is>
      </c>
      <c r="D1431" s="23" t="n">
        <v>1.08</v>
      </c>
      <c r="E1431" s="24" t="n">
        <v>558</v>
      </c>
      <c r="F1431" s="24">
        <f>D1431*E1431</f>
        <v/>
      </c>
      <c r="G1431" s="22" t="n"/>
    </row>
    <row r="1432">
      <c r="A1432" s="22" t="inlineStr">
        <is>
          <t>9999</t>
        </is>
      </c>
      <c r="B1432" s="11" t="inlineStr">
        <is>
          <t>Sundries for glue etc.</t>
        </is>
      </c>
      <c r="C1432" s="22" t="inlineStr">
        <is>
          <t>L.S.</t>
        </is>
      </c>
      <c r="D1432" s="23" t="n">
        <v>26.91</v>
      </c>
      <c r="E1432" s="24" t="n">
        <v>2</v>
      </c>
      <c r="F1432" s="24">
        <f>D1432*E1432</f>
        <v/>
      </c>
      <c r="G1432" s="22" t="n"/>
    </row>
    <row r="1433">
      <c r="A1433" s="8" t="inlineStr">
        <is>
          <t>Calculated W - SUM of the Amount column above</t>
        </is>
      </c>
      <c r="B1433" s="9" t="n"/>
      <c r="C1433" s="9" t="n"/>
      <c r="D1433" s="9" t="n"/>
      <c r="E1433" s="9" t="n"/>
      <c r="F1433" s="25">
        <f>SUM(F1426:F1432)</f>
        <v/>
      </c>
      <c r="G1433" s="9" t="n"/>
    </row>
    <row r="1434">
      <c r="A1434" s="26" t="inlineStr">
        <is>
          <t>W as printed in the DAR</t>
        </is>
      </c>
      <c r="B1434" s="22" t="n"/>
      <c r="C1434" s="22" t="n"/>
      <c r="D1434" s="22" t="n"/>
      <c r="E1434" s="22" t="n"/>
      <c r="F1434" s="27" t="n">
        <v>20621.99</v>
      </c>
      <c r="G1434" s="22" t="n"/>
    </row>
    <row r="1435">
      <c r="A1435" s="26" t="inlineStr">
        <is>
          <t>Difference (calculated - printed)</t>
        </is>
      </c>
      <c r="B1435" s="22" t="n"/>
      <c r="C1435" s="22" t="n"/>
      <c r="D1435" s="22" t="n"/>
      <c r="E1435" s="22" t="n"/>
      <c r="F1435" s="27">
        <f>F1433-F1434</f>
        <v/>
      </c>
      <c r="G1435" s="22" t="n"/>
    </row>
    <row r="1436">
      <c r="A1436" s="29" t="inlineStr">
        <is>
          <t>SAY (Rs.) - final DAR rate as printed (fixed value, not computed)</t>
        </is>
      </c>
      <c r="B1436" s="30" t="n"/>
      <c r="C1436" s="30" t="n"/>
      <c r="D1436" s="30" t="n"/>
      <c r="E1436" s="30" t="n"/>
      <c r="F1436" s="31" t="n">
        <v>2759.1</v>
      </c>
      <c r="G1436" s="30" t="n"/>
    </row>
    <row r="1438" ht="62" customHeight="1">
      <c r="A1438" s="18" t="inlineStr">
        <is>
          <t>11.34</t>
        </is>
      </c>
      <c r="B1438" s="19" t="inlineStr">
        <is>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is>
      </c>
      <c r="C1438" s="20" t="n"/>
      <c r="D1438" s="20" t="n"/>
      <c r="E1438" s="20" t="n"/>
      <c r="F1438" s="20" t="n"/>
      <c r="G1438" s="20" t="n"/>
    </row>
    <row r="1439">
      <c r="A1439" s="21" t="inlineStr">
        <is>
          <t>Details of cost for 1 sqm   |   Source: CivilDAR_2019_Vol_1.pdf, page 779</t>
        </is>
      </c>
    </row>
    <row r="1440">
      <c r="A1440" s="5" t="inlineStr">
        <is>
          <t>Code</t>
        </is>
      </c>
      <c r="B1440" s="5" t="inlineStr">
        <is>
          <t>Description</t>
        </is>
      </c>
      <c r="C1440" s="5" t="inlineStr">
        <is>
          <t>Unit</t>
        </is>
      </c>
      <c r="D1440" s="5" t="inlineStr">
        <is>
          <t>Quantity</t>
        </is>
      </c>
      <c r="E1440" s="5" t="inlineStr">
        <is>
          <t>Rate (Rs.)</t>
        </is>
      </c>
      <c r="F1440" s="5" t="inlineStr">
        <is>
          <t>Amount (Rs.)</t>
        </is>
      </c>
      <c r="G1440" s="5" t="inlineStr">
        <is>
          <t>Note</t>
        </is>
      </c>
    </row>
    <row r="1441">
      <c r="A1441" s="22" t="inlineStr">
        <is>
          <t>0313</t>
        </is>
      </c>
      <c r="B1441" s="11" t="inlineStr">
        <is>
          <t>Blown type petroleum bitumen of penetration 85/25 of approved quality</t>
        </is>
      </c>
      <c r="C1441" s="22" t="inlineStr">
        <is>
          <t>tonne</t>
        </is>
      </c>
      <c r="D1441" s="23" t="n">
        <v>0.0044</v>
      </c>
      <c r="E1441" s="24" t="n">
        <v>34000</v>
      </c>
      <c r="F1441" s="24">
        <f>D1441*E1441</f>
        <v/>
      </c>
      <c r="G1441" s="22" t="n"/>
    </row>
    <row r="1442">
      <c r="A1442" s="22" t="inlineStr">
        <is>
          <t>2211</t>
        </is>
      </c>
      <c r="B1442" s="11" t="inlineStr">
        <is>
          <t>Carriage of Tar bitumen</t>
        </is>
      </c>
      <c r="C1442" s="22" t="inlineStr">
        <is>
          <t>tonne</t>
        </is>
      </c>
      <c r="D1442" s="23" t="n">
        <v>0.0044</v>
      </c>
      <c r="E1442" s="24" t="n">
        <v>103.77</v>
      </c>
      <c r="F1442" s="24">
        <f>D1442*E1442</f>
        <v/>
      </c>
      <c r="G1442" s="22" t="n"/>
    </row>
    <row r="1443">
      <c r="A1443" s="22" t="inlineStr">
        <is>
          <t>1187</t>
        </is>
      </c>
      <c r="B1443" s="11" t="inlineStr">
        <is>
          <t>First class teak wood in scantling</t>
        </is>
      </c>
      <c r="C1443" s="22" t="inlineStr">
        <is>
          <t>10 cudm</t>
        </is>
      </c>
      <c r="D1443" s="23" t="n">
        <v>4.18</v>
      </c>
      <c r="E1443" s="24" t="n">
        <v>880</v>
      </c>
      <c r="F1443" s="24">
        <f>D1443*E1443</f>
        <v/>
      </c>
      <c r="G1443" s="22" t="n"/>
    </row>
    <row r="1444">
      <c r="A1444" s="22" t="inlineStr">
        <is>
          <t>2204</t>
        </is>
      </c>
      <c r="B1444" s="11" t="inlineStr">
        <is>
          <t>Carriage of Timber</t>
        </is>
      </c>
      <c r="C1444" s="22" t="inlineStr">
        <is>
          <t>cum</t>
        </is>
      </c>
      <c r="D1444" s="23" t="n">
        <v>0.0418</v>
      </c>
      <c r="E1444" s="24" t="n">
        <v>118.59</v>
      </c>
      <c r="F1444" s="24">
        <f>D1444*E1444</f>
        <v/>
      </c>
      <c r="G1444" s="22" t="n"/>
    </row>
    <row r="1445">
      <c r="A1445" s="22" t="inlineStr">
        <is>
          <t>0111</t>
        </is>
      </c>
      <c r="B1445" s="11" t="inlineStr">
        <is>
          <t>Carpenter 1st class</t>
        </is>
      </c>
      <c r="C1445" s="22" t="inlineStr">
        <is>
          <t>day</t>
        </is>
      </c>
      <c r="D1445" s="23" t="n">
        <v>1.75</v>
      </c>
      <c r="E1445" s="24" t="n">
        <v>738</v>
      </c>
      <c r="F1445" s="24">
        <f>D1445*E1445</f>
        <v/>
      </c>
      <c r="G1445" s="22" t="n"/>
    </row>
    <row r="1446">
      <c r="A1446" s="22" t="inlineStr">
        <is>
          <t>0114</t>
        </is>
      </c>
      <c r="B1446" s="11" t="inlineStr">
        <is>
          <t>Beldar</t>
        </is>
      </c>
      <c r="C1446" s="22" t="inlineStr">
        <is>
          <t>day</t>
        </is>
      </c>
      <c r="D1446" s="23" t="n">
        <v>2.25</v>
      </c>
      <c r="E1446" s="24" t="n">
        <v>558</v>
      </c>
      <c r="F1446" s="24">
        <f>D1446*E1446</f>
        <v/>
      </c>
      <c r="G1446" s="22" t="n"/>
    </row>
    <row r="1447">
      <c r="A1447" s="22" t="inlineStr">
        <is>
          <t>0115</t>
        </is>
      </c>
      <c r="B1447" s="11" t="inlineStr">
        <is>
          <t>Coolie</t>
        </is>
      </c>
      <c r="C1447" s="22" t="inlineStr">
        <is>
          <t>day</t>
        </is>
      </c>
      <c r="D1447" s="23" t="n">
        <v>1.5</v>
      </c>
      <c r="E1447" s="24" t="n">
        <v>558</v>
      </c>
      <c r="F1447" s="24">
        <f>D1447*E1447</f>
        <v/>
      </c>
      <c r="G1447" s="22" t="n"/>
    </row>
    <row r="1448">
      <c r="A1448" s="22" t="inlineStr">
        <is>
          <t>0130</t>
        </is>
      </c>
      <c r="B1448" s="11" t="inlineStr">
        <is>
          <t>Mistry</t>
        </is>
      </c>
      <c r="C1448" s="22" t="inlineStr">
        <is>
          <t>day</t>
        </is>
      </c>
      <c r="D1448" s="23" t="n">
        <v>0.1</v>
      </c>
      <c r="E1448" s="24" t="n">
        <v>738</v>
      </c>
      <c r="F1448" s="24">
        <f>D1448*E1448</f>
        <v/>
      </c>
      <c r="G1448" s="22" t="n"/>
    </row>
    <row r="1449">
      <c r="A1449" s="22" t="inlineStr">
        <is>
          <t>9999</t>
        </is>
      </c>
      <c r="B1449" s="11" t="inlineStr">
        <is>
          <t>Sundries such as fuel, kerosene oil, sand paper etc.</t>
        </is>
      </c>
      <c r="C1449" s="22" t="inlineStr">
        <is>
          <t>L.S.</t>
        </is>
      </c>
      <c r="D1449" s="23" t="n">
        <v>80.73</v>
      </c>
      <c r="E1449" s="24" t="n">
        <v>2</v>
      </c>
      <c r="F1449" s="24">
        <f>D1449*E1449</f>
        <v/>
      </c>
      <c r="G1449" s="22" t="n"/>
    </row>
    <row r="1450">
      <c r="A1450" s="8" t="inlineStr">
        <is>
          <t>Calculated W - SUM of the Amount column above</t>
        </is>
      </c>
      <c r="B1450" s="9" t="n"/>
      <c r="C1450" s="9" t="n"/>
      <c r="D1450" s="9" t="n"/>
      <c r="E1450" s="9" t="n"/>
      <c r="F1450" s="25">
        <f>SUM(F1441:F1449)</f>
        <v/>
      </c>
      <c r="G1450" s="9" t="n"/>
    </row>
    <row r="1451">
      <c r="A1451" s="26" t="inlineStr">
        <is>
          <t>W as printed in the DAR</t>
        </is>
      </c>
      <c r="B1451" s="22" t="n"/>
      <c r="C1451" s="22" t="n"/>
      <c r="D1451" s="22" t="n"/>
      <c r="E1451" s="22" t="n"/>
      <c r="F1451" s="27" t="n">
        <v>7452.67</v>
      </c>
      <c r="G1451" s="22" t="n"/>
    </row>
    <row r="1452">
      <c r="A1452" s="26" t="inlineStr">
        <is>
          <t>Difference (calculated - printed)</t>
        </is>
      </c>
      <c r="B1452" s="22" t="n"/>
      <c r="C1452" s="22" t="n"/>
      <c r="D1452" s="22" t="n"/>
      <c r="E1452" s="22" t="n"/>
      <c r="F1452" s="27">
        <f>F1450-F1451</f>
        <v/>
      </c>
      <c r="G1452" s="22" t="n"/>
    </row>
    <row r="1453">
      <c r="A1453" s="29" t="inlineStr">
        <is>
          <t>SAY (Rs.) - final DAR rate as printed (fixed value, not computed)</t>
        </is>
      </c>
      <c r="B1453" s="30" t="n"/>
      <c r="C1453" s="30" t="n"/>
      <c r="D1453" s="30" t="n"/>
      <c r="E1453" s="30" t="n"/>
      <c r="F1453" s="31" t="n">
        <v>9971.200000000001</v>
      </c>
      <c r="G1453" s="30" t="n"/>
    </row>
    <row r="1455" ht="47.5" customHeight="1">
      <c r="A1455" s="18" t="inlineStr">
        <is>
          <t>11.35</t>
        </is>
      </c>
      <c r="B1455" s="19" t="inlineStr">
        <is>
          <t>Providing and fixing M.S. angle 50x50x5 mm to act as nosing with lugs of M.S. flat 10x5 mm, 10 cm long, forked at end 60cm apart (minimum three lugs to be provided), including necessary welding and applying a priming coat of approved primer on exposed surface etc. complete.</t>
        </is>
      </c>
      <c r="C1455" s="20" t="n"/>
      <c r="D1455" s="20" t="n"/>
      <c r="E1455" s="20" t="n"/>
      <c r="F1455" s="20" t="n"/>
      <c r="G1455" s="20" t="n"/>
    </row>
    <row r="1456">
      <c r="A1456" s="21" t="inlineStr">
        <is>
          <t>Details of cost for 11.64 kg   |   Source: CivilDAR_2019_Vol_1.pdf, page 780</t>
        </is>
      </c>
    </row>
    <row r="1457">
      <c r="A1457" s="5" t="inlineStr">
        <is>
          <t>Code</t>
        </is>
      </c>
      <c r="B1457" s="5" t="inlineStr">
        <is>
          <t>Description</t>
        </is>
      </c>
      <c r="C1457" s="5" t="inlineStr">
        <is>
          <t>Unit</t>
        </is>
      </c>
      <c r="D1457" s="5" t="inlineStr">
        <is>
          <t>Quantity</t>
        </is>
      </c>
      <c r="E1457" s="5" t="inlineStr">
        <is>
          <t>Rate (Rs.)</t>
        </is>
      </c>
      <c r="F1457" s="5" t="inlineStr">
        <is>
          <t>Amount (Rs.)</t>
        </is>
      </c>
      <c r="G1457" s="5" t="inlineStr">
        <is>
          <t>Note</t>
        </is>
      </c>
    </row>
    <row r="1458">
      <c r="A1458" s="22" t="inlineStr">
        <is>
          <t>1007</t>
        </is>
      </c>
      <c r="B1458" s="11" t="inlineStr">
        <is>
          <t>Structurals such as tees,angles channels and R.S. joists</t>
        </is>
      </c>
      <c r="C1458" s="22" t="inlineStr">
        <is>
          <t>quintal</t>
        </is>
      </c>
      <c r="D1458" s="23" t="n">
        <v>0.12</v>
      </c>
      <c r="E1458" s="24" t="n">
        <v>4600</v>
      </c>
      <c r="F1458" s="24">
        <f>D1458*E1458</f>
        <v/>
      </c>
      <c r="G1458" s="22" t="n"/>
    </row>
    <row r="1459">
      <c r="A1459" s="22" t="inlineStr">
        <is>
          <t>1008</t>
        </is>
      </c>
      <c r="B1459" s="11" t="inlineStr">
        <is>
          <t>Flats upto 10 mm in thickness</t>
        </is>
      </c>
      <c r="C1459" s="22" t="inlineStr">
        <is>
          <t>quintal</t>
        </is>
      </c>
      <c r="D1459" s="23" t="n">
        <v>0.0025</v>
      </c>
      <c r="E1459" s="24" t="n">
        <v>4500</v>
      </c>
      <c r="F1459" s="24">
        <f>D1459*E1459</f>
        <v/>
      </c>
      <c r="G1459" s="22" t="n"/>
    </row>
    <row r="1460">
      <c r="A1460" s="22" t="inlineStr">
        <is>
          <t>2205</t>
        </is>
      </c>
      <c r="B1460" s="11" t="inlineStr">
        <is>
          <t>Carriage of Steel</t>
        </is>
      </c>
      <c r="C1460" s="22" t="inlineStr">
        <is>
          <t>tonne</t>
        </is>
      </c>
      <c r="D1460" s="23" t="n">
        <v>0.016</v>
      </c>
      <c r="E1460" s="24" t="n">
        <v>92.23999999999999</v>
      </c>
      <c r="F1460" s="24">
        <f>D1460*E1460</f>
        <v/>
      </c>
      <c r="G1460" s="22" t="n"/>
    </row>
    <row r="1461">
      <c r="A1461" s="22" t="inlineStr">
        <is>
          <t>1215</t>
        </is>
      </c>
      <c r="B1461" s="11" t="inlineStr">
        <is>
          <t>Welding by electric plant</t>
        </is>
      </c>
      <c r="C1461" s="22" t="inlineStr">
        <is>
          <t>cm</t>
        </is>
      </c>
      <c r="D1461" s="23" t="n">
        <v>6</v>
      </c>
      <c r="E1461" s="24" t="n">
        <v>2</v>
      </c>
      <c r="F1461" s="24">
        <f>D1461*E1461</f>
        <v/>
      </c>
      <c r="G1461" s="22" t="n"/>
    </row>
    <row r="1462">
      <c r="A1462" s="22" t="inlineStr">
        <is>
          <t>9999</t>
        </is>
      </c>
      <c r="B1462" s="11" t="inlineStr">
        <is>
          <t>Sundries</t>
        </is>
      </c>
      <c r="C1462" s="22" t="inlineStr">
        <is>
          <t>L.S.</t>
        </is>
      </c>
      <c r="D1462" s="23" t="n">
        <v>9.1</v>
      </c>
      <c r="E1462" s="24" t="n">
        <v>2</v>
      </c>
      <c r="F1462" s="24">
        <f>D1462*E1462</f>
        <v/>
      </c>
      <c r="G1462" s="22" t="n"/>
    </row>
    <row r="1463">
      <c r="A1463" s="22" t="inlineStr">
        <is>
          <t>0103</t>
        </is>
      </c>
      <c r="B1463" s="11" t="inlineStr">
        <is>
          <t>Blacksmith 2nd class</t>
        </is>
      </c>
      <c r="C1463" s="22" t="inlineStr">
        <is>
          <t>day</t>
        </is>
      </c>
      <c r="D1463" s="23" t="n">
        <v>0.09</v>
      </c>
      <c r="E1463" s="24" t="n">
        <v>679</v>
      </c>
      <c r="F1463" s="24">
        <f>D1463*E1463</f>
        <v/>
      </c>
      <c r="G1463" s="22" t="n"/>
    </row>
    <row r="1464">
      <c r="A1464" s="22" t="inlineStr">
        <is>
          <t>0123</t>
        </is>
      </c>
      <c r="B1464" s="11" t="inlineStr">
        <is>
          <t>Mason (brick layer) 1st class</t>
        </is>
      </c>
      <c r="C1464" s="22" t="inlineStr">
        <is>
          <t>day</t>
        </is>
      </c>
      <c r="D1464" s="23" t="n">
        <v>0.45</v>
      </c>
      <c r="E1464" s="24" t="n">
        <v>738</v>
      </c>
      <c r="F1464" s="24">
        <f>D1464*E1464</f>
        <v/>
      </c>
      <c r="G1464" s="22" t="n"/>
    </row>
    <row r="1465">
      <c r="A1465" s="22" t="inlineStr">
        <is>
          <t>0114</t>
        </is>
      </c>
      <c r="B1465" s="11" t="inlineStr">
        <is>
          <t>Beldar</t>
        </is>
      </c>
      <c r="C1465" s="22" t="inlineStr">
        <is>
          <t>day</t>
        </is>
      </c>
      <c r="D1465" s="23" t="n">
        <v>0.25</v>
      </c>
      <c r="E1465" s="24" t="n">
        <v>558</v>
      </c>
      <c r="F1465" s="24">
        <f>D1465*E1465</f>
        <v/>
      </c>
      <c r="G1465" s="22" t="n"/>
    </row>
    <row r="1466">
      <c r="A1466" s="22" t="inlineStr">
        <is>
          <t>13.50.3</t>
        </is>
      </c>
      <c r="B1466" s="11" t="inlineStr">
        <is>
          <t>Rate as per item 13.50.3 - Applying priming coat - With ready mixed red oxide zinc chromate primer of approved brand and manufacture o...</t>
        </is>
      </c>
      <c r="C1466" s="22" t="inlineStr">
        <is>
          <t>sqm</t>
        </is>
      </c>
      <c r="D1466" s="23" t="n">
        <v>0.6</v>
      </c>
      <c r="E1466" s="24" t="n">
        <v>50.7</v>
      </c>
      <c r="F1466" s="24">
        <f>D1466*E1466</f>
        <v/>
      </c>
      <c r="G1466" s="22" t="n"/>
    </row>
    <row r="1467">
      <c r="A1467" s="8" t="inlineStr">
        <is>
          <t>Calculated W - SUM of the Amount column above</t>
        </is>
      </c>
      <c r="B1467" s="9" t="n"/>
      <c r="C1467" s="9" t="n"/>
      <c r="D1467" s="9" t="n"/>
      <c r="E1467" s="9" t="n"/>
      <c r="F1467" s="25">
        <f>SUM(F1458:F1466)</f>
        <v/>
      </c>
      <c r="G1467" s="9" t="n"/>
    </row>
    <row r="1468">
      <c r="A1468" s="26" t="inlineStr">
        <is>
          <t>W as printed in the DAR</t>
        </is>
      </c>
      <c r="B1468" s="22" t="n"/>
      <c r="C1468" s="22" t="n"/>
      <c r="D1468" s="22" t="n"/>
      <c r="E1468" s="22" t="n"/>
      <c r="F1468" s="27" t="n">
        <v>1158.06</v>
      </c>
      <c r="G1468" s="22" t="n"/>
    </row>
    <row r="1469">
      <c r="A1469" s="26" t="inlineStr">
        <is>
          <t>Difference (calculated - printed)</t>
        </is>
      </c>
      <c r="B1469" s="22" t="n"/>
      <c r="C1469" s="22" t="n"/>
      <c r="D1469" s="22" t="n"/>
      <c r="E1469" s="22" t="n"/>
      <c r="F1469" s="27">
        <f>F1467-F1468</f>
        <v/>
      </c>
      <c r="G1469" s="22" t="n"/>
    </row>
    <row r="1470">
      <c r="A1470" s="29" t="inlineStr">
        <is>
          <t>SAY (Rs.) - final DAR rate as printed (fixed value, not computed)</t>
        </is>
      </c>
      <c r="B1470" s="30" t="n"/>
      <c r="C1470" s="30" t="n"/>
      <c r="D1470" s="30" t="n"/>
      <c r="E1470" s="30" t="n"/>
      <c r="F1470" s="31" t="n">
        <v>132.25</v>
      </c>
      <c r="G1470" s="30" t="n"/>
    </row>
    <row r="1472" ht="62" customHeight="1">
      <c r="A1472" s="18" t="inlineStr">
        <is>
          <t>11.37</t>
        </is>
      </c>
      <c r="B1472" s="19" t="inlineStr">
        <is>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is>
      </c>
      <c r="C1472" s="20" t="n"/>
      <c r="D1472" s="20" t="n"/>
      <c r="E1472" s="20" t="n"/>
      <c r="F1472" s="20" t="n"/>
      <c r="G1472" s="20" t="n"/>
    </row>
    <row r="1473">
      <c r="A1473" s="21" t="inlineStr">
        <is>
          <t>Details of cost for 1 sqm   |   Source: CivilDAR_2019_Vol_1.pdf, page 781</t>
        </is>
      </c>
    </row>
    <row r="1474">
      <c r="A1474" s="5" t="inlineStr">
        <is>
          <t>Code</t>
        </is>
      </c>
      <c r="B1474" s="5" t="inlineStr">
        <is>
          <t>Description</t>
        </is>
      </c>
      <c r="C1474" s="5" t="inlineStr">
        <is>
          <t>Unit</t>
        </is>
      </c>
      <c r="D1474" s="5" t="inlineStr">
        <is>
          <t>Quantity</t>
        </is>
      </c>
      <c r="E1474" s="5" t="inlineStr">
        <is>
          <t>Rate (Rs.)</t>
        </is>
      </c>
      <c r="F1474" s="5" t="inlineStr">
        <is>
          <t>Amount (Rs.)</t>
        </is>
      </c>
      <c r="G1474" s="5" t="inlineStr">
        <is>
          <t>Note</t>
        </is>
      </c>
    </row>
    <row r="1475">
      <c r="A1475" s="22" t="inlineStr">
        <is>
          <t>7801</t>
        </is>
      </c>
      <c r="B1475" s="11" t="inlineStr">
        <is>
          <t>Ceramic Glazed Tiles Ist quality 300 x 300mm in all shades and designs of White, Ivory, grey, Fuem Red brown etc.</t>
        </is>
      </c>
      <c r="C1475" s="22" t="inlineStr">
        <is>
          <t>sqm</t>
        </is>
      </c>
      <c r="D1475" s="23" t="n">
        <v>1.025</v>
      </c>
      <c r="E1475" s="24" t="n">
        <v>209.1</v>
      </c>
      <c r="F1475" s="24">
        <f>D1475*E1475</f>
        <v/>
      </c>
      <c r="G1475" s="22" t="n"/>
    </row>
    <row r="1476">
      <c r="A1476" s="22" t="inlineStr">
        <is>
          <t>9977</t>
        </is>
      </c>
      <c r="B1476" s="11" t="inlineStr">
        <is>
          <t>Carriage of tiles</t>
        </is>
      </c>
      <c r="C1476" s="22" t="inlineStr">
        <is>
          <t>L.S.</t>
        </is>
      </c>
      <c r="D1476" s="23" t="n">
        <v>6.24</v>
      </c>
      <c r="E1476" s="24" t="n">
        <v>2</v>
      </c>
      <c r="F1476" s="24">
        <f>D1476*E1476</f>
        <v/>
      </c>
      <c r="G1476" s="22" t="n"/>
    </row>
    <row r="1477">
      <c r="A1477" s="7" t="inlineStr">
        <is>
          <t>3.9</t>
        </is>
      </c>
      <c r="B1477" s="11" t="inlineStr">
        <is>
          <t>Rate as per item 3.9 - Cement mortar 1:4 (1 cement : 4 coarse sand)</t>
        </is>
      </c>
      <c r="C1477" s="22" t="inlineStr">
        <is>
          <t>cum</t>
        </is>
      </c>
      <c r="D1477" s="23" t="n">
        <v>0.024</v>
      </c>
      <c r="E1477" s="24" t="n">
        <v>4010.35</v>
      </c>
      <c r="F1477" s="24">
        <f>D1477*E1477</f>
        <v/>
      </c>
      <c r="G1477" s="22" t="n"/>
    </row>
    <row r="1478">
      <c r="A1478" s="22" t="inlineStr">
        <is>
          <t>9999</t>
        </is>
      </c>
      <c r="B1478" s="11" t="inlineStr">
        <is>
          <t>Mortar for pointing in white cement</t>
        </is>
      </c>
      <c r="C1478" s="22" t="inlineStr">
        <is>
          <t>L.S.</t>
        </is>
      </c>
      <c r="D1478" s="23" t="n">
        <v>20.2</v>
      </c>
      <c r="E1478" s="24" t="n">
        <v>2</v>
      </c>
      <c r="F1478" s="24">
        <f>D1478*E1478</f>
        <v/>
      </c>
      <c r="G1478" s="22" t="n"/>
    </row>
    <row r="1479">
      <c r="A1479" s="22" t="inlineStr">
        <is>
          <t>0367</t>
        </is>
      </c>
      <c r="B1479" s="11" t="inlineStr">
        <is>
          <t>Portland Cement</t>
        </is>
      </c>
      <c r="C1479" s="22" t="inlineStr">
        <is>
          <t>tonne</t>
        </is>
      </c>
      <c r="D1479" s="23" t="n">
        <v>0.0033</v>
      </c>
      <c r="E1479" s="24" t="n">
        <v>4940</v>
      </c>
      <c r="F1479" s="24">
        <f>D1479*E1479</f>
        <v/>
      </c>
      <c r="G1479" s="22" t="n"/>
    </row>
    <row r="1480">
      <c r="A1480" s="22" t="inlineStr">
        <is>
          <t>0123</t>
        </is>
      </c>
      <c r="B1480" s="11" t="inlineStr">
        <is>
          <t>Mason (brick layer) 1st class</t>
        </is>
      </c>
      <c r="C1480" s="22" t="inlineStr">
        <is>
          <t>day</t>
        </is>
      </c>
      <c r="D1480" s="23" t="n">
        <v>0.2</v>
      </c>
      <c r="E1480" s="24" t="n">
        <v>738</v>
      </c>
      <c r="F1480" s="24">
        <f>D1480*E1480</f>
        <v/>
      </c>
      <c r="G1480" s="22" t="n"/>
    </row>
    <row r="1481">
      <c r="A1481" s="22" t="inlineStr">
        <is>
          <t>0115</t>
        </is>
      </c>
      <c r="B1481" s="11" t="inlineStr">
        <is>
          <t>Coolie</t>
        </is>
      </c>
      <c r="C1481" s="22" t="inlineStr">
        <is>
          <t>day</t>
        </is>
      </c>
      <c r="D1481" s="23" t="n">
        <v>0.2</v>
      </c>
      <c r="E1481" s="24" t="n">
        <v>558</v>
      </c>
      <c r="F1481" s="24">
        <f>D1481*E1481</f>
        <v/>
      </c>
      <c r="G1481" s="22" t="n"/>
    </row>
    <row r="1482">
      <c r="A1482" s="22" t="inlineStr">
        <is>
          <t>9988</t>
        </is>
      </c>
      <c r="B1482" s="11" t="inlineStr">
        <is>
          <t>Sundries including carriage of cement etc</t>
        </is>
      </c>
      <c r="C1482" s="22" t="inlineStr">
        <is>
          <t>L.S.</t>
        </is>
      </c>
      <c r="D1482" s="23" t="n">
        <v>26.91</v>
      </c>
      <c r="E1482" s="24" t="n">
        <v>2</v>
      </c>
      <c r="F1482" s="24">
        <f>D1482*E1482</f>
        <v/>
      </c>
      <c r="G1482" s="22" t="n"/>
    </row>
    <row r="1483">
      <c r="A1483" s="8" t="inlineStr">
        <is>
          <t>Calculated W - SUM of the Amount column above</t>
        </is>
      </c>
      <c r="B1483" s="9" t="n"/>
      <c r="C1483" s="9" t="n"/>
      <c r="D1483" s="9" t="n"/>
      <c r="E1483" s="9" t="n"/>
      <c r="F1483" s="25">
        <f>SUM(F1475:F1482)</f>
        <v/>
      </c>
      <c r="G1483" s="9" t="n"/>
    </row>
    <row r="1484">
      <c r="A1484" s="26" t="inlineStr">
        <is>
          <t>W as printed in the DAR</t>
        </is>
      </c>
      <c r="B1484" s="22" t="n"/>
      <c r="C1484" s="22" t="n"/>
      <c r="D1484" s="22" t="n"/>
      <c r="E1484" s="22" t="n"/>
      <c r="F1484" s="27" t="n">
        <v>692.78</v>
      </c>
      <c r="G1484" s="22" t="n"/>
    </row>
    <row r="1485">
      <c r="A1485" s="26" t="inlineStr">
        <is>
          <t>Difference (calculated - printed)</t>
        </is>
      </c>
      <c r="B1485" s="22" t="n"/>
      <c r="C1485" s="22" t="n"/>
      <c r="D1485" s="22" t="n"/>
      <c r="E1485" s="22" t="n"/>
      <c r="F1485" s="27">
        <f>F1483-F1484</f>
        <v/>
      </c>
      <c r="G1485" s="22" t="n"/>
    </row>
    <row r="1486">
      <c r="A1486" s="29" t="inlineStr">
        <is>
          <t>SAY (Rs.) - final DAR rate as printed (fixed value, not computed)</t>
        </is>
      </c>
      <c r="B1486" s="30" t="n"/>
      <c r="C1486" s="30" t="n"/>
      <c r="D1486" s="30" t="n"/>
      <c r="E1486" s="30" t="n"/>
      <c r="F1486" s="31" t="n">
        <v>926.9</v>
      </c>
      <c r="G1486" s="30" t="n"/>
    </row>
    <row r="1488" ht="62" customHeight="1">
      <c r="A1488" s="18" t="inlineStr">
        <is>
          <t>11.37A</t>
        </is>
      </c>
      <c r="B1488" s="19" t="inlineStr">
        <is>
          <t>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t>
        </is>
      </c>
      <c r="C1488" s="20" t="n"/>
      <c r="D1488" s="20" t="n"/>
      <c r="E1488" s="20" t="n"/>
      <c r="F1488" s="20" t="n"/>
      <c r="G1488" s="20" t="n"/>
    </row>
    <row r="1489">
      <c r="A1489" s="21" t="inlineStr">
        <is>
          <t>Details of cost for 1 Sqm   |   Source: CivilDAR_2019_Vol_1.pdf, page 782</t>
        </is>
      </c>
    </row>
    <row r="1490">
      <c r="A1490" s="5" t="inlineStr">
        <is>
          <t>Code</t>
        </is>
      </c>
      <c r="B1490" s="5" t="inlineStr">
        <is>
          <t>Description</t>
        </is>
      </c>
      <c r="C1490" s="5" t="inlineStr">
        <is>
          <t>Unit</t>
        </is>
      </c>
      <c r="D1490" s="5" t="inlineStr">
        <is>
          <t>Quantity</t>
        </is>
      </c>
      <c r="E1490" s="5" t="inlineStr">
        <is>
          <t>Rate (Rs.)</t>
        </is>
      </c>
      <c r="F1490" s="5" t="inlineStr">
        <is>
          <t>Amount (Rs.)</t>
        </is>
      </c>
      <c r="G1490" s="5" t="inlineStr">
        <is>
          <t>Note</t>
        </is>
      </c>
    </row>
    <row r="1491">
      <c r="A1491" s="22" t="inlineStr">
        <is>
          <t>7801</t>
        </is>
      </c>
      <c r="B1491" s="11" t="inlineStr">
        <is>
          <t>Glazed Ceramic Floor Tile = 1.00 Sqm+ Add for wastage and breakage @2.5% = 0.025 Sqm =1.025 Sqm</t>
        </is>
      </c>
      <c r="C1491" s="22" t="inlineStr">
        <is>
          <t>sqm</t>
        </is>
      </c>
      <c r="D1491" s="23" t="n">
        <v>1.025</v>
      </c>
      <c r="E1491" s="24" t="n">
        <v>209.1</v>
      </c>
      <c r="F1491" s="24">
        <f>D1491*E1491</f>
        <v/>
      </c>
      <c r="G1491" s="22" t="n"/>
    </row>
    <row r="1492">
      <c r="A1492" s="22" t="inlineStr">
        <is>
          <t>9999</t>
        </is>
      </c>
      <c r="B1492" s="11" t="inlineStr">
        <is>
          <t>Carriage of Tiles</t>
        </is>
      </c>
      <c r="C1492" s="22" t="inlineStr">
        <is>
          <t>L.S.</t>
        </is>
      </c>
      <c r="D1492" s="23" t="n">
        <v>6.24</v>
      </c>
      <c r="E1492" s="24" t="n">
        <v>2</v>
      </c>
      <c r="F1492" s="24">
        <f>D1492*E1492</f>
        <v/>
      </c>
      <c r="G1492" s="22" t="n"/>
    </row>
    <row r="1493">
      <c r="A1493" s="7" t="inlineStr">
        <is>
          <t>3.8</t>
        </is>
      </c>
      <c r="B1493" s="11" t="inlineStr">
        <is>
          <t>Rate as per item 3.8 - Cement mortar 1:3 (1 cement : 3 coarse sand)</t>
        </is>
      </c>
      <c r="C1493" s="22" t="inlineStr">
        <is>
          <t>cum</t>
        </is>
      </c>
      <c r="D1493" s="23" t="n">
        <v>0.014</v>
      </c>
      <c r="E1493" s="24" t="n">
        <v>4664.55</v>
      </c>
      <c r="F1493" s="24">
        <f>D1493*E1493</f>
        <v/>
      </c>
      <c r="G1493" s="22" t="n"/>
    </row>
    <row r="1494">
      <c r="A1494" s="22" t="inlineStr">
        <is>
          <t>9999</t>
        </is>
      </c>
      <c r="B1494" s="11" t="inlineStr">
        <is>
          <t>Mortar for pointing in white cement</t>
        </is>
      </c>
      <c r="C1494" s="22" t="inlineStr">
        <is>
          <t>L.S.</t>
        </is>
      </c>
      <c r="D1494" s="23" t="n">
        <v>3.64</v>
      </c>
      <c r="E1494" s="24" t="n">
        <v>2</v>
      </c>
      <c r="F1494" s="24">
        <f>D1494*E1494</f>
        <v/>
      </c>
      <c r="G1494" s="22" t="n"/>
    </row>
    <row r="1495">
      <c r="A1495" s="22" t="inlineStr">
        <is>
          <t>0367</t>
        </is>
      </c>
      <c r="B1495" s="11" t="inlineStr">
        <is>
          <t>Cement for slurry over bed @ 3.3 Kg/Sqm</t>
        </is>
      </c>
      <c r="C1495" s="22" t="inlineStr">
        <is>
          <t>tonne</t>
        </is>
      </c>
      <c r="D1495" s="23" t="n">
        <v>0.0033</v>
      </c>
      <c r="E1495" s="24" t="n">
        <v>4940</v>
      </c>
      <c r="F1495" s="24">
        <f>D1495*E1495</f>
        <v/>
      </c>
      <c r="G1495" s="22" t="n"/>
    </row>
    <row r="1496">
      <c r="A1496" s="22" t="inlineStr">
        <is>
          <t>0123</t>
        </is>
      </c>
      <c r="B1496" s="11" t="inlineStr">
        <is>
          <t>Mason 1st Class</t>
        </is>
      </c>
      <c r="C1496" s="22" t="inlineStr">
        <is>
          <t>day</t>
        </is>
      </c>
      <c r="D1496" s="23" t="n">
        <v>0.25</v>
      </c>
      <c r="E1496" s="24" t="n">
        <v>738</v>
      </c>
      <c r="F1496" s="24">
        <f>D1496*E1496</f>
        <v/>
      </c>
      <c r="G1496" s="22" t="n"/>
    </row>
    <row r="1497">
      <c r="A1497" s="22" t="inlineStr">
        <is>
          <t>0115</t>
        </is>
      </c>
      <c r="B1497" s="11" t="inlineStr">
        <is>
          <t>Coolie</t>
        </is>
      </c>
      <c r="C1497" s="22" t="inlineStr">
        <is>
          <t>day</t>
        </is>
      </c>
      <c r="D1497" s="23" t="n">
        <v>0.25</v>
      </c>
      <c r="E1497" s="24" t="n">
        <v>558</v>
      </c>
      <c r="F1497" s="24">
        <f>D1497*E1497</f>
        <v/>
      </c>
      <c r="G1497" s="22" t="n"/>
    </row>
    <row r="1498">
      <c r="A1498" s="22" t="inlineStr">
        <is>
          <t>9999</t>
        </is>
      </c>
      <c r="B1498" s="11" t="inlineStr">
        <is>
          <t>Sundries includding carriage of Cement etc</t>
        </is>
      </c>
      <c r="C1498" s="22" t="inlineStr">
        <is>
          <t>L.S.</t>
        </is>
      </c>
      <c r="D1498" s="23" t="n">
        <v>26.91</v>
      </c>
      <c r="E1498" s="24" t="n">
        <v>2</v>
      </c>
      <c r="F1498" s="24">
        <f>D1498*E1498</f>
        <v/>
      </c>
      <c r="G1498" s="22" t="n"/>
    </row>
    <row r="1499">
      <c r="A1499" s="8" t="inlineStr">
        <is>
          <t>Calculated W - SUM of the Amount column above</t>
        </is>
      </c>
      <c r="B1499" s="9" t="n"/>
      <c r="C1499" s="9" t="n"/>
      <c r="D1499" s="9" t="n"/>
      <c r="E1499" s="9" t="n"/>
      <c r="F1499" s="25">
        <f>SUM(F1491:F1498)</f>
        <v/>
      </c>
      <c r="G1499" s="9" t="n"/>
    </row>
    <row r="1500">
      <c r="A1500" s="26" t="inlineStr">
        <is>
          <t>W as printed in the DAR</t>
        </is>
      </c>
      <c r="B1500" s="22" t="n"/>
      <c r="C1500" s="22" t="n"/>
      <c r="D1500" s="22" t="n"/>
      <c r="E1500" s="22" t="n"/>
      <c r="F1500" s="27" t="n">
        <v>693.51</v>
      </c>
      <c r="G1500" s="22" t="n"/>
    </row>
    <row r="1501">
      <c r="A1501" s="26" t="inlineStr">
        <is>
          <t>Difference (calculated - printed)</t>
        </is>
      </c>
      <c r="B1501" s="22" t="n"/>
      <c r="C1501" s="22" t="n"/>
      <c r="D1501" s="22" t="n"/>
      <c r="E1501" s="22" t="n"/>
      <c r="F1501" s="27">
        <f>F1499-F1500</f>
        <v/>
      </c>
      <c r="G1501" s="22" t="n"/>
    </row>
    <row r="1502">
      <c r="A1502" s="29" t="inlineStr">
        <is>
          <t>SAY (Rs.) - final DAR rate as printed (fixed value, not computed)</t>
        </is>
      </c>
      <c r="B1502" s="30" t="n"/>
      <c r="C1502" s="30" t="n"/>
      <c r="D1502" s="30" t="n"/>
      <c r="E1502" s="30" t="n"/>
      <c r="F1502" s="31" t="n">
        <v>927.9</v>
      </c>
      <c r="G1502" s="30" t="n"/>
    </row>
    <row r="1504" ht="62" customHeight="1">
      <c r="A1504" s="18" t="inlineStr">
        <is>
          <t>11.38</t>
        </is>
      </c>
      <c r="B1504" s="19" t="inlineStr">
        <is>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is>
      </c>
      <c r="C1504" s="20" t="n"/>
      <c r="D1504" s="20" t="n"/>
      <c r="E1504" s="20" t="n"/>
      <c r="F1504" s="20" t="n"/>
      <c r="G1504" s="20" t="n"/>
    </row>
    <row r="1505">
      <c r="A1505" s="21" t="inlineStr">
        <is>
          <t>Details of cost for 1 sqm   |   Source: CivilDAR_2019_Vol_1.pdf, page 783</t>
        </is>
      </c>
    </row>
    <row r="1506">
      <c r="A1506" s="5" t="inlineStr">
        <is>
          <t>Code</t>
        </is>
      </c>
      <c r="B1506" s="5" t="inlineStr">
        <is>
          <t>Description</t>
        </is>
      </c>
      <c r="C1506" s="5" t="inlineStr">
        <is>
          <t>Unit</t>
        </is>
      </c>
      <c r="D1506" s="5" t="inlineStr">
        <is>
          <t>Quantity</t>
        </is>
      </c>
      <c r="E1506" s="5" t="inlineStr">
        <is>
          <t>Rate (Rs.)</t>
        </is>
      </c>
      <c r="F1506" s="5" t="inlineStr">
        <is>
          <t>Amount (Rs.)</t>
        </is>
      </c>
      <c r="G1506" s="5" t="inlineStr">
        <is>
          <t>Note</t>
        </is>
      </c>
    </row>
    <row r="1507">
      <c r="A1507" s="22" t="inlineStr">
        <is>
          <t>7802</t>
        </is>
      </c>
      <c r="B1507" s="11" t="inlineStr">
        <is>
          <t>Ceramic Glazed Tiles Ist quality 300 x 300 in all shades designs except White, Ivory, Grey, Fuem Red Brown etc.</t>
        </is>
      </c>
      <c r="C1507" s="22" t="inlineStr">
        <is>
          <t>sq.m.</t>
        </is>
      </c>
      <c r="D1507" s="23" t="n">
        <v>1.025</v>
      </c>
      <c r="E1507" s="24" t="n">
        <v>260</v>
      </c>
      <c r="F1507" s="24">
        <f>D1507*E1507</f>
        <v/>
      </c>
      <c r="G1507" s="22" t="n"/>
    </row>
    <row r="1508">
      <c r="A1508" s="22" t="inlineStr">
        <is>
          <t>9977</t>
        </is>
      </c>
      <c r="B1508" s="11" t="inlineStr">
        <is>
          <t>Carriage of tiles</t>
        </is>
      </c>
      <c r="C1508" s="22" t="inlineStr">
        <is>
          <t>L.S.</t>
        </is>
      </c>
      <c r="D1508" s="23" t="n">
        <v>6.24</v>
      </c>
      <c r="E1508" s="24" t="n">
        <v>2</v>
      </c>
      <c r="F1508" s="24">
        <f>D1508*E1508</f>
        <v/>
      </c>
      <c r="G1508" s="22" t="n"/>
    </row>
    <row r="1509">
      <c r="A1509" s="7" t="inlineStr">
        <is>
          <t>3.9</t>
        </is>
      </c>
      <c r="B1509" s="11" t="inlineStr">
        <is>
          <t>Rate as per item 3.9 - Cement mortar 1:4 (1 cement : 4 coarse sand)</t>
        </is>
      </c>
      <c r="C1509" s="22" t="inlineStr">
        <is>
          <t>cum</t>
        </is>
      </c>
      <c r="D1509" s="23" t="n">
        <v>0.024</v>
      </c>
      <c r="E1509" s="24" t="n">
        <v>4010.35</v>
      </c>
      <c r="F1509" s="24">
        <f>D1509*E1509</f>
        <v/>
      </c>
      <c r="G1509" s="22" t="n"/>
    </row>
    <row r="1510">
      <c r="A1510" s="22" t="inlineStr">
        <is>
          <t>9999</t>
        </is>
      </c>
      <c r="B1510" s="11" t="inlineStr">
        <is>
          <t>Mortar for pointing in white cement</t>
        </is>
      </c>
      <c r="C1510" s="22" t="inlineStr">
        <is>
          <t>L.S.</t>
        </is>
      </c>
      <c r="D1510" s="23" t="n">
        <v>20.2</v>
      </c>
      <c r="E1510" s="24" t="n">
        <v>2</v>
      </c>
      <c r="F1510" s="24">
        <f>D1510*E1510</f>
        <v/>
      </c>
      <c r="G1510" s="22" t="n"/>
    </row>
    <row r="1511">
      <c r="A1511" s="22" t="inlineStr">
        <is>
          <t>0367</t>
        </is>
      </c>
      <c r="B1511" s="11" t="inlineStr">
        <is>
          <t>Portland Cement</t>
        </is>
      </c>
      <c r="C1511" s="22" t="inlineStr">
        <is>
          <t>tonne</t>
        </is>
      </c>
      <c r="D1511" s="23" t="n">
        <v>0.0033</v>
      </c>
      <c r="E1511" s="24" t="n">
        <v>4940</v>
      </c>
      <c r="F1511" s="24">
        <f>D1511*E1511</f>
        <v/>
      </c>
      <c r="G1511" s="22" t="n"/>
    </row>
    <row r="1512">
      <c r="A1512" s="22" t="inlineStr">
        <is>
          <t>0123</t>
        </is>
      </c>
      <c r="B1512" s="11" t="inlineStr">
        <is>
          <t>Mason (brick layer) 1st class</t>
        </is>
      </c>
      <c r="C1512" s="22" t="inlineStr">
        <is>
          <t>day</t>
        </is>
      </c>
      <c r="D1512" s="23" t="n">
        <v>0.2</v>
      </c>
      <c r="E1512" s="24" t="n">
        <v>738</v>
      </c>
      <c r="F1512" s="24">
        <f>D1512*E1512</f>
        <v/>
      </c>
      <c r="G1512" s="22" t="n"/>
    </row>
    <row r="1513">
      <c r="A1513" s="22" t="inlineStr">
        <is>
          <t>0115</t>
        </is>
      </c>
      <c r="B1513" s="11" t="inlineStr">
        <is>
          <t>Coolie</t>
        </is>
      </c>
      <c r="C1513" s="22" t="inlineStr">
        <is>
          <t>day</t>
        </is>
      </c>
      <c r="D1513" s="23" t="n">
        <v>0.2</v>
      </c>
      <c r="E1513" s="24" t="n">
        <v>558</v>
      </c>
      <c r="F1513" s="24">
        <f>D1513*E1513</f>
        <v/>
      </c>
      <c r="G1513" s="22" t="n"/>
    </row>
    <row r="1514">
      <c r="A1514" s="22" t="inlineStr">
        <is>
          <t>9988</t>
        </is>
      </c>
      <c r="B1514" s="11" t="inlineStr">
        <is>
          <t>Sundries including carriage of cement etc</t>
        </is>
      </c>
      <c r="C1514" s="22" t="inlineStr">
        <is>
          <t>L.S.</t>
        </is>
      </c>
      <c r="D1514" s="23" t="n">
        <v>26.91</v>
      </c>
      <c r="E1514" s="24" t="n">
        <v>2</v>
      </c>
      <c r="F1514" s="24">
        <f>D1514*E1514</f>
        <v/>
      </c>
      <c r="G1514" s="22" t="n"/>
    </row>
    <row r="1515">
      <c r="A1515" s="8" t="inlineStr">
        <is>
          <t>Calculated W - SUM of the Amount column above</t>
        </is>
      </c>
      <c r="B1515" s="9" t="n"/>
      <c r="C1515" s="9" t="n"/>
      <c r="D1515" s="9" t="n"/>
      <c r="E1515" s="9" t="n"/>
      <c r="F1515" s="25">
        <f>SUM(F1507:F1514)</f>
        <v/>
      </c>
      <c r="G1515" s="9" t="n"/>
    </row>
    <row r="1516">
      <c r="A1516" s="26" t="inlineStr">
        <is>
          <t>W as printed in the DAR</t>
        </is>
      </c>
      <c r="B1516" s="22" t="n"/>
      <c r="C1516" s="22" t="n"/>
      <c r="D1516" s="22" t="n"/>
      <c r="E1516" s="22" t="n"/>
      <c r="F1516" s="27" t="n">
        <v>744.95</v>
      </c>
      <c r="G1516" s="22" t="n"/>
    </row>
    <row r="1517">
      <c r="A1517" s="26" t="inlineStr">
        <is>
          <t>Difference (calculated - printed)</t>
        </is>
      </c>
      <c r="B1517" s="22" t="n"/>
      <c r="C1517" s="22" t="n"/>
      <c r="D1517" s="22" t="n"/>
      <c r="E1517" s="22" t="n"/>
      <c r="F1517" s="27">
        <f>F1515-F1516</f>
        <v/>
      </c>
      <c r="G1517" s="22" t="n"/>
    </row>
    <row r="1518">
      <c r="A1518" s="29" t="inlineStr">
        <is>
          <t>SAY (Rs.) - final DAR rate as printed (fixed value, not computed)</t>
        </is>
      </c>
      <c r="B1518" s="30" t="n"/>
      <c r="C1518" s="30" t="n"/>
      <c r="D1518" s="30" t="n"/>
      <c r="E1518" s="30" t="n"/>
      <c r="F1518" s="31" t="n">
        <v>996.7</v>
      </c>
      <c r="G1518" s="30" t="n"/>
    </row>
    <row r="1520" ht="62" customHeight="1">
      <c r="A1520" s="18" t="inlineStr">
        <is>
          <t>11.39</t>
        </is>
      </c>
      <c r="B1520" s="19" t="inlineStr">
        <is>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is>
      </c>
      <c r="C1520" s="20" t="n"/>
      <c r="D1520" s="20" t="n"/>
      <c r="E1520" s="20" t="n"/>
      <c r="F1520" s="20" t="n"/>
      <c r="G1520" s="20" t="n"/>
    </row>
    <row r="1521">
      <c r="A1521" s="21" t="inlineStr">
        <is>
          <t>Details of cost for 1 sqm   |   Source: CivilDAR_2019_Vol_1.pdf, page 784</t>
        </is>
      </c>
    </row>
    <row r="1522">
      <c r="A1522" s="5" t="inlineStr">
        <is>
          <t>Code</t>
        </is>
      </c>
      <c r="B1522" s="5" t="inlineStr">
        <is>
          <t>Description</t>
        </is>
      </c>
      <c r="C1522" s="5" t="inlineStr">
        <is>
          <t>Unit</t>
        </is>
      </c>
      <c r="D1522" s="5" t="inlineStr">
        <is>
          <t>Quantity</t>
        </is>
      </c>
      <c r="E1522" s="5" t="inlineStr">
        <is>
          <t>Rate (Rs.)</t>
        </is>
      </c>
      <c r="F1522" s="5" t="inlineStr">
        <is>
          <t>Amount (Rs.)</t>
        </is>
      </c>
      <c r="G1522" s="5" t="inlineStr">
        <is>
          <t>Note</t>
        </is>
      </c>
    </row>
    <row r="1523">
      <c r="A1523" s="22" t="inlineStr">
        <is>
          <t>7803</t>
        </is>
      </c>
      <c r="B1523" s="11" t="inlineStr">
        <is>
          <t>Rectified Ceramic Glazed Tiles Ist quality 300x300mm or more in all shades designs White, Ivory, Grey, Fuem Red Brown etc.</t>
        </is>
      </c>
      <c r="C1523" s="22" t="inlineStr">
        <is>
          <t>sq.m.</t>
        </is>
      </c>
      <c r="D1523" s="23" t="n">
        <v>1.025</v>
      </c>
      <c r="E1523" s="24" t="n">
        <v>340</v>
      </c>
      <c r="F1523" s="24">
        <f>D1523*E1523</f>
        <v/>
      </c>
      <c r="G1523" s="22" t="n"/>
    </row>
    <row r="1524">
      <c r="A1524" s="22" t="inlineStr">
        <is>
          <t>9977</t>
        </is>
      </c>
      <c r="B1524" s="11" t="inlineStr">
        <is>
          <t>Carriage of tiles</t>
        </is>
      </c>
      <c r="C1524" s="22" t="inlineStr">
        <is>
          <t>L.S.</t>
        </is>
      </c>
      <c r="D1524" s="23" t="n">
        <v>6.24</v>
      </c>
      <c r="E1524" s="24" t="n">
        <v>2</v>
      </c>
      <c r="F1524" s="24">
        <f>D1524*E1524</f>
        <v/>
      </c>
      <c r="G1524" s="22" t="n"/>
    </row>
    <row r="1525">
      <c r="A1525" s="7" t="inlineStr">
        <is>
          <t>3.9</t>
        </is>
      </c>
      <c r="B1525" s="11" t="inlineStr">
        <is>
          <t>Rate as per item 3.9 - Cement mortar 1:4 (1 cement : 4 coarse sand)</t>
        </is>
      </c>
      <c r="C1525" s="22" t="inlineStr">
        <is>
          <t>cum</t>
        </is>
      </c>
      <c r="D1525" s="23" t="n">
        <v>0.024</v>
      </c>
      <c r="E1525" s="24" t="n">
        <v>4010.35</v>
      </c>
      <c r="F1525" s="24">
        <f>D1525*E1525</f>
        <v/>
      </c>
      <c r="G1525" s="22" t="n"/>
    </row>
    <row r="1526">
      <c r="A1526" s="22" t="inlineStr">
        <is>
          <t>9999</t>
        </is>
      </c>
      <c r="B1526" s="11" t="inlineStr">
        <is>
          <t>Mortar for pointing in white cement</t>
        </is>
      </c>
      <c r="C1526" s="22" t="inlineStr">
        <is>
          <t>L.S.</t>
        </is>
      </c>
      <c r="D1526" s="23" t="n">
        <v>13.47</v>
      </c>
      <c r="E1526" s="24" t="n">
        <v>2</v>
      </c>
      <c r="F1526" s="24">
        <f>D1526*E1526</f>
        <v/>
      </c>
      <c r="G1526" s="22" t="n"/>
    </row>
    <row r="1527">
      <c r="A1527" s="22" t="inlineStr">
        <is>
          <t>0367</t>
        </is>
      </c>
      <c r="B1527" s="11" t="inlineStr">
        <is>
          <t>Portland Cement</t>
        </is>
      </c>
      <c r="C1527" s="22" t="inlineStr">
        <is>
          <t>tonne</t>
        </is>
      </c>
      <c r="D1527" s="23" t="n">
        <v>0.0033</v>
      </c>
      <c r="E1527" s="24" t="n">
        <v>4940</v>
      </c>
      <c r="F1527" s="24">
        <f>D1527*E1527</f>
        <v/>
      </c>
      <c r="G1527" s="22" t="n"/>
    </row>
    <row r="1528">
      <c r="A1528" s="22" t="inlineStr">
        <is>
          <t>0123</t>
        </is>
      </c>
      <c r="B1528" s="11" t="inlineStr">
        <is>
          <t>Mason (brick layer) 1st class</t>
        </is>
      </c>
      <c r="C1528" s="22" t="inlineStr">
        <is>
          <t>day</t>
        </is>
      </c>
      <c r="D1528" s="23" t="n">
        <v>0.2</v>
      </c>
      <c r="E1528" s="24" t="n">
        <v>738</v>
      </c>
      <c r="F1528" s="24">
        <f>D1528*E1528</f>
        <v/>
      </c>
      <c r="G1528" s="22" t="n"/>
    </row>
    <row r="1529">
      <c r="A1529" s="22" t="inlineStr">
        <is>
          <t>0115</t>
        </is>
      </c>
      <c r="B1529" s="11" t="inlineStr">
        <is>
          <t>Coolie</t>
        </is>
      </c>
      <c r="C1529" s="22" t="inlineStr">
        <is>
          <t>day</t>
        </is>
      </c>
      <c r="D1529" s="23" t="n">
        <v>0.2</v>
      </c>
      <c r="E1529" s="24" t="n">
        <v>558</v>
      </c>
      <c r="F1529" s="24">
        <f>D1529*E1529</f>
        <v/>
      </c>
      <c r="G1529" s="22" t="n"/>
    </row>
    <row r="1530">
      <c r="A1530" s="22" t="inlineStr">
        <is>
          <t>9988</t>
        </is>
      </c>
      <c r="B1530" s="11" t="inlineStr">
        <is>
          <t>Sundries including carriage of cement etc</t>
        </is>
      </c>
      <c r="C1530" s="22" t="inlineStr">
        <is>
          <t>L.S.</t>
        </is>
      </c>
      <c r="D1530" s="23" t="n">
        <v>26.91</v>
      </c>
      <c r="E1530" s="24" t="n">
        <v>2</v>
      </c>
      <c r="F1530" s="24">
        <f>D1530*E1530</f>
        <v/>
      </c>
      <c r="G1530" s="22" t="n"/>
    </row>
    <row r="1531">
      <c r="A1531" s="8" t="inlineStr">
        <is>
          <t>Calculated W - SUM of the Amount column above</t>
        </is>
      </c>
      <c r="B1531" s="9" t="n"/>
      <c r="C1531" s="9" t="n"/>
      <c r="D1531" s="9" t="n"/>
      <c r="E1531" s="9" t="n"/>
      <c r="F1531" s="25">
        <f>SUM(F1523:F1530)</f>
        <v/>
      </c>
      <c r="G1531" s="9" t="n"/>
    </row>
    <row r="1532">
      <c r="A1532" s="26" t="inlineStr">
        <is>
          <t>W as printed in the DAR</t>
        </is>
      </c>
      <c r="B1532" s="22" t="n"/>
      <c r="C1532" s="22" t="n"/>
      <c r="D1532" s="22" t="n"/>
      <c r="E1532" s="22" t="n"/>
      <c r="F1532" s="27" t="n">
        <v>813.49</v>
      </c>
      <c r="G1532" s="22" t="n"/>
    </row>
    <row r="1533">
      <c r="A1533" s="26" t="inlineStr">
        <is>
          <t>Difference (calculated - printed)</t>
        </is>
      </c>
      <c r="B1533" s="22" t="n"/>
      <c r="C1533" s="22" t="n"/>
      <c r="D1533" s="22" t="n"/>
      <c r="E1533" s="22" t="n"/>
      <c r="F1533" s="27">
        <f>F1531-F1532</f>
        <v/>
      </c>
      <c r="G1533" s="22" t="n"/>
    </row>
    <row r="1534">
      <c r="A1534" s="29" t="inlineStr">
        <is>
          <t>SAY (Rs.) - final DAR rate as printed (fixed value, not computed)</t>
        </is>
      </c>
      <c r="B1534" s="30" t="n"/>
      <c r="C1534" s="30" t="n"/>
      <c r="D1534" s="30" t="n"/>
      <c r="E1534" s="30" t="n"/>
      <c r="F1534" s="31" t="n">
        <v>1088.4</v>
      </c>
      <c r="G1534" s="30" t="n"/>
    </row>
    <row r="1536" ht="62" customHeight="1">
      <c r="A1536" s="18" t="inlineStr">
        <is>
          <t>11.40</t>
        </is>
      </c>
      <c r="B1536" s="19" t="inlineStr">
        <is>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t>
        </is>
      </c>
      <c r="C1536" s="20" t="n"/>
      <c r="D1536" s="20" t="n"/>
      <c r="E1536" s="20" t="n"/>
      <c r="F1536" s="20" t="n"/>
      <c r="G1536" s="20" t="n"/>
    </row>
    <row r="1537">
      <c r="A1537" s="21" t="inlineStr">
        <is>
          <t>Details of cost for 1 sqm   |   Source: CivilDAR_2019_Vol_1.pdf, page 785</t>
        </is>
      </c>
    </row>
    <row r="1538">
      <c r="A1538" s="5" t="inlineStr">
        <is>
          <t>Code</t>
        </is>
      </c>
      <c r="B1538" s="5" t="inlineStr">
        <is>
          <t>Description</t>
        </is>
      </c>
      <c r="C1538" s="5" t="inlineStr">
        <is>
          <t>Unit</t>
        </is>
      </c>
      <c r="D1538" s="5" t="inlineStr">
        <is>
          <t>Quantity</t>
        </is>
      </c>
      <c r="E1538" s="5" t="inlineStr">
        <is>
          <t>Rate (Rs.)</t>
        </is>
      </c>
      <c r="F1538" s="5" t="inlineStr">
        <is>
          <t>Amount (Rs.)</t>
        </is>
      </c>
      <c r="G1538" s="5" t="inlineStr">
        <is>
          <t>Note</t>
        </is>
      </c>
    </row>
    <row r="1539">
      <c r="A1539" s="22" t="inlineStr">
        <is>
          <t>7804</t>
        </is>
      </c>
      <c r="B1539" s="11" t="inlineStr">
        <is>
          <t>Rectified Ceramic Glazed Tiles Ist quality 300x300mm or more in all shades designs except White, Ivory, Grey, Fuem Red Brown etc.</t>
        </is>
      </c>
      <c r="C1539" s="22" t="inlineStr">
        <is>
          <t>sq.m.</t>
        </is>
      </c>
      <c r="D1539" s="23" t="n">
        <v>1.025</v>
      </c>
      <c r="E1539" s="24" t="n">
        <v>400</v>
      </c>
      <c r="F1539" s="24">
        <f>D1539*E1539</f>
        <v/>
      </c>
      <c r="G1539" s="22" t="n"/>
    </row>
    <row r="1540">
      <c r="A1540" s="22" t="inlineStr">
        <is>
          <t>9977</t>
        </is>
      </c>
      <c r="B1540" s="11" t="inlineStr">
        <is>
          <t>Carriage of tiles</t>
        </is>
      </c>
      <c r="C1540" s="22" t="inlineStr">
        <is>
          <t>L.S.</t>
        </is>
      </c>
      <c r="D1540" s="23" t="n">
        <v>6.24</v>
      </c>
      <c r="E1540" s="24" t="n">
        <v>2</v>
      </c>
      <c r="F1540" s="24">
        <f>D1540*E1540</f>
        <v/>
      </c>
      <c r="G1540" s="22" t="n"/>
    </row>
    <row r="1541">
      <c r="A1541" s="7" t="inlineStr">
        <is>
          <t>3.9</t>
        </is>
      </c>
      <c r="B1541" s="11" t="inlineStr">
        <is>
          <t>Rate as per item 3.9 - Cement mortar 1:4 (1 cement : 4 coarse sand)</t>
        </is>
      </c>
      <c r="C1541" s="22" t="inlineStr">
        <is>
          <t>cum</t>
        </is>
      </c>
      <c r="D1541" s="23" t="n">
        <v>0.024</v>
      </c>
      <c r="E1541" s="24" t="n">
        <v>4010.35</v>
      </c>
      <c r="F1541" s="24">
        <f>D1541*E1541</f>
        <v/>
      </c>
      <c r="G1541" s="22" t="n"/>
    </row>
    <row r="1542">
      <c r="A1542" s="22" t="inlineStr">
        <is>
          <t>9999</t>
        </is>
      </c>
      <c r="B1542" s="11" t="inlineStr">
        <is>
          <t>Mortar for pointing in white cement</t>
        </is>
      </c>
      <c r="C1542" s="22" t="inlineStr">
        <is>
          <t>L.S.</t>
        </is>
      </c>
      <c r="D1542" s="23" t="n">
        <v>13.47</v>
      </c>
      <c r="E1542" s="24" t="n">
        <v>2</v>
      </c>
      <c r="F1542" s="24">
        <f>D1542*E1542</f>
        <v/>
      </c>
      <c r="G1542" s="22" t="n"/>
    </row>
    <row r="1543">
      <c r="A1543" s="22" t="inlineStr">
        <is>
          <t>0367</t>
        </is>
      </c>
      <c r="B1543" s="11" t="inlineStr">
        <is>
          <t>Portland Cement</t>
        </is>
      </c>
      <c r="C1543" s="22" t="inlineStr">
        <is>
          <t>tonne</t>
        </is>
      </c>
      <c r="D1543" s="23" t="n">
        <v>0.0033</v>
      </c>
      <c r="E1543" s="24" t="n">
        <v>4940</v>
      </c>
      <c r="F1543" s="24">
        <f>D1543*E1543</f>
        <v/>
      </c>
      <c r="G1543" s="22" t="n"/>
    </row>
    <row r="1544">
      <c r="A1544" s="22" t="inlineStr">
        <is>
          <t>0123</t>
        </is>
      </c>
      <c r="B1544" s="11" t="inlineStr">
        <is>
          <t>Mason (brick layer) 1st class</t>
        </is>
      </c>
      <c r="C1544" s="22" t="inlineStr">
        <is>
          <t>day</t>
        </is>
      </c>
      <c r="D1544" s="23" t="n">
        <v>0.2</v>
      </c>
      <c r="E1544" s="24" t="n">
        <v>738</v>
      </c>
      <c r="F1544" s="24">
        <f>D1544*E1544</f>
        <v/>
      </c>
      <c r="G1544" s="22" t="n"/>
    </row>
    <row r="1545">
      <c r="A1545" s="22" t="inlineStr">
        <is>
          <t>0115</t>
        </is>
      </c>
      <c r="B1545" s="11" t="inlineStr">
        <is>
          <t>Coolie</t>
        </is>
      </c>
      <c r="C1545" s="22" t="inlineStr">
        <is>
          <t>day</t>
        </is>
      </c>
      <c r="D1545" s="23" t="n">
        <v>0.2</v>
      </c>
      <c r="E1545" s="24" t="n">
        <v>558</v>
      </c>
      <c r="F1545" s="24">
        <f>D1545*E1545</f>
        <v/>
      </c>
      <c r="G1545" s="22" t="n"/>
    </row>
    <row r="1546">
      <c r="A1546" s="22" t="inlineStr">
        <is>
          <t>9988</t>
        </is>
      </c>
      <c r="B1546" s="11" t="inlineStr">
        <is>
          <t>Sundries including carriage of cement etc</t>
        </is>
      </c>
      <c r="C1546" s="22" t="inlineStr">
        <is>
          <t>L.S.</t>
        </is>
      </c>
      <c r="D1546" s="23" t="n">
        <v>26.91</v>
      </c>
      <c r="E1546" s="24" t="n">
        <v>2</v>
      </c>
      <c r="F1546" s="24">
        <f>D1546*E1546</f>
        <v/>
      </c>
      <c r="G1546" s="22" t="n"/>
    </row>
    <row r="1547">
      <c r="A1547" s="8" t="inlineStr">
        <is>
          <t>Calculated W - SUM of the Amount column above</t>
        </is>
      </c>
      <c r="B1547" s="9" t="n"/>
      <c r="C1547" s="9" t="n"/>
      <c r="D1547" s="9" t="n"/>
      <c r="E1547" s="9" t="n"/>
      <c r="F1547" s="25">
        <f>SUM(F1539:F1546)</f>
        <v/>
      </c>
      <c r="G1547" s="9" t="n"/>
    </row>
    <row r="1548">
      <c r="A1548" s="26" t="inlineStr">
        <is>
          <t>W as printed in the DAR</t>
        </is>
      </c>
      <c r="B1548" s="22" t="n"/>
      <c r="C1548" s="22" t="n"/>
      <c r="D1548" s="22" t="n"/>
      <c r="E1548" s="22" t="n"/>
      <c r="F1548" s="27" t="n">
        <v>874.99</v>
      </c>
      <c r="G1548" s="22" t="n"/>
    </row>
    <row r="1549">
      <c r="A1549" s="26" t="inlineStr">
        <is>
          <t>Difference (calculated - printed)</t>
        </is>
      </c>
      <c r="B1549" s="22" t="n"/>
      <c r="C1549" s="22" t="n"/>
      <c r="D1549" s="22" t="n"/>
      <c r="E1549" s="22" t="n"/>
      <c r="F1549" s="27">
        <f>F1547-F1548</f>
        <v/>
      </c>
      <c r="G1549" s="22" t="n"/>
    </row>
    <row r="1550">
      <c r="A1550" s="29" t="inlineStr">
        <is>
          <t>SAY (Rs.) - final DAR rate as printed (fixed value, not computed)</t>
        </is>
      </c>
      <c r="B1550" s="30" t="n"/>
      <c r="C1550" s="30" t="n"/>
      <c r="D1550" s="30" t="n"/>
      <c r="E1550" s="30" t="n"/>
      <c r="F1550" s="31" t="n">
        <v>1170.7</v>
      </c>
      <c r="G1550" s="30" t="n"/>
    </row>
    <row r="1552" ht="62" customHeight="1">
      <c r="A1552" s="8" t="inlineStr">
        <is>
          <t>11.41</t>
        </is>
      </c>
      <c r="B1552" s="1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is>
      </c>
      <c r="C1552" s="9" t="n"/>
      <c r="D1552" s="9" t="n"/>
      <c r="E1552" s="9" t="n"/>
      <c r="F1552" s="9" t="n"/>
      <c r="G1552" s="9" t="n"/>
    </row>
    <row r="1553" ht="18.5" customHeight="1">
      <c r="A1553" s="18" t="inlineStr">
        <is>
          <t>11.41.1</t>
        </is>
      </c>
      <c r="B1553" s="19" t="inlineStr">
        <is>
          <t>Size of Tile 500x500 mm</t>
        </is>
      </c>
      <c r="C1553" s="20" t="n"/>
      <c r="D1553" s="20" t="n"/>
      <c r="E1553" s="20" t="n"/>
      <c r="F1553" s="20" t="n"/>
      <c r="G1553" s="20" t="n"/>
    </row>
    <row r="1554">
      <c r="A1554" s="21" t="inlineStr">
        <is>
          <t>Details of cost for 1 sqm   |   Source: CivilDAR_2019_Vol_1.pdf, page 786</t>
        </is>
      </c>
    </row>
    <row r="1555">
      <c r="A1555" s="5" t="inlineStr">
        <is>
          <t>Code</t>
        </is>
      </c>
      <c r="B1555" s="5" t="inlineStr">
        <is>
          <t>Description</t>
        </is>
      </c>
      <c r="C1555" s="5" t="inlineStr">
        <is>
          <t>Unit</t>
        </is>
      </c>
      <c r="D1555" s="5" t="inlineStr">
        <is>
          <t>Quantity</t>
        </is>
      </c>
      <c r="E1555" s="5" t="inlineStr">
        <is>
          <t>Rate (Rs.)</t>
        </is>
      </c>
      <c r="F1555" s="5" t="inlineStr">
        <is>
          <t>Amount (Rs.)</t>
        </is>
      </c>
      <c r="G1555" s="5" t="inlineStr">
        <is>
          <t>Note</t>
        </is>
      </c>
    </row>
    <row r="1556">
      <c r="A1556" s="22" t="inlineStr">
        <is>
          <t>8620</t>
        </is>
      </c>
      <c r="B1556" s="11" t="inlineStr">
        <is>
          <t>Vitrified floor tile 50x50 cm</t>
        </is>
      </c>
      <c r="C1556" s="22" t="inlineStr">
        <is>
          <t>sqm</t>
        </is>
      </c>
      <c r="D1556" s="23" t="n">
        <v>1.025</v>
      </c>
      <c r="E1556" s="24" t="n">
        <v>490</v>
      </c>
      <c r="F1556" s="24">
        <f>D1556*E1556</f>
        <v/>
      </c>
      <c r="G1556" s="22" t="n"/>
    </row>
    <row r="1557">
      <c r="A1557" s="22" t="inlineStr">
        <is>
          <t>9977</t>
        </is>
      </c>
      <c r="B1557" s="11" t="inlineStr">
        <is>
          <t>Carriage of tiles</t>
        </is>
      </c>
      <c r="C1557" s="22" t="inlineStr">
        <is>
          <t>L.S.</t>
        </is>
      </c>
      <c r="D1557" s="23" t="n">
        <v>6.24</v>
      </c>
      <c r="E1557" s="24" t="n">
        <v>2</v>
      </c>
      <c r="F1557" s="24">
        <f>D1557*E1557</f>
        <v/>
      </c>
      <c r="G1557" s="22" t="n"/>
    </row>
    <row r="1558">
      <c r="A1558" s="7" t="inlineStr">
        <is>
          <t>3.9</t>
        </is>
      </c>
      <c r="B1558" s="11" t="inlineStr">
        <is>
          <t>Rate as per item 3.9 - Cement mortar 1:4 (1 cement : 4 coarse sand)</t>
        </is>
      </c>
      <c r="C1558" s="22" t="inlineStr">
        <is>
          <t>cum</t>
        </is>
      </c>
      <c r="D1558" s="23" t="n">
        <v>0.024</v>
      </c>
      <c r="E1558" s="24" t="n">
        <v>4010.35</v>
      </c>
      <c r="F1558" s="24">
        <f>D1558*E1558</f>
        <v/>
      </c>
      <c r="G1558" s="22" t="n"/>
    </row>
    <row r="1559">
      <c r="A1559" s="22" t="inlineStr">
        <is>
          <t>9999</t>
        </is>
      </c>
      <c r="B1559" s="11" t="inlineStr">
        <is>
          <t>Mortar for pointing in white cement</t>
        </is>
      </c>
      <c r="C1559" s="22" t="inlineStr">
        <is>
          <t>L.S.</t>
        </is>
      </c>
      <c r="D1559" s="23" t="n">
        <v>3.64</v>
      </c>
      <c r="E1559" s="24" t="n">
        <v>2</v>
      </c>
      <c r="F1559" s="24">
        <f>D1559*E1559</f>
        <v/>
      </c>
      <c r="G1559" s="22" t="n"/>
    </row>
    <row r="1560">
      <c r="A1560" s="22" t="inlineStr">
        <is>
          <t>0367</t>
        </is>
      </c>
      <c r="B1560" s="11" t="inlineStr">
        <is>
          <t>Portland Cement</t>
        </is>
      </c>
      <c r="C1560" s="22" t="inlineStr">
        <is>
          <t>tonne</t>
        </is>
      </c>
      <c r="D1560" s="23" t="n">
        <v>0.0033</v>
      </c>
      <c r="E1560" s="24" t="n">
        <v>4940</v>
      </c>
      <c r="F1560" s="24">
        <f>D1560*E1560</f>
        <v/>
      </c>
      <c r="G1560" s="22" t="n"/>
    </row>
    <row r="1561">
      <c r="A1561" s="22" t="inlineStr">
        <is>
          <t>0123</t>
        </is>
      </c>
      <c r="B1561" s="11" t="inlineStr">
        <is>
          <t>Mason (brick layer) 1st class</t>
        </is>
      </c>
      <c r="C1561" s="22" t="inlineStr">
        <is>
          <t>day</t>
        </is>
      </c>
      <c r="D1561" s="23" t="n">
        <v>0.2</v>
      </c>
      <c r="E1561" s="24" t="n">
        <v>738</v>
      </c>
      <c r="F1561" s="24">
        <f>D1561*E1561</f>
        <v/>
      </c>
      <c r="G1561" s="22" t="n"/>
    </row>
    <row r="1562">
      <c r="A1562" s="22" t="inlineStr">
        <is>
          <t>0115</t>
        </is>
      </c>
      <c r="B1562" s="11" t="inlineStr">
        <is>
          <t>Coolie</t>
        </is>
      </c>
      <c r="C1562" s="22" t="inlineStr">
        <is>
          <t>day</t>
        </is>
      </c>
      <c r="D1562" s="23" t="n">
        <v>0.2</v>
      </c>
      <c r="E1562" s="24" t="n">
        <v>558</v>
      </c>
      <c r="F1562" s="24">
        <f>D1562*E1562</f>
        <v/>
      </c>
      <c r="G1562" s="22" t="n"/>
    </row>
    <row r="1563">
      <c r="A1563" s="22" t="inlineStr">
        <is>
          <t>9988</t>
        </is>
      </c>
      <c r="B1563" s="11" t="inlineStr">
        <is>
          <t>Sundries including carriage of cement etc</t>
        </is>
      </c>
      <c r="C1563" s="22" t="inlineStr">
        <is>
          <t>L.S.</t>
        </is>
      </c>
      <c r="D1563" s="23" t="n">
        <v>26.91</v>
      </c>
      <c r="E1563" s="24" t="n">
        <v>2</v>
      </c>
      <c r="F1563" s="24">
        <f>D1563*E1563</f>
        <v/>
      </c>
      <c r="G1563" s="22" t="n"/>
    </row>
    <row r="1564">
      <c r="A1564" s="8" t="inlineStr">
        <is>
          <t>Calculated W - SUM of the Amount column above</t>
        </is>
      </c>
      <c r="B1564" s="9" t="n"/>
      <c r="C1564" s="9" t="n"/>
      <c r="D1564" s="9" t="n"/>
      <c r="E1564" s="9" t="n"/>
      <c r="F1564" s="25">
        <f>SUM(F1556:F1563)</f>
        <v/>
      </c>
      <c r="G1564" s="9" t="n"/>
    </row>
    <row r="1565">
      <c r="A1565" s="26" t="inlineStr">
        <is>
          <t>W as printed in the DAR</t>
        </is>
      </c>
      <c r="B1565" s="22" t="n"/>
      <c r="C1565" s="22" t="n"/>
      <c r="D1565" s="22" t="n"/>
      <c r="E1565" s="22" t="n"/>
      <c r="F1565" s="27" t="n">
        <v>947.58</v>
      </c>
      <c r="G1565" s="22" t="n"/>
    </row>
    <row r="1566">
      <c r="A1566" s="26" t="inlineStr">
        <is>
          <t>Difference (calculated - printed)</t>
        </is>
      </c>
      <c r="B1566" s="22" t="n"/>
      <c r="C1566" s="22" t="n"/>
      <c r="D1566" s="22" t="n"/>
      <c r="E1566" s="22" t="n"/>
      <c r="F1566" s="27">
        <f>F1564-F1565</f>
        <v/>
      </c>
      <c r="G1566" s="22" t="n"/>
    </row>
    <row r="1567">
      <c r="A1567" s="29" t="inlineStr">
        <is>
          <t>SAY (Rs.) - final DAR rate as printed (fixed value, not computed)</t>
        </is>
      </c>
      <c r="B1567" s="30" t="n"/>
      <c r="C1567" s="30" t="n"/>
      <c r="D1567" s="30" t="n"/>
      <c r="E1567" s="30" t="n"/>
      <c r="F1567" s="31" t="n">
        <v>1267.8</v>
      </c>
      <c r="G1567" s="30" t="n"/>
    </row>
    <row r="1569" ht="62" customHeight="1">
      <c r="A1569" s="8" t="inlineStr">
        <is>
          <t>11.41</t>
        </is>
      </c>
      <c r="B1569" s="1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is>
      </c>
      <c r="C1569" s="9" t="n"/>
      <c r="D1569" s="9" t="n"/>
      <c r="E1569" s="9" t="n"/>
      <c r="F1569" s="9" t="n"/>
      <c r="G1569" s="9" t="n"/>
    </row>
    <row r="1570" ht="18.5" customHeight="1">
      <c r="A1570" s="18" t="inlineStr">
        <is>
          <t>11.41.2</t>
        </is>
      </c>
      <c r="B1570" s="19" t="inlineStr">
        <is>
          <t>Size of Tile 600x600 mm</t>
        </is>
      </c>
      <c r="C1570" s="20" t="n"/>
      <c r="D1570" s="20" t="n"/>
      <c r="E1570" s="20" t="n"/>
      <c r="F1570" s="20" t="n"/>
      <c r="G1570" s="20" t="n"/>
    </row>
    <row r="1571">
      <c r="A1571" s="21" t="inlineStr">
        <is>
          <t>Details of cost for 1 sqm   |   Source: CivilDAR_2019_Vol_1.pdf, page 786</t>
        </is>
      </c>
    </row>
    <row r="1572">
      <c r="A1572" s="5" t="inlineStr">
        <is>
          <t>Code</t>
        </is>
      </c>
      <c r="B1572" s="5" t="inlineStr">
        <is>
          <t>Description</t>
        </is>
      </c>
      <c r="C1572" s="5" t="inlineStr">
        <is>
          <t>Unit</t>
        </is>
      </c>
      <c r="D1572" s="5" t="inlineStr">
        <is>
          <t>Quantity</t>
        </is>
      </c>
      <c r="E1572" s="5" t="inlineStr">
        <is>
          <t>Rate (Rs.)</t>
        </is>
      </c>
      <c r="F1572" s="5" t="inlineStr">
        <is>
          <t>Amount (Rs.)</t>
        </is>
      </c>
      <c r="G1572" s="5" t="inlineStr">
        <is>
          <t>Note</t>
        </is>
      </c>
    </row>
    <row r="1573">
      <c r="A1573" s="22" t="inlineStr">
        <is>
          <t>8621</t>
        </is>
      </c>
      <c r="B1573" s="11" t="inlineStr">
        <is>
          <t>Vitrified floor tile 60x60 cm</t>
        </is>
      </c>
      <c r="C1573" s="22" t="inlineStr">
        <is>
          <t>sqm</t>
        </is>
      </c>
      <c r="D1573" s="23" t="n">
        <v>1.025</v>
      </c>
      <c r="E1573" s="24" t="n">
        <v>659.72</v>
      </c>
      <c r="F1573" s="24">
        <f>D1573*E1573</f>
        <v/>
      </c>
      <c r="G1573" s="22" t="n"/>
    </row>
    <row r="1574">
      <c r="A1574" s="22" t="inlineStr">
        <is>
          <t>9977</t>
        </is>
      </c>
      <c r="B1574" s="11" t="inlineStr">
        <is>
          <t>Carriage of tiles</t>
        </is>
      </c>
      <c r="C1574" s="22" t="inlineStr">
        <is>
          <t>L.S.</t>
        </is>
      </c>
      <c r="D1574" s="23" t="n">
        <v>6.24</v>
      </c>
      <c r="E1574" s="24" t="n">
        <v>2</v>
      </c>
      <c r="F1574" s="24">
        <f>D1574*E1574</f>
        <v/>
      </c>
      <c r="G1574" s="22" t="n"/>
    </row>
    <row r="1575">
      <c r="A1575" s="7" t="inlineStr">
        <is>
          <t>3.9</t>
        </is>
      </c>
      <c r="B1575" s="11" t="inlineStr">
        <is>
          <t>Rate as per item 3.9 - Cement mortar 1:4 (1 cement : 4 coarse sand)</t>
        </is>
      </c>
      <c r="C1575" s="22" t="inlineStr">
        <is>
          <t>cum</t>
        </is>
      </c>
      <c r="D1575" s="23" t="n">
        <v>0.024</v>
      </c>
      <c r="E1575" s="24" t="n">
        <v>4010.35</v>
      </c>
      <c r="F1575" s="24">
        <f>D1575*E1575</f>
        <v/>
      </c>
      <c r="G1575" s="22" t="n"/>
    </row>
    <row r="1576">
      <c r="A1576" s="22" t="inlineStr">
        <is>
          <t>9999</t>
        </is>
      </c>
      <c r="B1576" s="11" t="inlineStr">
        <is>
          <t>Mortar for pointing in white cement</t>
        </is>
      </c>
      <c r="C1576" s="22" t="inlineStr">
        <is>
          <t>L.S.</t>
        </is>
      </c>
      <c r="D1576" s="23" t="n">
        <v>3.64</v>
      </c>
      <c r="E1576" s="24" t="n">
        <v>2</v>
      </c>
      <c r="F1576" s="24">
        <f>D1576*E1576</f>
        <v/>
      </c>
      <c r="G1576" s="22" t="n"/>
    </row>
    <row r="1577">
      <c r="A1577" s="22" t="inlineStr">
        <is>
          <t>0367</t>
        </is>
      </c>
      <c r="B1577" s="11" t="inlineStr">
        <is>
          <t>Portland Cement</t>
        </is>
      </c>
      <c r="C1577" s="22" t="inlineStr">
        <is>
          <t>tonne</t>
        </is>
      </c>
      <c r="D1577" s="23" t="n">
        <v>0.0033</v>
      </c>
      <c r="E1577" s="24" t="n">
        <v>4940</v>
      </c>
      <c r="F1577" s="24">
        <f>D1577*E1577</f>
        <v/>
      </c>
      <c r="G1577" s="22" t="n"/>
    </row>
    <row r="1578">
      <c r="A1578" s="22" t="inlineStr">
        <is>
          <t>0123</t>
        </is>
      </c>
      <c r="B1578" s="11" t="inlineStr">
        <is>
          <t>Mason (brick layer) 1st class</t>
        </is>
      </c>
      <c r="C1578" s="22" t="inlineStr">
        <is>
          <t>day</t>
        </is>
      </c>
      <c r="D1578" s="23" t="n">
        <v>0.2</v>
      </c>
      <c r="E1578" s="24" t="n">
        <v>738</v>
      </c>
      <c r="F1578" s="24">
        <f>D1578*E1578</f>
        <v/>
      </c>
      <c r="G1578" s="22" t="n"/>
    </row>
    <row r="1579">
      <c r="A1579" s="22" t="inlineStr">
        <is>
          <t>0115</t>
        </is>
      </c>
      <c r="B1579" s="11" t="inlineStr">
        <is>
          <t>Coolie</t>
        </is>
      </c>
      <c r="C1579" s="22" t="inlineStr">
        <is>
          <t>day</t>
        </is>
      </c>
      <c r="D1579" s="23" t="n">
        <v>0.2</v>
      </c>
      <c r="E1579" s="24" t="n">
        <v>558</v>
      </c>
      <c r="F1579" s="24">
        <f>D1579*E1579</f>
        <v/>
      </c>
      <c r="G1579" s="22" t="n"/>
    </row>
    <row r="1580">
      <c r="A1580" s="22" t="inlineStr">
        <is>
          <t>9988</t>
        </is>
      </c>
      <c r="B1580" s="11" t="inlineStr">
        <is>
          <t>Sundries including carriage of cement etc</t>
        </is>
      </c>
      <c r="C1580" s="22" t="inlineStr">
        <is>
          <t>L.S.</t>
        </is>
      </c>
      <c r="D1580" s="23" t="n">
        <v>26.91</v>
      </c>
      <c r="E1580" s="24" t="n">
        <v>2</v>
      </c>
      <c r="F1580" s="24">
        <f>D1580*E1580</f>
        <v/>
      </c>
      <c r="G1580" s="22" t="n"/>
    </row>
    <row r="1581">
      <c r="A1581" s="8" t="inlineStr">
        <is>
          <t>Calculated W - SUM of the Amount column above</t>
        </is>
      </c>
      <c r="B1581" s="9" t="n"/>
      <c r="C1581" s="9" t="n"/>
      <c r="D1581" s="9" t="n"/>
      <c r="E1581" s="9" t="n"/>
      <c r="F1581" s="25">
        <f>SUM(F1573:F1580)</f>
        <v/>
      </c>
      <c r="G1581" s="9" t="n"/>
    </row>
    <row r="1582">
      <c r="A1582" s="26" t="inlineStr">
        <is>
          <t>W as printed in the DAR</t>
        </is>
      </c>
      <c r="B1582" s="22" t="n"/>
      <c r="C1582" s="22" t="n"/>
      <c r="D1582" s="22" t="n"/>
      <c r="E1582" s="22" t="n"/>
      <c r="F1582" s="27" t="n">
        <v>1121.54</v>
      </c>
      <c r="G1582" s="22" t="n"/>
    </row>
    <row r="1583">
      <c r="A1583" s="26" t="inlineStr">
        <is>
          <t>Difference (calculated - printed)</t>
        </is>
      </c>
      <c r="B1583" s="22" t="n"/>
      <c r="C1583" s="22" t="n"/>
      <c r="D1583" s="22" t="n"/>
      <c r="E1583" s="22" t="n"/>
      <c r="F1583" s="27">
        <f>F1581-F1582</f>
        <v/>
      </c>
      <c r="G1583" s="22" t="n"/>
    </row>
    <row r="1584">
      <c r="A1584" s="29" t="inlineStr">
        <is>
          <t>SAY (Rs.) - final DAR rate as printed (fixed value, not computed)</t>
        </is>
      </c>
      <c r="B1584" s="30" t="n"/>
      <c r="C1584" s="30" t="n"/>
      <c r="D1584" s="30" t="n"/>
      <c r="E1584" s="30" t="n"/>
      <c r="F1584" s="31" t="n">
        <v>1500.55</v>
      </c>
      <c r="G1584" s="30" t="n"/>
    </row>
    <row r="1586" ht="62" customHeight="1">
      <c r="A1586" s="8" t="inlineStr">
        <is>
          <t>11.41</t>
        </is>
      </c>
      <c r="B1586" s="1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is>
      </c>
      <c r="C1586" s="9" t="n"/>
      <c r="D1586" s="9" t="n"/>
      <c r="E1586" s="9" t="n"/>
      <c r="F1586" s="9" t="n"/>
      <c r="G1586" s="9" t="n"/>
    </row>
    <row r="1587" ht="18.5" customHeight="1">
      <c r="A1587" s="18" t="inlineStr">
        <is>
          <t>11.41.3</t>
        </is>
      </c>
      <c r="B1587" s="19" t="inlineStr">
        <is>
          <t>Size of Tile 800x800 mm</t>
        </is>
      </c>
      <c r="C1587" s="20" t="n"/>
      <c r="D1587" s="20" t="n"/>
      <c r="E1587" s="20" t="n"/>
      <c r="F1587" s="20" t="n"/>
      <c r="G1587" s="20" t="n"/>
    </row>
    <row r="1588">
      <c r="A1588" s="21" t="inlineStr">
        <is>
          <t>Details of cost for 1 sqm   |   Source: CivilDAR_2019_Vol_1.pdf, page 787</t>
        </is>
      </c>
    </row>
    <row r="1589">
      <c r="A1589" s="5" t="inlineStr">
        <is>
          <t>Code</t>
        </is>
      </c>
      <c r="B1589" s="5" t="inlineStr">
        <is>
          <t>Description</t>
        </is>
      </c>
      <c r="C1589" s="5" t="inlineStr">
        <is>
          <t>Unit</t>
        </is>
      </c>
      <c r="D1589" s="5" t="inlineStr">
        <is>
          <t>Quantity</t>
        </is>
      </c>
      <c r="E1589" s="5" t="inlineStr">
        <is>
          <t>Rate (Rs.)</t>
        </is>
      </c>
      <c r="F1589" s="5" t="inlineStr">
        <is>
          <t>Amount (Rs.)</t>
        </is>
      </c>
      <c r="G1589" s="5" t="inlineStr">
        <is>
          <t>Note</t>
        </is>
      </c>
    </row>
    <row r="1590">
      <c r="A1590" s="22" t="inlineStr">
        <is>
          <t>8622</t>
        </is>
      </c>
      <c r="B1590" s="11" t="inlineStr">
        <is>
          <t>Vitrified floor tile 80x80 cm</t>
        </is>
      </c>
      <c r="C1590" s="22" t="inlineStr">
        <is>
          <t>sqm</t>
        </is>
      </c>
      <c r="D1590" s="23" t="n">
        <v>1.025</v>
      </c>
      <c r="E1590" s="24" t="n">
        <v>850</v>
      </c>
      <c r="F1590" s="24">
        <f>D1590*E1590</f>
        <v/>
      </c>
      <c r="G1590" s="22" t="n"/>
    </row>
    <row r="1591">
      <c r="A1591" s="22" t="inlineStr">
        <is>
          <t>9977</t>
        </is>
      </c>
      <c r="B1591" s="11" t="inlineStr">
        <is>
          <t>Carriage of tiles</t>
        </is>
      </c>
      <c r="C1591" s="22" t="inlineStr">
        <is>
          <t>L.S.</t>
        </is>
      </c>
      <c r="D1591" s="23" t="n">
        <v>6.24</v>
      </c>
      <c r="E1591" s="24" t="n">
        <v>2</v>
      </c>
      <c r="F1591" s="24">
        <f>D1591*E1591</f>
        <v/>
      </c>
      <c r="G1591" s="22" t="n"/>
    </row>
    <row r="1592">
      <c r="A1592" s="7" t="inlineStr">
        <is>
          <t>3.9</t>
        </is>
      </c>
      <c r="B1592" s="11" t="inlineStr">
        <is>
          <t>Rate as per item 3.9 - Cement mortar 1:4 (1 cement : 4 coarse sand)</t>
        </is>
      </c>
      <c r="C1592" s="22" t="inlineStr">
        <is>
          <t>cum</t>
        </is>
      </c>
      <c r="D1592" s="23" t="n">
        <v>0.024</v>
      </c>
      <c r="E1592" s="24" t="n">
        <v>4010.35</v>
      </c>
      <c r="F1592" s="24">
        <f>D1592*E1592</f>
        <v/>
      </c>
      <c r="G1592" s="22" t="n"/>
    </row>
    <row r="1593">
      <c r="A1593" s="22" t="inlineStr">
        <is>
          <t>9999</t>
        </is>
      </c>
      <c r="B1593" s="11" t="inlineStr">
        <is>
          <t>Mortar for pointing in white cement</t>
        </is>
      </c>
      <c r="C1593" s="22" t="inlineStr">
        <is>
          <t>L.S.</t>
        </is>
      </c>
      <c r="D1593" s="23" t="n">
        <v>2.6</v>
      </c>
      <c r="E1593" s="24" t="n">
        <v>2</v>
      </c>
      <c r="F1593" s="24">
        <f>D1593*E1593</f>
        <v/>
      </c>
      <c r="G1593" s="22" t="n"/>
    </row>
    <row r="1594">
      <c r="A1594" s="22" t="inlineStr">
        <is>
          <t>0367</t>
        </is>
      </c>
      <c r="B1594" s="11" t="inlineStr">
        <is>
          <t>Portland Cement</t>
        </is>
      </c>
      <c r="C1594" s="22" t="inlineStr">
        <is>
          <t>tonne</t>
        </is>
      </c>
      <c r="D1594" s="23" t="n">
        <v>0.0033</v>
      </c>
      <c r="E1594" s="24" t="n">
        <v>4940</v>
      </c>
      <c r="F1594" s="24">
        <f>D1594*E1594</f>
        <v/>
      </c>
      <c r="G1594" s="22" t="n"/>
    </row>
    <row r="1595">
      <c r="A1595" s="22" t="inlineStr">
        <is>
          <t>0123</t>
        </is>
      </c>
      <c r="B1595" s="11" t="inlineStr">
        <is>
          <t>Mason (brick layer) 1st class</t>
        </is>
      </c>
      <c r="C1595" s="22" t="inlineStr">
        <is>
          <t>day</t>
        </is>
      </c>
      <c r="D1595" s="23" t="n">
        <v>0.2</v>
      </c>
      <c r="E1595" s="24" t="n">
        <v>738</v>
      </c>
      <c r="F1595" s="24">
        <f>D1595*E1595</f>
        <v/>
      </c>
      <c r="G1595" s="22" t="n"/>
    </row>
    <row r="1596">
      <c r="A1596" s="22" t="inlineStr">
        <is>
          <t>0115</t>
        </is>
      </c>
      <c r="B1596" s="11" t="inlineStr">
        <is>
          <t>Coolie</t>
        </is>
      </c>
      <c r="C1596" s="22" t="inlineStr">
        <is>
          <t>day</t>
        </is>
      </c>
      <c r="D1596" s="23" t="n">
        <v>0.2</v>
      </c>
      <c r="E1596" s="24" t="n">
        <v>558</v>
      </c>
      <c r="F1596" s="24">
        <f>D1596*E1596</f>
        <v/>
      </c>
      <c r="G1596" s="22" t="n"/>
    </row>
    <row r="1597">
      <c r="A1597" s="22" t="inlineStr">
        <is>
          <t>9988</t>
        </is>
      </c>
      <c r="B1597" s="11" t="inlineStr">
        <is>
          <t>Sundries including carriage of cement etc</t>
        </is>
      </c>
      <c r="C1597" s="22" t="inlineStr">
        <is>
          <t>L.S.</t>
        </is>
      </c>
      <c r="D1597" s="23" t="n">
        <v>26.91</v>
      </c>
      <c r="E1597" s="24" t="n">
        <v>2</v>
      </c>
      <c r="F1597" s="24">
        <f>D1597*E1597</f>
        <v/>
      </c>
      <c r="G1597" s="22" t="n"/>
    </row>
    <row r="1598">
      <c r="A1598" s="8" t="inlineStr">
        <is>
          <t>Calculated W - SUM of the Amount column above</t>
        </is>
      </c>
      <c r="B1598" s="9" t="n"/>
      <c r="C1598" s="9" t="n"/>
      <c r="D1598" s="9" t="n"/>
      <c r="E1598" s="9" t="n"/>
      <c r="F1598" s="25">
        <f>SUM(F1590:F1597)</f>
        <v/>
      </c>
      <c r="G1598" s="9" t="n"/>
    </row>
    <row r="1599">
      <c r="A1599" s="26" t="inlineStr">
        <is>
          <t>W as printed in the DAR</t>
        </is>
      </c>
      <c r="B1599" s="22" t="n"/>
      <c r="C1599" s="22" t="n"/>
      <c r="D1599" s="22" t="n"/>
      <c r="E1599" s="22" t="n"/>
      <c r="F1599" s="27" t="n">
        <v>1314.5</v>
      </c>
      <c r="G1599" s="22" t="n"/>
    </row>
    <row r="1600">
      <c r="A1600" s="26" t="inlineStr">
        <is>
          <t>Difference (calculated - printed)</t>
        </is>
      </c>
      <c r="B1600" s="22" t="n"/>
      <c r="C1600" s="22" t="n"/>
      <c r="D1600" s="22" t="n"/>
      <c r="E1600" s="22" t="n"/>
      <c r="F1600" s="27">
        <f>F1598-F1599</f>
        <v/>
      </c>
      <c r="G1600" s="22" t="n"/>
    </row>
    <row r="1601">
      <c r="A1601" s="29" t="inlineStr">
        <is>
          <t>SAY (Rs.) - final DAR rate as printed (fixed value, not computed)</t>
        </is>
      </c>
      <c r="B1601" s="30" t="n"/>
      <c r="C1601" s="30" t="n"/>
      <c r="D1601" s="30" t="n"/>
      <c r="E1601" s="30" t="n"/>
      <c r="F1601" s="31" t="n">
        <v>1758.7</v>
      </c>
      <c r="G1601" s="30" t="n"/>
    </row>
    <row r="1603" ht="62" customHeight="1">
      <c r="A1603" s="8" t="inlineStr">
        <is>
          <t>11.41</t>
        </is>
      </c>
      <c r="B1603" s="1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is>
      </c>
      <c r="C1603" s="9" t="n"/>
      <c r="D1603" s="9" t="n"/>
      <c r="E1603" s="9" t="n"/>
      <c r="F1603" s="9" t="n"/>
      <c r="G1603" s="9" t="n"/>
    </row>
    <row r="1604" ht="18.5" customHeight="1">
      <c r="A1604" s="18" t="inlineStr">
        <is>
          <t>11.41.4</t>
        </is>
      </c>
      <c r="B1604" s="19" t="inlineStr">
        <is>
          <t>Size of Tile 1000x1000 mm</t>
        </is>
      </c>
      <c r="C1604" s="20" t="n"/>
      <c r="D1604" s="20" t="n"/>
      <c r="E1604" s="20" t="n"/>
      <c r="F1604" s="20" t="n"/>
      <c r="G1604" s="20" t="n"/>
    </row>
    <row r="1605">
      <c r="A1605" s="21" t="inlineStr">
        <is>
          <t>Details of cost for 1 sqm   |   Source: CivilDAR_2019_Vol_1.pdf, page 788</t>
        </is>
      </c>
    </row>
    <row r="1606">
      <c r="A1606" s="5" t="inlineStr">
        <is>
          <t>Code</t>
        </is>
      </c>
      <c r="B1606" s="5" t="inlineStr">
        <is>
          <t>Description</t>
        </is>
      </c>
      <c r="C1606" s="5" t="inlineStr">
        <is>
          <t>Unit</t>
        </is>
      </c>
      <c r="D1606" s="5" t="inlineStr">
        <is>
          <t>Quantity</t>
        </is>
      </c>
      <c r="E1606" s="5" t="inlineStr">
        <is>
          <t>Rate (Rs.)</t>
        </is>
      </c>
      <c r="F1606" s="5" t="inlineStr">
        <is>
          <t>Amount (Rs.)</t>
        </is>
      </c>
      <c r="G1606" s="5" t="inlineStr">
        <is>
          <t>Note</t>
        </is>
      </c>
    </row>
    <row r="1607">
      <c r="A1607" s="22" t="inlineStr">
        <is>
          <t>8623</t>
        </is>
      </c>
      <c r="B1607" s="11" t="inlineStr">
        <is>
          <t>Vitrified floor tile 100x100 cm</t>
        </is>
      </c>
      <c r="C1607" s="22" t="inlineStr">
        <is>
          <t>sqm</t>
        </is>
      </c>
      <c r="D1607" s="23" t="n">
        <v>1.025</v>
      </c>
      <c r="E1607" s="24" t="n">
        <v>1390</v>
      </c>
      <c r="F1607" s="24">
        <f>D1607*E1607</f>
        <v/>
      </c>
      <c r="G1607" s="22" t="n"/>
    </row>
    <row r="1608">
      <c r="A1608" s="22" t="inlineStr">
        <is>
          <t>9977</t>
        </is>
      </c>
      <c r="B1608" s="11" t="inlineStr">
        <is>
          <t>Carriage of tiles</t>
        </is>
      </c>
      <c r="C1608" s="22" t="inlineStr">
        <is>
          <t>L.S.</t>
        </is>
      </c>
      <c r="D1608" s="23" t="n">
        <v>6.24</v>
      </c>
      <c r="E1608" s="24" t="n">
        <v>2</v>
      </c>
      <c r="F1608" s="24">
        <f>D1608*E1608</f>
        <v/>
      </c>
      <c r="G1608" s="22" t="n"/>
    </row>
    <row r="1609">
      <c r="A1609" s="7" t="inlineStr">
        <is>
          <t>3.9</t>
        </is>
      </c>
      <c r="B1609" s="11" t="inlineStr">
        <is>
          <t>Rate as per item 3.9 - Cement mortar 1:4 (1 cement : 4 coarse sand)</t>
        </is>
      </c>
      <c r="C1609" s="22" t="inlineStr">
        <is>
          <t>cum</t>
        </is>
      </c>
      <c r="D1609" s="23" t="n">
        <v>0.024</v>
      </c>
      <c r="E1609" s="24" t="n">
        <v>4010.35</v>
      </c>
      <c r="F1609" s="24">
        <f>D1609*E1609</f>
        <v/>
      </c>
      <c r="G1609" s="22" t="n"/>
    </row>
    <row r="1610">
      <c r="A1610" s="22" t="inlineStr">
        <is>
          <t>9999</t>
        </is>
      </c>
      <c r="B1610" s="11" t="inlineStr">
        <is>
          <t>Mortar for pointing in white cement</t>
        </is>
      </c>
      <c r="C1610" s="22" t="inlineStr">
        <is>
          <t>L.S.</t>
        </is>
      </c>
      <c r="D1610" s="23" t="n">
        <v>2.6</v>
      </c>
      <c r="E1610" s="24" t="n">
        <v>2</v>
      </c>
      <c r="F1610" s="24">
        <f>D1610*E1610</f>
        <v/>
      </c>
      <c r="G1610" s="22" t="n"/>
    </row>
    <row r="1611">
      <c r="A1611" s="22" t="inlineStr">
        <is>
          <t>0367</t>
        </is>
      </c>
      <c r="B1611" s="11" t="inlineStr">
        <is>
          <t>Portland Cement</t>
        </is>
      </c>
      <c r="C1611" s="22" t="inlineStr">
        <is>
          <t>tonne</t>
        </is>
      </c>
      <c r="D1611" s="23" t="n">
        <v>0.0033</v>
      </c>
      <c r="E1611" s="24" t="n">
        <v>4940</v>
      </c>
      <c r="F1611" s="24">
        <f>D1611*E1611</f>
        <v/>
      </c>
      <c r="G1611" s="22" t="n"/>
    </row>
    <row r="1612">
      <c r="A1612" s="22" t="inlineStr">
        <is>
          <t>0123</t>
        </is>
      </c>
      <c r="B1612" s="11" t="inlineStr">
        <is>
          <t>Mason (brick layer) 1st class</t>
        </is>
      </c>
      <c r="C1612" s="22" t="inlineStr">
        <is>
          <t>day</t>
        </is>
      </c>
      <c r="D1612" s="23" t="n">
        <v>0.2</v>
      </c>
      <c r="E1612" s="24" t="n">
        <v>738</v>
      </c>
      <c r="F1612" s="24">
        <f>D1612*E1612</f>
        <v/>
      </c>
      <c r="G1612" s="22" t="n"/>
    </row>
    <row r="1613">
      <c r="A1613" s="22" t="inlineStr">
        <is>
          <t>0115</t>
        </is>
      </c>
      <c r="B1613" s="11" t="inlineStr">
        <is>
          <t>Coolie</t>
        </is>
      </c>
      <c r="C1613" s="22" t="inlineStr">
        <is>
          <t>day</t>
        </is>
      </c>
      <c r="D1613" s="23" t="n">
        <v>0.2</v>
      </c>
      <c r="E1613" s="24" t="n">
        <v>558</v>
      </c>
      <c r="F1613" s="24">
        <f>D1613*E1613</f>
        <v/>
      </c>
      <c r="G1613" s="22" t="n"/>
    </row>
    <row r="1614">
      <c r="A1614" s="22" t="inlineStr">
        <is>
          <t>9988</t>
        </is>
      </c>
      <c r="B1614" s="11" t="inlineStr">
        <is>
          <t>Sundries including carriage of cement etc</t>
        </is>
      </c>
      <c r="C1614" s="22" t="inlineStr">
        <is>
          <t>L.S.</t>
        </is>
      </c>
      <c r="D1614" s="23" t="n">
        <v>26.91</v>
      </c>
      <c r="E1614" s="24" t="n">
        <v>2</v>
      </c>
      <c r="F1614" s="24">
        <f>D1614*E1614</f>
        <v/>
      </c>
      <c r="G1614" s="22" t="n"/>
    </row>
    <row r="1615">
      <c r="A1615" s="8" t="inlineStr">
        <is>
          <t>Calculated W - SUM of the Amount column above</t>
        </is>
      </c>
      <c r="B1615" s="9" t="n"/>
      <c r="C1615" s="9" t="n"/>
      <c r="D1615" s="9" t="n"/>
      <c r="E1615" s="9" t="n"/>
      <c r="F1615" s="25">
        <f>SUM(F1607:F1614)</f>
        <v/>
      </c>
      <c r="G1615" s="9" t="n"/>
    </row>
    <row r="1616">
      <c r="A1616" s="26" t="inlineStr">
        <is>
          <t>W as printed in the DAR</t>
        </is>
      </c>
      <c r="B1616" s="22" t="n"/>
      <c r="C1616" s="22" t="n"/>
      <c r="D1616" s="22" t="n"/>
      <c r="E1616" s="22" t="n"/>
      <c r="F1616" s="27" t="n">
        <v>1868</v>
      </c>
      <c r="G1616" s="22" t="n"/>
    </row>
    <row r="1617">
      <c r="A1617" s="26" t="inlineStr">
        <is>
          <t>Difference (calculated - printed)</t>
        </is>
      </c>
      <c r="B1617" s="22" t="n"/>
      <c r="C1617" s="22" t="n"/>
      <c r="D1617" s="22" t="n"/>
      <c r="E1617" s="22" t="n"/>
      <c r="F1617" s="27">
        <f>F1615-F1616</f>
        <v/>
      </c>
      <c r="G1617" s="22" t="n"/>
    </row>
    <row r="1618">
      <c r="A1618" s="29" t="inlineStr">
        <is>
          <t>SAY (Rs.) - final DAR rate as printed (fixed value, not computed)</t>
        </is>
      </c>
      <c r="B1618" s="30" t="n"/>
      <c r="C1618" s="30" t="n"/>
      <c r="D1618" s="30" t="n"/>
      <c r="E1618" s="30" t="n"/>
      <c r="F1618" s="31" t="n">
        <v>2499.25</v>
      </c>
      <c r="G1618" s="30" t="n"/>
    </row>
    <row r="1620" ht="33" customHeight="1">
      <c r="A1620" s="18" t="inlineStr">
        <is>
          <t>11.42</t>
        </is>
      </c>
      <c r="B1620" s="19" t="inlineStr">
        <is>
          <t>Deduct for not using 20 mm thick cement mortar 1:4 (1 cement : 4 coarse sand) bedding in laying of floor tiles and jointing with grey cement slurry @ 3.3 kg/ sqm.</t>
        </is>
      </c>
      <c r="C1620" s="20" t="n"/>
      <c r="D1620" s="20" t="n"/>
      <c r="E1620" s="20" t="n"/>
      <c r="F1620" s="20" t="n"/>
      <c r="G1620" s="20" t="n"/>
    </row>
    <row r="1621">
      <c r="A1621" s="21" t="inlineStr">
        <is>
          <t>Details of cost for 1 sqm   |   Source: CivilDAR_2019_Vol_1.pdf, page 788</t>
        </is>
      </c>
    </row>
    <row r="1622">
      <c r="A1622" s="5" t="inlineStr">
        <is>
          <t>Code</t>
        </is>
      </c>
      <c r="B1622" s="5" t="inlineStr">
        <is>
          <t>Description</t>
        </is>
      </c>
      <c r="C1622" s="5" t="inlineStr">
        <is>
          <t>Unit</t>
        </is>
      </c>
      <c r="D1622" s="5" t="inlineStr">
        <is>
          <t>Quantity</t>
        </is>
      </c>
      <c r="E1622" s="5" t="inlineStr">
        <is>
          <t>Rate (Rs.)</t>
        </is>
      </c>
      <c r="F1622" s="5" t="inlineStr">
        <is>
          <t>Amount (Rs.)</t>
        </is>
      </c>
      <c r="G1622" s="5" t="inlineStr">
        <is>
          <t>Note</t>
        </is>
      </c>
    </row>
    <row r="1623">
      <c r="A1623" s="7" t="inlineStr">
        <is>
          <t>3.9</t>
        </is>
      </c>
      <c r="B1623" s="11" t="inlineStr">
        <is>
          <t>Rate as per item 3.9 - Cement mortar 1:4 (1 cement : 4 coarse sand)</t>
        </is>
      </c>
      <c r="C1623" s="22" t="inlineStr">
        <is>
          <t>cum</t>
        </is>
      </c>
      <c r="D1623" s="23" t="n">
        <v>0.024</v>
      </c>
      <c r="E1623" s="24" t="n">
        <v>4010.35</v>
      </c>
      <c r="F1623" s="24">
        <f>D1623*E1623</f>
        <v/>
      </c>
      <c r="G1623" s="22" t="n"/>
    </row>
    <row r="1624">
      <c r="A1624" s="22" t="inlineStr">
        <is>
          <t>9999</t>
        </is>
      </c>
      <c r="B1624" s="11" t="inlineStr">
        <is>
          <t>Mortar for pointing in white cement</t>
        </is>
      </c>
      <c r="C1624" s="22" t="inlineStr">
        <is>
          <t>L.S.</t>
        </is>
      </c>
      <c r="D1624" s="23" t="n">
        <v>40.43</v>
      </c>
      <c r="E1624" s="24" t="n">
        <v>2</v>
      </c>
      <c r="F1624" s="24">
        <f>D1624*E1624</f>
        <v/>
      </c>
      <c r="G1624" s="22" t="n"/>
    </row>
    <row r="1625">
      <c r="A1625" s="22" t="inlineStr">
        <is>
          <t>0367</t>
        </is>
      </c>
      <c r="B1625" s="11" t="inlineStr">
        <is>
          <t>Portland Cement</t>
        </is>
      </c>
      <c r="C1625" s="22" t="inlineStr">
        <is>
          <t>tonne</t>
        </is>
      </c>
      <c r="D1625" s="23" t="n">
        <v>0.0033</v>
      </c>
      <c r="E1625" s="24" t="n">
        <v>4940</v>
      </c>
      <c r="F1625" s="24">
        <f>D1625*E1625</f>
        <v/>
      </c>
      <c r="G1625" s="22" t="n"/>
    </row>
    <row r="1626">
      <c r="A1626" s="22" t="inlineStr">
        <is>
          <t>0123</t>
        </is>
      </c>
      <c r="B1626" s="11" t="inlineStr">
        <is>
          <t>Mason (brick layer) 1st class</t>
        </is>
      </c>
      <c r="C1626" s="22" t="inlineStr">
        <is>
          <t>day</t>
        </is>
      </c>
      <c r="D1626" s="23" t="n">
        <v>0.2</v>
      </c>
      <c r="E1626" s="24" t="n">
        <v>738</v>
      </c>
      <c r="F1626" s="24">
        <f>D1626*E1626</f>
        <v/>
      </c>
      <c r="G1626" s="22" t="n"/>
    </row>
    <row r="1627">
      <c r="A1627" s="22" t="inlineStr">
        <is>
          <t>0115</t>
        </is>
      </c>
      <c r="B1627" s="11" t="inlineStr">
        <is>
          <t>Coolie</t>
        </is>
      </c>
      <c r="C1627" s="22" t="inlineStr">
        <is>
          <t>day</t>
        </is>
      </c>
      <c r="D1627" s="23" t="n">
        <v>0.2</v>
      </c>
      <c r="E1627" s="24" t="n">
        <v>558</v>
      </c>
      <c r="F1627" s="24">
        <f>D1627*E1627</f>
        <v/>
      </c>
      <c r="G1627" s="22" t="n"/>
    </row>
    <row r="1628">
      <c r="A1628" s="22" t="inlineStr">
        <is>
          <t>9988</t>
        </is>
      </c>
      <c r="B1628" s="11" t="inlineStr">
        <is>
          <t>Sundries i/c carriage of cement etc.</t>
        </is>
      </c>
      <c r="C1628" s="22" t="inlineStr">
        <is>
          <t>L.S.</t>
        </is>
      </c>
      <c r="D1628" s="23" t="n">
        <v>26.91</v>
      </c>
      <c r="E1628" s="24" t="n">
        <v>2</v>
      </c>
      <c r="F1628" s="24">
        <f>D1628*E1628</f>
        <v/>
      </c>
      <c r="G1628" s="22" t="n"/>
    </row>
    <row r="1629">
      <c r="A1629" s="8" t="inlineStr">
        <is>
          <t>Calculated W - SUM of the Amount column above</t>
        </is>
      </c>
      <c r="B1629" s="9" t="n"/>
      <c r="C1629" s="9" t="n"/>
      <c r="D1629" s="9" t="n"/>
      <c r="E1629" s="9" t="n"/>
      <c r="F1629" s="25">
        <f>SUM(F1623:F1628)</f>
        <v/>
      </c>
      <c r="G1629" s="9" t="n"/>
    </row>
    <row r="1630">
      <c r="A1630" s="26" t="inlineStr">
        <is>
          <t>W as printed in the DAR</t>
        </is>
      </c>
      <c r="B1630" s="22" t="n"/>
      <c r="C1630" s="22" t="n"/>
      <c r="D1630" s="22" t="n"/>
      <c r="E1630" s="22" t="n"/>
      <c r="F1630" s="27" t="n">
        <v>506.43</v>
      </c>
      <c r="G1630" s="22" t="n"/>
    </row>
    <row r="1631">
      <c r="A1631" s="26" t="inlineStr">
        <is>
          <t>Difference (calculated - printed)</t>
        </is>
      </c>
      <c r="B1631" s="22" t="n"/>
      <c r="C1631" s="22" t="n"/>
      <c r="D1631" s="22" t="n"/>
      <c r="E1631" s="22" t="n"/>
      <c r="F1631" s="27">
        <f>F1629-F1630</f>
        <v/>
      </c>
      <c r="G1631" s="22" t="n"/>
    </row>
    <row r="1632">
      <c r="A1632" s="29" t="inlineStr">
        <is>
          <t>SAY (Rs.) - final DAR rate as printed (fixed value, not computed)</t>
        </is>
      </c>
      <c r="B1632" s="30" t="n"/>
      <c r="C1632" s="30" t="n"/>
      <c r="D1632" s="30" t="n"/>
      <c r="E1632" s="30" t="n"/>
      <c r="F1632" s="31" t="n">
        <v>677.55</v>
      </c>
      <c r="G1632" s="30" t="n"/>
    </row>
    <row r="1634" ht="33" customHeight="1">
      <c r="A1634" s="18" t="inlineStr">
        <is>
          <t>11.43</t>
        </is>
      </c>
      <c r="B1634" s="19" t="inlineStr">
        <is>
          <t>Fixing glazed/ Ceramic/ Vitrified floor tiles with cement based high polymer modified quick-set tile adhesive (Water based) conforming to IS: 15477, in average 3mm thickness.</t>
        </is>
      </c>
      <c r="C1634" s="20" t="n"/>
      <c r="D1634" s="20" t="n"/>
      <c r="E1634" s="20" t="n"/>
      <c r="F1634" s="20" t="n"/>
      <c r="G1634" s="20" t="n"/>
    </row>
    <row r="1635">
      <c r="A1635" s="21" t="inlineStr">
        <is>
          <t>Details of cost for 1 sqm   |   Source: CivilDAR_2019_Vol_1.pdf, page 789</t>
        </is>
      </c>
    </row>
    <row r="1636">
      <c r="A1636" s="5" t="inlineStr">
        <is>
          <t>Code</t>
        </is>
      </c>
      <c r="B1636" s="5" t="inlineStr">
        <is>
          <t>Description</t>
        </is>
      </c>
      <c r="C1636" s="5" t="inlineStr">
        <is>
          <t>Unit</t>
        </is>
      </c>
      <c r="D1636" s="5" t="inlineStr">
        <is>
          <t>Quantity</t>
        </is>
      </c>
      <c r="E1636" s="5" t="inlineStr">
        <is>
          <t>Rate (Rs.)</t>
        </is>
      </c>
      <c r="F1636" s="5" t="inlineStr">
        <is>
          <t>Amount (Rs.)</t>
        </is>
      </c>
      <c r="G1636" s="5" t="inlineStr">
        <is>
          <t>Note</t>
        </is>
      </c>
    </row>
    <row r="1637">
      <c r="A1637" s="22" t="inlineStr">
        <is>
          <t>8731</t>
        </is>
      </c>
      <c r="B1637" s="11" t="inlineStr">
        <is>
          <t>High polymer modified quickset tile adhesive. per</t>
        </is>
      </c>
      <c r="C1637" s="22" t="inlineStr">
        <is>
          <t>kg</t>
        </is>
      </c>
      <c r="D1637" s="23" t="n">
        <v>5</v>
      </c>
      <c r="E1637" s="24" t="n">
        <v>9</v>
      </c>
      <c r="F1637" s="24">
        <f>D1637*E1637</f>
        <v/>
      </c>
      <c r="G1637" s="22" t="n"/>
    </row>
    <row r="1638">
      <c r="A1638" s="22" t="inlineStr">
        <is>
          <t>9999</t>
        </is>
      </c>
      <c r="B1638" s="11" t="inlineStr">
        <is>
          <t>Mortar for pointing in white cement</t>
        </is>
      </c>
      <c r="C1638" s="22" t="inlineStr">
        <is>
          <t>L.S.</t>
        </is>
      </c>
      <c r="D1638" s="23" t="n">
        <v>40.43</v>
      </c>
      <c r="E1638" s="24" t="n">
        <v>2</v>
      </c>
      <c r="F1638" s="24">
        <f>D1638*E1638</f>
        <v/>
      </c>
      <c r="G1638" s="22" t="n"/>
    </row>
    <row r="1639">
      <c r="A1639" s="22" t="inlineStr">
        <is>
          <t>0123</t>
        </is>
      </c>
      <c r="B1639" s="11" t="inlineStr">
        <is>
          <t>Mason (brick layer) 1st class</t>
        </is>
      </c>
      <c r="C1639" s="22" t="inlineStr">
        <is>
          <t>day</t>
        </is>
      </c>
      <c r="D1639" s="23" t="n">
        <v>0.2</v>
      </c>
      <c r="E1639" s="24" t="n">
        <v>738</v>
      </c>
      <c r="F1639" s="24">
        <f>D1639*E1639</f>
        <v/>
      </c>
      <c r="G1639" s="22" t="n"/>
    </row>
    <row r="1640">
      <c r="A1640" s="22" t="inlineStr">
        <is>
          <t>0115</t>
        </is>
      </c>
      <c r="B1640" s="11" t="inlineStr">
        <is>
          <t>Coolie</t>
        </is>
      </c>
      <c r="C1640" s="22" t="inlineStr">
        <is>
          <t>day</t>
        </is>
      </c>
      <c r="D1640" s="23" t="n">
        <v>0.2</v>
      </c>
      <c r="E1640" s="24" t="n">
        <v>558</v>
      </c>
      <c r="F1640" s="24">
        <f>D1640*E1640</f>
        <v/>
      </c>
      <c r="G1640" s="22" t="n"/>
    </row>
    <row r="1641">
      <c r="A1641" s="22" t="inlineStr">
        <is>
          <t>9988</t>
        </is>
      </c>
      <c r="B1641" s="11" t="inlineStr">
        <is>
          <t>Sundries i/c carriage of cement etc.</t>
        </is>
      </c>
      <c r="C1641" s="22" t="inlineStr">
        <is>
          <t>L.S.</t>
        </is>
      </c>
      <c r="D1641" s="23" t="n">
        <v>26.91</v>
      </c>
      <c r="E1641" s="24" t="n">
        <v>2</v>
      </c>
      <c r="F1641" s="24">
        <f>D1641*E1641</f>
        <v/>
      </c>
      <c r="G1641" s="22" t="n"/>
    </row>
    <row r="1642">
      <c r="A1642" s="8" t="inlineStr">
        <is>
          <t>Calculated W - SUM of the Amount column above</t>
        </is>
      </c>
      <c r="B1642" s="9" t="n"/>
      <c r="C1642" s="9" t="n"/>
      <c r="D1642" s="9" t="n"/>
      <c r="E1642" s="9" t="n"/>
      <c r="F1642" s="25">
        <f>SUM(F1637:F1641)</f>
        <v/>
      </c>
      <c r="G1642" s="9" t="n"/>
    </row>
    <row r="1643">
      <c r="A1643" s="26" t="inlineStr">
        <is>
          <t>W as printed in the DAR</t>
        </is>
      </c>
      <c r="B1643" s="22" t="n"/>
      <c r="C1643" s="22" t="n"/>
      <c r="D1643" s="22" t="n"/>
      <c r="E1643" s="22" t="n"/>
      <c r="F1643" s="27" t="n">
        <v>438.88</v>
      </c>
      <c r="G1643" s="22" t="n"/>
    </row>
    <row r="1644">
      <c r="A1644" s="26" t="inlineStr">
        <is>
          <t>Difference (calculated - printed)</t>
        </is>
      </c>
      <c r="B1644" s="22" t="n"/>
      <c r="C1644" s="22" t="n"/>
      <c r="D1644" s="22" t="n"/>
      <c r="E1644" s="22" t="n"/>
      <c r="F1644" s="27">
        <f>F1642-F1643</f>
        <v/>
      </c>
      <c r="G1644" s="22" t="n"/>
    </row>
    <row r="1645">
      <c r="A1645" s="29" t="inlineStr">
        <is>
          <t>SAY (Rs.) - final DAR rate as printed (fixed value, not computed)</t>
        </is>
      </c>
      <c r="B1645" s="30" t="n"/>
      <c r="C1645" s="30" t="n"/>
      <c r="D1645" s="30" t="n"/>
      <c r="E1645" s="30" t="n"/>
      <c r="F1645" s="31" t="n">
        <v>587.2</v>
      </c>
      <c r="G1645" s="30" t="n"/>
    </row>
    <row r="1647" ht="76.5" customHeight="1">
      <c r="A1647" s="18" t="inlineStr">
        <is>
          <t>11.44</t>
        </is>
      </c>
      <c r="B1647" s="19" t="inlineStr">
        <is>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is>
      </c>
      <c r="C1647" s="20" t="n"/>
      <c r="D1647" s="20" t="n"/>
      <c r="E1647" s="20" t="n"/>
      <c r="F1647" s="20" t="n"/>
      <c r="G1647" s="20" t="n"/>
    </row>
    <row r="1648">
      <c r="A1648" s="21" t="inlineStr">
        <is>
          <t>Details of cost for 10 sqm   |   Source: CivilDAR_2019_Vol_1.pdf, page 790</t>
        </is>
      </c>
    </row>
    <row r="1649">
      <c r="A1649" s="5" t="inlineStr">
        <is>
          <t>Code</t>
        </is>
      </c>
      <c r="B1649" s="5" t="inlineStr">
        <is>
          <t>Description</t>
        </is>
      </c>
      <c r="C1649" s="5" t="inlineStr">
        <is>
          <t>Unit</t>
        </is>
      </c>
      <c r="D1649" s="5" t="inlineStr">
        <is>
          <t>Quantity</t>
        </is>
      </c>
      <c r="E1649" s="5" t="inlineStr">
        <is>
          <t>Rate (Rs.)</t>
        </is>
      </c>
      <c r="F1649" s="5" t="inlineStr">
        <is>
          <t>Amount (Rs.)</t>
        </is>
      </c>
      <c r="G1649" s="5" t="inlineStr">
        <is>
          <t>Note</t>
        </is>
      </c>
    </row>
    <row r="1650">
      <c r="A1650" s="7" t="inlineStr">
        <is>
          <t>3.9</t>
        </is>
      </c>
      <c r="B1650" s="11" t="inlineStr">
        <is>
          <t>Rate as per item 3.9 - Cement mortar 1:4 (1 cement : 4 coarse sand)</t>
        </is>
      </c>
      <c r="C1650" s="22" t="inlineStr">
        <is>
          <t>cum</t>
        </is>
      </c>
      <c r="D1650" s="23" t="n">
        <v>0.14</v>
      </c>
      <c r="E1650" s="24" t="n">
        <v>4010.35</v>
      </c>
      <c r="F1650" s="24">
        <f>D1650*E1650</f>
        <v/>
      </c>
      <c r="G1650" s="22" t="n"/>
    </row>
    <row r="1651">
      <c r="A1651" s="22" t="inlineStr">
        <is>
          <t>0124</t>
        </is>
      </c>
      <c r="B1651" s="11" t="inlineStr">
        <is>
          <t>Mason (brick layer) 2nd class</t>
        </is>
      </c>
      <c r="C1651" s="22" t="inlineStr">
        <is>
          <t>day</t>
        </is>
      </c>
      <c r="D1651" s="23" t="n">
        <v>0.67</v>
      </c>
      <c r="E1651" s="24" t="n">
        <v>679</v>
      </c>
      <c r="F1651" s="24">
        <f>D1651*E1651</f>
        <v/>
      </c>
      <c r="G1651" s="22" t="n"/>
    </row>
    <row r="1652">
      <c r="A1652" s="22" t="inlineStr">
        <is>
          <t>0114</t>
        </is>
      </c>
      <c r="B1652" s="11" t="inlineStr">
        <is>
          <t>Beldar</t>
        </is>
      </c>
      <c r="C1652" s="22" t="inlineStr">
        <is>
          <t>day</t>
        </is>
      </c>
      <c r="D1652" s="23" t="n">
        <v>0.75</v>
      </c>
      <c r="E1652" s="24" t="n">
        <v>558</v>
      </c>
      <c r="F1652" s="24">
        <f>D1652*E1652</f>
        <v/>
      </c>
      <c r="G1652" s="22" t="n"/>
    </row>
    <row r="1653">
      <c r="A1653" s="22" t="inlineStr">
        <is>
          <t>0101</t>
        </is>
      </c>
      <c r="B1653" s="11" t="inlineStr">
        <is>
          <t>Bhisti</t>
        </is>
      </c>
      <c r="C1653" s="22" t="inlineStr">
        <is>
          <t>day</t>
        </is>
      </c>
      <c r="D1653" s="23" t="n">
        <v>0.92</v>
      </c>
      <c r="E1653" s="24" t="n">
        <v>617</v>
      </c>
      <c r="F1653" s="24">
        <f>D1653*E1653</f>
        <v/>
      </c>
      <c r="G1653" s="22" t="n"/>
    </row>
    <row r="1654">
      <c r="A1654" s="22" t="inlineStr">
        <is>
          <t>9999</t>
        </is>
      </c>
      <c r="B1654" s="11" t="inlineStr">
        <is>
          <t>Sundries</t>
        </is>
      </c>
      <c r="C1654" s="22" t="inlineStr">
        <is>
          <t>L.S.</t>
        </is>
      </c>
      <c r="D1654" s="23" t="n">
        <v>8.970000000000001</v>
      </c>
      <c r="E1654" s="24" t="n">
        <v>2</v>
      </c>
      <c r="F1654" s="24">
        <f>D1654*E1654</f>
        <v/>
      </c>
      <c r="G1654" s="22" t="n"/>
    </row>
    <row r="1655">
      <c r="A1655" s="22" t="inlineStr">
        <is>
          <t>0367</t>
        </is>
      </c>
      <c r="B1655" s="11" t="inlineStr">
        <is>
          <t>Portland Cement</t>
        </is>
      </c>
      <c r="C1655" s="22" t="inlineStr">
        <is>
          <t>tonne</t>
        </is>
      </c>
      <c r="D1655" s="23" t="n">
        <v>0.04</v>
      </c>
      <c r="E1655" s="24" t="n">
        <v>4940</v>
      </c>
      <c r="F1655" s="24">
        <f>D1655*E1655</f>
        <v/>
      </c>
      <c r="G1655" s="22" t="n"/>
    </row>
    <row r="1656">
      <c r="A1656" s="22" t="inlineStr">
        <is>
          <t>2209</t>
        </is>
      </c>
      <c r="B1656" s="11" t="inlineStr">
        <is>
          <t>Carriage of Cement</t>
        </is>
      </c>
      <c r="C1656" s="22" t="inlineStr">
        <is>
          <t>tonne</t>
        </is>
      </c>
      <c r="D1656" s="23" t="n">
        <v>0.04</v>
      </c>
      <c r="E1656" s="24" t="n">
        <v>92.23999999999999</v>
      </c>
      <c r="F1656" s="24">
        <f>D1656*E1656</f>
        <v/>
      </c>
      <c r="G1656" s="22" t="n"/>
    </row>
    <row r="1657">
      <c r="A1657" s="22" t="inlineStr">
        <is>
          <t>0114</t>
        </is>
      </c>
      <c r="B1657" s="11" t="inlineStr">
        <is>
          <t>Beldar</t>
        </is>
      </c>
      <c r="C1657" s="22" t="inlineStr">
        <is>
          <t>day</t>
        </is>
      </c>
      <c r="D1657" s="23" t="n">
        <v>0.5</v>
      </c>
      <c r="E1657" s="24" t="n">
        <v>558</v>
      </c>
      <c r="F1657" s="24">
        <f>D1657*E1657</f>
        <v/>
      </c>
      <c r="G1657" s="22" t="n"/>
    </row>
    <row r="1658">
      <c r="A1658" s="22" t="inlineStr">
        <is>
          <t>2709</t>
        </is>
      </c>
      <c r="B1658" s="11" t="inlineStr">
        <is>
          <t>Ceremic Tiles Pieces for Crazy Flooring</t>
        </is>
      </c>
      <c r="C1658" s="22" t="inlineStr">
        <is>
          <t>quintal</t>
        </is>
      </c>
      <c r="D1658" s="23" t="n">
        <v>1.2</v>
      </c>
      <c r="E1658" s="24" t="n">
        <v>135</v>
      </c>
      <c r="F1658" s="24">
        <f>D1658*E1658</f>
        <v/>
      </c>
      <c r="G1658" s="22" t="n"/>
    </row>
    <row r="1659">
      <c r="A1659" s="22" t="inlineStr">
        <is>
          <t>9977</t>
        </is>
      </c>
      <c r="B1659" s="11" t="inlineStr">
        <is>
          <t>Carriage of tiles</t>
        </is>
      </c>
      <c r="C1659" s="22" t="inlineStr">
        <is>
          <t>L.S.</t>
        </is>
      </c>
      <c r="D1659" s="23" t="n">
        <v>62.4</v>
      </c>
      <c r="E1659" s="24" t="n">
        <v>2</v>
      </c>
      <c r="F1659" s="24">
        <f>D1659*E1659</f>
        <v/>
      </c>
      <c r="G1659" s="22" t="n"/>
    </row>
    <row r="1660">
      <c r="A1660" s="7" t="inlineStr">
        <is>
          <t>3.9</t>
        </is>
      </c>
      <c r="B1660" s="11" t="inlineStr">
        <is>
          <t>Rate as per item 3.9 - Cement mortar 1:4 (1 cement : 4 coarse sand)</t>
        </is>
      </c>
      <c r="C1660" s="22" t="inlineStr">
        <is>
          <t>cum</t>
        </is>
      </c>
      <c r="D1660" s="23" t="n">
        <v>0.03</v>
      </c>
      <c r="E1660" s="24" t="n">
        <v>4010.35</v>
      </c>
      <c r="F1660" s="24">
        <f>D1660*E1660</f>
        <v/>
      </c>
      <c r="G1660" s="22" t="n"/>
    </row>
    <row r="1661">
      <c r="A1661" s="7" t="inlineStr">
        <is>
          <t>4.18</t>
        </is>
      </c>
      <c r="B1661" s="11" t="inlineStr">
        <is>
          <t>Rate as per item 4.18 - Extra for addition of synthetic Polyester triangular fibre of length 12mm, effective diameter 10-40 microns...</t>
        </is>
      </c>
      <c r="C1661" s="22" t="inlineStr">
        <is>
          <t>nos</t>
        </is>
      </c>
      <c r="D1661" s="23" t="n">
        <v>1.38</v>
      </c>
      <c r="E1661" s="24" t="n">
        <v>61.05</v>
      </c>
      <c r="F1661" s="24">
        <f>D1661*E1661</f>
        <v/>
      </c>
      <c r="G1661" s="22" t="n"/>
    </row>
    <row r="1662">
      <c r="A1662" s="7" t="inlineStr">
        <is>
          <t>4.12</t>
        </is>
      </c>
      <c r="B1662" s="11" t="inlineStr">
        <is>
          <t>Rate as per item 4.12 - Extra for providing and mixing water proofing material in cement concrete work in doses by weight of cement...</t>
        </is>
      </c>
      <c r="C1662" s="22" t="inlineStr">
        <is>
          <t>nos</t>
        </is>
      </c>
      <c r="D1662" s="23" t="n">
        <v>1.38</v>
      </c>
      <c r="E1662" s="24" t="n">
        <v>56.55</v>
      </c>
      <c r="F1662" s="24">
        <f>D1662*E1662</f>
        <v/>
      </c>
      <c r="G1662" s="22" t="n"/>
    </row>
    <row r="1663">
      <c r="A1663" s="22" t="inlineStr">
        <is>
          <t>0123</t>
        </is>
      </c>
      <c r="B1663" s="11" t="inlineStr">
        <is>
          <t>Mason (brick layer) 1st class</t>
        </is>
      </c>
      <c r="C1663" s="22" t="inlineStr">
        <is>
          <t>day</t>
        </is>
      </c>
      <c r="D1663" s="23" t="n">
        <v>1.2</v>
      </c>
      <c r="E1663" s="24" t="n">
        <v>738</v>
      </c>
      <c r="F1663" s="24">
        <f>D1663*E1663</f>
        <v/>
      </c>
      <c r="G1663" s="22" t="n"/>
    </row>
    <row r="1664">
      <c r="A1664" s="22" t="inlineStr">
        <is>
          <t>0114</t>
        </is>
      </c>
      <c r="B1664" s="11" t="inlineStr">
        <is>
          <t>Beldar</t>
        </is>
      </c>
      <c r="C1664" s="22" t="inlineStr">
        <is>
          <t>day</t>
        </is>
      </c>
      <c r="D1664" s="23" t="n">
        <v>1</v>
      </c>
      <c r="E1664" s="24" t="n">
        <v>558</v>
      </c>
      <c r="F1664" s="24">
        <f>D1664*E1664</f>
        <v/>
      </c>
      <c r="G1664" s="22" t="n"/>
    </row>
    <row r="1665">
      <c r="A1665" s="22" t="inlineStr">
        <is>
          <t>0115</t>
        </is>
      </c>
      <c r="B1665" s="11" t="inlineStr">
        <is>
          <t>Coolie</t>
        </is>
      </c>
      <c r="C1665" s="22" t="inlineStr">
        <is>
          <t>day</t>
        </is>
      </c>
      <c r="D1665" s="23" t="n">
        <v>1</v>
      </c>
      <c r="E1665" s="24" t="n">
        <v>558</v>
      </c>
      <c r="F1665" s="24">
        <f>D1665*E1665</f>
        <v/>
      </c>
      <c r="G1665" s="22" t="n"/>
    </row>
    <row r="1666">
      <c r="A1666" s="22" t="inlineStr">
        <is>
          <t>0101</t>
        </is>
      </c>
      <c r="B1666" s="11" t="inlineStr">
        <is>
          <t>Bhisti</t>
        </is>
      </c>
      <c r="C1666" s="22" t="inlineStr">
        <is>
          <t>day</t>
        </is>
      </c>
      <c r="D1666" s="23" t="n">
        <v>0.54</v>
      </c>
      <c r="E1666" s="24" t="n">
        <v>617</v>
      </c>
      <c r="F1666" s="24">
        <f>D1666*E1666</f>
        <v/>
      </c>
      <c r="G1666" s="22" t="n"/>
    </row>
    <row r="1667">
      <c r="A1667" s="22" t="inlineStr">
        <is>
          <t>9999</t>
        </is>
      </c>
      <c r="B1667" s="11" t="inlineStr">
        <is>
          <t>Sundries</t>
        </is>
      </c>
      <c r="C1667" s="22" t="inlineStr">
        <is>
          <t>L.S.</t>
        </is>
      </c>
      <c r="D1667" s="23" t="n">
        <v>67.25</v>
      </c>
      <c r="E1667" s="24" t="n">
        <v>2</v>
      </c>
      <c r="F1667" s="24">
        <f>D1667*E1667</f>
        <v/>
      </c>
      <c r="G1667" s="22" t="n"/>
    </row>
    <row r="1668">
      <c r="A1668" s="8" t="inlineStr">
        <is>
          <t>Calculated W - SUM of the Amount column above</t>
        </is>
      </c>
      <c r="B1668" s="9" t="n"/>
      <c r="C1668" s="9" t="n"/>
      <c r="D1668" s="9" t="n"/>
      <c r="E1668" s="9" t="n"/>
      <c r="F1668" s="25">
        <f>SUM(F1650:F1667)</f>
        <v/>
      </c>
      <c r="G1668" s="9" t="n"/>
    </row>
    <row r="1669">
      <c r="A1669" s="26" t="inlineStr">
        <is>
          <t>W as printed in the DAR</t>
        </is>
      </c>
      <c r="B1669" s="22" t="n"/>
      <c r="C1669" s="22" t="n"/>
      <c r="D1669" s="22" t="n"/>
      <c r="E1669" s="22" t="n"/>
      <c r="F1669" s="27" t="n">
        <v>5539.43</v>
      </c>
      <c r="G1669" s="22" t="n"/>
    </row>
    <row r="1670">
      <c r="A1670" s="26" t="inlineStr">
        <is>
          <t>Difference (calculated - printed)</t>
        </is>
      </c>
      <c r="B1670" s="22" t="n"/>
      <c r="C1670" s="22" t="n"/>
      <c r="D1670" s="22" t="n"/>
      <c r="E1670" s="22" t="n"/>
      <c r="F1670" s="27">
        <f>F1668-F1669</f>
        <v/>
      </c>
      <c r="G1670" s="22" t="n"/>
    </row>
    <row r="1671">
      <c r="A1671" s="29" t="inlineStr">
        <is>
          <t>SAY (Rs.) - final DAR rate as printed (fixed value, not computed)</t>
        </is>
      </c>
      <c r="B1671" s="30" t="n"/>
      <c r="C1671" s="30" t="n"/>
      <c r="D1671" s="30" t="n"/>
      <c r="E1671" s="30" t="n"/>
      <c r="F1671" s="31" t="n">
        <v>735.65</v>
      </c>
      <c r="G1671" s="30" t="n"/>
    </row>
    <row r="1673" ht="47.5" customHeight="1">
      <c r="A1673" s="18" t="inlineStr">
        <is>
          <t>11.45</t>
        </is>
      </c>
      <c r="B1673" s="19" t="inlineStr">
        <is>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is>
      </c>
      <c r="C1673" s="20" t="n"/>
      <c r="D1673" s="20" t="n"/>
      <c r="E1673" s="20" t="n"/>
      <c r="F1673" s="20" t="n"/>
      <c r="G1673" s="20" t="n"/>
    </row>
    <row r="1674">
      <c r="A1674" s="21" t="inlineStr">
        <is>
          <t>Details of cost for 10 sqm   |   Source: CivilDAR_2019_Vol_1.pdf, page 791</t>
        </is>
      </c>
    </row>
    <row r="1675">
      <c r="A1675" s="5" t="inlineStr">
        <is>
          <t>Code</t>
        </is>
      </c>
      <c r="B1675" s="5" t="inlineStr">
        <is>
          <t>Description</t>
        </is>
      </c>
      <c r="C1675" s="5" t="inlineStr">
        <is>
          <t>Unit</t>
        </is>
      </c>
      <c r="D1675" s="5" t="inlineStr">
        <is>
          <t>Quantity</t>
        </is>
      </c>
      <c r="E1675" s="5" t="inlineStr">
        <is>
          <t>Rate (Rs.)</t>
        </is>
      </c>
      <c r="F1675" s="5" t="inlineStr">
        <is>
          <t>Amount (Rs.)</t>
        </is>
      </c>
      <c r="G1675" s="5" t="inlineStr">
        <is>
          <t>Note</t>
        </is>
      </c>
    </row>
    <row r="1676">
      <c r="A1676" s="22" t="inlineStr">
        <is>
          <t>0295</t>
        </is>
      </c>
      <c r="B1676" s="11" t="inlineStr">
        <is>
          <t>Stone Aggregate (Single size) : 20 mm nominal size</t>
        </is>
      </c>
      <c r="C1676" s="22" t="inlineStr">
        <is>
          <t>cum</t>
        </is>
      </c>
      <c r="D1676" s="23" t="n">
        <v>1.5</v>
      </c>
      <c r="E1676" s="24" t="n">
        <v>1350</v>
      </c>
      <c r="F1676" s="24">
        <f>D1676*E1676</f>
        <v/>
      </c>
      <c r="G1676" s="22" t="n"/>
    </row>
    <row r="1677">
      <c r="A1677" s="22" t="inlineStr">
        <is>
          <t>2202</t>
        </is>
      </c>
      <c r="B1677" s="11" t="inlineStr">
        <is>
          <t>Stone aggregate below 40 mm nominal size</t>
        </is>
      </c>
      <c r="C1677" s="22" t="inlineStr">
        <is>
          <t>cum</t>
        </is>
      </c>
      <c r="D1677" s="23" t="n">
        <v>1.5</v>
      </c>
      <c r="E1677" s="24" t="n">
        <v>103.77</v>
      </c>
      <c r="F1677" s="24">
        <f>D1677*E1677</f>
        <v/>
      </c>
      <c r="G1677" s="22" t="n"/>
    </row>
    <row r="1678">
      <c r="A1678" s="22" t="inlineStr">
        <is>
          <t>0114</t>
        </is>
      </c>
      <c r="B1678" s="11" t="inlineStr">
        <is>
          <t>Beldar</t>
        </is>
      </c>
      <c r="C1678" s="22" t="inlineStr">
        <is>
          <t>day</t>
        </is>
      </c>
      <c r="D1678" s="23" t="n">
        <v>0.7</v>
      </c>
      <c r="E1678" s="24" t="n">
        <v>558</v>
      </c>
      <c r="F1678" s="24">
        <f>D1678*E1678</f>
        <v/>
      </c>
      <c r="G1678" s="22" t="n"/>
    </row>
    <row r="1679">
      <c r="A1679" s="22" t="inlineStr">
        <is>
          <t>0115</t>
        </is>
      </c>
      <c r="B1679" s="11" t="inlineStr">
        <is>
          <t>Coolie</t>
        </is>
      </c>
      <c r="C1679" s="22" t="inlineStr">
        <is>
          <t>day</t>
        </is>
      </c>
      <c r="D1679" s="23" t="n">
        <v>0.52</v>
      </c>
      <c r="E1679" s="24" t="n">
        <v>558</v>
      </c>
      <c r="F1679" s="24">
        <f>D1679*E1679</f>
        <v/>
      </c>
      <c r="G1679" s="22" t="n"/>
    </row>
    <row r="1680">
      <c r="A1680" s="22" t="inlineStr">
        <is>
          <t>0101</t>
        </is>
      </c>
      <c r="B1680" s="11" t="inlineStr">
        <is>
          <t>Bhisti</t>
        </is>
      </c>
      <c r="C1680" s="22" t="inlineStr">
        <is>
          <t>day</t>
        </is>
      </c>
      <c r="D1680" s="23" t="n">
        <v>0.36</v>
      </c>
      <c r="E1680" s="24" t="n">
        <v>617</v>
      </c>
      <c r="F1680" s="24">
        <f>D1680*E1680</f>
        <v/>
      </c>
      <c r="G1680" s="22" t="n"/>
    </row>
    <row r="1681">
      <c r="A1681" s="7" t="inlineStr">
        <is>
          <t>2.27</t>
        </is>
      </c>
      <c r="B1681" s="11" t="inlineStr">
        <is>
          <t>Rate as per item 2.27 - Supplying and filling in plinth with sand under floors, including watering, ramming, consolidating and dres...</t>
        </is>
      </c>
      <c r="C1681" s="22" t="inlineStr">
        <is>
          <t>cum</t>
        </is>
      </c>
      <c r="D1681" s="23" t="n">
        <v>1.5</v>
      </c>
      <c r="E1681" s="24" t="n">
        <v>1953.05</v>
      </c>
      <c r="F1681" s="24">
        <f>D1681*E1681</f>
        <v/>
      </c>
      <c r="G1681" s="22" t="n"/>
    </row>
    <row r="1682">
      <c r="A1682" s="22" t="inlineStr">
        <is>
          <t>2708</t>
        </is>
      </c>
      <c r="B1682" s="11" t="inlineStr">
        <is>
          <t>Truf Paver (500 x 500 x 40 mm)</t>
        </is>
      </c>
      <c r="C1682" s="22" t="inlineStr">
        <is>
          <t>sqm</t>
        </is>
      </c>
      <c r="D1682" s="23" t="n">
        <v>10</v>
      </c>
      <c r="E1682" s="24" t="n">
        <v>500</v>
      </c>
      <c r="F1682" s="24">
        <f>D1682*E1682</f>
        <v/>
      </c>
      <c r="G1682" s="22" t="n"/>
    </row>
    <row r="1683">
      <c r="A1683" s="22" t="inlineStr">
        <is>
          <t>0123</t>
        </is>
      </c>
      <c r="B1683" s="11" t="inlineStr">
        <is>
          <t>Mason (brick layer) 1st class</t>
        </is>
      </c>
      <c r="C1683" s="22" t="inlineStr">
        <is>
          <t>day</t>
        </is>
      </c>
      <c r="D1683" s="23" t="n">
        <v>0.5</v>
      </c>
      <c r="E1683" s="24" t="n">
        <v>738</v>
      </c>
      <c r="F1683" s="24">
        <f>D1683*E1683</f>
        <v/>
      </c>
      <c r="G1683" s="22" t="n"/>
    </row>
    <row r="1684">
      <c r="A1684" s="22" t="inlineStr">
        <is>
          <t>0114</t>
        </is>
      </c>
      <c r="B1684" s="11" t="inlineStr">
        <is>
          <t>Beldar</t>
        </is>
      </c>
      <c r="C1684" s="22" t="inlineStr">
        <is>
          <t>day</t>
        </is>
      </c>
      <c r="D1684" s="23" t="n">
        <v>1</v>
      </c>
      <c r="E1684" s="24" t="n">
        <v>558</v>
      </c>
      <c r="F1684" s="24">
        <f>D1684*E1684</f>
        <v/>
      </c>
      <c r="G1684" s="22" t="n"/>
    </row>
    <row r="1685">
      <c r="A1685" s="22" t="inlineStr">
        <is>
          <t>9999</t>
        </is>
      </c>
      <c r="B1685" s="11" t="inlineStr">
        <is>
          <t>Sundries</t>
        </is>
      </c>
      <c r="C1685" s="22" t="inlineStr">
        <is>
          <t>L.S.</t>
        </is>
      </c>
      <c r="D1685" s="23" t="n">
        <v>50</v>
      </c>
      <c r="E1685" s="24" t="n">
        <v>2</v>
      </c>
      <c r="F1685" s="24">
        <f>D1685*E1685</f>
        <v/>
      </c>
      <c r="G1685" s="22" t="n"/>
    </row>
    <row r="1686">
      <c r="A1686" s="8" t="inlineStr">
        <is>
          <t>Calculated W - SUM of the Amount column above</t>
        </is>
      </c>
      <c r="B1686" s="9" t="n"/>
      <c r="C1686" s="9" t="n"/>
      <c r="D1686" s="9" t="n"/>
      <c r="E1686" s="9" t="n"/>
      <c r="F1686" s="25">
        <f>SUM(F1676:F1685)</f>
        <v/>
      </c>
      <c r="G1686" s="9" t="n"/>
    </row>
    <row r="1687">
      <c r="A1687" s="26" t="inlineStr">
        <is>
          <t>W as printed in the DAR</t>
        </is>
      </c>
      <c r="B1687" s="22" t="n"/>
      <c r="C1687" s="22" t="n"/>
      <c r="D1687" s="22" t="n"/>
      <c r="E1687" s="22" t="n"/>
      <c r="F1687" s="27" t="n">
        <v>12040.11</v>
      </c>
      <c r="G1687" s="22" t="n"/>
    </row>
    <row r="1688">
      <c r="A1688" s="26" t="inlineStr">
        <is>
          <t>Difference (calculated - printed)</t>
        </is>
      </c>
      <c r="B1688" s="22" t="n"/>
      <c r="C1688" s="22" t="n"/>
      <c r="D1688" s="22" t="n"/>
      <c r="E1688" s="22" t="n"/>
      <c r="F1688" s="27">
        <f>F1686-F1687</f>
        <v/>
      </c>
      <c r="G1688" s="22" t="n"/>
    </row>
    <row r="1689">
      <c r="A1689" s="29" t="inlineStr">
        <is>
          <t>SAY (Rs.) - final DAR rate as printed (fixed value, not computed)</t>
        </is>
      </c>
      <c r="B1689" s="30" t="n"/>
      <c r="C1689" s="30" t="n"/>
      <c r="D1689" s="30" t="n"/>
      <c r="E1689" s="30" t="n"/>
      <c r="F1689" s="31" t="n">
        <v>1511.9</v>
      </c>
      <c r="G1689" s="30" t="n"/>
    </row>
    <row r="1691" ht="62" customHeight="1">
      <c r="A1691" s="8" t="inlineStr">
        <is>
          <t>11.46</t>
        </is>
      </c>
      <c r="B1691" s="17"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is>
      </c>
      <c r="C1691" s="9" t="n"/>
      <c r="D1691" s="9" t="n"/>
      <c r="E1691" s="9" t="n"/>
      <c r="F1691" s="9" t="n"/>
      <c r="G1691" s="9" t="n"/>
    </row>
    <row r="1692" ht="18.5" customHeight="1">
      <c r="A1692" s="18" t="inlineStr">
        <is>
          <t>11.46.1</t>
        </is>
      </c>
      <c r="B1692" s="19" t="inlineStr">
        <is>
          <t>Size of Tile 500x500 mm</t>
        </is>
      </c>
      <c r="C1692" s="20" t="n"/>
      <c r="D1692" s="20" t="n"/>
      <c r="E1692" s="20" t="n"/>
      <c r="F1692" s="20" t="n"/>
      <c r="G1692" s="20" t="n"/>
    </row>
    <row r="1693">
      <c r="A1693" s="21" t="inlineStr">
        <is>
          <t>Details of cost for 1 sqm   |   Source: CivilDAR_2019_Vol_1.pdf, page 792</t>
        </is>
      </c>
    </row>
    <row r="1694">
      <c r="A1694" s="5" t="inlineStr">
        <is>
          <t>Code</t>
        </is>
      </c>
      <c r="B1694" s="5" t="inlineStr">
        <is>
          <t>Description</t>
        </is>
      </c>
      <c r="C1694" s="5" t="inlineStr">
        <is>
          <t>Unit</t>
        </is>
      </c>
      <c r="D1694" s="5" t="inlineStr">
        <is>
          <t>Quantity</t>
        </is>
      </c>
      <c r="E1694" s="5" t="inlineStr">
        <is>
          <t>Rate (Rs.)</t>
        </is>
      </c>
      <c r="F1694" s="5" t="inlineStr">
        <is>
          <t>Amount (Rs.)</t>
        </is>
      </c>
      <c r="G1694" s="5" t="inlineStr">
        <is>
          <t>Note</t>
        </is>
      </c>
    </row>
    <row r="1695">
      <c r="A1695" s="22" t="inlineStr">
        <is>
          <t>8620</t>
        </is>
      </c>
      <c r="B1695" s="11" t="inlineStr">
        <is>
          <t>Vitrified floor tile 50x50 cm</t>
        </is>
      </c>
      <c r="C1695" s="22" t="inlineStr">
        <is>
          <t>sqm</t>
        </is>
      </c>
      <c r="D1695" s="23" t="n">
        <v>1.025</v>
      </c>
      <c r="E1695" s="24" t="n">
        <v>490</v>
      </c>
      <c r="F1695" s="24">
        <f>D1695*E1695</f>
        <v/>
      </c>
      <c r="G1695" s="22" t="n"/>
    </row>
    <row r="1696">
      <c r="A1696" s="22" t="inlineStr">
        <is>
          <t>9977</t>
        </is>
      </c>
      <c r="B1696" s="11" t="inlineStr">
        <is>
          <t>Carriage of tiles</t>
        </is>
      </c>
      <c r="C1696" s="22" t="inlineStr">
        <is>
          <t>L.S.</t>
        </is>
      </c>
      <c r="D1696" s="23" t="n">
        <v>6.24</v>
      </c>
      <c r="E1696" s="24" t="n">
        <v>2</v>
      </c>
      <c r="F1696" s="24">
        <f>D1696*E1696</f>
        <v/>
      </c>
      <c r="G1696" s="22" t="n"/>
    </row>
    <row r="1697">
      <c r="A1697" s="7" t="inlineStr">
        <is>
          <t>3.8</t>
        </is>
      </c>
      <c r="B1697" s="11" t="inlineStr">
        <is>
          <t>Rate as per item 3.8 - Cement mortar 1:3 (1 cement : 3 coarse sand)</t>
        </is>
      </c>
      <c r="C1697" s="22" t="inlineStr">
        <is>
          <t>cum</t>
        </is>
      </c>
      <c r="D1697" s="23" t="n">
        <v>0.014</v>
      </c>
      <c r="E1697" s="24" t="n">
        <v>4664.55</v>
      </c>
      <c r="F1697" s="24">
        <f>D1697*E1697</f>
        <v/>
      </c>
      <c r="G1697" s="22" t="n"/>
    </row>
    <row r="1698">
      <c r="A1698" s="22" t="inlineStr">
        <is>
          <t>9999</t>
        </is>
      </c>
      <c r="B1698" s="11" t="inlineStr">
        <is>
          <t>Mortar for pointing in white cement</t>
        </is>
      </c>
      <c r="C1698" s="22" t="inlineStr">
        <is>
          <t>L.S.</t>
        </is>
      </c>
      <c r="D1698" s="23" t="n">
        <v>3.64</v>
      </c>
      <c r="E1698" s="24" t="n">
        <v>2</v>
      </c>
      <c r="F1698" s="24">
        <f>D1698*E1698</f>
        <v/>
      </c>
      <c r="G1698" s="22" t="n"/>
    </row>
    <row r="1699">
      <c r="A1699" s="22" t="inlineStr">
        <is>
          <t>0367</t>
        </is>
      </c>
      <c r="B1699" s="11" t="inlineStr">
        <is>
          <t>Portland Cement</t>
        </is>
      </c>
      <c r="C1699" s="22" t="inlineStr">
        <is>
          <t>tonne</t>
        </is>
      </c>
      <c r="D1699" s="23" t="n">
        <v>0.0033</v>
      </c>
      <c r="E1699" s="24" t="n">
        <v>4940</v>
      </c>
      <c r="F1699" s="24">
        <f>D1699*E1699</f>
        <v/>
      </c>
      <c r="G1699" s="22" t="n"/>
    </row>
    <row r="1700">
      <c r="A1700" s="22" t="inlineStr">
        <is>
          <t>0123</t>
        </is>
      </c>
      <c r="B1700" s="11" t="inlineStr">
        <is>
          <t>Mason (brick layer) 1st class</t>
        </is>
      </c>
      <c r="C1700" s="22" t="inlineStr">
        <is>
          <t>day</t>
        </is>
      </c>
      <c r="D1700" s="23" t="n">
        <v>0.25</v>
      </c>
      <c r="E1700" s="24" t="n">
        <v>738</v>
      </c>
      <c r="F1700" s="24">
        <f>D1700*E1700</f>
        <v/>
      </c>
      <c r="G1700" s="22" t="n"/>
    </row>
    <row r="1701">
      <c r="A1701" s="22" t="inlineStr">
        <is>
          <t>0115</t>
        </is>
      </c>
      <c r="B1701" s="11" t="inlineStr">
        <is>
          <t>Coolie</t>
        </is>
      </c>
      <c r="C1701" s="22" t="inlineStr">
        <is>
          <t>day</t>
        </is>
      </c>
      <c r="D1701" s="23" t="n">
        <v>0.25</v>
      </c>
      <c r="E1701" s="24" t="n">
        <v>558</v>
      </c>
      <c r="F1701" s="24">
        <f>D1701*E1701</f>
        <v/>
      </c>
      <c r="G1701" s="22" t="n"/>
    </row>
    <row r="1702">
      <c r="A1702" s="22" t="inlineStr">
        <is>
          <t>9988</t>
        </is>
      </c>
      <c r="B1702" s="11" t="inlineStr">
        <is>
          <t>Sundries including carriage of quick set polymer etc.</t>
        </is>
      </c>
      <c r="C1702" s="22" t="inlineStr">
        <is>
          <t>L.S.</t>
        </is>
      </c>
      <c r="D1702" s="23" t="n">
        <v>26.91</v>
      </c>
      <c r="E1702" s="24" t="n">
        <v>2</v>
      </c>
      <c r="F1702" s="24">
        <f>D1702*E1702</f>
        <v/>
      </c>
      <c r="G1702" s="22" t="n"/>
    </row>
    <row r="1703">
      <c r="A1703" s="8" t="inlineStr">
        <is>
          <t>Calculated W - SUM of the Amount column above</t>
        </is>
      </c>
      <c r="B1703" s="9" t="n"/>
      <c r="C1703" s="9" t="n"/>
      <c r="D1703" s="9" t="n"/>
      <c r="E1703" s="9" t="n"/>
      <c r="F1703" s="25">
        <f>SUM(F1695:F1702)</f>
        <v/>
      </c>
      <c r="G1703" s="9" t="n"/>
    </row>
    <row r="1704">
      <c r="A1704" s="26" t="inlineStr">
        <is>
          <t>W as printed in the DAR</t>
        </is>
      </c>
      <c r="B1704" s="22" t="n"/>
      <c r="C1704" s="22" t="n"/>
      <c r="D1704" s="22" t="n"/>
      <c r="E1704" s="22" t="n"/>
      <c r="F1704" s="27" t="n">
        <v>981.4400000000001</v>
      </c>
      <c r="G1704" s="22" t="n"/>
    </row>
    <row r="1705">
      <c r="A1705" s="26" t="inlineStr">
        <is>
          <t>Difference (calculated - printed)</t>
        </is>
      </c>
      <c r="B1705" s="22" t="n"/>
      <c r="C1705" s="22" t="n"/>
      <c r="D1705" s="22" t="n"/>
      <c r="E1705" s="22" t="n"/>
      <c r="F1705" s="27">
        <f>F1703-F1704</f>
        <v/>
      </c>
      <c r="G1705" s="22" t="n"/>
    </row>
    <row r="1706">
      <c r="A1706" s="29" t="inlineStr">
        <is>
          <t>SAY (Rs.) - final DAR rate as printed (fixed value, not computed)</t>
        </is>
      </c>
      <c r="B1706" s="30" t="n"/>
      <c r="C1706" s="30" t="n"/>
      <c r="D1706" s="30" t="n"/>
      <c r="E1706" s="30" t="n"/>
      <c r="F1706" s="31" t="n">
        <v>1313.1</v>
      </c>
      <c r="G1706" s="30" t="n"/>
    </row>
    <row r="1708" ht="62" customHeight="1">
      <c r="A1708" s="8" t="inlineStr">
        <is>
          <t>11.46</t>
        </is>
      </c>
      <c r="B1708" s="17"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is>
      </c>
      <c r="C1708" s="9" t="n"/>
      <c r="D1708" s="9" t="n"/>
      <c r="E1708" s="9" t="n"/>
      <c r="F1708" s="9" t="n"/>
      <c r="G1708" s="9" t="n"/>
    </row>
    <row r="1709" ht="18.5" customHeight="1">
      <c r="A1709" s="18" t="inlineStr">
        <is>
          <t>11.46.2</t>
        </is>
      </c>
      <c r="B1709" s="19" t="inlineStr">
        <is>
          <t>Size of Tile 600x600 mm</t>
        </is>
      </c>
      <c r="C1709" s="20" t="n"/>
      <c r="D1709" s="20" t="n"/>
      <c r="E1709" s="20" t="n"/>
      <c r="F1709" s="20" t="n"/>
      <c r="G1709" s="20" t="n"/>
    </row>
    <row r="1710">
      <c r="A1710" s="21" t="inlineStr">
        <is>
          <t>Details of cost for 1 sqm   |   Source: CivilDAR_2019_Vol_1.pdf, page 792</t>
        </is>
      </c>
    </row>
    <row r="1711">
      <c r="A1711" s="5" t="inlineStr">
        <is>
          <t>Code</t>
        </is>
      </c>
      <c r="B1711" s="5" t="inlineStr">
        <is>
          <t>Description</t>
        </is>
      </c>
      <c r="C1711" s="5" t="inlineStr">
        <is>
          <t>Unit</t>
        </is>
      </c>
      <c r="D1711" s="5" t="inlineStr">
        <is>
          <t>Quantity</t>
        </is>
      </c>
      <c r="E1711" s="5" t="inlineStr">
        <is>
          <t>Rate (Rs.)</t>
        </is>
      </c>
      <c r="F1711" s="5" t="inlineStr">
        <is>
          <t>Amount (Rs.)</t>
        </is>
      </c>
      <c r="G1711" s="5" t="inlineStr">
        <is>
          <t>Note</t>
        </is>
      </c>
    </row>
    <row r="1712">
      <c r="A1712" s="22" t="inlineStr">
        <is>
          <t>8621</t>
        </is>
      </c>
      <c r="B1712" s="11" t="inlineStr">
        <is>
          <t>Vitrified floor tile 60x60 cm</t>
        </is>
      </c>
      <c r="C1712" s="22" t="inlineStr">
        <is>
          <t>sqm</t>
        </is>
      </c>
      <c r="D1712" s="23" t="n">
        <v>1.025</v>
      </c>
      <c r="E1712" s="24" t="n">
        <v>659.72</v>
      </c>
      <c r="F1712" s="24">
        <f>D1712*E1712</f>
        <v/>
      </c>
      <c r="G1712" s="22" t="n"/>
    </row>
    <row r="1713">
      <c r="A1713" s="22" t="inlineStr">
        <is>
          <t>9977</t>
        </is>
      </c>
      <c r="B1713" s="11" t="inlineStr">
        <is>
          <t>Carriage of tiles</t>
        </is>
      </c>
      <c r="C1713" s="22" t="inlineStr">
        <is>
          <t>L.S.</t>
        </is>
      </c>
      <c r="D1713" s="23" t="n">
        <v>6.24</v>
      </c>
      <c r="E1713" s="24" t="n">
        <v>2</v>
      </c>
      <c r="F1713" s="24">
        <f>D1713*E1713</f>
        <v/>
      </c>
      <c r="G1713" s="22" t="n"/>
    </row>
    <row r="1714">
      <c r="A1714" s="7" t="inlineStr">
        <is>
          <t>3.8</t>
        </is>
      </c>
      <c r="B1714" s="11" t="inlineStr">
        <is>
          <t>Rate as per item 3.8 - Cement mortar 1:3 (1 cement : 3 coarse sand)</t>
        </is>
      </c>
      <c r="C1714" s="22" t="inlineStr">
        <is>
          <t>cum</t>
        </is>
      </c>
      <c r="D1714" s="23" t="n">
        <v>0.014</v>
      </c>
      <c r="E1714" s="24" t="n">
        <v>4664.55</v>
      </c>
      <c r="F1714" s="24">
        <f>D1714*E1714</f>
        <v/>
      </c>
      <c r="G1714" s="22" t="n"/>
    </row>
    <row r="1715">
      <c r="A1715" s="22" t="inlineStr">
        <is>
          <t>9999</t>
        </is>
      </c>
      <c r="B1715" s="11" t="inlineStr">
        <is>
          <t>Mortar for pointing in white cement</t>
        </is>
      </c>
      <c r="C1715" s="22" t="inlineStr">
        <is>
          <t>L.S.</t>
        </is>
      </c>
      <c r="D1715" s="23" t="n">
        <v>3.64</v>
      </c>
      <c r="E1715" s="24" t="n">
        <v>2</v>
      </c>
      <c r="F1715" s="24">
        <f>D1715*E1715</f>
        <v/>
      </c>
      <c r="G1715" s="22" t="n"/>
    </row>
    <row r="1716">
      <c r="A1716" s="22" t="inlineStr">
        <is>
          <t>0367</t>
        </is>
      </c>
      <c r="B1716" s="11" t="inlineStr">
        <is>
          <t>Portland Cement</t>
        </is>
      </c>
      <c r="C1716" s="22" t="inlineStr">
        <is>
          <t>tonne</t>
        </is>
      </c>
      <c r="D1716" s="23" t="n">
        <v>0.0033</v>
      </c>
      <c r="E1716" s="24" t="n">
        <v>4940</v>
      </c>
      <c r="F1716" s="24">
        <f>D1716*E1716</f>
        <v/>
      </c>
      <c r="G1716" s="22" t="n"/>
    </row>
    <row r="1717">
      <c r="A1717" s="22" t="inlineStr">
        <is>
          <t>0123</t>
        </is>
      </c>
      <c r="B1717" s="11" t="inlineStr">
        <is>
          <t>Mason (brick layer) 1st class</t>
        </is>
      </c>
      <c r="C1717" s="22" t="inlineStr">
        <is>
          <t>day</t>
        </is>
      </c>
      <c r="D1717" s="23" t="n">
        <v>0.25</v>
      </c>
      <c r="E1717" s="24" t="n">
        <v>738</v>
      </c>
      <c r="F1717" s="24">
        <f>D1717*E1717</f>
        <v/>
      </c>
      <c r="G1717" s="22" t="n"/>
    </row>
    <row r="1718">
      <c r="A1718" s="22" t="inlineStr">
        <is>
          <t>0115</t>
        </is>
      </c>
      <c r="B1718" s="11" t="inlineStr">
        <is>
          <t>Coolie</t>
        </is>
      </c>
      <c r="C1718" s="22" t="inlineStr">
        <is>
          <t>day</t>
        </is>
      </c>
      <c r="D1718" s="23" t="n">
        <v>0.25</v>
      </c>
      <c r="E1718" s="24" t="n">
        <v>558</v>
      </c>
      <c r="F1718" s="24">
        <f>D1718*E1718</f>
        <v/>
      </c>
      <c r="G1718" s="22" t="n"/>
    </row>
    <row r="1719">
      <c r="A1719" s="22" t="inlineStr">
        <is>
          <t>9988</t>
        </is>
      </c>
      <c r="B1719" s="11" t="inlineStr">
        <is>
          <t>Sundries including carriage of quick set polymer etc.</t>
        </is>
      </c>
      <c r="C1719" s="22" t="inlineStr">
        <is>
          <t>L.S.</t>
        </is>
      </c>
      <c r="D1719" s="23" t="n">
        <v>26.91</v>
      </c>
      <c r="E1719" s="24" t="n">
        <v>2</v>
      </c>
      <c r="F1719" s="24">
        <f>D1719*E1719</f>
        <v/>
      </c>
      <c r="G1719" s="22" t="n"/>
    </row>
    <row r="1720">
      <c r="A1720" s="8" t="inlineStr">
        <is>
          <t>Calculated W - SUM of the Amount column above</t>
        </is>
      </c>
      <c r="B1720" s="9" t="n"/>
      <c r="C1720" s="9" t="n"/>
      <c r="D1720" s="9" t="n"/>
      <c r="E1720" s="9" t="n"/>
      <c r="F1720" s="25">
        <f>SUM(F1712:F1719)</f>
        <v/>
      </c>
      <c r="G1720" s="9" t="n"/>
    </row>
    <row r="1721">
      <c r="A1721" s="26" t="inlineStr">
        <is>
          <t>W as printed in the DAR</t>
        </is>
      </c>
      <c r="B1721" s="22" t="n"/>
      <c r="C1721" s="22" t="n"/>
      <c r="D1721" s="22" t="n"/>
      <c r="E1721" s="22" t="n"/>
      <c r="F1721" s="27" t="n">
        <v>1155.4</v>
      </c>
      <c r="G1721" s="22" t="n"/>
    </row>
    <row r="1722">
      <c r="A1722" s="26" t="inlineStr">
        <is>
          <t>Difference (calculated - printed)</t>
        </is>
      </c>
      <c r="B1722" s="22" t="n"/>
      <c r="C1722" s="22" t="n"/>
      <c r="D1722" s="22" t="n"/>
      <c r="E1722" s="22" t="n"/>
      <c r="F1722" s="27">
        <f>F1720-F1721</f>
        <v/>
      </c>
      <c r="G1722" s="22" t="n"/>
    </row>
    <row r="1723">
      <c r="A1723" s="29" t="inlineStr">
        <is>
          <t>SAY (Rs.) - final DAR rate as printed (fixed value, not computed)</t>
        </is>
      </c>
      <c r="B1723" s="30" t="n"/>
      <c r="C1723" s="30" t="n"/>
      <c r="D1723" s="30" t="n"/>
      <c r="E1723" s="30" t="n"/>
      <c r="F1723" s="31" t="n">
        <v>1545.85</v>
      </c>
      <c r="G1723" s="30" t="n"/>
    </row>
    <row r="1725" ht="62" customHeight="1">
      <c r="A1725" s="8" t="inlineStr">
        <is>
          <t>11.46</t>
        </is>
      </c>
      <c r="B1725" s="17"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is>
      </c>
      <c r="C1725" s="9" t="n"/>
      <c r="D1725" s="9" t="n"/>
      <c r="E1725" s="9" t="n"/>
      <c r="F1725" s="9" t="n"/>
      <c r="G1725" s="9" t="n"/>
    </row>
    <row r="1726" ht="18.5" customHeight="1">
      <c r="A1726" s="18" t="inlineStr">
        <is>
          <t>11.46.3</t>
        </is>
      </c>
      <c r="B1726" s="19" t="inlineStr">
        <is>
          <t>Size of Tile 800x800 mm</t>
        </is>
      </c>
      <c r="C1726" s="20" t="n"/>
      <c r="D1726" s="20" t="n"/>
      <c r="E1726" s="20" t="n"/>
      <c r="F1726" s="20" t="n"/>
      <c r="G1726" s="20" t="n"/>
    </row>
    <row r="1727">
      <c r="A1727" s="21" t="inlineStr">
        <is>
          <t>Details of cost for 1 sqm   |   Source: CivilDAR_2019_Vol_1.pdf, page 793</t>
        </is>
      </c>
    </row>
    <row r="1728">
      <c r="A1728" s="5" t="inlineStr">
        <is>
          <t>Code</t>
        </is>
      </c>
      <c r="B1728" s="5" t="inlineStr">
        <is>
          <t>Description</t>
        </is>
      </c>
      <c r="C1728" s="5" t="inlineStr">
        <is>
          <t>Unit</t>
        </is>
      </c>
      <c r="D1728" s="5" t="inlineStr">
        <is>
          <t>Quantity</t>
        </is>
      </c>
      <c r="E1728" s="5" t="inlineStr">
        <is>
          <t>Rate (Rs.)</t>
        </is>
      </c>
      <c r="F1728" s="5" t="inlineStr">
        <is>
          <t>Amount (Rs.)</t>
        </is>
      </c>
      <c r="G1728" s="5" t="inlineStr">
        <is>
          <t>Note</t>
        </is>
      </c>
    </row>
    <row r="1729">
      <c r="A1729" s="22" t="inlineStr">
        <is>
          <t>8622</t>
        </is>
      </c>
      <c r="B1729" s="11" t="inlineStr">
        <is>
          <t>Vitrified floor tile 80x80 cm</t>
        </is>
      </c>
      <c r="C1729" s="22" t="inlineStr">
        <is>
          <t>sqm</t>
        </is>
      </c>
      <c r="D1729" s="23" t="n">
        <v>1.025</v>
      </c>
      <c r="E1729" s="24" t="n">
        <v>850</v>
      </c>
      <c r="F1729" s="24">
        <f>D1729*E1729</f>
        <v/>
      </c>
      <c r="G1729" s="22" t="n"/>
    </row>
    <row r="1730">
      <c r="A1730" s="22" t="inlineStr">
        <is>
          <t>9977</t>
        </is>
      </c>
      <c r="B1730" s="11" t="inlineStr">
        <is>
          <t>Carriage of tiles</t>
        </is>
      </c>
      <c r="C1730" s="22" t="inlineStr">
        <is>
          <t>L.S.</t>
        </is>
      </c>
      <c r="D1730" s="23" t="n">
        <v>6.24</v>
      </c>
      <c r="E1730" s="24" t="n">
        <v>2</v>
      </c>
      <c r="F1730" s="24">
        <f>D1730*E1730</f>
        <v/>
      </c>
      <c r="G1730" s="22" t="n"/>
    </row>
    <row r="1731">
      <c r="A1731" s="7" t="inlineStr">
        <is>
          <t>3.8</t>
        </is>
      </c>
      <c r="B1731" s="11" t="inlineStr">
        <is>
          <t>Rate as per item 3.8 - Cement mortar 1:3 (1 cement : 3 coarse sand)</t>
        </is>
      </c>
      <c r="C1731" s="22" t="inlineStr">
        <is>
          <t>cum</t>
        </is>
      </c>
      <c r="D1731" s="23" t="n">
        <v>0.014</v>
      </c>
      <c r="E1731" s="24" t="n">
        <v>4664.55</v>
      </c>
      <c r="F1731" s="24">
        <f>D1731*E1731</f>
        <v/>
      </c>
      <c r="G1731" s="22" t="n"/>
    </row>
    <row r="1732">
      <c r="A1732" s="22" t="inlineStr">
        <is>
          <t>9999</t>
        </is>
      </c>
      <c r="B1732" s="11" t="inlineStr">
        <is>
          <t>Mortar for pointing in white cement</t>
        </is>
      </c>
      <c r="C1732" s="22" t="inlineStr">
        <is>
          <t>L.S.</t>
        </is>
      </c>
      <c r="D1732" s="23" t="n">
        <v>3.64</v>
      </c>
      <c r="E1732" s="24" t="n">
        <v>2</v>
      </c>
      <c r="F1732" s="24">
        <f>D1732*E1732</f>
        <v/>
      </c>
      <c r="G1732" s="22" t="n"/>
    </row>
    <row r="1733">
      <c r="A1733" s="22" t="inlineStr">
        <is>
          <t>0367</t>
        </is>
      </c>
      <c r="B1733" s="11" t="inlineStr">
        <is>
          <t>Portland Cement</t>
        </is>
      </c>
      <c r="C1733" s="22" t="inlineStr">
        <is>
          <t>tonne</t>
        </is>
      </c>
      <c r="D1733" s="23" t="n">
        <v>0.0033</v>
      </c>
      <c r="E1733" s="24" t="n">
        <v>4940</v>
      </c>
      <c r="F1733" s="24">
        <f>D1733*E1733</f>
        <v/>
      </c>
      <c r="G1733" s="22" t="n"/>
    </row>
    <row r="1734">
      <c r="A1734" s="22" t="inlineStr">
        <is>
          <t>0123</t>
        </is>
      </c>
      <c r="B1734" s="11" t="inlineStr">
        <is>
          <t>Mason (brick layer) 1st class</t>
        </is>
      </c>
      <c r="C1734" s="22" t="inlineStr">
        <is>
          <t>day</t>
        </is>
      </c>
      <c r="D1734" s="23" t="n">
        <v>0.25</v>
      </c>
      <c r="E1734" s="24" t="n">
        <v>738</v>
      </c>
      <c r="F1734" s="24">
        <f>D1734*E1734</f>
        <v/>
      </c>
      <c r="G1734" s="22" t="n"/>
    </row>
    <row r="1735">
      <c r="A1735" s="22" t="inlineStr">
        <is>
          <t>0115</t>
        </is>
      </c>
      <c r="B1735" s="11" t="inlineStr">
        <is>
          <t>Coolie</t>
        </is>
      </c>
      <c r="C1735" s="22" t="inlineStr">
        <is>
          <t>day</t>
        </is>
      </c>
      <c r="D1735" s="23" t="n">
        <v>0.25</v>
      </c>
      <c r="E1735" s="24" t="n">
        <v>558</v>
      </c>
      <c r="F1735" s="24">
        <f>D1735*E1735</f>
        <v/>
      </c>
      <c r="G1735" s="22" t="n"/>
    </row>
    <row r="1736">
      <c r="A1736" s="22" t="inlineStr">
        <is>
          <t>9988</t>
        </is>
      </c>
      <c r="B1736" s="11" t="inlineStr">
        <is>
          <t>Sundries including carriage of quick set polymer etc.</t>
        </is>
      </c>
      <c r="C1736" s="22" t="inlineStr">
        <is>
          <t>L.S.</t>
        </is>
      </c>
      <c r="D1736" s="23" t="n">
        <v>26.91</v>
      </c>
      <c r="E1736" s="24" t="n">
        <v>2</v>
      </c>
      <c r="F1736" s="24">
        <f>D1736*E1736</f>
        <v/>
      </c>
      <c r="G1736" s="22" t="n"/>
    </row>
    <row r="1737">
      <c r="A1737" s="8" t="inlineStr">
        <is>
          <t>Calculated W - SUM of the Amount column above</t>
        </is>
      </c>
      <c r="B1737" s="9" t="n"/>
      <c r="C1737" s="9" t="n"/>
      <c r="D1737" s="9" t="n"/>
      <c r="E1737" s="9" t="n"/>
      <c r="F1737" s="25">
        <f>SUM(F1729:F1736)</f>
        <v/>
      </c>
      <c r="G1737" s="9" t="n"/>
    </row>
    <row r="1738">
      <c r="A1738" s="26" t="inlineStr">
        <is>
          <t>W as printed in the DAR</t>
        </is>
      </c>
      <c r="B1738" s="22" t="n"/>
      <c r="C1738" s="22" t="n"/>
      <c r="D1738" s="22" t="n"/>
      <c r="E1738" s="22" t="n"/>
      <c r="F1738" s="27" t="n">
        <v>1350.44</v>
      </c>
      <c r="G1738" s="22" t="n"/>
    </row>
    <row r="1739">
      <c r="A1739" s="26" t="inlineStr">
        <is>
          <t>Difference (calculated - printed)</t>
        </is>
      </c>
      <c r="B1739" s="22" t="n"/>
      <c r="C1739" s="22" t="n"/>
      <c r="D1739" s="22" t="n"/>
      <c r="E1739" s="22" t="n"/>
      <c r="F1739" s="27">
        <f>F1737-F1738</f>
        <v/>
      </c>
      <c r="G1739" s="22" t="n"/>
    </row>
    <row r="1740">
      <c r="A1740" s="29" t="inlineStr">
        <is>
          <t>SAY (Rs.) - final DAR rate as printed (fixed value, not computed)</t>
        </is>
      </c>
      <c r="B1740" s="30" t="n"/>
      <c r="C1740" s="30" t="n"/>
      <c r="D1740" s="30" t="n"/>
      <c r="E1740" s="30" t="n"/>
      <c r="F1740" s="31" t="n">
        <v>1806.8</v>
      </c>
      <c r="G1740" s="30" t="n"/>
    </row>
    <row r="1742" ht="62" customHeight="1">
      <c r="A1742" s="8" t="inlineStr">
        <is>
          <t>11.46</t>
        </is>
      </c>
      <c r="B1742" s="17"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is>
      </c>
      <c r="C1742" s="9" t="n"/>
      <c r="D1742" s="9" t="n"/>
      <c r="E1742" s="9" t="n"/>
      <c r="F1742" s="9" t="n"/>
      <c r="G1742" s="9" t="n"/>
    </row>
    <row r="1743" ht="18.5" customHeight="1">
      <c r="A1743" s="18" t="inlineStr">
        <is>
          <t>11.46.4</t>
        </is>
      </c>
      <c r="B1743" s="19" t="inlineStr">
        <is>
          <t>Size of Tile 1000x1000 mm</t>
        </is>
      </c>
      <c r="C1743" s="20" t="n"/>
      <c r="D1743" s="20" t="n"/>
      <c r="E1743" s="20" t="n"/>
      <c r="F1743" s="20" t="n"/>
      <c r="G1743" s="20" t="n"/>
    </row>
    <row r="1744">
      <c r="A1744" s="21" t="inlineStr">
        <is>
          <t>Details of cost for 1 sqm   |   Source: CivilDAR_2019_Vol_1.pdf, page 794</t>
        </is>
      </c>
    </row>
    <row r="1745">
      <c r="A1745" s="5" t="inlineStr">
        <is>
          <t>Code</t>
        </is>
      </c>
      <c r="B1745" s="5" t="inlineStr">
        <is>
          <t>Description</t>
        </is>
      </c>
      <c r="C1745" s="5" t="inlineStr">
        <is>
          <t>Unit</t>
        </is>
      </c>
      <c r="D1745" s="5" t="inlineStr">
        <is>
          <t>Quantity</t>
        </is>
      </c>
      <c r="E1745" s="5" t="inlineStr">
        <is>
          <t>Rate (Rs.)</t>
        </is>
      </c>
      <c r="F1745" s="5" t="inlineStr">
        <is>
          <t>Amount (Rs.)</t>
        </is>
      </c>
      <c r="G1745" s="5" t="inlineStr">
        <is>
          <t>Note</t>
        </is>
      </c>
    </row>
    <row r="1746">
      <c r="A1746" s="22" t="inlineStr">
        <is>
          <t>8623</t>
        </is>
      </c>
      <c r="B1746" s="11" t="inlineStr">
        <is>
          <t>Vitrified floor tile 100x100 cm</t>
        </is>
      </c>
      <c r="C1746" s="22" t="inlineStr">
        <is>
          <t>sqm</t>
        </is>
      </c>
      <c r="D1746" s="23" t="n">
        <v>1.025</v>
      </c>
      <c r="E1746" s="24" t="n">
        <v>1390</v>
      </c>
      <c r="F1746" s="24">
        <f>D1746*E1746</f>
        <v/>
      </c>
      <c r="G1746" s="22" t="n"/>
    </row>
    <row r="1747">
      <c r="A1747" s="22" t="inlineStr">
        <is>
          <t>9977</t>
        </is>
      </c>
      <c r="B1747" s="11" t="inlineStr">
        <is>
          <t>Carriage of tiles</t>
        </is>
      </c>
      <c r="C1747" s="22" t="inlineStr">
        <is>
          <t>L.S.</t>
        </is>
      </c>
      <c r="D1747" s="23" t="n">
        <v>6.24</v>
      </c>
      <c r="E1747" s="24" t="n">
        <v>2</v>
      </c>
      <c r="F1747" s="24">
        <f>D1747*E1747</f>
        <v/>
      </c>
      <c r="G1747" s="22" t="n"/>
    </row>
    <row r="1748">
      <c r="A1748" s="7" t="inlineStr">
        <is>
          <t>3.8</t>
        </is>
      </c>
      <c r="B1748" s="11" t="inlineStr">
        <is>
          <t>Rate as per item 3.8 - Cement mortar 1:3 (1 cement : 3 coarse sand)</t>
        </is>
      </c>
      <c r="C1748" s="22" t="inlineStr">
        <is>
          <t>cum</t>
        </is>
      </c>
      <c r="D1748" s="23" t="n">
        <v>0.014</v>
      </c>
      <c r="E1748" s="24" t="n">
        <v>4664.55</v>
      </c>
      <c r="F1748" s="24">
        <f>D1748*E1748</f>
        <v/>
      </c>
      <c r="G1748" s="22" t="n"/>
    </row>
    <row r="1749">
      <c r="A1749" s="22" t="inlineStr">
        <is>
          <t>9999</t>
        </is>
      </c>
      <c r="B1749" s="11" t="inlineStr">
        <is>
          <t>Mortar for pointing in white cement</t>
        </is>
      </c>
      <c r="C1749" s="22" t="inlineStr">
        <is>
          <t>L.S.</t>
        </is>
      </c>
      <c r="D1749" s="23" t="n">
        <v>3.64</v>
      </c>
      <c r="E1749" s="24" t="n">
        <v>2</v>
      </c>
      <c r="F1749" s="24">
        <f>D1749*E1749</f>
        <v/>
      </c>
      <c r="G1749" s="22" t="n"/>
    </row>
    <row r="1750">
      <c r="A1750" s="22" t="inlineStr">
        <is>
          <t>0367</t>
        </is>
      </c>
      <c r="B1750" s="11" t="inlineStr">
        <is>
          <t>Portland Cement</t>
        </is>
      </c>
      <c r="C1750" s="22" t="inlineStr">
        <is>
          <t>tonne</t>
        </is>
      </c>
      <c r="D1750" s="23" t="n">
        <v>0.0033</v>
      </c>
      <c r="E1750" s="24" t="n">
        <v>4940</v>
      </c>
      <c r="F1750" s="24">
        <f>D1750*E1750</f>
        <v/>
      </c>
      <c r="G1750" s="22" t="n"/>
    </row>
    <row r="1751">
      <c r="A1751" s="22" t="inlineStr">
        <is>
          <t>0123</t>
        </is>
      </c>
      <c r="B1751" s="11" t="inlineStr">
        <is>
          <t>Mason (brick layer) 1st class</t>
        </is>
      </c>
      <c r="C1751" s="22" t="inlineStr">
        <is>
          <t>day</t>
        </is>
      </c>
      <c r="D1751" s="23" t="n">
        <v>0.25</v>
      </c>
      <c r="E1751" s="24" t="n">
        <v>738</v>
      </c>
      <c r="F1751" s="24">
        <f>D1751*E1751</f>
        <v/>
      </c>
      <c r="G1751" s="22" t="n"/>
    </row>
    <row r="1752">
      <c r="A1752" s="22" t="inlineStr">
        <is>
          <t>0115</t>
        </is>
      </c>
      <c r="B1752" s="11" t="inlineStr">
        <is>
          <t>Coolie</t>
        </is>
      </c>
      <c r="C1752" s="22" t="inlineStr">
        <is>
          <t>day</t>
        </is>
      </c>
      <c r="D1752" s="23" t="n">
        <v>0.25</v>
      </c>
      <c r="E1752" s="24" t="n">
        <v>558</v>
      </c>
      <c r="F1752" s="24">
        <f>D1752*E1752</f>
        <v/>
      </c>
      <c r="G1752" s="22" t="n"/>
    </row>
    <row r="1753">
      <c r="A1753" s="22" t="inlineStr">
        <is>
          <t>9988</t>
        </is>
      </c>
      <c r="B1753" s="11" t="inlineStr">
        <is>
          <t>Sundries including carriage of quick set polymer etc.</t>
        </is>
      </c>
      <c r="C1753" s="22" t="inlineStr">
        <is>
          <t>L.S.</t>
        </is>
      </c>
      <c r="D1753" s="23" t="n">
        <v>26.91</v>
      </c>
      <c r="E1753" s="24" t="n">
        <v>2</v>
      </c>
      <c r="F1753" s="24">
        <f>D1753*E1753</f>
        <v/>
      </c>
      <c r="G1753" s="22" t="n"/>
    </row>
    <row r="1754">
      <c r="A1754" s="8" t="inlineStr">
        <is>
          <t>Calculated W - SUM of the Amount column above</t>
        </is>
      </c>
      <c r="B1754" s="9" t="n"/>
      <c r="C1754" s="9" t="n"/>
      <c r="D1754" s="9" t="n"/>
      <c r="E1754" s="9" t="n"/>
      <c r="F1754" s="25">
        <f>SUM(F1746:F1753)</f>
        <v/>
      </c>
      <c r="G1754" s="9" t="n"/>
    </row>
    <row r="1755">
      <c r="A1755" s="26" t="inlineStr">
        <is>
          <t>W as printed in the DAR</t>
        </is>
      </c>
      <c r="B1755" s="22" t="n"/>
      <c r="C1755" s="22" t="n"/>
      <c r="D1755" s="22" t="n"/>
      <c r="E1755" s="22" t="n"/>
      <c r="F1755" s="27" t="n">
        <v>1903.94</v>
      </c>
      <c r="G1755" s="22" t="n"/>
    </row>
    <row r="1756">
      <c r="A1756" s="26" t="inlineStr">
        <is>
          <t>Difference (calculated - printed)</t>
        </is>
      </c>
      <c r="B1756" s="22" t="n"/>
      <c r="C1756" s="22" t="n"/>
      <c r="D1756" s="22" t="n"/>
      <c r="E1756" s="22" t="n"/>
      <c r="F1756" s="27">
        <f>F1754-F1755</f>
        <v/>
      </c>
      <c r="G1756" s="22" t="n"/>
    </row>
    <row r="1757">
      <c r="A1757" s="29" t="inlineStr">
        <is>
          <t>SAY (Rs.) - final DAR rate as printed (fixed value, not computed)</t>
        </is>
      </c>
      <c r="B1757" s="30" t="n"/>
      <c r="C1757" s="30" t="n"/>
      <c r="D1757" s="30" t="n"/>
      <c r="E1757" s="30" t="n"/>
      <c r="F1757" s="31" t="n">
        <v>2547.35</v>
      </c>
      <c r="G1757" s="30" t="n"/>
    </row>
    <row r="1759" ht="62" customHeight="1">
      <c r="A1759" s="18" t="inlineStr">
        <is>
          <t>11.46A</t>
        </is>
      </c>
      <c r="B1759" s="19" t="inlineStr">
        <is>
          <t>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 Details for 1sqm (i.e. 13.33m length)</t>
        </is>
      </c>
      <c r="C1759" s="20" t="n"/>
      <c r="D1759" s="20" t="n"/>
      <c r="E1759" s="20" t="n"/>
      <c r="F1759" s="20" t="n"/>
      <c r="G1759" s="20" t="n"/>
    </row>
    <row r="1760">
      <c r="A1760" s="21" t="inlineStr">
        <is>
          <t>Details of cost for 1 sqm   |   Source: CivilDAR_2019_Vol_1.pdf, page 795</t>
        </is>
      </c>
    </row>
    <row r="1761">
      <c r="A1761" s="5" t="inlineStr">
        <is>
          <t>Code</t>
        </is>
      </c>
      <c r="B1761" s="5" t="inlineStr">
        <is>
          <t>Description</t>
        </is>
      </c>
      <c r="C1761" s="5" t="inlineStr">
        <is>
          <t>Unit</t>
        </is>
      </c>
      <c r="D1761" s="5" t="inlineStr">
        <is>
          <t>Quantity</t>
        </is>
      </c>
      <c r="E1761" s="5" t="inlineStr">
        <is>
          <t>Rate (Rs.)</t>
        </is>
      </c>
      <c r="F1761" s="5" t="inlineStr">
        <is>
          <t>Amount (Rs.)</t>
        </is>
      </c>
      <c r="G1761" s="5" t="inlineStr">
        <is>
          <t>Note</t>
        </is>
      </c>
    </row>
    <row r="1762">
      <c r="A1762" s="22" t="inlineStr">
        <is>
          <t>8624</t>
        </is>
      </c>
      <c r="B1762" s="11" t="inlineStr">
        <is>
          <t>Border tiles 200x75mm size 5mm thick</t>
        </is>
      </c>
      <c r="C1762" s="22" t="inlineStr">
        <is>
          <t>each</t>
        </is>
      </c>
      <c r="D1762" s="23" t="n">
        <v>68</v>
      </c>
      <c r="E1762" s="24" t="n">
        <v>16</v>
      </c>
      <c r="F1762" s="24">
        <f>D1762*E1762</f>
        <v/>
      </c>
      <c r="G1762" s="22" t="n"/>
    </row>
    <row r="1763">
      <c r="A1763" s="22" t="inlineStr">
        <is>
          <t>9999</t>
        </is>
      </c>
      <c r="B1763" s="11" t="inlineStr">
        <is>
          <t>Carriage</t>
        </is>
      </c>
      <c r="C1763" s="22" t="inlineStr">
        <is>
          <t>L.S.</t>
        </is>
      </c>
      <c r="D1763" s="23" t="n">
        <v>6.24</v>
      </c>
      <c r="E1763" s="24" t="n">
        <v>2</v>
      </c>
      <c r="F1763" s="24">
        <f>D1763*E1763</f>
        <v/>
      </c>
      <c r="G1763" s="22" t="n"/>
    </row>
    <row r="1764">
      <c r="A1764" s="7" t="inlineStr">
        <is>
          <t>3.8</t>
        </is>
      </c>
      <c r="B1764" s="11" t="inlineStr">
        <is>
          <t>Rate as per item 3.8 - Cement mortar 1:3 (1 cement : 3 coarse sand)</t>
        </is>
      </c>
      <c r="C1764" s="22" t="inlineStr">
        <is>
          <t>cum</t>
        </is>
      </c>
      <c r="D1764" s="23" t="n">
        <v>0.014</v>
      </c>
      <c r="E1764" s="24" t="n">
        <v>4664.55</v>
      </c>
      <c r="F1764" s="24">
        <f>D1764*E1764</f>
        <v/>
      </c>
      <c r="G1764" s="22" t="n"/>
    </row>
    <row r="1765">
      <c r="A1765" s="22" t="inlineStr">
        <is>
          <t>9999</t>
        </is>
      </c>
      <c r="B1765" s="11" t="inlineStr">
        <is>
          <t>Mortar for pointing in white cement</t>
        </is>
      </c>
      <c r="C1765" s="22" t="inlineStr">
        <is>
          <t>L.S.</t>
        </is>
      </c>
      <c r="D1765" s="23" t="n">
        <v>40.43</v>
      </c>
      <c r="E1765" s="24" t="n">
        <v>2</v>
      </c>
      <c r="F1765" s="24">
        <f>D1765*E1765</f>
        <v/>
      </c>
      <c r="G1765" s="22" t="n"/>
    </row>
    <row r="1766">
      <c r="A1766" s="22" t="inlineStr">
        <is>
          <t>0367</t>
        </is>
      </c>
      <c r="B1766" s="11" t="inlineStr">
        <is>
          <t>Cement for slurry over bed@ 3.3kg/sqm</t>
        </is>
      </c>
      <c r="C1766" s="22" t="inlineStr">
        <is>
          <t>tonne</t>
        </is>
      </c>
      <c r="D1766" s="23" t="n">
        <v>0.0033</v>
      </c>
      <c r="E1766" s="24" t="n">
        <v>4940</v>
      </c>
      <c r="F1766" s="24">
        <f>D1766*E1766</f>
        <v/>
      </c>
      <c r="G1766" s="22" t="n"/>
    </row>
    <row r="1767">
      <c r="A1767" s="22" t="inlineStr">
        <is>
          <t>0123</t>
        </is>
      </c>
      <c r="B1767" s="11" t="inlineStr">
        <is>
          <t>Mason 1st class</t>
        </is>
      </c>
      <c r="C1767" s="22" t="inlineStr">
        <is>
          <t>each</t>
        </is>
      </c>
      <c r="D1767" s="23" t="n">
        <v>0.25</v>
      </c>
      <c r="E1767" s="24" t="n">
        <v>738</v>
      </c>
      <c r="F1767" s="24">
        <f>D1767*E1767</f>
        <v/>
      </c>
      <c r="G1767" s="22" t="n"/>
    </row>
    <row r="1768">
      <c r="A1768" s="22" t="inlineStr">
        <is>
          <t>0115</t>
        </is>
      </c>
      <c r="B1768" s="11" t="inlineStr">
        <is>
          <t>Coolie</t>
        </is>
      </c>
      <c r="C1768" s="22" t="inlineStr">
        <is>
          <t>each</t>
        </is>
      </c>
      <c r="D1768" s="23" t="n">
        <v>0.25</v>
      </c>
      <c r="E1768" s="24" t="n">
        <v>558</v>
      </c>
      <c r="F1768" s="24">
        <f>D1768*E1768</f>
        <v/>
      </c>
      <c r="G1768" s="22" t="n"/>
    </row>
    <row r="1769">
      <c r="A1769" s="22" t="inlineStr">
        <is>
          <t>9999</t>
        </is>
      </c>
      <c r="B1769" s="11" t="inlineStr">
        <is>
          <t>Sundries 26.91-0.16=26.75</t>
        </is>
      </c>
      <c r="C1769" s="22" t="inlineStr">
        <is>
          <t>L.S.</t>
        </is>
      </c>
      <c r="D1769" s="23" t="n">
        <v>26.75</v>
      </c>
      <c r="E1769" s="24" t="n">
        <v>2</v>
      </c>
      <c r="F1769" s="24">
        <f>D1769*E1769</f>
        <v/>
      </c>
      <c r="G1769" s="22" t="n"/>
    </row>
    <row r="1770">
      <c r="A1770" s="8" t="inlineStr">
        <is>
          <t>Calculated W - SUM of the Amount column above</t>
        </is>
      </c>
      <c r="B1770" s="9" t="n"/>
      <c r="C1770" s="9" t="n"/>
      <c r="D1770" s="9" t="n"/>
      <c r="E1770" s="9" t="n"/>
      <c r="F1770" s="25">
        <f>SUM(F1762:F1769)</f>
        <v/>
      </c>
      <c r="G1770" s="9" t="n"/>
    </row>
    <row r="1771">
      <c r="A1771" s="26" t="inlineStr">
        <is>
          <t>W as printed in the DAR</t>
        </is>
      </c>
      <c r="B1771" s="22" t="n"/>
      <c r="C1771" s="22" t="n"/>
      <c r="D1771" s="22" t="n"/>
      <c r="E1771" s="22" t="n"/>
      <c r="F1771" s="27" t="n">
        <v>1640.45</v>
      </c>
      <c r="G1771" s="22" t="n"/>
    </row>
    <row r="1772">
      <c r="A1772" s="26" t="inlineStr">
        <is>
          <t>Difference (calculated - printed)</t>
        </is>
      </c>
      <c r="B1772" s="22" t="n"/>
      <c r="C1772" s="22" t="n"/>
      <c r="D1772" s="22" t="n"/>
      <c r="E1772" s="22" t="n"/>
      <c r="F1772" s="27">
        <f>F1770-F1771</f>
        <v/>
      </c>
      <c r="G1772" s="22" t="n"/>
    </row>
    <row r="1773">
      <c r="A1773" s="29" t="inlineStr">
        <is>
          <t>SAY (Rs.) - final DAR rate as printed (fixed value, not computed)</t>
        </is>
      </c>
      <c r="B1773" s="30" t="n"/>
      <c r="C1773" s="30" t="n"/>
      <c r="D1773" s="30" t="n"/>
      <c r="E1773" s="30" t="n"/>
      <c r="F1773" s="31" t="n">
        <v>164.65</v>
      </c>
      <c r="G1773" s="30" t="n"/>
    </row>
    <row r="1775" ht="62" customHeight="1">
      <c r="A1775" s="8" t="inlineStr">
        <is>
          <t>11.47</t>
        </is>
      </c>
      <c r="B1775" s="17"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is>
      </c>
      <c r="C1775" s="9" t="n"/>
      <c r="D1775" s="9" t="n"/>
      <c r="E1775" s="9" t="n"/>
      <c r="F1775" s="9" t="n"/>
      <c r="G1775" s="9" t="n"/>
    </row>
    <row r="1776" ht="18.5" customHeight="1">
      <c r="A1776" s="18" t="inlineStr">
        <is>
          <t>11.47.1</t>
        </is>
      </c>
      <c r="B1776" s="19" t="inlineStr">
        <is>
          <t>Size of Tile 500x500 mm</t>
        </is>
      </c>
      <c r="C1776" s="20" t="n"/>
      <c r="D1776" s="20" t="n"/>
      <c r="E1776" s="20" t="n"/>
      <c r="F1776" s="20" t="n"/>
      <c r="G1776" s="20" t="n"/>
    </row>
    <row r="1777">
      <c r="A1777" s="21" t="inlineStr">
        <is>
          <t>Details of cost for 1 sqm   |   Source: CivilDAR_2019_Vol_1.pdf, page 795</t>
        </is>
      </c>
    </row>
    <row r="1778">
      <c r="A1778" s="5" t="inlineStr">
        <is>
          <t>Code</t>
        </is>
      </c>
      <c r="B1778" s="5" t="inlineStr">
        <is>
          <t>Description</t>
        </is>
      </c>
      <c r="C1778" s="5" t="inlineStr">
        <is>
          <t>Unit</t>
        </is>
      </c>
      <c r="D1778" s="5" t="inlineStr">
        <is>
          <t>Quantity</t>
        </is>
      </c>
      <c r="E1778" s="5" t="inlineStr">
        <is>
          <t>Rate (Rs.)</t>
        </is>
      </c>
      <c r="F1778" s="5" t="inlineStr">
        <is>
          <t>Amount (Rs.)</t>
        </is>
      </c>
      <c r="G1778" s="5" t="inlineStr">
        <is>
          <t>Note</t>
        </is>
      </c>
    </row>
    <row r="1779">
      <c r="A1779" s="22" t="inlineStr">
        <is>
          <t>8620</t>
        </is>
      </c>
      <c r="B1779" s="11" t="inlineStr">
        <is>
          <t>Vitrified floor tile 50x50 cm</t>
        </is>
      </c>
      <c r="C1779" s="22" t="inlineStr">
        <is>
          <t>sqm</t>
        </is>
      </c>
      <c r="D1779" s="23" t="n">
        <v>1.025</v>
      </c>
      <c r="E1779" s="24" t="n">
        <v>490</v>
      </c>
      <c r="F1779" s="24">
        <f>D1779*E1779</f>
        <v/>
      </c>
      <c r="G1779" s="22" t="n"/>
    </row>
    <row r="1780">
      <c r="A1780" s="22" t="inlineStr">
        <is>
          <t>9977</t>
        </is>
      </c>
      <c r="B1780" s="11" t="inlineStr">
        <is>
          <t>Carriage of tiles</t>
        </is>
      </c>
      <c r="C1780" s="22" t="inlineStr">
        <is>
          <t>L.S.</t>
        </is>
      </c>
      <c r="D1780" s="23" t="n">
        <v>6.24</v>
      </c>
      <c r="E1780" s="24" t="n">
        <v>2</v>
      </c>
      <c r="F1780" s="24">
        <f>D1780*E1780</f>
        <v/>
      </c>
      <c r="G1780" s="22" t="n"/>
    </row>
    <row r="1781">
      <c r="A1781" s="22" t="inlineStr">
        <is>
          <t>8731</t>
        </is>
      </c>
      <c r="B1781" s="11" t="inlineStr">
        <is>
          <t>High polymer modified quickset tile adhesive. per</t>
        </is>
      </c>
      <c r="C1781" s="22" t="inlineStr">
        <is>
          <t>kg</t>
        </is>
      </c>
      <c r="D1781" s="23" t="n">
        <v>10</v>
      </c>
      <c r="E1781" s="24" t="n">
        <v>9</v>
      </c>
      <c r="F1781" s="24">
        <f>D1781*E1781</f>
        <v/>
      </c>
      <c r="G1781" s="22" t="n"/>
    </row>
    <row r="1782">
      <c r="A1782" s="22" t="inlineStr">
        <is>
          <t>0123</t>
        </is>
      </c>
      <c r="B1782" s="11" t="inlineStr">
        <is>
          <t>Mason (brick layer) 1st class</t>
        </is>
      </c>
      <c r="C1782" s="22" t="inlineStr">
        <is>
          <t>day</t>
        </is>
      </c>
      <c r="D1782" s="23" t="n">
        <v>0.25</v>
      </c>
      <c r="E1782" s="24" t="n">
        <v>738</v>
      </c>
      <c r="F1782" s="24">
        <f>D1782*E1782</f>
        <v/>
      </c>
      <c r="G1782" s="22" t="n"/>
    </row>
    <row r="1783">
      <c r="A1783" s="22" t="inlineStr">
        <is>
          <t>0115</t>
        </is>
      </c>
      <c r="B1783" s="11" t="inlineStr">
        <is>
          <t>Coolie</t>
        </is>
      </c>
      <c r="C1783" s="22" t="inlineStr">
        <is>
          <t>day</t>
        </is>
      </c>
      <c r="D1783" s="23" t="n">
        <v>0.5</v>
      </c>
      <c r="E1783" s="24" t="n">
        <v>558</v>
      </c>
      <c r="F1783" s="24">
        <f>D1783*E1783</f>
        <v/>
      </c>
      <c r="G1783" s="22" t="n"/>
    </row>
    <row r="1784">
      <c r="A1784" s="22" t="inlineStr">
        <is>
          <t>9988</t>
        </is>
      </c>
      <c r="B1784" s="11" t="inlineStr">
        <is>
          <t>Sundries including carriage of quick set polymer etc.</t>
        </is>
      </c>
      <c r="C1784" s="22" t="inlineStr">
        <is>
          <t>L.S.</t>
        </is>
      </c>
      <c r="D1784" s="23" t="n">
        <v>26.91</v>
      </c>
      <c r="E1784" s="24" t="n">
        <v>2</v>
      </c>
      <c r="F1784" s="24">
        <f>D1784*E1784</f>
        <v/>
      </c>
      <c r="G1784" s="22" t="n"/>
    </row>
    <row r="1785">
      <c r="A1785" s="8" t="inlineStr">
        <is>
          <t>Calculated W - SUM of the Amount column above</t>
        </is>
      </c>
      <c r="B1785" s="9" t="n"/>
      <c r="C1785" s="9" t="n"/>
      <c r="D1785" s="9" t="n"/>
      <c r="E1785" s="9" t="n"/>
      <c r="F1785" s="25">
        <f>SUM(F1779:F1784)</f>
        <v/>
      </c>
      <c r="G1785" s="9" t="n"/>
    </row>
    <row r="1786">
      <c r="A1786" s="26" t="inlineStr">
        <is>
          <t>W as printed in the DAR</t>
        </is>
      </c>
      <c r="B1786" s="22" t="n"/>
      <c r="C1786" s="22" t="n"/>
      <c r="D1786" s="22" t="n"/>
      <c r="E1786" s="22" t="n"/>
      <c r="F1786" s="27" t="n">
        <v>1122.05</v>
      </c>
      <c r="G1786" s="22" t="n"/>
    </row>
    <row r="1787">
      <c r="A1787" s="26" t="inlineStr">
        <is>
          <t>Difference (calculated - printed)</t>
        </is>
      </c>
      <c r="B1787" s="22" t="n"/>
      <c r="C1787" s="22" t="n"/>
      <c r="D1787" s="22" t="n"/>
      <c r="E1787" s="22" t="n"/>
      <c r="F1787" s="27">
        <f>F1785-F1786</f>
        <v/>
      </c>
      <c r="G1787" s="22" t="n"/>
    </row>
    <row r="1788">
      <c r="A1788" s="29" t="inlineStr">
        <is>
          <t>SAY (Rs.) - final DAR rate as printed (fixed value, not computed)</t>
        </is>
      </c>
      <c r="B1788" s="30" t="n"/>
      <c r="C1788" s="30" t="n"/>
      <c r="D1788" s="30" t="n"/>
      <c r="E1788" s="30" t="n"/>
      <c r="F1788" s="31" t="n">
        <v>1501.25</v>
      </c>
      <c r="G1788" s="30" t="n"/>
    </row>
    <row r="1790" ht="62" customHeight="1">
      <c r="A1790" s="8" t="inlineStr">
        <is>
          <t>11.47</t>
        </is>
      </c>
      <c r="B1790" s="17"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is>
      </c>
      <c r="C1790" s="9" t="n"/>
      <c r="D1790" s="9" t="n"/>
      <c r="E1790" s="9" t="n"/>
      <c r="F1790" s="9" t="n"/>
      <c r="G1790" s="9" t="n"/>
    </row>
    <row r="1791" ht="18.5" customHeight="1">
      <c r="A1791" s="18" t="inlineStr">
        <is>
          <t>11.47.2</t>
        </is>
      </c>
      <c r="B1791" s="19" t="inlineStr">
        <is>
          <t>Size of Tile 600x600 mm</t>
        </is>
      </c>
      <c r="C1791" s="20" t="n"/>
      <c r="D1791" s="20" t="n"/>
      <c r="E1791" s="20" t="n"/>
      <c r="F1791" s="20" t="n"/>
      <c r="G1791" s="20" t="n"/>
    </row>
    <row r="1792">
      <c r="A1792" s="21" t="inlineStr">
        <is>
          <t>Details of cost for 1 sqm   |   Source: CivilDAR_2019_Vol_1.pdf, page 796</t>
        </is>
      </c>
    </row>
    <row r="1793">
      <c r="A1793" s="5" t="inlineStr">
        <is>
          <t>Code</t>
        </is>
      </c>
      <c r="B1793" s="5" t="inlineStr">
        <is>
          <t>Description</t>
        </is>
      </c>
      <c r="C1793" s="5" t="inlineStr">
        <is>
          <t>Unit</t>
        </is>
      </c>
      <c r="D1793" s="5" t="inlineStr">
        <is>
          <t>Quantity</t>
        </is>
      </c>
      <c r="E1793" s="5" t="inlineStr">
        <is>
          <t>Rate (Rs.)</t>
        </is>
      </c>
      <c r="F1793" s="5" t="inlineStr">
        <is>
          <t>Amount (Rs.)</t>
        </is>
      </c>
      <c r="G1793" s="5" t="inlineStr">
        <is>
          <t>Note</t>
        </is>
      </c>
    </row>
    <row r="1794">
      <c r="A1794" s="22" t="inlineStr">
        <is>
          <t>8621</t>
        </is>
      </c>
      <c r="B1794" s="11" t="inlineStr">
        <is>
          <t>Vitrified floor tile 60x60 cm</t>
        </is>
      </c>
      <c r="C1794" s="22" t="inlineStr">
        <is>
          <t>sqm</t>
        </is>
      </c>
      <c r="D1794" s="23" t="n">
        <v>1.025</v>
      </c>
      <c r="E1794" s="24" t="n">
        <v>659.72</v>
      </c>
      <c r="F1794" s="24">
        <f>D1794*E1794</f>
        <v/>
      </c>
      <c r="G1794" s="22" t="n"/>
    </row>
    <row r="1795">
      <c r="A1795" s="22" t="inlineStr">
        <is>
          <t>9977</t>
        </is>
      </c>
      <c r="B1795" s="11" t="inlineStr">
        <is>
          <t>Carriage of tiles</t>
        </is>
      </c>
      <c r="C1795" s="22" t="inlineStr">
        <is>
          <t>L.S.</t>
        </is>
      </c>
      <c r="D1795" s="23" t="n">
        <v>6.24</v>
      </c>
      <c r="E1795" s="24" t="n">
        <v>2</v>
      </c>
      <c r="F1795" s="24">
        <f>D1795*E1795</f>
        <v/>
      </c>
      <c r="G1795" s="22" t="n"/>
    </row>
    <row r="1796">
      <c r="A1796" s="22" t="inlineStr">
        <is>
          <t>8731</t>
        </is>
      </c>
      <c r="B1796" s="11" t="inlineStr">
        <is>
          <t>High polymer modified quickset tile adhesive. per</t>
        </is>
      </c>
      <c r="C1796" s="22" t="inlineStr">
        <is>
          <t>kg</t>
        </is>
      </c>
      <c r="D1796" s="23" t="n">
        <v>10</v>
      </c>
      <c r="E1796" s="24" t="n">
        <v>9</v>
      </c>
      <c r="F1796" s="24">
        <f>D1796*E1796</f>
        <v/>
      </c>
      <c r="G1796" s="22" t="n"/>
    </row>
    <row r="1797">
      <c r="A1797" s="22" t="inlineStr">
        <is>
          <t>0123</t>
        </is>
      </c>
      <c r="B1797" s="11" t="inlineStr">
        <is>
          <t>Mason (brick layer) 1st class</t>
        </is>
      </c>
      <c r="C1797" s="22" t="inlineStr">
        <is>
          <t>day</t>
        </is>
      </c>
      <c r="D1797" s="23" t="n">
        <v>0.25</v>
      </c>
      <c r="E1797" s="24" t="n">
        <v>738</v>
      </c>
      <c r="F1797" s="24">
        <f>D1797*E1797</f>
        <v/>
      </c>
      <c r="G1797" s="22" t="n"/>
    </row>
    <row r="1798">
      <c r="A1798" s="22" t="inlineStr">
        <is>
          <t>0115</t>
        </is>
      </c>
      <c r="B1798" s="11" t="inlineStr">
        <is>
          <t>Coolie</t>
        </is>
      </c>
      <c r="C1798" s="22" t="inlineStr">
        <is>
          <t>day</t>
        </is>
      </c>
      <c r="D1798" s="23" t="n">
        <v>0.5</v>
      </c>
      <c r="E1798" s="24" t="n">
        <v>558</v>
      </c>
      <c r="F1798" s="24">
        <f>D1798*E1798</f>
        <v/>
      </c>
      <c r="G1798" s="22" t="n"/>
    </row>
    <row r="1799">
      <c r="A1799" s="22" t="inlineStr">
        <is>
          <t>9988</t>
        </is>
      </c>
      <c r="B1799" s="11" t="inlineStr">
        <is>
          <t>Sundries including carriage of quick set polymer etc.</t>
        </is>
      </c>
      <c r="C1799" s="22" t="inlineStr">
        <is>
          <t>L.S.</t>
        </is>
      </c>
      <c r="D1799" s="23" t="n">
        <v>26.91</v>
      </c>
      <c r="E1799" s="24" t="n">
        <v>2</v>
      </c>
      <c r="F1799" s="24">
        <f>D1799*E1799</f>
        <v/>
      </c>
      <c r="G1799" s="22" t="n"/>
    </row>
    <row r="1800">
      <c r="A1800" s="8" t="inlineStr">
        <is>
          <t>Calculated W - SUM of the Amount column above</t>
        </is>
      </c>
      <c r="B1800" s="9" t="n"/>
      <c r="C1800" s="9" t="n"/>
      <c r="D1800" s="9" t="n"/>
      <c r="E1800" s="9" t="n"/>
      <c r="F1800" s="25">
        <f>SUM(F1794:F1799)</f>
        <v/>
      </c>
      <c r="G1800" s="9" t="n"/>
    </row>
    <row r="1801">
      <c r="A1801" s="26" t="inlineStr">
        <is>
          <t>W as printed in the DAR</t>
        </is>
      </c>
      <c r="B1801" s="22" t="n"/>
      <c r="C1801" s="22" t="n"/>
      <c r="D1801" s="22" t="n"/>
      <c r="E1801" s="22" t="n"/>
      <c r="F1801" s="27" t="n">
        <v>1296.01</v>
      </c>
      <c r="G1801" s="22" t="n"/>
    </row>
    <row r="1802">
      <c r="A1802" s="26" t="inlineStr">
        <is>
          <t>Difference (calculated - printed)</t>
        </is>
      </c>
      <c r="B1802" s="22" t="n"/>
      <c r="C1802" s="22" t="n"/>
      <c r="D1802" s="22" t="n"/>
      <c r="E1802" s="22" t="n"/>
      <c r="F1802" s="27">
        <f>F1800-F1801</f>
        <v/>
      </c>
      <c r="G1802" s="22" t="n"/>
    </row>
    <row r="1803">
      <c r="A1803" s="29" t="inlineStr">
        <is>
          <t>SAY (Rs.) - final DAR rate as printed (fixed value, not computed)</t>
        </is>
      </c>
      <c r="B1803" s="30" t="n"/>
      <c r="C1803" s="30" t="n"/>
      <c r="D1803" s="30" t="n"/>
      <c r="E1803" s="30" t="n"/>
      <c r="F1803" s="31" t="n">
        <v>1734</v>
      </c>
      <c r="G1803" s="30" t="n"/>
    </row>
    <row r="1805" ht="62" customHeight="1">
      <c r="A1805" s="8" t="inlineStr">
        <is>
          <t>11.47</t>
        </is>
      </c>
      <c r="B1805" s="17"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is>
      </c>
      <c r="C1805" s="9" t="n"/>
      <c r="D1805" s="9" t="n"/>
      <c r="E1805" s="9" t="n"/>
      <c r="F1805" s="9" t="n"/>
      <c r="G1805" s="9" t="n"/>
    </row>
    <row r="1806" ht="18.5" customHeight="1">
      <c r="A1806" s="18" t="inlineStr">
        <is>
          <t>11.47.3</t>
        </is>
      </c>
      <c r="B1806" s="19" t="inlineStr">
        <is>
          <t>Size of Tile 800x800 mm</t>
        </is>
      </c>
      <c r="C1806" s="20" t="n"/>
      <c r="D1806" s="20" t="n"/>
      <c r="E1806" s="20" t="n"/>
      <c r="F1806" s="20" t="n"/>
      <c r="G1806" s="20" t="n"/>
    </row>
    <row r="1807">
      <c r="A1807" s="21" t="inlineStr">
        <is>
          <t>Details of cost for 1 sqm   |   Source: CivilDAR_2019_Vol_1.pdf, page 797</t>
        </is>
      </c>
    </row>
    <row r="1808">
      <c r="A1808" s="5" t="inlineStr">
        <is>
          <t>Code</t>
        </is>
      </c>
      <c r="B1808" s="5" t="inlineStr">
        <is>
          <t>Description</t>
        </is>
      </c>
      <c r="C1808" s="5" t="inlineStr">
        <is>
          <t>Unit</t>
        </is>
      </c>
      <c r="D1808" s="5" t="inlineStr">
        <is>
          <t>Quantity</t>
        </is>
      </c>
      <c r="E1808" s="5" t="inlineStr">
        <is>
          <t>Rate (Rs.)</t>
        </is>
      </c>
      <c r="F1808" s="5" t="inlineStr">
        <is>
          <t>Amount (Rs.)</t>
        </is>
      </c>
      <c r="G1808" s="5" t="inlineStr">
        <is>
          <t>Note</t>
        </is>
      </c>
    </row>
    <row r="1809">
      <c r="A1809" s="22" t="inlineStr">
        <is>
          <t>8622</t>
        </is>
      </c>
      <c r="B1809" s="11" t="inlineStr">
        <is>
          <t>Vitrified floor tile 80x80 cm</t>
        </is>
      </c>
      <c r="C1809" s="22" t="inlineStr">
        <is>
          <t>sqm</t>
        </is>
      </c>
      <c r="D1809" s="23" t="n">
        <v>1.025</v>
      </c>
      <c r="E1809" s="24" t="n">
        <v>850</v>
      </c>
      <c r="F1809" s="24">
        <f>D1809*E1809</f>
        <v/>
      </c>
      <c r="G1809" s="22" t="n"/>
    </row>
    <row r="1810">
      <c r="A1810" s="22" t="inlineStr">
        <is>
          <t>9977</t>
        </is>
      </c>
      <c r="B1810" s="11" t="inlineStr">
        <is>
          <t>Carriage of tiles</t>
        </is>
      </c>
      <c r="C1810" s="22" t="inlineStr">
        <is>
          <t>L.S.</t>
        </is>
      </c>
      <c r="D1810" s="23" t="n">
        <v>6.24</v>
      </c>
      <c r="E1810" s="24" t="n">
        <v>2</v>
      </c>
      <c r="F1810" s="24">
        <f>D1810*E1810</f>
        <v/>
      </c>
      <c r="G1810" s="22" t="n"/>
    </row>
    <row r="1811">
      <c r="A1811" s="22" t="inlineStr">
        <is>
          <t>8731</t>
        </is>
      </c>
      <c r="B1811" s="11" t="inlineStr">
        <is>
          <t>High polymer modified quickset tile adhesive. per</t>
        </is>
      </c>
      <c r="C1811" s="22" t="inlineStr">
        <is>
          <t>kg</t>
        </is>
      </c>
      <c r="D1811" s="23" t="n">
        <v>10</v>
      </c>
      <c r="E1811" s="24" t="n">
        <v>9</v>
      </c>
      <c r="F1811" s="24">
        <f>D1811*E1811</f>
        <v/>
      </c>
      <c r="G1811" s="22" t="n"/>
    </row>
    <row r="1812">
      <c r="A1812" s="22" t="inlineStr">
        <is>
          <t>0123</t>
        </is>
      </c>
      <c r="B1812" s="11" t="inlineStr">
        <is>
          <t>Mason (brick layer) 1st class</t>
        </is>
      </c>
      <c r="C1812" s="22" t="inlineStr">
        <is>
          <t>day</t>
        </is>
      </c>
      <c r="D1812" s="23" t="n">
        <v>0.25</v>
      </c>
      <c r="E1812" s="24" t="n">
        <v>738</v>
      </c>
      <c r="F1812" s="24">
        <f>D1812*E1812</f>
        <v/>
      </c>
      <c r="G1812" s="22" t="n"/>
    </row>
    <row r="1813">
      <c r="A1813" s="22" t="inlineStr">
        <is>
          <t>0115</t>
        </is>
      </c>
      <c r="B1813" s="11" t="inlineStr">
        <is>
          <t>Coolie</t>
        </is>
      </c>
      <c r="C1813" s="22" t="inlineStr">
        <is>
          <t>day</t>
        </is>
      </c>
      <c r="D1813" s="23" t="n">
        <v>0.5</v>
      </c>
      <c r="E1813" s="24" t="n">
        <v>558</v>
      </c>
      <c r="F1813" s="24">
        <f>D1813*E1813</f>
        <v/>
      </c>
      <c r="G1813" s="22" t="n"/>
    </row>
    <row r="1814">
      <c r="A1814" s="22" t="inlineStr">
        <is>
          <t>9988</t>
        </is>
      </c>
      <c r="B1814" s="11" t="inlineStr">
        <is>
          <t>Sundries including carriage of quick set polymer etc.</t>
        </is>
      </c>
      <c r="C1814" s="22" t="inlineStr">
        <is>
          <t>L.S.</t>
        </is>
      </c>
      <c r="D1814" s="23" t="n">
        <v>26.91</v>
      </c>
      <c r="E1814" s="24" t="n">
        <v>2</v>
      </c>
      <c r="F1814" s="24">
        <f>D1814*E1814</f>
        <v/>
      </c>
      <c r="G1814" s="22" t="n"/>
    </row>
    <row r="1815">
      <c r="A1815" s="8" t="inlineStr">
        <is>
          <t>Calculated W - SUM of the Amount column above</t>
        </is>
      </c>
      <c r="B1815" s="9" t="n"/>
      <c r="C1815" s="9" t="n"/>
      <c r="D1815" s="9" t="n"/>
      <c r="E1815" s="9" t="n"/>
      <c r="F1815" s="25">
        <f>SUM(F1809:F1814)</f>
        <v/>
      </c>
      <c r="G1815" s="9" t="n"/>
    </row>
    <row r="1816">
      <c r="A1816" s="26" t="inlineStr">
        <is>
          <t>W as printed in the DAR</t>
        </is>
      </c>
      <c r="B1816" s="22" t="n"/>
      <c r="C1816" s="22" t="n"/>
      <c r="D1816" s="22" t="n"/>
      <c r="E1816" s="22" t="n"/>
      <c r="F1816" s="27" t="n">
        <v>1491.05</v>
      </c>
      <c r="G1816" s="22" t="n"/>
    </row>
    <row r="1817">
      <c r="A1817" s="26" t="inlineStr">
        <is>
          <t>Difference (calculated - printed)</t>
        </is>
      </c>
      <c r="B1817" s="22" t="n"/>
      <c r="C1817" s="22" t="n"/>
      <c r="D1817" s="22" t="n"/>
      <c r="E1817" s="22" t="n"/>
      <c r="F1817" s="27">
        <f>F1815-F1816</f>
        <v/>
      </c>
      <c r="G1817" s="22" t="n"/>
    </row>
    <row r="1818">
      <c r="A1818" s="29" t="inlineStr">
        <is>
          <t>SAY (Rs.) - final DAR rate as printed (fixed value, not computed)</t>
        </is>
      </c>
      <c r="B1818" s="30" t="n"/>
      <c r="C1818" s="30" t="n"/>
      <c r="D1818" s="30" t="n"/>
      <c r="E1818" s="30" t="n"/>
      <c r="F1818" s="31" t="n">
        <v>1994.95</v>
      </c>
      <c r="G1818" s="30" t="n"/>
    </row>
    <row r="1820" ht="62" customHeight="1">
      <c r="A1820" s="8" t="inlineStr">
        <is>
          <t>11.47</t>
        </is>
      </c>
      <c r="B1820" s="17"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is>
      </c>
      <c r="C1820" s="9" t="n"/>
      <c r="D1820" s="9" t="n"/>
      <c r="E1820" s="9" t="n"/>
      <c r="F1820" s="9" t="n"/>
      <c r="G1820" s="9" t="n"/>
    </row>
    <row r="1821" ht="18.5" customHeight="1">
      <c r="A1821" s="18" t="inlineStr">
        <is>
          <t>11.47.4</t>
        </is>
      </c>
      <c r="B1821" s="19" t="inlineStr">
        <is>
          <t>Size of Tile 1000x1000 mm</t>
        </is>
      </c>
      <c r="C1821" s="20" t="n"/>
      <c r="D1821" s="20" t="n"/>
      <c r="E1821" s="20" t="n"/>
      <c r="F1821" s="20" t="n"/>
      <c r="G1821" s="20" t="n"/>
    </row>
    <row r="1822">
      <c r="A1822" s="21" t="inlineStr">
        <is>
          <t>Details of cost for 1 sqm   |   Source: CivilDAR_2019_Vol_1.pdf, page 797</t>
        </is>
      </c>
    </row>
    <row r="1823">
      <c r="A1823" s="5" t="inlineStr">
        <is>
          <t>Code</t>
        </is>
      </c>
      <c r="B1823" s="5" t="inlineStr">
        <is>
          <t>Description</t>
        </is>
      </c>
      <c r="C1823" s="5" t="inlineStr">
        <is>
          <t>Unit</t>
        </is>
      </c>
      <c r="D1823" s="5" t="inlineStr">
        <is>
          <t>Quantity</t>
        </is>
      </c>
      <c r="E1823" s="5" t="inlineStr">
        <is>
          <t>Rate (Rs.)</t>
        </is>
      </c>
      <c r="F1823" s="5" t="inlineStr">
        <is>
          <t>Amount (Rs.)</t>
        </is>
      </c>
      <c r="G1823" s="5" t="inlineStr">
        <is>
          <t>Note</t>
        </is>
      </c>
    </row>
    <row r="1824">
      <c r="A1824" s="22" t="inlineStr">
        <is>
          <t>8623</t>
        </is>
      </c>
      <c r="B1824" s="11" t="inlineStr">
        <is>
          <t>Vitrified floor tile 100x100 cm</t>
        </is>
      </c>
      <c r="C1824" s="22" t="inlineStr">
        <is>
          <t>sqm</t>
        </is>
      </c>
      <c r="D1824" s="23" t="n">
        <v>1.025</v>
      </c>
      <c r="E1824" s="24" t="n">
        <v>1390</v>
      </c>
      <c r="F1824" s="24">
        <f>D1824*E1824</f>
        <v/>
      </c>
      <c r="G1824" s="22" t="n"/>
    </row>
    <row r="1825">
      <c r="A1825" s="22" t="inlineStr">
        <is>
          <t>9977</t>
        </is>
      </c>
      <c r="B1825" s="11" t="inlineStr">
        <is>
          <t>Carriage of tiles</t>
        </is>
      </c>
      <c r="C1825" s="22" t="inlineStr">
        <is>
          <t>L.S.</t>
        </is>
      </c>
      <c r="D1825" s="23" t="n">
        <v>6.24</v>
      </c>
      <c r="E1825" s="24" t="n">
        <v>2</v>
      </c>
      <c r="F1825" s="24">
        <f>D1825*E1825</f>
        <v/>
      </c>
      <c r="G1825" s="22" t="n"/>
    </row>
    <row r="1826">
      <c r="A1826" s="22" t="inlineStr">
        <is>
          <t>8731</t>
        </is>
      </c>
      <c r="B1826" s="11" t="inlineStr">
        <is>
          <t>High polymer modified quickset tile adhesive. per</t>
        </is>
      </c>
      <c r="C1826" s="22" t="inlineStr">
        <is>
          <t>kg</t>
        </is>
      </c>
      <c r="D1826" s="23" t="n">
        <v>10</v>
      </c>
      <c r="E1826" s="24" t="n">
        <v>9</v>
      </c>
      <c r="F1826" s="24">
        <f>D1826*E1826</f>
        <v/>
      </c>
      <c r="G1826" s="22" t="n"/>
    </row>
    <row r="1827">
      <c r="A1827" s="22" t="inlineStr">
        <is>
          <t>0123</t>
        </is>
      </c>
      <c r="B1827" s="11" t="inlineStr">
        <is>
          <t>Mason (brick layer) 1st class</t>
        </is>
      </c>
      <c r="C1827" s="22" t="inlineStr">
        <is>
          <t>day</t>
        </is>
      </c>
      <c r="D1827" s="23" t="n">
        <v>0.25</v>
      </c>
      <c r="E1827" s="24" t="n">
        <v>738</v>
      </c>
      <c r="F1827" s="24">
        <f>D1827*E1827</f>
        <v/>
      </c>
      <c r="G1827" s="22" t="n"/>
    </row>
    <row r="1828">
      <c r="A1828" s="22" t="inlineStr">
        <is>
          <t>0115</t>
        </is>
      </c>
      <c r="B1828" s="11" t="inlineStr">
        <is>
          <t>Coolie</t>
        </is>
      </c>
      <c r="C1828" s="22" t="inlineStr">
        <is>
          <t>day</t>
        </is>
      </c>
      <c r="D1828" s="23" t="n">
        <v>0.5</v>
      </c>
      <c r="E1828" s="24" t="n">
        <v>558</v>
      </c>
      <c r="F1828" s="24">
        <f>D1828*E1828</f>
        <v/>
      </c>
      <c r="G1828" s="22" t="n"/>
    </row>
    <row r="1829">
      <c r="A1829" s="22" t="inlineStr">
        <is>
          <t>9988</t>
        </is>
      </c>
      <c r="B1829" s="11" t="inlineStr">
        <is>
          <t>Sundries including carriage of quick set polymer etc.</t>
        </is>
      </c>
      <c r="C1829" s="22" t="inlineStr">
        <is>
          <t>L.S.</t>
        </is>
      </c>
      <c r="D1829" s="23" t="n">
        <v>26.91</v>
      </c>
      <c r="E1829" s="24" t="n">
        <v>2</v>
      </c>
      <c r="F1829" s="24">
        <f>D1829*E1829</f>
        <v/>
      </c>
      <c r="G1829" s="22" t="n"/>
    </row>
    <row r="1830">
      <c r="A1830" s="8" t="inlineStr">
        <is>
          <t>Calculated W - SUM of the Amount column above</t>
        </is>
      </c>
      <c r="B1830" s="9" t="n"/>
      <c r="C1830" s="9" t="n"/>
      <c r="D1830" s="9" t="n"/>
      <c r="E1830" s="9" t="n"/>
      <c r="F1830" s="25">
        <f>SUM(F1824:F1829)</f>
        <v/>
      </c>
      <c r="G1830" s="9" t="n"/>
    </row>
    <row r="1831">
      <c r="A1831" s="26" t="inlineStr">
        <is>
          <t>W as printed in the DAR</t>
        </is>
      </c>
      <c r="B1831" s="22" t="n"/>
      <c r="C1831" s="22" t="n"/>
      <c r="D1831" s="22" t="n"/>
      <c r="E1831" s="22" t="n"/>
      <c r="F1831" s="27" t="n">
        <v>2044.55</v>
      </c>
      <c r="G1831" s="22" t="n"/>
    </row>
    <row r="1832">
      <c r="A1832" s="26" t="inlineStr">
        <is>
          <t>Difference (calculated - printed)</t>
        </is>
      </c>
      <c r="B1832" s="22" t="n"/>
      <c r="C1832" s="22" t="n"/>
      <c r="D1832" s="22" t="n"/>
      <c r="E1832" s="22" t="n"/>
      <c r="F1832" s="27">
        <f>F1830-F1831</f>
        <v/>
      </c>
      <c r="G1832" s="22" t="n"/>
    </row>
    <row r="1833">
      <c r="A1833" s="29" t="inlineStr">
        <is>
          <t>SAY (Rs.) - final DAR rate as printed (fixed value, not computed)</t>
        </is>
      </c>
      <c r="B1833" s="30" t="n"/>
      <c r="C1833" s="30" t="n"/>
      <c r="D1833" s="30" t="n"/>
      <c r="E1833" s="30" t="n"/>
      <c r="F1833" s="31" t="n">
        <v>2735.5</v>
      </c>
      <c r="G1833" s="30" t="n"/>
    </row>
    <row r="1835" ht="47.5" customHeight="1">
      <c r="A1835" s="8" t="inlineStr">
        <is>
          <t>11.48</t>
        </is>
      </c>
      <c r="B1835" s="17"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t>
        </is>
      </c>
      <c r="C1835" s="9" t="n"/>
      <c r="D1835" s="9" t="n"/>
      <c r="E1835" s="9" t="n"/>
      <c r="F1835" s="9" t="n"/>
      <c r="G1835" s="9" t="n"/>
    </row>
    <row r="1836" ht="18.5" customHeight="1">
      <c r="A1836" s="18" t="inlineStr">
        <is>
          <t>11.48.1</t>
        </is>
      </c>
      <c r="B1836" s="19" t="inlineStr">
        <is>
          <t>Size of Tile 500x500 mm</t>
        </is>
      </c>
      <c r="C1836" s="20" t="n"/>
      <c r="D1836" s="20" t="n"/>
      <c r="E1836" s="20" t="n"/>
      <c r="F1836" s="20" t="n"/>
      <c r="G1836" s="20" t="n"/>
    </row>
    <row r="1837">
      <c r="A1837" s="21" t="inlineStr">
        <is>
          <t>Details of cost for 1 sqm   |   Source: CivilDAR_2019_Vol_1.pdf, page 798</t>
        </is>
      </c>
    </row>
    <row r="1838">
      <c r="A1838" s="5" t="inlineStr">
        <is>
          <t>Code</t>
        </is>
      </c>
      <c r="B1838" s="5" t="inlineStr">
        <is>
          <t>Description</t>
        </is>
      </c>
      <c r="C1838" s="5" t="inlineStr">
        <is>
          <t>Unit</t>
        </is>
      </c>
      <c r="D1838" s="5" t="inlineStr">
        <is>
          <t>Quantity</t>
        </is>
      </c>
      <c r="E1838" s="5" t="inlineStr">
        <is>
          <t>Rate (Rs.)</t>
        </is>
      </c>
      <c r="F1838" s="5" t="inlineStr">
        <is>
          <t>Amount (Rs.)</t>
        </is>
      </c>
      <c r="G1838" s="5" t="inlineStr">
        <is>
          <t>Note</t>
        </is>
      </c>
    </row>
    <row r="1839">
      <c r="A1839" s="22" t="inlineStr">
        <is>
          <t>8682</t>
        </is>
      </c>
      <c r="B1839" s="11" t="inlineStr">
        <is>
          <t>Epoxy Grout</t>
        </is>
      </c>
      <c r="C1839" s="22" t="inlineStr">
        <is>
          <t>Kg</t>
        </is>
      </c>
      <c r="D1839" s="23" t="n">
        <v>0.21</v>
      </c>
      <c r="E1839" s="24" t="n">
        <v>371</v>
      </c>
      <c r="F1839" s="24">
        <f>D1839*E1839</f>
        <v/>
      </c>
      <c r="G1839" s="22" t="n"/>
    </row>
    <row r="1840">
      <c r="A1840" s="22" t="inlineStr">
        <is>
          <t>0123</t>
        </is>
      </c>
      <c r="B1840" s="11" t="inlineStr">
        <is>
          <t>Mason (brick layer) 1st class</t>
        </is>
      </c>
      <c r="C1840" s="22" t="inlineStr">
        <is>
          <t>day</t>
        </is>
      </c>
      <c r="D1840" s="23" t="n">
        <v>0.1</v>
      </c>
      <c r="E1840" s="24" t="n">
        <v>738</v>
      </c>
      <c r="F1840" s="24">
        <f>D1840*E1840</f>
        <v/>
      </c>
      <c r="G1840" s="22" t="n"/>
    </row>
    <row r="1841">
      <c r="A1841" s="22" t="inlineStr">
        <is>
          <t>0115</t>
        </is>
      </c>
      <c r="B1841" s="11" t="inlineStr">
        <is>
          <t>Coolie</t>
        </is>
      </c>
      <c r="C1841" s="22" t="inlineStr">
        <is>
          <t>day</t>
        </is>
      </c>
      <c r="D1841" s="23" t="n">
        <v>0.1</v>
      </c>
      <c r="E1841" s="24" t="n">
        <v>558</v>
      </c>
      <c r="F1841" s="24">
        <f>D1841*E1841</f>
        <v/>
      </c>
      <c r="G1841" s="22" t="n"/>
    </row>
    <row r="1842">
      <c r="A1842" s="22" t="inlineStr">
        <is>
          <t>9988</t>
        </is>
      </c>
      <c r="B1842" s="11" t="inlineStr">
        <is>
          <t>Sundries including carriage</t>
        </is>
      </c>
      <c r="C1842" s="22" t="inlineStr">
        <is>
          <t>L.S.</t>
        </is>
      </c>
      <c r="D1842" s="23" t="n">
        <v>5</v>
      </c>
      <c r="E1842" s="24" t="n">
        <v>2</v>
      </c>
      <c r="F1842" s="24">
        <f>D1842*E1842</f>
        <v/>
      </c>
      <c r="G1842" s="22" t="n"/>
    </row>
    <row r="1843">
      <c r="A1843" s="8" t="inlineStr">
        <is>
          <t>Calculated W - SUM of the Amount column above</t>
        </is>
      </c>
      <c r="B1843" s="9" t="n"/>
      <c r="C1843" s="9" t="n"/>
      <c r="D1843" s="9" t="n"/>
      <c r="E1843" s="9" t="n"/>
      <c r="F1843" s="25">
        <f>SUM(F1839:F1842)</f>
        <v/>
      </c>
      <c r="G1843" s="9" t="n"/>
    </row>
    <row r="1844">
      <c r="A1844" s="26" t="inlineStr">
        <is>
          <t>W as printed in the DAR</t>
        </is>
      </c>
      <c r="B1844" s="22" t="n"/>
      <c r="C1844" s="22" t="n"/>
      <c r="D1844" s="22" t="n"/>
      <c r="E1844" s="22" t="n"/>
      <c r="F1844" s="27" t="n">
        <v>217.51</v>
      </c>
      <c r="G1844" s="22" t="n"/>
    </row>
    <row r="1845">
      <c r="A1845" s="26" t="inlineStr">
        <is>
          <t>Difference (calculated - printed)</t>
        </is>
      </c>
      <c r="B1845" s="22" t="n"/>
      <c r="C1845" s="22" t="n"/>
      <c r="D1845" s="22" t="n"/>
      <c r="E1845" s="22" t="n"/>
      <c r="F1845" s="27">
        <f>F1843-F1844</f>
        <v/>
      </c>
      <c r="G1845" s="22" t="n"/>
    </row>
    <row r="1846">
      <c r="A1846" s="29" t="inlineStr">
        <is>
          <t>SAY (Rs.) - final DAR rate as printed (fixed value, not computed)</t>
        </is>
      </c>
      <c r="B1846" s="30" t="n"/>
      <c r="C1846" s="30" t="n"/>
      <c r="D1846" s="30" t="n"/>
      <c r="E1846" s="30" t="n"/>
      <c r="F1846" s="31" t="n">
        <v>291</v>
      </c>
      <c r="G1846" s="30" t="n"/>
    </row>
    <row r="1848" ht="47.5" customHeight="1">
      <c r="A1848" s="8" t="inlineStr">
        <is>
          <t>11.48</t>
        </is>
      </c>
      <c r="B1848" s="17"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t>
        </is>
      </c>
      <c r="C1848" s="9" t="n"/>
      <c r="D1848" s="9" t="n"/>
      <c r="E1848" s="9" t="n"/>
      <c r="F1848" s="9" t="n"/>
      <c r="G1848" s="9" t="n"/>
    </row>
    <row r="1849" ht="18.5" customHeight="1">
      <c r="A1849" s="18" t="inlineStr">
        <is>
          <t>11.48.2</t>
        </is>
      </c>
      <c r="B1849" s="19" t="inlineStr">
        <is>
          <t>Size of Tile 600x600 mm</t>
        </is>
      </c>
      <c r="C1849" s="20" t="n"/>
      <c r="D1849" s="20" t="n"/>
      <c r="E1849" s="20" t="n"/>
      <c r="F1849" s="20" t="n"/>
      <c r="G1849" s="20" t="n"/>
    </row>
    <row r="1850">
      <c r="A1850" s="21" t="inlineStr">
        <is>
          <t>Details of cost for 1 sqm   |   Source: CivilDAR_2019_Vol_1.pdf, page 798</t>
        </is>
      </c>
    </row>
    <row r="1851">
      <c r="A1851" s="5" t="inlineStr">
        <is>
          <t>Code</t>
        </is>
      </c>
      <c r="B1851" s="5" t="inlineStr">
        <is>
          <t>Description</t>
        </is>
      </c>
      <c r="C1851" s="5" t="inlineStr">
        <is>
          <t>Unit</t>
        </is>
      </c>
      <c r="D1851" s="5" t="inlineStr">
        <is>
          <t>Quantity</t>
        </is>
      </c>
      <c r="E1851" s="5" t="inlineStr">
        <is>
          <t>Rate (Rs.)</t>
        </is>
      </c>
      <c r="F1851" s="5" t="inlineStr">
        <is>
          <t>Amount (Rs.)</t>
        </is>
      </c>
      <c r="G1851" s="5" t="inlineStr">
        <is>
          <t>Note</t>
        </is>
      </c>
    </row>
    <row r="1852">
      <c r="A1852" s="22" t="inlineStr">
        <is>
          <t>8682</t>
        </is>
      </c>
      <c r="B1852" s="11" t="inlineStr">
        <is>
          <t>Epoxy Grout</t>
        </is>
      </c>
      <c r="C1852" s="22" t="inlineStr">
        <is>
          <t>Kg</t>
        </is>
      </c>
      <c r="D1852" s="23" t="n">
        <v>0.18</v>
      </c>
      <c r="E1852" s="24" t="n">
        <v>371</v>
      </c>
      <c r="F1852" s="24">
        <f>D1852*E1852</f>
        <v/>
      </c>
      <c r="G1852" s="22" t="n"/>
    </row>
    <row r="1853">
      <c r="A1853" s="22" t="inlineStr">
        <is>
          <t>0123</t>
        </is>
      </c>
      <c r="B1853" s="11" t="inlineStr">
        <is>
          <t>Mason (brick layer) 1st class</t>
        </is>
      </c>
      <c r="C1853" s="22" t="inlineStr">
        <is>
          <t>day</t>
        </is>
      </c>
      <c r="D1853" s="23" t="n">
        <v>0.08</v>
      </c>
      <c r="E1853" s="24" t="n">
        <v>738</v>
      </c>
      <c r="F1853" s="24">
        <f>D1853*E1853</f>
        <v/>
      </c>
      <c r="G1853" s="22" t="n"/>
    </row>
    <row r="1854">
      <c r="A1854" s="22" t="inlineStr">
        <is>
          <t>0115</t>
        </is>
      </c>
      <c r="B1854" s="11" t="inlineStr">
        <is>
          <t>Coolie</t>
        </is>
      </c>
      <c r="C1854" s="22" t="inlineStr">
        <is>
          <t>day</t>
        </is>
      </c>
      <c r="D1854" s="23" t="n">
        <v>0.08</v>
      </c>
      <c r="E1854" s="24" t="n">
        <v>558</v>
      </c>
      <c r="F1854" s="24">
        <f>D1854*E1854</f>
        <v/>
      </c>
      <c r="G1854" s="22" t="n"/>
    </row>
    <row r="1855">
      <c r="A1855" s="22" t="inlineStr">
        <is>
          <t>9988</t>
        </is>
      </c>
      <c r="B1855" s="11" t="inlineStr">
        <is>
          <t>Sundries including carriage</t>
        </is>
      </c>
      <c r="C1855" s="22" t="inlineStr">
        <is>
          <t>L.S.</t>
        </is>
      </c>
      <c r="D1855" s="23" t="n">
        <v>5</v>
      </c>
      <c r="E1855" s="24" t="n">
        <v>2</v>
      </c>
      <c r="F1855" s="24">
        <f>D1855*E1855</f>
        <v/>
      </c>
      <c r="G1855" s="22" t="n"/>
    </row>
    <row r="1856">
      <c r="A1856" s="8" t="inlineStr">
        <is>
          <t>Calculated W - SUM of the Amount column above</t>
        </is>
      </c>
      <c r="B1856" s="9" t="n"/>
      <c r="C1856" s="9" t="n"/>
      <c r="D1856" s="9" t="n"/>
      <c r="E1856" s="9" t="n"/>
      <c r="F1856" s="25">
        <f>SUM(F1852:F1855)</f>
        <v/>
      </c>
      <c r="G1856" s="9" t="n"/>
    </row>
    <row r="1857">
      <c r="A1857" s="26" t="inlineStr">
        <is>
          <t>W as printed in the DAR</t>
        </is>
      </c>
      <c r="B1857" s="22" t="n"/>
      <c r="C1857" s="22" t="n"/>
      <c r="D1857" s="22" t="n"/>
      <c r="E1857" s="22" t="n"/>
      <c r="F1857" s="27" t="n">
        <v>180.46</v>
      </c>
      <c r="G1857" s="22" t="n"/>
    </row>
    <row r="1858">
      <c r="A1858" s="26" t="inlineStr">
        <is>
          <t>Difference (calculated - printed)</t>
        </is>
      </c>
      <c r="B1858" s="22" t="n"/>
      <c r="C1858" s="22" t="n"/>
      <c r="D1858" s="22" t="n"/>
      <c r="E1858" s="22" t="n"/>
      <c r="F1858" s="27">
        <f>F1856-F1857</f>
        <v/>
      </c>
      <c r="G1858" s="22" t="n"/>
    </row>
    <row r="1859">
      <c r="A1859" s="29" t="inlineStr">
        <is>
          <t>SAY (Rs.) - final DAR rate as printed (fixed value, not computed)</t>
        </is>
      </c>
      <c r="B1859" s="30" t="n"/>
      <c r="C1859" s="30" t="n"/>
      <c r="D1859" s="30" t="n"/>
      <c r="E1859" s="30" t="n"/>
      <c r="F1859" s="31" t="n">
        <v>241.45</v>
      </c>
      <c r="G1859" s="30" t="n"/>
    </row>
    <row r="1861" ht="47.5" customHeight="1">
      <c r="A1861" s="8" t="inlineStr">
        <is>
          <t>11.48</t>
        </is>
      </c>
      <c r="B1861" s="17"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t>
        </is>
      </c>
      <c r="C1861" s="9" t="n"/>
      <c r="D1861" s="9" t="n"/>
      <c r="E1861" s="9" t="n"/>
      <c r="F1861" s="9" t="n"/>
      <c r="G1861" s="9" t="n"/>
    </row>
    <row r="1862" ht="18.5" customHeight="1">
      <c r="A1862" s="18" t="inlineStr">
        <is>
          <t>11.48.3</t>
        </is>
      </c>
      <c r="B1862" s="19" t="inlineStr">
        <is>
          <t>Size of Tile 800x800 mm</t>
        </is>
      </c>
      <c r="C1862" s="20" t="n"/>
      <c r="D1862" s="20" t="n"/>
      <c r="E1862" s="20" t="n"/>
      <c r="F1862" s="20" t="n"/>
      <c r="G1862" s="20" t="n"/>
    </row>
    <row r="1863">
      <c r="A1863" s="21" t="inlineStr">
        <is>
          <t>Details of cost for 1 sqm   |   Source: CivilDAR_2019_Vol_1.pdf, page 799</t>
        </is>
      </c>
    </row>
    <row r="1864">
      <c r="A1864" s="5" t="inlineStr">
        <is>
          <t>Code</t>
        </is>
      </c>
      <c r="B1864" s="5" t="inlineStr">
        <is>
          <t>Description</t>
        </is>
      </c>
      <c r="C1864" s="5" t="inlineStr">
        <is>
          <t>Unit</t>
        </is>
      </c>
      <c r="D1864" s="5" t="inlineStr">
        <is>
          <t>Quantity</t>
        </is>
      </c>
      <c r="E1864" s="5" t="inlineStr">
        <is>
          <t>Rate (Rs.)</t>
        </is>
      </c>
      <c r="F1864" s="5" t="inlineStr">
        <is>
          <t>Amount (Rs.)</t>
        </is>
      </c>
      <c r="G1864" s="5" t="inlineStr">
        <is>
          <t>Note</t>
        </is>
      </c>
    </row>
    <row r="1865">
      <c r="A1865" s="22" t="inlineStr">
        <is>
          <t>8682</t>
        </is>
      </c>
      <c r="B1865" s="11" t="inlineStr">
        <is>
          <t>Epoxy Grout</t>
        </is>
      </c>
      <c r="C1865" s="22" t="inlineStr">
        <is>
          <t>Kg</t>
        </is>
      </c>
      <c r="D1865" s="23" t="n">
        <v>0.15</v>
      </c>
      <c r="E1865" s="24" t="n">
        <v>371</v>
      </c>
      <c r="F1865" s="24">
        <f>D1865*E1865</f>
        <v/>
      </c>
      <c r="G1865" s="22" t="n"/>
    </row>
    <row r="1866">
      <c r="A1866" s="22" t="inlineStr">
        <is>
          <t>0123</t>
        </is>
      </c>
      <c r="B1866" s="11" t="inlineStr">
        <is>
          <t>Mason (brick layer) 1st class</t>
        </is>
      </c>
      <c r="C1866" s="22" t="inlineStr">
        <is>
          <t>day</t>
        </is>
      </c>
      <c r="D1866" s="23" t="n">
        <v>0.06</v>
      </c>
      <c r="E1866" s="24" t="n">
        <v>738</v>
      </c>
      <c r="F1866" s="24">
        <f>D1866*E1866</f>
        <v/>
      </c>
      <c r="G1866" s="22" t="n"/>
    </row>
    <row r="1867">
      <c r="A1867" s="22" t="inlineStr">
        <is>
          <t>0115</t>
        </is>
      </c>
      <c r="B1867" s="11" t="inlineStr">
        <is>
          <t>Coolie</t>
        </is>
      </c>
      <c r="C1867" s="22" t="inlineStr">
        <is>
          <t>day</t>
        </is>
      </c>
      <c r="D1867" s="23" t="n">
        <v>0.06</v>
      </c>
      <c r="E1867" s="24" t="n">
        <v>558</v>
      </c>
      <c r="F1867" s="24">
        <f>D1867*E1867</f>
        <v/>
      </c>
      <c r="G1867" s="22" t="n"/>
    </row>
    <row r="1868">
      <c r="A1868" s="22" t="inlineStr">
        <is>
          <t>9988</t>
        </is>
      </c>
      <c r="B1868" s="11" t="inlineStr">
        <is>
          <t>Sundries including carriage</t>
        </is>
      </c>
      <c r="C1868" s="22" t="inlineStr">
        <is>
          <t>L.S.</t>
        </is>
      </c>
      <c r="D1868" s="23" t="n">
        <v>5</v>
      </c>
      <c r="E1868" s="24" t="n">
        <v>2</v>
      </c>
      <c r="F1868" s="24">
        <f>D1868*E1868</f>
        <v/>
      </c>
      <c r="G1868" s="22" t="n"/>
    </row>
    <row r="1869">
      <c r="A1869" s="8" t="inlineStr">
        <is>
          <t>Calculated W - SUM of the Amount column above</t>
        </is>
      </c>
      <c r="B1869" s="9" t="n"/>
      <c r="C1869" s="9" t="n"/>
      <c r="D1869" s="9" t="n"/>
      <c r="E1869" s="9" t="n"/>
      <c r="F1869" s="25">
        <f>SUM(F1865:F1868)</f>
        <v/>
      </c>
      <c r="G1869" s="9" t="n"/>
    </row>
    <row r="1870">
      <c r="A1870" s="26" t="inlineStr">
        <is>
          <t>W as printed in the DAR</t>
        </is>
      </c>
      <c r="B1870" s="22" t="n"/>
      <c r="C1870" s="22" t="n"/>
      <c r="D1870" s="22" t="n"/>
      <c r="E1870" s="22" t="n"/>
      <c r="F1870" s="27" t="n">
        <v>143.41</v>
      </c>
      <c r="G1870" s="22" t="n"/>
    </row>
    <row r="1871">
      <c r="A1871" s="26" t="inlineStr">
        <is>
          <t>Difference (calculated - printed)</t>
        </is>
      </c>
      <c r="B1871" s="22" t="n"/>
      <c r="C1871" s="22" t="n"/>
      <c r="D1871" s="22" t="n"/>
      <c r="E1871" s="22" t="n"/>
      <c r="F1871" s="27">
        <f>F1869-F1870</f>
        <v/>
      </c>
      <c r="G1871" s="22" t="n"/>
    </row>
    <row r="1872">
      <c r="A1872" s="29" t="inlineStr">
        <is>
          <t>SAY (Rs.) - final DAR rate as printed (fixed value, not computed)</t>
        </is>
      </c>
      <c r="B1872" s="30" t="n"/>
      <c r="C1872" s="30" t="n"/>
      <c r="D1872" s="30" t="n"/>
      <c r="E1872" s="30" t="n"/>
      <c r="F1872" s="31" t="n">
        <v>191.85</v>
      </c>
      <c r="G1872" s="30" t="n"/>
    </row>
    <row r="1874" ht="47.5" customHeight="1">
      <c r="A1874" s="8" t="inlineStr">
        <is>
          <t>11.48</t>
        </is>
      </c>
      <c r="B1874" s="17"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t>
        </is>
      </c>
      <c r="C1874" s="9" t="n"/>
      <c r="D1874" s="9" t="n"/>
      <c r="E1874" s="9" t="n"/>
      <c r="F1874" s="9" t="n"/>
      <c r="G1874" s="9" t="n"/>
    </row>
    <row r="1875" ht="18.5" customHeight="1">
      <c r="A1875" s="18" t="inlineStr">
        <is>
          <t>11.48.4</t>
        </is>
      </c>
      <c r="B1875" s="19" t="inlineStr">
        <is>
          <t>Size of Tile 1000x1000 mm</t>
        </is>
      </c>
      <c r="C1875" s="20" t="n"/>
      <c r="D1875" s="20" t="n"/>
      <c r="E1875" s="20" t="n"/>
      <c r="F1875" s="20" t="n"/>
      <c r="G1875" s="20" t="n"/>
    </row>
    <row r="1876">
      <c r="A1876" s="21" t="inlineStr">
        <is>
          <t>Details of cost for 1 sqm   |   Source: CivilDAR_2019_Vol_1.pdf, page 799</t>
        </is>
      </c>
    </row>
    <row r="1877">
      <c r="A1877" s="5" t="inlineStr">
        <is>
          <t>Code</t>
        </is>
      </c>
      <c r="B1877" s="5" t="inlineStr">
        <is>
          <t>Description</t>
        </is>
      </c>
      <c r="C1877" s="5" t="inlineStr">
        <is>
          <t>Unit</t>
        </is>
      </c>
      <c r="D1877" s="5" t="inlineStr">
        <is>
          <t>Quantity</t>
        </is>
      </c>
      <c r="E1877" s="5" t="inlineStr">
        <is>
          <t>Rate (Rs.)</t>
        </is>
      </c>
      <c r="F1877" s="5" t="inlineStr">
        <is>
          <t>Amount (Rs.)</t>
        </is>
      </c>
      <c r="G1877" s="5" t="inlineStr">
        <is>
          <t>Note</t>
        </is>
      </c>
    </row>
    <row r="1878">
      <c r="A1878" s="22" t="inlineStr">
        <is>
          <t>8682</t>
        </is>
      </c>
      <c r="B1878" s="11" t="inlineStr">
        <is>
          <t>Epoxy Grout</t>
        </is>
      </c>
      <c r="C1878" s="22" t="inlineStr">
        <is>
          <t>Kg</t>
        </is>
      </c>
      <c r="D1878" s="23" t="n">
        <v>0.11</v>
      </c>
      <c r="E1878" s="24" t="n">
        <v>371</v>
      </c>
      <c r="F1878" s="24">
        <f>D1878*E1878</f>
        <v/>
      </c>
      <c r="G1878" s="22" t="n"/>
    </row>
    <row r="1879">
      <c r="A1879" s="22" t="inlineStr">
        <is>
          <t>0123</t>
        </is>
      </c>
      <c r="B1879" s="11" t="inlineStr">
        <is>
          <t>Mason (brick layer) 1st class</t>
        </is>
      </c>
      <c r="C1879" s="22" t="inlineStr">
        <is>
          <t>day</t>
        </is>
      </c>
      <c r="D1879" s="23" t="n">
        <v>0.04</v>
      </c>
      <c r="E1879" s="24" t="n">
        <v>738</v>
      </c>
      <c r="F1879" s="24">
        <f>D1879*E1879</f>
        <v/>
      </c>
      <c r="G1879" s="22" t="n"/>
    </row>
    <row r="1880">
      <c r="A1880" s="22" t="inlineStr">
        <is>
          <t>0115</t>
        </is>
      </c>
      <c r="B1880" s="11" t="inlineStr">
        <is>
          <t>Coolie</t>
        </is>
      </c>
      <c r="C1880" s="22" t="inlineStr">
        <is>
          <t>day</t>
        </is>
      </c>
      <c r="D1880" s="23" t="n">
        <v>0.04</v>
      </c>
      <c r="E1880" s="24" t="n">
        <v>558</v>
      </c>
      <c r="F1880" s="24">
        <f>D1880*E1880</f>
        <v/>
      </c>
      <c r="G1880" s="22" t="n"/>
    </row>
    <row r="1881">
      <c r="A1881" s="22" t="inlineStr">
        <is>
          <t>9988</t>
        </is>
      </c>
      <c r="B1881" s="11" t="inlineStr">
        <is>
          <t>Sundries including carriage</t>
        </is>
      </c>
      <c r="C1881" s="22" t="inlineStr">
        <is>
          <t>L.S.</t>
        </is>
      </c>
      <c r="D1881" s="23" t="n">
        <v>5</v>
      </c>
      <c r="E1881" s="24" t="n">
        <v>2</v>
      </c>
      <c r="F1881" s="24">
        <f>D1881*E1881</f>
        <v/>
      </c>
      <c r="G1881" s="22" t="n"/>
    </row>
    <row r="1882">
      <c r="A1882" s="8" t="inlineStr">
        <is>
          <t>Calculated W - SUM of the Amount column above</t>
        </is>
      </c>
      <c r="B1882" s="9" t="n"/>
      <c r="C1882" s="9" t="n"/>
      <c r="D1882" s="9" t="n"/>
      <c r="E1882" s="9" t="n"/>
      <c r="F1882" s="25">
        <f>SUM(F1878:F1881)</f>
        <v/>
      </c>
      <c r="G1882" s="9" t="n"/>
    </row>
    <row r="1883">
      <c r="A1883" s="26" t="inlineStr">
        <is>
          <t>W as printed in the DAR</t>
        </is>
      </c>
      <c r="B1883" s="22" t="n"/>
      <c r="C1883" s="22" t="n"/>
      <c r="D1883" s="22" t="n"/>
      <c r="E1883" s="22" t="n"/>
      <c r="F1883" s="27" t="n">
        <v>102.65</v>
      </c>
      <c r="G1883" s="22" t="n"/>
    </row>
    <row r="1884">
      <c r="A1884" s="26" t="inlineStr">
        <is>
          <t>Difference (calculated - printed)</t>
        </is>
      </c>
      <c r="B1884" s="22" t="n"/>
      <c r="C1884" s="22" t="n"/>
      <c r="D1884" s="22" t="n"/>
      <c r="E1884" s="22" t="n"/>
      <c r="F1884" s="27">
        <f>F1882-F1883</f>
        <v/>
      </c>
      <c r="G1884" s="22" t="n"/>
    </row>
    <row r="1885">
      <c r="A1885" s="29" t="inlineStr">
        <is>
          <t>SAY (Rs.) - final DAR rate as printed (fixed value, not computed)</t>
        </is>
      </c>
      <c r="B1885" s="30" t="n"/>
      <c r="C1885" s="30" t="n"/>
      <c r="D1885" s="30" t="n"/>
      <c r="E1885" s="30" t="n"/>
      <c r="F1885" s="31" t="n">
        <v>137.35</v>
      </c>
      <c r="G1885" s="30" t="n"/>
    </row>
    <row r="1887" ht="62" customHeight="1">
      <c r="A1887" s="8" t="inlineStr">
        <is>
          <t>11.49</t>
        </is>
      </c>
      <c r="B1887" s="17"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is>
      </c>
      <c r="C1887" s="9" t="n"/>
      <c r="D1887" s="9" t="n"/>
      <c r="E1887" s="9" t="n"/>
      <c r="F1887" s="9" t="n"/>
      <c r="G1887" s="9" t="n"/>
    </row>
    <row r="1888" ht="18.5" customHeight="1">
      <c r="A1888" s="18" t="inlineStr">
        <is>
          <t>11.49.1</t>
        </is>
      </c>
      <c r="B1888" s="19" t="inlineStr">
        <is>
          <t>Size of Tile 500x500 mm</t>
        </is>
      </c>
      <c r="C1888" s="20" t="n"/>
      <c r="D1888" s="20" t="n"/>
      <c r="E1888" s="20" t="n"/>
      <c r="F1888" s="20" t="n"/>
      <c r="G1888" s="20" t="n"/>
    </row>
    <row r="1889">
      <c r="A1889" s="21" t="inlineStr">
        <is>
          <t>Details of cost for 1 sqm   |   Source: CivilDAR_2019_Vol_1.pdf, page 800</t>
        </is>
      </c>
    </row>
    <row r="1890">
      <c r="A1890" s="5" t="inlineStr">
        <is>
          <t>Code</t>
        </is>
      </c>
      <c r="B1890" s="5" t="inlineStr">
        <is>
          <t>Description</t>
        </is>
      </c>
      <c r="C1890" s="5" t="inlineStr">
        <is>
          <t>Unit</t>
        </is>
      </c>
      <c r="D1890" s="5" t="inlineStr">
        <is>
          <t>Quantity</t>
        </is>
      </c>
      <c r="E1890" s="5" t="inlineStr">
        <is>
          <t>Rate (Rs.)</t>
        </is>
      </c>
      <c r="F1890" s="5" t="inlineStr">
        <is>
          <t>Amount (Rs.)</t>
        </is>
      </c>
      <c r="G1890" s="5" t="inlineStr">
        <is>
          <t>Note</t>
        </is>
      </c>
    </row>
    <row r="1891">
      <c r="A1891" s="22" t="inlineStr">
        <is>
          <t>8620</t>
        </is>
      </c>
      <c r="B1891" s="11" t="inlineStr">
        <is>
          <t>Vitrified floor tile 50x50 cm</t>
        </is>
      </c>
      <c r="C1891" s="22" t="inlineStr">
        <is>
          <t>sqm</t>
        </is>
      </c>
      <c r="D1891" s="23" t="n">
        <v>1.025</v>
      </c>
      <c r="E1891" s="24" t="n">
        <v>490</v>
      </c>
      <c r="F1891" s="24">
        <f>D1891*E1891</f>
        <v/>
      </c>
      <c r="G1891" s="22" t="n"/>
    </row>
    <row r="1892">
      <c r="A1892" s="22" t="inlineStr">
        <is>
          <t>9977</t>
        </is>
      </c>
      <c r="B1892" s="11" t="inlineStr">
        <is>
          <t>Carriage of tiles</t>
        </is>
      </c>
      <c r="C1892" s="22" t="inlineStr">
        <is>
          <t>L.S.</t>
        </is>
      </c>
      <c r="D1892" s="23" t="n">
        <v>6.24</v>
      </c>
      <c r="E1892" s="24" t="n">
        <v>2</v>
      </c>
      <c r="F1892" s="24">
        <f>D1892*E1892</f>
        <v/>
      </c>
      <c r="G1892" s="22" t="n"/>
    </row>
    <row r="1893">
      <c r="A1893" s="22" t="inlineStr">
        <is>
          <t>8731</t>
        </is>
      </c>
      <c r="B1893" s="11" t="inlineStr">
        <is>
          <t>High polymer modified quickset tile adhesive. per</t>
        </is>
      </c>
      <c r="C1893" s="22" t="inlineStr">
        <is>
          <t>kg</t>
        </is>
      </c>
      <c r="D1893" s="23" t="n">
        <v>10</v>
      </c>
      <c r="E1893" s="24" t="n">
        <v>9</v>
      </c>
      <c r="F1893" s="24">
        <f>D1893*E1893</f>
        <v/>
      </c>
      <c r="G1893" s="22" t="n"/>
    </row>
    <row r="1894">
      <c r="A1894" s="22" t="inlineStr">
        <is>
          <t>0123</t>
        </is>
      </c>
      <c r="B1894" s="11" t="inlineStr">
        <is>
          <t>Mason (brick layer) 1st class</t>
        </is>
      </c>
      <c r="C1894" s="22" t="inlineStr">
        <is>
          <t>day</t>
        </is>
      </c>
      <c r="D1894" s="23" t="n">
        <v>0.2</v>
      </c>
      <c r="E1894" s="24" t="n">
        <v>738</v>
      </c>
      <c r="F1894" s="24">
        <f>D1894*E1894</f>
        <v/>
      </c>
      <c r="G1894" s="22" t="n"/>
    </row>
    <row r="1895">
      <c r="A1895" s="22" t="inlineStr">
        <is>
          <t>0115</t>
        </is>
      </c>
      <c r="B1895" s="11" t="inlineStr">
        <is>
          <t>Coolie</t>
        </is>
      </c>
      <c r="C1895" s="22" t="inlineStr">
        <is>
          <t>day</t>
        </is>
      </c>
      <c r="D1895" s="23" t="n">
        <v>0.4</v>
      </c>
      <c r="E1895" s="24" t="n">
        <v>558</v>
      </c>
      <c r="F1895" s="24">
        <f>D1895*E1895</f>
        <v/>
      </c>
      <c r="G1895" s="22" t="n"/>
    </row>
    <row r="1896">
      <c r="A1896" s="22" t="inlineStr">
        <is>
          <t>9988</t>
        </is>
      </c>
      <c r="B1896" s="11" t="inlineStr">
        <is>
          <t>Sundries including carriage of quick set polymer etc.</t>
        </is>
      </c>
      <c r="C1896" s="22" t="inlineStr">
        <is>
          <t>L.S.</t>
        </is>
      </c>
      <c r="D1896" s="23" t="n">
        <v>26.91</v>
      </c>
      <c r="E1896" s="24" t="n">
        <v>2</v>
      </c>
      <c r="F1896" s="24">
        <f>D1896*E1896</f>
        <v/>
      </c>
      <c r="G1896" s="22" t="n"/>
    </row>
    <row r="1897">
      <c r="A1897" s="8" t="inlineStr">
        <is>
          <t>Calculated W - SUM of the Amount column above</t>
        </is>
      </c>
      <c r="B1897" s="9" t="n"/>
      <c r="C1897" s="9" t="n"/>
      <c r="D1897" s="9" t="n"/>
      <c r="E1897" s="9" t="n"/>
      <c r="F1897" s="25">
        <f>SUM(F1891:F1896)</f>
        <v/>
      </c>
      <c r="G1897" s="9" t="n"/>
    </row>
    <row r="1898">
      <c r="A1898" s="26" t="inlineStr">
        <is>
          <t>W as printed in the DAR</t>
        </is>
      </c>
      <c r="B1898" s="22" t="n"/>
      <c r="C1898" s="22" t="n"/>
      <c r="D1898" s="22" t="n"/>
      <c r="E1898" s="22" t="n"/>
      <c r="F1898" s="27" t="n">
        <v>1029.35</v>
      </c>
      <c r="G1898" s="22" t="n"/>
    </row>
    <row r="1899">
      <c r="A1899" s="26" t="inlineStr">
        <is>
          <t>Difference (calculated - printed)</t>
        </is>
      </c>
      <c r="B1899" s="22" t="n"/>
      <c r="C1899" s="22" t="n"/>
      <c r="D1899" s="22" t="n"/>
      <c r="E1899" s="22" t="n"/>
      <c r="F1899" s="27">
        <f>F1897-F1898</f>
        <v/>
      </c>
      <c r="G1899" s="22" t="n"/>
    </row>
    <row r="1900">
      <c r="A1900" s="29" t="inlineStr">
        <is>
          <t>SAY (Rs.) - final DAR rate as printed (fixed value, not computed)</t>
        </is>
      </c>
      <c r="B1900" s="30" t="n"/>
      <c r="C1900" s="30" t="n"/>
      <c r="D1900" s="30" t="n"/>
      <c r="E1900" s="30" t="n"/>
      <c r="F1900" s="31" t="n">
        <v>1377.2</v>
      </c>
      <c r="G1900" s="30" t="n"/>
    </row>
    <row r="1902" ht="62" customHeight="1">
      <c r="A1902" s="8" t="inlineStr">
        <is>
          <t>11.49</t>
        </is>
      </c>
      <c r="B1902" s="17"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is>
      </c>
      <c r="C1902" s="9" t="n"/>
      <c r="D1902" s="9" t="n"/>
      <c r="E1902" s="9" t="n"/>
      <c r="F1902" s="9" t="n"/>
      <c r="G1902" s="9" t="n"/>
    </row>
    <row r="1903" ht="18.5" customHeight="1">
      <c r="A1903" s="18" t="inlineStr">
        <is>
          <t>11.49.2</t>
        </is>
      </c>
      <c r="B1903" s="19" t="inlineStr">
        <is>
          <t>Size of Tile 600x600 mm</t>
        </is>
      </c>
      <c r="C1903" s="20" t="n"/>
      <c r="D1903" s="20" t="n"/>
      <c r="E1903" s="20" t="n"/>
      <c r="F1903" s="20" t="n"/>
      <c r="G1903" s="20" t="n"/>
    </row>
    <row r="1904">
      <c r="A1904" s="21" t="inlineStr">
        <is>
          <t>Details of cost for 1 sqm   |   Source: CivilDAR_2019_Vol_1.pdf, page 801</t>
        </is>
      </c>
    </row>
    <row r="1905">
      <c r="A1905" s="5" t="inlineStr">
        <is>
          <t>Code</t>
        </is>
      </c>
      <c r="B1905" s="5" t="inlineStr">
        <is>
          <t>Description</t>
        </is>
      </c>
      <c r="C1905" s="5" t="inlineStr">
        <is>
          <t>Unit</t>
        </is>
      </c>
      <c r="D1905" s="5" t="inlineStr">
        <is>
          <t>Quantity</t>
        </is>
      </c>
      <c r="E1905" s="5" t="inlineStr">
        <is>
          <t>Rate (Rs.)</t>
        </is>
      </c>
      <c r="F1905" s="5" t="inlineStr">
        <is>
          <t>Amount (Rs.)</t>
        </is>
      </c>
      <c r="G1905" s="5" t="inlineStr">
        <is>
          <t>Note</t>
        </is>
      </c>
    </row>
    <row r="1906">
      <c r="A1906" s="22" t="inlineStr">
        <is>
          <t>8621</t>
        </is>
      </c>
      <c r="B1906" s="11" t="inlineStr">
        <is>
          <t>Vitrified floor tile 60x60 cm</t>
        </is>
      </c>
      <c r="C1906" s="22" t="inlineStr">
        <is>
          <t>sqm</t>
        </is>
      </c>
      <c r="D1906" s="23" t="n">
        <v>1.025</v>
      </c>
      <c r="E1906" s="24" t="n">
        <v>659.72</v>
      </c>
      <c r="F1906" s="24">
        <f>D1906*E1906</f>
        <v/>
      </c>
      <c r="G1906" s="22" t="n"/>
    </row>
    <row r="1907">
      <c r="A1907" s="22" t="inlineStr">
        <is>
          <t>9977</t>
        </is>
      </c>
      <c r="B1907" s="11" t="inlineStr">
        <is>
          <t>Carriage of tiles</t>
        </is>
      </c>
      <c r="C1907" s="22" t="inlineStr">
        <is>
          <t>L.S.</t>
        </is>
      </c>
      <c r="D1907" s="23" t="n">
        <v>6.24</v>
      </c>
      <c r="E1907" s="24" t="n">
        <v>2</v>
      </c>
      <c r="F1907" s="24">
        <f>D1907*E1907</f>
        <v/>
      </c>
      <c r="G1907" s="22" t="n"/>
    </row>
    <row r="1908">
      <c r="A1908" s="22" t="inlineStr">
        <is>
          <t>8731</t>
        </is>
      </c>
      <c r="B1908" s="11" t="inlineStr">
        <is>
          <t>High polymer modified quickset tile adhesive. per</t>
        </is>
      </c>
      <c r="C1908" s="22" t="inlineStr">
        <is>
          <t>kg</t>
        </is>
      </c>
      <c r="D1908" s="23" t="n">
        <v>10</v>
      </c>
      <c r="E1908" s="24" t="n">
        <v>9</v>
      </c>
      <c r="F1908" s="24">
        <f>D1908*E1908</f>
        <v/>
      </c>
      <c r="G1908" s="22" t="n"/>
    </row>
    <row r="1909">
      <c r="A1909" s="22" t="inlineStr">
        <is>
          <t>0123</t>
        </is>
      </c>
      <c r="B1909" s="11" t="inlineStr">
        <is>
          <t>Mason (brick layer) 1st class</t>
        </is>
      </c>
      <c r="C1909" s="22" t="inlineStr">
        <is>
          <t>day</t>
        </is>
      </c>
      <c r="D1909" s="23" t="n">
        <v>0.2</v>
      </c>
      <c r="E1909" s="24" t="n">
        <v>738</v>
      </c>
      <c r="F1909" s="24">
        <f>D1909*E1909</f>
        <v/>
      </c>
      <c r="G1909" s="22" t="n"/>
    </row>
    <row r="1910">
      <c r="A1910" s="22" t="inlineStr">
        <is>
          <t>0115</t>
        </is>
      </c>
      <c r="B1910" s="11" t="inlineStr">
        <is>
          <t>Coolie</t>
        </is>
      </c>
      <c r="C1910" s="22" t="inlineStr">
        <is>
          <t>day</t>
        </is>
      </c>
      <c r="D1910" s="23" t="n">
        <v>0.4</v>
      </c>
      <c r="E1910" s="24" t="n">
        <v>558</v>
      </c>
      <c r="F1910" s="24">
        <f>D1910*E1910</f>
        <v/>
      </c>
      <c r="G1910" s="22" t="n"/>
    </row>
    <row r="1911">
      <c r="A1911" s="22" t="inlineStr">
        <is>
          <t>9988</t>
        </is>
      </c>
      <c r="B1911" s="11" t="inlineStr">
        <is>
          <t>Sundries including carriage of quick set polymer etc.</t>
        </is>
      </c>
      <c r="C1911" s="22" t="inlineStr">
        <is>
          <t>L.S.</t>
        </is>
      </c>
      <c r="D1911" s="23" t="n">
        <v>26.91</v>
      </c>
      <c r="E1911" s="24" t="n">
        <v>2</v>
      </c>
      <c r="F1911" s="24">
        <f>D1911*E1911</f>
        <v/>
      </c>
      <c r="G1911" s="22" t="n"/>
    </row>
    <row r="1912">
      <c r="A1912" s="8" t="inlineStr">
        <is>
          <t>Calculated W - SUM of the Amount column above</t>
        </is>
      </c>
      <c r="B1912" s="9" t="n"/>
      <c r="C1912" s="9" t="n"/>
      <c r="D1912" s="9" t="n"/>
      <c r="E1912" s="9" t="n"/>
      <c r="F1912" s="25">
        <f>SUM(F1906:F1911)</f>
        <v/>
      </c>
      <c r="G1912" s="9" t="n"/>
    </row>
    <row r="1913">
      <c r="A1913" s="26" t="inlineStr">
        <is>
          <t>W as printed in the DAR</t>
        </is>
      </c>
      <c r="B1913" s="22" t="n"/>
      <c r="C1913" s="22" t="n"/>
      <c r="D1913" s="22" t="n"/>
      <c r="E1913" s="22" t="n"/>
      <c r="F1913" s="27" t="n">
        <v>1203.31</v>
      </c>
      <c r="G1913" s="22" t="n"/>
    </row>
    <row r="1914">
      <c r="A1914" s="26" t="inlineStr">
        <is>
          <t>Difference (calculated - printed)</t>
        </is>
      </c>
      <c r="B1914" s="22" t="n"/>
      <c r="C1914" s="22" t="n"/>
      <c r="D1914" s="22" t="n"/>
      <c r="E1914" s="22" t="n"/>
      <c r="F1914" s="27">
        <f>F1912-F1913</f>
        <v/>
      </c>
      <c r="G1914" s="22" t="n"/>
    </row>
    <row r="1915">
      <c r="A1915" s="29" t="inlineStr">
        <is>
          <t>SAY (Rs.) - final DAR rate as printed (fixed value, not computed)</t>
        </is>
      </c>
      <c r="B1915" s="30" t="n"/>
      <c r="C1915" s="30" t="n"/>
      <c r="D1915" s="30" t="n"/>
      <c r="E1915" s="30" t="n"/>
      <c r="F1915" s="31" t="n">
        <v>1609.95</v>
      </c>
      <c r="G1915" s="30" t="n"/>
    </row>
    <row r="1917" ht="62" customHeight="1">
      <c r="A1917" s="8" t="inlineStr">
        <is>
          <t>11.49</t>
        </is>
      </c>
      <c r="B1917" s="17"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is>
      </c>
      <c r="C1917" s="9" t="n"/>
      <c r="D1917" s="9" t="n"/>
      <c r="E1917" s="9" t="n"/>
      <c r="F1917" s="9" t="n"/>
      <c r="G1917" s="9" t="n"/>
    </row>
    <row r="1918" ht="18.5" customHeight="1">
      <c r="A1918" s="18" t="inlineStr">
        <is>
          <t>11.49.3</t>
        </is>
      </c>
      <c r="B1918" s="19" t="inlineStr">
        <is>
          <t>Size of Tile 800x800 mm</t>
        </is>
      </c>
      <c r="C1918" s="20" t="n"/>
      <c r="D1918" s="20" t="n"/>
      <c r="E1918" s="20" t="n"/>
      <c r="F1918" s="20" t="n"/>
      <c r="G1918" s="20" t="n"/>
    </row>
    <row r="1919">
      <c r="A1919" s="21" t="inlineStr">
        <is>
          <t>Details of cost for 1 sqm   |   Source: CivilDAR_2019_Vol_1.pdf, page 801</t>
        </is>
      </c>
    </row>
    <row r="1920">
      <c r="A1920" s="5" t="inlineStr">
        <is>
          <t>Code</t>
        </is>
      </c>
      <c r="B1920" s="5" t="inlineStr">
        <is>
          <t>Description</t>
        </is>
      </c>
      <c r="C1920" s="5" t="inlineStr">
        <is>
          <t>Unit</t>
        </is>
      </c>
      <c r="D1920" s="5" t="inlineStr">
        <is>
          <t>Quantity</t>
        </is>
      </c>
      <c r="E1920" s="5" t="inlineStr">
        <is>
          <t>Rate (Rs.)</t>
        </is>
      </c>
      <c r="F1920" s="5" t="inlineStr">
        <is>
          <t>Amount (Rs.)</t>
        </is>
      </c>
      <c r="G1920" s="5" t="inlineStr">
        <is>
          <t>Note</t>
        </is>
      </c>
    </row>
    <row r="1921">
      <c r="A1921" s="22" t="inlineStr">
        <is>
          <t>8622</t>
        </is>
      </c>
      <c r="B1921" s="11" t="inlineStr">
        <is>
          <t>Vitrified floor tile 80x80 cm</t>
        </is>
      </c>
      <c r="C1921" s="22" t="inlineStr">
        <is>
          <t>sqm</t>
        </is>
      </c>
      <c r="D1921" s="23" t="n">
        <v>1.025</v>
      </c>
      <c r="E1921" s="24" t="n">
        <v>850</v>
      </c>
      <c r="F1921" s="24">
        <f>D1921*E1921</f>
        <v/>
      </c>
      <c r="G1921" s="22" t="n"/>
    </row>
    <row r="1922">
      <c r="A1922" s="22" t="inlineStr">
        <is>
          <t>9977</t>
        </is>
      </c>
      <c r="B1922" s="11" t="inlineStr">
        <is>
          <t>Carriage of tiles</t>
        </is>
      </c>
      <c r="C1922" s="22" t="inlineStr">
        <is>
          <t>L.S.</t>
        </is>
      </c>
      <c r="D1922" s="23" t="n">
        <v>6.24</v>
      </c>
      <c r="E1922" s="24" t="n">
        <v>2</v>
      </c>
      <c r="F1922" s="24">
        <f>D1922*E1922</f>
        <v/>
      </c>
      <c r="G1922" s="22" t="n"/>
    </row>
    <row r="1923">
      <c r="A1923" s="22" t="inlineStr">
        <is>
          <t>8731</t>
        </is>
      </c>
      <c r="B1923" s="11" t="inlineStr">
        <is>
          <t>High polymer modified quickset tile adhesive. per</t>
        </is>
      </c>
      <c r="C1923" s="22" t="inlineStr">
        <is>
          <t>kg</t>
        </is>
      </c>
      <c r="D1923" s="23" t="n">
        <v>10</v>
      </c>
      <c r="E1923" s="24" t="n">
        <v>9</v>
      </c>
      <c r="F1923" s="24">
        <f>D1923*E1923</f>
        <v/>
      </c>
      <c r="G1923" s="22" t="n"/>
    </row>
    <row r="1924">
      <c r="A1924" s="22" t="inlineStr">
        <is>
          <t>0123</t>
        </is>
      </c>
      <c r="B1924" s="11" t="inlineStr">
        <is>
          <t>Mason (brick layer) 1st class</t>
        </is>
      </c>
      <c r="C1924" s="22" t="inlineStr">
        <is>
          <t>day</t>
        </is>
      </c>
      <c r="D1924" s="23" t="n">
        <v>0.2</v>
      </c>
      <c r="E1924" s="24" t="n">
        <v>738</v>
      </c>
      <c r="F1924" s="24">
        <f>D1924*E1924</f>
        <v/>
      </c>
      <c r="G1924" s="22" t="n"/>
    </row>
    <row r="1925">
      <c r="A1925" s="22" t="inlineStr">
        <is>
          <t>0115</t>
        </is>
      </c>
      <c r="B1925" s="11" t="inlineStr">
        <is>
          <t>Coolie</t>
        </is>
      </c>
      <c r="C1925" s="22" t="inlineStr">
        <is>
          <t>day</t>
        </is>
      </c>
      <c r="D1925" s="23" t="n">
        <v>0.4</v>
      </c>
      <c r="E1925" s="24" t="n">
        <v>558</v>
      </c>
      <c r="F1925" s="24">
        <f>D1925*E1925</f>
        <v/>
      </c>
      <c r="G1925" s="22" t="n"/>
    </row>
    <row r="1926">
      <c r="A1926" s="22" t="inlineStr">
        <is>
          <t>9988</t>
        </is>
      </c>
      <c r="B1926" s="11" t="inlineStr">
        <is>
          <t>Sundries including carriage of quick set polymer etc.</t>
        </is>
      </c>
      <c r="C1926" s="22" t="inlineStr">
        <is>
          <t>L.S.</t>
        </is>
      </c>
      <c r="D1926" s="23" t="n">
        <v>26.91</v>
      </c>
      <c r="E1926" s="24" t="n">
        <v>2</v>
      </c>
      <c r="F1926" s="24">
        <f>D1926*E1926</f>
        <v/>
      </c>
      <c r="G1926" s="22" t="n"/>
    </row>
    <row r="1927">
      <c r="A1927" s="8" t="inlineStr">
        <is>
          <t>Calculated W - SUM of the Amount column above</t>
        </is>
      </c>
      <c r="B1927" s="9" t="n"/>
      <c r="C1927" s="9" t="n"/>
      <c r="D1927" s="9" t="n"/>
      <c r="E1927" s="9" t="n"/>
      <c r="F1927" s="25">
        <f>SUM(F1921:F1926)</f>
        <v/>
      </c>
      <c r="G1927" s="9" t="n"/>
    </row>
    <row r="1928">
      <c r="A1928" s="26" t="inlineStr">
        <is>
          <t>W as printed in the DAR</t>
        </is>
      </c>
      <c r="B1928" s="22" t="n"/>
      <c r="C1928" s="22" t="n"/>
      <c r="D1928" s="22" t="n"/>
      <c r="E1928" s="22" t="n"/>
      <c r="F1928" s="27" t="n">
        <v>1398.35</v>
      </c>
      <c r="G1928" s="22" t="n"/>
    </row>
    <row r="1929">
      <c r="A1929" s="26" t="inlineStr">
        <is>
          <t>Difference (calculated - printed)</t>
        </is>
      </c>
      <c r="B1929" s="22" t="n"/>
      <c r="C1929" s="22" t="n"/>
      <c r="D1929" s="22" t="n"/>
      <c r="E1929" s="22" t="n"/>
      <c r="F1929" s="27">
        <f>F1927-F1928</f>
        <v/>
      </c>
      <c r="G1929" s="22" t="n"/>
    </row>
    <row r="1930">
      <c r="A1930" s="29" t="inlineStr">
        <is>
          <t>SAY (Rs.) - final DAR rate as printed (fixed value, not computed)</t>
        </is>
      </c>
      <c r="B1930" s="30" t="n"/>
      <c r="C1930" s="30" t="n"/>
      <c r="D1930" s="30" t="n"/>
      <c r="E1930" s="30" t="n"/>
      <c r="F1930" s="31" t="n">
        <v>1870.9</v>
      </c>
      <c r="G1930" s="30" t="n"/>
    </row>
    <row r="1932" ht="62" customHeight="1">
      <c r="A1932" s="8" t="inlineStr">
        <is>
          <t>11.49</t>
        </is>
      </c>
      <c r="B1932" s="17"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is>
      </c>
      <c r="C1932" s="9" t="n"/>
      <c r="D1932" s="9" t="n"/>
      <c r="E1932" s="9" t="n"/>
      <c r="F1932" s="9" t="n"/>
      <c r="G1932" s="9" t="n"/>
    </row>
    <row r="1933" ht="18.5" customHeight="1">
      <c r="A1933" s="18" t="inlineStr">
        <is>
          <t>11.49.4</t>
        </is>
      </c>
      <c r="B1933" s="19" t="inlineStr">
        <is>
          <t>Size of Tile 1000x1000 mm</t>
        </is>
      </c>
      <c r="C1933" s="20" t="n"/>
      <c r="D1933" s="20" t="n"/>
      <c r="E1933" s="20" t="n"/>
      <c r="F1933" s="20" t="n"/>
      <c r="G1933" s="20" t="n"/>
    </row>
    <row r="1934">
      <c r="A1934" s="21" t="inlineStr">
        <is>
          <t>Details of cost for 1 sqm   |   Source: CivilDAR_2019_Vol_1.pdf, page 802</t>
        </is>
      </c>
    </row>
    <row r="1935">
      <c r="A1935" s="5" t="inlineStr">
        <is>
          <t>Code</t>
        </is>
      </c>
      <c r="B1935" s="5" t="inlineStr">
        <is>
          <t>Description</t>
        </is>
      </c>
      <c r="C1935" s="5" t="inlineStr">
        <is>
          <t>Unit</t>
        </is>
      </c>
      <c r="D1935" s="5" t="inlineStr">
        <is>
          <t>Quantity</t>
        </is>
      </c>
      <c r="E1935" s="5" t="inlineStr">
        <is>
          <t>Rate (Rs.)</t>
        </is>
      </c>
      <c r="F1935" s="5" t="inlineStr">
        <is>
          <t>Amount (Rs.)</t>
        </is>
      </c>
      <c r="G1935" s="5" t="inlineStr">
        <is>
          <t>Note</t>
        </is>
      </c>
    </row>
    <row r="1936">
      <c r="A1936" s="22" t="inlineStr">
        <is>
          <t>8623</t>
        </is>
      </c>
      <c r="B1936" s="11" t="inlineStr">
        <is>
          <t>Vitrified floor tile 100x100 cm</t>
        </is>
      </c>
      <c r="C1936" s="22" t="inlineStr">
        <is>
          <t>sqm</t>
        </is>
      </c>
      <c r="D1936" s="23" t="n">
        <v>1.025</v>
      </c>
      <c r="E1936" s="24" t="n">
        <v>1390</v>
      </c>
      <c r="F1936" s="24">
        <f>D1936*E1936</f>
        <v/>
      </c>
      <c r="G1936" s="22" t="n"/>
    </row>
    <row r="1937">
      <c r="A1937" s="22" t="inlineStr">
        <is>
          <t>9977</t>
        </is>
      </c>
      <c r="B1937" s="11" t="inlineStr">
        <is>
          <t>Carriage of tiles</t>
        </is>
      </c>
      <c r="C1937" s="22" t="inlineStr">
        <is>
          <t>L.S.</t>
        </is>
      </c>
      <c r="D1937" s="23" t="n">
        <v>6.24</v>
      </c>
      <c r="E1937" s="24" t="n">
        <v>2</v>
      </c>
      <c r="F1937" s="24">
        <f>D1937*E1937</f>
        <v/>
      </c>
      <c r="G1937" s="22" t="n"/>
    </row>
    <row r="1938">
      <c r="A1938" s="22" t="inlineStr">
        <is>
          <t>8731</t>
        </is>
      </c>
      <c r="B1938" s="11" t="inlineStr">
        <is>
          <t>High polymer modified quickset tile adhesive. per</t>
        </is>
      </c>
      <c r="C1938" s="22" t="inlineStr">
        <is>
          <t>kg</t>
        </is>
      </c>
      <c r="D1938" s="23" t="n">
        <v>10</v>
      </c>
      <c r="E1938" s="24" t="n">
        <v>9</v>
      </c>
      <c r="F1938" s="24">
        <f>D1938*E1938</f>
        <v/>
      </c>
      <c r="G1938" s="22" t="n"/>
    </row>
    <row r="1939">
      <c r="A1939" s="22" t="inlineStr">
        <is>
          <t>0123</t>
        </is>
      </c>
      <c r="B1939" s="11" t="inlineStr">
        <is>
          <t>Mason (brick layer) 1st class</t>
        </is>
      </c>
      <c r="C1939" s="22" t="inlineStr">
        <is>
          <t>day</t>
        </is>
      </c>
      <c r="D1939" s="23" t="n">
        <v>0.2</v>
      </c>
      <c r="E1939" s="24" t="n">
        <v>738</v>
      </c>
      <c r="F1939" s="24">
        <f>D1939*E1939</f>
        <v/>
      </c>
      <c r="G1939" s="22" t="n"/>
    </row>
    <row r="1940">
      <c r="A1940" s="22" t="inlineStr">
        <is>
          <t>0115</t>
        </is>
      </c>
      <c r="B1940" s="11" t="inlineStr">
        <is>
          <t>Coolie</t>
        </is>
      </c>
      <c r="C1940" s="22" t="inlineStr">
        <is>
          <t>day</t>
        </is>
      </c>
      <c r="D1940" s="23" t="n">
        <v>0.4</v>
      </c>
      <c r="E1940" s="24" t="n">
        <v>558</v>
      </c>
      <c r="F1940" s="24">
        <f>D1940*E1940</f>
        <v/>
      </c>
      <c r="G1940" s="22" t="n"/>
    </row>
    <row r="1941">
      <c r="A1941" s="22" t="inlineStr">
        <is>
          <t>9988</t>
        </is>
      </c>
      <c r="B1941" s="11" t="inlineStr">
        <is>
          <t>Sundries including carriage of quick set polymer etc.</t>
        </is>
      </c>
      <c r="C1941" s="22" t="inlineStr">
        <is>
          <t>L.S.</t>
        </is>
      </c>
      <c r="D1941" s="23" t="n">
        <v>26.91</v>
      </c>
      <c r="E1941" s="24" t="n">
        <v>2</v>
      </c>
      <c r="F1941" s="24">
        <f>D1941*E1941</f>
        <v/>
      </c>
      <c r="G1941" s="22" t="n"/>
    </row>
    <row r="1942">
      <c r="A1942" s="8" t="inlineStr">
        <is>
          <t>Calculated W - SUM of the Amount column above</t>
        </is>
      </c>
      <c r="B1942" s="9" t="n"/>
      <c r="C1942" s="9" t="n"/>
      <c r="D1942" s="9" t="n"/>
      <c r="E1942" s="9" t="n"/>
      <c r="F1942" s="25">
        <f>SUM(F1936:F1941)</f>
        <v/>
      </c>
      <c r="G1942" s="9" t="n"/>
    </row>
    <row r="1943">
      <c r="A1943" s="26" t="inlineStr">
        <is>
          <t>W as printed in the DAR</t>
        </is>
      </c>
      <c r="B1943" s="22" t="n"/>
      <c r="C1943" s="22" t="n"/>
      <c r="D1943" s="22" t="n"/>
      <c r="E1943" s="22" t="n"/>
      <c r="F1943" s="27" t="n">
        <v>1951.85</v>
      </c>
      <c r="G1943" s="22" t="n"/>
    </row>
    <row r="1944">
      <c r="A1944" s="26" t="inlineStr">
        <is>
          <t>Difference (calculated - printed)</t>
        </is>
      </c>
      <c r="B1944" s="22" t="n"/>
      <c r="C1944" s="22" t="n"/>
      <c r="D1944" s="22" t="n"/>
      <c r="E1944" s="22" t="n"/>
      <c r="F1944" s="27">
        <f>F1942-F1943</f>
        <v/>
      </c>
      <c r="G1944" s="22" t="n"/>
    </row>
    <row r="1945">
      <c r="A1945" s="29" t="inlineStr">
        <is>
          <t>SAY (Rs.) - final DAR rate as printed (fixed value, not computed)</t>
        </is>
      </c>
      <c r="B1945" s="30" t="n"/>
      <c r="C1945" s="30" t="n"/>
      <c r="D1945" s="30" t="n"/>
      <c r="E1945" s="30" t="n"/>
      <c r="F1945" s="31" t="n">
        <v>2611.45</v>
      </c>
      <c r="G1945" s="30" t="n"/>
    </row>
    <row r="1947" ht="18.5" customHeight="1">
      <c r="A1947" s="18" t="inlineStr">
        <is>
          <t>11.50</t>
        </is>
      </c>
      <c r="B1947" s="19" t="inlineStr">
        <is>
          <t>Deduct for not grouting the joints with white cement and matching pigment in the items of fixing of vitrified tiles.</t>
        </is>
      </c>
      <c r="C1947" s="20" t="n"/>
      <c r="D1947" s="20" t="n"/>
      <c r="E1947" s="20" t="n"/>
      <c r="F1947" s="20" t="n"/>
      <c r="G1947" s="20" t="n"/>
    </row>
    <row r="1948">
      <c r="A1948" s="21" t="inlineStr">
        <is>
          <t>Details of cost for 1 sqm   |   Source: CivilDAR_2019_Vol_1.pdf, page 803</t>
        </is>
      </c>
    </row>
    <row r="1949">
      <c r="A1949" s="5" t="inlineStr">
        <is>
          <t>Code</t>
        </is>
      </c>
      <c r="B1949" s="5" t="inlineStr">
        <is>
          <t>Description</t>
        </is>
      </c>
      <c r="C1949" s="5" t="inlineStr">
        <is>
          <t>Unit</t>
        </is>
      </c>
      <c r="D1949" s="5" t="inlineStr">
        <is>
          <t>Quantity</t>
        </is>
      </c>
      <c r="E1949" s="5" t="inlineStr">
        <is>
          <t>Rate (Rs.)</t>
        </is>
      </c>
      <c r="F1949" s="5" t="inlineStr">
        <is>
          <t>Amount (Rs.)</t>
        </is>
      </c>
      <c r="G1949" s="5" t="inlineStr">
        <is>
          <t>Note</t>
        </is>
      </c>
    </row>
    <row r="1950">
      <c r="A1950" s="22" t="inlineStr">
        <is>
          <t>9999</t>
        </is>
      </c>
      <c r="B1950" s="11" t="inlineStr">
        <is>
          <t>Mortar for pointing in white cement with matching pigment</t>
        </is>
      </c>
      <c r="C1950" s="22" t="inlineStr">
        <is>
          <t>L.S.</t>
        </is>
      </c>
      <c r="D1950" s="23" t="n">
        <v>3.12</v>
      </c>
      <c r="E1950" s="24" t="n">
        <v>2</v>
      </c>
      <c r="F1950" s="24">
        <f>D1950*E1950</f>
        <v/>
      </c>
      <c r="G1950" s="22" t="n"/>
    </row>
    <row r="1951">
      <c r="A1951" s="22" t="inlineStr">
        <is>
          <t>9999</t>
        </is>
      </c>
      <c r="B1951" s="11" t="inlineStr">
        <is>
          <t>LABOUR</t>
        </is>
      </c>
      <c r="C1951" s="22" t="inlineStr">
        <is>
          <t>L.S.</t>
        </is>
      </c>
      <c r="D1951" s="23" t="n">
        <v>1</v>
      </c>
      <c r="E1951" s="24" t="n">
        <v>2</v>
      </c>
      <c r="F1951" s="24">
        <f>D1951*E1951</f>
        <v/>
      </c>
      <c r="G1951" s="22" t="n"/>
    </row>
    <row r="1952">
      <c r="A1952" s="8" t="inlineStr">
        <is>
          <t>Calculated W - SUM of the Amount column above</t>
        </is>
      </c>
      <c r="B1952" s="9" t="n"/>
      <c r="C1952" s="9" t="n"/>
      <c r="D1952" s="9" t="n"/>
      <c r="E1952" s="9" t="n"/>
      <c r="F1952" s="25">
        <f>SUM(F1950:F1951)</f>
        <v/>
      </c>
      <c r="G1952" s="9" t="n"/>
    </row>
    <row r="1953">
      <c r="A1953" s="26" t="inlineStr">
        <is>
          <t>W as printed in the DAR</t>
        </is>
      </c>
      <c r="B1953" s="22" t="n"/>
      <c r="C1953" s="22" t="n"/>
      <c r="D1953" s="22" t="n"/>
      <c r="E1953" s="22" t="n"/>
      <c r="F1953" s="27" t="n">
        <v>8.24</v>
      </c>
      <c r="G1953" s="22" t="n"/>
    </row>
    <row r="1954">
      <c r="A1954" s="26" t="inlineStr">
        <is>
          <t>Difference (calculated - printed)</t>
        </is>
      </c>
      <c r="B1954" s="22" t="n"/>
      <c r="C1954" s="22" t="n"/>
      <c r="D1954" s="22" t="n"/>
      <c r="E1954" s="22" t="n"/>
      <c r="F1954" s="27">
        <f>F1952-F1953</f>
        <v/>
      </c>
      <c r="G1954" s="22" t="n"/>
    </row>
    <row r="1955">
      <c r="A1955" s="29" t="inlineStr">
        <is>
          <t>SAY (Rs.) - final DAR rate as printed (fixed value, not computed)</t>
        </is>
      </c>
      <c r="B1955" s="30" t="n"/>
      <c r="C1955" s="30" t="n"/>
      <c r="D1955" s="30" t="n"/>
      <c r="E1955" s="30" t="n"/>
      <c r="F1955" s="31" t="n">
        <v>11</v>
      </c>
      <c r="G1955" s="30" t="n"/>
    </row>
    <row r="1957" ht="76.5" customHeight="1">
      <c r="A1957" s="8" t="inlineStr">
        <is>
          <t>11.51</t>
        </is>
      </c>
      <c r="B1957" s="17" t="inlineStr">
        <is>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is>
      </c>
      <c r="C1957" s="9" t="n"/>
      <c r="D1957" s="9" t="n"/>
      <c r="E1957" s="9" t="n"/>
      <c r="F1957" s="9" t="n"/>
      <c r="G1957" s="9" t="n"/>
    </row>
    <row r="1958" ht="18.5" customHeight="1">
      <c r="A1958" s="18" t="inlineStr">
        <is>
          <t>11.51.1</t>
        </is>
      </c>
      <c r="B1958" s="19" t="inlineStr">
        <is>
          <t>18 mm thick Italian Marble stone slab, Perlato, Rosso verona, Fire Red or Dark Emperadore etc.</t>
        </is>
      </c>
      <c r="C1958" s="20" t="n"/>
      <c r="D1958" s="20" t="n"/>
      <c r="E1958" s="20" t="n"/>
      <c r="F1958" s="20" t="n"/>
      <c r="G1958" s="20" t="n"/>
    </row>
    <row r="1959">
      <c r="A1959" s="21" t="inlineStr">
        <is>
          <t>Details of cost for 10 sqm   |   Source: CivilDAR_2019_Vol_1.pdf, page 803</t>
        </is>
      </c>
    </row>
    <row r="1960">
      <c r="A1960" s="5" t="inlineStr">
        <is>
          <t>Code</t>
        </is>
      </c>
      <c r="B1960" s="5" t="inlineStr">
        <is>
          <t>Description</t>
        </is>
      </c>
      <c r="C1960" s="5" t="inlineStr">
        <is>
          <t>Unit</t>
        </is>
      </c>
      <c r="D1960" s="5" t="inlineStr">
        <is>
          <t>Quantity</t>
        </is>
      </c>
      <c r="E1960" s="5" t="inlineStr">
        <is>
          <t>Rate (Rs.)</t>
        </is>
      </c>
      <c r="F1960" s="5" t="inlineStr">
        <is>
          <t>Amount (Rs.)</t>
        </is>
      </c>
      <c r="G1960" s="5" t="inlineStr">
        <is>
          <t>Note</t>
        </is>
      </c>
    </row>
    <row r="1961">
      <c r="A1961" s="22" t="inlineStr">
        <is>
          <t>1240</t>
        </is>
      </c>
      <c r="B1961" s="11" t="inlineStr">
        <is>
          <t>18 mm thick Italian Marble stone slab, Base mortar1:4 (1 cement : 4 coarse sand)</t>
        </is>
      </c>
      <c r="C1961" s="22" t="inlineStr">
        <is>
          <t>sqm</t>
        </is>
      </c>
      <c r="D1961" s="23" t="n">
        <v>11.5</v>
      </c>
      <c r="E1961" s="24" t="n">
        <v>3209</v>
      </c>
      <c r="F1961" s="24">
        <f>D1961*E1961</f>
        <v/>
      </c>
      <c r="G1961" s="22" t="n"/>
    </row>
    <row r="1962">
      <c r="A1962" s="7" t="inlineStr">
        <is>
          <t>3.9</t>
        </is>
      </c>
      <c r="B1962" s="11" t="inlineStr">
        <is>
          <t>Rate as per item 3.9 - Cement mortar 1:4 (1 cement : 4 coarse sand)</t>
        </is>
      </c>
      <c r="C1962" s="22" t="inlineStr">
        <is>
          <t>cum</t>
        </is>
      </c>
      <c r="D1962" s="23" t="n">
        <v>0.224</v>
      </c>
      <c r="E1962" s="24" t="n">
        <v>4010.35</v>
      </c>
      <c r="F1962" s="24">
        <f>D1962*E1962</f>
        <v/>
      </c>
      <c r="G1962" s="34" t="inlineStr">
        <is>
          <t>DAR prints 889.39; Quantity x Rate = 898.32</t>
        </is>
      </c>
    </row>
    <row r="1963">
      <c r="A1963" s="22" t="inlineStr">
        <is>
          <t>0368</t>
        </is>
      </c>
      <c r="B1963" s="11" t="inlineStr">
        <is>
          <t>White Cement</t>
        </is>
      </c>
      <c r="C1963" s="22" t="inlineStr">
        <is>
          <t>tonne</t>
        </is>
      </c>
      <c r="D1963" s="23" t="n">
        <v>0.05</v>
      </c>
      <c r="E1963" s="24" t="n">
        <v>11200</v>
      </c>
      <c r="F1963" s="24">
        <f>D1963*E1963</f>
        <v/>
      </c>
      <c r="G1963" s="22" t="n"/>
    </row>
    <row r="1964">
      <c r="A1964" s="22" t="inlineStr">
        <is>
          <t>2209</t>
        </is>
      </c>
      <c r="B1964" s="11" t="inlineStr">
        <is>
          <t>Carriage of white Cement</t>
        </is>
      </c>
      <c r="C1964" s="22" t="inlineStr">
        <is>
          <t>tonne</t>
        </is>
      </c>
      <c r="D1964" s="23" t="n">
        <v>0.05</v>
      </c>
      <c r="E1964" s="24" t="n">
        <v>92.23999999999999</v>
      </c>
      <c r="F1964" s="24">
        <f>D1964*E1964</f>
        <v/>
      </c>
      <c r="G1964" s="22" t="n"/>
    </row>
    <row r="1965">
      <c r="A1965" s="22" t="inlineStr">
        <is>
          <t>9999</t>
        </is>
      </c>
      <c r="B1965" s="11" t="inlineStr">
        <is>
          <t>carriage of marble slab</t>
        </is>
      </c>
      <c r="C1965" s="22" t="inlineStr">
        <is>
          <t>L.S.</t>
        </is>
      </c>
      <c r="D1965" s="23" t="n">
        <v>26.91</v>
      </c>
      <c r="E1965" s="24" t="n">
        <v>2</v>
      </c>
      <c r="F1965" s="24">
        <f>D1965*E1965</f>
        <v/>
      </c>
      <c r="G1965" s="34" t="inlineStr">
        <is>
          <t>DAR prints 46.55; Quantity x Rate = 53.82</t>
        </is>
      </c>
    </row>
    <row r="1966">
      <c r="A1966" s="22" t="inlineStr">
        <is>
          <t>0123</t>
        </is>
      </c>
      <c r="B1966" s="11" t="inlineStr">
        <is>
          <t>Mason (brick layer) 1st class</t>
        </is>
      </c>
      <c r="C1966" s="22" t="inlineStr">
        <is>
          <t>day</t>
        </is>
      </c>
      <c r="D1966" s="23" t="n">
        <v>1.2</v>
      </c>
      <c r="E1966" s="24" t="n">
        <v>738</v>
      </c>
      <c r="F1966" s="24">
        <f>D1966*E1966</f>
        <v/>
      </c>
      <c r="G1966" s="22" t="n"/>
    </row>
    <row r="1967">
      <c r="A1967" s="22" t="inlineStr">
        <is>
          <t>0114</t>
        </is>
      </c>
      <c r="B1967" s="11" t="inlineStr">
        <is>
          <t>Beldar</t>
        </is>
      </c>
      <c r="C1967" s="22" t="inlineStr">
        <is>
          <t>day</t>
        </is>
      </c>
      <c r="D1967" s="23" t="n">
        <v>1</v>
      </c>
      <c r="E1967" s="24" t="n">
        <v>558</v>
      </c>
      <c r="F1967" s="24">
        <f>D1967*E1967</f>
        <v/>
      </c>
      <c r="G1967" s="22" t="n"/>
    </row>
    <row r="1968">
      <c r="A1968" s="22" t="inlineStr">
        <is>
          <t>0115</t>
        </is>
      </c>
      <c r="B1968" s="11" t="inlineStr">
        <is>
          <t>Coolie</t>
        </is>
      </c>
      <c r="C1968" s="22" t="inlineStr">
        <is>
          <t>day</t>
        </is>
      </c>
      <c r="D1968" s="23" t="n">
        <v>1</v>
      </c>
      <c r="E1968" s="24" t="n">
        <v>558</v>
      </c>
      <c r="F1968" s="24">
        <f>D1968*E1968</f>
        <v/>
      </c>
      <c r="G1968" s="22" t="n"/>
    </row>
    <row r="1969">
      <c r="A1969" s="22" t="inlineStr">
        <is>
          <t>0139</t>
        </is>
      </c>
      <c r="B1969" s="11" t="inlineStr">
        <is>
          <t>Skilled Beldar (for floor rubbing etc.)</t>
        </is>
      </c>
      <c r="C1969" s="22" t="inlineStr">
        <is>
          <t>day</t>
        </is>
      </c>
      <c r="D1969" s="23" t="n">
        <v>5</v>
      </c>
      <c r="E1969" s="24" t="n">
        <v>617</v>
      </c>
      <c r="F1969" s="24">
        <f>D1969*E1969</f>
        <v/>
      </c>
      <c r="G1969" s="22" t="n"/>
    </row>
    <row r="1970">
      <c r="A1970" s="22" t="inlineStr">
        <is>
          <t>0013</t>
        </is>
      </c>
      <c r="B1970" s="11" t="inlineStr">
        <is>
          <t>Machine for rubbing of floors</t>
        </is>
      </c>
      <c r="C1970" s="22" t="inlineStr">
        <is>
          <t>day</t>
        </is>
      </c>
      <c r="D1970" s="23" t="n">
        <v>4</v>
      </c>
      <c r="E1970" s="24" t="n">
        <v>300</v>
      </c>
      <c r="F1970" s="24">
        <f>D1970*E1970</f>
        <v/>
      </c>
      <c r="G1970" s="22" t="n"/>
    </row>
    <row r="1971">
      <c r="A1971" s="22" t="inlineStr">
        <is>
          <t>9999</t>
        </is>
      </c>
      <c r="B1971" s="11" t="inlineStr">
        <is>
          <t>Mortar for pointing in white cement</t>
        </is>
      </c>
      <c r="C1971" s="22" t="inlineStr">
        <is>
          <t>L.S.</t>
        </is>
      </c>
      <c r="D1971" s="23" t="n">
        <v>25.74</v>
      </c>
      <c r="E1971" s="24" t="n">
        <v>2</v>
      </c>
      <c r="F1971" s="24">
        <f>D1971*E1971</f>
        <v/>
      </c>
      <c r="G1971" s="22" t="n"/>
    </row>
    <row r="1972">
      <c r="A1972" s="8" t="inlineStr">
        <is>
          <t>Calculated W - SUM of the Amount column above</t>
        </is>
      </c>
      <c r="B1972" s="9" t="n"/>
      <c r="C1972" s="9" t="n"/>
      <c r="D1972" s="9" t="n"/>
      <c r="E1972" s="9" t="n"/>
      <c r="F1972" s="25">
        <f>SUM(F1961:F1971)</f>
        <v/>
      </c>
      <c r="G1972" s="9" t="n"/>
    </row>
    <row r="1973">
      <c r="A1973" s="26" t="inlineStr">
        <is>
          <t>W as printed in the DAR</t>
        </is>
      </c>
      <c r="B1973" s="22" t="n"/>
      <c r="C1973" s="22" t="n"/>
      <c r="D1973" s="22" t="n"/>
      <c r="E1973" s="22" t="n"/>
      <c r="F1973" s="27" t="n">
        <v>44742.13</v>
      </c>
      <c r="G1973" s="22" t="n"/>
    </row>
    <row r="1974">
      <c r="A1974" s="26" t="inlineStr">
        <is>
          <t>Difference (calculated - printed)</t>
        </is>
      </c>
      <c r="B1974" s="22" t="n"/>
      <c r="C1974" s="22" t="n"/>
      <c r="D1974" s="22" t="n"/>
      <c r="E1974" s="22" t="n"/>
      <c r="F1974" s="27">
        <f>F1972-F1973</f>
        <v/>
      </c>
      <c r="G1974" s="28" t="inlineStr">
        <is>
          <t>DAR's own arithmetic slip(s) - see Cover errata</t>
        </is>
      </c>
    </row>
    <row r="1975">
      <c r="A1975" s="29" t="inlineStr">
        <is>
          <t>SAY (Rs.) - final DAR rate as printed (fixed value, not computed)</t>
        </is>
      </c>
      <c r="B1975" s="30" t="n"/>
      <c r="C1975" s="30" t="n"/>
      <c r="D1975" s="30" t="n"/>
      <c r="E1975" s="30" t="n"/>
      <c r="F1975" s="31" t="n">
        <v>5986.2</v>
      </c>
      <c r="G1975" s="30" t="n"/>
    </row>
    <row r="1977" ht="91" customHeight="1">
      <c r="A1977" s="8" t="inlineStr">
        <is>
          <t>11.52</t>
        </is>
      </c>
      <c r="B1977" s="17" t="inlineStr">
        <is>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is>
      </c>
      <c r="C1977" s="9" t="n"/>
      <c r="D1977" s="9" t="n"/>
      <c r="E1977" s="9" t="n"/>
      <c r="F1977" s="9" t="n"/>
      <c r="G1977" s="9" t="n"/>
    </row>
    <row r="1978" ht="18.5" customHeight="1">
      <c r="A1978" s="18" t="inlineStr">
        <is>
          <t>11.52.1</t>
        </is>
      </c>
      <c r="B1978" s="19" t="inlineStr">
        <is>
          <t>18 mm thick Italian Marble stone slab, Perlato, Rosso verona, Fire Red or Dark Emperadore etc.</t>
        </is>
      </c>
      <c r="C1978" s="20" t="n"/>
      <c r="D1978" s="20" t="n"/>
      <c r="E1978" s="20" t="n"/>
      <c r="F1978" s="20" t="n"/>
      <c r="G1978" s="20" t="n"/>
    </row>
    <row r="1979">
      <c r="A1979" s="21" t="inlineStr">
        <is>
          <t>Details of cost for 10 sq.m   |   Source: CivilDAR_2019_Vol_1.pdf, page 804</t>
        </is>
      </c>
    </row>
    <row r="1980">
      <c r="A1980" s="5" t="inlineStr">
        <is>
          <t>Code</t>
        </is>
      </c>
      <c r="B1980" s="5" t="inlineStr">
        <is>
          <t>Description</t>
        </is>
      </c>
      <c r="C1980" s="5" t="inlineStr">
        <is>
          <t>Unit</t>
        </is>
      </c>
      <c r="D1980" s="5" t="inlineStr">
        <is>
          <t>Quantity</t>
        </is>
      </c>
      <c r="E1980" s="5" t="inlineStr">
        <is>
          <t>Rate (Rs.)</t>
        </is>
      </c>
      <c r="F1980" s="5" t="inlineStr">
        <is>
          <t>Amount (Rs.)</t>
        </is>
      </c>
      <c r="G1980" s="5" t="inlineStr">
        <is>
          <t>Note</t>
        </is>
      </c>
    </row>
    <row r="1981">
      <c r="A1981" s="22" t="inlineStr">
        <is>
          <t>1240</t>
        </is>
      </c>
      <c r="B1981" s="11" t="inlineStr">
        <is>
          <t>18 mm thick Italian Marble stone slab, Base mortar1:4 (1 cement :4 coarse sand)</t>
        </is>
      </c>
      <c r="C1981" s="22" t="inlineStr">
        <is>
          <t>sqm</t>
        </is>
      </c>
      <c r="D1981" s="23" t="n">
        <v>12</v>
      </c>
      <c r="E1981" s="24" t="n">
        <v>3209</v>
      </c>
      <c r="F1981" s="24">
        <f>D1981*E1981</f>
        <v/>
      </c>
      <c r="G1981" s="22" t="n"/>
    </row>
    <row r="1982">
      <c r="A1982" s="7" t="inlineStr">
        <is>
          <t>3.9</t>
        </is>
      </c>
      <c r="B1982" s="11" t="inlineStr">
        <is>
          <t>Rate as per item 3.9 - Cement mortar 1:4 (1 cement : 4 coarse sand)</t>
        </is>
      </c>
      <c r="C1982" s="22" t="inlineStr">
        <is>
          <t>cum</t>
        </is>
      </c>
      <c r="D1982" s="23" t="n">
        <v>0.224</v>
      </c>
      <c r="E1982" s="24" t="n">
        <v>4010.35</v>
      </c>
      <c r="F1982" s="24">
        <f>D1982*E1982</f>
        <v/>
      </c>
      <c r="G1982" s="22" t="n"/>
    </row>
    <row r="1983">
      <c r="A1983" s="22" t="inlineStr">
        <is>
          <t>0368</t>
        </is>
      </c>
      <c r="B1983" s="11" t="inlineStr">
        <is>
          <t>White Cement</t>
        </is>
      </c>
      <c r="C1983" s="22" t="inlineStr">
        <is>
          <t>tonne</t>
        </is>
      </c>
      <c r="D1983" s="23" t="n">
        <v>0.05</v>
      </c>
      <c r="E1983" s="24" t="n">
        <v>11200</v>
      </c>
      <c r="F1983" s="24">
        <f>D1983*E1983</f>
        <v/>
      </c>
      <c r="G1983" s="22" t="n"/>
    </row>
    <row r="1984">
      <c r="A1984" s="22" t="inlineStr">
        <is>
          <t>2209</t>
        </is>
      </c>
      <c r="B1984" s="11" t="inlineStr">
        <is>
          <t>Carriage of white Cement</t>
        </is>
      </c>
      <c r="C1984" s="22" t="inlineStr">
        <is>
          <t>tonne</t>
        </is>
      </c>
      <c r="D1984" s="23" t="n">
        <v>0.05</v>
      </c>
      <c r="E1984" s="24" t="n">
        <v>92.23999999999999</v>
      </c>
      <c r="F1984" s="24">
        <f>D1984*E1984</f>
        <v/>
      </c>
      <c r="G1984" s="22" t="n"/>
    </row>
    <row r="1985">
      <c r="A1985" s="22" t="inlineStr">
        <is>
          <t>9999</t>
        </is>
      </c>
      <c r="B1985" s="11" t="inlineStr">
        <is>
          <t>carriage of marble slab</t>
        </is>
      </c>
      <c r="C1985" s="22" t="inlineStr">
        <is>
          <t>L.S.</t>
        </is>
      </c>
      <c r="D1985" s="23" t="n">
        <v>26.91</v>
      </c>
      <c r="E1985" s="24" t="n">
        <v>2</v>
      </c>
      <c r="F1985" s="24">
        <f>D1985*E1985</f>
        <v/>
      </c>
      <c r="G1985" s="22" t="n"/>
    </row>
    <row r="1986">
      <c r="A1986" s="22" t="inlineStr">
        <is>
          <t>0123</t>
        </is>
      </c>
      <c r="B1986" s="11" t="inlineStr">
        <is>
          <t>Mason (brick layer) 1st class</t>
        </is>
      </c>
      <c r="C1986" s="22" t="inlineStr">
        <is>
          <t>day</t>
        </is>
      </c>
      <c r="D1986" s="23" t="n">
        <v>1.75</v>
      </c>
      <c r="E1986" s="24" t="n">
        <v>738</v>
      </c>
      <c r="F1986" s="24">
        <f>D1986*E1986</f>
        <v/>
      </c>
      <c r="G1986" s="22" t="n"/>
    </row>
    <row r="1987">
      <c r="A1987" s="22" t="inlineStr">
        <is>
          <t>0114</t>
        </is>
      </c>
      <c r="B1987" s="11" t="inlineStr">
        <is>
          <t>Beldar</t>
        </is>
      </c>
      <c r="C1987" s="22" t="inlineStr">
        <is>
          <t>day</t>
        </is>
      </c>
      <c r="D1987" s="23" t="n">
        <v>1.25</v>
      </c>
      <c r="E1987" s="24" t="n">
        <v>558</v>
      </c>
      <c r="F1987" s="24">
        <f>D1987*E1987</f>
        <v/>
      </c>
      <c r="G1987" s="22" t="n"/>
    </row>
    <row r="1988">
      <c r="A1988" s="22" t="inlineStr">
        <is>
          <t>0115</t>
        </is>
      </c>
      <c r="B1988" s="11" t="inlineStr">
        <is>
          <t>Coolie</t>
        </is>
      </c>
      <c r="C1988" s="22" t="inlineStr">
        <is>
          <t>day</t>
        </is>
      </c>
      <c r="D1988" s="23" t="n">
        <v>1</v>
      </c>
      <c r="E1988" s="24" t="n">
        <v>558</v>
      </c>
      <c r="F1988" s="24">
        <f>D1988*E1988</f>
        <v/>
      </c>
      <c r="G1988" s="22" t="n"/>
    </row>
    <row r="1989">
      <c r="A1989" s="22" t="inlineStr">
        <is>
          <t>0139</t>
        </is>
      </c>
      <c r="B1989" s="11" t="inlineStr">
        <is>
          <t>Skilled Beldar (for floor rubbing etc.)</t>
        </is>
      </c>
      <c r="C1989" s="22" t="inlineStr">
        <is>
          <t>day</t>
        </is>
      </c>
      <c r="D1989" s="23" t="n">
        <v>5</v>
      </c>
      <c r="E1989" s="24" t="n">
        <v>617</v>
      </c>
      <c r="F1989" s="24">
        <f>D1989*E1989</f>
        <v/>
      </c>
      <c r="G1989" s="22" t="n"/>
    </row>
    <row r="1990">
      <c r="A1990" s="22" t="inlineStr">
        <is>
          <t>0013</t>
        </is>
      </c>
      <c r="B1990" s="11" t="inlineStr">
        <is>
          <t>Machine for rubbing of floors</t>
        </is>
      </c>
      <c r="C1990" s="22" t="inlineStr">
        <is>
          <t>day</t>
        </is>
      </c>
      <c r="D1990" s="23" t="n">
        <v>4</v>
      </c>
      <c r="E1990" s="24" t="n">
        <v>300</v>
      </c>
      <c r="F1990" s="24">
        <f>D1990*E1990</f>
        <v/>
      </c>
      <c r="G1990" s="22" t="n"/>
    </row>
    <row r="1991">
      <c r="A1991" s="22" t="inlineStr">
        <is>
          <t>9999</t>
        </is>
      </c>
      <c r="B1991" s="11" t="inlineStr">
        <is>
          <t>Mortar for pointing in white cement</t>
        </is>
      </c>
      <c r="C1991" s="22" t="inlineStr">
        <is>
          <t>L.S.</t>
        </is>
      </c>
      <c r="D1991" s="23" t="n">
        <v>25.74</v>
      </c>
      <c r="E1991" s="24" t="n">
        <v>2</v>
      </c>
      <c r="F1991" s="24">
        <f>D1991*E1991</f>
        <v/>
      </c>
      <c r="G1991" s="22" t="n"/>
    </row>
    <row r="1992">
      <c r="A1992" s="8" t="inlineStr">
        <is>
          <t>Calculated W - SUM of the Amount column above</t>
        </is>
      </c>
      <c r="B1992" s="9" t="n"/>
      <c r="C1992" s="9" t="n"/>
      <c r="D1992" s="9" t="n"/>
      <c r="E1992" s="9" t="n"/>
      <c r="F1992" s="25">
        <f>SUM(F1981:F1991)</f>
        <v/>
      </c>
      <c r="G1992" s="9" t="n"/>
    </row>
    <row r="1993">
      <c r="A1993" s="26" t="inlineStr">
        <is>
          <t>W as printed in the DAR</t>
        </is>
      </c>
      <c r="B1993" s="22" t="n"/>
      <c r="C1993" s="22" t="n"/>
      <c r="D1993" s="22" t="n"/>
      <c r="E1993" s="22" t="n"/>
      <c r="F1993" s="27" t="n">
        <v>46908.23</v>
      </c>
      <c r="G1993" s="22" t="n"/>
    </row>
    <row r="1994">
      <c r="A1994" s="26" t="inlineStr">
        <is>
          <t>Difference (calculated - printed)</t>
        </is>
      </c>
      <c r="B1994" s="22" t="n"/>
      <c r="C1994" s="22" t="n"/>
      <c r="D1994" s="22" t="n"/>
      <c r="E1994" s="22" t="n"/>
      <c r="F1994" s="27">
        <f>F1992-F1993</f>
        <v/>
      </c>
      <c r="G1994" s="22" t="n"/>
    </row>
    <row r="1995">
      <c r="A1995" s="29" t="inlineStr">
        <is>
          <t>SAY (Rs.) - final DAR rate as printed (fixed value, not computed)</t>
        </is>
      </c>
      <c r="B1995" s="30" t="n"/>
      <c r="C1995" s="30" t="n"/>
      <c r="D1995" s="30" t="n"/>
      <c r="E1995" s="30" t="n"/>
      <c r="F1995" s="31" t="n">
        <v>6276.05</v>
      </c>
      <c r="G1995" s="30" t="n"/>
    </row>
    <row r="1997" ht="62" customHeight="1">
      <c r="A1997" s="18" t="inlineStr">
        <is>
          <t>11.53</t>
        </is>
      </c>
      <c r="B1997" s="19" t="inlineStr">
        <is>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t>
        </is>
      </c>
      <c r="C1997" s="20" t="n"/>
      <c r="D1997" s="20" t="n"/>
      <c r="E1997" s="20" t="n"/>
      <c r="F1997" s="20" t="n"/>
      <c r="G1997" s="20" t="n"/>
    </row>
    <row r="1998">
      <c r="A1998" s="21" t="inlineStr">
        <is>
          <t>Details of cost for 8 sqm   |   Source: CivilDAR_2019_Vol_1.pdf, page 805</t>
        </is>
      </c>
    </row>
    <row r="1999">
      <c r="A1999" s="5" t="inlineStr">
        <is>
          <t>Code</t>
        </is>
      </c>
      <c r="B1999" s="5" t="inlineStr">
        <is>
          <t>Description</t>
        </is>
      </c>
      <c r="C1999" s="5" t="inlineStr">
        <is>
          <t>Unit</t>
        </is>
      </c>
      <c r="D1999" s="5" t="inlineStr">
        <is>
          <t>Quantity</t>
        </is>
      </c>
      <c r="E1999" s="5" t="inlineStr">
        <is>
          <t>Rate (Rs.)</t>
        </is>
      </c>
      <c r="F1999" s="5" t="inlineStr">
        <is>
          <t>Amount (Rs.)</t>
        </is>
      </c>
      <c r="G1999" s="5" t="inlineStr">
        <is>
          <t>Note</t>
        </is>
      </c>
    </row>
    <row r="2000">
      <c r="A2000" s="22" t="inlineStr">
        <is>
          <t>1242</t>
        </is>
      </c>
      <c r="B2000" s="11" t="inlineStr">
        <is>
          <t>Glass mossaic tiles (20 mm x 20 mm x 4 mm)</t>
        </is>
      </c>
      <c r="C2000" s="22" t="inlineStr">
        <is>
          <t>sqm</t>
        </is>
      </c>
      <c r="D2000" s="23" t="n">
        <v>8.199999999999999</v>
      </c>
      <c r="E2000" s="24" t="n">
        <v>2049</v>
      </c>
      <c r="F2000" s="24">
        <f>D2000*E2000</f>
        <v/>
      </c>
      <c r="G2000" s="22" t="n"/>
    </row>
    <row r="2001">
      <c r="A2001" s="22" t="inlineStr">
        <is>
          <t>1243</t>
        </is>
      </c>
      <c r="B2001" s="11" t="inlineStr">
        <is>
          <t>Tile fixing chemical adhesive</t>
        </is>
      </c>
      <c r="C2001" s="22" t="inlineStr">
        <is>
          <t>kg</t>
        </is>
      </c>
      <c r="D2001" s="23" t="n">
        <v>20</v>
      </c>
      <c r="E2001" s="24" t="n">
        <v>8.699999999999999</v>
      </c>
      <c r="F2001" s="24">
        <f>D2001*E2001</f>
        <v/>
      </c>
      <c r="G2001" s="22" t="n"/>
    </row>
    <row r="2002">
      <c r="A2002" s="22" t="inlineStr">
        <is>
          <t>1244</t>
        </is>
      </c>
      <c r="B2002" s="11" t="inlineStr">
        <is>
          <t>Cement Polymer Grout Compound</t>
        </is>
      </c>
      <c r="C2002" s="22" t="inlineStr">
        <is>
          <t>kg</t>
        </is>
      </c>
      <c r="D2002" s="23" t="n">
        <v>10</v>
      </c>
      <c r="E2002" s="24" t="n">
        <v>16</v>
      </c>
      <c r="F2002" s="24">
        <f>D2002*E2002</f>
        <v/>
      </c>
      <c r="G2002" s="22" t="n"/>
    </row>
    <row r="2003">
      <c r="A2003" s="22" t="inlineStr">
        <is>
          <t>1245</t>
        </is>
      </c>
      <c r="B2003" s="11" t="inlineStr">
        <is>
          <t>Acid for cleaning tiles</t>
        </is>
      </c>
      <c r="C2003" s="22" t="inlineStr">
        <is>
          <t>litre</t>
        </is>
      </c>
      <c r="D2003" s="23" t="n">
        <v>4</v>
      </c>
      <c r="E2003" s="24" t="n">
        <v>18</v>
      </c>
      <c r="F2003" s="24">
        <f>D2003*E2003</f>
        <v/>
      </c>
      <c r="G2003" s="22" t="n"/>
    </row>
    <row r="2004">
      <c r="A2004" s="22" t="inlineStr">
        <is>
          <t>9999</t>
        </is>
      </c>
      <c r="B2004" s="11" t="inlineStr">
        <is>
          <t>carriage of marble slab</t>
        </is>
      </c>
      <c r="C2004" s="22" t="inlineStr">
        <is>
          <t>L.S.</t>
        </is>
      </c>
      <c r="D2004" s="23" t="n">
        <v>49.92</v>
      </c>
      <c r="E2004" s="24" t="n">
        <v>2</v>
      </c>
      <c r="F2004" s="24">
        <f>D2004*E2004</f>
        <v/>
      </c>
      <c r="G2004" s="22" t="n"/>
    </row>
    <row r="2005">
      <c r="A2005" s="22" t="inlineStr">
        <is>
          <t>0123</t>
        </is>
      </c>
      <c r="B2005" s="11" t="inlineStr">
        <is>
          <t>Mason (brick layer) 1st class</t>
        </is>
      </c>
      <c r="C2005" s="22" t="inlineStr">
        <is>
          <t>day</t>
        </is>
      </c>
      <c r="D2005" s="23" t="n">
        <v>1.6</v>
      </c>
      <c r="E2005" s="24" t="n">
        <v>738</v>
      </c>
      <c r="F2005" s="24">
        <f>D2005*E2005</f>
        <v/>
      </c>
      <c r="G2005" s="22" t="n"/>
    </row>
    <row r="2006">
      <c r="A2006" s="22" t="inlineStr">
        <is>
          <t>0115</t>
        </is>
      </c>
      <c r="B2006" s="11" t="inlineStr">
        <is>
          <t>Coolie</t>
        </is>
      </c>
      <c r="C2006" s="22" t="inlineStr">
        <is>
          <t>day</t>
        </is>
      </c>
      <c r="D2006" s="23" t="n">
        <v>1.6</v>
      </c>
      <c r="E2006" s="24" t="n">
        <v>558</v>
      </c>
      <c r="F2006" s="24">
        <f>D2006*E2006</f>
        <v/>
      </c>
      <c r="G2006" s="22" t="n"/>
    </row>
    <row r="2007">
      <c r="A2007" s="22" t="inlineStr">
        <is>
          <t>9999</t>
        </is>
      </c>
      <c r="B2007" s="11" t="inlineStr">
        <is>
          <t>Sundries including carriage of adhesive etc.</t>
        </is>
      </c>
      <c r="C2007" s="22" t="inlineStr">
        <is>
          <t>L.S.</t>
        </is>
      </c>
      <c r="D2007" s="23" t="n">
        <v>26.91</v>
      </c>
      <c r="E2007" s="24" t="n">
        <v>2</v>
      </c>
      <c r="F2007" s="24">
        <f>D2007*E2007</f>
        <v/>
      </c>
      <c r="G2007" s="22" t="n"/>
    </row>
    <row r="2008">
      <c r="A2008" s="8" t="inlineStr">
        <is>
          <t>Calculated W - SUM of the Amount column above</t>
        </is>
      </c>
      <c r="B2008" s="9" t="n"/>
      <c r="C2008" s="9" t="n"/>
      <c r="D2008" s="9" t="n"/>
      <c r="E2008" s="9" t="n"/>
      <c r="F2008" s="25">
        <f>SUM(F2000:F2007)</f>
        <v/>
      </c>
      <c r="G2008" s="9" t="n"/>
    </row>
    <row r="2009">
      <c r="A2009" s="26" t="inlineStr">
        <is>
          <t>W as printed in the DAR</t>
        </is>
      </c>
      <c r="B2009" s="22" t="n"/>
      <c r="C2009" s="22" t="n"/>
      <c r="D2009" s="22" t="n"/>
      <c r="E2009" s="22" t="n"/>
      <c r="F2009" s="27" t="n">
        <v>19435.06</v>
      </c>
      <c r="G2009" s="22" t="n"/>
    </row>
    <row r="2010">
      <c r="A2010" s="26" t="inlineStr">
        <is>
          <t>Difference (calculated - printed)</t>
        </is>
      </c>
      <c r="B2010" s="22" t="n"/>
      <c r="C2010" s="22" t="n"/>
      <c r="D2010" s="22" t="n"/>
      <c r="E2010" s="22" t="n"/>
      <c r="F2010" s="27">
        <f>F2008-F2009</f>
        <v/>
      </c>
      <c r="G2010" s="22" t="n"/>
    </row>
    <row r="2011">
      <c r="A2011" s="29" t="inlineStr">
        <is>
          <t>SAY (Rs.) - final DAR rate as printed (fixed value, not computed)</t>
        </is>
      </c>
      <c r="B2011" s="30" t="n"/>
      <c r="C2011" s="30" t="n"/>
      <c r="D2011" s="30" t="n"/>
      <c r="E2011" s="30" t="n"/>
      <c r="F2011" s="31" t="n">
        <v>3250.35</v>
      </c>
      <c r="G2011" s="30" t="n"/>
    </row>
    <row r="2013" ht="105.5" customHeight="1">
      <c r="A2013" s="8" t="inlineStr">
        <is>
          <t>11.54</t>
        </is>
      </c>
      <c r="B2013" s="17"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t>
        </is>
      </c>
      <c r="C2013" s="9" t="n"/>
      <c r="D2013" s="9" t="n"/>
      <c r="E2013" s="9" t="n"/>
      <c r="F2013" s="9" t="n"/>
      <c r="G2013" s="9" t="n"/>
    </row>
    <row r="2014" ht="18.5" customHeight="1">
      <c r="A2014" s="18" t="inlineStr">
        <is>
          <t>11.54.1</t>
        </is>
      </c>
      <c r="B2014" s="19" t="inlineStr">
        <is>
          <t>300 mm Finished Floor Height (FFH)</t>
        </is>
      </c>
      <c r="C2014" s="20" t="n"/>
      <c r="D2014" s="20" t="n"/>
      <c r="E2014" s="20" t="n"/>
      <c r="F2014" s="20" t="n"/>
      <c r="G2014" s="20" t="n"/>
    </row>
    <row r="2015">
      <c r="A2015" s="21" t="inlineStr">
        <is>
          <t>Details of cost for 100 sqm   |   Source: CivilDAR_2019_Vol_1.pdf, page 807</t>
        </is>
      </c>
    </row>
    <row r="2016">
      <c r="A2016" s="5" t="inlineStr">
        <is>
          <t>Code</t>
        </is>
      </c>
      <c r="B2016" s="5" t="inlineStr">
        <is>
          <t>Description</t>
        </is>
      </c>
      <c r="C2016" s="5" t="inlineStr">
        <is>
          <t>Unit</t>
        </is>
      </c>
      <c r="D2016" s="5" t="inlineStr">
        <is>
          <t>Quantity</t>
        </is>
      </c>
      <c r="E2016" s="5" t="inlineStr">
        <is>
          <t>Rate (Rs.)</t>
        </is>
      </c>
      <c r="F2016" s="5" t="inlineStr">
        <is>
          <t>Amount (Rs.)</t>
        </is>
      </c>
      <c r="G2016" s="5" t="inlineStr">
        <is>
          <t>Note</t>
        </is>
      </c>
    </row>
    <row r="2017">
      <c r="A2017" s="22" t="inlineStr">
        <is>
          <t>2711</t>
        </is>
      </c>
      <c r="B2017" s="11" t="inlineStr">
        <is>
          <t>FS800H Grade Flooring Panel (i/c) 5% wastage</t>
        </is>
      </c>
      <c r="C2017" s="22" t="inlineStr">
        <is>
          <t>each</t>
        </is>
      </c>
      <c r="D2017" s="23" t="n">
        <v>292</v>
      </c>
      <c r="E2017" s="24" t="n">
        <v>750</v>
      </c>
      <c r="F2017" s="24">
        <f>D2017*E2017</f>
        <v/>
      </c>
      <c r="G2017" s="22" t="n"/>
    </row>
    <row r="2018">
      <c r="A2018" s="22" t="inlineStr">
        <is>
          <t>2712</t>
        </is>
      </c>
      <c r="B2018" s="11" t="inlineStr">
        <is>
          <t>Zinc Electroplated Pedestals - 300 mm</t>
        </is>
      </c>
      <c r="C2018" s="22" t="inlineStr">
        <is>
          <t>each</t>
        </is>
      </c>
      <c r="D2018" s="23" t="n">
        <v>360</v>
      </c>
      <c r="E2018" s="24" t="n">
        <v>140</v>
      </c>
      <c r="F2018" s="24">
        <f>D2018*E2018</f>
        <v/>
      </c>
      <c r="G2018" s="22" t="n"/>
    </row>
    <row r="2019">
      <c r="A2019" s="22" t="inlineStr">
        <is>
          <t>2714</t>
        </is>
      </c>
      <c r="B2019" s="11" t="inlineStr">
        <is>
          <t>Zinc Electroplated Tube Stinger</t>
        </is>
      </c>
      <c r="C2019" s="22" t="inlineStr">
        <is>
          <t>each</t>
        </is>
      </c>
      <c r="D2019" s="23" t="n">
        <v>570</v>
      </c>
      <c r="E2019" s="24" t="n">
        <v>66</v>
      </c>
      <c r="F2019" s="24">
        <f>D2019*E2019</f>
        <v/>
      </c>
      <c r="G2019" s="22" t="n"/>
    </row>
    <row r="2020">
      <c r="A2020" s="22" t="inlineStr">
        <is>
          <t>2715</t>
        </is>
      </c>
      <c r="B2020" s="11" t="inlineStr">
        <is>
          <t>Machine Screw for Fixing</t>
        </is>
      </c>
      <c r="C2020" s="22" t="inlineStr">
        <is>
          <t>each</t>
        </is>
      </c>
      <c r="D2020" s="23" t="n">
        <v>1140</v>
      </c>
      <c r="E2020" s="24" t="n">
        <v>2</v>
      </c>
      <c r="F2020" s="24">
        <f>D2020*E2020</f>
        <v/>
      </c>
      <c r="G2020" s="22" t="n"/>
    </row>
    <row r="2021">
      <c r="A2021" s="22" t="inlineStr">
        <is>
          <t>7048</t>
        </is>
      </c>
      <c r="B2021" s="11" t="inlineStr">
        <is>
          <t>Rawl Plug fl0or pedestal grouting on floor</t>
        </is>
      </c>
      <c r="C2021" s="22" t="inlineStr">
        <is>
          <t>each</t>
        </is>
      </c>
      <c r="D2021" s="23" t="n">
        <v>1440</v>
      </c>
      <c r="E2021" s="24" t="n">
        <v>25</v>
      </c>
      <c r="F2021" s="24">
        <f>D2021*E2021</f>
        <v/>
      </c>
      <c r="G2021" s="22" t="n"/>
    </row>
    <row r="2022">
      <c r="A2022" s="22" t="inlineStr">
        <is>
          <t>9999</t>
        </is>
      </c>
      <c r="B2022" s="11" t="inlineStr">
        <is>
          <t>Carriage of material</t>
        </is>
      </c>
      <c r="C2022" s="22" t="inlineStr">
        <is>
          <t>L.S.</t>
        </is>
      </c>
      <c r="D2022" s="23" t="n">
        <v>490</v>
      </c>
      <c r="E2022" s="24" t="n">
        <v>2</v>
      </c>
      <c r="F2022" s="24">
        <f>D2022*E2022</f>
        <v/>
      </c>
      <c r="G2022" s="22" t="n"/>
    </row>
    <row r="2023">
      <c r="A2023" s="22" t="inlineStr">
        <is>
          <t>0111</t>
        </is>
      </c>
      <c r="B2023" s="11" t="inlineStr">
        <is>
          <t>Carpenter 1st class</t>
        </is>
      </c>
      <c r="C2023" s="22" t="inlineStr">
        <is>
          <t>day</t>
        </is>
      </c>
      <c r="D2023" s="23" t="n">
        <v>25</v>
      </c>
      <c r="E2023" s="24" t="n">
        <v>738</v>
      </c>
      <c r="F2023" s="24">
        <f>D2023*E2023</f>
        <v/>
      </c>
      <c r="G2023" s="22" t="n"/>
    </row>
    <row r="2024">
      <c r="A2024" s="22" t="inlineStr">
        <is>
          <t>0114</t>
        </is>
      </c>
      <c r="B2024" s="11" t="inlineStr">
        <is>
          <t>Beldar</t>
        </is>
      </c>
      <c r="C2024" s="22" t="inlineStr">
        <is>
          <t>day</t>
        </is>
      </c>
      <c r="D2024" s="23" t="n">
        <v>25</v>
      </c>
      <c r="E2024" s="24" t="n">
        <v>558</v>
      </c>
      <c r="F2024" s="24">
        <f>D2024*E2024</f>
        <v/>
      </c>
      <c r="G2024" s="22" t="n"/>
    </row>
    <row r="2025">
      <c r="A2025" s="22" t="inlineStr">
        <is>
          <t>9999</t>
        </is>
      </c>
      <c r="B2025" s="11" t="inlineStr">
        <is>
          <t>Sundries</t>
        </is>
      </c>
      <c r="C2025" s="22" t="inlineStr">
        <is>
          <t>L.S.</t>
        </is>
      </c>
      <c r="D2025" s="23" t="n">
        <v>329</v>
      </c>
      <c r="E2025" s="24" t="n">
        <v>2</v>
      </c>
      <c r="F2025" s="24">
        <f>D2025*E2025</f>
        <v/>
      </c>
      <c r="G2025" s="22" t="n"/>
    </row>
    <row r="2026">
      <c r="A2026" s="8" t="inlineStr">
        <is>
          <t>Calculated W - SUM of the Amount column above</t>
        </is>
      </c>
      <c r="B2026" s="9" t="n"/>
      <c r="C2026" s="9" t="n"/>
      <c r="D2026" s="9" t="n"/>
      <c r="E2026" s="9" t="n"/>
      <c r="F2026" s="25">
        <f>SUM(F2017:F2025)</f>
        <v/>
      </c>
      <c r="G2026" s="9" t="n"/>
    </row>
    <row r="2027">
      <c r="A2027" s="26" t="inlineStr">
        <is>
          <t>W as printed in the DAR</t>
        </is>
      </c>
      <c r="B2027" s="22" t="n"/>
      <c r="C2027" s="22" t="n"/>
      <c r="D2027" s="22" t="n"/>
      <c r="E2027" s="22" t="n"/>
      <c r="F2027" s="27" t="n">
        <v>379338</v>
      </c>
      <c r="G2027" s="22" t="n"/>
    </row>
    <row r="2028">
      <c r="A2028" s="26" t="inlineStr">
        <is>
          <t>Difference (calculated - printed)</t>
        </is>
      </c>
      <c r="B2028" s="22" t="n"/>
      <c r="C2028" s="22" t="n"/>
      <c r="D2028" s="22" t="n"/>
      <c r="E2028" s="22" t="n"/>
      <c r="F2028" s="27">
        <f>F2026-F2027</f>
        <v/>
      </c>
      <c r="G2028" s="22" t="n"/>
    </row>
    <row r="2029">
      <c r="A2029" s="29" t="inlineStr">
        <is>
          <t>SAY (Rs.) - final DAR rate as printed (fixed value, not computed)</t>
        </is>
      </c>
      <c r="B2029" s="30" t="n"/>
      <c r="C2029" s="30" t="n"/>
      <c r="D2029" s="30" t="n"/>
      <c r="E2029" s="30" t="n"/>
      <c r="F2029" s="31" t="n">
        <v>5075.3</v>
      </c>
      <c r="G2029" s="30" t="n"/>
    </row>
    <row r="2031" ht="105.5" customHeight="1">
      <c r="A2031" s="8" t="inlineStr">
        <is>
          <t>11.54</t>
        </is>
      </c>
      <c r="B2031" s="17"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t>
        </is>
      </c>
      <c r="C2031" s="9" t="n"/>
      <c r="D2031" s="9" t="n"/>
      <c r="E2031" s="9" t="n"/>
      <c r="F2031" s="9" t="n"/>
      <c r="G2031" s="9" t="n"/>
    </row>
    <row r="2032" ht="18.5" customHeight="1">
      <c r="A2032" s="18" t="inlineStr">
        <is>
          <t>11.54.2</t>
        </is>
      </c>
      <c r="B2032" s="19" t="inlineStr">
        <is>
          <t>450 mm Finished Floor Height (FFH).</t>
        </is>
      </c>
      <c r="C2032" s="20" t="n"/>
      <c r="D2032" s="20" t="n"/>
      <c r="E2032" s="20" t="n"/>
      <c r="F2032" s="20" t="n"/>
      <c r="G2032" s="20" t="n"/>
    </row>
    <row r="2033">
      <c r="A2033" s="21" t="inlineStr">
        <is>
          <t>Details of cost for 100 sqm   |   Source: CivilDAR_2019_Vol_1.pdf, page 807</t>
        </is>
      </c>
    </row>
    <row r="2034">
      <c r="A2034" s="5" t="inlineStr">
        <is>
          <t>Code</t>
        </is>
      </c>
      <c r="B2034" s="5" t="inlineStr">
        <is>
          <t>Description</t>
        </is>
      </c>
      <c r="C2034" s="5" t="inlineStr">
        <is>
          <t>Unit</t>
        </is>
      </c>
      <c r="D2034" s="5" t="inlineStr">
        <is>
          <t>Quantity</t>
        </is>
      </c>
      <c r="E2034" s="5" t="inlineStr">
        <is>
          <t>Rate (Rs.)</t>
        </is>
      </c>
      <c r="F2034" s="5" t="inlineStr">
        <is>
          <t>Amount (Rs.)</t>
        </is>
      </c>
      <c r="G2034" s="5" t="inlineStr">
        <is>
          <t>Note</t>
        </is>
      </c>
    </row>
    <row r="2035">
      <c r="A2035" s="22" t="inlineStr">
        <is>
          <t>2711</t>
        </is>
      </c>
      <c r="B2035" s="11" t="inlineStr">
        <is>
          <t>FS800H Grade Flooring Panel</t>
        </is>
      </c>
      <c r="C2035" s="22" t="inlineStr">
        <is>
          <t>each</t>
        </is>
      </c>
      <c r="D2035" s="23" t="n">
        <v>292</v>
      </c>
      <c r="E2035" s="24" t="n">
        <v>750</v>
      </c>
      <c r="F2035" s="24">
        <f>D2035*E2035</f>
        <v/>
      </c>
      <c r="G2035" s="22" t="n"/>
    </row>
    <row r="2036">
      <c r="A2036" s="22" t="inlineStr">
        <is>
          <t>2713</t>
        </is>
      </c>
      <c r="B2036" s="11" t="inlineStr">
        <is>
          <t>Zinc Electroplated Pedestals - 450 mm</t>
        </is>
      </c>
      <c r="C2036" s="22" t="inlineStr">
        <is>
          <t>each</t>
        </is>
      </c>
      <c r="D2036" s="23" t="n">
        <v>360</v>
      </c>
      <c r="E2036" s="24" t="n">
        <v>200</v>
      </c>
      <c r="F2036" s="24">
        <f>D2036*E2036</f>
        <v/>
      </c>
      <c r="G2036" s="22" t="n"/>
    </row>
    <row r="2037">
      <c r="A2037" s="22" t="inlineStr">
        <is>
          <t>2714</t>
        </is>
      </c>
      <c r="B2037" s="11" t="inlineStr">
        <is>
          <t>Zinc Electroplated Tube Stinger</t>
        </is>
      </c>
      <c r="C2037" s="22" t="inlineStr">
        <is>
          <t>each</t>
        </is>
      </c>
      <c r="D2037" s="23" t="n">
        <v>570</v>
      </c>
      <c r="E2037" s="24" t="n">
        <v>66</v>
      </c>
      <c r="F2037" s="24">
        <f>D2037*E2037</f>
        <v/>
      </c>
      <c r="G2037" s="22" t="n"/>
    </row>
    <row r="2038">
      <c r="A2038" s="22" t="inlineStr">
        <is>
          <t>2715</t>
        </is>
      </c>
      <c r="B2038" s="11" t="inlineStr">
        <is>
          <t>Machine Screw for Fixing</t>
        </is>
      </c>
      <c r="C2038" s="22" t="inlineStr">
        <is>
          <t>each</t>
        </is>
      </c>
      <c r="D2038" s="23" t="n">
        <v>1140</v>
      </c>
      <c r="E2038" s="24" t="n">
        <v>2</v>
      </c>
      <c r="F2038" s="24">
        <f>D2038*E2038</f>
        <v/>
      </c>
      <c r="G2038" s="22" t="n"/>
    </row>
    <row r="2039">
      <c r="A2039" s="22" t="inlineStr">
        <is>
          <t>7048</t>
        </is>
      </c>
      <c r="B2039" s="11" t="inlineStr">
        <is>
          <t>Rawl plug 50 mm (designation 10 no.)</t>
        </is>
      </c>
      <c r="C2039" s="22" t="inlineStr">
        <is>
          <t>each</t>
        </is>
      </c>
      <c r="D2039" s="23" t="n">
        <v>1440</v>
      </c>
      <c r="E2039" s="24" t="n">
        <v>25</v>
      </c>
      <c r="F2039" s="24">
        <f>D2039*E2039</f>
        <v/>
      </c>
      <c r="G2039" s="22" t="n"/>
    </row>
    <row r="2040">
      <c r="A2040" s="22" t="inlineStr">
        <is>
          <t>9999</t>
        </is>
      </c>
      <c r="B2040" s="11" t="inlineStr">
        <is>
          <t>Carriage of material</t>
        </is>
      </c>
      <c r="C2040" s="22" t="inlineStr">
        <is>
          <t>L.S.</t>
        </is>
      </c>
      <c r="D2040" s="23" t="n">
        <v>490</v>
      </c>
      <c r="E2040" s="24" t="n">
        <v>2</v>
      </c>
      <c r="F2040" s="24">
        <f>D2040*E2040</f>
        <v/>
      </c>
      <c r="G2040" s="22" t="n"/>
    </row>
    <row r="2041">
      <c r="A2041" s="22" t="inlineStr">
        <is>
          <t>0111</t>
        </is>
      </c>
      <c r="B2041" s="11" t="inlineStr">
        <is>
          <t>Carpenter 1st class</t>
        </is>
      </c>
      <c r="C2041" s="22" t="inlineStr">
        <is>
          <t>day</t>
        </is>
      </c>
      <c r="D2041" s="23" t="n">
        <v>25</v>
      </c>
      <c r="E2041" s="24" t="n">
        <v>738</v>
      </c>
      <c r="F2041" s="24">
        <f>D2041*E2041</f>
        <v/>
      </c>
      <c r="G2041" s="22" t="n"/>
    </row>
    <row r="2042">
      <c r="A2042" s="22" t="inlineStr">
        <is>
          <t>0114</t>
        </is>
      </c>
      <c r="B2042" s="11" t="inlineStr">
        <is>
          <t>Beldar</t>
        </is>
      </c>
      <c r="C2042" s="22" t="inlineStr">
        <is>
          <t>day</t>
        </is>
      </c>
      <c r="D2042" s="23" t="n">
        <v>25</v>
      </c>
      <c r="E2042" s="24" t="n">
        <v>558</v>
      </c>
      <c r="F2042" s="24">
        <f>D2042*E2042</f>
        <v/>
      </c>
      <c r="G2042" s="22" t="n"/>
    </row>
    <row r="2043">
      <c r="A2043" s="22" t="inlineStr">
        <is>
          <t>9999</t>
        </is>
      </c>
      <c r="B2043" s="11" t="inlineStr">
        <is>
          <t>Sundries</t>
        </is>
      </c>
      <c r="C2043" s="22" t="inlineStr">
        <is>
          <t>L.S.</t>
        </is>
      </c>
      <c r="D2043" s="23" t="n">
        <v>329</v>
      </c>
      <c r="E2043" s="24" t="n">
        <v>2</v>
      </c>
      <c r="F2043" s="24">
        <f>D2043*E2043</f>
        <v/>
      </c>
      <c r="G2043" s="22" t="n"/>
    </row>
    <row r="2044">
      <c r="A2044" s="8" t="inlineStr">
        <is>
          <t>Calculated W - SUM of the Amount column above</t>
        </is>
      </c>
      <c r="B2044" s="9" t="n"/>
      <c r="C2044" s="9" t="n"/>
      <c r="D2044" s="9" t="n"/>
      <c r="E2044" s="9" t="n"/>
      <c r="F2044" s="25">
        <f>SUM(F2035:F2043)</f>
        <v/>
      </c>
      <c r="G2044" s="9" t="n"/>
    </row>
    <row r="2045">
      <c r="A2045" s="26" t="inlineStr">
        <is>
          <t>W as printed in the DAR</t>
        </is>
      </c>
      <c r="B2045" s="22" t="n"/>
      <c r="C2045" s="22" t="n"/>
      <c r="D2045" s="22" t="n"/>
      <c r="E2045" s="22" t="n"/>
      <c r="F2045" s="27" t="n">
        <v>400938</v>
      </c>
      <c r="G2045" s="22" t="n"/>
    </row>
    <row r="2046">
      <c r="A2046" s="26" t="inlineStr">
        <is>
          <t>Difference (calculated - printed)</t>
        </is>
      </c>
      <c r="B2046" s="22" t="n"/>
      <c r="C2046" s="22" t="n"/>
      <c r="D2046" s="22" t="n"/>
      <c r="E2046" s="22" t="n"/>
      <c r="F2046" s="27">
        <f>F2044-F2045</f>
        <v/>
      </c>
      <c r="G2046" s="22" t="n"/>
    </row>
    <row r="2047">
      <c r="A2047" s="29" t="inlineStr">
        <is>
          <t>SAY (Rs.) - final DAR rate as printed (fixed value, not computed)</t>
        </is>
      </c>
      <c r="B2047" s="30" t="n"/>
      <c r="C2047" s="30" t="n"/>
      <c r="D2047" s="30" t="n"/>
      <c r="E2047" s="30" t="n"/>
      <c r="F2047" s="31" t="n">
        <v>5364.3</v>
      </c>
      <c r="G2047" s="30" t="n"/>
    </row>
    <row r="2049" ht="76.5" customHeight="1">
      <c r="A2049" s="8" t="inlineStr">
        <is>
          <t>11.55</t>
        </is>
      </c>
      <c r="B2049" s="17" t="inlineStr">
        <is>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t>
        </is>
      </c>
      <c r="C2049" s="9" t="n"/>
      <c r="D2049" s="9" t="n"/>
      <c r="E2049" s="9" t="n"/>
      <c r="F2049" s="9" t="n"/>
      <c r="G2049" s="9" t="n"/>
    </row>
    <row r="2050" ht="18.5" customHeight="1">
      <c r="A2050" s="18" t="inlineStr">
        <is>
          <t>11.55.1</t>
        </is>
      </c>
      <c r="B2050" s="19" t="inlineStr">
        <is>
          <t>Flamed finish granite stone slab Jet Black, Cherry Red, Elite Brown, Cat Eye or equivalent.</t>
        </is>
      </c>
      <c r="C2050" s="20" t="n"/>
      <c r="D2050" s="20" t="n"/>
      <c r="E2050" s="20" t="n"/>
      <c r="F2050" s="20" t="n"/>
      <c r="G2050" s="20" t="n"/>
    </row>
    <row r="2051">
      <c r="A2051" s="21" t="inlineStr">
        <is>
          <t>Details of cost for 10 sqm   |   Source: CivilDAR_2019_Vol_1.pdf, page 808</t>
        </is>
      </c>
    </row>
    <row r="2052">
      <c r="A2052" s="5" t="inlineStr">
        <is>
          <t>Code</t>
        </is>
      </c>
      <c r="B2052" s="5" t="inlineStr">
        <is>
          <t>Description</t>
        </is>
      </c>
      <c r="C2052" s="5" t="inlineStr">
        <is>
          <t>Unit</t>
        </is>
      </c>
      <c r="D2052" s="5" t="inlineStr">
        <is>
          <t>Quantity</t>
        </is>
      </c>
      <c r="E2052" s="5" t="inlineStr">
        <is>
          <t>Rate (Rs.)</t>
        </is>
      </c>
      <c r="F2052" s="5" t="inlineStr">
        <is>
          <t>Amount (Rs.)</t>
        </is>
      </c>
      <c r="G2052" s="5" t="inlineStr">
        <is>
          <t>Note</t>
        </is>
      </c>
    </row>
    <row r="2053">
      <c r="A2053" s="22" t="inlineStr">
        <is>
          <t>1239</t>
        </is>
      </c>
      <c r="B2053" s="11" t="inlineStr">
        <is>
          <t>18 mm thick Flamed finish granite stone slab</t>
        </is>
      </c>
      <c r="C2053" s="22" t="inlineStr">
        <is>
          <t>sqm</t>
        </is>
      </c>
      <c r="D2053" s="23" t="n">
        <v>11.5</v>
      </c>
      <c r="E2053" s="24" t="n">
        <v>1000</v>
      </c>
      <c r="F2053" s="24">
        <f>D2053*E2053</f>
        <v/>
      </c>
      <c r="G2053" s="22" t="n"/>
    </row>
    <row r="2054">
      <c r="A2054" s="22" t="inlineStr">
        <is>
          <t>2216</t>
        </is>
      </c>
      <c r="B2054" s="11" t="inlineStr">
        <is>
          <t>Carriage of Stone blocks white &amp; red sand stone &amp; kota stone slab</t>
        </is>
      </c>
      <c r="C2054" s="22" t="inlineStr">
        <is>
          <t>tonne</t>
        </is>
      </c>
      <c r="D2054" s="23" t="n">
        <v>0.67</v>
      </c>
      <c r="E2054" s="24" t="n">
        <v>92.23999999999999</v>
      </c>
      <c r="F2054" s="24">
        <f>D2054*E2054</f>
        <v/>
      </c>
      <c r="G2054" s="22" t="n"/>
    </row>
    <row r="2055">
      <c r="A2055" s="7" t="inlineStr">
        <is>
          <t>3.9</t>
        </is>
      </c>
      <c r="B2055" s="11" t="inlineStr">
        <is>
          <t>Rate as per item 3.9 - Cement mortar 1:4 (1 cement : 4 coarse sand)</t>
        </is>
      </c>
      <c r="C2055" s="22" t="inlineStr">
        <is>
          <t>cum</t>
        </is>
      </c>
      <c r="D2055" s="23" t="n">
        <v>0.224</v>
      </c>
      <c r="E2055" s="24" t="n">
        <v>4010.35</v>
      </c>
      <c r="F2055" s="24">
        <f>D2055*E2055</f>
        <v/>
      </c>
      <c r="G2055" s="22" t="n"/>
    </row>
    <row r="2056">
      <c r="A2056" s="22" t="inlineStr">
        <is>
          <t>0367</t>
        </is>
      </c>
      <c r="B2056" s="11" t="inlineStr">
        <is>
          <t>Portland Cement</t>
        </is>
      </c>
      <c r="C2056" s="22" t="inlineStr">
        <is>
          <t>tonne</t>
        </is>
      </c>
      <c r="D2056" s="23" t="n">
        <v>0.05</v>
      </c>
      <c r="E2056" s="24" t="n">
        <v>4940</v>
      </c>
      <c r="F2056" s="24">
        <f>D2056*E2056</f>
        <v/>
      </c>
      <c r="G2056" s="22" t="n"/>
    </row>
    <row r="2057">
      <c r="A2057" s="22" t="inlineStr">
        <is>
          <t>0874</t>
        </is>
      </c>
      <c r="B2057" s="11" t="inlineStr">
        <is>
          <t>Black colour dark shade pigment</t>
        </is>
      </c>
      <c r="C2057" s="22" t="inlineStr">
        <is>
          <t>kilogram</t>
        </is>
      </c>
      <c r="D2057" s="23" t="n">
        <v>4.5</v>
      </c>
      <c r="E2057" s="24" t="n">
        <v>70</v>
      </c>
      <c r="F2057" s="24">
        <f>D2057*E2057</f>
        <v/>
      </c>
      <c r="G2057" s="22" t="n"/>
    </row>
    <row r="2058">
      <c r="A2058" s="22" t="inlineStr">
        <is>
          <t>2209</t>
        </is>
      </c>
      <c r="B2058" s="11" t="inlineStr">
        <is>
          <t>Carriage of Cement</t>
        </is>
      </c>
      <c r="C2058" s="22" t="inlineStr">
        <is>
          <t>tonne</t>
        </is>
      </c>
      <c r="D2058" s="23" t="n">
        <v>0.05</v>
      </c>
      <c r="E2058" s="24" t="n">
        <v>92.23999999999999</v>
      </c>
      <c r="F2058" s="24">
        <f>D2058*E2058</f>
        <v/>
      </c>
      <c r="G2058" s="22" t="n"/>
    </row>
    <row r="2059">
      <c r="A2059" s="22" t="inlineStr">
        <is>
          <t>9999</t>
        </is>
      </c>
      <c r="B2059" s="11" t="inlineStr">
        <is>
          <t>Mortar for pointing in white cement</t>
        </is>
      </c>
      <c r="C2059" s="22" t="inlineStr">
        <is>
          <t>L.S.</t>
        </is>
      </c>
      <c r="D2059" s="23" t="n">
        <v>25.35</v>
      </c>
      <c r="E2059" s="24" t="n">
        <v>2</v>
      </c>
      <c r="F2059" s="24">
        <f>D2059*E2059</f>
        <v/>
      </c>
      <c r="G2059" s="22" t="n"/>
    </row>
    <row r="2060">
      <c r="A2060" s="22" t="inlineStr">
        <is>
          <t>0124</t>
        </is>
      </c>
      <c r="B2060" s="11" t="inlineStr">
        <is>
          <t>Mason (brick layer) 2nd class</t>
        </is>
      </c>
      <c r="C2060" s="22" t="inlineStr">
        <is>
          <t>day</t>
        </is>
      </c>
      <c r="D2060" s="23" t="n">
        <v>1.2</v>
      </c>
      <c r="E2060" s="24" t="n">
        <v>679</v>
      </c>
      <c r="F2060" s="24">
        <f>D2060*E2060</f>
        <v/>
      </c>
      <c r="G2060" s="22" t="n"/>
    </row>
    <row r="2061">
      <c r="A2061" s="22" t="inlineStr">
        <is>
          <t>0114</t>
        </is>
      </c>
      <c r="B2061" s="11" t="inlineStr">
        <is>
          <t>Beldar</t>
        </is>
      </c>
      <c r="C2061" s="22" t="inlineStr">
        <is>
          <t>day</t>
        </is>
      </c>
      <c r="D2061" s="23" t="n">
        <v>1</v>
      </c>
      <c r="E2061" s="24" t="n">
        <v>558</v>
      </c>
      <c r="F2061" s="24">
        <f>D2061*E2061</f>
        <v/>
      </c>
      <c r="G2061" s="22" t="n"/>
    </row>
    <row r="2062">
      <c r="A2062" s="22" t="inlineStr">
        <is>
          <t>0115</t>
        </is>
      </c>
      <c r="B2062" s="11" t="inlineStr">
        <is>
          <t>Coolie</t>
        </is>
      </c>
      <c r="C2062" s="22" t="inlineStr">
        <is>
          <t>day</t>
        </is>
      </c>
      <c r="D2062" s="23" t="n">
        <v>1</v>
      </c>
      <c r="E2062" s="24" t="n">
        <v>558</v>
      </c>
      <c r="F2062" s="24">
        <f>D2062*E2062</f>
        <v/>
      </c>
      <c r="G2062" s="22" t="n"/>
    </row>
    <row r="2063">
      <c r="A2063" s="22" t="inlineStr">
        <is>
          <t>0139</t>
        </is>
      </c>
      <c r="B2063" s="11" t="inlineStr">
        <is>
          <t>Skilled Beldar (for floor rubbing etc.)</t>
        </is>
      </c>
      <c r="C2063" s="22" t="inlineStr">
        <is>
          <t>day</t>
        </is>
      </c>
      <c r="D2063" s="23" t="n">
        <v>5</v>
      </c>
      <c r="E2063" s="24" t="n">
        <v>617</v>
      </c>
      <c r="F2063" s="24">
        <f>D2063*E2063</f>
        <v/>
      </c>
      <c r="G2063" s="22" t="n"/>
    </row>
    <row r="2064">
      <c r="A2064" s="22" t="inlineStr">
        <is>
          <t>9999</t>
        </is>
      </c>
      <c r="B2064" s="11" t="inlineStr">
        <is>
          <t>Sundries</t>
        </is>
      </c>
      <c r="C2064" s="22" t="inlineStr">
        <is>
          <t>L.S.</t>
        </is>
      </c>
      <c r="D2064" s="23" t="n">
        <v>208.13</v>
      </c>
      <c r="E2064" s="24" t="n">
        <v>2</v>
      </c>
      <c r="F2064" s="24">
        <f>D2064*E2064</f>
        <v/>
      </c>
      <c r="G2064" s="22" t="n"/>
    </row>
    <row r="2065">
      <c r="A2065" s="8" t="inlineStr">
        <is>
          <t>Calculated W - SUM of the Amount column above</t>
        </is>
      </c>
      <c r="B2065" s="9" t="n"/>
      <c r="C2065" s="9" t="n"/>
      <c r="D2065" s="9" t="n"/>
      <c r="E2065" s="9" t="n"/>
      <c r="F2065" s="25">
        <f>SUM(F2053:F2064)</f>
        <v/>
      </c>
      <c r="G2065" s="9" t="n"/>
    </row>
    <row r="2066">
      <c r="A2066" s="26" t="inlineStr">
        <is>
          <t>W as printed in the DAR</t>
        </is>
      </c>
      <c r="B2066" s="22" t="n"/>
      <c r="C2066" s="22" t="n"/>
      <c r="D2066" s="22" t="n"/>
      <c r="E2066" s="22" t="n"/>
      <c r="F2066" s="27" t="n">
        <v>18509.49</v>
      </c>
      <c r="G2066" s="22" t="n"/>
    </row>
    <row r="2067">
      <c r="A2067" s="26" t="inlineStr">
        <is>
          <t>Difference (calculated - printed)</t>
        </is>
      </c>
      <c r="B2067" s="22" t="n"/>
      <c r="C2067" s="22" t="n"/>
      <c r="D2067" s="22" t="n"/>
      <c r="E2067" s="22" t="n"/>
      <c r="F2067" s="27">
        <f>F2065-F2066</f>
        <v/>
      </c>
      <c r="G2067" s="22" t="n"/>
    </row>
    <row r="2068">
      <c r="A2068" s="29" t="inlineStr">
        <is>
          <t>SAY (Rs.) - final DAR rate as printed (fixed value, not computed)</t>
        </is>
      </c>
      <c r="B2068" s="30" t="n"/>
      <c r="C2068" s="30" t="n"/>
      <c r="D2068" s="30" t="n"/>
      <c r="E2068" s="30" t="n"/>
      <c r="F2068" s="31" t="n">
        <v>2476.45</v>
      </c>
      <c r="G2068" s="30" t="n"/>
    </row>
    <row r="2070" ht="76.5" customHeight="1">
      <c r="A2070" s="8" t="inlineStr">
        <is>
          <t>11.56</t>
        </is>
      </c>
      <c r="B2070" s="17" t="inlineStr">
        <is>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t>
        </is>
      </c>
      <c r="C2070" s="9" t="n"/>
      <c r="D2070" s="9" t="n"/>
      <c r="E2070" s="9" t="n"/>
      <c r="F2070" s="9" t="n"/>
      <c r="G2070" s="9" t="n"/>
    </row>
    <row r="2071" ht="18.5" customHeight="1">
      <c r="A2071" s="18" t="inlineStr">
        <is>
          <t>11.56.1</t>
        </is>
      </c>
      <c r="B2071" s="19" t="inlineStr">
        <is>
          <t>Polished Granite stone slab jet Black, Cherry Red, Elite Brown, Cat Eye or equivalent.</t>
        </is>
      </c>
      <c r="C2071" s="20" t="n"/>
      <c r="D2071" s="20" t="n"/>
      <c r="E2071" s="20" t="n"/>
      <c r="F2071" s="20" t="n"/>
      <c r="G2071" s="20" t="n"/>
    </row>
    <row r="2072">
      <c r="A2072" s="21" t="inlineStr">
        <is>
          <t>Details of cost for 10 sqm   |   Source: CivilDAR_2019_Vol_1.pdf, page 809</t>
        </is>
      </c>
    </row>
    <row r="2073">
      <c r="A2073" s="5" t="inlineStr">
        <is>
          <t>Code</t>
        </is>
      </c>
      <c r="B2073" s="5" t="inlineStr">
        <is>
          <t>Description</t>
        </is>
      </c>
      <c r="C2073" s="5" t="inlineStr">
        <is>
          <t>Unit</t>
        </is>
      </c>
      <c r="D2073" s="5" t="inlineStr">
        <is>
          <t>Quantity</t>
        </is>
      </c>
      <c r="E2073" s="5" t="inlineStr">
        <is>
          <t>Rate (Rs.)</t>
        </is>
      </c>
      <c r="F2073" s="5" t="inlineStr">
        <is>
          <t>Amount (Rs.)</t>
        </is>
      </c>
      <c r="G2073" s="5" t="inlineStr">
        <is>
          <t>Note</t>
        </is>
      </c>
    </row>
    <row r="2074">
      <c r="A2074" s="22" t="inlineStr">
        <is>
          <t>7297</t>
        </is>
      </c>
      <c r="B2074" s="11" t="inlineStr">
        <is>
          <t>Granite of any colour, 18 mm thick (slab area above 0.50 sqm)</t>
        </is>
      </c>
      <c r="C2074" s="22" t="inlineStr">
        <is>
          <t>sqm</t>
        </is>
      </c>
      <c r="D2074" s="23" t="n">
        <v>11.5</v>
      </c>
      <c r="E2074" s="24" t="n">
        <v>1800</v>
      </c>
      <c r="F2074" s="24">
        <f>D2074*E2074</f>
        <v/>
      </c>
      <c r="G2074" s="22" t="n"/>
    </row>
    <row r="2075">
      <c r="A2075" s="22" t="inlineStr">
        <is>
          <t>2216</t>
        </is>
      </c>
      <c r="B2075" s="11" t="inlineStr">
        <is>
          <t>Carriage of Stone blocks white &amp; red sand stone &amp; kota stone slab</t>
        </is>
      </c>
      <c r="C2075" s="22" t="inlineStr">
        <is>
          <t>tonne</t>
        </is>
      </c>
      <c r="D2075" s="23" t="n">
        <v>0.67</v>
      </c>
      <c r="E2075" s="24" t="n">
        <v>92.23999999999999</v>
      </c>
      <c r="F2075" s="24">
        <f>D2075*E2075</f>
        <v/>
      </c>
      <c r="G2075" s="22" t="n"/>
    </row>
    <row r="2076">
      <c r="A2076" s="7" t="inlineStr">
        <is>
          <t>3.9</t>
        </is>
      </c>
      <c r="B2076" s="11" t="inlineStr">
        <is>
          <t>Rate as per item 3.9 - Cement mortar 1:4 (1 cement : 4 coarse sand)</t>
        </is>
      </c>
      <c r="C2076" s="22" t="inlineStr">
        <is>
          <t>cum</t>
        </is>
      </c>
      <c r="D2076" s="23" t="n">
        <v>0.224</v>
      </c>
      <c r="E2076" s="24" t="n">
        <v>4010.35</v>
      </c>
      <c r="F2076" s="24">
        <f>D2076*E2076</f>
        <v/>
      </c>
      <c r="G2076" s="22" t="n"/>
    </row>
    <row r="2077">
      <c r="A2077" s="22" t="inlineStr">
        <is>
          <t>0367</t>
        </is>
      </c>
      <c r="B2077" s="11" t="inlineStr">
        <is>
          <t>Portland Cement</t>
        </is>
      </c>
      <c r="C2077" s="22" t="inlineStr">
        <is>
          <t>tonne</t>
        </is>
      </c>
      <c r="D2077" s="23" t="n">
        <v>0.05</v>
      </c>
      <c r="E2077" s="24" t="n">
        <v>4940</v>
      </c>
      <c r="F2077" s="24">
        <f>D2077*E2077</f>
        <v/>
      </c>
      <c r="G2077" s="22" t="n"/>
    </row>
    <row r="2078">
      <c r="A2078" s="22" t="inlineStr">
        <is>
          <t>0874</t>
        </is>
      </c>
      <c r="B2078" s="11" t="inlineStr">
        <is>
          <t>Black colour dark shade pigment</t>
        </is>
      </c>
      <c r="C2078" s="22" t="inlineStr">
        <is>
          <t>kilogram</t>
        </is>
      </c>
      <c r="D2078" s="23" t="n">
        <v>4.5</v>
      </c>
      <c r="E2078" s="24" t="n">
        <v>70</v>
      </c>
      <c r="F2078" s="24">
        <f>D2078*E2078</f>
        <v/>
      </c>
      <c r="G2078" s="22" t="n"/>
    </row>
    <row r="2079">
      <c r="A2079" s="22" t="inlineStr">
        <is>
          <t>2209</t>
        </is>
      </c>
      <c r="B2079" s="11" t="inlineStr">
        <is>
          <t>Carriage of Cement</t>
        </is>
      </c>
      <c r="C2079" s="22" t="inlineStr">
        <is>
          <t>tonne</t>
        </is>
      </c>
      <c r="D2079" s="23" t="n">
        <v>0.05</v>
      </c>
      <c r="E2079" s="24" t="n">
        <v>92.23999999999999</v>
      </c>
      <c r="F2079" s="24">
        <f>D2079*E2079</f>
        <v/>
      </c>
      <c r="G2079" s="22" t="n"/>
    </row>
    <row r="2080">
      <c r="A2080" s="22" t="inlineStr">
        <is>
          <t>9999</t>
        </is>
      </c>
      <c r="B2080" s="11" t="inlineStr">
        <is>
          <t>Mortar for pointing in white cement (11.22)</t>
        </is>
      </c>
      <c r="C2080" s="22" t="inlineStr">
        <is>
          <t>L.S.</t>
        </is>
      </c>
      <c r="D2080" s="23" t="n">
        <v>25.35</v>
      </c>
      <c r="E2080" s="24" t="n">
        <v>2</v>
      </c>
      <c r="F2080" s="24">
        <f>D2080*E2080</f>
        <v/>
      </c>
      <c r="G2080" s="22" t="n"/>
    </row>
    <row r="2081">
      <c r="A2081" s="22" t="inlineStr">
        <is>
          <t>0124</t>
        </is>
      </c>
      <c r="B2081" s="11" t="inlineStr">
        <is>
          <t>Mason (brick layer) 2nd class</t>
        </is>
      </c>
      <c r="C2081" s="22" t="inlineStr">
        <is>
          <t>day</t>
        </is>
      </c>
      <c r="D2081" s="23" t="n">
        <v>1.2</v>
      </c>
      <c r="E2081" s="24" t="n">
        <v>679</v>
      </c>
      <c r="F2081" s="24">
        <f>D2081*E2081</f>
        <v/>
      </c>
      <c r="G2081" s="22" t="n"/>
    </row>
    <row r="2082">
      <c r="A2082" s="22" t="inlineStr">
        <is>
          <t>0114</t>
        </is>
      </c>
      <c r="B2082" s="11" t="inlineStr">
        <is>
          <t>Beldar</t>
        </is>
      </c>
      <c r="C2082" s="22" t="inlineStr">
        <is>
          <t>day</t>
        </is>
      </c>
      <c r="D2082" s="23" t="n">
        <v>1</v>
      </c>
      <c r="E2082" s="24" t="n">
        <v>558</v>
      </c>
      <c r="F2082" s="24">
        <f>D2082*E2082</f>
        <v/>
      </c>
      <c r="G2082" s="22" t="n"/>
    </row>
    <row r="2083">
      <c r="A2083" s="22" t="inlineStr">
        <is>
          <t>0115</t>
        </is>
      </c>
      <c r="B2083" s="11" t="inlineStr">
        <is>
          <t>Coolie</t>
        </is>
      </c>
      <c r="C2083" s="22" t="inlineStr">
        <is>
          <t>day</t>
        </is>
      </c>
      <c r="D2083" s="23" t="n">
        <v>1</v>
      </c>
      <c r="E2083" s="24" t="n">
        <v>558</v>
      </c>
      <c r="F2083" s="24">
        <f>D2083*E2083</f>
        <v/>
      </c>
      <c r="G2083" s="22" t="n"/>
    </row>
    <row r="2084">
      <c r="A2084" s="22" t="inlineStr">
        <is>
          <t>0139</t>
        </is>
      </c>
      <c r="B2084" s="11" t="inlineStr">
        <is>
          <t>Skilled Beldar (for floor rubbing etc.)</t>
        </is>
      </c>
      <c r="C2084" s="22" t="inlineStr">
        <is>
          <t>day</t>
        </is>
      </c>
      <c r="D2084" s="23" t="n">
        <v>2</v>
      </c>
      <c r="E2084" s="24" t="n">
        <v>617</v>
      </c>
      <c r="F2084" s="24">
        <f>D2084*E2084</f>
        <v/>
      </c>
      <c r="G2084" s="22" t="n"/>
    </row>
    <row r="2085">
      <c r="A2085" s="22" t="inlineStr">
        <is>
          <t>0019</t>
        </is>
      </c>
      <c r="B2085" s="11" t="inlineStr">
        <is>
          <t>Machine for cutting (hand grinding)</t>
        </is>
      </c>
      <c r="C2085" s="22" t="inlineStr">
        <is>
          <t>day</t>
        </is>
      </c>
      <c r="D2085" s="23" t="n">
        <v>2</v>
      </c>
      <c r="E2085" s="24" t="n">
        <v>250</v>
      </c>
      <c r="F2085" s="24">
        <f>D2085*E2085</f>
        <v/>
      </c>
      <c r="G2085" s="22" t="n"/>
    </row>
    <row r="2086">
      <c r="A2086" s="22" t="inlineStr">
        <is>
          <t>9999</t>
        </is>
      </c>
      <c r="B2086" s="11" t="inlineStr">
        <is>
          <t>Sundries</t>
        </is>
      </c>
      <c r="C2086" s="22" t="inlineStr">
        <is>
          <t>L.S.</t>
        </is>
      </c>
      <c r="D2086" s="23" t="n">
        <v>208.13</v>
      </c>
      <c r="E2086" s="24" t="n">
        <v>2</v>
      </c>
      <c r="F2086" s="24">
        <f>D2086*E2086</f>
        <v/>
      </c>
      <c r="G2086" s="22" t="n"/>
    </row>
    <row r="2087">
      <c r="A2087" s="8" t="inlineStr">
        <is>
          <t>Calculated W - SUM of the Amount column above</t>
        </is>
      </c>
      <c r="B2087" s="9" t="n"/>
      <c r="C2087" s="9" t="n"/>
      <c r="D2087" s="9" t="n"/>
      <c r="E2087" s="9" t="n"/>
      <c r="F2087" s="25">
        <f>SUM(F2074:F2086)</f>
        <v/>
      </c>
      <c r="G2087" s="9" t="n"/>
    </row>
    <row r="2088">
      <c r="A2088" s="26" t="inlineStr">
        <is>
          <t>W as printed in the DAR</t>
        </is>
      </c>
      <c r="B2088" s="22" t="n"/>
      <c r="C2088" s="22" t="n"/>
      <c r="D2088" s="22" t="n"/>
      <c r="E2088" s="22" t="n"/>
      <c r="F2088" s="27" t="n">
        <v>26358.49</v>
      </c>
      <c r="G2088" s="22" t="n"/>
    </row>
    <row r="2089">
      <c r="A2089" s="26" t="inlineStr">
        <is>
          <t>Difference (calculated - printed)</t>
        </is>
      </c>
      <c r="B2089" s="22" t="n"/>
      <c r="C2089" s="22" t="n"/>
      <c r="D2089" s="22" t="n"/>
      <c r="E2089" s="22" t="n"/>
      <c r="F2089" s="27">
        <f>F2087-F2088</f>
        <v/>
      </c>
      <c r="G2089" s="22" t="n"/>
    </row>
    <row r="2090">
      <c r="A2090" s="29" t="inlineStr">
        <is>
          <t>SAY (Rs.) - final DAR rate as printed (fixed value, not computed)</t>
        </is>
      </c>
      <c r="B2090" s="30" t="n"/>
      <c r="C2090" s="30" t="n"/>
      <c r="D2090" s="30" t="n"/>
      <c r="E2090" s="30" t="n"/>
      <c r="F2090" s="31" t="n">
        <v>3526.6</v>
      </c>
      <c r="G2090" s="30" t="n"/>
    </row>
  </sheetData>
  <mergeCells count="797">
    <mergeCell ref="A725:G725"/>
    <mergeCell ref="A1055:E1055"/>
    <mergeCell ref="B1020:G1020"/>
    <mergeCell ref="A142:E142"/>
    <mergeCell ref="A1259:G1259"/>
    <mergeCell ref="B2071:G2071"/>
    <mergeCell ref="A1899:E1899"/>
    <mergeCell ref="B672:G672"/>
    <mergeCell ref="B818:G818"/>
    <mergeCell ref="B622:G622"/>
    <mergeCell ref="A1670:E1670"/>
    <mergeCell ref="A442:E442"/>
    <mergeCell ref="A506:G506"/>
    <mergeCell ref="A1219:E1219"/>
    <mergeCell ref="A1948:G1948"/>
    <mergeCell ref="B1312:G1312"/>
    <mergeCell ref="A1955:E1955"/>
    <mergeCell ref="A1169:E1169"/>
    <mergeCell ref="A1436:E1436"/>
    <mergeCell ref="A1605:G1605"/>
    <mergeCell ref="B1708:G1708"/>
    <mergeCell ref="A37:E37"/>
    <mergeCell ref="A379:E379"/>
    <mergeCell ref="B1118:G1118"/>
    <mergeCell ref="B1311:G1311"/>
    <mergeCell ref="A1521:G1521"/>
    <mergeCell ref="A938:E938"/>
    <mergeCell ref="A1131:E1131"/>
    <mergeCell ref="B415:G415"/>
    <mergeCell ref="B586:G586"/>
    <mergeCell ref="A139:E139"/>
    <mergeCell ref="A443:E443"/>
    <mergeCell ref="A210:E210"/>
    <mergeCell ref="A875:E875"/>
    <mergeCell ref="A1972:E1972"/>
    <mergeCell ref="A1723:E1723"/>
    <mergeCell ref="A1133:E1133"/>
    <mergeCell ref="A470:E470"/>
    <mergeCell ref="A1467:E1467"/>
    <mergeCell ref="A1738:E1738"/>
    <mergeCell ref="A1830:E1830"/>
    <mergeCell ref="A1239:G1239"/>
    <mergeCell ref="A1952:E1952"/>
    <mergeCell ref="A1537:G1537"/>
    <mergeCell ref="A1289:E1289"/>
    <mergeCell ref="B504:G504"/>
    <mergeCell ref="A1176:G1176"/>
    <mergeCell ref="B1136:G1136"/>
    <mergeCell ref="A1837:G1837"/>
    <mergeCell ref="A1082:G1082"/>
    <mergeCell ref="A1385:E1385"/>
    <mergeCell ref="A795:E795"/>
    <mergeCell ref="B505:G505"/>
    <mergeCell ref="A1015:E1015"/>
    <mergeCell ref="B1060:G1060"/>
    <mergeCell ref="B1387:G1387"/>
    <mergeCell ref="A325:E325"/>
    <mergeCell ref="B1039:G1039"/>
    <mergeCell ref="A1151:E1151"/>
    <mergeCell ref="A1207:E1207"/>
    <mergeCell ref="B78:G78"/>
    <mergeCell ref="A659:E659"/>
    <mergeCell ref="A1856:E1856"/>
    <mergeCell ref="B314:G314"/>
    <mergeCell ref="A1017:E1017"/>
    <mergeCell ref="A1843:E1843"/>
    <mergeCell ref="A196:E196"/>
    <mergeCell ref="A367:E367"/>
    <mergeCell ref="A256:E256"/>
    <mergeCell ref="B599:G599"/>
    <mergeCell ref="B1237:G1237"/>
    <mergeCell ref="A796:E796"/>
    <mergeCell ref="A1451:E1451"/>
    <mergeCell ref="B745:G745"/>
    <mergeCell ref="A1671:E1671"/>
    <mergeCell ref="B1003:G1003"/>
    <mergeCell ref="A198:E198"/>
    <mergeCell ref="A369:E369"/>
    <mergeCell ref="A1863:G1863"/>
    <mergeCell ref="A667:E667"/>
    <mergeCell ref="A1850:G1850"/>
    <mergeCell ref="B899:G899"/>
    <mergeCell ref="A1096:E1096"/>
    <mergeCell ref="A1363:E1363"/>
    <mergeCell ref="A1:G1"/>
    <mergeCell ref="A1331:G1331"/>
    <mergeCell ref="A719:E719"/>
    <mergeCell ref="A1617:E1617"/>
    <mergeCell ref="B1278:G1278"/>
    <mergeCell ref="A2033:G2033"/>
    <mergeCell ref="A514:E514"/>
    <mergeCell ref="B1647:G1647"/>
    <mergeCell ref="B1918:G1918"/>
    <mergeCell ref="A38:E38"/>
    <mergeCell ref="A209:E209"/>
    <mergeCell ref="A280:E280"/>
    <mergeCell ref="A1035:E1035"/>
    <mergeCell ref="A743:E743"/>
    <mergeCell ref="A814:E814"/>
    <mergeCell ref="B1917:G1917"/>
    <mergeCell ref="B385:G385"/>
    <mergeCell ref="A1737:E1737"/>
    <mergeCell ref="A211:E211"/>
    <mergeCell ref="B1947:G1947"/>
    <mergeCell ref="A338:E338"/>
    <mergeCell ref="A1531:E1531"/>
    <mergeCell ref="A1973:E1973"/>
    <mergeCell ref="B1726:G1726"/>
    <mergeCell ref="A2065:E2065"/>
    <mergeCell ref="A794:E794"/>
    <mergeCell ref="B1775:G1775"/>
    <mergeCell ref="B547:G547"/>
    <mergeCell ref="A1272:E1272"/>
    <mergeCell ref="A340:E340"/>
    <mergeCell ref="A511:E511"/>
    <mergeCell ref="A1831:E1831"/>
    <mergeCell ref="A1076:E1076"/>
    <mergeCell ref="A2051:G2051"/>
    <mergeCell ref="A1974:E1974"/>
    <mergeCell ref="A202:G202"/>
    <mergeCell ref="A58:G58"/>
    <mergeCell ref="A836:E836"/>
    <mergeCell ref="A567:E567"/>
    <mergeCell ref="B839:G839"/>
    <mergeCell ref="A1170:E1170"/>
    <mergeCell ref="A24:G24"/>
    <mergeCell ref="B40:G40"/>
    <mergeCell ref="A260:G260"/>
    <mergeCell ref="A1621:G1621"/>
    <mergeCell ref="A1897:E1897"/>
    <mergeCell ref="A2068:E2068"/>
    <mergeCell ref="A1919:G1919"/>
    <mergeCell ref="B384:G384"/>
    <mergeCell ref="A698:E698"/>
    <mergeCell ref="B620:G620"/>
    <mergeCell ref="A959:E959"/>
    <mergeCell ref="A1152:E1152"/>
    <mergeCell ref="B1347:G1347"/>
    <mergeCell ref="A1686:E1686"/>
    <mergeCell ref="A1857:E1857"/>
    <mergeCell ref="B144:G144"/>
    <mergeCell ref="B315:G315"/>
    <mergeCell ref="A1757:E1757"/>
    <mergeCell ref="A896:E896"/>
    <mergeCell ref="A141:E141"/>
    <mergeCell ref="A1777:G1777"/>
    <mergeCell ref="A1844:E1844"/>
    <mergeCell ref="A1928:E1928"/>
    <mergeCell ref="B600:G600"/>
    <mergeCell ref="A1325:E1325"/>
    <mergeCell ref="A1452:E1452"/>
    <mergeCell ref="A224:E224"/>
    <mergeCell ref="A1688:E1688"/>
    <mergeCell ref="A1859:E1859"/>
    <mergeCell ref="A960:E960"/>
    <mergeCell ref="A1786:E1786"/>
    <mergeCell ref="B1805:G1805"/>
    <mergeCell ref="B1932:G1932"/>
    <mergeCell ref="A1383:E1383"/>
    <mergeCell ref="A1687:E1687"/>
    <mergeCell ref="B460:G460"/>
    <mergeCell ref="A962:E962"/>
    <mergeCell ref="A1397:G1397"/>
    <mergeCell ref="A386:G386"/>
    <mergeCell ref="A580:E580"/>
    <mergeCell ref="A1138:G1138"/>
    <mergeCell ref="B157:G157"/>
    <mergeCell ref="A1036:E1036"/>
    <mergeCell ref="B1821:G1821"/>
    <mergeCell ref="A153:E153"/>
    <mergeCell ref="A582:E582"/>
    <mergeCell ref="B270:G270"/>
    <mergeCell ref="A54:E54"/>
    <mergeCell ref="A212:E212"/>
    <mergeCell ref="A277:E277"/>
    <mergeCell ref="A581:E581"/>
    <mergeCell ref="B1258:G1258"/>
    <mergeCell ref="B1295:G1295"/>
    <mergeCell ref="B984:G984"/>
    <mergeCell ref="A1115:E1115"/>
    <mergeCell ref="B766:G766"/>
    <mergeCell ref="A462:G462"/>
    <mergeCell ref="A1547:E1547"/>
    <mergeCell ref="A154:E154"/>
    <mergeCell ref="A1792:G1792"/>
    <mergeCell ref="A512:E512"/>
    <mergeCell ref="B2014:G2014"/>
    <mergeCell ref="A330:G330"/>
    <mergeCell ref="A1402:E1402"/>
    <mergeCell ref="A572:G572"/>
    <mergeCell ref="A1171:E1171"/>
    <mergeCell ref="A1022:G1022"/>
    <mergeCell ref="B1874:G1874"/>
    <mergeCell ref="B475:G475"/>
    <mergeCell ref="B56:G56"/>
    <mergeCell ref="A1992:E1992"/>
    <mergeCell ref="B621:G621"/>
    <mergeCell ref="A1157:G1157"/>
    <mergeCell ref="A764:E764"/>
    <mergeCell ref="A374:G374"/>
    <mergeCell ref="A1195:G1195"/>
    <mergeCell ref="B1569:G1569"/>
    <mergeCell ref="A441:E441"/>
    <mergeCell ref="B1348:G1348"/>
    <mergeCell ref="B673:G673"/>
    <mergeCell ref="B1903:G1903"/>
    <mergeCell ref="A1291:E1291"/>
    <mergeCell ref="A1929:E1929"/>
    <mergeCell ref="A797:E797"/>
    <mergeCell ref="A1994:E1994"/>
    <mergeCell ref="A1404:E1404"/>
    <mergeCell ref="B921:G921"/>
    <mergeCell ref="A1453:E1453"/>
    <mergeCell ref="A1502:E1502"/>
    <mergeCell ref="A1773:E1773"/>
    <mergeCell ref="A1800:E1800"/>
    <mergeCell ref="A741:E741"/>
    <mergeCell ref="B258:G258"/>
    <mergeCell ref="A1689:E1689"/>
    <mergeCell ref="B2032:G2032"/>
    <mergeCell ref="A1787:E1787"/>
    <mergeCell ref="A1468:E1468"/>
    <mergeCell ref="A1119:G1119"/>
    <mergeCell ref="A1566:E1566"/>
    <mergeCell ref="A1631:E1631"/>
    <mergeCell ref="A1802:E1802"/>
    <mergeCell ref="A1995:E1995"/>
    <mergeCell ref="A2087:E2087"/>
    <mergeCell ref="A444:E444"/>
    <mergeCell ref="A879:G879"/>
    <mergeCell ref="A1326:E1326"/>
    <mergeCell ref="A1876:G1876"/>
    <mergeCell ref="A978:E978"/>
    <mergeCell ref="A216:G216"/>
    <mergeCell ref="A1042:G1042"/>
    <mergeCell ref="A1213:G1213"/>
    <mergeCell ref="B1587:G1587"/>
    <mergeCell ref="A623:G623"/>
    <mergeCell ref="A2089:E2089"/>
    <mergeCell ref="B570:G570"/>
    <mergeCell ref="B1061:G1061"/>
    <mergeCell ref="A316:G316"/>
    <mergeCell ref="A1344:E1344"/>
    <mergeCell ref="A1408:G1408"/>
    <mergeCell ref="B1887:G1887"/>
    <mergeCell ref="B271:G271"/>
    <mergeCell ref="B1368:G1368"/>
    <mergeCell ref="B1224:G1224"/>
    <mergeCell ref="B634:G634"/>
    <mergeCell ref="A1188:E1188"/>
    <mergeCell ref="A1279:G1279"/>
    <mergeCell ref="B1174:G1174"/>
    <mergeCell ref="A696:E696"/>
    <mergeCell ref="A1644:E1644"/>
    <mergeCell ref="B857:G857"/>
    <mergeCell ref="A1815:E1815"/>
    <mergeCell ref="A1771:E1771"/>
    <mergeCell ref="A1054:E1054"/>
    <mergeCell ref="B571:G571"/>
    <mergeCell ref="B1155:G1155"/>
    <mergeCell ref="A155:E155"/>
    <mergeCell ref="A981:E981"/>
    <mergeCell ref="A1942:E1942"/>
    <mergeCell ref="A1721:E1721"/>
    <mergeCell ref="A1581:E1581"/>
    <mergeCell ref="A1515:E1515"/>
    <mergeCell ref="A1944:E1944"/>
    <mergeCell ref="A455:E455"/>
    <mergeCell ref="B858:G858"/>
    <mergeCell ref="A1635:G1635"/>
    <mergeCell ref="A901:G901"/>
    <mergeCell ref="B1957:G1957"/>
    <mergeCell ref="A457:E457"/>
    <mergeCell ref="A628:E628"/>
    <mergeCell ref="B647:G647"/>
    <mergeCell ref="A344:G344"/>
    <mergeCell ref="A1057:E1057"/>
    <mergeCell ref="A1499:E1499"/>
    <mergeCell ref="A1693:G1693"/>
    <mergeCell ref="B128:G128"/>
    <mergeCell ref="B1423:G1423"/>
    <mergeCell ref="A75:E75"/>
    <mergeCell ref="A409:E409"/>
    <mergeCell ref="A469:E469"/>
    <mergeCell ref="A596:E596"/>
    <mergeCell ref="A1307:E1307"/>
    <mergeCell ref="A1739:E1739"/>
    <mergeCell ref="A813:E813"/>
    <mergeCell ref="A631:E631"/>
    <mergeCell ref="A312:E312"/>
    <mergeCell ref="A579:E579"/>
    <mergeCell ref="B584:G584"/>
    <mergeCell ref="A1309:E1309"/>
    <mergeCell ref="A1632:E1632"/>
    <mergeCell ref="A1803:E1803"/>
    <mergeCell ref="A815:E815"/>
    <mergeCell ref="A597:E597"/>
    <mergeCell ref="A1113:E1113"/>
    <mergeCell ref="A323:E323"/>
    <mergeCell ref="A833:E833"/>
    <mergeCell ref="A1434:E1434"/>
    <mergeCell ref="A1727:G1727"/>
    <mergeCell ref="A2090:E2090"/>
    <mergeCell ref="B548:G548"/>
    <mergeCell ref="A1648:G1648"/>
    <mergeCell ref="B1603:G1603"/>
    <mergeCell ref="A226:E226"/>
    <mergeCell ref="B1888:G1888"/>
    <mergeCell ref="B878:G878"/>
    <mergeCell ref="A1189:E1189"/>
    <mergeCell ref="B877:G877"/>
    <mergeCell ref="B942:G942"/>
    <mergeCell ref="A697:E697"/>
    <mergeCell ref="A1645:E1645"/>
    <mergeCell ref="B103:G103"/>
    <mergeCell ref="B1604:G1604"/>
    <mergeCell ref="A762:E762"/>
    <mergeCell ref="B168:G168"/>
    <mergeCell ref="A2008:E2008"/>
    <mergeCell ref="B1634:G1634"/>
    <mergeCell ref="A2044:E2044"/>
    <mergeCell ref="A1345:E1345"/>
    <mergeCell ref="A1516:E1516"/>
    <mergeCell ref="A699:E699"/>
    <mergeCell ref="A2029:E2029"/>
    <mergeCell ref="A997:E997"/>
    <mergeCell ref="A1945:E1945"/>
    <mergeCell ref="B1329:G1329"/>
    <mergeCell ref="A1674:G1674"/>
    <mergeCell ref="A1233:E1233"/>
    <mergeCell ref="A2010:E2010"/>
    <mergeCell ref="A223:E223"/>
    <mergeCell ref="A840:G840"/>
    <mergeCell ref="A1959:G1959"/>
    <mergeCell ref="A1518:E1518"/>
    <mergeCell ref="A763:E763"/>
    <mergeCell ref="A1369:G1369"/>
    <mergeCell ref="B169:G169"/>
    <mergeCell ref="A999:E999"/>
    <mergeCell ref="A1934:G1934"/>
    <mergeCell ref="A2045:E2045"/>
    <mergeCell ref="A254:E254"/>
    <mergeCell ref="A1818:E1818"/>
    <mergeCell ref="A2011:E2011"/>
    <mergeCell ref="B129:G129"/>
    <mergeCell ref="B200:G200"/>
    <mergeCell ref="A20:E20"/>
    <mergeCell ref="A125:E125"/>
    <mergeCell ref="A1584:E1584"/>
    <mergeCell ref="A1755:E1755"/>
    <mergeCell ref="A1600:E1600"/>
    <mergeCell ref="A541:E541"/>
    <mergeCell ref="B1553:G1553"/>
    <mergeCell ref="B1820:G1820"/>
    <mergeCell ref="A1075:E1075"/>
    <mergeCell ref="A1744:G1744"/>
    <mergeCell ref="A618:E618"/>
    <mergeCell ref="A1615:E1615"/>
    <mergeCell ref="A783:E783"/>
    <mergeCell ref="A412:E412"/>
    <mergeCell ref="A854:E854"/>
    <mergeCell ref="B1021:G1021"/>
    <mergeCell ref="B1776:G1776"/>
    <mergeCell ref="A1913:E1913"/>
    <mergeCell ref="A2047:E2047"/>
    <mergeCell ref="A1900:E1900"/>
    <mergeCell ref="A939:E939"/>
    <mergeCell ref="A51:E51"/>
    <mergeCell ref="A1704:E1704"/>
    <mergeCell ref="A816:E816"/>
    <mergeCell ref="A1642:E1642"/>
    <mergeCell ref="B1330:G1330"/>
    <mergeCell ref="A1114:E1114"/>
    <mergeCell ref="A918:E918"/>
    <mergeCell ref="B569:G569"/>
    <mergeCell ref="B1079:G1079"/>
    <mergeCell ref="A1150:E1150"/>
    <mergeCell ref="A1706:E1706"/>
    <mergeCell ref="A1208:E1208"/>
    <mergeCell ref="A1450:E1450"/>
    <mergeCell ref="B447:G447"/>
    <mergeCell ref="A267:E267"/>
    <mergeCell ref="A1822:G1822"/>
    <mergeCell ref="B474:G474"/>
    <mergeCell ref="B943:G943"/>
    <mergeCell ref="A1668:E1668"/>
    <mergeCell ref="A1588:G1588"/>
    <mergeCell ref="B516:G516"/>
    <mergeCell ref="A542:E542"/>
    <mergeCell ref="A852:E852"/>
    <mergeCell ref="A1094:E1094"/>
    <mergeCell ref="A35:E35"/>
    <mergeCell ref="B282:G282"/>
    <mergeCell ref="B724:G724"/>
    <mergeCell ref="A1234:E1234"/>
    <mergeCell ref="B1472:G1472"/>
    <mergeCell ref="A2066:E2066"/>
    <mergeCell ref="A544:E544"/>
    <mergeCell ref="A1221:E1221"/>
    <mergeCell ref="A1292:E1292"/>
    <mergeCell ref="B1835:G1835"/>
    <mergeCell ref="A642:E642"/>
    <mergeCell ref="A1000:E1000"/>
    <mergeCell ref="B517:G517"/>
    <mergeCell ref="A1953:E1953"/>
    <mergeCell ref="A310:E310"/>
    <mergeCell ref="A166:E166"/>
    <mergeCell ref="A337:E337"/>
    <mergeCell ref="A595:E595"/>
    <mergeCell ref="A1554:G1554"/>
    <mergeCell ref="A339:E339"/>
    <mergeCell ref="A1904:G1904"/>
    <mergeCell ref="B1098:G1098"/>
    <mergeCell ref="A1210:E1210"/>
    <mergeCell ref="A718:E718"/>
    <mergeCell ref="B1790:G1790"/>
    <mergeCell ref="A255:E255"/>
    <mergeCell ref="B1861:G1861"/>
    <mergeCell ref="A1616:E1616"/>
    <mergeCell ref="B900:G900"/>
    <mergeCell ref="A855:E855"/>
    <mergeCell ref="B201:G201"/>
    <mergeCell ref="B372:G372"/>
    <mergeCell ref="B1848:G1848"/>
    <mergeCell ref="A720:E720"/>
    <mergeCell ref="A1018:E1018"/>
    <mergeCell ref="A1382:E1382"/>
    <mergeCell ref="A499:E499"/>
    <mergeCell ref="B5:G5"/>
    <mergeCell ref="A79:G79"/>
    <mergeCell ref="A1618:E1618"/>
    <mergeCell ref="A657:E657"/>
    <mergeCell ref="B1396:G1396"/>
    <mergeCell ref="A784:E784"/>
    <mergeCell ref="A1253:E1253"/>
    <mergeCell ref="A1720:E1720"/>
    <mergeCell ref="A1191:E1191"/>
    <mergeCell ref="A1384:E1384"/>
    <mergeCell ref="A1943:E1943"/>
    <mergeCell ref="A1722:E1722"/>
    <mergeCell ref="A52:E52"/>
    <mergeCell ref="A145:G145"/>
    <mergeCell ref="B215:G215"/>
    <mergeCell ref="A272:G272"/>
    <mergeCell ref="A1456:G1456"/>
    <mergeCell ref="B1040:G1040"/>
    <mergeCell ref="A873:E873"/>
    <mergeCell ref="A2015:G2015"/>
    <mergeCell ref="A1225:G1225"/>
    <mergeCell ref="B819:G819"/>
    <mergeCell ref="A768:G768"/>
    <mergeCell ref="B229:G229"/>
    <mergeCell ref="A368:E368"/>
    <mergeCell ref="A835:E835"/>
    <mergeCell ref="B23:G23"/>
    <mergeCell ref="A1004:G1004"/>
    <mergeCell ref="A1394:E1394"/>
    <mergeCell ref="A1565:E1565"/>
    <mergeCell ref="A1832:E1832"/>
    <mergeCell ref="B1536:G1536"/>
    <mergeCell ref="A36:E36"/>
    <mergeCell ref="B2070:G2070"/>
    <mergeCell ref="A1889:G1889"/>
    <mergeCell ref="A1629:E1629"/>
    <mergeCell ref="B283:G283"/>
    <mergeCell ref="A370:E370"/>
    <mergeCell ref="A1567:E1567"/>
    <mergeCell ref="A668:E668"/>
    <mergeCell ref="A1306:E1306"/>
    <mergeCell ref="B1407:G1407"/>
    <mergeCell ref="A1433:E1433"/>
    <mergeCell ref="B1849:G1849"/>
    <mergeCell ref="B1836:G1836"/>
    <mergeCell ref="A643:E643"/>
    <mergeCell ref="A1669:E1669"/>
    <mergeCell ref="B1488:G1488"/>
    <mergeCell ref="A1898:E1898"/>
    <mergeCell ref="A1954:E1954"/>
    <mergeCell ref="A670:E670"/>
    <mergeCell ref="A1308:E1308"/>
    <mergeCell ref="A1435:E1435"/>
    <mergeCell ref="A1235:E1235"/>
    <mergeCell ref="A645:E645"/>
    <mergeCell ref="A1074:E1074"/>
    <mergeCell ref="A859:G859"/>
    <mergeCell ref="B1709:G1709"/>
    <mergeCell ref="B1725:G1725"/>
    <mergeCell ref="B964:G964"/>
    <mergeCell ref="B1504:G1504"/>
    <mergeCell ref="A2072:G2072"/>
    <mergeCell ref="B1862:G1862"/>
    <mergeCell ref="A1324:E1324"/>
    <mergeCell ref="A265:E265"/>
    <mergeCell ref="B1933:G1933"/>
    <mergeCell ref="B1137:G1137"/>
    <mergeCell ref="A721:E721"/>
    <mergeCell ref="A1190:E1190"/>
    <mergeCell ref="A1845:E1845"/>
    <mergeCell ref="A786:E786"/>
    <mergeCell ref="B1422:G1422"/>
    <mergeCell ref="A1255:E1255"/>
    <mergeCell ref="A500:E500"/>
    <mergeCell ref="B601:G601"/>
    <mergeCell ref="B661:G661"/>
    <mergeCell ref="B965:G965"/>
    <mergeCell ref="B1791:G1791"/>
    <mergeCell ref="A565:E565"/>
    <mergeCell ref="A785:E785"/>
    <mergeCell ref="A73:E73"/>
    <mergeCell ref="A266:E266"/>
    <mergeCell ref="A564:E564"/>
    <mergeCell ref="A502:E502"/>
    <mergeCell ref="A629:E629"/>
    <mergeCell ref="A1993:E1993"/>
    <mergeCell ref="A1846:E1846"/>
    <mergeCell ref="A1256:E1256"/>
    <mergeCell ref="A197:E197"/>
    <mergeCell ref="A1517:E1517"/>
    <mergeCell ref="A124:E124"/>
    <mergeCell ref="A801:G801"/>
    <mergeCell ref="A1998:G1998"/>
    <mergeCell ref="A966:G966"/>
    <mergeCell ref="A658:E658"/>
    <mergeCell ref="A1871:E1871"/>
    <mergeCell ref="B329:G329"/>
    <mergeCell ref="B1277:G1277"/>
    <mergeCell ref="B800:G800"/>
    <mergeCell ref="A6:G6"/>
    <mergeCell ref="B1875:G1875"/>
    <mergeCell ref="A1403:E1403"/>
    <mergeCell ref="B1552:G1552"/>
    <mergeCell ref="A940:E940"/>
    <mergeCell ref="A411:E411"/>
    <mergeCell ref="A853:E853"/>
    <mergeCell ref="A1274:E1274"/>
    <mergeCell ref="B1367:G1367"/>
    <mergeCell ref="A513:E513"/>
    <mergeCell ref="A1703:E1703"/>
    <mergeCell ref="A2026:E2026"/>
    <mergeCell ref="A158:G158"/>
    <mergeCell ref="A1485:E1485"/>
    <mergeCell ref="A152:E152"/>
    <mergeCell ref="A587:G587"/>
    <mergeCell ref="A1034:E1034"/>
    <mergeCell ref="A1914:E1914"/>
    <mergeCell ref="A1770:E1770"/>
    <mergeCell ref="A1388:G1388"/>
    <mergeCell ref="A1549:E1549"/>
    <mergeCell ref="A1785:E1785"/>
    <mergeCell ref="A1772:E1772"/>
    <mergeCell ref="A985:G985"/>
    <mergeCell ref="A662:G662"/>
    <mergeCell ref="A789:G789"/>
    <mergeCell ref="B446:G446"/>
    <mergeCell ref="A1979:G1979"/>
    <mergeCell ref="B1570:G1570"/>
    <mergeCell ref="B1977:G1977"/>
    <mergeCell ref="B746:G746"/>
    <mergeCell ref="B546:G546"/>
    <mergeCell ref="A501:E501"/>
    <mergeCell ref="A1327:E1327"/>
    <mergeCell ref="A268:E268"/>
    <mergeCell ref="B1743:G1743"/>
    <mergeCell ref="A99:E99"/>
    <mergeCell ref="A566:E566"/>
    <mergeCell ref="B838:G838"/>
    <mergeCell ref="B1080:G1080"/>
    <mergeCell ref="A1392:E1392"/>
    <mergeCell ref="B1438:G1438"/>
    <mergeCell ref="A74:E74"/>
    <mergeCell ref="A1550:E1550"/>
    <mergeCell ref="B1742:G1742"/>
    <mergeCell ref="A1093:E1093"/>
    <mergeCell ref="B1978:G1978"/>
    <mergeCell ref="A1220:E1220"/>
    <mergeCell ref="A381:E381"/>
    <mergeCell ref="A1391:E1391"/>
    <mergeCell ref="A1500:E1500"/>
    <mergeCell ref="A163:E163"/>
    <mergeCell ref="A630:E630"/>
    <mergeCell ref="A101:E101"/>
    <mergeCell ref="A1754:E1754"/>
    <mergeCell ref="A1037:E1037"/>
    <mergeCell ref="A76:E76"/>
    <mergeCell ref="A1912:E1912"/>
    <mergeCell ref="B983:G983"/>
    <mergeCell ref="A1095:E1095"/>
    <mergeCell ref="A1393:E1393"/>
    <mergeCell ref="A1564:E1564"/>
    <mergeCell ref="A1349:G1349"/>
    <mergeCell ref="A674:G674"/>
    <mergeCell ref="B635:G635"/>
    <mergeCell ref="A41:G41"/>
    <mergeCell ref="A1927:E1927"/>
    <mergeCell ref="A448:G448"/>
    <mergeCell ref="A895:E895"/>
    <mergeCell ref="A140:E140"/>
    <mergeCell ref="A311:E311"/>
    <mergeCell ref="A944:G944"/>
    <mergeCell ref="A740:E740"/>
    <mergeCell ref="B1156:G1156"/>
    <mergeCell ref="A1418:E1418"/>
    <mergeCell ref="A1807:G1807"/>
    <mergeCell ref="B922:G922"/>
    <mergeCell ref="A1313:G1313"/>
    <mergeCell ref="A742:E742"/>
    <mergeCell ref="B259:G259"/>
    <mergeCell ref="B701:G701"/>
    <mergeCell ref="A279:E279"/>
    <mergeCell ref="B1059:G1059"/>
    <mergeCell ref="A1469:E1469"/>
    <mergeCell ref="A1816:E1816"/>
    <mergeCell ref="A1705:E1705"/>
    <mergeCell ref="A2009:E2009"/>
    <mergeCell ref="A1419:E1419"/>
    <mergeCell ref="B461:G461"/>
    <mergeCell ref="B1520:G1520"/>
    <mergeCell ref="B1691:G1691"/>
    <mergeCell ref="A458:E458"/>
    <mergeCell ref="A1484:E1484"/>
    <mergeCell ref="A230:G230"/>
    <mergeCell ref="A1486:E1486"/>
    <mergeCell ref="A1290:E1290"/>
    <mergeCell ref="A2067:E2067"/>
    <mergeCell ref="A979:E979"/>
    <mergeCell ref="A1915:E1915"/>
    <mergeCell ref="B373:G373"/>
    <mergeCell ref="A1342:E1342"/>
    <mergeCell ref="A1254:E1254"/>
    <mergeCell ref="A703:G703"/>
    <mergeCell ref="A1788:E1788"/>
    <mergeCell ref="B343:G343"/>
    <mergeCell ref="A897:E897"/>
    <mergeCell ref="B414:G414"/>
    <mergeCell ref="B585:G585"/>
    <mergeCell ref="B2049:G2049"/>
    <mergeCell ref="A872:E872"/>
    <mergeCell ref="A1869:E1869"/>
    <mergeCell ref="A834:E834"/>
    <mergeCell ref="A380:E380"/>
    <mergeCell ref="A961:E961"/>
    <mergeCell ref="A1132:E1132"/>
    <mergeCell ref="A100:E100"/>
    <mergeCell ref="B1081:G1081"/>
    <mergeCell ref="B22:G22"/>
    <mergeCell ref="A165:E165"/>
    <mergeCell ref="A874:E874"/>
    <mergeCell ref="A656:E656"/>
    <mergeCell ref="A1172:E1172"/>
    <mergeCell ref="A594:E594"/>
    <mergeCell ref="A1470:E1470"/>
    <mergeCell ref="A382:E382"/>
    <mergeCell ref="A1134:E1134"/>
    <mergeCell ref="A1401:E1401"/>
    <mergeCell ref="B1406:G1406"/>
    <mergeCell ref="B1673:G1673"/>
    <mergeCell ref="A1870:E1870"/>
    <mergeCell ref="B2031:G2031"/>
    <mergeCell ref="A471:E471"/>
    <mergeCell ref="A1630:E1630"/>
    <mergeCell ref="A1801:E1801"/>
    <mergeCell ref="A980:E980"/>
    <mergeCell ref="A669:E669"/>
    <mergeCell ref="B1212:G1212"/>
    <mergeCell ref="A1473:G1473"/>
    <mergeCell ref="A416:G416"/>
    <mergeCell ref="A1501:E1501"/>
    <mergeCell ref="A1930:E1930"/>
    <mergeCell ref="A518:G518"/>
    <mergeCell ref="A820:G820"/>
    <mergeCell ref="A1582:E1582"/>
    <mergeCell ref="A747:G747"/>
    <mergeCell ref="B702:G702"/>
    <mergeCell ref="A1483:E1483"/>
    <mergeCell ref="A284:G284"/>
    <mergeCell ref="B767:G767"/>
    <mergeCell ref="A326:E326"/>
    <mergeCell ref="A1710:G1710"/>
    <mergeCell ref="A1817:E1817"/>
    <mergeCell ref="A2088:E2088"/>
    <mergeCell ref="A1056:E1056"/>
    <mergeCell ref="B1294:G1294"/>
    <mergeCell ref="A1420:E1420"/>
    <mergeCell ref="B633:G633"/>
    <mergeCell ref="A1882:E1882"/>
    <mergeCell ref="B1586:G1586"/>
    <mergeCell ref="B1002:G1002"/>
    <mergeCell ref="A1583:E1583"/>
    <mergeCell ref="B1238:G1238"/>
    <mergeCell ref="A616:E616"/>
    <mergeCell ref="B1759:G1759"/>
    <mergeCell ref="B1175:G1175"/>
    <mergeCell ref="A1343:E1343"/>
    <mergeCell ref="A1756:E1756"/>
    <mergeCell ref="A1883:E1883"/>
    <mergeCell ref="A602:G602"/>
    <mergeCell ref="A916:E916"/>
    <mergeCell ref="A1858:E1858"/>
    <mergeCell ref="A761:E761"/>
    <mergeCell ref="A104:G104"/>
    <mergeCell ref="A617:E617"/>
    <mergeCell ref="A1643:E1643"/>
    <mergeCell ref="A1505:G1505"/>
    <mergeCell ref="B2050:G2050"/>
    <mergeCell ref="A1232:E1232"/>
    <mergeCell ref="A1296:G1296"/>
    <mergeCell ref="B328:G328"/>
    <mergeCell ref="A615:E615"/>
    <mergeCell ref="A1100:G1100"/>
    <mergeCell ref="B1620:G1620"/>
    <mergeCell ref="A123:E123"/>
    <mergeCell ref="A170:G170"/>
    <mergeCell ref="A998:E998"/>
    <mergeCell ref="A1872:E1872"/>
    <mergeCell ref="A1532:E1532"/>
    <mergeCell ref="A644:E644"/>
    <mergeCell ref="B1958:G1958"/>
    <mergeCell ref="A1209:E1209"/>
    <mergeCell ref="A1571:G1571"/>
    <mergeCell ref="A130:G130"/>
    <mergeCell ref="A472:E472"/>
    <mergeCell ref="A410:E410"/>
    <mergeCell ref="A1740:E1740"/>
    <mergeCell ref="A1534:E1534"/>
    <mergeCell ref="A1417:E1417"/>
    <mergeCell ref="A1273:E1273"/>
    <mergeCell ref="A18:E18"/>
    <mergeCell ref="A456:E456"/>
    <mergeCell ref="A1062:G1062"/>
    <mergeCell ref="B648:G648"/>
    <mergeCell ref="A1112:E1112"/>
    <mergeCell ref="A1598:E1598"/>
    <mergeCell ref="A278:E278"/>
    <mergeCell ref="A1275:E1275"/>
    <mergeCell ref="A1424:G1424"/>
    <mergeCell ref="A1489:G1489"/>
    <mergeCell ref="A1362:E1362"/>
    <mergeCell ref="A636:G636"/>
    <mergeCell ref="A1153:E1153"/>
    <mergeCell ref="A1760:G1760"/>
    <mergeCell ref="A2:G2"/>
    <mergeCell ref="B214:G214"/>
    <mergeCell ref="A2027:E2027"/>
    <mergeCell ref="B1902:G1902"/>
    <mergeCell ref="A1364:E1364"/>
    <mergeCell ref="A919:E919"/>
    <mergeCell ref="B1117:G1117"/>
    <mergeCell ref="A894:E894"/>
    <mergeCell ref="A937:E937"/>
    <mergeCell ref="A1885:E1885"/>
    <mergeCell ref="A98:E98"/>
    <mergeCell ref="B57:G57"/>
    <mergeCell ref="A225:E225"/>
    <mergeCell ref="A1222:E1222"/>
    <mergeCell ref="B799:G799"/>
    <mergeCell ref="A2028:E2028"/>
    <mergeCell ref="B1041:G1041"/>
    <mergeCell ref="A1884:E1884"/>
    <mergeCell ref="B342:G342"/>
    <mergeCell ref="B1806:G1806"/>
    <mergeCell ref="A1365:E1365"/>
    <mergeCell ref="A917:E917"/>
    <mergeCell ref="A923:G923"/>
    <mergeCell ref="A1601:E1601"/>
    <mergeCell ref="B1099:G1099"/>
    <mergeCell ref="A164:E164"/>
    <mergeCell ref="B1193:G1193"/>
    <mergeCell ref="A549:G549"/>
    <mergeCell ref="B723:G723"/>
    <mergeCell ref="A476:G476"/>
    <mergeCell ref="B788:G788"/>
    <mergeCell ref="A543:E543"/>
    <mergeCell ref="A195:E195"/>
    <mergeCell ref="A1077:E1077"/>
    <mergeCell ref="A1439:G1439"/>
    <mergeCell ref="B4:G4"/>
    <mergeCell ref="A309:E309"/>
    <mergeCell ref="A649:G649"/>
    <mergeCell ref="B1194:G1194"/>
    <mergeCell ref="A1533:E1533"/>
    <mergeCell ref="A1975:E1975"/>
    <mergeCell ref="B1455:G1455"/>
    <mergeCell ref="A2046:E2046"/>
    <mergeCell ref="A17:E17"/>
    <mergeCell ref="A126:E126"/>
    <mergeCell ref="A253:E253"/>
    <mergeCell ref="A53:E53"/>
    <mergeCell ref="A324:E324"/>
    <mergeCell ref="A1548:E1548"/>
    <mergeCell ref="B2013:G2013"/>
    <mergeCell ref="A1833:E1833"/>
    <mergeCell ref="A19:E19"/>
    <mergeCell ref="A1016:E1016"/>
    <mergeCell ref="B1997:G1997"/>
    <mergeCell ref="A1599:E1599"/>
    <mergeCell ref="B228:G228"/>
    <mergeCell ref="B1692:G1692"/>
  </mergeCells>
  <conditionalFormatting sqref="F19 F37 F53 F75 F100 F125 F141 F154 F165 F197 F211 F225 F255 F267 F279 F311 F325 F339 F369 F381 F411 F443 F457 F471 F501 F513 F543 F566 F581 F596 F617 F630 F644 F658 F669 F698 F720 F742 F763 F785 F796 F815 F835 F854 F874 F896 F918 F939 F961 F980 F999 F1017 F1036 F1056 F1076 F1095 F1114 F1133 F1152 F1171 F1190 F1209 F1221 F1234 F1255 F1274 F1291 F1308 F1326 F1344 F1364 F1384 F1393 F1403 F1419 F1435 F1452 F1469 F1485 F1501 F1517 F1533 F1549 F1566 F1583 F1600 F1617 F1631 F1644 F1670 F1688 F1705 F1722 F1739 F1756 F1772 F1787 F1802 F1817 F1832 F1845 F1858 F1871 F1884 F1899 F1914 F1929 F1944 F1954 F1974 F1994 F2010 F2028 F2046 F2067 F2089">
    <cfRule type="cellIs" priority="1" operator="notBetween" dxfId="0">
      <formula>-0.05</formula>
      <formula>0.05</formula>
    </cfRule>
  </conditionalFormatting>
  <hyperlinks>
    <hyperlink xmlns:r="http://schemas.openxmlformats.org/officeDocument/2006/relationships" ref="A10" r:id="rId1"/>
    <hyperlink xmlns:r="http://schemas.openxmlformats.org/officeDocument/2006/relationships" ref="A28" r:id="rId2"/>
    <hyperlink xmlns:r="http://schemas.openxmlformats.org/officeDocument/2006/relationships" ref="A47" r:id="rId3"/>
    <hyperlink xmlns:r="http://schemas.openxmlformats.org/officeDocument/2006/relationships" ref="A132" r:id="rId4"/>
    <hyperlink xmlns:r="http://schemas.openxmlformats.org/officeDocument/2006/relationships" ref="A147" r:id="rId5"/>
    <hyperlink xmlns:r="http://schemas.openxmlformats.org/officeDocument/2006/relationships" ref="A204" r:id="rId6"/>
    <hyperlink xmlns:r="http://schemas.openxmlformats.org/officeDocument/2006/relationships" ref="A218" r:id="rId7"/>
    <hyperlink xmlns:r="http://schemas.openxmlformats.org/officeDocument/2006/relationships" ref="A262" r:id="rId8"/>
    <hyperlink xmlns:r="http://schemas.openxmlformats.org/officeDocument/2006/relationships" ref="A274" r:id="rId9"/>
    <hyperlink xmlns:r="http://schemas.openxmlformats.org/officeDocument/2006/relationships" ref="A318" r:id="rId10"/>
    <hyperlink xmlns:r="http://schemas.openxmlformats.org/officeDocument/2006/relationships" ref="A332" r:id="rId11"/>
    <hyperlink xmlns:r="http://schemas.openxmlformats.org/officeDocument/2006/relationships" ref="A376" r:id="rId12"/>
    <hyperlink xmlns:r="http://schemas.openxmlformats.org/officeDocument/2006/relationships" ref="A450" r:id="rId13"/>
    <hyperlink xmlns:r="http://schemas.openxmlformats.org/officeDocument/2006/relationships" ref="A464" r:id="rId14"/>
    <hyperlink xmlns:r="http://schemas.openxmlformats.org/officeDocument/2006/relationships" ref="A508" r:id="rId15"/>
    <hyperlink xmlns:r="http://schemas.openxmlformats.org/officeDocument/2006/relationships" ref="A551" r:id="rId16"/>
    <hyperlink xmlns:r="http://schemas.openxmlformats.org/officeDocument/2006/relationships" ref="A574" r:id="rId17"/>
    <hyperlink xmlns:r="http://schemas.openxmlformats.org/officeDocument/2006/relationships" ref="A589" r:id="rId18"/>
    <hyperlink xmlns:r="http://schemas.openxmlformats.org/officeDocument/2006/relationships" ref="A604" r:id="rId19"/>
    <hyperlink xmlns:r="http://schemas.openxmlformats.org/officeDocument/2006/relationships" ref="A625" r:id="rId20"/>
    <hyperlink xmlns:r="http://schemas.openxmlformats.org/officeDocument/2006/relationships" ref="A638" r:id="rId21"/>
    <hyperlink xmlns:r="http://schemas.openxmlformats.org/officeDocument/2006/relationships" ref="A676" r:id="rId22"/>
    <hyperlink xmlns:r="http://schemas.openxmlformats.org/officeDocument/2006/relationships" ref="A707" r:id="rId23"/>
    <hyperlink xmlns:r="http://schemas.openxmlformats.org/officeDocument/2006/relationships" ref="A729" r:id="rId24"/>
    <hyperlink xmlns:r="http://schemas.openxmlformats.org/officeDocument/2006/relationships" ref="A751" r:id="rId25"/>
    <hyperlink xmlns:r="http://schemas.openxmlformats.org/officeDocument/2006/relationships" ref="A772" r:id="rId26"/>
    <hyperlink xmlns:r="http://schemas.openxmlformats.org/officeDocument/2006/relationships" ref="A805" r:id="rId27"/>
    <hyperlink xmlns:r="http://schemas.openxmlformats.org/officeDocument/2006/relationships" ref="A824" r:id="rId28"/>
    <hyperlink xmlns:r="http://schemas.openxmlformats.org/officeDocument/2006/relationships" ref="A844" r:id="rId29"/>
    <hyperlink xmlns:r="http://schemas.openxmlformats.org/officeDocument/2006/relationships" ref="A863" r:id="rId30"/>
    <hyperlink xmlns:r="http://schemas.openxmlformats.org/officeDocument/2006/relationships" ref="A883" r:id="rId31"/>
    <hyperlink xmlns:r="http://schemas.openxmlformats.org/officeDocument/2006/relationships" ref="A905" r:id="rId32"/>
    <hyperlink xmlns:r="http://schemas.openxmlformats.org/officeDocument/2006/relationships" ref="A927" r:id="rId33"/>
    <hyperlink xmlns:r="http://schemas.openxmlformats.org/officeDocument/2006/relationships" ref="A948" r:id="rId34"/>
    <hyperlink xmlns:r="http://schemas.openxmlformats.org/officeDocument/2006/relationships" ref="A970" r:id="rId35"/>
    <hyperlink xmlns:r="http://schemas.openxmlformats.org/officeDocument/2006/relationships" ref="A989" r:id="rId36"/>
    <hyperlink xmlns:r="http://schemas.openxmlformats.org/officeDocument/2006/relationships" ref="A1008" r:id="rId37"/>
    <hyperlink xmlns:r="http://schemas.openxmlformats.org/officeDocument/2006/relationships" ref="A1026" r:id="rId38"/>
    <hyperlink xmlns:r="http://schemas.openxmlformats.org/officeDocument/2006/relationships" ref="A1046" r:id="rId39"/>
    <hyperlink xmlns:r="http://schemas.openxmlformats.org/officeDocument/2006/relationships" ref="A1066" r:id="rId40"/>
    <hyperlink xmlns:r="http://schemas.openxmlformats.org/officeDocument/2006/relationships" ref="A1086" r:id="rId41"/>
    <hyperlink xmlns:r="http://schemas.openxmlformats.org/officeDocument/2006/relationships" ref="A1103" r:id="rId42"/>
    <hyperlink xmlns:r="http://schemas.openxmlformats.org/officeDocument/2006/relationships" ref="A1122" r:id="rId43"/>
    <hyperlink xmlns:r="http://schemas.openxmlformats.org/officeDocument/2006/relationships" ref="A1141" r:id="rId44"/>
    <hyperlink xmlns:r="http://schemas.openxmlformats.org/officeDocument/2006/relationships" ref="A1160" r:id="rId45"/>
    <hyperlink xmlns:r="http://schemas.openxmlformats.org/officeDocument/2006/relationships" ref="A1179" r:id="rId46"/>
    <hyperlink xmlns:r="http://schemas.openxmlformats.org/officeDocument/2006/relationships" ref="A1198" r:id="rId47"/>
    <hyperlink xmlns:r="http://schemas.openxmlformats.org/officeDocument/2006/relationships" ref="A1243" r:id="rId48"/>
    <hyperlink xmlns:r="http://schemas.openxmlformats.org/officeDocument/2006/relationships" ref="A1263" r:id="rId49"/>
    <hyperlink xmlns:r="http://schemas.openxmlformats.org/officeDocument/2006/relationships" ref="A1283" r:id="rId50"/>
    <hyperlink xmlns:r="http://schemas.openxmlformats.org/officeDocument/2006/relationships" ref="A1300" r:id="rId51"/>
    <hyperlink xmlns:r="http://schemas.openxmlformats.org/officeDocument/2006/relationships" ref="A1317" r:id="rId52"/>
    <hyperlink xmlns:r="http://schemas.openxmlformats.org/officeDocument/2006/relationships" ref="A1318" r:id="rId53"/>
    <hyperlink xmlns:r="http://schemas.openxmlformats.org/officeDocument/2006/relationships" ref="A1335" r:id="rId54"/>
    <hyperlink xmlns:r="http://schemas.openxmlformats.org/officeDocument/2006/relationships" ref="A1336" r:id="rId55"/>
    <hyperlink xmlns:r="http://schemas.openxmlformats.org/officeDocument/2006/relationships" ref="A1353" r:id="rId56"/>
    <hyperlink xmlns:r="http://schemas.openxmlformats.org/officeDocument/2006/relationships" ref="A1354" r:id="rId57"/>
    <hyperlink xmlns:r="http://schemas.openxmlformats.org/officeDocument/2006/relationships" ref="A1373" r:id="rId58"/>
    <hyperlink xmlns:r="http://schemas.openxmlformats.org/officeDocument/2006/relationships" ref="A1374" r:id="rId59"/>
    <hyperlink xmlns:r="http://schemas.openxmlformats.org/officeDocument/2006/relationships" ref="A1477" r:id="rId60"/>
    <hyperlink xmlns:r="http://schemas.openxmlformats.org/officeDocument/2006/relationships" ref="A1493" r:id="rId61"/>
    <hyperlink xmlns:r="http://schemas.openxmlformats.org/officeDocument/2006/relationships" ref="A1509" r:id="rId62"/>
    <hyperlink xmlns:r="http://schemas.openxmlformats.org/officeDocument/2006/relationships" ref="A1525" r:id="rId63"/>
    <hyperlink xmlns:r="http://schemas.openxmlformats.org/officeDocument/2006/relationships" ref="A1541" r:id="rId64"/>
    <hyperlink xmlns:r="http://schemas.openxmlformats.org/officeDocument/2006/relationships" ref="A1558" r:id="rId65"/>
    <hyperlink xmlns:r="http://schemas.openxmlformats.org/officeDocument/2006/relationships" ref="A1575" r:id="rId66"/>
    <hyperlink xmlns:r="http://schemas.openxmlformats.org/officeDocument/2006/relationships" ref="A1592" r:id="rId67"/>
    <hyperlink xmlns:r="http://schemas.openxmlformats.org/officeDocument/2006/relationships" ref="A1609" r:id="rId68"/>
    <hyperlink xmlns:r="http://schemas.openxmlformats.org/officeDocument/2006/relationships" ref="A1623" r:id="rId69"/>
    <hyperlink xmlns:r="http://schemas.openxmlformats.org/officeDocument/2006/relationships" ref="A1650" r:id="rId70"/>
    <hyperlink xmlns:r="http://schemas.openxmlformats.org/officeDocument/2006/relationships" ref="A1660" r:id="rId71"/>
    <hyperlink xmlns:r="http://schemas.openxmlformats.org/officeDocument/2006/relationships" ref="A1661" r:id="rId72"/>
    <hyperlink xmlns:r="http://schemas.openxmlformats.org/officeDocument/2006/relationships" ref="A1662" r:id="rId73"/>
    <hyperlink xmlns:r="http://schemas.openxmlformats.org/officeDocument/2006/relationships" ref="A1681" r:id="rId74"/>
    <hyperlink xmlns:r="http://schemas.openxmlformats.org/officeDocument/2006/relationships" ref="A1697" r:id="rId75"/>
    <hyperlink xmlns:r="http://schemas.openxmlformats.org/officeDocument/2006/relationships" ref="A1714" r:id="rId76"/>
    <hyperlink xmlns:r="http://schemas.openxmlformats.org/officeDocument/2006/relationships" ref="A1731" r:id="rId77"/>
    <hyperlink xmlns:r="http://schemas.openxmlformats.org/officeDocument/2006/relationships" ref="A1748" r:id="rId78"/>
    <hyperlink xmlns:r="http://schemas.openxmlformats.org/officeDocument/2006/relationships" ref="A1764" r:id="rId79"/>
    <hyperlink xmlns:r="http://schemas.openxmlformats.org/officeDocument/2006/relationships" ref="A1962" r:id="rId80"/>
    <hyperlink xmlns:r="http://schemas.openxmlformats.org/officeDocument/2006/relationships" ref="A1982" r:id="rId81"/>
    <hyperlink xmlns:r="http://schemas.openxmlformats.org/officeDocument/2006/relationships" ref="A2055" r:id="rId82"/>
    <hyperlink xmlns:r="http://schemas.openxmlformats.org/officeDocument/2006/relationships" ref="A2076" r:id="rId8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2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 width="34" customWidth="1" min="7" max="7"/>
  </cols>
  <sheetData>
    <row r="1" ht="26" customHeight="1">
      <c r="A1" s="1" t="inlineStr">
        <is>
          <t>SUB-HEAD 12: ROOFING</t>
        </is>
      </c>
    </row>
    <row r="2" ht="28" customHeight="1">
      <c r="A2" s="16" t="inlineStr">
        <is>
          <t>118 priced items. Amount and Calculated W are live Excel formulas (Quantity x Rate, SUM); the printed W and SAY are the DAR's own figures. Edit any Quantity or Rate and the item's calculated W recalculates.</t>
        </is>
      </c>
    </row>
    <row r="4" ht="76.5" customHeight="1">
      <c r="A4" s="8" t="inlineStr">
        <is>
          <t>12.1</t>
        </is>
      </c>
      <c r="B4" s="17"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is>
      </c>
      <c r="C4" s="9" t="n"/>
      <c r="D4" s="9" t="n"/>
      <c r="E4" s="9" t="n"/>
      <c r="F4" s="9" t="n"/>
      <c r="G4" s="9" t="n"/>
    </row>
    <row r="5" ht="18.5" customHeight="1">
      <c r="A5" s="18" t="inlineStr">
        <is>
          <t>12.1.1</t>
        </is>
      </c>
      <c r="B5" s="19" t="inlineStr">
        <is>
          <t>1.00 mm thick with zinc coating not less than 275 gm/m²</t>
        </is>
      </c>
      <c r="C5" s="20" t="n"/>
      <c r="D5" s="20" t="n"/>
      <c r="E5" s="20" t="n"/>
      <c r="F5" s="20" t="n"/>
      <c r="G5" s="20" t="n"/>
    </row>
    <row r="6">
      <c r="A6" s="21" t="inlineStr">
        <is>
          <t>Details of cost for 184.518 sqm   |   Source: CivilDAR_2019_Vol_1.pdf, page 814</t>
        </is>
      </c>
    </row>
    <row r="7">
      <c r="A7" s="5" t="inlineStr">
        <is>
          <t>Code</t>
        </is>
      </c>
      <c r="B7" s="5" t="inlineStr">
        <is>
          <t>Description</t>
        </is>
      </c>
      <c r="C7" s="5" t="inlineStr">
        <is>
          <t>Unit</t>
        </is>
      </c>
      <c r="D7" s="5" t="inlineStr">
        <is>
          <t>Quantity</t>
        </is>
      </c>
      <c r="E7" s="5" t="inlineStr">
        <is>
          <t>Rate (Rs.)</t>
        </is>
      </c>
      <c r="F7" s="5" t="inlineStr">
        <is>
          <t>Amount (Rs.)</t>
        </is>
      </c>
      <c r="G7" s="5" t="inlineStr">
        <is>
          <t>Note</t>
        </is>
      </c>
    </row>
    <row r="8">
      <c r="A8" s="22" t="inlineStr">
        <is>
          <t>3050</t>
        </is>
      </c>
      <c r="B8" s="11" t="inlineStr">
        <is>
          <t>Galvanised steel corrugated sheets</t>
        </is>
      </c>
      <c r="C8" s="22" t="inlineStr">
        <is>
          <t>quintal</t>
        </is>
      </c>
      <c r="D8" s="23" t="n">
        <v>23.26</v>
      </c>
      <c r="E8" s="24" t="n">
        <v>5600</v>
      </c>
      <c r="F8" s="24">
        <f>D8*E8</f>
        <v/>
      </c>
      <c r="G8" s="22" t="n"/>
    </row>
    <row r="9">
      <c r="A9" s="22" t="inlineStr">
        <is>
          <t>2302</t>
        </is>
      </c>
      <c r="B9" s="11" t="inlineStr">
        <is>
          <t>Carriage of G.I. sheet and accessories</t>
        </is>
      </c>
      <c r="C9" s="22" t="inlineStr">
        <is>
          <t>tonne</t>
        </is>
      </c>
      <c r="D9" s="23" t="n">
        <v>2.326</v>
      </c>
      <c r="E9" s="24" t="n">
        <v>92.23999999999999</v>
      </c>
      <c r="F9" s="24">
        <f>D9*E9</f>
        <v/>
      </c>
      <c r="G9" s="22" t="n"/>
    </row>
    <row r="10">
      <c r="A10" s="22" t="inlineStr">
        <is>
          <t>1022</t>
        </is>
      </c>
      <c r="B10" s="11" t="inlineStr">
        <is>
          <t>Galvanised steel bolts &amp; nuts 6 mm dia and 25 mm long round head with slots</t>
        </is>
      </c>
      <c r="C10" s="22" t="inlineStr">
        <is>
          <t>10 Nos</t>
        </is>
      </c>
      <c r="D10" s="23" t="n">
        <v>88.40000000000001</v>
      </c>
      <c r="E10" s="24" t="n">
        <v>38</v>
      </c>
      <c r="F10" s="24">
        <f>D10*E10</f>
        <v/>
      </c>
      <c r="G10" s="22" t="n"/>
    </row>
    <row r="11">
      <c r="A11" s="22" t="inlineStr">
        <is>
          <t>1023</t>
        </is>
      </c>
      <c r="B11" s="11" t="inlineStr">
        <is>
          <t>Galvanised steel J or L hooks 8 mm dia</t>
        </is>
      </c>
      <c r="C11" s="22" t="inlineStr">
        <is>
          <t>10 Nos</t>
        </is>
      </c>
      <c r="D11" s="23" t="n">
        <v>81</v>
      </c>
      <c r="E11" s="24" t="n">
        <v>120</v>
      </c>
      <c r="F11" s="24">
        <f>D11*E11</f>
        <v/>
      </c>
      <c r="G11" s="22" t="n"/>
    </row>
    <row r="12">
      <c r="A12" s="22" t="inlineStr">
        <is>
          <t>1207</t>
        </is>
      </c>
      <c r="B12" s="11" t="inlineStr">
        <is>
          <t>G.I. Limpet washer</t>
        </is>
      </c>
      <c r="C12" s="22" t="inlineStr">
        <is>
          <t>100 Nos</t>
        </is>
      </c>
      <c r="D12" s="23" t="n">
        <v>16.94</v>
      </c>
      <c r="E12" s="24" t="n">
        <v>21</v>
      </c>
      <c r="F12" s="24">
        <f>D12*E12</f>
        <v/>
      </c>
      <c r="G12" s="22" t="n"/>
    </row>
    <row r="13">
      <c r="A13" s="22" t="inlineStr">
        <is>
          <t>1208</t>
        </is>
      </c>
      <c r="B13" s="11" t="inlineStr">
        <is>
          <t>Bitumen washer</t>
        </is>
      </c>
      <c r="C13" s="22" t="inlineStr">
        <is>
          <t>100 Nos</t>
        </is>
      </c>
      <c r="D13" s="23" t="n">
        <v>16.94</v>
      </c>
      <c r="E13" s="24" t="n">
        <v>30</v>
      </c>
      <c r="F13" s="24">
        <f>D13*E13</f>
        <v/>
      </c>
      <c r="G13" s="22" t="n"/>
    </row>
    <row r="14">
      <c r="A14" s="22" t="inlineStr">
        <is>
          <t>9977</t>
        </is>
      </c>
      <c r="B14" s="11" t="inlineStr">
        <is>
          <t>Carriage of bolts and washers</t>
        </is>
      </c>
      <c r="C14" s="22" t="inlineStr">
        <is>
          <t>L.S.</t>
        </is>
      </c>
      <c r="D14" s="23" t="n">
        <v>26.91</v>
      </c>
      <c r="E14" s="24" t="n">
        <v>2</v>
      </c>
      <c r="F14" s="24">
        <f>D14*E14</f>
        <v/>
      </c>
      <c r="G14" s="22" t="n"/>
    </row>
    <row r="15">
      <c r="A15" s="22" t="inlineStr">
        <is>
          <t>9999</t>
        </is>
      </c>
      <c r="B15" s="11" t="inlineStr">
        <is>
          <t>Sundries</t>
        </is>
      </c>
      <c r="C15" s="22" t="inlineStr">
        <is>
          <t>L.S.</t>
        </is>
      </c>
      <c r="D15" s="23" t="n">
        <v>53.82</v>
      </c>
      <c r="E15" s="24" t="n">
        <v>2</v>
      </c>
      <c r="F15" s="24">
        <f>D15*E15</f>
        <v/>
      </c>
      <c r="G15" s="22" t="n"/>
    </row>
    <row r="16">
      <c r="A16" s="22" t="inlineStr">
        <is>
          <t>0130</t>
        </is>
      </c>
      <c r="B16" s="11" t="inlineStr">
        <is>
          <t>Mistry</t>
        </is>
      </c>
      <c r="C16" s="22" t="inlineStr">
        <is>
          <t>day</t>
        </is>
      </c>
      <c r="D16" s="23" t="n">
        <v>1.3</v>
      </c>
      <c r="E16" s="24" t="n">
        <v>738</v>
      </c>
      <c r="F16" s="24">
        <f>D16*E16</f>
        <v/>
      </c>
      <c r="G16" s="22" t="n"/>
    </row>
    <row r="17">
      <c r="A17" s="22" t="inlineStr">
        <is>
          <t>0112</t>
        </is>
      </c>
      <c r="B17" s="11" t="inlineStr">
        <is>
          <t>Carpenter 2nd class</t>
        </is>
      </c>
      <c r="C17" s="22" t="inlineStr">
        <is>
          <t>day</t>
        </is>
      </c>
      <c r="D17" s="23" t="n">
        <v>15.5</v>
      </c>
      <c r="E17" s="24" t="n">
        <v>679</v>
      </c>
      <c r="F17" s="24">
        <f>D17*E17</f>
        <v/>
      </c>
      <c r="G17" s="22" t="n"/>
    </row>
    <row r="18">
      <c r="A18" s="22" t="inlineStr">
        <is>
          <t>0114</t>
        </is>
      </c>
      <c r="B18" s="11" t="inlineStr">
        <is>
          <t>Beldar</t>
        </is>
      </c>
      <c r="C18" s="22" t="inlineStr">
        <is>
          <t>day</t>
        </is>
      </c>
      <c r="D18" s="23" t="n">
        <v>15.5</v>
      </c>
      <c r="E18" s="24" t="n">
        <v>558</v>
      </c>
      <c r="F18" s="24">
        <f>D18*E18</f>
        <v/>
      </c>
      <c r="G18" s="22" t="n"/>
    </row>
    <row r="19">
      <c r="A19" s="22" t="inlineStr">
        <is>
          <t>4202</t>
        </is>
      </c>
      <c r="B19" s="11" t="inlineStr">
        <is>
          <t>Red oxide Zinc chromate primer</t>
        </is>
      </c>
      <c r="C19" s="22" t="inlineStr">
        <is>
          <t>litre</t>
        </is>
      </c>
      <c r="D19" s="23" t="n">
        <v>2.53</v>
      </c>
      <c r="E19" s="24" t="n">
        <v>110</v>
      </c>
      <c r="F19" s="24">
        <f>D19*E19</f>
        <v/>
      </c>
      <c r="G19" s="22" t="n"/>
    </row>
    <row r="20">
      <c r="A20" s="22" t="inlineStr">
        <is>
          <t>9977</t>
        </is>
      </c>
      <c r="B20" s="11" t="inlineStr">
        <is>
          <t>Carriage of material</t>
        </is>
      </c>
      <c r="C20" s="22" t="inlineStr">
        <is>
          <t>L.S.</t>
        </is>
      </c>
      <c r="D20" s="23" t="n">
        <v>0.52</v>
      </c>
      <c r="E20" s="24" t="n">
        <v>2</v>
      </c>
      <c r="F20" s="24">
        <f>D20*E20</f>
        <v/>
      </c>
      <c r="G20" s="22" t="n"/>
    </row>
    <row r="21">
      <c r="A21" s="22" t="inlineStr">
        <is>
          <t>0131</t>
        </is>
      </c>
      <c r="B21" s="11" t="inlineStr">
        <is>
          <t>Painter</t>
        </is>
      </c>
      <c r="C21" s="22" t="inlineStr">
        <is>
          <t>day</t>
        </is>
      </c>
      <c r="D21" s="23" t="n">
        <v>1.13</v>
      </c>
      <c r="E21" s="24" t="n">
        <v>679</v>
      </c>
      <c r="F21" s="24">
        <f>D21*E21</f>
        <v/>
      </c>
      <c r="G21" s="22" t="n"/>
    </row>
    <row r="22">
      <c r="A22" s="22" t="inlineStr">
        <is>
          <t>0115</t>
        </is>
      </c>
      <c r="B22" s="11" t="inlineStr">
        <is>
          <t>Coolie</t>
        </is>
      </c>
      <c r="C22" s="22" t="inlineStr">
        <is>
          <t>day</t>
        </is>
      </c>
      <c r="D22" s="23" t="n">
        <v>1.13</v>
      </c>
      <c r="E22" s="24" t="n">
        <v>558</v>
      </c>
      <c r="F22" s="24">
        <f>D22*E22</f>
        <v/>
      </c>
      <c r="G22" s="22" t="n"/>
    </row>
    <row r="23">
      <c r="A23" s="22" t="inlineStr">
        <is>
          <t>9999</t>
        </is>
      </c>
      <c r="B23" s="11" t="inlineStr">
        <is>
          <t>Brushes, sand papers i/c sundries</t>
        </is>
      </c>
      <c r="C23" s="22" t="inlineStr">
        <is>
          <t>L.S.</t>
        </is>
      </c>
      <c r="D23" s="23" t="n">
        <v>50.57</v>
      </c>
      <c r="E23" s="24" t="n">
        <v>2</v>
      </c>
      <c r="F23" s="24">
        <f>D23*E23</f>
        <v/>
      </c>
      <c r="G23" s="22" t="n"/>
    </row>
    <row r="24">
      <c r="A24" s="22" t="inlineStr">
        <is>
          <t>0845</t>
        </is>
      </c>
      <c r="B24" s="11" t="inlineStr">
        <is>
          <t>Roofing paint for iron sheets in red colour</t>
        </is>
      </c>
      <c r="C24" s="22" t="inlineStr">
        <is>
          <t>litre</t>
        </is>
      </c>
      <c r="D24" s="23" t="n">
        <v>3.75</v>
      </c>
      <c r="E24" s="24" t="n">
        <v>120</v>
      </c>
      <c r="F24" s="24">
        <f>D24*E24</f>
        <v/>
      </c>
      <c r="G24" s="22" t="n"/>
    </row>
    <row r="25">
      <c r="A25" s="22" t="inlineStr">
        <is>
          <t>9977</t>
        </is>
      </c>
      <c r="B25" s="11" t="inlineStr">
        <is>
          <t>Carriage of paint</t>
        </is>
      </c>
      <c r="C25" s="22" t="inlineStr">
        <is>
          <t>L.S.</t>
        </is>
      </c>
      <c r="D25" s="23" t="n">
        <v>6.76</v>
      </c>
      <c r="E25" s="24" t="n">
        <v>2</v>
      </c>
      <c r="F25" s="24">
        <f>D25*E25</f>
        <v/>
      </c>
      <c r="G25" s="22" t="n"/>
    </row>
    <row r="26">
      <c r="A26" s="22" t="inlineStr">
        <is>
          <t>0131</t>
        </is>
      </c>
      <c r="B26" s="11" t="inlineStr">
        <is>
          <t>Painter</t>
        </is>
      </c>
      <c r="C26" s="22" t="inlineStr">
        <is>
          <t>day</t>
        </is>
      </c>
      <c r="D26" s="23" t="n">
        <v>2.53</v>
      </c>
      <c r="E26" s="24" t="n">
        <v>679</v>
      </c>
      <c r="F26" s="24">
        <f>D26*E26</f>
        <v/>
      </c>
      <c r="G26" s="22" t="n"/>
    </row>
    <row r="27">
      <c r="A27" s="22" t="inlineStr">
        <is>
          <t>0115</t>
        </is>
      </c>
      <c r="B27" s="11" t="inlineStr">
        <is>
          <t>Coolie</t>
        </is>
      </c>
      <c r="C27" s="22" t="inlineStr">
        <is>
          <t>day</t>
        </is>
      </c>
      <c r="D27" s="23" t="n">
        <v>2.53</v>
      </c>
      <c r="E27" s="24" t="n">
        <v>558</v>
      </c>
      <c r="F27" s="24">
        <f>D27*E27</f>
        <v/>
      </c>
      <c r="G27" s="22" t="n"/>
    </row>
    <row r="28">
      <c r="A28" s="22" t="inlineStr">
        <is>
          <t>9999</t>
        </is>
      </c>
      <c r="B28" s="11" t="inlineStr">
        <is>
          <t>Brushes and Sandpapers</t>
        </is>
      </c>
      <c r="C28" s="22" t="inlineStr">
        <is>
          <t>L.S.</t>
        </is>
      </c>
      <c r="D28" s="23" t="n">
        <v>31.98</v>
      </c>
      <c r="E28" s="24" t="n">
        <v>2</v>
      </c>
      <c r="F28" s="24">
        <f>D28*E28</f>
        <v/>
      </c>
      <c r="G28" s="22" t="n"/>
    </row>
    <row r="29">
      <c r="A29" s="22" t="inlineStr">
        <is>
          <t>9999</t>
        </is>
      </c>
      <c r="B29" s="11" t="inlineStr">
        <is>
          <t>Sundries</t>
        </is>
      </c>
      <c r="C29" s="22" t="inlineStr">
        <is>
          <t>L.S.</t>
        </is>
      </c>
      <c r="D29" s="23" t="n">
        <v>38.09</v>
      </c>
      <c r="E29" s="24" t="n">
        <v>2</v>
      </c>
      <c r="F29" s="24">
        <f>D29*E29</f>
        <v/>
      </c>
      <c r="G29" s="22" t="n"/>
    </row>
    <row r="30">
      <c r="A30" s="8" t="inlineStr">
        <is>
          <t>Calculated W - SUM of the Amount column above</t>
        </is>
      </c>
      <c r="B30" s="9" t="n"/>
      <c r="C30" s="9" t="n"/>
      <c r="D30" s="9" t="n"/>
      <c r="E30" s="9" t="n"/>
      <c r="F30" s="25">
        <f>SUM(F8:F29)</f>
        <v/>
      </c>
      <c r="G30" s="9" t="n"/>
    </row>
    <row r="31">
      <c r="A31" s="26" t="inlineStr">
        <is>
          <t>W as printed in the DAR</t>
        </is>
      </c>
      <c r="B31" s="22" t="n"/>
      <c r="C31" s="22" t="n"/>
      <c r="D31" s="22" t="n"/>
      <c r="E31" s="22" t="n"/>
      <c r="F31" s="27" t="n">
        <v>170219.61</v>
      </c>
      <c r="G31" s="22" t="n"/>
    </row>
    <row r="32">
      <c r="A32" s="26" t="inlineStr">
        <is>
          <t>Difference (calculated - printed)</t>
        </is>
      </c>
      <c r="B32" s="22" t="n"/>
      <c r="C32" s="22" t="n"/>
      <c r="D32" s="22" t="n"/>
      <c r="E32" s="22" t="n"/>
      <c r="F32" s="27">
        <f>F30-F31</f>
        <v/>
      </c>
      <c r="G32" s="22" t="n"/>
    </row>
    <row r="33">
      <c r="A33" s="29" t="inlineStr">
        <is>
          <t>SAY (Rs.) - final DAR rate as printed (fixed value, not computed)</t>
        </is>
      </c>
      <c r="B33" s="30" t="n"/>
      <c r="C33" s="30" t="n"/>
      <c r="D33" s="30" t="n"/>
      <c r="E33" s="30" t="n"/>
      <c r="F33" s="31" t="n">
        <v>1234.25</v>
      </c>
      <c r="G33" s="30" t="n"/>
    </row>
    <row r="35" ht="76.5" customHeight="1">
      <c r="A35" s="8" t="inlineStr">
        <is>
          <t>12.1</t>
        </is>
      </c>
      <c r="B35" s="17"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is>
      </c>
      <c r="C35" s="9" t="n"/>
      <c r="D35" s="9" t="n"/>
      <c r="E35" s="9" t="n"/>
      <c r="F35" s="9" t="n"/>
      <c r="G35" s="9" t="n"/>
    </row>
    <row r="36" ht="18.5" customHeight="1">
      <c r="A36" s="18" t="inlineStr">
        <is>
          <t>12.1.2</t>
        </is>
      </c>
      <c r="B36" s="19" t="inlineStr">
        <is>
          <t>0.80 mm thick with zinc coating not less than 275 gm/m²</t>
        </is>
      </c>
      <c r="C36" s="20" t="n"/>
      <c r="D36" s="20" t="n"/>
      <c r="E36" s="20" t="n"/>
      <c r="F36" s="20" t="n"/>
      <c r="G36" s="20" t="n"/>
    </row>
    <row r="37">
      <c r="A37" s="21" t="inlineStr">
        <is>
          <t>Details of cost for 184.518 sqm   |   Source: CivilDAR_2019_Vol_1.pdf, page 815</t>
        </is>
      </c>
    </row>
    <row r="38">
      <c r="A38" s="5" t="inlineStr">
        <is>
          <t>Code</t>
        </is>
      </c>
      <c r="B38" s="5" t="inlineStr">
        <is>
          <t>Description</t>
        </is>
      </c>
      <c r="C38" s="5" t="inlineStr">
        <is>
          <t>Unit</t>
        </is>
      </c>
      <c r="D38" s="5" t="inlineStr">
        <is>
          <t>Quantity</t>
        </is>
      </c>
      <c r="E38" s="5" t="inlineStr">
        <is>
          <t>Rate (Rs.)</t>
        </is>
      </c>
      <c r="F38" s="5" t="inlineStr">
        <is>
          <t>Amount (Rs.)</t>
        </is>
      </c>
      <c r="G38" s="5" t="inlineStr">
        <is>
          <t>Note</t>
        </is>
      </c>
    </row>
    <row r="39">
      <c r="A39" s="22" t="inlineStr">
        <is>
          <t>3050</t>
        </is>
      </c>
      <c r="B39" s="11" t="inlineStr">
        <is>
          <t>Galvanised steel corrugated sheets</t>
        </is>
      </c>
      <c r="C39" s="22" t="inlineStr">
        <is>
          <t>quintal</t>
        </is>
      </c>
      <c r="D39" s="23" t="n">
        <v>19.02</v>
      </c>
      <c r="E39" s="24" t="n">
        <v>5600</v>
      </c>
      <c r="F39" s="24">
        <f>D39*E39</f>
        <v/>
      </c>
      <c r="G39" s="22" t="n"/>
    </row>
    <row r="40">
      <c r="A40" s="22" t="inlineStr">
        <is>
          <t>2302</t>
        </is>
      </c>
      <c r="B40" s="11" t="inlineStr">
        <is>
          <t>Carriage of G.I. sheet and accessories</t>
        </is>
      </c>
      <c r="C40" s="22" t="inlineStr">
        <is>
          <t>tonne</t>
        </is>
      </c>
      <c r="D40" s="23" t="n">
        <v>1.902</v>
      </c>
      <c r="E40" s="24" t="n">
        <v>92.23999999999999</v>
      </c>
      <c r="F40" s="24">
        <f>D40*E40</f>
        <v/>
      </c>
      <c r="G40" s="22" t="n"/>
    </row>
    <row r="41">
      <c r="A41" s="22" t="inlineStr">
        <is>
          <t>1022</t>
        </is>
      </c>
      <c r="B41" s="11" t="inlineStr">
        <is>
          <t>Galvanised steel bolts &amp; nuts 6 mm dia and 25 mmlong round head with slots</t>
        </is>
      </c>
      <c r="C41" s="22" t="inlineStr">
        <is>
          <t>10 Nos</t>
        </is>
      </c>
      <c r="D41" s="23" t="n">
        <v>88.40000000000001</v>
      </c>
      <c r="E41" s="24" t="n">
        <v>38</v>
      </c>
      <c r="F41" s="24">
        <f>D41*E41</f>
        <v/>
      </c>
      <c r="G41" s="22" t="n"/>
    </row>
    <row r="42">
      <c r="A42" s="22" t="inlineStr">
        <is>
          <t>1023</t>
        </is>
      </c>
      <c r="B42" s="11" t="inlineStr">
        <is>
          <t>Galvanised steel J or L hooks 8 mm dia</t>
        </is>
      </c>
      <c r="C42" s="22" t="inlineStr">
        <is>
          <t>10 Nos</t>
        </is>
      </c>
      <c r="D42" s="23" t="n">
        <v>81</v>
      </c>
      <c r="E42" s="24" t="n">
        <v>120</v>
      </c>
      <c r="F42" s="24">
        <f>D42*E42</f>
        <v/>
      </c>
      <c r="G42" s="22" t="n"/>
    </row>
    <row r="43">
      <c r="A43" s="22" t="inlineStr">
        <is>
          <t>1207</t>
        </is>
      </c>
      <c r="B43" s="11" t="inlineStr">
        <is>
          <t>G.I. Limpet washer</t>
        </is>
      </c>
      <c r="C43" s="22" t="inlineStr">
        <is>
          <t>100 Nos</t>
        </is>
      </c>
      <c r="D43" s="23" t="n">
        <v>16.94</v>
      </c>
      <c r="E43" s="24" t="n">
        <v>21</v>
      </c>
      <c r="F43" s="24">
        <f>D43*E43</f>
        <v/>
      </c>
      <c r="G43" s="22" t="n"/>
    </row>
    <row r="44">
      <c r="A44" s="22" t="inlineStr">
        <is>
          <t>1208</t>
        </is>
      </c>
      <c r="B44" s="11" t="inlineStr">
        <is>
          <t>Bitumen washer</t>
        </is>
      </c>
      <c r="C44" s="22" t="inlineStr">
        <is>
          <t>100 Nos</t>
        </is>
      </c>
      <c r="D44" s="23" t="n">
        <v>16.94</v>
      </c>
      <c r="E44" s="24" t="n">
        <v>30</v>
      </c>
      <c r="F44" s="24">
        <f>D44*E44</f>
        <v/>
      </c>
      <c r="G44" s="22" t="n"/>
    </row>
    <row r="45">
      <c r="A45" s="22" t="inlineStr">
        <is>
          <t>9977</t>
        </is>
      </c>
      <c r="B45" s="11" t="inlineStr">
        <is>
          <t>Carriage of bolts and washers</t>
        </is>
      </c>
      <c r="C45" s="22" t="inlineStr">
        <is>
          <t>L.S.</t>
        </is>
      </c>
      <c r="D45" s="23" t="n">
        <v>26.91</v>
      </c>
      <c r="E45" s="24" t="n">
        <v>2</v>
      </c>
      <c r="F45" s="24">
        <f>D45*E45</f>
        <v/>
      </c>
      <c r="G45" s="22" t="n"/>
    </row>
    <row r="46">
      <c r="A46" s="22" t="inlineStr">
        <is>
          <t>9999</t>
        </is>
      </c>
      <c r="B46" s="11" t="inlineStr">
        <is>
          <t>Sundries</t>
        </is>
      </c>
      <c r="C46" s="22" t="inlineStr">
        <is>
          <t>L.S.</t>
        </is>
      </c>
      <c r="D46" s="23" t="n">
        <v>53.82</v>
      </c>
      <c r="E46" s="24" t="n">
        <v>2</v>
      </c>
      <c r="F46" s="24">
        <f>D46*E46</f>
        <v/>
      </c>
      <c r="G46" s="22" t="n"/>
    </row>
    <row r="47">
      <c r="A47" s="22" t="inlineStr">
        <is>
          <t>0130</t>
        </is>
      </c>
      <c r="B47" s="11" t="inlineStr">
        <is>
          <t>Mistry</t>
        </is>
      </c>
      <c r="C47" s="22" t="inlineStr">
        <is>
          <t>day</t>
        </is>
      </c>
      <c r="D47" s="23" t="n">
        <v>1.3</v>
      </c>
      <c r="E47" s="24" t="n">
        <v>738</v>
      </c>
      <c r="F47" s="24">
        <f>D47*E47</f>
        <v/>
      </c>
      <c r="G47" s="22" t="n"/>
    </row>
    <row r="48">
      <c r="A48" s="22" t="inlineStr">
        <is>
          <t>0112</t>
        </is>
      </c>
      <c r="B48" s="11" t="inlineStr">
        <is>
          <t>Carpenter 2nd class</t>
        </is>
      </c>
      <c r="C48" s="22" t="inlineStr">
        <is>
          <t>day</t>
        </is>
      </c>
      <c r="D48" s="23" t="n">
        <v>15.5</v>
      </c>
      <c r="E48" s="24" t="n">
        <v>679</v>
      </c>
      <c r="F48" s="24">
        <f>D48*E48</f>
        <v/>
      </c>
      <c r="G48" s="22" t="n"/>
    </row>
    <row r="49">
      <c r="A49" s="22" t="inlineStr">
        <is>
          <t>0114</t>
        </is>
      </c>
      <c r="B49" s="11" t="inlineStr">
        <is>
          <t>Beldar</t>
        </is>
      </c>
      <c r="C49" s="22" t="inlineStr">
        <is>
          <t>day</t>
        </is>
      </c>
      <c r="D49" s="23" t="n">
        <v>15.5</v>
      </c>
      <c r="E49" s="24" t="n">
        <v>558</v>
      </c>
      <c r="F49" s="24">
        <f>D49*E49</f>
        <v/>
      </c>
      <c r="G49" s="22" t="n"/>
    </row>
    <row r="50">
      <c r="A50" s="22" t="inlineStr">
        <is>
          <t>4202</t>
        </is>
      </c>
      <c r="B50" s="11" t="inlineStr">
        <is>
          <t>Red oxide Zinc chromate primer</t>
        </is>
      </c>
      <c r="C50" s="22" t="inlineStr">
        <is>
          <t>litre</t>
        </is>
      </c>
      <c r="D50" s="23" t="n">
        <v>2.53</v>
      </c>
      <c r="E50" s="24" t="n">
        <v>110</v>
      </c>
      <c r="F50" s="24">
        <f>D50*E50</f>
        <v/>
      </c>
      <c r="G50" s="22" t="n"/>
    </row>
    <row r="51">
      <c r="A51" s="22" t="inlineStr">
        <is>
          <t>9977</t>
        </is>
      </c>
      <c r="B51" s="11" t="inlineStr">
        <is>
          <t>Carriage of material</t>
        </is>
      </c>
      <c r="C51" s="22" t="inlineStr">
        <is>
          <t>L.S.</t>
        </is>
      </c>
      <c r="D51" s="23" t="n">
        <v>0.52</v>
      </c>
      <c r="E51" s="24" t="n">
        <v>2</v>
      </c>
      <c r="F51" s="24">
        <f>D51*E51</f>
        <v/>
      </c>
      <c r="G51" s="22" t="n"/>
    </row>
    <row r="52">
      <c r="A52" s="22" t="inlineStr">
        <is>
          <t>0131</t>
        </is>
      </c>
      <c r="B52" s="11" t="inlineStr">
        <is>
          <t>Painter</t>
        </is>
      </c>
      <c r="C52" s="22" t="inlineStr">
        <is>
          <t>day</t>
        </is>
      </c>
      <c r="D52" s="23" t="n">
        <v>1.13</v>
      </c>
      <c r="E52" s="24" t="n">
        <v>679</v>
      </c>
      <c r="F52" s="24">
        <f>D52*E52</f>
        <v/>
      </c>
      <c r="G52" s="22" t="n"/>
    </row>
    <row r="53">
      <c r="A53" s="22" t="inlineStr">
        <is>
          <t>0115</t>
        </is>
      </c>
      <c r="B53" s="11" t="inlineStr">
        <is>
          <t>Coolie</t>
        </is>
      </c>
      <c r="C53" s="22" t="inlineStr">
        <is>
          <t>day</t>
        </is>
      </c>
      <c r="D53" s="23" t="n">
        <v>1.13</v>
      </c>
      <c r="E53" s="24" t="n">
        <v>558</v>
      </c>
      <c r="F53" s="24">
        <f>D53*E53</f>
        <v/>
      </c>
      <c r="G53" s="22" t="n"/>
    </row>
    <row r="54">
      <c r="A54" s="22" t="inlineStr">
        <is>
          <t>9999</t>
        </is>
      </c>
      <c r="B54" s="11" t="inlineStr">
        <is>
          <t>Brushes, sand papers i/c sundries</t>
        </is>
      </c>
      <c r="C54" s="22" t="inlineStr">
        <is>
          <t>L.S.</t>
        </is>
      </c>
      <c r="D54" s="23" t="n">
        <v>50.57</v>
      </c>
      <c r="E54" s="24" t="n">
        <v>2</v>
      </c>
      <c r="F54" s="24">
        <f>D54*E54</f>
        <v/>
      </c>
      <c r="G54" s="22" t="n"/>
    </row>
    <row r="55">
      <c r="A55" s="22" t="inlineStr">
        <is>
          <t>0845</t>
        </is>
      </c>
      <c r="B55" s="11" t="inlineStr">
        <is>
          <t>Roofing paint for iron sheets in red colour</t>
        </is>
      </c>
      <c r="C55" s="22" t="inlineStr">
        <is>
          <t>litre</t>
        </is>
      </c>
      <c r="D55" s="23" t="n">
        <v>3.75</v>
      </c>
      <c r="E55" s="24" t="n">
        <v>120</v>
      </c>
      <c r="F55" s="24">
        <f>D55*E55</f>
        <v/>
      </c>
      <c r="G55" s="22" t="n"/>
    </row>
    <row r="56">
      <c r="A56" s="22" t="inlineStr">
        <is>
          <t>9977</t>
        </is>
      </c>
      <c r="B56" s="11" t="inlineStr">
        <is>
          <t>Carriage of paint</t>
        </is>
      </c>
      <c r="C56" s="22" t="inlineStr">
        <is>
          <t>L.S.</t>
        </is>
      </c>
      <c r="D56" s="23" t="n">
        <v>6.76</v>
      </c>
      <c r="E56" s="24" t="n">
        <v>2</v>
      </c>
      <c r="F56" s="24">
        <f>D56*E56</f>
        <v/>
      </c>
      <c r="G56" s="22" t="n"/>
    </row>
    <row r="57">
      <c r="A57" s="22" t="inlineStr">
        <is>
          <t>0131</t>
        </is>
      </c>
      <c r="B57" s="11" t="inlineStr">
        <is>
          <t>Painter</t>
        </is>
      </c>
      <c r="C57" s="22" t="inlineStr">
        <is>
          <t>day</t>
        </is>
      </c>
      <c r="D57" s="23" t="n">
        <v>2.53</v>
      </c>
      <c r="E57" s="24" t="n">
        <v>679</v>
      </c>
      <c r="F57" s="24">
        <f>D57*E57</f>
        <v/>
      </c>
      <c r="G57" s="22" t="n"/>
    </row>
    <row r="58">
      <c r="A58" s="22" t="inlineStr">
        <is>
          <t>0115</t>
        </is>
      </c>
      <c r="B58" s="11" t="inlineStr">
        <is>
          <t>Coolie</t>
        </is>
      </c>
      <c r="C58" s="22" t="inlineStr">
        <is>
          <t>day</t>
        </is>
      </c>
      <c r="D58" s="23" t="n">
        <v>2.53</v>
      </c>
      <c r="E58" s="24" t="n">
        <v>558</v>
      </c>
      <c r="F58" s="24">
        <f>D58*E58</f>
        <v/>
      </c>
      <c r="G58" s="22" t="n"/>
    </row>
    <row r="59">
      <c r="A59" s="22" t="inlineStr">
        <is>
          <t>9999</t>
        </is>
      </c>
      <c r="B59" s="11" t="inlineStr">
        <is>
          <t>Brushes and Sandpapers</t>
        </is>
      </c>
      <c r="C59" s="22" t="inlineStr">
        <is>
          <t>L.S.</t>
        </is>
      </c>
      <c r="D59" s="23" t="n">
        <v>31.98</v>
      </c>
      <c r="E59" s="24" t="n">
        <v>2</v>
      </c>
      <c r="F59" s="24">
        <f>D59*E59</f>
        <v/>
      </c>
      <c r="G59" s="22" t="n"/>
    </row>
    <row r="60">
      <c r="A60" s="22" t="inlineStr">
        <is>
          <t>9999</t>
        </is>
      </c>
      <c r="B60" s="11" t="inlineStr">
        <is>
          <t>Sundries</t>
        </is>
      </c>
      <c r="C60" s="22" t="inlineStr">
        <is>
          <t>L.S.</t>
        </is>
      </c>
      <c r="D60" s="23" t="n">
        <v>38.09</v>
      </c>
      <c r="E60" s="24" t="n">
        <v>2</v>
      </c>
      <c r="F60" s="24">
        <f>D60*E60</f>
        <v/>
      </c>
      <c r="G60" s="22" t="n"/>
    </row>
    <row r="61">
      <c r="A61" s="8" t="inlineStr">
        <is>
          <t>Calculated W - SUM of the Amount column above</t>
        </is>
      </c>
      <c r="B61" s="9" t="n"/>
      <c r="C61" s="9" t="n"/>
      <c r="D61" s="9" t="n"/>
      <c r="E61" s="9" t="n"/>
      <c r="F61" s="25">
        <f>SUM(F39:F60)</f>
        <v/>
      </c>
      <c r="G61" s="9" t="n"/>
    </row>
    <row r="62">
      <c r="A62" s="26" t="inlineStr">
        <is>
          <t>W as printed in the DAR</t>
        </is>
      </c>
      <c r="B62" s="22" t="n"/>
      <c r="C62" s="22" t="n"/>
      <c r="D62" s="22" t="n"/>
      <c r="E62" s="22" t="n"/>
      <c r="F62" s="27" t="n">
        <v>146436.5</v>
      </c>
      <c r="G62" s="22" t="n"/>
    </row>
    <row r="63">
      <c r="A63" s="26" t="inlineStr">
        <is>
          <t>Difference (calculated - printed)</t>
        </is>
      </c>
      <c r="B63" s="22" t="n"/>
      <c r="C63" s="22" t="n"/>
      <c r="D63" s="22" t="n"/>
      <c r="E63" s="22" t="n"/>
      <c r="F63" s="27">
        <f>F61-F62</f>
        <v/>
      </c>
      <c r="G63" s="22" t="n"/>
    </row>
    <row r="64">
      <c r="A64" s="29" t="inlineStr">
        <is>
          <t>SAY (Rs.) - final DAR rate as printed (fixed value, not computed)</t>
        </is>
      </c>
      <c r="B64" s="30" t="n"/>
      <c r="C64" s="30" t="n"/>
      <c r="D64" s="30" t="n"/>
      <c r="E64" s="30" t="n"/>
      <c r="F64" s="31" t="n">
        <v>1061.8</v>
      </c>
      <c r="G64" s="30" t="n"/>
    </row>
    <row r="66" ht="76.5" customHeight="1">
      <c r="A66" s="8" t="inlineStr">
        <is>
          <t>12.1</t>
        </is>
      </c>
      <c r="B66" s="17"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is>
      </c>
      <c r="C66" s="9" t="n"/>
      <c r="D66" s="9" t="n"/>
      <c r="E66" s="9" t="n"/>
      <c r="F66" s="9" t="n"/>
      <c r="G66" s="9" t="n"/>
    </row>
    <row r="67" ht="18.5" customHeight="1">
      <c r="A67" s="18" t="inlineStr">
        <is>
          <t>12.1.3</t>
        </is>
      </c>
      <c r="B67" s="19" t="inlineStr">
        <is>
          <t>0.63 mm thick with zinc coating not less than 275 gm/ m²</t>
        </is>
      </c>
      <c r="C67" s="20" t="n"/>
      <c r="D67" s="20" t="n"/>
      <c r="E67" s="20" t="n"/>
      <c r="F67" s="20" t="n"/>
      <c r="G67" s="20" t="n"/>
    </row>
    <row r="68">
      <c r="A68" s="21" t="inlineStr">
        <is>
          <t>Details of cost for 184.518 sqm   |   Source: CivilDAR_2019_Vol_1.pdf, page 817</t>
        </is>
      </c>
    </row>
    <row r="69">
      <c r="A69" s="5" t="inlineStr">
        <is>
          <t>Code</t>
        </is>
      </c>
      <c r="B69" s="5" t="inlineStr">
        <is>
          <t>Description</t>
        </is>
      </c>
      <c r="C69" s="5" t="inlineStr">
        <is>
          <t>Unit</t>
        </is>
      </c>
      <c r="D69" s="5" t="inlineStr">
        <is>
          <t>Quantity</t>
        </is>
      </c>
      <c r="E69" s="5" t="inlineStr">
        <is>
          <t>Rate (Rs.)</t>
        </is>
      </c>
      <c r="F69" s="5" t="inlineStr">
        <is>
          <t>Amount (Rs.)</t>
        </is>
      </c>
      <c r="G69" s="5" t="inlineStr">
        <is>
          <t>Note</t>
        </is>
      </c>
    </row>
    <row r="70">
      <c r="A70" s="22" t="inlineStr">
        <is>
          <t>3050</t>
        </is>
      </c>
      <c r="B70" s="11" t="inlineStr">
        <is>
          <t>Galvanised steel corrugated sheets</t>
        </is>
      </c>
      <c r="C70" s="22" t="inlineStr">
        <is>
          <t>quintal</t>
        </is>
      </c>
      <c r="D70" s="23" t="n">
        <v>15.41</v>
      </c>
      <c r="E70" s="24" t="n">
        <v>5600</v>
      </c>
      <c r="F70" s="24">
        <f>D70*E70</f>
        <v/>
      </c>
      <c r="G70" s="22" t="n"/>
    </row>
    <row r="71">
      <c r="A71" s="22" t="inlineStr">
        <is>
          <t>2302</t>
        </is>
      </c>
      <c r="B71" s="11" t="inlineStr">
        <is>
          <t>Carriage of G.I. sheet and accessories</t>
        </is>
      </c>
      <c r="C71" s="22" t="inlineStr">
        <is>
          <t>tonne</t>
        </is>
      </c>
      <c r="D71" s="23" t="n">
        <v>1.54</v>
      </c>
      <c r="E71" s="24" t="n">
        <v>92.23999999999999</v>
      </c>
      <c r="F71" s="24">
        <f>D71*E71</f>
        <v/>
      </c>
      <c r="G71" s="22" t="n"/>
    </row>
    <row r="72">
      <c r="A72" s="22" t="inlineStr">
        <is>
          <t>1022</t>
        </is>
      </c>
      <c r="B72" s="11" t="inlineStr">
        <is>
          <t>Galvanised steel bolts &amp; nuts 6 mm dia and 25 mm long round head with slots</t>
        </is>
      </c>
      <c r="C72" s="22" t="inlineStr">
        <is>
          <t>10 Nos</t>
        </is>
      </c>
      <c r="D72" s="23" t="n">
        <v>88.40000000000001</v>
      </c>
      <c r="E72" s="24" t="n">
        <v>38</v>
      </c>
      <c r="F72" s="24">
        <f>D72*E72</f>
        <v/>
      </c>
      <c r="G72" s="22" t="n"/>
    </row>
    <row r="73">
      <c r="A73" s="22" t="inlineStr">
        <is>
          <t>1023</t>
        </is>
      </c>
      <c r="B73" s="11" t="inlineStr">
        <is>
          <t>Galvanised steel J or L hooks 8 mm dia</t>
        </is>
      </c>
      <c r="C73" s="22" t="inlineStr">
        <is>
          <t>10 Nos</t>
        </is>
      </c>
      <c r="D73" s="23" t="n">
        <v>81</v>
      </c>
      <c r="E73" s="24" t="n">
        <v>120</v>
      </c>
      <c r="F73" s="24">
        <f>D73*E73</f>
        <v/>
      </c>
      <c r="G73" s="22" t="n"/>
    </row>
    <row r="74">
      <c r="A74" s="22" t="inlineStr">
        <is>
          <t>1207</t>
        </is>
      </c>
      <c r="B74" s="11" t="inlineStr">
        <is>
          <t>G.I. Limpet washer</t>
        </is>
      </c>
      <c r="C74" s="22" t="inlineStr">
        <is>
          <t>100 Nos</t>
        </is>
      </c>
      <c r="D74" s="23" t="n">
        <v>16.94</v>
      </c>
      <c r="E74" s="24" t="n">
        <v>21</v>
      </c>
      <c r="F74" s="24">
        <f>D74*E74</f>
        <v/>
      </c>
      <c r="G74" s="22" t="n"/>
    </row>
    <row r="75">
      <c r="A75" s="22" t="inlineStr">
        <is>
          <t>1208</t>
        </is>
      </c>
      <c r="B75" s="11" t="inlineStr">
        <is>
          <t>Bitumen washer</t>
        </is>
      </c>
      <c r="C75" s="22" t="inlineStr">
        <is>
          <t>100 Nos</t>
        </is>
      </c>
      <c r="D75" s="23" t="n">
        <v>16.94</v>
      </c>
      <c r="E75" s="24" t="n">
        <v>30</v>
      </c>
      <c r="F75" s="24">
        <f>D75*E75</f>
        <v/>
      </c>
      <c r="G75" s="22" t="n"/>
    </row>
    <row r="76">
      <c r="A76" s="22" t="inlineStr">
        <is>
          <t>9977</t>
        </is>
      </c>
      <c r="B76" s="11" t="inlineStr">
        <is>
          <t>Carriage of bolts and washers</t>
        </is>
      </c>
      <c r="C76" s="22" t="inlineStr">
        <is>
          <t>L.S.</t>
        </is>
      </c>
      <c r="D76" s="23" t="n">
        <v>26.91</v>
      </c>
      <c r="E76" s="24" t="n">
        <v>2</v>
      </c>
      <c r="F76" s="24">
        <f>D76*E76</f>
        <v/>
      </c>
      <c r="G76" s="22" t="n"/>
    </row>
    <row r="77">
      <c r="A77" s="22" t="inlineStr">
        <is>
          <t>9999</t>
        </is>
      </c>
      <c r="B77" s="11" t="inlineStr">
        <is>
          <t>Sundries</t>
        </is>
      </c>
      <c r="C77" s="22" t="inlineStr">
        <is>
          <t>L.S.</t>
        </is>
      </c>
      <c r="D77" s="23" t="n">
        <v>53.82</v>
      </c>
      <c r="E77" s="24" t="n">
        <v>2</v>
      </c>
      <c r="F77" s="24">
        <f>D77*E77</f>
        <v/>
      </c>
      <c r="G77" s="22" t="n"/>
    </row>
    <row r="78">
      <c r="A78" s="22" t="inlineStr">
        <is>
          <t>0130</t>
        </is>
      </c>
      <c r="B78" s="11" t="inlineStr">
        <is>
          <t>Mistry</t>
        </is>
      </c>
      <c r="C78" s="22" t="inlineStr">
        <is>
          <t>day</t>
        </is>
      </c>
      <c r="D78" s="23" t="n">
        <v>1.3</v>
      </c>
      <c r="E78" s="24" t="n">
        <v>738</v>
      </c>
      <c r="F78" s="24">
        <f>D78*E78</f>
        <v/>
      </c>
      <c r="G78" s="22" t="n"/>
    </row>
    <row r="79">
      <c r="A79" s="22" t="inlineStr">
        <is>
          <t>0112</t>
        </is>
      </c>
      <c r="B79" s="11" t="inlineStr">
        <is>
          <t>Carpenter 2nd class</t>
        </is>
      </c>
      <c r="C79" s="22" t="inlineStr">
        <is>
          <t>day</t>
        </is>
      </c>
      <c r="D79" s="23" t="n">
        <v>15.5</v>
      </c>
      <c r="E79" s="24" t="n">
        <v>679</v>
      </c>
      <c r="F79" s="24">
        <f>D79*E79</f>
        <v/>
      </c>
      <c r="G79" s="22" t="n"/>
    </row>
    <row r="80">
      <c r="A80" s="22" t="inlineStr">
        <is>
          <t>0114</t>
        </is>
      </c>
      <c r="B80" s="11" t="inlineStr">
        <is>
          <t>Beldar</t>
        </is>
      </c>
      <c r="C80" s="22" t="inlineStr">
        <is>
          <t>day</t>
        </is>
      </c>
      <c r="D80" s="23" t="n">
        <v>15.5</v>
      </c>
      <c r="E80" s="24" t="n">
        <v>558</v>
      </c>
      <c r="F80" s="24">
        <f>D80*E80</f>
        <v/>
      </c>
      <c r="G80" s="22" t="n"/>
    </row>
    <row r="81">
      <c r="A81" s="22" t="inlineStr">
        <is>
          <t>4202</t>
        </is>
      </c>
      <c r="B81" s="11" t="inlineStr">
        <is>
          <t>Red oxide Zinc chromate primer</t>
        </is>
      </c>
      <c r="C81" s="22" t="inlineStr">
        <is>
          <t>litre</t>
        </is>
      </c>
      <c r="D81" s="23" t="n">
        <v>2.53</v>
      </c>
      <c r="E81" s="24" t="n">
        <v>110</v>
      </c>
      <c r="F81" s="24">
        <f>D81*E81</f>
        <v/>
      </c>
      <c r="G81" s="22" t="n"/>
    </row>
    <row r="82">
      <c r="A82" s="22" t="inlineStr">
        <is>
          <t>9977</t>
        </is>
      </c>
      <c r="B82" s="11" t="inlineStr">
        <is>
          <t>Carriage of material</t>
        </is>
      </c>
      <c r="C82" s="22" t="inlineStr">
        <is>
          <t>L.S.</t>
        </is>
      </c>
      <c r="D82" s="23" t="n">
        <v>0.52</v>
      </c>
      <c r="E82" s="24" t="n">
        <v>2</v>
      </c>
      <c r="F82" s="24">
        <f>D82*E82</f>
        <v/>
      </c>
      <c r="G82" s="22" t="n"/>
    </row>
    <row r="83">
      <c r="A83" s="22" t="inlineStr">
        <is>
          <t>0131</t>
        </is>
      </c>
      <c r="B83" s="11" t="inlineStr">
        <is>
          <t>Painter</t>
        </is>
      </c>
      <c r="C83" s="22" t="inlineStr">
        <is>
          <t>day</t>
        </is>
      </c>
      <c r="D83" s="23" t="n">
        <v>1.13</v>
      </c>
      <c r="E83" s="24" t="n">
        <v>679</v>
      </c>
      <c r="F83" s="24">
        <f>D83*E83</f>
        <v/>
      </c>
      <c r="G83" s="22" t="n"/>
    </row>
    <row r="84">
      <c r="A84" s="22" t="inlineStr">
        <is>
          <t>0115</t>
        </is>
      </c>
      <c r="B84" s="11" t="inlineStr">
        <is>
          <t>Coolie</t>
        </is>
      </c>
      <c r="C84" s="22" t="inlineStr">
        <is>
          <t>day</t>
        </is>
      </c>
      <c r="D84" s="23" t="n">
        <v>1.13</v>
      </c>
      <c r="E84" s="24" t="n">
        <v>558</v>
      </c>
      <c r="F84" s="24">
        <f>D84*E84</f>
        <v/>
      </c>
      <c r="G84" s="22" t="n"/>
    </row>
    <row r="85">
      <c r="A85" s="22" t="inlineStr">
        <is>
          <t>9999</t>
        </is>
      </c>
      <c r="B85" s="11" t="inlineStr">
        <is>
          <t>Brushes, sand papers i/c sundries</t>
        </is>
      </c>
      <c r="C85" s="22" t="inlineStr">
        <is>
          <t>L.S.</t>
        </is>
      </c>
      <c r="D85" s="23" t="n">
        <v>50.57</v>
      </c>
      <c r="E85" s="24" t="n">
        <v>2</v>
      </c>
      <c r="F85" s="24">
        <f>D85*E85</f>
        <v/>
      </c>
      <c r="G85" s="22" t="n"/>
    </row>
    <row r="86">
      <c r="A86" s="22" t="inlineStr">
        <is>
          <t>0845</t>
        </is>
      </c>
      <c r="B86" s="11" t="inlineStr">
        <is>
          <t>Roofing paint for iron sheets in red colour</t>
        </is>
      </c>
      <c r="C86" s="22" t="inlineStr">
        <is>
          <t>litre</t>
        </is>
      </c>
      <c r="D86" s="23" t="n">
        <v>3.75</v>
      </c>
      <c r="E86" s="24" t="n">
        <v>120</v>
      </c>
      <c r="F86" s="24">
        <f>D86*E86</f>
        <v/>
      </c>
      <c r="G86" s="22" t="n"/>
    </row>
    <row r="87">
      <c r="A87" s="22" t="inlineStr">
        <is>
          <t>9977</t>
        </is>
      </c>
      <c r="B87" s="11" t="inlineStr">
        <is>
          <t>Carriage of paint</t>
        </is>
      </c>
      <c r="C87" s="22" t="inlineStr">
        <is>
          <t>L.S.</t>
        </is>
      </c>
      <c r="D87" s="23" t="n">
        <v>6.76</v>
      </c>
      <c r="E87" s="24" t="n">
        <v>2</v>
      </c>
      <c r="F87" s="24">
        <f>D87*E87</f>
        <v/>
      </c>
      <c r="G87" s="22" t="n"/>
    </row>
    <row r="88">
      <c r="A88" s="22" t="inlineStr">
        <is>
          <t>0131</t>
        </is>
      </c>
      <c r="B88" s="11" t="inlineStr">
        <is>
          <t>Painter</t>
        </is>
      </c>
      <c r="C88" s="22" t="inlineStr">
        <is>
          <t>day</t>
        </is>
      </c>
      <c r="D88" s="23" t="n">
        <v>2.53</v>
      </c>
      <c r="E88" s="24" t="n">
        <v>679</v>
      </c>
      <c r="F88" s="24">
        <f>D88*E88</f>
        <v/>
      </c>
      <c r="G88" s="22" t="n"/>
    </row>
    <row r="89">
      <c r="A89" s="22" t="inlineStr">
        <is>
          <t>0115</t>
        </is>
      </c>
      <c r="B89" s="11" t="inlineStr">
        <is>
          <t>Coolie</t>
        </is>
      </c>
      <c r="C89" s="22" t="inlineStr">
        <is>
          <t>day</t>
        </is>
      </c>
      <c r="D89" s="23" t="n">
        <v>2.53</v>
      </c>
      <c r="E89" s="24" t="n">
        <v>558</v>
      </c>
      <c r="F89" s="24">
        <f>D89*E89</f>
        <v/>
      </c>
      <c r="G89" s="22" t="n"/>
    </row>
    <row r="90">
      <c r="A90" s="22" t="inlineStr">
        <is>
          <t>9999</t>
        </is>
      </c>
      <c r="B90" s="11" t="inlineStr">
        <is>
          <t>Brushes and Sandpapers</t>
        </is>
      </c>
      <c r="C90" s="22" t="inlineStr">
        <is>
          <t>L.S.</t>
        </is>
      </c>
      <c r="D90" s="23" t="n">
        <v>31.98</v>
      </c>
      <c r="E90" s="24" t="n">
        <v>2</v>
      </c>
      <c r="F90" s="24">
        <f>D90*E90</f>
        <v/>
      </c>
      <c r="G90" s="22" t="n"/>
    </row>
    <row r="91">
      <c r="A91" s="22" t="inlineStr">
        <is>
          <t>9999</t>
        </is>
      </c>
      <c r="B91" s="11" t="inlineStr">
        <is>
          <t>Sundries</t>
        </is>
      </c>
      <c r="C91" s="22" t="inlineStr">
        <is>
          <t>L.S.</t>
        </is>
      </c>
      <c r="D91" s="23" t="n">
        <v>38.09</v>
      </c>
      <c r="E91" s="24" t="n">
        <v>2</v>
      </c>
      <c r="F91" s="24">
        <f>D91*E91</f>
        <v/>
      </c>
      <c r="G91" s="22" t="n"/>
    </row>
    <row r="92">
      <c r="A92" s="8" t="inlineStr">
        <is>
          <t>Calculated W - SUM of the Amount column above</t>
        </is>
      </c>
      <c r="B92" s="9" t="n"/>
      <c r="C92" s="9" t="n"/>
      <c r="D92" s="9" t="n"/>
      <c r="E92" s="9" t="n"/>
      <c r="F92" s="25">
        <f>SUM(F70:F91)</f>
        <v/>
      </c>
      <c r="G92" s="9" t="n"/>
    </row>
    <row r="93">
      <c r="A93" s="26" t="inlineStr">
        <is>
          <t>W as printed in the DAR</t>
        </is>
      </c>
      <c r="B93" s="22" t="n"/>
      <c r="C93" s="22" t="n"/>
      <c r="D93" s="22" t="n"/>
      <c r="E93" s="22" t="n"/>
      <c r="F93" s="27" t="n">
        <v>126187.11</v>
      </c>
      <c r="G93" s="22" t="n"/>
    </row>
    <row r="94">
      <c r="A94" s="26" t="inlineStr">
        <is>
          <t>Difference (calculated - printed)</t>
        </is>
      </c>
      <c r="B94" s="22" t="n"/>
      <c r="C94" s="22" t="n"/>
      <c r="D94" s="22" t="n"/>
      <c r="E94" s="22" t="n"/>
      <c r="F94" s="27">
        <f>F92-F93</f>
        <v/>
      </c>
      <c r="G94" s="22" t="n"/>
    </row>
    <row r="95">
      <c r="A95" s="29" t="inlineStr">
        <is>
          <t>SAY (Rs.) - final DAR rate as printed (fixed value, not computed)</t>
        </is>
      </c>
      <c r="B95" s="30" t="n"/>
      <c r="C95" s="30" t="n"/>
      <c r="D95" s="30" t="n"/>
      <c r="E95" s="30" t="n"/>
      <c r="F95" s="31" t="n">
        <v>915</v>
      </c>
      <c r="G95" s="30" t="n"/>
    </row>
    <row r="97" ht="33" customHeight="1">
      <c r="A97" s="8" t="inlineStr">
        <is>
          <t>12.2</t>
        </is>
      </c>
      <c r="B97" s="17" t="inlineStr">
        <is>
          <t>Extra for straight cutting in C.G.S. sheet roofing for making opening of area exceeding 40 sq. decimeter for chimney stacks, sky light etc.:</t>
        </is>
      </c>
      <c r="C97" s="9" t="n"/>
      <c r="D97" s="9" t="n"/>
      <c r="E97" s="9" t="n"/>
      <c r="F97" s="9" t="n"/>
      <c r="G97" s="9" t="n"/>
    </row>
    <row r="98" ht="18.5" customHeight="1">
      <c r="A98" s="18" t="inlineStr">
        <is>
          <t>12.2.1</t>
        </is>
      </c>
      <c r="B98" s="19" t="inlineStr">
        <is>
          <t>1.00 mm thick</t>
        </is>
      </c>
      <c r="C98" s="20" t="n"/>
      <c r="D98" s="20" t="n"/>
      <c r="E98" s="20" t="n"/>
      <c r="F98" s="20" t="n"/>
      <c r="G98" s="20" t="n"/>
    </row>
    <row r="99">
      <c r="A99" s="21" t="inlineStr">
        <is>
          <t>Details of cost for 3 metres   |   Source: CivilDAR_2019_Vol_1.pdf, page 819</t>
        </is>
      </c>
    </row>
    <row r="100">
      <c r="A100" s="5" t="inlineStr">
        <is>
          <t>Code</t>
        </is>
      </c>
      <c r="B100" s="5" t="inlineStr">
        <is>
          <t>Description</t>
        </is>
      </c>
      <c r="C100" s="5" t="inlineStr">
        <is>
          <t>Unit</t>
        </is>
      </c>
      <c r="D100" s="5" t="inlineStr">
        <is>
          <t>Quantity</t>
        </is>
      </c>
      <c r="E100" s="5" t="inlineStr">
        <is>
          <t>Rate (Rs.)</t>
        </is>
      </c>
      <c r="F100" s="5" t="inlineStr">
        <is>
          <t>Amount (Rs.)</t>
        </is>
      </c>
      <c r="G100" s="5" t="inlineStr">
        <is>
          <t>Note</t>
        </is>
      </c>
    </row>
    <row r="101">
      <c r="A101" s="22" t="inlineStr">
        <is>
          <t>0102</t>
        </is>
      </c>
      <c r="B101" s="11" t="inlineStr">
        <is>
          <t>Blacksmith 1st class</t>
        </is>
      </c>
      <c r="C101" s="22" t="inlineStr">
        <is>
          <t>day</t>
        </is>
      </c>
      <c r="D101" s="23" t="n">
        <v>0.15</v>
      </c>
      <c r="E101" s="24" t="n">
        <v>738</v>
      </c>
      <c r="F101" s="24">
        <f>D101*E101</f>
        <v/>
      </c>
      <c r="G101" s="22" t="n"/>
    </row>
    <row r="102">
      <c r="A102" s="22" t="inlineStr">
        <is>
          <t>0114</t>
        </is>
      </c>
      <c r="B102" s="11" t="inlineStr">
        <is>
          <t>Beldar</t>
        </is>
      </c>
      <c r="C102" s="22" t="inlineStr">
        <is>
          <t>day</t>
        </is>
      </c>
      <c r="D102" s="23" t="n">
        <v>0.15</v>
      </c>
      <c r="E102" s="24" t="n">
        <v>558</v>
      </c>
      <c r="F102" s="24">
        <f>D102*E102</f>
        <v/>
      </c>
      <c r="G102" s="22" t="n"/>
    </row>
    <row r="103">
      <c r="A103" s="8" t="inlineStr">
        <is>
          <t>Calculated W - SUM of the Amount column above</t>
        </is>
      </c>
      <c r="B103" s="9" t="n"/>
      <c r="C103" s="9" t="n"/>
      <c r="D103" s="9" t="n"/>
      <c r="E103" s="9" t="n"/>
      <c r="F103" s="25">
        <f>SUM(F101:F102)</f>
        <v/>
      </c>
      <c r="G103" s="9" t="n"/>
    </row>
    <row r="104">
      <c r="A104" s="26" t="inlineStr">
        <is>
          <t>W as printed in the DAR</t>
        </is>
      </c>
      <c r="B104" s="22" t="n"/>
      <c r="C104" s="22" t="n"/>
      <c r="D104" s="22" t="n"/>
      <c r="E104" s="22" t="n"/>
      <c r="F104" s="27" t="n">
        <v>194.4</v>
      </c>
      <c r="G104" s="22" t="n"/>
    </row>
    <row r="105">
      <c r="A105" s="26" t="inlineStr">
        <is>
          <t>Difference (calculated - printed)</t>
        </is>
      </c>
      <c r="B105" s="22" t="n"/>
      <c r="C105" s="22" t="n"/>
      <c r="D105" s="22" t="n"/>
      <c r="E105" s="22" t="n"/>
      <c r="F105" s="27">
        <f>F103-F104</f>
        <v/>
      </c>
      <c r="G105" s="22" t="n"/>
    </row>
    <row r="106">
      <c r="A106" s="29" t="inlineStr">
        <is>
          <t>SAY (Rs.) - final DAR rate as printed (fixed value, not computed)</t>
        </is>
      </c>
      <c r="B106" s="30" t="n"/>
      <c r="C106" s="30" t="n"/>
      <c r="D106" s="30" t="n"/>
      <c r="E106" s="30" t="n"/>
      <c r="F106" s="31" t="n">
        <v>86.7</v>
      </c>
      <c r="G106" s="30" t="n"/>
    </row>
    <row r="108" ht="33" customHeight="1">
      <c r="A108" s="8" t="inlineStr">
        <is>
          <t>12.2</t>
        </is>
      </c>
      <c r="B108" s="17" t="inlineStr">
        <is>
          <t>Extra for straight cutting in C.G.S. sheet roofing for making opening of area exceeding 40 sq. decimeter for chimney stacks, sky light etc.:</t>
        </is>
      </c>
      <c r="C108" s="9" t="n"/>
      <c r="D108" s="9" t="n"/>
      <c r="E108" s="9" t="n"/>
      <c r="F108" s="9" t="n"/>
      <c r="G108" s="9" t="n"/>
    </row>
    <row r="109" ht="18.5" customHeight="1">
      <c r="A109" s="18" t="inlineStr">
        <is>
          <t>12.2.2</t>
        </is>
      </c>
      <c r="B109" s="19" t="inlineStr">
        <is>
          <t>0.80 mm thick</t>
        </is>
      </c>
      <c r="C109" s="20" t="n"/>
      <c r="D109" s="20" t="n"/>
      <c r="E109" s="20" t="n"/>
      <c r="F109" s="20" t="n"/>
      <c r="G109" s="20" t="n"/>
    </row>
    <row r="110">
      <c r="A110" s="21" t="inlineStr">
        <is>
          <t>Details of cost for 3 metres   |   Source: CivilDAR_2019_Vol_1.pdf, page 819</t>
        </is>
      </c>
    </row>
    <row r="111">
      <c r="A111" s="5" t="inlineStr">
        <is>
          <t>Code</t>
        </is>
      </c>
      <c r="B111" s="5" t="inlineStr">
        <is>
          <t>Description</t>
        </is>
      </c>
      <c r="C111" s="5" t="inlineStr">
        <is>
          <t>Unit</t>
        </is>
      </c>
      <c r="D111" s="5" t="inlineStr">
        <is>
          <t>Quantity</t>
        </is>
      </c>
      <c r="E111" s="5" t="inlineStr">
        <is>
          <t>Rate (Rs.)</t>
        </is>
      </c>
      <c r="F111" s="5" t="inlineStr">
        <is>
          <t>Amount (Rs.)</t>
        </is>
      </c>
      <c r="G111" s="5" t="inlineStr">
        <is>
          <t>Note</t>
        </is>
      </c>
    </row>
    <row r="112">
      <c r="A112" s="22" t="inlineStr">
        <is>
          <t>0102</t>
        </is>
      </c>
      <c r="B112" s="11" t="inlineStr">
        <is>
          <t>Blacksmith 1st class</t>
        </is>
      </c>
      <c r="C112" s="22" t="inlineStr">
        <is>
          <t>day</t>
        </is>
      </c>
      <c r="D112" s="23" t="n">
        <v>0.12</v>
      </c>
      <c r="E112" s="24" t="n">
        <v>738</v>
      </c>
      <c r="F112" s="24">
        <f>D112*E112</f>
        <v/>
      </c>
      <c r="G112" s="22" t="n"/>
    </row>
    <row r="113">
      <c r="A113" s="22" t="inlineStr">
        <is>
          <t>0114</t>
        </is>
      </c>
      <c r="B113" s="11" t="inlineStr">
        <is>
          <t>Beldar</t>
        </is>
      </c>
      <c r="C113" s="22" t="inlineStr">
        <is>
          <t>day</t>
        </is>
      </c>
      <c r="D113" s="23" t="n">
        <v>0.12</v>
      </c>
      <c r="E113" s="24" t="n">
        <v>558</v>
      </c>
      <c r="F113" s="24">
        <f>D113*E113</f>
        <v/>
      </c>
      <c r="G113" s="22" t="n"/>
    </row>
    <row r="114">
      <c r="A114" s="8" t="inlineStr">
        <is>
          <t>Calculated W - SUM of the Amount column above</t>
        </is>
      </c>
      <c r="B114" s="9" t="n"/>
      <c r="C114" s="9" t="n"/>
      <c r="D114" s="9" t="n"/>
      <c r="E114" s="9" t="n"/>
      <c r="F114" s="25">
        <f>SUM(F112:F113)</f>
        <v/>
      </c>
      <c r="G114" s="9" t="n"/>
    </row>
    <row r="115">
      <c r="A115" s="26" t="inlineStr">
        <is>
          <t>W as printed in the DAR</t>
        </is>
      </c>
      <c r="B115" s="22" t="n"/>
      <c r="C115" s="22" t="n"/>
      <c r="D115" s="22" t="n"/>
      <c r="E115" s="22" t="n"/>
      <c r="F115" s="27" t="n">
        <v>155.52</v>
      </c>
      <c r="G115" s="22" t="n"/>
    </row>
    <row r="116">
      <c r="A116" s="26" t="inlineStr">
        <is>
          <t>Difference (calculated - printed)</t>
        </is>
      </c>
      <c r="B116" s="22" t="n"/>
      <c r="C116" s="22" t="n"/>
      <c r="D116" s="22" t="n"/>
      <c r="E116" s="22" t="n"/>
      <c r="F116" s="27">
        <f>F114-F115</f>
        <v/>
      </c>
      <c r="G116" s="22" t="n"/>
    </row>
    <row r="117">
      <c r="A117" s="29" t="inlineStr">
        <is>
          <t>SAY (Rs.) - final DAR rate as printed (fixed value, not computed)</t>
        </is>
      </c>
      <c r="B117" s="30" t="n"/>
      <c r="C117" s="30" t="n"/>
      <c r="D117" s="30" t="n"/>
      <c r="E117" s="30" t="n"/>
      <c r="F117" s="31" t="n">
        <v>69.34999999999999</v>
      </c>
      <c r="G117" s="30" t="n"/>
    </row>
    <row r="119" ht="33" customHeight="1">
      <c r="A119" s="8" t="inlineStr">
        <is>
          <t>12.2</t>
        </is>
      </c>
      <c r="B119" s="17" t="inlineStr">
        <is>
          <t>Extra for straight cutting in C.G.S. sheet roofing for making opening of area exceeding 40 sq. decimeter for chimney stacks, sky light etc.:</t>
        </is>
      </c>
      <c r="C119" s="9" t="n"/>
      <c r="D119" s="9" t="n"/>
      <c r="E119" s="9" t="n"/>
      <c r="F119" s="9" t="n"/>
      <c r="G119" s="9" t="n"/>
    </row>
    <row r="120" ht="18.5" customHeight="1">
      <c r="A120" s="18" t="inlineStr">
        <is>
          <t>12.2.3</t>
        </is>
      </c>
      <c r="B120" s="19" t="inlineStr">
        <is>
          <t>0.63 mm thick</t>
        </is>
      </c>
      <c r="C120" s="20" t="n"/>
      <c r="D120" s="20" t="n"/>
      <c r="E120" s="20" t="n"/>
      <c r="F120" s="20" t="n"/>
      <c r="G120" s="20" t="n"/>
    </row>
    <row r="121">
      <c r="A121" s="21" t="inlineStr">
        <is>
          <t>Details of cost for 3 metres   |   Source: CivilDAR_2019_Vol_1.pdf, page 820</t>
        </is>
      </c>
    </row>
    <row r="122">
      <c r="A122" s="5" t="inlineStr">
        <is>
          <t>Code</t>
        </is>
      </c>
      <c r="B122" s="5" t="inlineStr">
        <is>
          <t>Description</t>
        </is>
      </c>
      <c r="C122" s="5" t="inlineStr">
        <is>
          <t>Unit</t>
        </is>
      </c>
      <c r="D122" s="5" t="inlineStr">
        <is>
          <t>Quantity</t>
        </is>
      </c>
      <c r="E122" s="5" t="inlineStr">
        <is>
          <t>Rate (Rs.)</t>
        </is>
      </c>
      <c r="F122" s="5" t="inlineStr">
        <is>
          <t>Amount (Rs.)</t>
        </is>
      </c>
      <c r="G122" s="5" t="inlineStr">
        <is>
          <t>Note</t>
        </is>
      </c>
    </row>
    <row r="123">
      <c r="A123" s="22" t="inlineStr">
        <is>
          <t>0102</t>
        </is>
      </c>
      <c r="B123" s="11" t="inlineStr">
        <is>
          <t>Blacksmith 1st class</t>
        </is>
      </c>
      <c r="C123" s="22" t="inlineStr">
        <is>
          <t>day</t>
        </is>
      </c>
      <c r="D123" s="23" t="n">
        <v>0.12</v>
      </c>
      <c r="E123" s="24" t="n">
        <v>738</v>
      </c>
      <c r="F123" s="24">
        <f>D123*E123</f>
        <v/>
      </c>
      <c r="G123" s="22" t="n"/>
    </row>
    <row r="124">
      <c r="A124" s="22" t="inlineStr">
        <is>
          <t>0114</t>
        </is>
      </c>
      <c r="B124" s="11" t="inlineStr">
        <is>
          <t>Beldar</t>
        </is>
      </c>
      <c r="C124" s="22" t="inlineStr">
        <is>
          <t>day</t>
        </is>
      </c>
      <c r="D124" s="23" t="n">
        <v>0.12</v>
      </c>
      <c r="E124" s="24" t="n">
        <v>558</v>
      </c>
      <c r="F124" s="24">
        <f>D124*E124</f>
        <v/>
      </c>
      <c r="G124" s="22" t="n"/>
    </row>
    <row r="125">
      <c r="A125" s="8" t="inlineStr">
        <is>
          <t>Calculated W - SUM of the Amount column above</t>
        </is>
      </c>
      <c r="B125" s="9" t="n"/>
      <c r="C125" s="9" t="n"/>
      <c r="D125" s="9" t="n"/>
      <c r="E125" s="9" t="n"/>
      <c r="F125" s="25">
        <f>SUM(F123:F124)</f>
        <v/>
      </c>
      <c r="G125" s="9" t="n"/>
    </row>
    <row r="126">
      <c r="A126" s="26" t="inlineStr">
        <is>
          <t>W as printed in the DAR</t>
        </is>
      </c>
      <c r="B126" s="22" t="n"/>
      <c r="C126" s="22" t="n"/>
      <c r="D126" s="22" t="n"/>
      <c r="E126" s="22" t="n"/>
      <c r="F126" s="27" t="n">
        <v>155.52</v>
      </c>
      <c r="G126" s="22" t="n"/>
    </row>
    <row r="127">
      <c r="A127" s="26" t="inlineStr">
        <is>
          <t>Difference (calculated - printed)</t>
        </is>
      </c>
      <c r="B127" s="22" t="n"/>
      <c r="C127" s="22" t="n"/>
      <c r="D127" s="22" t="n"/>
      <c r="E127" s="22" t="n"/>
      <c r="F127" s="27">
        <f>F125-F126</f>
        <v/>
      </c>
      <c r="G127" s="22" t="n"/>
    </row>
    <row r="128">
      <c r="A128" s="29" t="inlineStr">
        <is>
          <t>SAY (Rs.) - final DAR rate as printed (fixed value, not computed)</t>
        </is>
      </c>
      <c r="B128" s="30" t="n"/>
      <c r="C128" s="30" t="n"/>
      <c r="D128" s="30" t="n"/>
      <c r="E128" s="30" t="n"/>
      <c r="F128" s="31" t="n">
        <v>69.34999999999999</v>
      </c>
      <c r="G128" s="30" t="n"/>
    </row>
    <row r="130" ht="18.5" customHeight="1">
      <c r="A130" s="8" t="inlineStr">
        <is>
          <t>12.3</t>
        </is>
      </c>
      <c r="B130" s="17" t="inlineStr">
        <is>
          <t>Extra for circular cutting in C.G.S. sheet roofing for making opening of area exceeding 40 sq. decimeter:</t>
        </is>
      </c>
      <c r="C130" s="9" t="n"/>
      <c r="D130" s="9" t="n"/>
      <c r="E130" s="9" t="n"/>
      <c r="F130" s="9" t="n"/>
      <c r="G130" s="9" t="n"/>
    </row>
    <row r="131" ht="18.5" customHeight="1">
      <c r="A131" s="18" t="inlineStr">
        <is>
          <t>12.3.1</t>
        </is>
      </c>
      <c r="B131" s="19" t="inlineStr">
        <is>
          <t>1.00 mm thick</t>
        </is>
      </c>
      <c r="C131" s="20" t="n"/>
      <c r="D131" s="20" t="n"/>
      <c r="E131" s="20" t="n"/>
      <c r="F131" s="20" t="n"/>
      <c r="G131" s="20" t="n"/>
    </row>
    <row r="132">
      <c r="A132" s="21" t="inlineStr">
        <is>
          <t>Details of cost for 15.71 metres   |   Source: CivilDAR_2019_Vol_1.pdf, page 820</t>
        </is>
      </c>
    </row>
    <row r="133">
      <c r="A133" s="5" t="inlineStr">
        <is>
          <t>Code</t>
        </is>
      </c>
      <c r="B133" s="5" t="inlineStr">
        <is>
          <t>Description</t>
        </is>
      </c>
      <c r="C133" s="5" t="inlineStr">
        <is>
          <t>Unit</t>
        </is>
      </c>
      <c r="D133" s="5" t="inlineStr">
        <is>
          <t>Quantity</t>
        </is>
      </c>
      <c r="E133" s="5" t="inlineStr">
        <is>
          <t>Rate (Rs.)</t>
        </is>
      </c>
      <c r="F133" s="5" t="inlineStr">
        <is>
          <t>Amount (Rs.)</t>
        </is>
      </c>
      <c r="G133" s="5" t="inlineStr">
        <is>
          <t>Note</t>
        </is>
      </c>
    </row>
    <row r="134">
      <c r="A134" s="22" t="inlineStr">
        <is>
          <t>0102</t>
        </is>
      </c>
      <c r="B134" s="11" t="inlineStr">
        <is>
          <t>Blacksmith 1st class</t>
        </is>
      </c>
      <c r="C134" s="22" t="inlineStr">
        <is>
          <t>day</t>
        </is>
      </c>
      <c r="D134" s="23" t="n">
        <v>3.13</v>
      </c>
      <c r="E134" s="24" t="n">
        <v>738</v>
      </c>
      <c r="F134" s="24">
        <f>D134*E134</f>
        <v/>
      </c>
      <c r="G134" s="22" t="n"/>
    </row>
    <row r="135">
      <c r="A135" s="22" t="inlineStr">
        <is>
          <t>0114</t>
        </is>
      </c>
      <c r="B135" s="11" t="inlineStr">
        <is>
          <t>Beldar</t>
        </is>
      </c>
      <c r="C135" s="22" t="inlineStr">
        <is>
          <t>day</t>
        </is>
      </c>
      <c r="D135" s="23" t="n">
        <v>6.26</v>
      </c>
      <c r="E135" s="24" t="n">
        <v>558</v>
      </c>
      <c r="F135" s="24">
        <f>D135*E135</f>
        <v/>
      </c>
      <c r="G135" s="22" t="n"/>
    </row>
    <row r="136">
      <c r="A136" s="8" t="inlineStr">
        <is>
          <t>Calculated W - SUM of the Amount column above</t>
        </is>
      </c>
      <c r="B136" s="9" t="n"/>
      <c r="C136" s="9" t="n"/>
      <c r="D136" s="9" t="n"/>
      <c r="E136" s="9" t="n"/>
      <c r="F136" s="25">
        <f>SUM(F134:F135)</f>
        <v/>
      </c>
      <c r="G136" s="9" t="n"/>
    </row>
    <row r="137">
      <c r="A137" s="26" t="inlineStr">
        <is>
          <t>W as printed in the DAR</t>
        </is>
      </c>
      <c r="B137" s="22" t="n"/>
      <c r="C137" s="22" t="n"/>
      <c r="D137" s="22" t="n"/>
      <c r="E137" s="22" t="n"/>
      <c r="F137" s="27" t="n">
        <v>5803.02</v>
      </c>
      <c r="G137" s="22" t="n"/>
    </row>
    <row r="138">
      <c r="A138" s="26" t="inlineStr">
        <is>
          <t>Difference (calculated - printed)</t>
        </is>
      </c>
      <c r="B138" s="22" t="n"/>
      <c r="C138" s="22" t="n"/>
      <c r="D138" s="22" t="n"/>
      <c r="E138" s="22" t="n"/>
      <c r="F138" s="27">
        <f>F136-F137</f>
        <v/>
      </c>
      <c r="G138" s="22" t="n"/>
    </row>
    <row r="139">
      <c r="A139" s="29" t="inlineStr">
        <is>
          <t>SAY (Rs.) - final DAR rate as printed (fixed value, not computed)</t>
        </is>
      </c>
      <c r="B139" s="30" t="n"/>
      <c r="C139" s="30" t="n"/>
      <c r="D139" s="30" t="n"/>
      <c r="E139" s="30" t="n"/>
      <c r="F139" s="31" t="n">
        <v>494.2</v>
      </c>
      <c r="G139" s="30" t="n"/>
    </row>
    <row r="141" ht="18.5" customHeight="1">
      <c r="A141" s="8" t="inlineStr">
        <is>
          <t>12.3</t>
        </is>
      </c>
      <c r="B141" s="17" t="inlineStr">
        <is>
          <t>Extra for circular cutting in C.G.S. sheet roofing for making opening of area exceeding 40 sq. decimeter:</t>
        </is>
      </c>
      <c r="C141" s="9" t="n"/>
      <c r="D141" s="9" t="n"/>
      <c r="E141" s="9" t="n"/>
      <c r="F141" s="9" t="n"/>
      <c r="G141" s="9" t="n"/>
    </row>
    <row r="142" ht="18.5" customHeight="1">
      <c r="A142" s="18" t="inlineStr">
        <is>
          <t>12.3.2</t>
        </is>
      </c>
      <c r="B142" s="19" t="inlineStr">
        <is>
          <t>0.80 mm thick</t>
        </is>
      </c>
      <c r="C142" s="20" t="n"/>
      <c r="D142" s="20" t="n"/>
      <c r="E142" s="20" t="n"/>
      <c r="F142" s="20" t="n"/>
      <c r="G142" s="20" t="n"/>
    </row>
    <row r="143">
      <c r="A143" s="21" t="inlineStr">
        <is>
          <t>Details of cost for 15.71 metres   |   Source: CivilDAR_2019_Vol_1.pdf, page 821</t>
        </is>
      </c>
    </row>
    <row r="144">
      <c r="A144" s="5" t="inlineStr">
        <is>
          <t>Code</t>
        </is>
      </c>
      <c r="B144" s="5" t="inlineStr">
        <is>
          <t>Description</t>
        </is>
      </c>
      <c r="C144" s="5" t="inlineStr">
        <is>
          <t>Unit</t>
        </is>
      </c>
      <c r="D144" s="5" t="inlineStr">
        <is>
          <t>Quantity</t>
        </is>
      </c>
      <c r="E144" s="5" t="inlineStr">
        <is>
          <t>Rate (Rs.)</t>
        </is>
      </c>
      <c r="F144" s="5" t="inlineStr">
        <is>
          <t>Amount (Rs.)</t>
        </is>
      </c>
      <c r="G144" s="5" t="inlineStr">
        <is>
          <t>Note</t>
        </is>
      </c>
    </row>
    <row r="145">
      <c r="A145" s="22" t="inlineStr">
        <is>
          <t>0102</t>
        </is>
      </c>
      <c r="B145" s="11" t="inlineStr">
        <is>
          <t>Blacksmith 1st class</t>
        </is>
      </c>
      <c r="C145" s="22" t="inlineStr">
        <is>
          <t>day</t>
        </is>
      </c>
      <c r="D145" s="23" t="n">
        <v>2.5</v>
      </c>
      <c r="E145" s="24" t="n">
        <v>738</v>
      </c>
      <c r="F145" s="24">
        <f>D145*E145</f>
        <v/>
      </c>
      <c r="G145" s="22" t="n"/>
    </row>
    <row r="146">
      <c r="A146" s="22" t="inlineStr">
        <is>
          <t>0114</t>
        </is>
      </c>
      <c r="B146" s="11" t="inlineStr">
        <is>
          <t>Beldar</t>
        </is>
      </c>
      <c r="C146" s="22" t="inlineStr">
        <is>
          <t>day</t>
        </is>
      </c>
      <c r="D146" s="23" t="n">
        <v>5</v>
      </c>
      <c r="E146" s="24" t="n">
        <v>558</v>
      </c>
      <c r="F146" s="24">
        <f>D146*E146</f>
        <v/>
      </c>
      <c r="G146" s="22" t="n"/>
    </row>
    <row r="147">
      <c r="A147" s="8" t="inlineStr">
        <is>
          <t>Calculated W - SUM of the Amount column above</t>
        </is>
      </c>
      <c r="B147" s="9" t="n"/>
      <c r="C147" s="9" t="n"/>
      <c r="D147" s="9" t="n"/>
      <c r="E147" s="9" t="n"/>
      <c r="F147" s="25">
        <f>SUM(F145:F146)</f>
        <v/>
      </c>
      <c r="G147" s="9" t="n"/>
    </row>
    <row r="148">
      <c r="A148" s="26" t="inlineStr">
        <is>
          <t>W as printed in the DAR</t>
        </is>
      </c>
      <c r="B148" s="22" t="n"/>
      <c r="C148" s="22" t="n"/>
      <c r="D148" s="22" t="n"/>
      <c r="E148" s="22" t="n"/>
      <c r="F148" s="27" t="n">
        <v>4635</v>
      </c>
      <c r="G148" s="22" t="n"/>
    </row>
    <row r="149">
      <c r="A149" s="26" t="inlineStr">
        <is>
          <t>Difference (calculated - printed)</t>
        </is>
      </c>
      <c r="B149" s="22" t="n"/>
      <c r="C149" s="22" t="n"/>
      <c r="D149" s="22" t="n"/>
      <c r="E149" s="22" t="n"/>
      <c r="F149" s="27">
        <f>F147-F148</f>
        <v/>
      </c>
      <c r="G149" s="22" t="n"/>
    </row>
    <row r="150">
      <c r="A150" s="29" t="inlineStr">
        <is>
          <t>SAY (Rs.) - final DAR rate as printed (fixed value, not computed)</t>
        </is>
      </c>
      <c r="B150" s="30" t="n"/>
      <c r="C150" s="30" t="n"/>
      <c r="D150" s="30" t="n"/>
      <c r="E150" s="30" t="n"/>
      <c r="F150" s="31" t="n">
        <v>394.75</v>
      </c>
      <c r="G150" s="30" t="n"/>
    </row>
    <row r="152" ht="18.5" customHeight="1">
      <c r="A152" s="8" t="inlineStr">
        <is>
          <t>12.3</t>
        </is>
      </c>
      <c r="B152" s="17" t="inlineStr">
        <is>
          <t>Extra for circular cutting in C.G.S. sheet roofing for making opening of area exceeding 40 sq. decimeter:</t>
        </is>
      </c>
      <c r="C152" s="9" t="n"/>
      <c r="D152" s="9" t="n"/>
      <c r="E152" s="9" t="n"/>
      <c r="F152" s="9" t="n"/>
      <c r="G152" s="9" t="n"/>
    </row>
    <row r="153" ht="18.5" customHeight="1">
      <c r="A153" s="18" t="inlineStr">
        <is>
          <t>12.3.3</t>
        </is>
      </c>
      <c r="B153" s="19" t="inlineStr">
        <is>
          <t>0.63 mm thick</t>
        </is>
      </c>
      <c r="C153" s="20" t="n"/>
      <c r="D153" s="20" t="n"/>
      <c r="E153" s="20" t="n"/>
      <c r="F153" s="20" t="n"/>
      <c r="G153" s="20" t="n"/>
    </row>
    <row r="154">
      <c r="A154" s="21" t="inlineStr">
        <is>
          <t>Details of cost for 15.71 metres   |   Source: CivilDAR_2019_Vol_1.pdf, page 821</t>
        </is>
      </c>
    </row>
    <row r="155">
      <c r="A155" s="5" t="inlineStr">
        <is>
          <t>Code</t>
        </is>
      </c>
      <c r="B155" s="5" t="inlineStr">
        <is>
          <t>Description</t>
        </is>
      </c>
      <c r="C155" s="5" t="inlineStr">
        <is>
          <t>Unit</t>
        </is>
      </c>
      <c r="D155" s="5" t="inlineStr">
        <is>
          <t>Quantity</t>
        </is>
      </c>
      <c r="E155" s="5" t="inlineStr">
        <is>
          <t>Rate (Rs.)</t>
        </is>
      </c>
      <c r="F155" s="5" t="inlineStr">
        <is>
          <t>Amount (Rs.)</t>
        </is>
      </c>
      <c r="G155" s="5" t="inlineStr">
        <is>
          <t>Note</t>
        </is>
      </c>
    </row>
    <row r="156">
      <c r="A156" s="22" t="inlineStr">
        <is>
          <t>0102</t>
        </is>
      </c>
      <c r="B156" s="11" t="inlineStr">
        <is>
          <t>Blacksmith 1st class</t>
        </is>
      </c>
      <c r="C156" s="22" t="inlineStr">
        <is>
          <t>day</t>
        </is>
      </c>
      <c r="D156" s="23" t="n">
        <v>2.5</v>
      </c>
      <c r="E156" s="24" t="n">
        <v>738</v>
      </c>
      <c r="F156" s="24">
        <f>D156*E156</f>
        <v/>
      </c>
      <c r="G156" s="22" t="n"/>
    </row>
    <row r="157">
      <c r="A157" s="22" t="inlineStr">
        <is>
          <t>0114</t>
        </is>
      </c>
      <c r="B157" s="11" t="inlineStr">
        <is>
          <t>Beldar</t>
        </is>
      </c>
      <c r="C157" s="22" t="inlineStr">
        <is>
          <t>day</t>
        </is>
      </c>
      <c r="D157" s="23" t="n">
        <v>5</v>
      </c>
      <c r="E157" s="24" t="n">
        <v>558</v>
      </c>
      <c r="F157" s="24">
        <f>D157*E157</f>
        <v/>
      </c>
      <c r="G157" s="22" t="n"/>
    </row>
    <row r="158">
      <c r="A158" s="8" t="inlineStr">
        <is>
          <t>Calculated W - SUM of the Amount column above</t>
        </is>
      </c>
      <c r="B158" s="9" t="n"/>
      <c r="C158" s="9" t="n"/>
      <c r="D158" s="9" t="n"/>
      <c r="E158" s="9" t="n"/>
      <c r="F158" s="25">
        <f>SUM(F156:F157)</f>
        <v/>
      </c>
      <c r="G158" s="9" t="n"/>
    </row>
    <row r="159">
      <c r="A159" s="26" t="inlineStr">
        <is>
          <t>W as printed in the DAR</t>
        </is>
      </c>
      <c r="B159" s="22" t="n"/>
      <c r="C159" s="22" t="n"/>
      <c r="D159" s="22" t="n"/>
      <c r="E159" s="22" t="n"/>
      <c r="F159" s="27" t="n">
        <v>4635</v>
      </c>
      <c r="G159" s="22" t="n"/>
    </row>
    <row r="160">
      <c r="A160" s="26" t="inlineStr">
        <is>
          <t>Difference (calculated - printed)</t>
        </is>
      </c>
      <c r="B160" s="22" t="n"/>
      <c r="C160" s="22" t="n"/>
      <c r="D160" s="22" t="n"/>
      <c r="E160" s="22" t="n"/>
      <c r="F160" s="27">
        <f>F158-F159</f>
        <v/>
      </c>
      <c r="G160" s="22" t="n"/>
    </row>
    <row r="161">
      <c r="A161" s="29" t="inlineStr">
        <is>
          <t>SAY (Rs.) - final DAR rate as printed (fixed value, not computed)</t>
        </is>
      </c>
      <c r="B161" s="30" t="n"/>
      <c r="C161" s="30" t="n"/>
      <c r="D161" s="30" t="n"/>
      <c r="E161" s="30" t="n"/>
      <c r="F161" s="31" t="n">
        <v>394.75</v>
      </c>
      <c r="G161" s="30" t="n"/>
    </row>
    <row r="163" ht="33" customHeight="1">
      <c r="A163" s="8" t="inlineStr">
        <is>
          <t>12.4</t>
        </is>
      </c>
      <c r="B163" s="17" t="inlineStr">
        <is>
          <t>Providing ridges or hips of width 60 cm overall width plain G.S. sheet fixed with polymer coated J or L hooks, bolts and nuts 8 mm dia G.I. limpet and bitumen washers complete.</t>
        </is>
      </c>
      <c r="C163" s="9" t="n"/>
      <c r="D163" s="9" t="n"/>
      <c r="E163" s="9" t="n"/>
      <c r="F163" s="9" t="n"/>
      <c r="G163" s="9" t="n"/>
    </row>
    <row r="164" ht="18.5" customHeight="1">
      <c r="A164" s="18" t="inlineStr">
        <is>
          <t>12.4.1</t>
        </is>
      </c>
      <c r="B164" s="19" t="inlineStr">
        <is>
          <t>0.80 mm thick with zinc coating not less than 275 gm/m²</t>
        </is>
      </c>
      <c r="C164" s="20" t="n"/>
      <c r="D164" s="20" t="n"/>
      <c r="E164" s="20" t="n"/>
      <c r="F164" s="20" t="n"/>
      <c r="G164" s="20" t="n"/>
    </row>
    <row r="165">
      <c r="A165" s="21" t="inlineStr">
        <is>
          <t>Details of cost for 10.35 metres   |   Source: CivilDAR_2019_Vol_1.pdf, page 822</t>
        </is>
      </c>
    </row>
    <row r="166">
      <c r="A166" s="5" t="inlineStr">
        <is>
          <t>Code</t>
        </is>
      </c>
      <c r="B166" s="5" t="inlineStr">
        <is>
          <t>Description</t>
        </is>
      </c>
      <c r="C166" s="5" t="inlineStr">
        <is>
          <t>Unit</t>
        </is>
      </c>
      <c r="D166" s="5" t="inlineStr">
        <is>
          <t>Quantity</t>
        </is>
      </c>
      <c r="E166" s="5" t="inlineStr">
        <is>
          <t>Rate (Rs.)</t>
        </is>
      </c>
      <c r="F166" s="5" t="inlineStr">
        <is>
          <t>Amount (Rs.)</t>
        </is>
      </c>
      <c r="G166" s="5" t="inlineStr">
        <is>
          <t>Note</t>
        </is>
      </c>
    </row>
    <row r="167">
      <c r="A167" s="22" t="inlineStr">
        <is>
          <t>0992</t>
        </is>
      </c>
      <c r="B167" s="11" t="inlineStr">
        <is>
          <t>Galvanised steel plain sheets</t>
        </is>
      </c>
      <c r="C167" s="22" t="inlineStr">
        <is>
          <t>quintal</t>
        </is>
      </c>
      <c r="D167" s="23" t="n">
        <v>0.58</v>
      </c>
      <c r="E167" s="24" t="n">
        <v>5000</v>
      </c>
      <c r="F167" s="24">
        <f>D167*E167</f>
        <v/>
      </c>
      <c r="G167" s="22" t="n"/>
    </row>
    <row r="168">
      <c r="A168" s="22" t="inlineStr">
        <is>
          <t>2302</t>
        </is>
      </c>
      <c r="B168" s="11" t="inlineStr">
        <is>
          <t>Carriage of G.I. sheet and accessories</t>
        </is>
      </c>
      <c r="C168" s="22" t="inlineStr">
        <is>
          <t>tonne</t>
        </is>
      </c>
      <c r="D168" s="23" t="n">
        <v>0.058</v>
      </c>
      <c r="E168" s="24" t="n">
        <v>92.23999999999999</v>
      </c>
      <c r="F168" s="24">
        <f>D168*E168</f>
        <v/>
      </c>
      <c r="G168" s="22" t="n"/>
    </row>
    <row r="169">
      <c r="A169" s="22" t="inlineStr">
        <is>
          <t>0222</t>
        </is>
      </c>
      <c r="B169" s="11" t="inlineStr">
        <is>
          <t>Seam bolts and nuts 6 mm dia and 25 mm long</t>
        </is>
      </c>
      <c r="C169" s="22" t="inlineStr">
        <is>
          <t>10 Nos</t>
        </is>
      </c>
      <c r="D169" s="23" t="n">
        <v>2.8</v>
      </c>
      <c r="E169" s="24" t="n">
        <v>10</v>
      </c>
      <c r="F169" s="24">
        <f>D169*E169</f>
        <v/>
      </c>
      <c r="G169" s="22" t="n"/>
    </row>
    <row r="170">
      <c r="A170" s="22" t="inlineStr">
        <is>
          <t>1211</t>
        </is>
      </c>
      <c r="B170" s="11" t="inlineStr">
        <is>
          <t>G.I. plain washer for seam bolts</t>
        </is>
      </c>
      <c r="C170" s="22" t="inlineStr">
        <is>
          <t>100 Nos</t>
        </is>
      </c>
      <c r="D170" s="23" t="n">
        <v>0.28</v>
      </c>
      <c r="E170" s="24" t="n">
        <v>32</v>
      </c>
      <c r="F170" s="24">
        <f>D170*E170</f>
        <v/>
      </c>
      <c r="G170" s="22" t="n"/>
    </row>
    <row r="171">
      <c r="A171" s="22" t="inlineStr">
        <is>
          <t>1208</t>
        </is>
      </c>
      <c r="B171" s="11" t="inlineStr">
        <is>
          <t>Bitumen washer</t>
        </is>
      </c>
      <c r="C171" s="22" t="inlineStr">
        <is>
          <t>100 Nos</t>
        </is>
      </c>
      <c r="D171" s="23" t="n">
        <v>0.28</v>
      </c>
      <c r="E171" s="24" t="n">
        <v>30</v>
      </c>
      <c r="F171" s="24">
        <f>D171*E171</f>
        <v/>
      </c>
      <c r="G171" s="22" t="n"/>
    </row>
    <row r="172">
      <c r="A172" s="22" t="inlineStr">
        <is>
          <t>9977</t>
        </is>
      </c>
      <c r="B172" s="11" t="inlineStr">
        <is>
          <t>Carriage of seam bolts and washers</t>
        </is>
      </c>
      <c r="C172" s="22" t="inlineStr">
        <is>
          <t>L.S.</t>
        </is>
      </c>
      <c r="D172" s="23" t="n">
        <v>1.82</v>
      </c>
      <c r="E172" s="24" t="n">
        <v>2</v>
      </c>
      <c r="F172" s="24">
        <f>D172*E172</f>
        <v/>
      </c>
      <c r="G172" s="22" t="n"/>
    </row>
    <row r="173">
      <c r="A173" s="22" t="inlineStr">
        <is>
          <t>9999</t>
        </is>
      </c>
      <c r="B173" s="11" t="inlineStr">
        <is>
          <t>Sundries</t>
        </is>
      </c>
      <c r="C173" s="22" t="inlineStr">
        <is>
          <t>L.S.</t>
        </is>
      </c>
      <c r="D173" s="23" t="n">
        <v>13.52</v>
      </c>
      <c r="E173" s="24" t="n">
        <v>2</v>
      </c>
      <c r="F173" s="24">
        <f>D173*E173</f>
        <v/>
      </c>
      <c r="G173" s="22" t="n"/>
    </row>
    <row r="174">
      <c r="A174" s="22" t="inlineStr">
        <is>
          <t>0130</t>
        </is>
      </c>
      <c r="B174" s="11" t="inlineStr">
        <is>
          <t>Mistry</t>
        </is>
      </c>
      <c r="C174" s="22" t="inlineStr">
        <is>
          <t>day</t>
        </is>
      </c>
      <c r="D174" s="23" t="n">
        <v>0.4</v>
      </c>
      <c r="E174" s="24" t="n">
        <v>738</v>
      </c>
      <c r="F174" s="24">
        <f>D174*E174</f>
        <v/>
      </c>
      <c r="G174" s="22" t="n"/>
    </row>
    <row r="175">
      <c r="A175" s="22" t="inlineStr">
        <is>
          <t>0102</t>
        </is>
      </c>
      <c r="B175" s="11" t="inlineStr">
        <is>
          <t>Blacksmith 1st class</t>
        </is>
      </c>
      <c r="C175" s="22" t="inlineStr">
        <is>
          <t>day</t>
        </is>
      </c>
      <c r="D175" s="23" t="n">
        <v>1.2</v>
      </c>
      <c r="E175" s="24" t="n">
        <v>738</v>
      </c>
      <c r="F175" s="24">
        <f>D175*E175</f>
        <v/>
      </c>
      <c r="G175" s="22" t="n"/>
    </row>
    <row r="176">
      <c r="A176" s="22" t="inlineStr">
        <is>
          <t>0103</t>
        </is>
      </c>
      <c r="B176" s="11" t="inlineStr">
        <is>
          <t>Blacksmith 2nd class</t>
        </is>
      </c>
      <c r="C176" s="22" t="inlineStr">
        <is>
          <t>day</t>
        </is>
      </c>
      <c r="D176" s="23" t="n">
        <v>0.8</v>
      </c>
      <c r="E176" s="24" t="n">
        <v>679</v>
      </c>
      <c r="F176" s="24">
        <f>D176*E176</f>
        <v/>
      </c>
      <c r="G176" s="22" t="n"/>
    </row>
    <row r="177">
      <c r="A177" s="22" t="inlineStr">
        <is>
          <t>0114</t>
        </is>
      </c>
      <c r="B177" s="11" t="inlineStr">
        <is>
          <t>Beldar</t>
        </is>
      </c>
      <c r="C177" s="22" t="inlineStr">
        <is>
          <t>day</t>
        </is>
      </c>
      <c r="D177" s="23" t="n">
        <v>2.4</v>
      </c>
      <c r="E177" s="24" t="n">
        <v>558</v>
      </c>
      <c r="F177" s="24">
        <f>D177*E177</f>
        <v/>
      </c>
      <c r="G177" s="22" t="n"/>
    </row>
    <row r="178">
      <c r="A178" s="8" t="inlineStr">
        <is>
          <t>Calculated W - SUM of the Amount column above</t>
        </is>
      </c>
      <c r="B178" s="9" t="n"/>
      <c r="C178" s="9" t="n"/>
      <c r="D178" s="9" t="n"/>
      <c r="E178" s="9" t="n"/>
      <c r="F178" s="25">
        <f>SUM(F167:F177)</f>
        <v/>
      </c>
      <c r="G178" s="9" t="n"/>
    </row>
    <row r="179">
      <c r="A179" s="26" t="inlineStr">
        <is>
          <t>W as printed in the DAR</t>
        </is>
      </c>
      <c r="B179" s="22" t="n"/>
      <c r="C179" s="22" t="n"/>
      <c r="D179" s="22" t="n"/>
      <c r="E179" s="22" t="n"/>
      <c r="F179" s="27" t="n">
        <v>6044.59</v>
      </c>
      <c r="G179" s="22" t="n"/>
    </row>
    <row r="180">
      <c r="A180" s="26" t="inlineStr">
        <is>
          <t>Difference (calculated - printed)</t>
        </is>
      </c>
      <c r="B180" s="22" t="n"/>
      <c r="C180" s="22" t="n"/>
      <c r="D180" s="22" t="n"/>
      <c r="E180" s="22" t="n"/>
      <c r="F180" s="27">
        <f>F178-F179</f>
        <v/>
      </c>
      <c r="G180" s="22" t="n"/>
    </row>
    <row r="181">
      <c r="A181" s="29" t="inlineStr">
        <is>
          <t>SAY (Rs.) - final DAR rate as printed (fixed value, not computed)</t>
        </is>
      </c>
      <c r="B181" s="30" t="n"/>
      <c r="C181" s="30" t="n"/>
      <c r="D181" s="30" t="n"/>
      <c r="E181" s="30" t="n"/>
      <c r="F181" s="31" t="n">
        <v>781.4</v>
      </c>
      <c r="G181" s="30" t="n"/>
    </row>
    <row r="183" ht="33" customHeight="1">
      <c r="A183" s="8" t="inlineStr">
        <is>
          <t>12.4</t>
        </is>
      </c>
      <c r="B183" s="17" t="inlineStr">
        <is>
          <t>Providing ridges or hips of width 60 cm overall width plain G.S. sheet fixed with polymer coated J or L hooks, bolts and nuts 8 mm dia G.I. limpet and bitumen washers complete.</t>
        </is>
      </c>
      <c r="C183" s="9" t="n"/>
      <c r="D183" s="9" t="n"/>
      <c r="E183" s="9" t="n"/>
      <c r="F183" s="9" t="n"/>
      <c r="G183" s="9" t="n"/>
    </row>
    <row r="184" ht="18.5" customHeight="1">
      <c r="A184" s="18" t="inlineStr">
        <is>
          <t>12.4.2</t>
        </is>
      </c>
      <c r="B184" s="19" t="inlineStr">
        <is>
          <t>0.63 mm thick with zinc coating not less than 275 gm/m²</t>
        </is>
      </c>
      <c r="C184" s="20" t="n"/>
      <c r="D184" s="20" t="n"/>
      <c r="E184" s="20" t="n"/>
      <c r="F184" s="20" t="n"/>
      <c r="G184" s="20" t="n"/>
    </row>
    <row r="185">
      <c r="A185" s="21" t="inlineStr">
        <is>
          <t>Details of cost for 10.35 metres   |   Source: CivilDAR_2019_Vol_1.pdf, page 823</t>
        </is>
      </c>
    </row>
    <row r="186">
      <c r="A186" s="5" t="inlineStr">
        <is>
          <t>Code</t>
        </is>
      </c>
      <c r="B186" s="5" t="inlineStr">
        <is>
          <t>Description</t>
        </is>
      </c>
      <c r="C186" s="5" t="inlineStr">
        <is>
          <t>Unit</t>
        </is>
      </c>
      <c r="D186" s="5" t="inlineStr">
        <is>
          <t>Quantity</t>
        </is>
      </c>
      <c r="E186" s="5" t="inlineStr">
        <is>
          <t>Rate (Rs.)</t>
        </is>
      </c>
      <c r="F186" s="5" t="inlineStr">
        <is>
          <t>Amount (Rs.)</t>
        </is>
      </c>
      <c r="G186" s="5" t="inlineStr">
        <is>
          <t>Note</t>
        </is>
      </c>
    </row>
    <row r="187">
      <c r="A187" s="22" t="inlineStr">
        <is>
          <t>0992</t>
        </is>
      </c>
      <c r="B187" s="11" t="inlineStr">
        <is>
          <t>Galvanised steel plain sheets</t>
        </is>
      </c>
      <c r="C187" s="22" t="inlineStr">
        <is>
          <t>quintal</t>
        </is>
      </c>
      <c r="D187" s="23" t="n">
        <v>0.47</v>
      </c>
      <c r="E187" s="24" t="n">
        <v>5000</v>
      </c>
      <c r="F187" s="24">
        <f>D187*E187</f>
        <v/>
      </c>
      <c r="G187" s="22" t="n"/>
    </row>
    <row r="188">
      <c r="A188" s="22" t="inlineStr">
        <is>
          <t>2302</t>
        </is>
      </c>
      <c r="B188" s="11" t="inlineStr">
        <is>
          <t>Carriage of G.I. sheet and accessories</t>
        </is>
      </c>
      <c r="C188" s="22" t="inlineStr">
        <is>
          <t>tonne</t>
        </is>
      </c>
      <c r="D188" s="23" t="n">
        <v>0.047</v>
      </c>
      <c r="E188" s="24" t="n">
        <v>92.23999999999999</v>
      </c>
      <c r="F188" s="24">
        <f>D188*E188</f>
        <v/>
      </c>
      <c r="G188" s="22" t="n"/>
    </row>
    <row r="189">
      <c r="A189" s="22" t="inlineStr">
        <is>
          <t>0222</t>
        </is>
      </c>
      <c r="B189" s="11" t="inlineStr">
        <is>
          <t>Seam bolts and nuts 6 mm dia and 25 mm long</t>
        </is>
      </c>
      <c r="C189" s="22" t="inlineStr">
        <is>
          <t>10 Nos</t>
        </is>
      </c>
      <c r="D189" s="23" t="n">
        <v>2.8</v>
      </c>
      <c r="E189" s="24" t="n">
        <v>10</v>
      </c>
      <c r="F189" s="24">
        <f>D189*E189</f>
        <v/>
      </c>
      <c r="G189" s="22" t="n"/>
    </row>
    <row r="190">
      <c r="A190" s="22" t="inlineStr">
        <is>
          <t>1211</t>
        </is>
      </c>
      <c r="B190" s="11" t="inlineStr">
        <is>
          <t>G.I. plain washer for seam bolts</t>
        </is>
      </c>
      <c r="C190" s="22" t="inlineStr">
        <is>
          <t>100 Nos</t>
        </is>
      </c>
      <c r="D190" s="23" t="n">
        <v>0.28</v>
      </c>
      <c r="E190" s="24" t="n">
        <v>32</v>
      </c>
      <c r="F190" s="24">
        <f>D190*E190</f>
        <v/>
      </c>
      <c r="G190" s="22" t="n"/>
    </row>
    <row r="191">
      <c r="A191" s="22" t="inlineStr">
        <is>
          <t>1208</t>
        </is>
      </c>
      <c r="B191" s="11" t="inlineStr">
        <is>
          <t>Bitumen washer</t>
        </is>
      </c>
      <c r="C191" s="22" t="inlineStr">
        <is>
          <t>100 Nos</t>
        </is>
      </c>
      <c r="D191" s="23" t="n">
        <v>0.28</v>
      </c>
      <c r="E191" s="24" t="n">
        <v>30</v>
      </c>
      <c r="F191" s="24">
        <f>D191*E191</f>
        <v/>
      </c>
      <c r="G191" s="22" t="n"/>
    </row>
    <row r="192">
      <c r="A192" s="22" t="inlineStr">
        <is>
          <t>9977</t>
        </is>
      </c>
      <c r="B192" s="11" t="inlineStr">
        <is>
          <t>Carriage of seam bolts and washers</t>
        </is>
      </c>
      <c r="C192" s="22" t="inlineStr">
        <is>
          <t>L.S.</t>
        </is>
      </c>
      <c r="D192" s="23" t="n">
        <v>1.82</v>
      </c>
      <c r="E192" s="24" t="n">
        <v>2</v>
      </c>
      <c r="F192" s="24">
        <f>D192*E192</f>
        <v/>
      </c>
      <c r="G192" s="22" t="n"/>
    </row>
    <row r="193">
      <c r="A193" s="22" t="inlineStr">
        <is>
          <t>9999</t>
        </is>
      </c>
      <c r="B193" s="11" t="inlineStr">
        <is>
          <t>Sundries</t>
        </is>
      </c>
      <c r="C193" s="22" t="inlineStr">
        <is>
          <t>L.S.</t>
        </is>
      </c>
      <c r="D193" s="23" t="n">
        <v>13.52</v>
      </c>
      <c r="E193" s="24" t="n">
        <v>2</v>
      </c>
      <c r="F193" s="24">
        <f>D193*E193</f>
        <v/>
      </c>
      <c r="G193" s="22" t="n"/>
    </row>
    <row r="194">
      <c r="A194" s="22" t="inlineStr">
        <is>
          <t>0130</t>
        </is>
      </c>
      <c r="B194" s="11" t="inlineStr">
        <is>
          <t>Mistry</t>
        </is>
      </c>
      <c r="C194" s="22" t="inlineStr">
        <is>
          <t>day</t>
        </is>
      </c>
      <c r="D194" s="23" t="n">
        <v>0.4</v>
      </c>
      <c r="E194" s="24" t="n">
        <v>738</v>
      </c>
      <c r="F194" s="24">
        <f>D194*E194</f>
        <v/>
      </c>
      <c r="G194" s="22" t="n"/>
    </row>
    <row r="195">
      <c r="A195" s="22" t="inlineStr">
        <is>
          <t>0102</t>
        </is>
      </c>
      <c r="B195" s="11" t="inlineStr">
        <is>
          <t>Blacksmith 1st class</t>
        </is>
      </c>
      <c r="C195" s="22" t="inlineStr">
        <is>
          <t>day</t>
        </is>
      </c>
      <c r="D195" s="23" t="n">
        <v>1.2</v>
      </c>
      <c r="E195" s="24" t="n">
        <v>738</v>
      </c>
      <c r="F195" s="24">
        <f>D195*E195</f>
        <v/>
      </c>
      <c r="G195" s="22" t="n"/>
    </row>
    <row r="196">
      <c r="A196" s="22" t="inlineStr">
        <is>
          <t>0103</t>
        </is>
      </c>
      <c r="B196" s="11" t="inlineStr">
        <is>
          <t>Blacksmith 2nd class</t>
        </is>
      </c>
      <c r="C196" s="22" t="inlineStr">
        <is>
          <t>day</t>
        </is>
      </c>
      <c r="D196" s="23" t="n">
        <v>0.8</v>
      </c>
      <c r="E196" s="24" t="n">
        <v>679</v>
      </c>
      <c r="F196" s="24">
        <f>D196*E196</f>
        <v/>
      </c>
      <c r="G196" s="22" t="n"/>
    </row>
    <row r="197">
      <c r="A197" s="22" t="inlineStr">
        <is>
          <t>0114</t>
        </is>
      </c>
      <c r="B197" s="11" t="inlineStr">
        <is>
          <t>Beldar</t>
        </is>
      </c>
      <c r="C197" s="22" t="inlineStr">
        <is>
          <t>day</t>
        </is>
      </c>
      <c r="D197" s="23" t="n">
        <v>2.4</v>
      </c>
      <c r="E197" s="24" t="n">
        <v>558</v>
      </c>
      <c r="F197" s="24">
        <f>D197*E197</f>
        <v/>
      </c>
      <c r="G197" s="22" t="n"/>
    </row>
    <row r="198">
      <c r="A198" s="8" t="inlineStr">
        <is>
          <t>Calculated W - SUM of the Amount column above</t>
        </is>
      </c>
      <c r="B198" s="9" t="n"/>
      <c r="C198" s="9" t="n"/>
      <c r="D198" s="9" t="n"/>
      <c r="E198" s="9" t="n"/>
      <c r="F198" s="25">
        <f>SUM(F187:F197)</f>
        <v/>
      </c>
      <c r="G198" s="9" t="n"/>
    </row>
    <row r="199">
      <c r="A199" s="26" t="inlineStr">
        <is>
          <t>W as printed in the DAR</t>
        </is>
      </c>
      <c r="B199" s="22" t="n"/>
      <c r="C199" s="22" t="n"/>
      <c r="D199" s="22" t="n"/>
      <c r="E199" s="22" t="n"/>
      <c r="F199" s="27" t="n">
        <v>5493.58</v>
      </c>
      <c r="G199" s="22" t="n"/>
    </row>
    <row r="200">
      <c r="A200" s="26" t="inlineStr">
        <is>
          <t>Difference (calculated - printed)</t>
        </is>
      </c>
      <c r="B200" s="22" t="n"/>
      <c r="C200" s="22" t="n"/>
      <c r="D200" s="22" t="n"/>
      <c r="E200" s="22" t="n"/>
      <c r="F200" s="27">
        <f>F198-F199</f>
        <v/>
      </c>
      <c r="G200" s="22" t="n"/>
    </row>
    <row r="201">
      <c r="A201" s="29" t="inlineStr">
        <is>
          <t>SAY (Rs.) - final DAR rate as printed (fixed value, not computed)</t>
        </is>
      </c>
      <c r="B201" s="30" t="n"/>
      <c r="C201" s="30" t="n"/>
      <c r="D201" s="30" t="n"/>
      <c r="E201" s="30" t="n"/>
      <c r="F201" s="31" t="n">
        <v>710.15</v>
      </c>
      <c r="G201" s="30" t="n"/>
    </row>
    <row r="203" ht="33" customHeight="1">
      <c r="A203" s="8" t="inlineStr">
        <is>
          <t>12.5</t>
        </is>
      </c>
      <c r="B203" s="17" t="inlineStr">
        <is>
          <t>Providing valleys of 90 cm wide overall in plain G.S. sheet fixed with polymer coated J, or L hooks, bolts and nuts 8 mm dia G.I. limpet and bitumen washers complete :</t>
        </is>
      </c>
      <c r="C203" s="9" t="n"/>
      <c r="D203" s="9" t="n"/>
      <c r="E203" s="9" t="n"/>
      <c r="F203" s="9" t="n"/>
      <c r="G203" s="9" t="n"/>
    </row>
    <row r="204" ht="18.5" customHeight="1">
      <c r="A204" s="18" t="inlineStr">
        <is>
          <t>12.5.1</t>
        </is>
      </c>
      <c r="B204" s="19" t="inlineStr">
        <is>
          <t>1.60 mm thick with zinc coating not less than 350 gm/m²</t>
        </is>
      </c>
      <c r="C204" s="20" t="n"/>
      <c r="D204" s="20" t="n"/>
      <c r="E204" s="20" t="n"/>
      <c r="F204" s="20" t="n"/>
      <c r="G204" s="20" t="n"/>
    </row>
    <row r="205">
      <c r="A205" s="21" t="inlineStr">
        <is>
          <t>Details of cost for 9.325 metres   |   Source: CivilDAR_2019_Vol_1.pdf, page 823</t>
        </is>
      </c>
    </row>
    <row r="206">
      <c r="A206" s="5" t="inlineStr">
        <is>
          <t>Code</t>
        </is>
      </c>
      <c r="B206" s="5" t="inlineStr">
        <is>
          <t>Description</t>
        </is>
      </c>
      <c r="C206" s="5" t="inlineStr">
        <is>
          <t>Unit</t>
        </is>
      </c>
      <c r="D206" s="5" t="inlineStr">
        <is>
          <t>Quantity</t>
        </is>
      </c>
      <c r="E206" s="5" t="inlineStr">
        <is>
          <t>Rate (Rs.)</t>
        </is>
      </c>
      <c r="F206" s="5" t="inlineStr">
        <is>
          <t>Amount (Rs.)</t>
        </is>
      </c>
      <c r="G206" s="5" t="inlineStr">
        <is>
          <t>Note</t>
        </is>
      </c>
    </row>
    <row r="207">
      <c r="A207" s="22" t="inlineStr">
        <is>
          <t>0992</t>
        </is>
      </c>
      <c r="B207" s="11" t="inlineStr">
        <is>
          <t>Galvanised steel plain sheets</t>
        </is>
      </c>
      <c r="C207" s="22" t="inlineStr">
        <is>
          <t>quintal</t>
        </is>
      </c>
      <c r="D207" s="23" t="n">
        <v>1.222</v>
      </c>
      <c r="E207" s="24" t="n">
        <v>5000</v>
      </c>
      <c r="F207" s="24">
        <f>D207*E207</f>
        <v/>
      </c>
      <c r="G207" s="22" t="n"/>
    </row>
    <row r="208">
      <c r="A208" s="22" t="inlineStr">
        <is>
          <t>2302</t>
        </is>
      </c>
      <c r="B208" s="11" t="inlineStr">
        <is>
          <t>Carriage of G.I. sheet and accessories</t>
        </is>
      </c>
      <c r="C208" s="22" t="inlineStr">
        <is>
          <t>tonne</t>
        </is>
      </c>
      <c r="D208" s="23" t="n">
        <v>0.12</v>
      </c>
      <c r="E208" s="24" t="n">
        <v>92.23999999999999</v>
      </c>
      <c r="F208" s="24">
        <f>D208*E208</f>
        <v/>
      </c>
      <c r="G208" s="22" t="n"/>
    </row>
    <row r="209">
      <c r="A209" s="22" t="inlineStr">
        <is>
          <t>0222</t>
        </is>
      </c>
      <c r="B209" s="11" t="inlineStr">
        <is>
          <t>Seam bolts and nuts 6 mm dia and 25 mm long</t>
        </is>
      </c>
      <c r="C209" s="22" t="inlineStr">
        <is>
          <t>10 Nos</t>
        </is>
      </c>
      <c r="D209" s="23" t="n">
        <v>1.2</v>
      </c>
      <c r="E209" s="24" t="n">
        <v>10</v>
      </c>
      <c r="F209" s="24">
        <f>D209*E209</f>
        <v/>
      </c>
      <c r="G209" s="22" t="n"/>
    </row>
    <row r="210">
      <c r="A210" s="22" t="inlineStr">
        <is>
          <t>1211</t>
        </is>
      </c>
      <c r="B210" s="11" t="inlineStr">
        <is>
          <t>G.I. plain washer for seam bolts</t>
        </is>
      </c>
      <c r="C210" s="22" t="inlineStr">
        <is>
          <t>100 Nos</t>
        </is>
      </c>
      <c r="D210" s="23" t="n">
        <v>0.12</v>
      </c>
      <c r="E210" s="24" t="n">
        <v>32</v>
      </c>
      <c r="F210" s="24">
        <f>D210*E210</f>
        <v/>
      </c>
      <c r="G210" s="22" t="n"/>
    </row>
    <row r="211">
      <c r="A211" s="22" t="inlineStr">
        <is>
          <t>1208</t>
        </is>
      </c>
      <c r="B211" s="11" t="inlineStr">
        <is>
          <t>Bitumen washer</t>
        </is>
      </c>
      <c r="C211" s="22" t="inlineStr">
        <is>
          <t>100 Nos</t>
        </is>
      </c>
      <c r="D211" s="23" t="n">
        <v>0.12</v>
      </c>
      <c r="E211" s="24" t="n">
        <v>30</v>
      </c>
      <c r="F211" s="24">
        <f>D211*E211</f>
        <v/>
      </c>
      <c r="G211" s="22" t="n"/>
    </row>
    <row r="212">
      <c r="A212" s="22" t="inlineStr">
        <is>
          <t>9977</t>
        </is>
      </c>
      <c r="B212" s="11" t="inlineStr">
        <is>
          <t>Carriage of bolts, nuts and washers</t>
        </is>
      </c>
      <c r="C212" s="22" t="inlineStr">
        <is>
          <t>L.S.</t>
        </is>
      </c>
      <c r="D212" s="23" t="n">
        <v>0.91</v>
      </c>
      <c r="E212" s="24" t="n">
        <v>2</v>
      </c>
      <c r="F212" s="24">
        <f>D212*E212</f>
        <v/>
      </c>
      <c r="G212" s="22" t="n"/>
    </row>
    <row r="213">
      <c r="A213" s="22" t="inlineStr">
        <is>
          <t>9999</t>
        </is>
      </c>
      <c r="B213" s="11" t="inlineStr">
        <is>
          <t>Sundries</t>
        </is>
      </c>
      <c r="C213" s="22" t="inlineStr">
        <is>
          <t>L.S.</t>
        </is>
      </c>
      <c r="D213" s="23" t="n">
        <v>13.52</v>
      </c>
      <c r="E213" s="24" t="n">
        <v>2</v>
      </c>
      <c r="F213" s="24">
        <f>D213*E213</f>
        <v/>
      </c>
      <c r="G213" s="22" t="n"/>
    </row>
    <row r="214">
      <c r="A214" s="22" t="inlineStr">
        <is>
          <t>0130</t>
        </is>
      </c>
      <c r="B214" s="11" t="inlineStr">
        <is>
          <t>Mistry</t>
        </is>
      </c>
      <c r="C214" s="22" t="inlineStr">
        <is>
          <t>day</t>
        </is>
      </c>
      <c r="D214" s="23" t="n">
        <v>0.4</v>
      </c>
      <c r="E214" s="24" t="n">
        <v>738</v>
      </c>
      <c r="F214" s="24">
        <f>D214*E214</f>
        <v/>
      </c>
      <c r="G214" s="22" t="n"/>
    </row>
    <row r="215">
      <c r="A215" s="22" t="inlineStr">
        <is>
          <t>0102</t>
        </is>
      </c>
      <c r="B215" s="11" t="inlineStr">
        <is>
          <t>Blacksmith 1st class</t>
        </is>
      </c>
      <c r="C215" s="22" t="inlineStr">
        <is>
          <t>day</t>
        </is>
      </c>
      <c r="D215" s="23" t="n">
        <v>1.2</v>
      </c>
      <c r="E215" s="24" t="n">
        <v>738</v>
      </c>
      <c r="F215" s="24">
        <f>D215*E215</f>
        <v/>
      </c>
      <c r="G215" s="22" t="n"/>
    </row>
    <row r="216">
      <c r="A216" s="22" t="inlineStr">
        <is>
          <t>0103</t>
        </is>
      </c>
      <c r="B216" s="11" t="inlineStr">
        <is>
          <t>Blacksmith 2nd class</t>
        </is>
      </c>
      <c r="C216" s="22" t="inlineStr">
        <is>
          <t>day</t>
        </is>
      </c>
      <c r="D216" s="23" t="n">
        <v>0.8</v>
      </c>
      <c r="E216" s="24" t="n">
        <v>679</v>
      </c>
      <c r="F216" s="24">
        <f>D216*E216</f>
        <v/>
      </c>
      <c r="G216" s="22" t="n"/>
    </row>
    <row r="217">
      <c r="A217" s="22" t="inlineStr">
        <is>
          <t>0114</t>
        </is>
      </c>
      <c r="B217" s="11" t="inlineStr">
        <is>
          <t>Beldar</t>
        </is>
      </c>
      <c r="C217" s="22" t="inlineStr">
        <is>
          <t>day</t>
        </is>
      </c>
      <c r="D217" s="23" t="n">
        <v>2.4</v>
      </c>
      <c r="E217" s="24" t="n">
        <v>558</v>
      </c>
      <c r="F217" s="24">
        <f>D217*E217</f>
        <v/>
      </c>
      <c r="G217" s="22" t="n"/>
    </row>
    <row r="218">
      <c r="A218" s="8" t="inlineStr">
        <is>
          <t>Calculated W - SUM of the Amount column above</t>
        </is>
      </c>
      <c r="B218" s="9" t="n"/>
      <c r="C218" s="9" t="n"/>
      <c r="D218" s="9" t="n"/>
      <c r="E218" s="9" t="n"/>
      <c r="F218" s="25">
        <f>SUM(F207:F217)</f>
        <v/>
      </c>
      <c r="G218" s="9" t="n"/>
    </row>
    <row r="219">
      <c r="A219" s="26" t="inlineStr">
        <is>
          <t>W as printed in the DAR</t>
        </is>
      </c>
      <c r="B219" s="22" t="n"/>
      <c r="C219" s="22" t="n"/>
      <c r="D219" s="22" t="n"/>
      <c r="E219" s="22" t="n"/>
      <c r="F219" s="27" t="n">
        <v>9232.57</v>
      </c>
      <c r="G219" s="22" t="n"/>
    </row>
    <row r="220">
      <c r="A220" s="26" t="inlineStr">
        <is>
          <t>Difference (calculated - printed)</t>
        </is>
      </c>
      <c r="B220" s="22" t="n"/>
      <c r="C220" s="22" t="n"/>
      <c r="D220" s="22" t="n"/>
      <c r="E220" s="22" t="n"/>
      <c r="F220" s="27">
        <f>F218-F219</f>
        <v/>
      </c>
      <c r="G220" s="22" t="n"/>
    </row>
    <row r="221">
      <c r="A221" s="29" t="inlineStr">
        <is>
          <t>SAY (Rs.) - final DAR rate as printed (fixed value, not computed)</t>
        </is>
      </c>
      <c r="B221" s="30" t="n"/>
      <c r="C221" s="30" t="n"/>
      <c r="D221" s="30" t="n"/>
      <c r="E221" s="30" t="n"/>
      <c r="F221" s="31" t="n">
        <v>1324.7</v>
      </c>
      <c r="G221" s="30" t="n"/>
    </row>
    <row r="223" ht="33" customHeight="1">
      <c r="A223" s="8" t="inlineStr">
        <is>
          <t>12.6</t>
        </is>
      </c>
      <c r="B223" s="17" t="inlineStr">
        <is>
          <t>Providing and fixing of 40 cm overall width plain G.S. sheet fixed with polymer coated J or L hooks, bolts and nuts, G.l. limpet and bitumen washer complete, bent to shape and fixed in wall with cement mortar 1:3 (1 cement : 3 coarse sand).</t>
        </is>
      </c>
      <c r="C223" s="9" t="n"/>
      <c r="D223" s="9" t="n"/>
      <c r="E223" s="9" t="n"/>
      <c r="F223" s="9" t="n"/>
      <c r="G223" s="9" t="n"/>
    </row>
    <row r="224" ht="18.5" customHeight="1">
      <c r="A224" s="18" t="inlineStr">
        <is>
          <t>12.6.1</t>
        </is>
      </c>
      <c r="B224" s="19" t="inlineStr">
        <is>
          <t>1.00 mm thick with zinc coating not less than 275 gm/m²</t>
        </is>
      </c>
      <c r="C224" s="20" t="n"/>
      <c r="D224" s="20" t="n"/>
      <c r="E224" s="20" t="n"/>
      <c r="F224" s="20" t="n"/>
      <c r="G224" s="20" t="n"/>
    </row>
    <row r="225">
      <c r="A225" s="21" t="inlineStr">
        <is>
          <t>Details of cost for 12.125 metres   |   Source: CivilDAR_2019_Vol_1.pdf, page 824</t>
        </is>
      </c>
    </row>
    <row r="226">
      <c r="A226" s="5" t="inlineStr">
        <is>
          <t>Code</t>
        </is>
      </c>
      <c r="B226" s="5" t="inlineStr">
        <is>
          <t>Description</t>
        </is>
      </c>
      <c r="C226" s="5" t="inlineStr">
        <is>
          <t>Unit</t>
        </is>
      </c>
      <c r="D226" s="5" t="inlineStr">
        <is>
          <t>Quantity</t>
        </is>
      </c>
      <c r="E226" s="5" t="inlineStr">
        <is>
          <t>Rate (Rs.)</t>
        </is>
      </c>
      <c r="F226" s="5" t="inlineStr">
        <is>
          <t>Amount (Rs.)</t>
        </is>
      </c>
      <c r="G226" s="5" t="inlineStr">
        <is>
          <t>Note</t>
        </is>
      </c>
    </row>
    <row r="227">
      <c r="A227" s="22" t="inlineStr">
        <is>
          <t>0992</t>
        </is>
      </c>
      <c r="B227" s="11" t="inlineStr">
        <is>
          <t>Galvanised steel plain sheets</t>
        </is>
      </c>
      <c r="C227" s="22" t="inlineStr">
        <is>
          <t>quintal</t>
        </is>
      </c>
      <c r="D227" s="23" t="n">
        <v>0.4211</v>
      </c>
      <c r="E227" s="24" t="n">
        <v>5000</v>
      </c>
      <c r="F227" s="24">
        <f>D227*E227</f>
        <v/>
      </c>
      <c r="G227" s="22" t="n"/>
    </row>
    <row r="228">
      <c r="A228" s="22" t="inlineStr">
        <is>
          <t>2302</t>
        </is>
      </c>
      <c r="B228" s="11" t="inlineStr">
        <is>
          <t>Carriage of G.I. sheet and accessories</t>
        </is>
      </c>
      <c r="C228" s="22" t="inlineStr">
        <is>
          <t>tonne</t>
        </is>
      </c>
      <c r="D228" s="23" t="n">
        <v>0.041</v>
      </c>
      <c r="E228" s="24" t="n">
        <v>92.23999999999999</v>
      </c>
      <c r="F228" s="24">
        <f>D228*E228</f>
        <v/>
      </c>
      <c r="G228" s="22" t="n"/>
    </row>
    <row r="229">
      <c r="A229" s="22" t="inlineStr">
        <is>
          <t>0222</t>
        </is>
      </c>
      <c r="B229" s="11" t="inlineStr">
        <is>
          <t>Seam bolts and nuts 6 mm dia and 25 mm long</t>
        </is>
      </c>
      <c r="C229" s="22" t="inlineStr">
        <is>
          <t>10 Nos</t>
        </is>
      </c>
      <c r="D229" s="23" t="n">
        <v>0.6</v>
      </c>
      <c r="E229" s="24" t="n">
        <v>10</v>
      </c>
      <c r="F229" s="24">
        <f>D229*E229</f>
        <v/>
      </c>
      <c r="G229" s="22" t="n"/>
    </row>
    <row r="230">
      <c r="A230" s="22" t="inlineStr">
        <is>
          <t>1207</t>
        </is>
      </c>
      <c r="B230" s="11" t="inlineStr">
        <is>
          <t>G.I. Limpet washer</t>
        </is>
      </c>
      <c r="C230" s="22" t="inlineStr">
        <is>
          <t>100 Nos</t>
        </is>
      </c>
      <c r="D230" s="23" t="n">
        <v>0.06</v>
      </c>
      <c r="E230" s="24" t="n">
        <v>21</v>
      </c>
      <c r="F230" s="24">
        <f>D230*E230</f>
        <v/>
      </c>
      <c r="G230" s="22" t="n"/>
    </row>
    <row r="231">
      <c r="A231" s="22" t="inlineStr">
        <is>
          <t>1208</t>
        </is>
      </c>
      <c r="B231" s="11" t="inlineStr">
        <is>
          <t>Bitumen washer</t>
        </is>
      </c>
      <c r="C231" s="22" t="inlineStr">
        <is>
          <t>100 Nos</t>
        </is>
      </c>
      <c r="D231" s="23" t="n">
        <v>0.06</v>
      </c>
      <c r="E231" s="24" t="n">
        <v>30</v>
      </c>
      <c r="F231" s="24">
        <f>D231*E231</f>
        <v/>
      </c>
      <c r="G231" s="22" t="n"/>
    </row>
    <row r="232">
      <c r="A232" s="22" t="inlineStr">
        <is>
          <t>9977</t>
        </is>
      </c>
      <c r="B232" s="11" t="inlineStr">
        <is>
          <t>Carriage of G.I. seam bolts and washers</t>
        </is>
      </c>
      <c r="C232" s="22" t="inlineStr">
        <is>
          <t>L.S.</t>
        </is>
      </c>
      <c r="D232" s="23" t="n">
        <v>0.39</v>
      </c>
      <c r="E232" s="24" t="n">
        <v>2</v>
      </c>
      <c r="F232" s="24">
        <f>D232*E232</f>
        <v/>
      </c>
      <c r="G232" s="22" t="n"/>
    </row>
    <row r="233">
      <c r="A233" s="22" t="inlineStr">
        <is>
          <t>9999</t>
        </is>
      </c>
      <c r="B233" s="11" t="inlineStr">
        <is>
          <t>Sundries</t>
        </is>
      </c>
      <c r="C233" s="22" t="inlineStr">
        <is>
          <t>L.S.</t>
        </is>
      </c>
      <c r="D233" s="23" t="n">
        <v>10.79</v>
      </c>
      <c r="E233" s="24" t="n">
        <v>2</v>
      </c>
      <c r="F233" s="24">
        <f>D233*E233</f>
        <v/>
      </c>
      <c r="G233" s="22" t="n"/>
    </row>
    <row r="234">
      <c r="A234" s="22" t="inlineStr">
        <is>
          <t>0130</t>
        </is>
      </c>
      <c r="B234" s="11" t="inlineStr">
        <is>
          <t>Mistry</t>
        </is>
      </c>
      <c r="C234" s="22" t="inlineStr">
        <is>
          <t>day</t>
        </is>
      </c>
      <c r="D234" s="23" t="n">
        <v>0.5</v>
      </c>
      <c r="E234" s="24" t="n">
        <v>738</v>
      </c>
      <c r="F234" s="24">
        <f>D234*E234</f>
        <v/>
      </c>
      <c r="G234" s="22" t="n"/>
    </row>
    <row r="235">
      <c r="A235" s="22" t="inlineStr">
        <is>
          <t>0102</t>
        </is>
      </c>
      <c r="B235" s="11" t="inlineStr">
        <is>
          <t>Blacksmith 1st class</t>
        </is>
      </c>
      <c r="C235" s="22" t="inlineStr">
        <is>
          <t>day</t>
        </is>
      </c>
      <c r="D235" s="23" t="n">
        <v>1.48</v>
      </c>
      <c r="E235" s="24" t="n">
        <v>738</v>
      </c>
      <c r="F235" s="24">
        <f>D235*E235</f>
        <v/>
      </c>
      <c r="G235" s="22" t="n"/>
    </row>
    <row r="236">
      <c r="A236" s="22" t="inlineStr">
        <is>
          <t>0103</t>
        </is>
      </c>
      <c r="B236" s="11" t="inlineStr">
        <is>
          <t>Blacksmith 2nd class</t>
        </is>
      </c>
      <c r="C236" s="22" t="inlineStr">
        <is>
          <t>day</t>
        </is>
      </c>
      <c r="D236" s="23" t="n">
        <v>1</v>
      </c>
      <c r="E236" s="24" t="n">
        <v>679</v>
      </c>
      <c r="F236" s="24">
        <f>D236*E236</f>
        <v/>
      </c>
      <c r="G236" s="22" t="n"/>
    </row>
    <row r="237">
      <c r="A237" s="22" t="inlineStr">
        <is>
          <t>0114</t>
        </is>
      </c>
      <c r="B237" s="11" t="inlineStr">
        <is>
          <t>Beldar</t>
        </is>
      </c>
      <c r="C237" s="22" t="inlineStr">
        <is>
          <t>day</t>
        </is>
      </c>
      <c r="D237" s="23" t="n">
        <v>3</v>
      </c>
      <c r="E237" s="24" t="n">
        <v>558</v>
      </c>
      <c r="F237" s="24">
        <f>D237*E237</f>
        <v/>
      </c>
      <c r="G237" s="22" t="n"/>
    </row>
    <row r="238">
      <c r="A238" s="8" t="inlineStr">
        <is>
          <t>Calculated W - SUM of the Amount column above</t>
        </is>
      </c>
      <c r="B238" s="9" t="n"/>
      <c r="C238" s="9" t="n"/>
      <c r="D238" s="9" t="n"/>
      <c r="E238" s="9" t="n"/>
      <c r="F238" s="25">
        <f>SUM(F227:F237)</f>
        <v/>
      </c>
      <c r="G238" s="9" t="n"/>
    </row>
    <row r="239">
      <c r="A239" s="26" t="inlineStr">
        <is>
          <t>W as printed in the DAR</t>
        </is>
      </c>
      <c r="B239" s="22" t="n"/>
      <c r="C239" s="22" t="n"/>
      <c r="D239" s="22" t="n"/>
      <c r="E239" s="22" t="n"/>
      <c r="F239" s="27" t="n">
        <v>5954.94</v>
      </c>
      <c r="G239" s="22" t="n"/>
    </row>
    <row r="240">
      <c r="A240" s="26" t="inlineStr">
        <is>
          <t>Difference (calculated - printed)</t>
        </is>
      </c>
      <c r="B240" s="22" t="n"/>
      <c r="C240" s="22" t="n"/>
      <c r="D240" s="22" t="n"/>
      <c r="E240" s="22" t="n"/>
      <c r="F240" s="27">
        <f>F238-F239</f>
        <v/>
      </c>
      <c r="G240" s="22" t="n"/>
    </row>
    <row r="241">
      <c r="A241" s="29" t="inlineStr">
        <is>
          <t>SAY (Rs.) - final DAR rate as printed (fixed value, not computed)</t>
        </is>
      </c>
      <c r="B241" s="30" t="n"/>
      <c r="C241" s="30" t="n"/>
      <c r="D241" s="30" t="n"/>
      <c r="E241" s="30" t="n"/>
      <c r="F241" s="31" t="n">
        <v>657.1</v>
      </c>
      <c r="G241" s="30" t="n"/>
    </row>
    <row r="243" ht="33" customHeight="1">
      <c r="A243" s="8" t="inlineStr">
        <is>
          <t>12.7</t>
        </is>
      </c>
      <c r="B243" s="17" t="inlineStr">
        <is>
          <t>Providing and fixing 15 cm wide, 45 cm overall semi-circular plain G.S. sheet gutter with iron brackets 40x3mm size, bolts, nuts and washers etc., including making necessary connections with rain water pipes complete.</t>
        </is>
      </c>
      <c r="C243" s="9" t="n"/>
      <c r="D243" s="9" t="n"/>
      <c r="E243" s="9" t="n"/>
      <c r="F243" s="9" t="n"/>
      <c r="G243" s="9" t="n"/>
    </row>
    <row r="244" ht="18.5" customHeight="1">
      <c r="A244" s="18" t="inlineStr">
        <is>
          <t>12.7.1</t>
        </is>
      </c>
      <c r="B244" s="19" t="inlineStr">
        <is>
          <t>0.80 mm thick with zinc coating not less than 275 gm/m²</t>
        </is>
      </c>
      <c r="C244" s="20" t="n"/>
      <c r="D244" s="20" t="n"/>
      <c r="E244" s="20" t="n"/>
      <c r="F244" s="20" t="n"/>
      <c r="G244" s="20" t="n"/>
    </row>
    <row r="245">
      <c r="A245" s="21" t="inlineStr">
        <is>
          <t>Details of cost for 9.04 metres   |   Source: CivilDAR_2019_Vol_1.pdf, page 825</t>
        </is>
      </c>
    </row>
    <row r="246">
      <c r="A246" s="5" t="inlineStr">
        <is>
          <t>Code</t>
        </is>
      </c>
      <c r="B246" s="5" t="inlineStr">
        <is>
          <t>Description</t>
        </is>
      </c>
      <c r="C246" s="5" t="inlineStr">
        <is>
          <t>Unit</t>
        </is>
      </c>
      <c r="D246" s="5" t="inlineStr">
        <is>
          <t>Quantity</t>
        </is>
      </c>
      <c r="E246" s="5" t="inlineStr">
        <is>
          <t>Rate (Rs.)</t>
        </is>
      </c>
      <c r="F246" s="5" t="inlineStr">
        <is>
          <t>Amount (Rs.)</t>
        </is>
      </c>
      <c r="G246" s="5" t="inlineStr">
        <is>
          <t>Note</t>
        </is>
      </c>
    </row>
    <row r="247">
      <c r="A247" s="22" t="inlineStr">
        <is>
          <t>0992</t>
        </is>
      </c>
      <c r="B247" s="11" t="inlineStr">
        <is>
          <t>Galvanised steel plain sheets</t>
        </is>
      </c>
      <c r="C247" s="22" t="inlineStr">
        <is>
          <t>quintal</t>
        </is>
      </c>
      <c r="D247" s="23" t="n">
        <v>0.3164</v>
      </c>
      <c r="E247" s="24" t="n">
        <v>5000</v>
      </c>
      <c r="F247" s="24">
        <f>D247*E247</f>
        <v/>
      </c>
      <c r="G247" s="22" t="n"/>
    </row>
    <row r="248">
      <c r="A248" s="22" t="inlineStr">
        <is>
          <t>2302</t>
        </is>
      </c>
      <c r="B248" s="11" t="inlineStr">
        <is>
          <t>Carriage of G.I. sheet and accessories</t>
        </is>
      </c>
      <c r="C248" s="22" t="inlineStr">
        <is>
          <t>tonne</t>
        </is>
      </c>
      <c r="D248" s="23" t="n">
        <v>0.0316</v>
      </c>
      <c r="E248" s="24" t="n">
        <v>92.23999999999999</v>
      </c>
      <c r="F248" s="24">
        <f>D248*E248</f>
        <v/>
      </c>
      <c r="G248" s="22" t="n"/>
    </row>
    <row r="249">
      <c r="A249" s="22" t="inlineStr">
        <is>
          <t>1008</t>
        </is>
      </c>
      <c r="B249" s="11" t="inlineStr">
        <is>
          <t>Flats upto 10 mm in thickness</t>
        </is>
      </c>
      <c r="C249" s="22" t="inlineStr">
        <is>
          <t>quintal</t>
        </is>
      </c>
      <c r="D249" s="23" t="n">
        <v>0.07489999999999999</v>
      </c>
      <c r="E249" s="24" t="n">
        <v>4500</v>
      </c>
      <c r="F249" s="24">
        <f>D249*E249</f>
        <v/>
      </c>
      <c r="G249" s="22" t="n"/>
    </row>
    <row r="250">
      <c r="A250" s="22" t="inlineStr">
        <is>
          <t>1022</t>
        </is>
      </c>
      <c r="B250" s="11" t="inlineStr">
        <is>
          <t>Galvanised steel bolts &amp; nuts 6 mm dia and 25 mmlong round head with slots</t>
        </is>
      </c>
      <c r="C250" s="22" t="inlineStr">
        <is>
          <t>10 Nos</t>
        </is>
      </c>
      <c r="D250" s="23" t="n">
        <v>2</v>
      </c>
      <c r="E250" s="24" t="n">
        <v>38</v>
      </c>
      <c r="F250" s="24">
        <f>D250*E250</f>
        <v/>
      </c>
      <c r="G250" s="22" t="n"/>
    </row>
    <row r="251">
      <c r="A251" s="22" t="inlineStr">
        <is>
          <t>1024</t>
        </is>
      </c>
      <c r="B251" s="11" t="inlineStr">
        <is>
          <t>Galvanised steel bolts &amp; nuts 10 mm dia and 125 mm long round head with slots</t>
        </is>
      </c>
      <c r="C251" s="22" t="inlineStr">
        <is>
          <t>each</t>
        </is>
      </c>
      <c r="D251" s="23" t="n">
        <v>30</v>
      </c>
      <c r="E251" s="24" t="n">
        <v>9</v>
      </c>
      <c r="F251" s="24">
        <f>D251*E251</f>
        <v/>
      </c>
      <c r="G251" s="22" t="n"/>
    </row>
    <row r="252">
      <c r="A252" s="22" t="inlineStr">
        <is>
          <t>1210</t>
        </is>
      </c>
      <c r="B252" s="11" t="inlineStr">
        <is>
          <t>G.I. plain washer thin</t>
        </is>
      </c>
      <c r="C252" s="22" t="inlineStr">
        <is>
          <t>100 Nos</t>
        </is>
      </c>
      <c r="D252" s="23" t="n">
        <v>0.7</v>
      </c>
      <c r="E252" s="24" t="n">
        <v>21</v>
      </c>
      <c r="F252" s="24">
        <f>D252*E252</f>
        <v/>
      </c>
      <c r="G252" s="22" t="n"/>
    </row>
    <row r="253">
      <c r="A253" s="22" t="inlineStr">
        <is>
          <t>1208</t>
        </is>
      </c>
      <c r="B253" s="11" t="inlineStr">
        <is>
          <t>Bitumen washer</t>
        </is>
      </c>
      <c r="C253" s="22" t="inlineStr">
        <is>
          <t>100 Nos</t>
        </is>
      </c>
      <c r="D253" s="23" t="n">
        <v>0.4</v>
      </c>
      <c r="E253" s="24" t="n">
        <v>30</v>
      </c>
      <c r="F253" s="24">
        <f>D253*E253</f>
        <v/>
      </c>
      <c r="G253" s="22" t="n"/>
    </row>
    <row r="254">
      <c r="A254" s="22" t="inlineStr">
        <is>
          <t>9977</t>
        </is>
      </c>
      <c r="B254" s="11" t="inlineStr">
        <is>
          <t>Carriage of G.I. seam bolts and washers</t>
        </is>
      </c>
      <c r="C254" s="22" t="inlineStr">
        <is>
          <t>L.S.</t>
        </is>
      </c>
      <c r="D254" s="23" t="n">
        <v>2.73</v>
      </c>
      <c r="E254" s="24" t="n">
        <v>2</v>
      </c>
      <c r="F254" s="24">
        <f>D254*E254</f>
        <v/>
      </c>
      <c r="G254" s="22" t="n"/>
    </row>
    <row r="255">
      <c r="A255" s="22" t="inlineStr">
        <is>
          <t>9999</t>
        </is>
      </c>
      <c r="B255" s="11" t="inlineStr">
        <is>
          <t>Sundries</t>
        </is>
      </c>
      <c r="C255" s="22" t="inlineStr">
        <is>
          <t>L.S.</t>
        </is>
      </c>
      <c r="D255" s="23" t="n">
        <v>5.33</v>
      </c>
      <c r="E255" s="24" t="n">
        <v>2</v>
      </c>
      <c r="F255" s="24">
        <f>D255*E255</f>
        <v/>
      </c>
      <c r="G255" s="22" t="n"/>
    </row>
    <row r="256">
      <c r="A256" s="22" t="inlineStr">
        <is>
          <t>0102</t>
        </is>
      </c>
      <c r="B256" s="11" t="inlineStr">
        <is>
          <t>Blacksmith 1st class</t>
        </is>
      </c>
      <c r="C256" s="22" t="inlineStr">
        <is>
          <t>day</t>
        </is>
      </c>
      <c r="D256" s="23" t="n">
        <v>0.5</v>
      </c>
      <c r="E256" s="24" t="n">
        <v>738</v>
      </c>
      <c r="F256" s="24">
        <f>D256*E256</f>
        <v/>
      </c>
      <c r="G256" s="22" t="n"/>
    </row>
    <row r="257">
      <c r="A257" s="22" t="inlineStr">
        <is>
          <t>0114</t>
        </is>
      </c>
      <c r="B257" s="11" t="inlineStr">
        <is>
          <t>Beldar</t>
        </is>
      </c>
      <c r="C257" s="22" t="inlineStr">
        <is>
          <t>day</t>
        </is>
      </c>
      <c r="D257" s="23" t="n">
        <v>0.5</v>
      </c>
      <c r="E257" s="24" t="n">
        <v>558</v>
      </c>
      <c r="F257" s="24">
        <f>D257*E257</f>
        <v/>
      </c>
      <c r="G257" s="22" t="n"/>
    </row>
    <row r="258">
      <c r="A258" s="22" t="inlineStr">
        <is>
          <t>9999</t>
        </is>
      </c>
      <c r="B258" s="11" t="inlineStr">
        <is>
          <t>Sundries</t>
        </is>
      </c>
      <c r="C258" s="22" t="inlineStr">
        <is>
          <t>L.S.</t>
        </is>
      </c>
      <c r="D258" s="23" t="n">
        <v>12.61</v>
      </c>
      <c r="E258" s="24" t="n">
        <v>2</v>
      </c>
      <c r="F258" s="24">
        <f>D258*E258</f>
        <v/>
      </c>
      <c r="G258" s="22" t="n"/>
    </row>
    <row r="259">
      <c r="A259" s="22" t="inlineStr">
        <is>
          <t>0130</t>
        </is>
      </c>
      <c r="B259" s="11" t="inlineStr">
        <is>
          <t>Mistry</t>
        </is>
      </c>
      <c r="C259" s="22" t="inlineStr">
        <is>
          <t>day</t>
        </is>
      </c>
      <c r="D259" s="23" t="n">
        <v>0.28</v>
      </c>
      <c r="E259" s="24" t="n">
        <v>738</v>
      </c>
      <c r="F259" s="24">
        <f>D259*E259</f>
        <v/>
      </c>
      <c r="G259" s="22" t="n"/>
    </row>
    <row r="260">
      <c r="A260" s="22" t="inlineStr">
        <is>
          <t>0102</t>
        </is>
      </c>
      <c r="B260" s="11" t="inlineStr">
        <is>
          <t>Blacksmith 1st class</t>
        </is>
      </c>
      <c r="C260" s="22" t="inlineStr">
        <is>
          <t>day</t>
        </is>
      </c>
      <c r="D260" s="23" t="n">
        <v>0.84</v>
      </c>
      <c r="E260" s="24" t="n">
        <v>738</v>
      </c>
      <c r="F260" s="24">
        <f>D260*E260</f>
        <v/>
      </c>
      <c r="G260" s="22" t="n"/>
    </row>
    <row r="261">
      <c r="A261" s="22" t="inlineStr">
        <is>
          <t>0112</t>
        </is>
      </c>
      <c r="B261" s="11" t="inlineStr">
        <is>
          <t>Carpenter 2nd class</t>
        </is>
      </c>
      <c r="C261" s="22" t="inlineStr">
        <is>
          <t>day</t>
        </is>
      </c>
      <c r="D261" s="23" t="n">
        <v>0.62</v>
      </c>
      <c r="E261" s="24" t="n">
        <v>679</v>
      </c>
      <c r="F261" s="24">
        <f>D261*E261</f>
        <v/>
      </c>
      <c r="G261" s="22" t="n"/>
    </row>
    <row r="262">
      <c r="A262" s="22" t="inlineStr">
        <is>
          <t>0114</t>
        </is>
      </c>
      <c r="B262" s="11" t="inlineStr">
        <is>
          <t>Beldar</t>
        </is>
      </c>
      <c r="C262" s="22" t="inlineStr">
        <is>
          <t>day</t>
        </is>
      </c>
      <c r="D262" s="23" t="n">
        <v>1.68</v>
      </c>
      <c r="E262" s="24" t="n">
        <v>558</v>
      </c>
      <c r="F262" s="24">
        <f>D262*E262</f>
        <v/>
      </c>
      <c r="G262" s="22" t="n"/>
    </row>
    <row r="263">
      <c r="A263" s="8" t="inlineStr">
        <is>
          <t>Calculated W - SUM of the Amount column above</t>
        </is>
      </c>
      <c r="B263" s="9" t="n"/>
      <c r="C263" s="9" t="n"/>
      <c r="D263" s="9" t="n"/>
      <c r="E263" s="9" t="n"/>
      <c r="F263" s="25">
        <f>SUM(F247:F262)</f>
        <v/>
      </c>
      <c r="G263" s="9" t="n"/>
    </row>
    <row r="264">
      <c r="A264" s="26" t="inlineStr">
        <is>
          <t>W as printed in the DAR</t>
        </is>
      </c>
      <c r="B264" s="22" t="n"/>
      <c r="C264" s="22" t="n"/>
      <c r="D264" s="22" t="n"/>
      <c r="E264" s="22" t="n"/>
      <c r="F264" s="27" t="n">
        <v>5168.98</v>
      </c>
      <c r="G264" s="22" t="n"/>
    </row>
    <row r="265">
      <c r="A265" s="26" t="inlineStr">
        <is>
          <t>Difference (calculated - printed)</t>
        </is>
      </c>
      <c r="B265" s="22" t="n"/>
      <c r="C265" s="22" t="n"/>
      <c r="D265" s="22" t="n"/>
      <c r="E265" s="22" t="n"/>
      <c r="F265" s="27">
        <f>F263-F264</f>
        <v/>
      </c>
      <c r="G265" s="22" t="n"/>
    </row>
    <row r="266">
      <c r="A266" s="29" t="inlineStr">
        <is>
          <t>SAY (Rs.) - final DAR rate as printed (fixed value, not computed)</t>
        </is>
      </c>
      <c r="B266" s="30" t="n"/>
      <c r="C266" s="30" t="n"/>
      <c r="D266" s="30" t="n"/>
      <c r="E266" s="30" t="n"/>
      <c r="F266" s="31" t="n">
        <v>765</v>
      </c>
      <c r="G266" s="30" t="n"/>
    </row>
    <row r="268" ht="33" customHeight="1">
      <c r="A268" s="8" t="inlineStr">
        <is>
          <t>12.7</t>
        </is>
      </c>
      <c r="B268" s="17" t="inlineStr">
        <is>
          <t>Providing and fixing 15 cm wide, 45 cm overall semi-circular plain G.S. sheet gutter with iron brackets 40x3mm size, bolts, nuts and washers etc., including making necessary connections with rain water pipes complete.</t>
        </is>
      </c>
      <c r="C268" s="9" t="n"/>
      <c r="D268" s="9" t="n"/>
      <c r="E268" s="9" t="n"/>
      <c r="F268" s="9" t="n"/>
      <c r="G268" s="9" t="n"/>
    </row>
    <row r="269" ht="18.5" customHeight="1">
      <c r="A269" s="18" t="inlineStr">
        <is>
          <t>12.7.2</t>
        </is>
      </c>
      <c r="B269" s="19" t="inlineStr">
        <is>
          <t>0.63 mm thick with zinc coating not less than 275 gm/m²</t>
        </is>
      </c>
      <c r="C269" s="20" t="n"/>
      <c r="D269" s="20" t="n"/>
      <c r="E269" s="20" t="n"/>
      <c r="F269" s="20" t="n"/>
      <c r="G269" s="20" t="n"/>
    </row>
    <row r="270">
      <c r="A270" s="21" t="inlineStr">
        <is>
          <t>Details of cost for 9.04 metres   |   Source: CivilDAR_2019_Vol_1.pdf, page 826</t>
        </is>
      </c>
    </row>
    <row r="271">
      <c r="A271" s="5" t="inlineStr">
        <is>
          <t>Code</t>
        </is>
      </c>
      <c r="B271" s="5" t="inlineStr">
        <is>
          <t>Description</t>
        </is>
      </c>
      <c r="C271" s="5" t="inlineStr">
        <is>
          <t>Unit</t>
        </is>
      </c>
      <c r="D271" s="5" t="inlineStr">
        <is>
          <t>Quantity</t>
        </is>
      </c>
      <c r="E271" s="5" t="inlineStr">
        <is>
          <t>Rate (Rs.)</t>
        </is>
      </c>
      <c r="F271" s="5" t="inlineStr">
        <is>
          <t>Amount (Rs.)</t>
        </is>
      </c>
      <c r="G271" s="5" t="inlineStr">
        <is>
          <t>Note</t>
        </is>
      </c>
    </row>
    <row r="272">
      <c r="A272" s="22" t="inlineStr">
        <is>
          <t>0992</t>
        </is>
      </c>
      <c r="B272" s="11" t="inlineStr">
        <is>
          <t>Galvanised steel plain sheets</t>
        </is>
      </c>
      <c r="C272" s="22" t="inlineStr">
        <is>
          <t>quintal</t>
        </is>
      </c>
      <c r="D272" s="23" t="n">
        <v>0.2364</v>
      </c>
      <c r="E272" s="24" t="n">
        <v>5000</v>
      </c>
      <c r="F272" s="24">
        <f>D272*E272</f>
        <v/>
      </c>
      <c r="G272" s="22" t="n"/>
    </row>
    <row r="273">
      <c r="A273" s="22" t="inlineStr">
        <is>
          <t>2302</t>
        </is>
      </c>
      <c r="B273" s="11" t="inlineStr">
        <is>
          <t>Carriage of G.I. sheet and accessories</t>
        </is>
      </c>
      <c r="C273" s="22" t="inlineStr">
        <is>
          <t>tonne</t>
        </is>
      </c>
      <c r="D273" s="23" t="n">
        <v>0.0236</v>
      </c>
      <c r="E273" s="24" t="n">
        <v>92.23999999999999</v>
      </c>
      <c r="F273" s="24">
        <f>D273*E273</f>
        <v/>
      </c>
      <c r="G273" s="22" t="n"/>
    </row>
    <row r="274">
      <c r="A274" s="22" t="inlineStr">
        <is>
          <t>1008</t>
        </is>
      </c>
      <c r="B274" s="11" t="inlineStr">
        <is>
          <t>Flats upto 10 mm in thickness</t>
        </is>
      </c>
      <c r="C274" s="22" t="inlineStr">
        <is>
          <t>quintal</t>
        </is>
      </c>
      <c r="D274" s="23" t="n">
        <v>0.07489999999999999</v>
      </c>
      <c r="E274" s="24" t="n">
        <v>4500</v>
      </c>
      <c r="F274" s="24">
        <f>D274*E274</f>
        <v/>
      </c>
      <c r="G274" s="22" t="n"/>
    </row>
    <row r="275">
      <c r="A275" s="22" t="inlineStr">
        <is>
          <t>1022</t>
        </is>
      </c>
      <c r="B275" s="11" t="inlineStr">
        <is>
          <t>Galvanised steel bolts &amp; nuts 6 mm dia and 25 mmlong round head with slots</t>
        </is>
      </c>
      <c r="C275" s="22" t="inlineStr">
        <is>
          <t>10 Nos</t>
        </is>
      </c>
      <c r="D275" s="23" t="n">
        <v>2</v>
      </c>
      <c r="E275" s="24" t="n">
        <v>38</v>
      </c>
      <c r="F275" s="24">
        <f>D275*E275</f>
        <v/>
      </c>
      <c r="G275" s="22" t="n"/>
    </row>
    <row r="276">
      <c r="A276" s="22" t="inlineStr">
        <is>
          <t>1024</t>
        </is>
      </c>
      <c r="B276" s="11" t="inlineStr">
        <is>
          <t>Galvanised steel bolts &amp; nuts 10 mm dia and 125 mm long round head with slots</t>
        </is>
      </c>
      <c r="C276" s="22" t="inlineStr">
        <is>
          <t>each</t>
        </is>
      </c>
      <c r="D276" s="23" t="n">
        <v>30</v>
      </c>
      <c r="E276" s="24" t="n">
        <v>9</v>
      </c>
      <c r="F276" s="24">
        <f>D276*E276</f>
        <v/>
      </c>
      <c r="G276" s="22" t="n"/>
    </row>
    <row r="277">
      <c r="A277" s="22" t="inlineStr">
        <is>
          <t>1210</t>
        </is>
      </c>
      <c r="B277" s="11" t="inlineStr">
        <is>
          <t>G.I. plain washer thin</t>
        </is>
      </c>
      <c r="C277" s="22" t="inlineStr">
        <is>
          <t>100 Nos</t>
        </is>
      </c>
      <c r="D277" s="23" t="n">
        <v>0.7</v>
      </c>
      <c r="E277" s="24" t="n">
        <v>21</v>
      </c>
      <c r="F277" s="24">
        <f>D277*E277</f>
        <v/>
      </c>
      <c r="G277" s="22" t="n"/>
    </row>
    <row r="278">
      <c r="A278" s="22" t="inlineStr">
        <is>
          <t>1208</t>
        </is>
      </c>
      <c r="B278" s="11" t="inlineStr">
        <is>
          <t>Bitumen washer</t>
        </is>
      </c>
      <c r="C278" s="22" t="inlineStr">
        <is>
          <t>100 Nos</t>
        </is>
      </c>
      <c r="D278" s="23" t="n">
        <v>0.4</v>
      </c>
      <c r="E278" s="24" t="n">
        <v>30</v>
      </c>
      <c r="F278" s="24">
        <f>D278*E278</f>
        <v/>
      </c>
      <c r="G278" s="22" t="n"/>
    </row>
    <row r="279">
      <c r="A279" s="22" t="inlineStr">
        <is>
          <t>9977</t>
        </is>
      </c>
      <c r="B279" s="11" t="inlineStr">
        <is>
          <t>Carriage of G.I. seam bolts and washers</t>
        </is>
      </c>
      <c r="C279" s="22" t="inlineStr">
        <is>
          <t>L.S.</t>
        </is>
      </c>
      <c r="D279" s="23" t="n">
        <v>2.73</v>
      </c>
      <c r="E279" s="24" t="n">
        <v>2</v>
      </c>
      <c r="F279" s="24">
        <f>D279*E279</f>
        <v/>
      </c>
      <c r="G279" s="22" t="n"/>
    </row>
    <row r="280">
      <c r="A280" s="22" t="inlineStr">
        <is>
          <t>9999</t>
        </is>
      </c>
      <c r="B280" s="11" t="inlineStr">
        <is>
          <t>Sundries</t>
        </is>
      </c>
      <c r="C280" s="22" t="inlineStr">
        <is>
          <t>L.S.</t>
        </is>
      </c>
      <c r="D280" s="23" t="n">
        <v>5.33</v>
      </c>
      <c r="E280" s="24" t="n">
        <v>2</v>
      </c>
      <c r="F280" s="24">
        <f>D280*E280</f>
        <v/>
      </c>
      <c r="G280" s="22" t="n"/>
    </row>
    <row r="281">
      <c r="A281" s="22" t="inlineStr">
        <is>
          <t>0102</t>
        </is>
      </c>
      <c r="B281" s="11" t="inlineStr">
        <is>
          <t>Blacksmith 1st class</t>
        </is>
      </c>
      <c r="C281" s="22" t="inlineStr">
        <is>
          <t>day</t>
        </is>
      </c>
      <c r="D281" s="23" t="n">
        <v>0.5</v>
      </c>
      <c r="E281" s="24" t="n">
        <v>738</v>
      </c>
      <c r="F281" s="24">
        <f>D281*E281</f>
        <v/>
      </c>
      <c r="G281" s="22" t="n"/>
    </row>
    <row r="282">
      <c r="A282" s="22" t="inlineStr">
        <is>
          <t>0114</t>
        </is>
      </c>
      <c r="B282" s="11" t="inlineStr">
        <is>
          <t>Beldar</t>
        </is>
      </c>
      <c r="C282" s="22" t="inlineStr">
        <is>
          <t>day</t>
        </is>
      </c>
      <c r="D282" s="23" t="n">
        <v>0.5</v>
      </c>
      <c r="E282" s="24" t="n">
        <v>558</v>
      </c>
      <c r="F282" s="24">
        <f>D282*E282</f>
        <v/>
      </c>
      <c r="G282" s="22" t="n"/>
    </row>
    <row r="283">
      <c r="A283" s="22" t="inlineStr">
        <is>
          <t>9999</t>
        </is>
      </c>
      <c r="B283" s="11" t="inlineStr">
        <is>
          <t>Sundries</t>
        </is>
      </c>
      <c r="C283" s="22" t="inlineStr">
        <is>
          <t>L.S.</t>
        </is>
      </c>
      <c r="D283" s="23" t="n">
        <v>12.61</v>
      </c>
      <c r="E283" s="24" t="n">
        <v>2</v>
      </c>
      <c r="F283" s="24">
        <f>D283*E283</f>
        <v/>
      </c>
      <c r="G283" s="22" t="n"/>
    </row>
    <row r="284">
      <c r="A284" s="22" t="inlineStr">
        <is>
          <t>0130</t>
        </is>
      </c>
      <c r="B284" s="11" t="inlineStr">
        <is>
          <t>Mistry</t>
        </is>
      </c>
      <c r="C284" s="22" t="inlineStr">
        <is>
          <t>day</t>
        </is>
      </c>
      <c r="D284" s="23" t="n">
        <v>0.28</v>
      </c>
      <c r="E284" s="24" t="n">
        <v>738</v>
      </c>
      <c r="F284" s="24">
        <f>D284*E284</f>
        <v/>
      </c>
      <c r="G284" s="22" t="n"/>
    </row>
    <row r="285">
      <c r="A285" s="22" t="inlineStr">
        <is>
          <t>0102</t>
        </is>
      </c>
      <c r="B285" s="11" t="inlineStr">
        <is>
          <t>Blacksmith 1st class</t>
        </is>
      </c>
      <c r="C285" s="22" t="inlineStr">
        <is>
          <t>day</t>
        </is>
      </c>
      <c r="D285" s="23" t="n">
        <v>0.84</v>
      </c>
      <c r="E285" s="24" t="n">
        <v>738</v>
      </c>
      <c r="F285" s="24">
        <f>D285*E285</f>
        <v/>
      </c>
      <c r="G285" s="22" t="n"/>
    </row>
    <row r="286">
      <c r="A286" s="22" t="inlineStr">
        <is>
          <t>0112</t>
        </is>
      </c>
      <c r="B286" s="11" t="inlineStr">
        <is>
          <t>Carpenter 2nd class</t>
        </is>
      </c>
      <c r="C286" s="22" t="inlineStr">
        <is>
          <t>day</t>
        </is>
      </c>
      <c r="D286" s="23" t="n">
        <v>0.62</v>
      </c>
      <c r="E286" s="24" t="n">
        <v>679</v>
      </c>
      <c r="F286" s="24">
        <f>D286*E286</f>
        <v/>
      </c>
      <c r="G286" s="22" t="n"/>
    </row>
    <row r="287">
      <c r="A287" s="22" t="inlineStr">
        <is>
          <t>0114</t>
        </is>
      </c>
      <c r="B287" s="11" t="inlineStr">
        <is>
          <t>Beldar</t>
        </is>
      </c>
      <c r="C287" s="22" t="inlineStr">
        <is>
          <t>day</t>
        </is>
      </c>
      <c r="D287" s="23" t="n">
        <v>1.68</v>
      </c>
      <c r="E287" s="24" t="n">
        <v>558</v>
      </c>
      <c r="F287" s="24">
        <f>D287*E287</f>
        <v/>
      </c>
      <c r="G287" s="22" t="n"/>
    </row>
    <row r="288">
      <c r="A288" s="8" t="inlineStr">
        <is>
          <t>Calculated W - SUM of the Amount column above</t>
        </is>
      </c>
      <c r="B288" s="9" t="n"/>
      <c r="C288" s="9" t="n"/>
      <c r="D288" s="9" t="n"/>
      <c r="E288" s="9" t="n"/>
      <c r="F288" s="25">
        <f>SUM(F272:F287)</f>
        <v/>
      </c>
      <c r="G288" s="9" t="n"/>
    </row>
    <row r="289">
      <c r="A289" s="26" t="inlineStr">
        <is>
          <t>W as printed in the DAR</t>
        </is>
      </c>
      <c r="B289" s="22" t="n"/>
      <c r="C289" s="22" t="n"/>
      <c r="D289" s="22" t="n"/>
      <c r="E289" s="22" t="n"/>
      <c r="F289" s="27" t="n">
        <v>4768.25</v>
      </c>
      <c r="G289" s="22" t="n"/>
    </row>
    <row r="290">
      <c r="A290" s="26" t="inlineStr">
        <is>
          <t>Difference (calculated - printed)</t>
        </is>
      </c>
      <c r="B290" s="22" t="n"/>
      <c r="C290" s="22" t="n"/>
      <c r="D290" s="22" t="n"/>
      <c r="E290" s="22" t="n"/>
      <c r="F290" s="27">
        <f>F288-F289</f>
        <v/>
      </c>
      <c r="G290" s="22" t="n"/>
    </row>
    <row r="291">
      <c r="A291" s="29" t="inlineStr">
        <is>
          <t>SAY (Rs.) - final DAR rate as printed (fixed value, not computed)</t>
        </is>
      </c>
      <c r="B291" s="30" t="n"/>
      <c r="C291" s="30" t="n"/>
      <c r="D291" s="30" t="n"/>
      <c r="E291" s="30" t="n"/>
      <c r="F291" s="31" t="n">
        <v>705.7</v>
      </c>
      <c r="G291" s="30" t="n"/>
    </row>
    <row r="293" ht="62" customHeight="1">
      <c r="A293" s="18" t="inlineStr">
        <is>
          <t>12.8</t>
        </is>
      </c>
      <c r="B293" s="19" t="inlineStr">
        <is>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is>
      </c>
      <c r="C293" s="20" t="n"/>
      <c r="D293" s="20" t="n"/>
      <c r="E293" s="20" t="n"/>
      <c r="F293" s="20" t="n"/>
      <c r="G293" s="20" t="n"/>
    </row>
    <row r="294">
      <c r="A294" s="21" t="inlineStr">
        <is>
          <t>Details of cost for 216.14 sqm   |   Source: CivilDAR_2019_Vol_1.pdf, page 827</t>
        </is>
      </c>
    </row>
    <row r="295">
      <c r="A295" s="5" t="inlineStr">
        <is>
          <t>Code</t>
        </is>
      </c>
      <c r="B295" s="5" t="inlineStr">
        <is>
          <t>Description</t>
        </is>
      </c>
      <c r="C295" s="5" t="inlineStr">
        <is>
          <t>Unit</t>
        </is>
      </c>
      <c r="D295" s="5" t="inlineStr">
        <is>
          <t>Quantity</t>
        </is>
      </c>
      <c r="E295" s="5" t="inlineStr">
        <is>
          <t>Rate (Rs.)</t>
        </is>
      </c>
      <c r="F295" s="5" t="inlineStr">
        <is>
          <t>Amount (Rs.)</t>
        </is>
      </c>
      <c r="G295" s="5" t="inlineStr">
        <is>
          <t>Note</t>
        </is>
      </c>
    </row>
    <row r="296">
      <c r="A296" s="22" t="inlineStr">
        <is>
          <t>0223</t>
        </is>
      </c>
      <c r="B296" s="11" t="inlineStr">
        <is>
          <t>Fibre reinforced by organic fibres and / or inorganic synthetic fibres cement corrugated sheet 6 mm thick</t>
        </is>
      </c>
      <c r="C296" s="22" t="inlineStr">
        <is>
          <t>sqm</t>
        </is>
      </c>
      <c r="D296" s="23" t="n">
        <v>237.93</v>
      </c>
      <c r="E296" s="24" t="n">
        <v>225</v>
      </c>
      <c r="F296" s="24">
        <f>D296*E296</f>
        <v/>
      </c>
      <c r="G296" s="22" t="n"/>
    </row>
    <row r="297">
      <c r="A297" s="22" t="inlineStr">
        <is>
          <t>2273</t>
        </is>
      </c>
      <c r="B297" s="11" t="inlineStr">
        <is>
          <t>Carriage of A.C.sheet and accessories</t>
        </is>
      </c>
      <c r="C297" s="22" t="inlineStr">
        <is>
          <t>tonne</t>
        </is>
      </c>
      <c r="D297" s="23" t="n">
        <v>3.184</v>
      </c>
      <c r="E297" s="24" t="n">
        <v>92.23999999999999</v>
      </c>
      <c r="F297" s="24">
        <f>D297*E297</f>
        <v/>
      </c>
      <c r="G297" s="22" t="n"/>
    </row>
    <row r="298">
      <c r="A298" s="22" t="inlineStr">
        <is>
          <t>1023</t>
        </is>
      </c>
      <c r="B298" s="11" t="inlineStr">
        <is>
          <t>Galvanised steel J or L hooks 8 mm dia</t>
        </is>
      </c>
      <c r="C298" s="22" t="inlineStr">
        <is>
          <t>10 Nos</t>
        </is>
      </c>
      <c r="D298" s="23" t="n">
        <v>47.6</v>
      </c>
      <c r="E298" s="24" t="n">
        <v>120</v>
      </c>
      <c r="F298" s="24">
        <f>D298*E298</f>
        <v/>
      </c>
      <c r="G298" s="22" t="n"/>
    </row>
    <row r="299">
      <c r="A299" s="22" t="inlineStr">
        <is>
          <t>1208</t>
        </is>
      </c>
      <c r="B299" s="11" t="inlineStr">
        <is>
          <t>Bitumen washer</t>
        </is>
      </c>
      <c r="C299" s="22" t="inlineStr">
        <is>
          <t>100 Nos</t>
        </is>
      </c>
      <c r="D299" s="23" t="n">
        <v>4.76</v>
      </c>
      <c r="E299" s="24" t="n">
        <v>30</v>
      </c>
      <c r="F299" s="24">
        <f>D299*E299</f>
        <v/>
      </c>
      <c r="G299" s="22" t="n"/>
    </row>
    <row r="300">
      <c r="A300" s="22" t="inlineStr">
        <is>
          <t>1209</t>
        </is>
      </c>
      <c r="B300" s="11" t="inlineStr">
        <is>
          <t>G.I. plain washer thick</t>
        </is>
      </c>
      <c r="C300" s="22" t="inlineStr">
        <is>
          <t>100 Nos</t>
        </is>
      </c>
      <c r="D300" s="23" t="n">
        <v>4.76</v>
      </c>
      <c r="E300" s="24" t="n">
        <v>35</v>
      </c>
      <c r="F300" s="24">
        <f>D300*E300</f>
        <v/>
      </c>
      <c r="G300" s="22" t="n"/>
    </row>
    <row r="301">
      <c r="A301" s="22" t="inlineStr">
        <is>
          <t>9977</t>
        </is>
      </c>
      <c r="B301" s="11" t="inlineStr">
        <is>
          <t>Carriage of bolts and nuts, washers etc.</t>
        </is>
      </c>
      <c r="C301" s="22" t="inlineStr">
        <is>
          <t>L.S.</t>
        </is>
      </c>
      <c r="D301" s="23" t="n">
        <v>8.06</v>
      </c>
      <c r="E301" s="24" t="n">
        <v>2</v>
      </c>
      <c r="F301" s="24">
        <f>D301*E301</f>
        <v/>
      </c>
      <c r="G301" s="22" t="n"/>
    </row>
    <row r="302">
      <c r="A302" s="22" t="inlineStr">
        <is>
          <t>9999</t>
        </is>
      </c>
      <c r="B302" s="11" t="inlineStr">
        <is>
          <t>Sundries</t>
        </is>
      </c>
      <c r="C302" s="22" t="inlineStr">
        <is>
          <t>L.S.</t>
        </is>
      </c>
      <c r="D302" s="23" t="n">
        <v>39.52</v>
      </c>
      <c r="E302" s="24" t="n">
        <v>2</v>
      </c>
      <c r="F302" s="24">
        <f>D302*E302</f>
        <v/>
      </c>
      <c r="G302" s="22" t="n"/>
    </row>
    <row r="303">
      <c r="A303" s="22" t="inlineStr">
        <is>
          <t>0130</t>
        </is>
      </c>
      <c r="B303" s="11" t="inlineStr">
        <is>
          <t>Mistry</t>
        </is>
      </c>
      <c r="C303" s="22" t="inlineStr">
        <is>
          <t>day</t>
        </is>
      </c>
      <c r="D303" s="23" t="n">
        <v>2.34</v>
      </c>
      <c r="E303" s="24" t="n">
        <v>738</v>
      </c>
      <c r="F303" s="24">
        <f>D303*E303</f>
        <v/>
      </c>
      <c r="G303" s="22" t="n"/>
    </row>
    <row r="304">
      <c r="A304" s="22" t="inlineStr">
        <is>
          <t>0112</t>
        </is>
      </c>
      <c r="B304" s="11" t="inlineStr">
        <is>
          <t>Carpenter 2nd class</t>
        </is>
      </c>
      <c r="C304" s="22" t="inlineStr">
        <is>
          <t>day</t>
        </is>
      </c>
      <c r="D304" s="23" t="n">
        <v>9.34</v>
      </c>
      <c r="E304" s="24" t="n">
        <v>679</v>
      </c>
      <c r="F304" s="24">
        <f>D304*E304</f>
        <v/>
      </c>
      <c r="G304" s="22" t="n"/>
    </row>
    <row r="305">
      <c r="A305" s="22" t="inlineStr">
        <is>
          <t>0114</t>
        </is>
      </c>
      <c r="B305" s="11" t="inlineStr">
        <is>
          <t>Beldar</t>
        </is>
      </c>
      <c r="C305" s="22" t="inlineStr">
        <is>
          <t>day</t>
        </is>
      </c>
      <c r="D305" s="23" t="n">
        <v>9.34</v>
      </c>
      <c r="E305" s="24" t="n">
        <v>558</v>
      </c>
      <c r="F305" s="24">
        <f>D305*E305</f>
        <v/>
      </c>
      <c r="G305" s="22" t="n"/>
    </row>
    <row r="306">
      <c r="A306" s="8" t="inlineStr">
        <is>
          <t>Calculated W - SUM of the Amount column above</t>
        </is>
      </c>
      <c r="B306" s="9" t="n"/>
      <c r="C306" s="9" t="n"/>
      <c r="D306" s="9" t="n"/>
      <c r="E306" s="9" t="n"/>
      <c r="F306" s="25">
        <f>SUM(F296:F305)</f>
        <v/>
      </c>
      <c r="G306" s="9" t="n"/>
    </row>
    <row r="307">
      <c r="A307" s="26" t="inlineStr">
        <is>
          <t>W as printed in the DAR</t>
        </is>
      </c>
      <c r="B307" s="22" t="n"/>
      <c r="C307" s="22" t="n"/>
      <c r="D307" s="22" t="n"/>
      <c r="E307" s="22" t="n"/>
      <c r="F307" s="27" t="n">
        <v>73225</v>
      </c>
      <c r="G307" s="22" t="n"/>
    </row>
    <row r="308">
      <c r="A308" s="26" t="inlineStr">
        <is>
          <t>Difference (calculated - printed)</t>
        </is>
      </c>
      <c r="B308" s="22" t="n"/>
      <c r="C308" s="22" t="n"/>
      <c r="D308" s="22" t="n"/>
      <c r="E308" s="22" t="n"/>
      <c r="F308" s="27">
        <f>F306-F307</f>
        <v/>
      </c>
      <c r="G308" s="22" t="n"/>
    </row>
    <row r="309">
      <c r="A309" s="29" t="inlineStr">
        <is>
          <t>SAY (Rs.) - final DAR rate as printed (fixed value, not computed)</t>
        </is>
      </c>
      <c r="B309" s="30" t="n"/>
      <c r="C309" s="30" t="n"/>
      <c r="D309" s="30" t="n"/>
      <c r="E309" s="30" t="n"/>
      <c r="F309" s="31" t="n">
        <v>453.25</v>
      </c>
      <c r="G309" s="30" t="n"/>
    </row>
    <row r="311" ht="33" customHeight="1">
      <c r="A311" s="18" t="inlineStr">
        <is>
          <t>12.9</t>
        </is>
      </c>
      <c r="B311" s="19" t="inlineStr">
        <is>
          <t>Extra for straight cutting in reinforced by organic fibres and/or inorganic synthetic fibres cement corrugated, semi corrugated 6 mm thick sheet roofing for making openings of area exceeding 40 square decimeter for chimney stacks, skylights etc.</t>
        </is>
      </c>
      <c r="C311" s="20" t="n"/>
      <c r="D311" s="20" t="n"/>
      <c r="E311" s="20" t="n"/>
      <c r="F311" s="20" t="n"/>
      <c r="G311" s="20" t="n"/>
    </row>
    <row r="312">
      <c r="A312" s="21" t="inlineStr">
        <is>
          <t>Details of cost for 3 metres   |   Source: CivilDAR_2019_Vol_1.pdf, page 828</t>
        </is>
      </c>
    </row>
    <row r="313">
      <c r="A313" s="5" t="inlineStr">
        <is>
          <t>Code</t>
        </is>
      </c>
      <c r="B313" s="5" t="inlineStr">
        <is>
          <t>Description</t>
        </is>
      </c>
      <c r="C313" s="5" t="inlineStr">
        <is>
          <t>Unit</t>
        </is>
      </c>
      <c r="D313" s="5" t="inlineStr">
        <is>
          <t>Quantity</t>
        </is>
      </c>
      <c r="E313" s="5" t="inlineStr">
        <is>
          <t>Rate (Rs.)</t>
        </is>
      </c>
      <c r="F313" s="5" t="inlineStr">
        <is>
          <t>Amount (Rs.)</t>
        </is>
      </c>
      <c r="G313" s="5" t="inlineStr">
        <is>
          <t>Note</t>
        </is>
      </c>
    </row>
    <row r="314">
      <c r="A314" s="22" t="inlineStr">
        <is>
          <t>0111</t>
        </is>
      </c>
      <c r="B314" s="11" t="inlineStr">
        <is>
          <t>Carpenter 1st class</t>
        </is>
      </c>
      <c r="C314" s="22" t="inlineStr">
        <is>
          <t>day</t>
        </is>
      </c>
      <c r="D314" s="23" t="n">
        <v>0.12</v>
      </c>
      <c r="E314" s="24" t="n">
        <v>738</v>
      </c>
      <c r="F314" s="24">
        <f>D314*E314</f>
        <v/>
      </c>
      <c r="G314" s="22" t="n"/>
    </row>
    <row r="315">
      <c r="A315" s="22" t="inlineStr">
        <is>
          <t>0114</t>
        </is>
      </c>
      <c r="B315" s="11" t="inlineStr">
        <is>
          <t>Beldar</t>
        </is>
      </c>
      <c r="C315" s="22" t="inlineStr">
        <is>
          <t>day</t>
        </is>
      </c>
      <c r="D315" s="23" t="n">
        <v>0.12</v>
      </c>
      <c r="E315" s="24" t="n">
        <v>558</v>
      </c>
      <c r="F315" s="24">
        <f>D315*E315</f>
        <v/>
      </c>
      <c r="G315" s="22" t="n"/>
    </row>
    <row r="316">
      <c r="A316" s="8" t="inlineStr">
        <is>
          <t>Calculated W - SUM of the Amount column above</t>
        </is>
      </c>
      <c r="B316" s="9" t="n"/>
      <c r="C316" s="9" t="n"/>
      <c r="D316" s="9" t="n"/>
      <c r="E316" s="9" t="n"/>
      <c r="F316" s="25">
        <f>SUM(F314:F315)</f>
        <v/>
      </c>
      <c r="G316" s="9" t="n"/>
    </row>
    <row r="317">
      <c r="A317" s="26" t="inlineStr">
        <is>
          <t>W as printed in the DAR</t>
        </is>
      </c>
      <c r="B317" s="22" t="n"/>
      <c r="C317" s="22" t="n"/>
      <c r="D317" s="22" t="n"/>
      <c r="E317" s="22" t="n"/>
      <c r="F317" s="27" t="n">
        <v>155.52</v>
      </c>
      <c r="G317" s="22" t="n"/>
    </row>
    <row r="318">
      <c r="A318" s="26" t="inlineStr">
        <is>
          <t>Difference (calculated - printed)</t>
        </is>
      </c>
      <c r="B318" s="22" t="n"/>
      <c r="C318" s="22" t="n"/>
      <c r="D318" s="22" t="n"/>
      <c r="E318" s="22" t="n"/>
      <c r="F318" s="27">
        <f>F316-F317</f>
        <v/>
      </c>
      <c r="G318" s="22" t="n"/>
    </row>
    <row r="319">
      <c r="A319" s="29" t="inlineStr">
        <is>
          <t>SAY (Rs.) - final DAR rate as printed (fixed value, not computed)</t>
        </is>
      </c>
      <c r="B319" s="30" t="n"/>
      <c r="C319" s="30" t="n"/>
      <c r="D319" s="30" t="n"/>
      <c r="E319" s="30" t="n"/>
      <c r="F319" s="31" t="n">
        <v>69.34999999999999</v>
      </c>
      <c r="G319" s="30" t="n"/>
    </row>
    <row r="321" ht="33" customHeight="1">
      <c r="A321" s="18" t="inlineStr">
        <is>
          <t>12.10</t>
        </is>
      </c>
      <c r="B321" s="19" t="inlineStr">
        <is>
          <t>Extra for circular cutting in reinforced by organic fibres and/or inorganic synthetic fibres cement corrugated/ semi corrugated 6 mm thick sheet roofing for making openings of area exceeding 40 square decimeter.</t>
        </is>
      </c>
      <c r="C321" s="20" t="n"/>
      <c r="D321" s="20" t="n"/>
      <c r="E321" s="20" t="n"/>
      <c r="F321" s="20" t="n"/>
      <c r="G321" s="20" t="n"/>
    </row>
    <row r="322">
      <c r="A322" s="21" t="inlineStr">
        <is>
          <t>Details of cost for 9.05 metres   |   Source: CivilDAR_2019_Vol_1.pdf, page 828</t>
        </is>
      </c>
    </row>
    <row r="323">
      <c r="A323" s="5" t="inlineStr">
        <is>
          <t>Code</t>
        </is>
      </c>
      <c r="B323" s="5" t="inlineStr">
        <is>
          <t>Description</t>
        </is>
      </c>
      <c r="C323" s="5" t="inlineStr">
        <is>
          <t>Unit</t>
        </is>
      </c>
      <c r="D323" s="5" t="inlineStr">
        <is>
          <t>Quantity</t>
        </is>
      </c>
      <c r="E323" s="5" t="inlineStr">
        <is>
          <t>Rate (Rs.)</t>
        </is>
      </c>
      <c r="F323" s="5" t="inlineStr">
        <is>
          <t>Amount (Rs.)</t>
        </is>
      </c>
      <c r="G323" s="5" t="inlineStr">
        <is>
          <t>Note</t>
        </is>
      </c>
    </row>
    <row r="324">
      <c r="A324" s="22" t="inlineStr">
        <is>
          <t>0111</t>
        </is>
      </c>
      <c r="B324" s="11" t="inlineStr">
        <is>
          <t>Carpenter 1st class</t>
        </is>
      </c>
      <c r="C324" s="22" t="inlineStr">
        <is>
          <t>day</t>
        </is>
      </c>
      <c r="D324" s="23" t="n">
        <v>1</v>
      </c>
      <c r="E324" s="24" t="n">
        <v>738</v>
      </c>
      <c r="F324" s="24">
        <f>D324*E324</f>
        <v/>
      </c>
      <c r="G324" s="22" t="n"/>
    </row>
    <row r="325">
      <c r="A325" s="22" t="inlineStr">
        <is>
          <t>0114</t>
        </is>
      </c>
      <c r="B325" s="11" t="inlineStr">
        <is>
          <t>Beldar</t>
        </is>
      </c>
      <c r="C325" s="22" t="inlineStr">
        <is>
          <t>day</t>
        </is>
      </c>
      <c r="D325" s="23" t="n">
        <v>1</v>
      </c>
      <c r="E325" s="24" t="n">
        <v>558</v>
      </c>
      <c r="F325" s="24">
        <f>D325*E325</f>
        <v/>
      </c>
      <c r="G325" s="22" t="n"/>
    </row>
    <row r="326">
      <c r="A326" s="8" t="inlineStr">
        <is>
          <t>Calculated W - SUM of the Amount column above</t>
        </is>
      </c>
      <c r="B326" s="9" t="n"/>
      <c r="C326" s="9" t="n"/>
      <c r="D326" s="9" t="n"/>
      <c r="E326" s="9" t="n"/>
      <c r="F326" s="25">
        <f>SUM(F324:F325)</f>
        <v/>
      </c>
      <c r="G326" s="9" t="n"/>
    </row>
    <row r="327">
      <c r="A327" s="26" t="inlineStr">
        <is>
          <t>W as printed in the DAR</t>
        </is>
      </c>
      <c r="B327" s="22" t="n"/>
      <c r="C327" s="22" t="n"/>
      <c r="D327" s="22" t="n"/>
      <c r="E327" s="22" t="n"/>
      <c r="F327" s="27" t="n">
        <v>1296</v>
      </c>
      <c r="G327" s="22" t="n"/>
    </row>
    <row r="328">
      <c r="A328" s="26" t="inlineStr">
        <is>
          <t>Difference (calculated - printed)</t>
        </is>
      </c>
      <c r="B328" s="22" t="n"/>
      <c r="C328" s="22" t="n"/>
      <c r="D328" s="22" t="n"/>
      <c r="E328" s="22" t="n"/>
      <c r="F328" s="27">
        <f>F326-F327</f>
        <v/>
      </c>
      <c r="G328" s="22" t="n"/>
    </row>
    <row r="329">
      <c r="A329" s="29" t="inlineStr">
        <is>
          <t>SAY (Rs.) - final DAR rate as printed (fixed value, not computed)</t>
        </is>
      </c>
      <c r="B329" s="30" t="n"/>
      <c r="C329" s="30" t="n"/>
      <c r="D329" s="30" t="n"/>
      <c r="E329" s="30" t="n"/>
      <c r="F329" s="31" t="n">
        <v>191.6</v>
      </c>
      <c r="G329" s="30" t="n"/>
    </row>
    <row r="331" ht="18.5" customHeight="1">
      <c r="A331" s="18" t="inlineStr">
        <is>
          <t>12.11</t>
        </is>
      </c>
      <c r="B331" s="19" t="inlineStr">
        <is>
          <t>Extra for providing and fixing wind ties of 40x 6 mm flat iron section.</t>
        </is>
      </c>
      <c r="C331" s="20" t="n"/>
      <c r="D331" s="20" t="n"/>
      <c r="E331" s="20" t="n"/>
      <c r="F331" s="20" t="n"/>
      <c r="G331" s="20" t="n"/>
    </row>
    <row r="332">
      <c r="A332" s="21" t="inlineStr">
        <is>
          <t>Details of cost for 30 metres   |   Source: CivilDAR_2019_Vol_1.pdf, page 829</t>
        </is>
      </c>
    </row>
    <row r="333">
      <c r="A333" s="5" t="inlineStr">
        <is>
          <t>Code</t>
        </is>
      </c>
      <c r="B333" s="5" t="inlineStr">
        <is>
          <t>Description</t>
        </is>
      </c>
      <c r="C333" s="5" t="inlineStr">
        <is>
          <t>Unit</t>
        </is>
      </c>
      <c r="D333" s="5" t="inlineStr">
        <is>
          <t>Quantity</t>
        </is>
      </c>
      <c r="E333" s="5" t="inlineStr">
        <is>
          <t>Rate (Rs.)</t>
        </is>
      </c>
      <c r="F333" s="5" t="inlineStr">
        <is>
          <t>Amount (Rs.)</t>
        </is>
      </c>
      <c r="G333" s="5" t="inlineStr">
        <is>
          <t>Note</t>
        </is>
      </c>
    </row>
    <row r="334">
      <c r="A334" s="22" t="inlineStr">
        <is>
          <t>1008</t>
        </is>
      </c>
      <c r="B334" s="11" t="inlineStr">
        <is>
          <t>Flats upto 10 mm in thickness</t>
        </is>
      </c>
      <c r="C334" s="22" t="inlineStr">
        <is>
          <t>quintal</t>
        </is>
      </c>
      <c r="D334" s="23" t="n">
        <v>0.5985</v>
      </c>
      <c r="E334" s="24" t="n">
        <v>4500</v>
      </c>
      <c r="F334" s="24">
        <f>D334*E334</f>
        <v/>
      </c>
      <c r="G334" s="22" t="n"/>
    </row>
    <row r="335">
      <c r="A335" s="22" t="inlineStr">
        <is>
          <t>2205</t>
        </is>
      </c>
      <c r="B335" s="11" t="inlineStr">
        <is>
          <t>Carriage of Steel</t>
        </is>
      </c>
      <c r="C335" s="22" t="inlineStr">
        <is>
          <t>tonne</t>
        </is>
      </c>
      <c r="D335" s="23" t="n">
        <v>0.06</v>
      </c>
      <c r="E335" s="24" t="n">
        <v>92.23999999999999</v>
      </c>
      <c r="F335" s="24">
        <f>D335*E335</f>
        <v/>
      </c>
      <c r="G335" s="22" t="n"/>
    </row>
    <row r="336">
      <c r="A336" s="22" t="inlineStr">
        <is>
          <t>9999</t>
        </is>
      </c>
      <c r="B336" s="11" t="inlineStr">
        <is>
          <t>Sundries</t>
        </is>
      </c>
      <c r="C336" s="22" t="inlineStr">
        <is>
          <t>L.S.</t>
        </is>
      </c>
      <c r="D336" s="23" t="n">
        <v>20.67</v>
      </c>
      <c r="E336" s="24" t="n">
        <v>2</v>
      </c>
      <c r="F336" s="24">
        <f>D336*E336</f>
        <v/>
      </c>
      <c r="G336" s="22" t="n"/>
    </row>
    <row r="337">
      <c r="A337" s="22" t="inlineStr">
        <is>
          <t>0102</t>
        </is>
      </c>
      <c r="B337" s="11" t="inlineStr">
        <is>
          <t>Blacksmith 1st class</t>
        </is>
      </c>
      <c r="C337" s="22" t="inlineStr">
        <is>
          <t>day</t>
        </is>
      </c>
      <c r="D337" s="23" t="n">
        <v>0.5</v>
      </c>
      <c r="E337" s="24" t="n">
        <v>738</v>
      </c>
      <c r="F337" s="24">
        <f>D337*E337</f>
        <v/>
      </c>
      <c r="G337" s="22" t="n"/>
    </row>
    <row r="338">
      <c r="A338" s="22" t="inlineStr">
        <is>
          <t>0114</t>
        </is>
      </c>
      <c r="B338" s="11" t="inlineStr">
        <is>
          <t>Beldar</t>
        </is>
      </c>
      <c r="C338" s="22" t="inlineStr">
        <is>
          <t>day</t>
        </is>
      </c>
      <c r="D338" s="23" t="n">
        <v>0.5</v>
      </c>
      <c r="E338" s="24" t="n">
        <v>558</v>
      </c>
      <c r="F338" s="24">
        <f>D338*E338</f>
        <v/>
      </c>
      <c r="G338" s="22" t="n"/>
    </row>
    <row r="339">
      <c r="A339" s="8" t="inlineStr">
        <is>
          <t>Calculated W - SUM of the Amount column above</t>
        </is>
      </c>
      <c r="B339" s="9" t="n"/>
      <c r="C339" s="9" t="n"/>
      <c r="D339" s="9" t="n"/>
      <c r="E339" s="9" t="n"/>
      <c r="F339" s="25">
        <f>SUM(F334:F338)</f>
        <v/>
      </c>
      <c r="G339" s="9" t="n"/>
    </row>
    <row r="340">
      <c r="A340" s="26" t="inlineStr">
        <is>
          <t>W as printed in the DAR</t>
        </is>
      </c>
      <c r="B340" s="22" t="n"/>
      <c r="C340" s="22" t="n"/>
      <c r="D340" s="22" t="n"/>
      <c r="E340" s="22" t="n"/>
      <c r="F340" s="27" t="n">
        <v>3388.12</v>
      </c>
      <c r="G340" s="22" t="n"/>
    </row>
    <row r="341">
      <c r="A341" s="26" t="inlineStr">
        <is>
          <t>Difference (calculated - printed)</t>
        </is>
      </c>
      <c r="B341" s="22" t="n"/>
      <c r="C341" s="22" t="n"/>
      <c r="D341" s="22" t="n"/>
      <c r="E341" s="22" t="n"/>
      <c r="F341" s="27">
        <f>F339-F340</f>
        <v/>
      </c>
      <c r="G341" s="22" t="n"/>
    </row>
    <row r="342">
      <c r="A342" s="29" t="inlineStr">
        <is>
          <t>SAY (Rs.) - final DAR rate as printed (fixed value, not computed)</t>
        </is>
      </c>
      <c r="B342" s="30" t="n"/>
      <c r="C342" s="30" t="n"/>
      <c r="D342" s="30" t="n"/>
      <c r="E342" s="30" t="n"/>
      <c r="F342" s="31" t="n">
        <v>151.1</v>
      </c>
      <c r="G342" s="30" t="n"/>
    </row>
    <row r="344" ht="33" customHeight="1">
      <c r="A344" s="8" t="inlineStr">
        <is>
          <t>12.12</t>
        </is>
      </c>
      <c r="B344" s="17" t="inlineStr">
        <is>
          <t>Providing and fixing ridges and hips in fibre cement reinforced by organic fibres and/or inorganic synthetic fibres roofing with suitable fixing accessories or self drilling fastener and EPDM washer etc. complete.</t>
        </is>
      </c>
      <c r="C344" s="9" t="n"/>
      <c r="D344" s="9" t="n"/>
      <c r="E344" s="9" t="n"/>
      <c r="F344" s="9" t="n"/>
      <c r="G344" s="9" t="n"/>
    </row>
    <row r="345" ht="18.5" customHeight="1">
      <c r="A345" s="18" t="inlineStr">
        <is>
          <t>12.12.1</t>
        </is>
      </c>
      <c r="B345" s="19" t="inlineStr">
        <is>
          <t>Corrugated serrated adjustable ridges</t>
        </is>
      </c>
      <c r="C345" s="20" t="n"/>
      <c r="D345" s="20" t="n"/>
      <c r="E345" s="20" t="n"/>
      <c r="F345" s="20" t="n"/>
      <c r="G345" s="20" t="n"/>
    </row>
    <row r="346">
      <c r="A346" s="21" t="inlineStr">
        <is>
          <t>Details of cost for 20.2 metre   |   Source: CivilDAR_2019_Vol_1.pdf, page 829</t>
        </is>
      </c>
    </row>
    <row r="347">
      <c r="A347" s="5" t="inlineStr">
        <is>
          <t>Code</t>
        </is>
      </c>
      <c r="B347" s="5" t="inlineStr">
        <is>
          <t>Description</t>
        </is>
      </c>
      <c r="C347" s="5" t="inlineStr">
        <is>
          <t>Unit</t>
        </is>
      </c>
      <c r="D347" s="5" t="inlineStr">
        <is>
          <t>Quantity</t>
        </is>
      </c>
      <c r="E347" s="5" t="inlineStr">
        <is>
          <t>Rate (Rs.)</t>
        </is>
      </c>
      <c r="F347" s="5" t="inlineStr">
        <is>
          <t>Amount (Rs.)</t>
        </is>
      </c>
      <c r="G347" s="5" t="inlineStr">
        <is>
          <t>Note</t>
        </is>
      </c>
    </row>
    <row r="348">
      <c r="A348" s="22" t="inlineStr">
        <is>
          <t>0225</t>
        </is>
      </c>
      <c r="B348" s="11" t="inlineStr">
        <is>
          <t>Fibre reinforced by organic fibres and/ or inorganic synthetic fibres cement conjugated serrated adjustable ridge.</t>
        </is>
      </c>
      <c r="C348" s="22" t="inlineStr">
        <is>
          <t>metre</t>
        </is>
      </c>
      <c r="D348" s="23" t="n">
        <v>24.339</v>
      </c>
      <c r="E348" s="24" t="n">
        <v>210</v>
      </c>
      <c r="F348" s="24">
        <f>D348*E348</f>
        <v/>
      </c>
      <c r="G348" s="22" t="n"/>
    </row>
    <row r="349">
      <c r="A349" s="22" t="inlineStr">
        <is>
          <t>9977</t>
        </is>
      </c>
      <c r="B349" s="11" t="inlineStr">
        <is>
          <t>Carriage (The ridge is to be fixed with the same hooks as the Sheets)</t>
        </is>
      </c>
      <c r="C349" s="22" t="inlineStr">
        <is>
          <t>L.S.</t>
        </is>
      </c>
      <c r="D349" s="23" t="n">
        <v>13.52</v>
      </c>
      <c r="E349" s="24" t="n">
        <v>2</v>
      </c>
      <c r="F349" s="24">
        <f>D349*E349</f>
        <v/>
      </c>
      <c r="G349" s="22" t="n"/>
    </row>
    <row r="350">
      <c r="A350" s="22" t="inlineStr">
        <is>
          <t>9999</t>
        </is>
      </c>
      <c r="B350" s="11" t="inlineStr">
        <is>
          <t>Sundries</t>
        </is>
      </c>
      <c r="C350" s="22" t="inlineStr">
        <is>
          <t>L.S.</t>
        </is>
      </c>
      <c r="D350" s="23" t="n">
        <v>6.76</v>
      </c>
      <c r="E350" s="24" t="n">
        <v>2</v>
      </c>
      <c r="F350" s="24">
        <f>D350*E350</f>
        <v/>
      </c>
      <c r="G350" s="22" t="n"/>
    </row>
    <row r="351">
      <c r="A351" s="22" t="inlineStr">
        <is>
          <t>0130</t>
        </is>
      </c>
      <c r="B351" s="11" t="inlineStr">
        <is>
          <t>Mistry</t>
        </is>
      </c>
      <c r="C351" s="22" t="inlineStr">
        <is>
          <t>day</t>
        </is>
      </c>
      <c r="D351" s="23" t="n">
        <v>0.14</v>
      </c>
      <c r="E351" s="24" t="n">
        <v>738</v>
      </c>
      <c r="F351" s="24">
        <f>D351*E351</f>
        <v/>
      </c>
      <c r="G351" s="22" t="n"/>
    </row>
    <row r="352">
      <c r="A352" s="22" t="inlineStr">
        <is>
          <t>0112</t>
        </is>
      </c>
      <c r="B352" s="11" t="inlineStr">
        <is>
          <t>Carpenter 2nd class</t>
        </is>
      </c>
      <c r="C352" s="22" t="inlineStr">
        <is>
          <t>day</t>
        </is>
      </c>
      <c r="D352" s="23" t="n">
        <v>0.55</v>
      </c>
      <c r="E352" s="24" t="n">
        <v>679</v>
      </c>
      <c r="F352" s="24">
        <f>D352*E352</f>
        <v/>
      </c>
      <c r="G352" s="22" t="n"/>
    </row>
    <row r="353">
      <c r="A353" s="22" t="inlineStr">
        <is>
          <t>0114</t>
        </is>
      </c>
      <c r="B353" s="11" t="inlineStr">
        <is>
          <t>Beldar</t>
        </is>
      </c>
      <c r="C353" s="22" t="inlineStr">
        <is>
          <t>day</t>
        </is>
      </c>
      <c r="D353" s="23" t="n">
        <v>1.64</v>
      </c>
      <c r="E353" s="24" t="n">
        <v>558</v>
      </c>
      <c r="F353" s="24">
        <f>D353*E353</f>
        <v/>
      </c>
      <c r="G353" s="22" t="n"/>
    </row>
    <row r="354">
      <c r="A354" s="8" t="inlineStr">
        <is>
          <t>Calculated W - SUM of the Amount column above</t>
        </is>
      </c>
      <c r="B354" s="9" t="n"/>
      <c r="C354" s="9" t="n"/>
      <c r="D354" s="9" t="n"/>
      <c r="E354" s="9" t="n"/>
      <c r="F354" s="25">
        <f>SUM(F348:F353)</f>
        <v/>
      </c>
      <c r="G354" s="9" t="n"/>
    </row>
    <row r="355">
      <c r="A355" s="26" t="inlineStr">
        <is>
          <t>W as printed in the DAR</t>
        </is>
      </c>
      <c r="B355" s="22" t="n"/>
      <c r="C355" s="22" t="n"/>
      <c r="D355" s="22" t="n"/>
      <c r="E355" s="22" t="n"/>
      <c r="F355" s="27" t="n">
        <v>6543.64</v>
      </c>
      <c r="G355" s="22" t="n"/>
    </row>
    <row r="356">
      <c r="A356" s="26" t="inlineStr">
        <is>
          <t>Difference (calculated - printed)</t>
        </is>
      </c>
      <c r="B356" s="22" t="n"/>
      <c r="C356" s="22" t="n"/>
      <c r="D356" s="22" t="n"/>
      <c r="E356" s="22" t="n"/>
      <c r="F356" s="27">
        <f>F354-F355</f>
        <v/>
      </c>
      <c r="G356" s="22" t="n"/>
    </row>
    <row r="357">
      <c r="A357" s="29" t="inlineStr">
        <is>
          <t>SAY (Rs.) - final DAR rate as printed (fixed value, not computed)</t>
        </is>
      </c>
      <c r="B357" s="30" t="n"/>
      <c r="C357" s="30" t="n"/>
      <c r="D357" s="30" t="n"/>
      <c r="E357" s="30" t="n"/>
      <c r="F357" s="31" t="n">
        <v>433.4</v>
      </c>
      <c r="G357" s="30" t="n"/>
    </row>
    <row r="359" ht="33" customHeight="1">
      <c r="A359" s="8" t="inlineStr">
        <is>
          <t>12.12</t>
        </is>
      </c>
      <c r="B359" s="17" t="inlineStr">
        <is>
          <t>Providing and fixing ridges and hips in fibre cement reinforced by organic fibres and/or inorganic synthetic fibres roofing with suitable fixing accessories or self drilling fastener and EPDM washer etc. complete.</t>
        </is>
      </c>
      <c r="C359" s="9" t="n"/>
      <c r="D359" s="9" t="n"/>
      <c r="E359" s="9" t="n"/>
      <c r="F359" s="9" t="n"/>
      <c r="G359" s="9" t="n"/>
    </row>
    <row r="360" ht="18.5" customHeight="1">
      <c r="A360" s="18" t="inlineStr">
        <is>
          <t>12.12.2</t>
        </is>
      </c>
      <c r="B360" s="19" t="inlineStr">
        <is>
          <t>Plain wing adjustable ridges</t>
        </is>
      </c>
      <c r="C360" s="20" t="n"/>
      <c r="D360" s="20" t="n"/>
      <c r="E360" s="20" t="n"/>
      <c r="F360" s="20" t="n"/>
      <c r="G360" s="20" t="n"/>
    </row>
    <row r="361">
      <c r="A361" s="21" t="inlineStr">
        <is>
          <t>Details of cost for 20.2 metre   |   Source: CivilDAR_2019_Vol_1.pdf, page 830</t>
        </is>
      </c>
    </row>
    <row r="362">
      <c r="A362" s="5" t="inlineStr">
        <is>
          <t>Code</t>
        </is>
      </c>
      <c r="B362" s="5" t="inlineStr">
        <is>
          <t>Description</t>
        </is>
      </c>
      <c r="C362" s="5" t="inlineStr">
        <is>
          <t>Unit</t>
        </is>
      </c>
      <c r="D362" s="5" t="inlineStr">
        <is>
          <t>Quantity</t>
        </is>
      </c>
      <c r="E362" s="5" t="inlineStr">
        <is>
          <t>Rate (Rs.)</t>
        </is>
      </c>
      <c r="F362" s="5" t="inlineStr">
        <is>
          <t>Amount (Rs.)</t>
        </is>
      </c>
      <c r="G362" s="5" t="inlineStr">
        <is>
          <t>Note</t>
        </is>
      </c>
    </row>
    <row r="363">
      <c r="A363" s="22" t="inlineStr">
        <is>
          <t>0226</t>
        </is>
      </c>
      <c r="B363" s="11" t="inlineStr">
        <is>
          <t>Fibre reinforced by organic fibres and/ or inorganic synthetic fibres cement plain wing adjustable ridge.</t>
        </is>
      </c>
      <c r="C363" s="22" t="inlineStr">
        <is>
          <t>metre</t>
        </is>
      </c>
      <c r="D363" s="23" t="n">
        <v>24.339</v>
      </c>
      <c r="E363" s="24" t="n">
        <v>210</v>
      </c>
      <c r="F363" s="24">
        <f>D363*E363</f>
        <v/>
      </c>
      <c r="G363" s="22" t="n"/>
    </row>
    <row r="364">
      <c r="A364" s="22" t="inlineStr">
        <is>
          <t>9977</t>
        </is>
      </c>
      <c r="B364" s="11" t="inlineStr">
        <is>
          <t>Carriage (The ridge is to be fixed with the same hooks as the Sheets)</t>
        </is>
      </c>
      <c r="C364" s="22" t="inlineStr">
        <is>
          <t>L.S.</t>
        </is>
      </c>
      <c r="D364" s="23" t="n">
        <v>13.52</v>
      </c>
      <c r="E364" s="24" t="n">
        <v>2</v>
      </c>
      <c r="F364" s="24">
        <f>D364*E364</f>
        <v/>
      </c>
      <c r="G364" s="22" t="n"/>
    </row>
    <row r="365">
      <c r="A365" s="22" t="inlineStr">
        <is>
          <t>9999</t>
        </is>
      </c>
      <c r="B365" s="11" t="inlineStr">
        <is>
          <t>Sundries</t>
        </is>
      </c>
      <c r="C365" s="22" t="inlineStr">
        <is>
          <t>L.S.</t>
        </is>
      </c>
      <c r="D365" s="23" t="n">
        <v>6.76</v>
      </c>
      <c r="E365" s="24" t="n">
        <v>2</v>
      </c>
      <c r="F365" s="24">
        <f>D365*E365</f>
        <v/>
      </c>
      <c r="G365" s="22" t="n"/>
    </row>
    <row r="366">
      <c r="A366" s="22" t="inlineStr">
        <is>
          <t>0130</t>
        </is>
      </c>
      <c r="B366" s="11" t="inlineStr">
        <is>
          <t>Mistry</t>
        </is>
      </c>
      <c r="C366" s="22" t="inlineStr">
        <is>
          <t>day</t>
        </is>
      </c>
      <c r="D366" s="23" t="n">
        <v>0.14</v>
      </c>
      <c r="E366" s="24" t="n">
        <v>738</v>
      </c>
      <c r="F366" s="24">
        <f>D366*E366</f>
        <v/>
      </c>
      <c r="G366" s="22" t="n"/>
    </row>
    <row r="367">
      <c r="A367" s="22" t="inlineStr">
        <is>
          <t>0112</t>
        </is>
      </c>
      <c r="B367" s="11" t="inlineStr">
        <is>
          <t>Carpenter 2nd class</t>
        </is>
      </c>
      <c r="C367" s="22" t="inlineStr">
        <is>
          <t>day</t>
        </is>
      </c>
      <c r="D367" s="23" t="n">
        <v>0.55</v>
      </c>
      <c r="E367" s="24" t="n">
        <v>679</v>
      </c>
      <c r="F367" s="24">
        <f>D367*E367</f>
        <v/>
      </c>
      <c r="G367" s="22" t="n"/>
    </row>
    <row r="368">
      <c r="A368" s="22" t="inlineStr">
        <is>
          <t>0114</t>
        </is>
      </c>
      <c r="B368" s="11" t="inlineStr">
        <is>
          <t>Beldar</t>
        </is>
      </c>
      <c r="C368" s="22" t="inlineStr">
        <is>
          <t>day</t>
        </is>
      </c>
      <c r="D368" s="23" t="n">
        <v>1.64</v>
      </c>
      <c r="E368" s="24" t="n">
        <v>558</v>
      </c>
      <c r="F368" s="24">
        <f>D368*E368</f>
        <v/>
      </c>
      <c r="G368" s="22" t="n"/>
    </row>
    <row r="369">
      <c r="A369" s="8" t="inlineStr">
        <is>
          <t>Calculated W - SUM of the Amount column above</t>
        </is>
      </c>
      <c r="B369" s="9" t="n"/>
      <c r="C369" s="9" t="n"/>
      <c r="D369" s="9" t="n"/>
      <c r="E369" s="9" t="n"/>
      <c r="F369" s="25">
        <f>SUM(F363:F368)</f>
        <v/>
      </c>
      <c r="G369" s="9" t="n"/>
    </row>
    <row r="370">
      <c r="A370" s="26" t="inlineStr">
        <is>
          <t>W as printed in the DAR</t>
        </is>
      </c>
      <c r="B370" s="22" t="n"/>
      <c r="C370" s="22" t="n"/>
      <c r="D370" s="22" t="n"/>
      <c r="E370" s="22" t="n"/>
      <c r="F370" s="27" t="n">
        <v>6543.64</v>
      </c>
      <c r="G370" s="22" t="n"/>
    </row>
    <row r="371">
      <c r="A371" s="26" t="inlineStr">
        <is>
          <t>Difference (calculated - printed)</t>
        </is>
      </c>
      <c r="B371" s="22" t="n"/>
      <c r="C371" s="22" t="n"/>
      <c r="D371" s="22" t="n"/>
      <c r="E371" s="22" t="n"/>
      <c r="F371" s="27">
        <f>F369-F370</f>
        <v/>
      </c>
      <c r="G371" s="22" t="n"/>
    </row>
    <row r="372">
      <c r="A372" s="29" t="inlineStr">
        <is>
          <t>SAY (Rs.) - final DAR rate as printed (fixed value, not computed)</t>
        </is>
      </c>
      <c r="B372" s="30" t="n"/>
      <c r="C372" s="30" t="n"/>
      <c r="D372" s="30" t="n"/>
      <c r="E372" s="30" t="n"/>
      <c r="F372" s="31" t="n">
        <v>433.4</v>
      </c>
      <c r="G372" s="30" t="n"/>
    </row>
    <row r="374" ht="33" customHeight="1">
      <c r="A374" s="8" t="inlineStr">
        <is>
          <t>12.12</t>
        </is>
      </c>
      <c r="B374" s="17" t="inlineStr">
        <is>
          <t>Providing and fixing ridges and hips in fibre cement reinforced by organic fibres and/or inorganic synthetic fibres roofing with suitable fixing accessories or self drilling fastener and EPDM washer etc. complete.</t>
        </is>
      </c>
      <c r="C374" s="9" t="n"/>
      <c r="D374" s="9" t="n"/>
      <c r="E374" s="9" t="n"/>
      <c r="F374" s="9" t="n"/>
      <c r="G374" s="9" t="n"/>
    </row>
    <row r="375" ht="18.5" customHeight="1">
      <c r="A375" s="18" t="inlineStr">
        <is>
          <t>12.12.3</t>
        </is>
      </c>
      <c r="B375" s="19" t="inlineStr">
        <is>
          <t>Close fitting adjustable ridges</t>
        </is>
      </c>
      <c r="C375" s="20" t="n"/>
      <c r="D375" s="20" t="n"/>
      <c r="E375" s="20" t="n"/>
      <c r="F375" s="20" t="n"/>
      <c r="G375" s="20" t="n"/>
    </row>
    <row r="376">
      <c r="A376" s="21" t="inlineStr">
        <is>
          <t>Details of cost for 20.2 metre   |   Source: CivilDAR_2019_Vol_1.pdf, page 831</t>
        </is>
      </c>
    </row>
    <row r="377">
      <c r="A377" s="5" t="inlineStr">
        <is>
          <t>Code</t>
        </is>
      </c>
      <c r="B377" s="5" t="inlineStr">
        <is>
          <t>Description</t>
        </is>
      </c>
      <c r="C377" s="5" t="inlineStr">
        <is>
          <t>Unit</t>
        </is>
      </c>
      <c r="D377" s="5" t="inlineStr">
        <is>
          <t>Quantity</t>
        </is>
      </c>
      <c r="E377" s="5" t="inlineStr">
        <is>
          <t>Rate (Rs.)</t>
        </is>
      </c>
      <c r="F377" s="5" t="inlineStr">
        <is>
          <t>Amount (Rs.)</t>
        </is>
      </c>
      <c r="G377" s="5" t="inlineStr">
        <is>
          <t>Note</t>
        </is>
      </c>
    </row>
    <row r="378">
      <c r="A378" s="22" t="inlineStr">
        <is>
          <t>0224</t>
        </is>
      </c>
      <c r="B378" s="11" t="inlineStr">
        <is>
          <t>Fibre reinforced by organic fibres and/ or inorganic synthetic fibres cement close fitting adjustable ridge.</t>
        </is>
      </c>
      <c r="C378" s="22" t="inlineStr">
        <is>
          <t>metre</t>
        </is>
      </c>
      <c r="D378" s="23" t="n">
        <v>28.182</v>
      </c>
      <c r="E378" s="24" t="n">
        <v>210</v>
      </c>
      <c r="F378" s="24">
        <f>D378*E378</f>
        <v/>
      </c>
      <c r="G378" s="22" t="n"/>
    </row>
    <row r="379">
      <c r="A379" s="22" t="inlineStr">
        <is>
          <t>9977</t>
        </is>
      </c>
      <c r="B379" s="11" t="inlineStr">
        <is>
          <t>Carriage</t>
        </is>
      </c>
      <c r="C379" s="22" t="inlineStr">
        <is>
          <t>L.S.</t>
        </is>
      </c>
      <c r="D379" s="23" t="n">
        <v>16.12</v>
      </c>
      <c r="E379" s="24" t="n">
        <v>2</v>
      </c>
      <c r="F379" s="24">
        <f>D379*E379</f>
        <v/>
      </c>
      <c r="G379" s="22" t="n"/>
    </row>
    <row r="380">
      <c r="A380" s="22" t="inlineStr">
        <is>
          <t>9999</t>
        </is>
      </c>
      <c r="B380" s="11" t="inlineStr">
        <is>
          <t>Sundries</t>
        </is>
      </c>
      <c r="C380" s="22" t="inlineStr">
        <is>
          <t>L.S.</t>
        </is>
      </c>
      <c r="D380" s="23" t="n">
        <v>7.15</v>
      </c>
      <c r="E380" s="24" t="n">
        <v>2</v>
      </c>
      <c r="F380" s="24">
        <f>D380*E380</f>
        <v/>
      </c>
      <c r="G380" s="22" t="n"/>
    </row>
    <row r="381">
      <c r="A381" s="22" t="inlineStr">
        <is>
          <t>0130</t>
        </is>
      </c>
      <c r="B381" s="11" t="inlineStr">
        <is>
          <t>Mistry</t>
        </is>
      </c>
      <c r="C381" s="22" t="inlineStr">
        <is>
          <t>day</t>
        </is>
      </c>
      <c r="D381" s="23" t="n">
        <v>0.14</v>
      </c>
      <c r="E381" s="24" t="n">
        <v>738</v>
      </c>
      <c r="F381" s="24">
        <f>D381*E381</f>
        <v/>
      </c>
      <c r="G381" s="22" t="n"/>
    </row>
    <row r="382">
      <c r="A382" s="22" t="inlineStr">
        <is>
          <t>0112</t>
        </is>
      </c>
      <c r="B382" s="11" t="inlineStr">
        <is>
          <t>Carpenter 2nd class</t>
        </is>
      </c>
      <c r="C382" s="22" t="inlineStr">
        <is>
          <t>day</t>
        </is>
      </c>
      <c r="D382" s="23" t="n">
        <v>0.55</v>
      </c>
      <c r="E382" s="24" t="n">
        <v>679</v>
      </c>
      <c r="F382" s="24">
        <f>D382*E382</f>
        <v/>
      </c>
      <c r="G382" s="22" t="n"/>
    </row>
    <row r="383">
      <c r="A383" s="22" t="inlineStr">
        <is>
          <t>0114</t>
        </is>
      </c>
      <c r="B383" s="11" t="inlineStr">
        <is>
          <t>Beldar</t>
        </is>
      </c>
      <c r="C383" s="22" t="inlineStr">
        <is>
          <t>day</t>
        </is>
      </c>
      <c r="D383" s="23" t="n">
        <v>1.64</v>
      </c>
      <c r="E383" s="24" t="n">
        <v>558</v>
      </c>
      <c r="F383" s="24">
        <f>D383*E383</f>
        <v/>
      </c>
      <c r="G383" s="22" t="n"/>
    </row>
    <row r="384">
      <c r="A384" s="8" t="inlineStr">
        <is>
          <t>Calculated W - SUM of the Amount column above</t>
        </is>
      </c>
      <c r="B384" s="9" t="n"/>
      <c r="C384" s="9" t="n"/>
      <c r="D384" s="9" t="n"/>
      <c r="E384" s="9" t="n"/>
      <c r="F384" s="25">
        <f>SUM(F378:F383)</f>
        <v/>
      </c>
      <c r="G384" s="9" t="n"/>
    </row>
    <row r="385">
      <c r="A385" s="26" t="inlineStr">
        <is>
          <t>W as printed in the DAR</t>
        </is>
      </c>
      <c r="B385" s="22" t="n"/>
      <c r="C385" s="22" t="n"/>
      <c r="D385" s="22" t="n"/>
      <c r="E385" s="22" t="n"/>
      <c r="F385" s="27" t="n">
        <v>7356.65</v>
      </c>
      <c r="G385" s="22" t="n"/>
    </row>
    <row r="386">
      <c r="A386" s="26" t="inlineStr">
        <is>
          <t>Difference (calculated - printed)</t>
        </is>
      </c>
      <c r="B386" s="22" t="n"/>
      <c r="C386" s="22" t="n"/>
      <c r="D386" s="22" t="n"/>
      <c r="E386" s="22" t="n"/>
      <c r="F386" s="27">
        <f>F384-F385</f>
        <v/>
      </c>
      <c r="G386" s="22" t="n"/>
    </row>
    <row r="387">
      <c r="A387" s="29" t="inlineStr">
        <is>
          <t>SAY (Rs.) - final DAR rate as printed (fixed value, not computed)</t>
        </is>
      </c>
      <c r="B387" s="30" t="n"/>
      <c r="C387" s="30" t="n"/>
      <c r="D387" s="30" t="n"/>
      <c r="E387" s="30" t="n"/>
      <c r="F387" s="31" t="n">
        <v>487.25</v>
      </c>
      <c r="G387" s="30" t="n"/>
    </row>
    <row r="389" ht="33" customHeight="1">
      <c r="A389" s="8" t="inlineStr">
        <is>
          <t>12.12</t>
        </is>
      </c>
      <c r="B389" s="17" t="inlineStr">
        <is>
          <t>Providing and fixing ridges and hips in fibre cement reinforced by organic fibres and/or inorganic synthetic fibres roofing with suitable fixing accessories or self drilling fastener and EPDM washer etc. complete.</t>
        </is>
      </c>
      <c r="C389" s="9" t="n"/>
      <c r="D389" s="9" t="n"/>
      <c r="E389" s="9" t="n"/>
      <c r="F389" s="9" t="n"/>
      <c r="G389" s="9" t="n"/>
    </row>
    <row r="390" ht="18.5" customHeight="1">
      <c r="A390" s="18" t="inlineStr">
        <is>
          <t>12.12.4</t>
        </is>
      </c>
      <c r="B390" s="19" t="inlineStr">
        <is>
          <t>Unserrated adjustable hips</t>
        </is>
      </c>
      <c r="C390" s="20" t="n"/>
      <c r="D390" s="20" t="n"/>
      <c r="E390" s="20" t="n"/>
      <c r="F390" s="20" t="n"/>
      <c r="G390" s="20" t="n"/>
    </row>
    <row r="391">
      <c r="A391" s="21" t="inlineStr">
        <is>
          <t>Details of cost for 20.2 metre   |   Source: CivilDAR_2019_Vol_1.pdf, page 832</t>
        </is>
      </c>
    </row>
    <row r="392">
      <c r="A392" s="5" t="inlineStr">
        <is>
          <t>Code</t>
        </is>
      </c>
      <c r="B392" s="5" t="inlineStr">
        <is>
          <t>Description</t>
        </is>
      </c>
      <c r="C392" s="5" t="inlineStr">
        <is>
          <t>Unit</t>
        </is>
      </c>
      <c r="D392" s="5" t="inlineStr">
        <is>
          <t>Quantity</t>
        </is>
      </c>
      <c r="E392" s="5" t="inlineStr">
        <is>
          <t>Rate (Rs.)</t>
        </is>
      </c>
      <c r="F392" s="5" t="inlineStr">
        <is>
          <t>Amount (Rs.)</t>
        </is>
      </c>
      <c r="G392" s="5" t="inlineStr">
        <is>
          <t>Note</t>
        </is>
      </c>
    </row>
    <row r="393">
      <c r="A393" s="22" t="inlineStr">
        <is>
          <t>0227</t>
        </is>
      </c>
      <c r="B393" s="11" t="inlineStr">
        <is>
          <t>Fibre reinforced by organic fibres and/ or inorganic synthetic fibres cement unserrated adjustable adjustable ridge for hips.</t>
        </is>
      </c>
      <c r="C393" s="22" t="inlineStr">
        <is>
          <t>metre</t>
        </is>
      </c>
      <c r="D393" s="23" t="n">
        <v>24.339</v>
      </c>
      <c r="E393" s="24" t="n">
        <v>210</v>
      </c>
      <c r="F393" s="24">
        <f>D393*E393</f>
        <v/>
      </c>
      <c r="G393" s="22" t="n"/>
    </row>
    <row r="394">
      <c r="A394" s="22" t="inlineStr">
        <is>
          <t>9977</t>
        </is>
      </c>
      <c r="B394" s="11" t="inlineStr">
        <is>
          <t>Carriage</t>
        </is>
      </c>
      <c r="C394" s="22" t="inlineStr">
        <is>
          <t>L.S.</t>
        </is>
      </c>
      <c r="D394" s="23" t="n">
        <v>6.76</v>
      </c>
      <c r="E394" s="24" t="n">
        <v>2</v>
      </c>
      <c r="F394" s="24">
        <f>D394*E394</f>
        <v/>
      </c>
      <c r="G394" s="22" t="n"/>
    </row>
    <row r="395">
      <c r="A395" s="22" t="inlineStr">
        <is>
          <t>9999</t>
        </is>
      </c>
      <c r="B395" s="11" t="inlineStr">
        <is>
          <t>Sundries</t>
        </is>
      </c>
      <c r="C395" s="22" t="inlineStr">
        <is>
          <t>L.S.</t>
        </is>
      </c>
      <c r="D395" s="23" t="n">
        <v>6.63</v>
      </c>
      <c r="E395" s="24" t="n">
        <v>2</v>
      </c>
      <c r="F395" s="24">
        <f>D395*E395</f>
        <v/>
      </c>
      <c r="G395" s="22" t="n"/>
    </row>
    <row r="396">
      <c r="A396" s="22" t="inlineStr">
        <is>
          <t>0130</t>
        </is>
      </c>
      <c r="B396" s="11" t="inlineStr">
        <is>
          <t>Mistry</t>
        </is>
      </c>
      <c r="C396" s="22" t="inlineStr">
        <is>
          <t>day</t>
        </is>
      </c>
      <c r="D396" s="23" t="n">
        <v>0.14</v>
      </c>
      <c r="E396" s="24" t="n">
        <v>738</v>
      </c>
      <c r="F396" s="24">
        <f>D396*E396</f>
        <v/>
      </c>
      <c r="G396" s="22" t="n"/>
    </row>
    <row r="397">
      <c r="A397" s="22" t="inlineStr">
        <is>
          <t>0112</t>
        </is>
      </c>
      <c r="B397" s="11" t="inlineStr">
        <is>
          <t>Carpenter 2nd class</t>
        </is>
      </c>
      <c r="C397" s="22" t="inlineStr">
        <is>
          <t>day</t>
        </is>
      </c>
      <c r="D397" s="23" t="n">
        <v>0.55</v>
      </c>
      <c r="E397" s="24" t="n">
        <v>679</v>
      </c>
      <c r="F397" s="24">
        <f>D397*E397</f>
        <v/>
      </c>
      <c r="G397" s="22" t="n"/>
    </row>
    <row r="398">
      <c r="A398" s="22" t="inlineStr">
        <is>
          <t>0114</t>
        </is>
      </c>
      <c r="B398" s="11" t="inlineStr">
        <is>
          <t>Beldar</t>
        </is>
      </c>
      <c r="C398" s="22" t="inlineStr">
        <is>
          <t>day</t>
        </is>
      </c>
      <c r="D398" s="23" t="n">
        <v>1.64</v>
      </c>
      <c r="E398" s="24" t="n">
        <v>558</v>
      </c>
      <c r="F398" s="24">
        <f>D398*E398</f>
        <v/>
      </c>
      <c r="G398" s="22" t="n"/>
    </row>
    <row r="399">
      <c r="A399" s="8" t="inlineStr">
        <is>
          <t>Calculated W - SUM of the Amount column above</t>
        </is>
      </c>
      <c r="B399" s="9" t="n"/>
      <c r="C399" s="9" t="n"/>
      <c r="D399" s="9" t="n"/>
      <c r="E399" s="9" t="n"/>
      <c r="F399" s="25">
        <f>SUM(F393:F398)</f>
        <v/>
      </c>
      <c r="G399" s="9" t="n"/>
    </row>
    <row r="400">
      <c r="A400" s="26" t="inlineStr">
        <is>
          <t>W as printed in the DAR</t>
        </is>
      </c>
      <c r="B400" s="22" t="n"/>
      <c r="C400" s="22" t="n"/>
      <c r="D400" s="22" t="n"/>
      <c r="E400" s="22" t="n"/>
      <c r="F400" s="27" t="n">
        <v>6529.86</v>
      </c>
      <c r="G400" s="22" t="n"/>
    </row>
    <row r="401">
      <c r="A401" s="26" t="inlineStr">
        <is>
          <t>Difference (calculated - printed)</t>
        </is>
      </c>
      <c r="B401" s="22" t="n"/>
      <c r="C401" s="22" t="n"/>
      <c r="D401" s="22" t="n"/>
      <c r="E401" s="22" t="n"/>
      <c r="F401" s="27">
        <f>F399-F400</f>
        <v/>
      </c>
      <c r="G401" s="22" t="n"/>
    </row>
    <row r="402">
      <c r="A402" s="29" t="inlineStr">
        <is>
          <t>SAY (Rs.) - final DAR rate as printed (fixed value, not computed)</t>
        </is>
      </c>
      <c r="B402" s="30" t="n"/>
      <c r="C402" s="30" t="n"/>
      <c r="D402" s="30" t="n"/>
      <c r="E402" s="30" t="n"/>
      <c r="F402" s="31" t="n">
        <v>432.5</v>
      </c>
      <c r="G402" s="30" t="n"/>
    </row>
    <row r="404" ht="47.5" customHeight="1">
      <c r="A404" s="8" t="inlineStr">
        <is>
          <t>12.13</t>
        </is>
      </c>
      <c r="B404"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04" s="9" t="n"/>
      <c r="D404" s="9" t="n"/>
      <c r="E404" s="9" t="n"/>
      <c r="F404" s="9" t="n"/>
      <c r="G404" s="9" t="n"/>
    </row>
    <row r="405" ht="18.5" customHeight="1">
      <c r="A405" s="18" t="inlineStr">
        <is>
          <t>12.13.1</t>
        </is>
      </c>
      <c r="B405" s="19" t="inlineStr">
        <is>
          <t>Corrugated apron pieces Details for shed of 20.2 metres completed length</t>
        </is>
      </c>
      <c r="C405" s="20" t="n"/>
      <c r="D405" s="20" t="n"/>
      <c r="E405" s="20" t="n"/>
      <c r="F405" s="20" t="n"/>
      <c r="G405" s="20" t="n"/>
    </row>
    <row r="406">
      <c r="A406" s="21" t="inlineStr">
        <is>
          <t>Details of cost for 20.2 metre   |   Source: CivilDAR_2019_Vol_1.pdf, page 832</t>
        </is>
      </c>
    </row>
    <row r="407">
      <c r="A407" s="5" t="inlineStr">
        <is>
          <t>Code</t>
        </is>
      </c>
      <c r="B407" s="5" t="inlineStr">
        <is>
          <t>Description</t>
        </is>
      </c>
      <c r="C407" s="5" t="inlineStr">
        <is>
          <t>Unit</t>
        </is>
      </c>
      <c r="D407" s="5" t="inlineStr">
        <is>
          <t>Quantity</t>
        </is>
      </c>
      <c r="E407" s="5" t="inlineStr">
        <is>
          <t>Rate (Rs.)</t>
        </is>
      </c>
      <c r="F407" s="5" t="inlineStr">
        <is>
          <t>Amount (Rs.)</t>
        </is>
      </c>
      <c r="G407" s="5" t="inlineStr">
        <is>
          <t>Note</t>
        </is>
      </c>
    </row>
    <row r="408">
      <c r="A408" s="22" t="inlineStr">
        <is>
          <t>0228</t>
        </is>
      </c>
      <c r="B408" s="11" t="inlineStr">
        <is>
          <t>Fibre reinforced by organic fibres and/ or inorganic synthetic fibres cement corrugated appron piece.</t>
        </is>
      </c>
      <c r="C408" s="22" t="inlineStr">
        <is>
          <t>metre</t>
        </is>
      </c>
      <c r="D408" s="23" t="n">
        <v>23.52</v>
      </c>
      <c r="E408" s="24" t="n">
        <v>200</v>
      </c>
      <c r="F408" s="24">
        <f>D408*E408</f>
        <v/>
      </c>
      <c r="G408" s="22" t="n"/>
    </row>
    <row r="409">
      <c r="A409" s="22" t="inlineStr">
        <is>
          <t>9977</t>
        </is>
      </c>
      <c r="B409" s="11" t="inlineStr">
        <is>
          <t>Carriage of appron pieces. (The appron pieces are to be fixed with the same hooks as the sheets)</t>
        </is>
      </c>
      <c r="C409" s="22" t="inlineStr">
        <is>
          <t>L.S.</t>
        </is>
      </c>
      <c r="D409" s="23" t="n">
        <v>3.25</v>
      </c>
      <c r="E409" s="24" t="n">
        <v>2</v>
      </c>
      <c r="F409" s="24">
        <f>D409*E409</f>
        <v/>
      </c>
      <c r="G409" s="22" t="n"/>
    </row>
    <row r="410">
      <c r="A410" s="22" t="inlineStr">
        <is>
          <t>9999</t>
        </is>
      </c>
      <c r="B410" s="11" t="inlineStr">
        <is>
          <t>Sundries</t>
        </is>
      </c>
      <c r="C410" s="22" t="inlineStr">
        <is>
          <t>L.S.</t>
        </is>
      </c>
      <c r="D410" s="23" t="n">
        <v>3.25</v>
      </c>
      <c r="E410" s="24" t="n">
        <v>2</v>
      </c>
      <c r="F410" s="24">
        <f>D410*E410</f>
        <v/>
      </c>
      <c r="G410" s="22" t="n"/>
    </row>
    <row r="411">
      <c r="A411" s="22" t="inlineStr">
        <is>
          <t>0130</t>
        </is>
      </c>
      <c r="B411" s="11" t="inlineStr">
        <is>
          <t>Mistry</t>
        </is>
      </c>
      <c r="C411" s="22" t="inlineStr">
        <is>
          <t>day</t>
        </is>
      </c>
      <c r="D411" s="23" t="n">
        <v>0.07000000000000001</v>
      </c>
      <c r="E411" s="24" t="n">
        <v>738</v>
      </c>
      <c r="F411" s="24">
        <f>D411*E411</f>
        <v/>
      </c>
      <c r="G411" s="22" t="n"/>
    </row>
    <row r="412">
      <c r="A412" s="22" t="inlineStr">
        <is>
          <t>0112</t>
        </is>
      </c>
      <c r="B412" s="11" t="inlineStr">
        <is>
          <t>Carpenter 2nd class</t>
        </is>
      </c>
      <c r="C412" s="22" t="inlineStr">
        <is>
          <t>day</t>
        </is>
      </c>
      <c r="D412" s="23" t="n">
        <v>0.28</v>
      </c>
      <c r="E412" s="24" t="n">
        <v>679</v>
      </c>
      <c r="F412" s="24">
        <f>D412*E412</f>
        <v/>
      </c>
      <c r="G412" s="22" t="n"/>
    </row>
    <row r="413">
      <c r="A413" s="22" t="inlineStr">
        <is>
          <t>0114</t>
        </is>
      </c>
      <c r="B413" s="11" t="inlineStr">
        <is>
          <t>Beldar</t>
        </is>
      </c>
      <c r="C413" s="22" t="inlineStr">
        <is>
          <t>day</t>
        </is>
      </c>
      <c r="D413" s="23" t="n">
        <v>0.82</v>
      </c>
      <c r="E413" s="24" t="n">
        <v>558</v>
      </c>
      <c r="F413" s="24">
        <f>D413*E413</f>
        <v/>
      </c>
      <c r="G413" s="22" t="n"/>
    </row>
    <row r="414">
      <c r="A414" s="8" t="inlineStr">
        <is>
          <t>Calculated W - SUM of the Amount column above</t>
        </is>
      </c>
      <c r="B414" s="9" t="n"/>
      <c r="C414" s="9" t="n"/>
      <c r="D414" s="9" t="n"/>
      <c r="E414" s="9" t="n"/>
      <c r="F414" s="25">
        <f>SUM(F408:F413)</f>
        <v/>
      </c>
      <c r="G414" s="9" t="n"/>
    </row>
    <row r="415">
      <c r="A415" s="26" t="inlineStr">
        <is>
          <t>W as printed in the DAR</t>
        </is>
      </c>
      <c r="B415" s="22" t="n"/>
      <c r="C415" s="22" t="n"/>
      <c r="D415" s="22" t="n"/>
      <c r="E415" s="22" t="n"/>
      <c r="F415" s="27" t="n">
        <v>5416.34</v>
      </c>
      <c r="G415" s="22" t="n"/>
    </row>
    <row r="416">
      <c r="A416" s="26" t="inlineStr">
        <is>
          <t>Difference (calculated - printed)</t>
        </is>
      </c>
      <c r="B416" s="22" t="n"/>
      <c r="C416" s="22" t="n"/>
      <c r="D416" s="22" t="n"/>
      <c r="E416" s="22" t="n"/>
      <c r="F416" s="27">
        <f>F414-F415</f>
        <v/>
      </c>
      <c r="G416" s="22" t="n"/>
    </row>
    <row r="417">
      <c r="A417" s="29" t="inlineStr">
        <is>
          <t>SAY (Rs.) - final DAR rate as printed (fixed value, not computed)</t>
        </is>
      </c>
      <c r="B417" s="30" t="n"/>
      <c r="C417" s="30" t="n"/>
      <c r="D417" s="30" t="n"/>
      <c r="E417" s="30" t="n"/>
      <c r="F417" s="31" t="n">
        <v>358.75</v>
      </c>
      <c r="G417" s="30" t="n"/>
    </row>
    <row r="419" ht="47.5" customHeight="1">
      <c r="A419" s="8" t="inlineStr">
        <is>
          <t>12.13</t>
        </is>
      </c>
      <c r="B419"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19" s="9" t="n"/>
      <c r="D419" s="9" t="n"/>
      <c r="E419" s="9" t="n"/>
      <c r="F419" s="9" t="n"/>
      <c r="G419" s="9" t="n"/>
    </row>
    <row r="420" ht="18.5" customHeight="1">
      <c r="A420" s="18" t="inlineStr">
        <is>
          <t>12.13.2</t>
        </is>
      </c>
      <c r="B420" s="19" t="inlineStr">
        <is>
          <t>Eave's filler pieces Details of eaves filler for a shed of</t>
        </is>
      </c>
      <c r="C420" s="20" t="n"/>
      <c r="D420" s="20" t="n"/>
      <c r="E420" s="20" t="n"/>
      <c r="F420" s="20" t="n"/>
      <c r="G420" s="20" t="n"/>
    </row>
    <row r="421">
      <c r="A421" s="21" t="inlineStr">
        <is>
          <t>Details of cost for 20.2 metres   |   Source: CivilDAR_2019_Vol_1.pdf, page 833</t>
        </is>
      </c>
    </row>
    <row r="422">
      <c r="A422" s="5" t="inlineStr">
        <is>
          <t>Code</t>
        </is>
      </c>
      <c r="B422" s="5" t="inlineStr">
        <is>
          <t>Description</t>
        </is>
      </c>
      <c r="C422" s="5" t="inlineStr">
        <is>
          <t>Unit</t>
        </is>
      </c>
      <c r="D422" s="5" t="inlineStr">
        <is>
          <t>Quantity</t>
        </is>
      </c>
      <c r="E422" s="5" t="inlineStr">
        <is>
          <t>Rate (Rs.)</t>
        </is>
      </c>
      <c r="F422" s="5" t="inlineStr">
        <is>
          <t>Amount (Rs.)</t>
        </is>
      </c>
      <c r="G422" s="5" t="inlineStr">
        <is>
          <t>Note</t>
        </is>
      </c>
    </row>
    <row r="423">
      <c r="A423" s="22" t="inlineStr">
        <is>
          <t>0229</t>
        </is>
      </c>
      <c r="B423" s="11" t="inlineStr">
        <is>
          <t>Fibre reinforced by organic fibres and/ or inorganic synthetic fibres cement eaves filler piece.</t>
        </is>
      </c>
      <c r="C423" s="22" t="inlineStr">
        <is>
          <t>each</t>
        </is>
      </c>
      <c r="D423" s="23" t="n">
        <v>21</v>
      </c>
      <c r="E423" s="24" t="n">
        <v>175</v>
      </c>
      <c r="F423" s="24">
        <f>D423*E423</f>
        <v/>
      </c>
      <c r="G423" s="22" t="n"/>
    </row>
    <row r="424">
      <c r="A424" s="22" t="inlineStr">
        <is>
          <t>9999</t>
        </is>
      </c>
      <c r="B424" s="11" t="inlineStr">
        <is>
          <t>The eaves filler pieces are to be fixed with the same hooks as the sheets</t>
        </is>
      </c>
      <c r="C424" s="22" t="inlineStr">
        <is>
          <t>L.S.</t>
        </is>
      </c>
      <c r="D424" s="23" t="n">
        <v>3.25</v>
      </c>
      <c r="E424" s="24" t="n">
        <v>2</v>
      </c>
      <c r="F424" s="24">
        <f>D424*E424</f>
        <v/>
      </c>
      <c r="G424" s="22" t="n"/>
    </row>
    <row r="425">
      <c r="A425" s="22" t="inlineStr">
        <is>
          <t>9999</t>
        </is>
      </c>
      <c r="B425" s="11" t="inlineStr">
        <is>
          <t>Sundries</t>
        </is>
      </c>
      <c r="C425" s="22" t="inlineStr">
        <is>
          <t>L.S.</t>
        </is>
      </c>
      <c r="D425" s="23" t="n">
        <v>3.25</v>
      </c>
      <c r="E425" s="24" t="n">
        <v>2</v>
      </c>
      <c r="F425" s="24">
        <f>D425*E425</f>
        <v/>
      </c>
      <c r="G425" s="22" t="n"/>
    </row>
    <row r="426">
      <c r="A426" s="22" t="inlineStr">
        <is>
          <t>0130</t>
        </is>
      </c>
      <c r="B426" s="11" t="inlineStr">
        <is>
          <t>Mistry</t>
        </is>
      </c>
      <c r="C426" s="22" t="inlineStr">
        <is>
          <t>day</t>
        </is>
      </c>
      <c r="D426" s="23" t="n">
        <v>0.07000000000000001</v>
      </c>
      <c r="E426" s="24" t="n">
        <v>738</v>
      </c>
      <c r="F426" s="24">
        <f>D426*E426</f>
        <v/>
      </c>
      <c r="G426" s="22" t="n"/>
    </row>
    <row r="427">
      <c r="A427" s="22" t="inlineStr">
        <is>
          <t>0112</t>
        </is>
      </c>
      <c r="B427" s="11" t="inlineStr">
        <is>
          <t>Carpenter 2nd class</t>
        </is>
      </c>
      <c r="C427" s="22" t="inlineStr">
        <is>
          <t>day</t>
        </is>
      </c>
      <c r="D427" s="23" t="n">
        <v>0.28</v>
      </c>
      <c r="E427" s="24" t="n">
        <v>679</v>
      </c>
      <c r="F427" s="24">
        <f>D427*E427</f>
        <v/>
      </c>
      <c r="G427" s="22" t="n"/>
    </row>
    <row r="428">
      <c r="A428" s="22" t="inlineStr">
        <is>
          <t>0114</t>
        </is>
      </c>
      <c r="B428" s="11" t="inlineStr">
        <is>
          <t>Beldar</t>
        </is>
      </c>
      <c r="C428" s="22" t="inlineStr">
        <is>
          <t>day</t>
        </is>
      </c>
      <c r="D428" s="23" t="n">
        <v>0.82</v>
      </c>
      <c r="E428" s="24" t="n">
        <v>558</v>
      </c>
      <c r="F428" s="24">
        <f>D428*E428</f>
        <v/>
      </c>
      <c r="G428" s="22" t="n"/>
    </row>
    <row r="429">
      <c r="A429" s="8" t="inlineStr">
        <is>
          <t>Calculated W - SUM of the Amount column above</t>
        </is>
      </c>
      <c r="B429" s="9" t="n"/>
      <c r="C429" s="9" t="n"/>
      <c r="D429" s="9" t="n"/>
      <c r="E429" s="9" t="n"/>
      <c r="F429" s="25">
        <f>SUM(F423:F428)</f>
        <v/>
      </c>
      <c r="G429" s="9" t="n"/>
    </row>
    <row r="430">
      <c r="A430" s="26" t="inlineStr">
        <is>
          <t>W as printed in the DAR</t>
        </is>
      </c>
      <c r="B430" s="22" t="n"/>
      <c r="C430" s="22" t="n"/>
      <c r="D430" s="22" t="n"/>
      <c r="E430" s="22" t="n"/>
      <c r="F430" s="27" t="n">
        <v>4387.34</v>
      </c>
      <c r="G430" s="22" t="n"/>
    </row>
    <row r="431">
      <c r="A431" s="26" t="inlineStr">
        <is>
          <t>Difference (calculated - printed)</t>
        </is>
      </c>
      <c r="B431" s="22" t="n"/>
      <c r="C431" s="22" t="n"/>
      <c r="D431" s="22" t="n"/>
      <c r="E431" s="22" t="n"/>
      <c r="F431" s="27">
        <f>F429-F430</f>
        <v/>
      </c>
      <c r="G431" s="22" t="n"/>
    </row>
    <row r="432">
      <c r="A432" s="29" t="inlineStr">
        <is>
          <t>SAY (Rs.) - final DAR rate as printed (fixed value, not computed)</t>
        </is>
      </c>
      <c r="B432" s="30" t="n"/>
      <c r="C432" s="30" t="n"/>
      <c r="D432" s="30" t="n"/>
      <c r="E432" s="30" t="n"/>
      <c r="F432" s="31" t="n">
        <v>290.6</v>
      </c>
      <c r="G432" s="30" t="n"/>
    </row>
    <row r="434" ht="47.5" customHeight="1">
      <c r="A434" s="8" t="inlineStr">
        <is>
          <t>12.13</t>
        </is>
      </c>
      <c r="B434"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34" s="9" t="n"/>
      <c r="D434" s="9" t="n"/>
      <c r="E434" s="9" t="n"/>
      <c r="F434" s="9" t="n"/>
      <c r="G434" s="9" t="n"/>
    </row>
    <row r="435" ht="18.5" customHeight="1">
      <c r="A435" s="18" t="inlineStr">
        <is>
          <t>12.13.3</t>
        </is>
      </c>
      <c r="B435" s="19" t="inlineStr">
        <is>
          <t>North light curves Details of North light curve 20.2 metres long complete length</t>
        </is>
      </c>
      <c r="C435" s="20" t="n"/>
      <c r="D435" s="20" t="n"/>
      <c r="E435" s="20" t="n"/>
      <c r="F435" s="20" t="n"/>
      <c r="G435" s="20" t="n"/>
    </row>
    <row r="436">
      <c r="A436" s="21" t="inlineStr">
        <is>
          <t>Details of cost for 20.2 metres   |   Source: CivilDAR_2019_Vol_1.pdf, page 834</t>
        </is>
      </c>
    </row>
    <row r="437">
      <c r="A437" s="5" t="inlineStr">
        <is>
          <t>Code</t>
        </is>
      </c>
      <c r="B437" s="5" t="inlineStr">
        <is>
          <t>Description</t>
        </is>
      </c>
      <c r="C437" s="5" t="inlineStr">
        <is>
          <t>Unit</t>
        </is>
      </c>
      <c r="D437" s="5" t="inlineStr">
        <is>
          <t>Quantity</t>
        </is>
      </c>
      <c r="E437" s="5" t="inlineStr">
        <is>
          <t>Rate (Rs.)</t>
        </is>
      </c>
      <c r="F437" s="5" t="inlineStr">
        <is>
          <t>Amount (Rs.)</t>
        </is>
      </c>
      <c r="G437" s="5" t="inlineStr">
        <is>
          <t>Note</t>
        </is>
      </c>
    </row>
    <row r="438">
      <c r="A438" s="22" t="inlineStr">
        <is>
          <t>0230</t>
        </is>
      </c>
      <c r="B438" s="11" t="inlineStr">
        <is>
          <t>Fibre reinforced by organic fibres and/ or inorganic synthetic fibres cement north light curves.</t>
        </is>
      </c>
      <c r="C438" s="22" t="inlineStr">
        <is>
          <t>metre</t>
        </is>
      </c>
      <c r="D438" s="23" t="n">
        <v>21.336</v>
      </c>
      <c r="E438" s="24" t="n">
        <v>280</v>
      </c>
      <c r="F438" s="24">
        <f>D438*E438</f>
        <v/>
      </c>
      <c r="G438" s="22" t="n"/>
    </row>
    <row r="439">
      <c r="A439" s="22" t="inlineStr">
        <is>
          <t>1023</t>
        </is>
      </c>
      <c r="B439" s="11" t="inlineStr">
        <is>
          <t>Galvanised steel J or L hooks 8 mm dia</t>
        </is>
      </c>
      <c r="C439" s="22" t="inlineStr">
        <is>
          <t>10 Nos</t>
        </is>
      </c>
      <c r="D439" s="23" t="n">
        <v>4</v>
      </c>
      <c r="E439" s="24" t="n">
        <v>120</v>
      </c>
      <c r="F439" s="24">
        <f>D439*E439</f>
        <v/>
      </c>
      <c r="G439" s="22" t="n"/>
    </row>
    <row r="440">
      <c r="A440" s="22" t="inlineStr">
        <is>
          <t>1209</t>
        </is>
      </c>
      <c r="B440" s="11" t="inlineStr">
        <is>
          <t>G.I. plain washer thick</t>
        </is>
      </c>
      <c r="C440" s="22" t="inlineStr">
        <is>
          <t>100 Nos</t>
        </is>
      </c>
      <c r="D440" s="23" t="n">
        <v>0.4</v>
      </c>
      <c r="E440" s="24" t="n">
        <v>35</v>
      </c>
      <c r="F440" s="24">
        <f>D440*E440</f>
        <v/>
      </c>
      <c r="G440" s="22" t="n"/>
    </row>
    <row r="441">
      <c r="A441" s="22" t="inlineStr">
        <is>
          <t>1208</t>
        </is>
      </c>
      <c r="B441" s="11" t="inlineStr">
        <is>
          <t>Bitumen washer</t>
        </is>
      </c>
      <c r="C441" s="22" t="inlineStr">
        <is>
          <t>100 Nos</t>
        </is>
      </c>
      <c r="D441" s="23" t="n">
        <v>0.4</v>
      </c>
      <c r="E441" s="24" t="n">
        <v>30</v>
      </c>
      <c r="F441" s="24">
        <f>D441*E441</f>
        <v/>
      </c>
      <c r="G441" s="22" t="n"/>
    </row>
    <row r="442">
      <c r="A442" s="22" t="inlineStr">
        <is>
          <t>9977</t>
        </is>
      </c>
      <c r="B442" s="11" t="inlineStr">
        <is>
          <t>Carriage of hooks, nuts, washers and curves</t>
        </is>
      </c>
      <c r="C442" s="22" t="inlineStr">
        <is>
          <t>L.S.</t>
        </is>
      </c>
      <c r="D442" s="23" t="n">
        <v>9.880000000000001</v>
      </c>
      <c r="E442" s="24" t="n">
        <v>2</v>
      </c>
      <c r="F442" s="24">
        <f>D442*E442</f>
        <v/>
      </c>
      <c r="G442" s="22" t="n"/>
    </row>
    <row r="443">
      <c r="A443" s="22" t="inlineStr">
        <is>
          <t>9999</t>
        </is>
      </c>
      <c r="B443" s="11" t="inlineStr">
        <is>
          <t>Sundries</t>
        </is>
      </c>
      <c r="C443" s="22" t="inlineStr">
        <is>
          <t>L.S.</t>
        </is>
      </c>
      <c r="D443" s="23" t="n">
        <v>6.24</v>
      </c>
      <c r="E443" s="24" t="n">
        <v>2</v>
      </c>
      <c r="F443" s="24">
        <f>D443*E443</f>
        <v/>
      </c>
      <c r="G443" s="22" t="n"/>
    </row>
    <row r="444">
      <c r="A444" s="22" t="inlineStr">
        <is>
          <t>0130</t>
        </is>
      </c>
      <c r="B444" s="11" t="inlineStr">
        <is>
          <t>Mistry</t>
        </is>
      </c>
      <c r="C444" s="22" t="inlineStr">
        <is>
          <t>day</t>
        </is>
      </c>
      <c r="D444" s="23" t="n">
        <v>0.1</v>
      </c>
      <c r="E444" s="24" t="n">
        <v>738</v>
      </c>
      <c r="F444" s="24">
        <f>D444*E444</f>
        <v/>
      </c>
      <c r="G444" s="22" t="n"/>
    </row>
    <row r="445">
      <c r="A445" s="22" t="inlineStr">
        <is>
          <t>0112</t>
        </is>
      </c>
      <c r="B445" s="11" t="inlineStr">
        <is>
          <t>Carpenter 2nd class</t>
        </is>
      </c>
      <c r="C445" s="22" t="inlineStr">
        <is>
          <t>day</t>
        </is>
      </c>
      <c r="D445" s="23" t="n">
        <v>0.3</v>
      </c>
      <c r="E445" s="24" t="n">
        <v>679</v>
      </c>
      <c r="F445" s="24">
        <f>D445*E445</f>
        <v/>
      </c>
      <c r="G445" s="22" t="n"/>
    </row>
    <row r="446">
      <c r="A446" s="22" t="inlineStr">
        <is>
          <t>0114</t>
        </is>
      </c>
      <c r="B446" s="11" t="inlineStr">
        <is>
          <t>Beldar</t>
        </is>
      </c>
      <c r="C446" s="22" t="inlineStr">
        <is>
          <t>day</t>
        </is>
      </c>
      <c r="D446" s="23" t="n">
        <v>1</v>
      </c>
      <c r="E446" s="24" t="n">
        <v>558</v>
      </c>
      <c r="F446" s="24">
        <f>D446*E446</f>
        <v/>
      </c>
      <c r="G446" s="22" t="n"/>
    </row>
    <row r="447">
      <c r="A447" s="8" t="inlineStr">
        <is>
          <t>Calculated W - SUM of the Amount column above</t>
        </is>
      </c>
      <c r="B447" s="9" t="n"/>
      <c r="C447" s="9" t="n"/>
      <c r="D447" s="9" t="n"/>
      <c r="E447" s="9" t="n"/>
      <c r="F447" s="25">
        <f>SUM(F438:F446)</f>
        <v/>
      </c>
      <c r="G447" s="9" t="n"/>
    </row>
    <row r="448">
      <c r="A448" s="26" t="inlineStr">
        <is>
          <t>W as printed in the DAR</t>
        </is>
      </c>
      <c r="B448" s="22" t="n"/>
      <c r="C448" s="22" t="n"/>
      <c r="D448" s="22" t="n"/>
      <c r="E448" s="22" t="n"/>
      <c r="F448" s="27" t="n">
        <v>7347.82</v>
      </c>
      <c r="G448" s="22" t="n"/>
    </row>
    <row r="449">
      <c r="A449" s="26" t="inlineStr">
        <is>
          <t>Difference (calculated - printed)</t>
        </is>
      </c>
      <c r="B449" s="22" t="n"/>
      <c r="C449" s="22" t="n"/>
      <c r="D449" s="22" t="n"/>
      <c r="E449" s="22" t="n"/>
      <c r="F449" s="27">
        <f>F447-F448</f>
        <v/>
      </c>
      <c r="G449" s="22" t="n"/>
    </row>
    <row r="450">
      <c r="A450" s="29" t="inlineStr">
        <is>
          <t>SAY (Rs.) - final DAR rate as printed (fixed value, not computed)</t>
        </is>
      </c>
      <c r="B450" s="30" t="n"/>
      <c r="C450" s="30" t="n"/>
      <c r="D450" s="30" t="n"/>
      <c r="E450" s="30" t="n"/>
      <c r="F450" s="31" t="n">
        <v>486.7</v>
      </c>
      <c r="G450" s="30" t="n"/>
    </row>
    <row r="452" ht="47.5" customHeight="1">
      <c r="A452" s="8" t="inlineStr">
        <is>
          <t>12.13</t>
        </is>
      </c>
      <c r="B452"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52" s="9" t="n"/>
      <c r="D452" s="9" t="n"/>
      <c r="E452" s="9" t="n"/>
      <c r="F452" s="9" t="n"/>
      <c r="G452" s="9" t="n"/>
    </row>
    <row r="453" ht="18.5" customHeight="1">
      <c r="A453" s="18" t="inlineStr">
        <is>
          <t>12.13.4</t>
        </is>
      </c>
      <c r="B453" s="19" t="inlineStr">
        <is>
          <t>Ventilator curves Details of ventilator curve 20.2 metres long complete length</t>
        </is>
      </c>
      <c r="C453" s="20" t="n"/>
      <c r="D453" s="20" t="n"/>
      <c r="E453" s="20" t="n"/>
      <c r="F453" s="20" t="n"/>
      <c r="G453" s="20" t="n"/>
    </row>
    <row r="454">
      <c r="A454" s="21" t="inlineStr">
        <is>
          <t>Details of cost for 20.2 metre   |   Source: CivilDAR_2019_Vol_1.pdf, page 834</t>
        </is>
      </c>
    </row>
    <row r="455">
      <c r="A455" s="5" t="inlineStr">
        <is>
          <t>Code</t>
        </is>
      </c>
      <c r="B455" s="5" t="inlineStr">
        <is>
          <t>Description</t>
        </is>
      </c>
      <c r="C455" s="5" t="inlineStr">
        <is>
          <t>Unit</t>
        </is>
      </c>
      <c r="D455" s="5" t="inlineStr">
        <is>
          <t>Quantity</t>
        </is>
      </c>
      <c r="E455" s="5" t="inlineStr">
        <is>
          <t>Rate (Rs.)</t>
        </is>
      </c>
      <c r="F455" s="5" t="inlineStr">
        <is>
          <t>Amount (Rs.)</t>
        </is>
      </c>
      <c r="G455" s="5" t="inlineStr">
        <is>
          <t>Note</t>
        </is>
      </c>
    </row>
    <row r="456">
      <c r="A456" s="22" t="inlineStr">
        <is>
          <t>0231</t>
        </is>
      </c>
      <c r="B456" s="11" t="inlineStr">
        <is>
          <t>Fibre reinforced by organic fibres and/ or inorganic synthetic fibres cement ventilator curves</t>
        </is>
      </c>
      <c r="C456" s="22" t="inlineStr">
        <is>
          <t>each</t>
        </is>
      </c>
      <c r="D456" s="23" t="n">
        <v>21.336</v>
      </c>
      <c r="E456" s="24" t="n">
        <v>310</v>
      </c>
      <c r="F456" s="24">
        <f>D456*E456</f>
        <v/>
      </c>
      <c r="G456" s="22" t="n"/>
    </row>
    <row r="457">
      <c r="A457" s="22" t="inlineStr">
        <is>
          <t>1023</t>
        </is>
      </c>
      <c r="B457" s="11" t="inlineStr">
        <is>
          <t>Galvanised steel J or L hooks 8 mm dia</t>
        </is>
      </c>
      <c r="C457" s="22" t="inlineStr">
        <is>
          <t>10 Nos</t>
        </is>
      </c>
      <c r="D457" s="23" t="n">
        <v>4</v>
      </c>
      <c r="E457" s="24" t="n">
        <v>120</v>
      </c>
      <c r="F457" s="24">
        <f>D457*E457</f>
        <v/>
      </c>
      <c r="G457" s="22" t="n"/>
    </row>
    <row r="458">
      <c r="A458" s="22" t="inlineStr">
        <is>
          <t>1209</t>
        </is>
      </c>
      <c r="B458" s="11" t="inlineStr">
        <is>
          <t>G.I. plain washer thick</t>
        </is>
      </c>
      <c r="C458" s="22" t="inlineStr">
        <is>
          <t>100 Nos</t>
        </is>
      </c>
      <c r="D458" s="23" t="n">
        <v>0.4</v>
      </c>
      <c r="E458" s="24" t="n">
        <v>35</v>
      </c>
      <c r="F458" s="24">
        <f>D458*E458</f>
        <v/>
      </c>
      <c r="G458" s="22" t="n"/>
    </row>
    <row r="459">
      <c r="A459" s="22" t="inlineStr">
        <is>
          <t>1208</t>
        </is>
      </c>
      <c r="B459" s="11" t="inlineStr">
        <is>
          <t>Bitumen washer</t>
        </is>
      </c>
      <c r="C459" s="22" t="inlineStr">
        <is>
          <t>100 Nos</t>
        </is>
      </c>
      <c r="D459" s="23" t="n">
        <v>0.4</v>
      </c>
      <c r="E459" s="24" t="n">
        <v>30</v>
      </c>
      <c r="F459" s="24">
        <f>D459*E459</f>
        <v/>
      </c>
      <c r="G459" s="22" t="n"/>
    </row>
    <row r="460">
      <c r="A460" s="22" t="inlineStr">
        <is>
          <t>9977</t>
        </is>
      </c>
      <c r="B460" s="11" t="inlineStr">
        <is>
          <t>Carriage of hooks, nuts, washers and curves</t>
        </is>
      </c>
      <c r="C460" s="22" t="inlineStr">
        <is>
          <t>L.S.</t>
        </is>
      </c>
      <c r="D460" s="23" t="n">
        <v>9.880000000000001</v>
      </c>
      <c r="E460" s="24" t="n">
        <v>2</v>
      </c>
      <c r="F460" s="24">
        <f>D460*E460</f>
        <v/>
      </c>
      <c r="G460" s="22" t="n"/>
    </row>
    <row r="461">
      <c r="A461" s="22" t="inlineStr">
        <is>
          <t>9999</t>
        </is>
      </c>
      <c r="B461" s="11" t="inlineStr">
        <is>
          <t>Sundries</t>
        </is>
      </c>
      <c r="C461" s="22" t="inlineStr">
        <is>
          <t>L.S.</t>
        </is>
      </c>
      <c r="D461" s="23" t="n">
        <v>6.24</v>
      </c>
      <c r="E461" s="24" t="n">
        <v>2</v>
      </c>
      <c r="F461" s="24">
        <f>D461*E461</f>
        <v/>
      </c>
      <c r="G461" s="22" t="n"/>
    </row>
    <row r="462">
      <c r="A462" s="22" t="inlineStr">
        <is>
          <t>0130</t>
        </is>
      </c>
      <c r="B462" s="11" t="inlineStr">
        <is>
          <t>Mistry</t>
        </is>
      </c>
      <c r="C462" s="22" t="inlineStr">
        <is>
          <t>day</t>
        </is>
      </c>
      <c r="D462" s="23" t="n">
        <v>0.1</v>
      </c>
      <c r="E462" s="24" t="n">
        <v>738</v>
      </c>
      <c r="F462" s="24">
        <f>D462*E462</f>
        <v/>
      </c>
      <c r="G462" s="22" t="n"/>
    </row>
    <row r="463">
      <c r="A463" s="22" t="inlineStr">
        <is>
          <t>0112</t>
        </is>
      </c>
      <c r="B463" s="11" t="inlineStr">
        <is>
          <t>Carpenter 2nd class</t>
        </is>
      </c>
      <c r="C463" s="22" t="inlineStr">
        <is>
          <t>day</t>
        </is>
      </c>
      <c r="D463" s="23" t="n">
        <v>0.3</v>
      </c>
      <c r="E463" s="24" t="n">
        <v>679</v>
      </c>
      <c r="F463" s="24">
        <f>D463*E463</f>
        <v/>
      </c>
      <c r="G463" s="22" t="n"/>
    </row>
    <row r="464">
      <c r="A464" s="22" t="inlineStr">
        <is>
          <t>0114</t>
        </is>
      </c>
      <c r="B464" s="11" t="inlineStr">
        <is>
          <t>Beldar</t>
        </is>
      </c>
      <c r="C464" s="22" t="inlineStr">
        <is>
          <t>day</t>
        </is>
      </c>
      <c r="D464" s="23" t="n">
        <v>1</v>
      </c>
      <c r="E464" s="24" t="n">
        <v>558</v>
      </c>
      <c r="F464" s="24">
        <f>D464*E464</f>
        <v/>
      </c>
      <c r="G464" s="22" t="n"/>
    </row>
    <row r="465">
      <c r="A465" s="8" t="inlineStr">
        <is>
          <t>Calculated W - SUM of the Amount column above</t>
        </is>
      </c>
      <c r="B465" s="9" t="n"/>
      <c r="C465" s="9" t="n"/>
      <c r="D465" s="9" t="n"/>
      <c r="E465" s="9" t="n"/>
      <c r="F465" s="25">
        <f>SUM(F456:F464)</f>
        <v/>
      </c>
      <c r="G465" s="9" t="n"/>
    </row>
    <row r="466">
      <c r="A466" s="26" t="inlineStr">
        <is>
          <t>W as printed in the DAR</t>
        </is>
      </c>
      <c r="B466" s="22" t="n"/>
      <c r="C466" s="22" t="n"/>
      <c r="D466" s="22" t="n"/>
      <c r="E466" s="22" t="n"/>
      <c r="F466" s="27" t="n">
        <v>7987.9</v>
      </c>
      <c r="G466" s="22" t="n"/>
    </row>
    <row r="467">
      <c r="A467" s="26" t="inlineStr">
        <is>
          <t>Difference (calculated - printed)</t>
        </is>
      </c>
      <c r="B467" s="22" t="n"/>
      <c r="C467" s="22" t="n"/>
      <c r="D467" s="22" t="n"/>
      <c r="E467" s="22" t="n"/>
      <c r="F467" s="27">
        <f>F465-F466</f>
        <v/>
      </c>
      <c r="G467" s="22" t="n"/>
    </row>
    <row r="468">
      <c r="A468" s="29" t="inlineStr">
        <is>
          <t>SAY (Rs.) - final DAR rate as printed (fixed value, not computed)</t>
        </is>
      </c>
      <c r="B468" s="30" t="n"/>
      <c r="C468" s="30" t="n"/>
      <c r="D468" s="30" t="n"/>
      <c r="E468" s="30" t="n"/>
      <c r="F468" s="31" t="n">
        <v>529.05</v>
      </c>
      <c r="G468" s="30" t="n"/>
    </row>
    <row r="470" ht="47.5" customHeight="1">
      <c r="A470" s="8" t="inlineStr">
        <is>
          <t>12.13</t>
        </is>
      </c>
      <c r="B470"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70" s="9" t="n"/>
      <c r="D470" s="9" t="n"/>
      <c r="E470" s="9" t="n"/>
      <c r="F470" s="9" t="n"/>
      <c r="G470" s="9" t="n"/>
    </row>
    <row r="471" ht="18.5" customHeight="1">
      <c r="A471" s="18" t="inlineStr">
        <is>
          <t>12.13.5</t>
        </is>
      </c>
      <c r="B471" s="19" t="inlineStr">
        <is>
          <t>Barge boards</t>
        </is>
      </c>
      <c r="C471" s="20" t="n"/>
      <c r="D471" s="20" t="n"/>
      <c r="E471" s="20" t="n"/>
      <c r="F471" s="20" t="n"/>
      <c r="G471" s="20" t="n"/>
    </row>
    <row r="472">
      <c r="A472" s="21" t="inlineStr">
        <is>
          <t>Details of cost for 9.7 metre   |   Source: CivilDAR_2019_Vol_1.pdf, page 835</t>
        </is>
      </c>
    </row>
    <row r="473">
      <c r="A473" s="5" t="inlineStr">
        <is>
          <t>Code</t>
        </is>
      </c>
      <c r="B473" s="5" t="inlineStr">
        <is>
          <t>Description</t>
        </is>
      </c>
      <c r="C473" s="5" t="inlineStr">
        <is>
          <t>Unit</t>
        </is>
      </c>
      <c r="D473" s="5" t="inlineStr">
        <is>
          <t>Quantity</t>
        </is>
      </c>
      <c r="E473" s="5" t="inlineStr">
        <is>
          <t>Rate (Rs.)</t>
        </is>
      </c>
      <c r="F473" s="5" t="inlineStr">
        <is>
          <t>Amount (Rs.)</t>
        </is>
      </c>
      <c r="G473" s="5" t="inlineStr">
        <is>
          <t>Note</t>
        </is>
      </c>
    </row>
    <row r="474">
      <c r="A474" s="22" t="inlineStr">
        <is>
          <t>0232</t>
        </is>
      </c>
      <c r="B474" s="11" t="inlineStr">
        <is>
          <t>Fibre reinforced by organic and/ or inorganic synthetic fibres cement barge boards 6 mm thick.</t>
        </is>
      </c>
      <c r="C474" s="22" t="inlineStr">
        <is>
          <t>metre</t>
        </is>
      </c>
      <c r="D474" s="23" t="n">
        <v>10.5</v>
      </c>
      <c r="E474" s="24" t="n">
        <v>400</v>
      </c>
      <c r="F474" s="24">
        <f>D474*E474</f>
        <v/>
      </c>
      <c r="G474" s="22" t="n"/>
    </row>
    <row r="475">
      <c r="A475" s="22" t="inlineStr">
        <is>
          <t>0222</t>
        </is>
      </c>
      <c r="B475" s="11" t="inlineStr">
        <is>
          <t>Seam bolts and nuts 6 mm dia and 25 mm long</t>
        </is>
      </c>
      <c r="C475" s="22" t="inlineStr">
        <is>
          <t>10 Nos</t>
        </is>
      </c>
      <c r="D475" s="23" t="n">
        <v>0.5</v>
      </c>
      <c r="E475" s="24" t="n">
        <v>10</v>
      </c>
      <c r="F475" s="24">
        <f>D475*E475</f>
        <v/>
      </c>
      <c r="G475" s="22" t="n"/>
    </row>
    <row r="476">
      <c r="A476" s="22" t="inlineStr">
        <is>
          <t>1211</t>
        </is>
      </c>
      <c r="B476" s="11" t="inlineStr">
        <is>
          <t>G.I. plain washer for seam bolts</t>
        </is>
      </c>
      <c r="C476" s="22" t="inlineStr">
        <is>
          <t>100 Nos</t>
        </is>
      </c>
      <c r="D476" s="23" t="n">
        <v>0.1</v>
      </c>
      <c r="E476" s="24" t="n">
        <v>32</v>
      </c>
      <c r="F476" s="24">
        <f>D476*E476</f>
        <v/>
      </c>
      <c r="G476" s="22" t="n"/>
    </row>
    <row r="477">
      <c r="A477" s="22" t="inlineStr">
        <is>
          <t>1208</t>
        </is>
      </c>
      <c r="B477" s="11" t="inlineStr">
        <is>
          <t>Bitumen washer</t>
        </is>
      </c>
      <c r="C477" s="22" t="inlineStr">
        <is>
          <t>100 Nos</t>
        </is>
      </c>
      <c r="D477" s="23" t="n">
        <v>0.05</v>
      </c>
      <c r="E477" s="24" t="n">
        <v>30</v>
      </c>
      <c r="F477" s="24">
        <f>D477*E477</f>
        <v/>
      </c>
      <c r="G477" s="22" t="n"/>
    </row>
    <row r="478">
      <c r="A478" s="22" t="inlineStr">
        <is>
          <t>9977</t>
        </is>
      </c>
      <c r="B478" s="11" t="inlineStr">
        <is>
          <t>Carriage of barge boards, bolts, nuts and washers</t>
        </is>
      </c>
      <c r="C478" s="22" t="inlineStr">
        <is>
          <t>L.S.</t>
        </is>
      </c>
      <c r="D478" s="23" t="n">
        <v>9.359999999999999</v>
      </c>
      <c r="E478" s="24" t="n">
        <v>2</v>
      </c>
      <c r="F478" s="24">
        <f>D478*E478</f>
        <v/>
      </c>
      <c r="G478" s="22" t="n"/>
    </row>
    <row r="479">
      <c r="A479" s="22" t="inlineStr">
        <is>
          <t>9999</t>
        </is>
      </c>
      <c r="B479" s="11" t="inlineStr">
        <is>
          <t>Sundries</t>
        </is>
      </c>
      <c r="C479" s="22" t="inlineStr">
        <is>
          <t>L.S.</t>
        </is>
      </c>
      <c r="D479" s="23" t="n">
        <v>6.76</v>
      </c>
      <c r="E479" s="24" t="n">
        <v>2</v>
      </c>
      <c r="F479" s="24">
        <f>D479*E479</f>
        <v/>
      </c>
      <c r="G479" s="22" t="n"/>
    </row>
    <row r="480">
      <c r="A480" s="22" t="inlineStr">
        <is>
          <t>0130</t>
        </is>
      </c>
      <c r="B480" s="11" t="inlineStr">
        <is>
          <t>Mistry</t>
        </is>
      </c>
      <c r="C480" s="22" t="inlineStr">
        <is>
          <t>day</t>
        </is>
      </c>
      <c r="D480" s="23" t="n">
        <v>0.04</v>
      </c>
      <c r="E480" s="24" t="n">
        <v>738</v>
      </c>
      <c r="F480" s="24">
        <f>D480*E480</f>
        <v/>
      </c>
      <c r="G480" s="22" t="n"/>
    </row>
    <row r="481">
      <c r="A481" s="22" t="inlineStr">
        <is>
          <t>0112</t>
        </is>
      </c>
      <c r="B481" s="11" t="inlineStr">
        <is>
          <t>Carpenter 2nd class</t>
        </is>
      </c>
      <c r="C481" s="22" t="inlineStr">
        <is>
          <t>day</t>
        </is>
      </c>
      <c r="D481" s="23" t="n">
        <v>0.06</v>
      </c>
      <c r="E481" s="24" t="n">
        <v>679</v>
      </c>
      <c r="F481" s="24">
        <f>D481*E481</f>
        <v/>
      </c>
      <c r="G481" s="22" t="n"/>
    </row>
    <row r="482">
      <c r="A482" s="22" t="inlineStr">
        <is>
          <t>0114</t>
        </is>
      </c>
      <c r="B482" s="11" t="inlineStr">
        <is>
          <t>Beldar</t>
        </is>
      </c>
      <c r="C482" s="22" t="inlineStr">
        <is>
          <t>day</t>
        </is>
      </c>
      <c r="D482" s="23" t="n">
        <v>0.4</v>
      </c>
      <c r="E482" s="24" t="n">
        <v>558</v>
      </c>
      <c r="F482" s="24">
        <f>D482*E482</f>
        <v/>
      </c>
      <c r="G482" s="22" t="n"/>
    </row>
    <row r="483">
      <c r="A483" s="8" t="inlineStr">
        <is>
          <t>Calculated W - SUM of the Amount column above</t>
        </is>
      </c>
      <c r="B483" s="9" t="n"/>
      <c r="C483" s="9" t="n"/>
      <c r="D483" s="9" t="n"/>
      <c r="E483" s="9" t="n"/>
      <c r="F483" s="25">
        <f>SUM(F474:F482)</f>
        <v/>
      </c>
      <c r="G483" s="9" t="n"/>
    </row>
    <row r="484">
      <c r="A484" s="26" t="inlineStr">
        <is>
          <t>W as printed in the DAR</t>
        </is>
      </c>
      <c r="B484" s="22" t="n"/>
      <c r="C484" s="22" t="n"/>
      <c r="D484" s="22" t="n"/>
      <c r="E484" s="22" t="n"/>
      <c r="F484" s="27" t="n">
        <v>4535.4</v>
      </c>
      <c r="G484" s="22" t="n"/>
    </row>
    <row r="485">
      <c r="A485" s="26" t="inlineStr">
        <is>
          <t>Difference (calculated - printed)</t>
        </is>
      </c>
      <c r="B485" s="22" t="n"/>
      <c r="C485" s="22" t="n"/>
      <c r="D485" s="22" t="n"/>
      <c r="E485" s="22" t="n"/>
      <c r="F485" s="27">
        <f>F483-F484</f>
        <v/>
      </c>
      <c r="G485" s="22" t="n"/>
    </row>
    <row r="486">
      <c r="A486" s="29" t="inlineStr">
        <is>
          <t>SAY (Rs.) - final DAR rate as printed (fixed value, not computed)</t>
        </is>
      </c>
      <c r="B486" s="30" t="n"/>
      <c r="C486" s="30" t="n"/>
      <c r="D486" s="30" t="n"/>
      <c r="E486" s="30" t="n"/>
      <c r="F486" s="31" t="n">
        <v>625.6</v>
      </c>
      <c r="G486" s="30" t="n"/>
    </row>
    <row r="488" ht="47.5" customHeight="1">
      <c r="A488" s="8" t="inlineStr">
        <is>
          <t>12.13</t>
        </is>
      </c>
      <c r="B488"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88" s="9" t="n"/>
      <c r="D488" s="9" t="n"/>
      <c r="E488" s="9" t="n"/>
      <c r="F488" s="9" t="n"/>
      <c r="G488" s="9" t="n"/>
    </row>
    <row r="489" ht="18.5" customHeight="1">
      <c r="A489" s="18" t="inlineStr">
        <is>
          <t>12.13.6</t>
        </is>
      </c>
      <c r="B489" s="19" t="inlineStr">
        <is>
          <t>Ridge finials Details of a pair of ridge final</t>
        </is>
      </c>
      <c r="C489" s="20" t="n"/>
      <c r="D489" s="20" t="n"/>
      <c r="E489" s="20" t="n"/>
      <c r="F489" s="20" t="n"/>
      <c r="G489" s="20" t="n"/>
    </row>
    <row r="490">
      <c r="A490" s="21" t="inlineStr">
        <is>
          <t>Details of cost for 1 pair   |   Source: CivilDAR_2019_Vol_1.pdf, page 836</t>
        </is>
      </c>
    </row>
    <row r="491">
      <c r="A491" s="5" t="inlineStr">
        <is>
          <t>Code</t>
        </is>
      </c>
      <c r="B491" s="5" t="inlineStr">
        <is>
          <t>Description</t>
        </is>
      </c>
      <c r="C491" s="5" t="inlineStr">
        <is>
          <t>Unit</t>
        </is>
      </c>
      <c r="D491" s="5" t="inlineStr">
        <is>
          <t>Quantity</t>
        </is>
      </c>
      <c r="E491" s="5" t="inlineStr">
        <is>
          <t>Rate (Rs.)</t>
        </is>
      </c>
      <c r="F491" s="5" t="inlineStr">
        <is>
          <t>Amount (Rs.)</t>
        </is>
      </c>
      <c r="G491" s="5" t="inlineStr">
        <is>
          <t>Note</t>
        </is>
      </c>
    </row>
    <row r="492">
      <c r="A492" s="22" t="inlineStr">
        <is>
          <t>0233</t>
        </is>
      </c>
      <c r="B492" s="11" t="inlineStr">
        <is>
          <t>Fibre reinforced by organic fibres and/ or inorganic synthetic fibres cement ridge finial.</t>
        </is>
      </c>
      <c r="C492" s="22" t="inlineStr">
        <is>
          <t>pair</t>
        </is>
      </c>
      <c r="D492" s="23" t="n">
        <v>1.05</v>
      </c>
      <c r="E492" s="24" t="n">
        <v>165</v>
      </c>
      <c r="F492" s="24">
        <f>D492*E492</f>
        <v/>
      </c>
      <c r="G492" s="22" t="n"/>
    </row>
    <row r="493">
      <c r="A493" s="22" t="inlineStr">
        <is>
          <t>9988</t>
        </is>
      </c>
      <c r="B493" s="11" t="inlineStr">
        <is>
          <t>Carriage, sundries, fixing charges including providing and fixing, seam bolts and nuts, with G.I. and bitumen washers</t>
        </is>
      </c>
      <c r="C493" s="22" t="inlineStr">
        <is>
          <t>L.S.</t>
        </is>
      </c>
      <c r="D493" s="23" t="n">
        <v>10.79</v>
      </c>
      <c r="E493" s="24" t="n">
        <v>2</v>
      </c>
      <c r="F493" s="24">
        <f>D493*E493</f>
        <v/>
      </c>
      <c r="G493" s="22" t="n"/>
    </row>
    <row r="494">
      <c r="A494" s="8" t="inlineStr">
        <is>
          <t>Calculated W - SUM of the Amount column above</t>
        </is>
      </c>
      <c r="B494" s="9" t="n"/>
      <c r="C494" s="9" t="n"/>
      <c r="D494" s="9" t="n"/>
      <c r="E494" s="9" t="n"/>
      <c r="F494" s="25">
        <f>SUM(F492:F493)</f>
        <v/>
      </c>
      <c r="G494" s="9" t="n"/>
    </row>
    <row r="495">
      <c r="A495" s="26" t="inlineStr">
        <is>
          <t>W as printed in the DAR</t>
        </is>
      </c>
      <c r="B495" s="22" t="n"/>
      <c r="C495" s="22" t="n"/>
      <c r="D495" s="22" t="n"/>
      <c r="E495" s="22" t="n"/>
      <c r="F495" s="27" t="n">
        <v>194.83</v>
      </c>
      <c r="G495" s="22" t="n"/>
    </row>
    <row r="496">
      <c r="A496" s="26" t="inlineStr">
        <is>
          <t>Difference (calculated - printed)</t>
        </is>
      </c>
      <c r="B496" s="22" t="n"/>
      <c r="C496" s="22" t="n"/>
      <c r="D496" s="22" t="n"/>
      <c r="E496" s="22" t="n"/>
      <c r="F496" s="27">
        <f>F494-F495</f>
        <v/>
      </c>
      <c r="G496" s="22" t="n"/>
    </row>
    <row r="497">
      <c r="A497" s="29" t="inlineStr">
        <is>
          <t>SAY (Rs.) - final DAR rate as printed (fixed value, not computed)</t>
        </is>
      </c>
      <c r="B497" s="30" t="n"/>
      <c r="C497" s="30" t="n"/>
      <c r="D497" s="30" t="n"/>
      <c r="E497" s="30" t="n"/>
      <c r="F497" s="31" t="n">
        <v>260.65</v>
      </c>
      <c r="G497" s="30" t="n"/>
    </row>
    <row r="499" ht="47.5" customHeight="1">
      <c r="A499" s="8" t="inlineStr">
        <is>
          <t>12.13</t>
        </is>
      </c>
      <c r="B499"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499" s="9" t="n"/>
      <c r="D499" s="9" t="n"/>
      <c r="E499" s="9" t="n"/>
      <c r="F499" s="9" t="n"/>
      <c r="G499" s="9" t="n"/>
    </row>
    <row r="500" ht="18.5" customHeight="1">
      <c r="A500" s="18" t="inlineStr">
        <is>
          <t>12.13.7</t>
        </is>
      </c>
      <c r="B500" s="19" t="inlineStr">
        <is>
          <t>Special north light curves</t>
        </is>
      </c>
      <c r="C500" s="20" t="n"/>
      <c r="D500" s="20" t="n"/>
      <c r="E500" s="20" t="n"/>
      <c r="F500" s="20" t="n"/>
      <c r="G500" s="20" t="n"/>
    </row>
    <row r="501">
      <c r="A501" s="21" t="inlineStr">
        <is>
          <t>Details of cost for 20 nos   |   Source: CivilDAR_2019_Vol_1.pdf, page 836</t>
        </is>
      </c>
    </row>
    <row r="502">
      <c r="A502" s="5" t="inlineStr">
        <is>
          <t>Code</t>
        </is>
      </c>
      <c r="B502" s="5" t="inlineStr">
        <is>
          <t>Description</t>
        </is>
      </c>
      <c r="C502" s="5" t="inlineStr">
        <is>
          <t>Unit</t>
        </is>
      </c>
      <c r="D502" s="5" t="inlineStr">
        <is>
          <t>Quantity</t>
        </is>
      </c>
      <c r="E502" s="5" t="inlineStr">
        <is>
          <t>Rate (Rs.)</t>
        </is>
      </c>
      <c r="F502" s="5" t="inlineStr">
        <is>
          <t>Amount (Rs.)</t>
        </is>
      </c>
      <c r="G502" s="5" t="inlineStr">
        <is>
          <t>Note</t>
        </is>
      </c>
    </row>
    <row r="503">
      <c r="A503" s="22" t="inlineStr">
        <is>
          <t>0234</t>
        </is>
      </c>
      <c r="B503" s="11" t="inlineStr">
        <is>
          <t>Fibre reinforced by organic fibres and/ or inorganic synthetic fibres cement special north light curves.</t>
        </is>
      </c>
      <c r="C503" s="22" t="inlineStr">
        <is>
          <t>each</t>
        </is>
      </c>
      <c r="D503" s="23" t="n">
        <v>21</v>
      </c>
      <c r="E503" s="24" t="n">
        <v>555</v>
      </c>
      <c r="F503" s="24">
        <f>D503*E503</f>
        <v/>
      </c>
      <c r="G503" s="22" t="n"/>
    </row>
    <row r="504">
      <c r="A504" s="22" t="inlineStr">
        <is>
          <t>1023</t>
        </is>
      </c>
      <c r="B504" s="11" t="inlineStr">
        <is>
          <t>Galvanised steel J or L hooks 8 mm dia</t>
        </is>
      </c>
      <c r="C504" s="22" t="inlineStr">
        <is>
          <t>10 Nos</t>
        </is>
      </c>
      <c r="D504" s="23" t="n">
        <v>4</v>
      </c>
      <c r="E504" s="24" t="n">
        <v>120</v>
      </c>
      <c r="F504" s="24">
        <f>D504*E504</f>
        <v/>
      </c>
      <c r="G504" s="22" t="n"/>
    </row>
    <row r="505">
      <c r="A505" s="22" t="inlineStr">
        <is>
          <t>1209</t>
        </is>
      </c>
      <c r="B505" s="11" t="inlineStr">
        <is>
          <t>G.I. plain washer thick</t>
        </is>
      </c>
      <c r="C505" s="22" t="inlineStr">
        <is>
          <t>100 Nos</t>
        </is>
      </c>
      <c r="D505" s="23" t="n">
        <v>0.4</v>
      </c>
      <c r="E505" s="24" t="n">
        <v>35</v>
      </c>
      <c r="F505" s="24">
        <f>D505*E505</f>
        <v/>
      </c>
      <c r="G505" s="22" t="n"/>
    </row>
    <row r="506">
      <c r="A506" s="22" t="inlineStr">
        <is>
          <t>1208</t>
        </is>
      </c>
      <c r="B506" s="11" t="inlineStr">
        <is>
          <t>Bitumen washer</t>
        </is>
      </c>
      <c r="C506" s="22" t="inlineStr">
        <is>
          <t>100 Nos</t>
        </is>
      </c>
      <c r="D506" s="23" t="n">
        <v>0.4</v>
      </c>
      <c r="E506" s="24" t="n">
        <v>30</v>
      </c>
      <c r="F506" s="24">
        <f>D506*E506</f>
        <v/>
      </c>
      <c r="G506" s="22" t="n"/>
    </row>
    <row r="507">
      <c r="A507" s="22" t="inlineStr">
        <is>
          <t>9977</t>
        </is>
      </c>
      <c r="B507" s="11" t="inlineStr">
        <is>
          <t>Carriage of hooks, nuts, washers and curves</t>
        </is>
      </c>
      <c r="C507" s="22" t="inlineStr">
        <is>
          <t>L.S.</t>
        </is>
      </c>
      <c r="D507" s="23" t="n">
        <v>9.880000000000001</v>
      </c>
      <c r="E507" s="24" t="n">
        <v>2</v>
      </c>
      <c r="F507" s="24">
        <f>D507*E507</f>
        <v/>
      </c>
      <c r="G507" s="22" t="n"/>
    </row>
    <row r="508">
      <c r="A508" s="22" t="inlineStr">
        <is>
          <t>9999</t>
        </is>
      </c>
      <c r="B508" s="11" t="inlineStr">
        <is>
          <t>Sundries</t>
        </is>
      </c>
      <c r="C508" s="22" t="inlineStr">
        <is>
          <t>L.S.</t>
        </is>
      </c>
      <c r="D508" s="23" t="n">
        <v>6.24</v>
      </c>
      <c r="E508" s="24" t="n">
        <v>2</v>
      </c>
      <c r="F508" s="24">
        <f>D508*E508</f>
        <v/>
      </c>
      <c r="G508" s="22" t="n"/>
    </row>
    <row r="509">
      <c r="A509" s="22" t="inlineStr">
        <is>
          <t>0130</t>
        </is>
      </c>
      <c r="B509" s="11" t="inlineStr">
        <is>
          <t>Mistry</t>
        </is>
      </c>
      <c r="C509" s="22" t="inlineStr">
        <is>
          <t>day</t>
        </is>
      </c>
      <c r="D509" s="23" t="n">
        <v>0.1</v>
      </c>
      <c r="E509" s="24" t="n">
        <v>738</v>
      </c>
      <c r="F509" s="24">
        <f>D509*E509</f>
        <v/>
      </c>
      <c r="G509" s="22" t="n"/>
    </row>
    <row r="510">
      <c r="A510" s="22" t="inlineStr">
        <is>
          <t>0112</t>
        </is>
      </c>
      <c r="B510" s="11" t="inlineStr">
        <is>
          <t>Carpenter 2nd class</t>
        </is>
      </c>
      <c r="C510" s="22" t="inlineStr">
        <is>
          <t>day</t>
        </is>
      </c>
      <c r="D510" s="23" t="n">
        <v>0.3</v>
      </c>
      <c r="E510" s="24" t="n">
        <v>679</v>
      </c>
      <c r="F510" s="24">
        <f>D510*E510</f>
        <v/>
      </c>
      <c r="G510" s="22" t="n"/>
    </row>
    <row r="511">
      <c r="A511" s="22" t="inlineStr">
        <is>
          <t>0114</t>
        </is>
      </c>
      <c r="B511" s="11" t="inlineStr">
        <is>
          <t>Beldar</t>
        </is>
      </c>
      <c r="C511" s="22" t="inlineStr">
        <is>
          <t>day</t>
        </is>
      </c>
      <c r="D511" s="23" t="n">
        <v>1</v>
      </c>
      <c r="E511" s="24" t="n">
        <v>558</v>
      </c>
      <c r="F511" s="24">
        <f>D511*E511</f>
        <v/>
      </c>
      <c r="G511" s="22" t="n"/>
    </row>
    <row r="512">
      <c r="A512" s="8" t="inlineStr">
        <is>
          <t>Calculated W - SUM of the Amount column above</t>
        </is>
      </c>
      <c r="B512" s="9" t="n"/>
      <c r="C512" s="9" t="n"/>
      <c r="D512" s="9" t="n"/>
      <c r="E512" s="9" t="n"/>
      <c r="F512" s="25">
        <f>SUM(F503:F511)</f>
        <v/>
      </c>
      <c r="G512" s="9" t="n"/>
    </row>
    <row r="513">
      <c r="A513" s="26" t="inlineStr">
        <is>
          <t>W as printed in the DAR</t>
        </is>
      </c>
      <c r="B513" s="22" t="n"/>
      <c r="C513" s="22" t="n"/>
      <c r="D513" s="22" t="n"/>
      <c r="E513" s="22" t="n"/>
      <c r="F513" s="27" t="n">
        <v>13028.74</v>
      </c>
      <c r="G513" s="22" t="n"/>
    </row>
    <row r="514">
      <c r="A514" s="26" t="inlineStr">
        <is>
          <t>Difference (calculated - printed)</t>
        </is>
      </c>
      <c r="B514" s="22" t="n"/>
      <c r="C514" s="22" t="n"/>
      <c r="D514" s="22" t="n"/>
      <c r="E514" s="22" t="n"/>
      <c r="F514" s="27">
        <f>F512-F513</f>
        <v/>
      </c>
      <c r="G514" s="22" t="n"/>
    </row>
    <row r="515">
      <c r="A515" s="29" t="inlineStr">
        <is>
          <t>SAY (Rs.) - final DAR rate as printed (fixed value, not computed)</t>
        </is>
      </c>
      <c r="B515" s="30" t="n"/>
      <c r="C515" s="30" t="n"/>
      <c r="D515" s="30" t="n"/>
      <c r="E515" s="30" t="n"/>
      <c r="F515" s="31" t="n">
        <v>871.6</v>
      </c>
      <c r="G515" s="30" t="n"/>
    </row>
    <row r="517" ht="47.5" customHeight="1">
      <c r="A517" s="8" t="inlineStr">
        <is>
          <t>12.13</t>
        </is>
      </c>
      <c r="B517" s="17"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is>
      </c>
      <c r="C517" s="9" t="n"/>
      <c r="D517" s="9" t="n"/>
      <c r="E517" s="9" t="n"/>
      <c r="F517" s="9" t="n"/>
      <c r="G517" s="9" t="n"/>
    </row>
    <row r="518" ht="18.5" customHeight="1">
      <c r="A518" s="18" t="inlineStr">
        <is>
          <t>12.13.8</t>
        </is>
      </c>
      <c r="B518" s="19" t="inlineStr">
        <is>
          <t>S type louvers</t>
        </is>
      </c>
      <c r="C518" s="20" t="n"/>
      <c r="D518" s="20" t="n"/>
      <c r="E518" s="20" t="n"/>
      <c r="F518" s="20" t="n"/>
      <c r="G518" s="20" t="n"/>
    </row>
    <row r="519">
      <c r="A519" s="21" t="inlineStr">
        <is>
          <t>Details of cost for 8.74 metres   |   Source: CivilDAR_2019_Vol_1.pdf, page 837</t>
        </is>
      </c>
    </row>
    <row r="520">
      <c r="A520" s="5" t="inlineStr">
        <is>
          <t>Code</t>
        </is>
      </c>
      <c r="B520" s="5" t="inlineStr">
        <is>
          <t>Description</t>
        </is>
      </c>
      <c r="C520" s="5" t="inlineStr">
        <is>
          <t>Unit</t>
        </is>
      </c>
      <c r="D520" s="5" t="inlineStr">
        <is>
          <t>Quantity</t>
        </is>
      </c>
      <c r="E520" s="5" t="inlineStr">
        <is>
          <t>Rate (Rs.)</t>
        </is>
      </c>
      <c r="F520" s="5" t="inlineStr">
        <is>
          <t>Amount (Rs.)</t>
        </is>
      </c>
      <c r="G520" s="5" t="inlineStr">
        <is>
          <t>Note</t>
        </is>
      </c>
    </row>
    <row r="521">
      <c r="A521" s="22" t="inlineStr">
        <is>
          <t>0235</t>
        </is>
      </c>
      <c r="B521" s="11" t="inlineStr">
        <is>
          <t>Fibre reinforced by organic fibres and/ or inorganic synthetic fibres cement S type louvers.</t>
        </is>
      </c>
      <c r="C521" s="22" t="inlineStr">
        <is>
          <t>each</t>
        </is>
      </c>
      <c r="D521" s="23" t="n">
        <v>5.25</v>
      </c>
      <c r="E521" s="24" t="n">
        <v>260</v>
      </c>
      <c r="F521" s="24">
        <f>D521*E521</f>
        <v/>
      </c>
      <c r="G521" s="22" t="n"/>
    </row>
    <row r="522">
      <c r="A522" s="22" t="inlineStr">
        <is>
          <t>9977</t>
        </is>
      </c>
      <c r="B522" s="11" t="inlineStr">
        <is>
          <t>Carriage</t>
        </is>
      </c>
      <c r="C522" s="22" t="inlineStr">
        <is>
          <t>L.S.</t>
        </is>
      </c>
      <c r="D522" s="23" t="n">
        <v>10.79</v>
      </c>
      <c r="E522" s="24" t="n">
        <v>2</v>
      </c>
      <c r="F522" s="24">
        <f>D522*E522</f>
        <v/>
      </c>
      <c r="G522" s="22" t="n"/>
    </row>
    <row r="523">
      <c r="A523" s="22" t="inlineStr">
        <is>
          <t>1031</t>
        </is>
      </c>
      <c r="B523" s="11" t="inlineStr">
        <is>
          <t>Galvanised steel bolts &amp; nuts 10 mm dia and 27 cm long both sides threaded with 4 galvanised steel nuts</t>
        </is>
      </c>
      <c r="C523" s="22" t="inlineStr">
        <is>
          <t>each</t>
        </is>
      </c>
      <c r="D523" s="23" t="n">
        <v>6</v>
      </c>
      <c r="E523" s="24" t="n">
        <v>20</v>
      </c>
      <c r="F523" s="24">
        <f>D523*E523</f>
        <v/>
      </c>
      <c r="G523" s="22" t="n"/>
    </row>
    <row r="524">
      <c r="A524" s="22" t="inlineStr">
        <is>
          <t>1032</t>
        </is>
      </c>
      <c r="B524" s="11" t="inlineStr">
        <is>
          <t>Galvanised steel bolts 10 mm dia and 7 cm long with nuts</t>
        </is>
      </c>
      <c r="C524" s="22" t="inlineStr">
        <is>
          <t>each</t>
        </is>
      </c>
      <c r="D524" s="23" t="n">
        <v>6</v>
      </c>
      <c r="E524" s="24" t="n">
        <v>6</v>
      </c>
      <c r="F524" s="24">
        <f>D524*E524</f>
        <v/>
      </c>
      <c r="G524" s="22" t="n"/>
    </row>
    <row r="525">
      <c r="A525" s="22" t="inlineStr">
        <is>
          <t>1208</t>
        </is>
      </c>
      <c r="B525" s="11" t="inlineStr">
        <is>
          <t>Bitumen washer</t>
        </is>
      </c>
      <c r="C525" s="22" t="inlineStr">
        <is>
          <t>100 Nos</t>
        </is>
      </c>
      <c r="D525" s="23" t="n">
        <v>0.18</v>
      </c>
      <c r="E525" s="24" t="n">
        <v>30</v>
      </c>
      <c r="F525" s="24">
        <f>D525*E525</f>
        <v/>
      </c>
      <c r="G525" s="22" t="n"/>
    </row>
    <row r="526">
      <c r="A526" s="22" t="inlineStr">
        <is>
          <t>1210</t>
        </is>
      </c>
      <c r="B526" s="11" t="inlineStr">
        <is>
          <t>G.I. plain washer thin</t>
        </is>
      </c>
      <c r="C526" s="22" t="inlineStr">
        <is>
          <t>100 Nos</t>
        </is>
      </c>
      <c r="D526" s="23" t="n">
        <v>0.36</v>
      </c>
      <c r="E526" s="24" t="n">
        <v>21</v>
      </c>
      <c r="F526" s="24">
        <f>D526*E526</f>
        <v/>
      </c>
      <c r="G526" s="22" t="n"/>
    </row>
    <row r="527">
      <c r="A527" s="22" t="inlineStr">
        <is>
          <t>9977</t>
        </is>
      </c>
      <c r="B527" s="11" t="inlineStr">
        <is>
          <t>Carriage of bolts and nuts and washers</t>
        </is>
      </c>
      <c r="C527" s="22" t="inlineStr">
        <is>
          <t>L.S.</t>
        </is>
      </c>
      <c r="D527" s="23" t="n">
        <v>2.73</v>
      </c>
      <c r="E527" s="24" t="n">
        <v>2</v>
      </c>
      <c r="F527" s="24">
        <f>D527*E527</f>
        <v/>
      </c>
      <c r="G527" s="22" t="n"/>
    </row>
    <row r="528">
      <c r="A528" s="22" t="inlineStr">
        <is>
          <t>9999</t>
        </is>
      </c>
      <c r="B528" s="11" t="inlineStr">
        <is>
          <t>Sundries</t>
        </is>
      </c>
      <c r="C528" s="22" t="inlineStr">
        <is>
          <t>L.S.</t>
        </is>
      </c>
      <c r="D528" s="23" t="n">
        <v>13.39</v>
      </c>
      <c r="E528" s="24" t="n">
        <v>2</v>
      </c>
      <c r="F528" s="24">
        <f>D528*E528</f>
        <v/>
      </c>
      <c r="G528" s="22" t="n"/>
    </row>
    <row r="529">
      <c r="A529" s="22" t="inlineStr">
        <is>
          <t>0111</t>
        </is>
      </c>
      <c r="B529" s="11" t="inlineStr">
        <is>
          <t>Carpenter 1st class</t>
        </is>
      </c>
      <c r="C529" s="22" t="inlineStr">
        <is>
          <t>day</t>
        </is>
      </c>
      <c r="D529" s="23" t="n">
        <v>1</v>
      </c>
      <c r="E529" s="24" t="n">
        <v>738</v>
      </c>
      <c r="F529" s="24">
        <f>D529*E529</f>
        <v/>
      </c>
      <c r="G529" s="22" t="n"/>
    </row>
    <row r="530">
      <c r="A530" s="22" t="inlineStr">
        <is>
          <t>0114</t>
        </is>
      </c>
      <c r="B530" s="11" t="inlineStr">
        <is>
          <t>Beldar</t>
        </is>
      </c>
      <c r="C530" s="22" t="inlineStr">
        <is>
          <t>day</t>
        </is>
      </c>
      <c r="D530" s="23" t="n">
        <v>1</v>
      </c>
      <c r="E530" s="24" t="n">
        <v>558</v>
      </c>
      <c r="F530" s="24">
        <f>D530*E530</f>
        <v/>
      </c>
      <c r="G530" s="22" t="n"/>
    </row>
    <row r="531">
      <c r="A531" s="22" t="inlineStr">
        <is>
          <t>0102</t>
        </is>
      </c>
      <c r="B531" s="11" t="inlineStr">
        <is>
          <t>Blacksmith 1st class</t>
        </is>
      </c>
      <c r="C531" s="22" t="inlineStr">
        <is>
          <t>day</t>
        </is>
      </c>
      <c r="D531" s="23" t="n">
        <v>0.12</v>
      </c>
      <c r="E531" s="24" t="n">
        <v>738</v>
      </c>
      <c r="F531" s="24">
        <f>D531*E531</f>
        <v/>
      </c>
      <c r="G531" s="22" t="n"/>
    </row>
    <row r="532">
      <c r="A532" s="8" t="inlineStr">
        <is>
          <t>Calculated W - SUM of the Amount column above</t>
        </is>
      </c>
      <c r="B532" s="9" t="n"/>
      <c r="C532" s="9" t="n"/>
      <c r="D532" s="9" t="n"/>
      <c r="E532" s="9" t="n"/>
      <c r="F532" s="25">
        <f>SUM(F521:F531)</f>
        <v/>
      </c>
      <c r="G532" s="9" t="n"/>
    </row>
    <row r="533">
      <c r="A533" s="26" t="inlineStr">
        <is>
          <t>W as printed in the DAR</t>
        </is>
      </c>
      <c r="B533" s="22" t="n"/>
      <c r="C533" s="22" t="n"/>
      <c r="D533" s="22" t="n"/>
      <c r="E533" s="22" t="n"/>
      <c r="F533" s="27" t="n">
        <v>2972.34</v>
      </c>
      <c r="G533" s="22" t="n"/>
    </row>
    <row r="534">
      <c r="A534" s="26" t="inlineStr">
        <is>
          <t>Difference (calculated - printed)</t>
        </is>
      </c>
      <c r="B534" s="22" t="n"/>
      <c r="C534" s="22" t="n"/>
      <c r="D534" s="22" t="n"/>
      <c r="E534" s="22" t="n"/>
      <c r="F534" s="27">
        <f>F532-F533</f>
        <v/>
      </c>
      <c r="G534" s="22" t="n"/>
    </row>
    <row r="535">
      <c r="A535" s="29" t="inlineStr">
        <is>
          <t>SAY (Rs.) - final DAR rate as printed (fixed value, not computed)</t>
        </is>
      </c>
      <c r="B535" s="30" t="n"/>
      <c r="C535" s="30" t="n"/>
      <c r="D535" s="30" t="n"/>
      <c r="E535" s="30" t="n"/>
      <c r="F535" s="31" t="n">
        <v>455</v>
      </c>
      <c r="G535" s="30" t="n"/>
    </row>
    <row r="537" ht="33" customHeight="1">
      <c r="A537" s="18" t="inlineStr">
        <is>
          <t>12.14</t>
        </is>
      </c>
      <c r="B537" s="19" t="inlineStr">
        <is>
          <t>Providing flat iron brackets 50x3 mm size with necessary bolts, nuts and washers etc. for fixing G.S. sheets gutters with purlins.</t>
        </is>
      </c>
      <c r="C537" s="20" t="n"/>
      <c r="D537" s="20" t="n"/>
      <c r="E537" s="20" t="n"/>
      <c r="F537" s="20" t="n"/>
      <c r="G537" s="20" t="n"/>
    </row>
    <row r="538">
      <c r="A538" s="21" t="inlineStr">
        <is>
          <t>Details of cost for 20 metres   |   Source: CivilDAR_2019_Vol_1.pdf, page 838</t>
        </is>
      </c>
    </row>
    <row r="539">
      <c r="A539" s="5" t="inlineStr">
        <is>
          <t>Code</t>
        </is>
      </c>
      <c r="B539" s="5" t="inlineStr">
        <is>
          <t>Description</t>
        </is>
      </c>
      <c r="C539" s="5" t="inlineStr">
        <is>
          <t>Unit</t>
        </is>
      </c>
      <c r="D539" s="5" t="inlineStr">
        <is>
          <t>Quantity</t>
        </is>
      </c>
      <c r="E539" s="5" t="inlineStr">
        <is>
          <t>Rate (Rs.)</t>
        </is>
      </c>
      <c r="F539" s="5" t="inlineStr">
        <is>
          <t>Amount (Rs.)</t>
        </is>
      </c>
      <c r="G539" s="5" t="inlineStr">
        <is>
          <t>Note</t>
        </is>
      </c>
    </row>
    <row r="540">
      <c r="A540" s="22" t="inlineStr">
        <is>
          <t>1008</t>
        </is>
      </c>
      <c r="B540" s="11" t="inlineStr">
        <is>
          <t>Flats upto 10 mm in thickness</t>
        </is>
      </c>
      <c r="C540" s="22" t="inlineStr">
        <is>
          <t>quintal</t>
        </is>
      </c>
      <c r="D540" s="23" t="n">
        <v>0.1163</v>
      </c>
      <c r="E540" s="24" t="n">
        <v>4500</v>
      </c>
      <c r="F540" s="24">
        <f>D540*E540</f>
        <v/>
      </c>
      <c r="G540" s="22" t="n"/>
    </row>
    <row r="541">
      <c r="A541" s="22" t="inlineStr">
        <is>
          <t>1025</t>
        </is>
      </c>
      <c r="B541" s="11" t="inlineStr">
        <is>
          <t>Mild stel bolts 6 mm dia and 25 mm long with hexagonal head</t>
        </is>
      </c>
      <c r="C541" s="22" t="inlineStr">
        <is>
          <t>10 Nos</t>
        </is>
      </c>
      <c r="D541" s="23" t="n">
        <v>3.8</v>
      </c>
      <c r="E541" s="24" t="n">
        <v>10</v>
      </c>
      <c r="F541" s="24">
        <f>D541*E541</f>
        <v/>
      </c>
      <c r="G541" s="22" t="n"/>
    </row>
    <row r="542">
      <c r="A542" s="22" t="inlineStr">
        <is>
          <t>1210</t>
        </is>
      </c>
      <c r="B542" s="11" t="inlineStr">
        <is>
          <t>G.I. plain washer thin</t>
        </is>
      </c>
      <c r="C542" s="22" t="inlineStr">
        <is>
          <t>100 Nos</t>
        </is>
      </c>
      <c r="D542" s="23" t="n">
        <v>0.19</v>
      </c>
      <c r="E542" s="24" t="n">
        <v>21</v>
      </c>
      <c r="F542" s="24">
        <f>D542*E542</f>
        <v/>
      </c>
      <c r="G542" s="22" t="n"/>
    </row>
    <row r="543">
      <c r="A543" s="22" t="inlineStr">
        <is>
          <t>9999</t>
        </is>
      </c>
      <c r="B543" s="11" t="inlineStr">
        <is>
          <t>Sundries</t>
        </is>
      </c>
      <c r="C543" s="22" t="inlineStr">
        <is>
          <t>L.S.</t>
        </is>
      </c>
      <c r="D543" s="23" t="n">
        <v>1.04</v>
      </c>
      <c r="E543" s="24" t="n">
        <v>2</v>
      </c>
      <c r="F543" s="24">
        <f>D543*E543</f>
        <v/>
      </c>
      <c r="G543" s="22" t="n"/>
    </row>
    <row r="544">
      <c r="A544" s="22" t="inlineStr">
        <is>
          <t>0102</t>
        </is>
      </c>
      <c r="B544" s="11" t="inlineStr">
        <is>
          <t>Blacksmith 1st class</t>
        </is>
      </c>
      <c r="C544" s="22" t="inlineStr">
        <is>
          <t>day</t>
        </is>
      </c>
      <c r="D544" s="23" t="n">
        <v>0.38</v>
      </c>
      <c r="E544" s="24" t="n">
        <v>738</v>
      </c>
      <c r="F544" s="24">
        <f>D544*E544</f>
        <v/>
      </c>
      <c r="G544" s="22" t="n"/>
    </row>
    <row r="545">
      <c r="A545" s="22" t="inlineStr">
        <is>
          <t>0114</t>
        </is>
      </c>
      <c r="B545" s="11" t="inlineStr">
        <is>
          <t>Beldar</t>
        </is>
      </c>
      <c r="C545" s="22" t="inlineStr">
        <is>
          <t>day</t>
        </is>
      </c>
      <c r="D545" s="23" t="n">
        <v>0.38</v>
      </c>
      <c r="E545" s="24" t="n">
        <v>558</v>
      </c>
      <c r="F545" s="24">
        <f>D545*E545</f>
        <v/>
      </c>
      <c r="G545" s="22" t="n"/>
    </row>
    <row r="546">
      <c r="A546" s="8" t="inlineStr">
        <is>
          <t>Calculated W - SUM of the Amount column above</t>
        </is>
      </c>
      <c r="B546" s="9" t="n"/>
      <c r="C546" s="9" t="n"/>
      <c r="D546" s="9" t="n"/>
      <c r="E546" s="9" t="n"/>
      <c r="F546" s="25">
        <f>SUM(F540:F545)</f>
        <v/>
      </c>
      <c r="G546" s="9" t="n"/>
    </row>
    <row r="547">
      <c r="A547" s="26" t="inlineStr">
        <is>
          <t>W as printed in the DAR</t>
        </is>
      </c>
      <c r="B547" s="22" t="n"/>
      <c r="C547" s="22" t="n"/>
      <c r="D547" s="22" t="n"/>
      <c r="E547" s="22" t="n"/>
      <c r="F547" s="27" t="n">
        <v>1059.9</v>
      </c>
      <c r="G547" s="22" t="n"/>
    </row>
    <row r="548">
      <c r="A548" s="26" t="inlineStr">
        <is>
          <t>Difference (calculated - printed)</t>
        </is>
      </c>
      <c r="B548" s="22" t="n"/>
      <c r="C548" s="22" t="n"/>
      <c r="D548" s="22" t="n"/>
      <c r="E548" s="22" t="n"/>
      <c r="F548" s="27">
        <f>F546-F547</f>
        <v/>
      </c>
      <c r="G548" s="22" t="n"/>
    </row>
    <row r="549">
      <c r="A549" s="29" t="inlineStr">
        <is>
          <t>SAY (Rs.) - final DAR rate as printed (fixed value, not computed)</t>
        </is>
      </c>
      <c r="B549" s="30" t="n"/>
      <c r="C549" s="30" t="n"/>
      <c r="D549" s="30" t="n"/>
      <c r="E549" s="30" t="n"/>
      <c r="F549" s="31" t="n">
        <v>70.90000000000001</v>
      </c>
      <c r="G549" s="30" t="n"/>
    </row>
    <row r="551" ht="47.5" customHeight="1">
      <c r="A551" s="8" t="inlineStr">
        <is>
          <t>12.15</t>
        </is>
      </c>
      <c r="B551" s="17" t="inlineStr">
        <is>
          <t>Painting top of roofs with bitumen of approved quality @ 17kg per 10 sqm impregnated with a coat of coarse sand at 60 cudm per 10 sqm, including cleaning the slab surface with brushes and finally with a piece of cloth lightly soaked in kerosene oil complete :</t>
        </is>
      </c>
      <c r="C551" s="9" t="n"/>
      <c r="D551" s="9" t="n"/>
      <c r="E551" s="9" t="n"/>
      <c r="F551" s="9" t="n"/>
      <c r="G551" s="9" t="n"/>
    </row>
    <row r="552" ht="18.5" customHeight="1">
      <c r="A552" s="18" t="inlineStr">
        <is>
          <t>12.15.1</t>
        </is>
      </c>
      <c r="B552" s="19" t="inlineStr">
        <is>
          <t>With residual type petroleum bitumen of grade VG -10</t>
        </is>
      </c>
      <c r="C552" s="20" t="n"/>
      <c r="D552" s="20" t="n"/>
      <c r="E552" s="20" t="n"/>
      <c r="F552" s="20" t="n"/>
      <c r="G552" s="20" t="n"/>
    </row>
    <row r="553">
      <c r="A553" s="21" t="inlineStr">
        <is>
          <t>Details of cost for 10 sqm   |   Source: CivilDAR_2019_Vol_1.pdf, page 838</t>
        </is>
      </c>
    </row>
    <row r="554">
      <c r="A554" s="5" t="inlineStr">
        <is>
          <t>Code</t>
        </is>
      </c>
      <c r="B554" s="5" t="inlineStr">
        <is>
          <t>Description</t>
        </is>
      </c>
      <c r="C554" s="5" t="inlineStr">
        <is>
          <t>Unit</t>
        </is>
      </c>
      <c r="D554" s="5" t="inlineStr">
        <is>
          <t>Quantity</t>
        </is>
      </c>
      <c r="E554" s="5" t="inlineStr">
        <is>
          <t>Rate (Rs.)</t>
        </is>
      </c>
      <c r="F554" s="5" t="inlineStr">
        <is>
          <t>Amount (Rs.)</t>
        </is>
      </c>
      <c r="G554" s="5" t="inlineStr">
        <is>
          <t>Note</t>
        </is>
      </c>
    </row>
    <row r="555">
      <c r="A555" s="22" t="inlineStr">
        <is>
          <t>0309</t>
        </is>
      </c>
      <c r="B555" s="11" t="inlineStr">
        <is>
          <t>Paving bitumen VG-10 of approved quality</t>
        </is>
      </c>
      <c r="C555" s="22" t="inlineStr">
        <is>
          <t>tonne</t>
        </is>
      </c>
      <c r="D555" s="23" t="n">
        <v>0.017</v>
      </c>
      <c r="E555" s="24" t="n">
        <v>25614</v>
      </c>
      <c r="F555" s="24">
        <f>D555*E555</f>
        <v/>
      </c>
      <c r="G555" s="22" t="n"/>
    </row>
    <row r="556">
      <c r="A556" s="22" t="inlineStr">
        <is>
          <t>0771</t>
        </is>
      </c>
      <c r="B556" s="11" t="inlineStr">
        <is>
          <t>Kerosene oil</t>
        </is>
      </c>
      <c r="C556" s="22" t="inlineStr">
        <is>
          <t>litre</t>
        </is>
      </c>
      <c r="D556" s="23" t="n">
        <v>1.22</v>
      </c>
      <c r="E556" s="24" t="n">
        <v>50</v>
      </c>
      <c r="F556" s="24">
        <f>D556*E556</f>
        <v/>
      </c>
      <c r="G556" s="22" t="n"/>
    </row>
    <row r="557">
      <c r="A557" s="22" t="inlineStr">
        <is>
          <t>0370</t>
        </is>
      </c>
      <c r="B557" s="11" t="inlineStr">
        <is>
          <t>Coal (steam)</t>
        </is>
      </c>
      <c r="C557" s="22" t="inlineStr">
        <is>
          <t>quintal</t>
        </is>
      </c>
      <c r="D557" s="23" t="n">
        <v>0.035</v>
      </c>
      <c r="E557" s="24" t="n">
        <v>440</v>
      </c>
      <c r="F557" s="24">
        <f>D557*E557</f>
        <v/>
      </c>
      <c r="G557" s="22" t="n"/>
    </row>
    <row r="558">
      <c r="A558" s="22" t="inlineStr">
        <is>
          <t>2211</t>
        </is>
      </c>
      <c r="B558" s="11" t="inlineStr">
        <is>
          <t>Carriage of Tar bitumen</t>
        </is>
      </c>
      <c r="C558" s="22" t="inlineStr">
        <is>
          <t>tonne</t>
        </is>
      </c>
      <c r="D558" s="23" t="n">
        <v>0.017</v>
      </c>
      <c r="E558" s="24" t="n">
        <v>103.77</v>
      </c>
      <c r="F558" s="24">
        <f>D558*E558</f>
        <v/>
      </c>
      <c r="G558" s="22" t="n"/>
    </row>
    <row r="559">
      <c r="A559" s="22" t="inlineStr">
        <is>
          <t>0982</t>
        </is>
      </c>
      <c r="B559" s="11" t="inlineStr">
        <is>
          <t>Coarse sand (zone III)</t>
        </is>
      </c>
      <c r="C559" s="22" t="inlineStr">
        <is>
          <t>cum</t>
        </is>
      </c>
      <c r="D559" s="23" t="n">
        <v>0.06</v>
      </c>
      <c r="E559" s="24" t="n">
        <v>1350</v>
      </c>
      <c r="F559" s="24">
        <f>D559*E559</f>
        <v/>
      </c>
      <c r="G559" s="22" t="n"/>
    </row>
    <row r="560">
      <c r="A560" s="22" t="inlineStr">
        <is>
          <t>2203</t>
        </is>
      </c>
      <c r="B560" s="11" t="inlineStr">
        <is>
          <t>Carriage of Coarse sand</t>
        </is>
      </c>
      <c r="C560" s="22" t="inlineStr">
        <is>
          <t>cum</t>
        </is>
      </c>
      <c r="D560" s="23" t="n">
        <v>0.06</v>
      </c>
      <c r="E560" s="24" t="n">
        <v>103.77</v>
      </c>
      <c r="F560" s="24">
        <f>D560*E560</f>
        <v/>
      </c>
      <c r="G560" s="22" t="n"/>
    </row>
    <row r="561">
      <c r="A561" s="22" t="inlineStr">
        <is>
          <t>0114</t>
        </is>
      </c>
      <c r="B561" s="11" t="inlineStr">
        <is>
          <t>Beldar</t>
        </is>
      </c>
      <c r="C561" s="22" t="inlineStr">
        <is>
          <t>day</t>
        </is>
      </c>
      <c r="D561" s="23" t="n">
        <v>0.38</v>
      </c>
      <c r="E561" s="24" t="n">
        <v>558</v>
      </c>
      <c r="F561" s="24">
        <f>D561*E561</f>
        <v/>
      </c>
      <c r="G561" s="22" t="n"/>
    </row>
    <row r="562">
      <c r="A562" s="22" t="inlineStr">
        <is>
          <t>0131</t>
        </is>
      </c>
      <c r="B562" s="11" t="inlineStr">
        <is>
          <t>Painter</t>
        </is>
      </c>
      <c r="C562" s="22" t="inlineStr">
        <is>
          <t>day</t>
        </is>
      </c>
      <c r="D562" s="23" t="n">
        <v>0.15</v>
      </c>
      <c r="E562" s="24" t="n">
        <v>679</v>
      </c>
      <c r="F562" s="24">
        <f>D562*E562</f>
        <v/>
      </c>
      <c r="G562" s="22" t="n"/>
    </row>
    <row r="563">
      <c r="A563" s="22" t="inlineStr">
        <is>
          <t>9999</t>
        </is>
      </c>
      <c r="B563" s="11" t="inlineStr">
        <is>
          <t>Sundries (Brushes and T and P)</t>
        </is>
      </c>
      <c r="C563" s="22" t="inlineStr">
        <is>
          <t>L.S.</t>
        </is>
      </c>
      <c r="D563" s="23" t="n">
        <v>13.52</v>
      </c>
      <c r="E563" s="24" t="n">
        <v>2</v>
      </c>
      <c r="F563" s="24">
        <f>D563*E563</f>
        <v/>
      </c>
      <c r="G563" s="22" t="n"/>
    </row>
    <row r="564">
      <c r="A564" s="8" t="inlineStr">
        <is>
          <t>Calculated W - SUM of the Amount column above</t>
        </is>
      </c>
      <c r="B564" s="9" t="n"/>
      <c r="C564" s="9" t="n"/>
      <c r="D564" s="9" t="n"/>
      <c r="E564" s="9" t="n"/>
      <c r="F564" s="25">
        <f>SUM(F555:F563)</f>
        <v/>
      </c>
      <c r="G564" s="9" t="n"/>
    </row>
    <row r="565">
      <c r="A565" s="26" t="inlineStr">
        <is>
          <t>W as printed in the DAR</t>
        </is>
      </c>
      <c r="B565" s="22" t="n"/>
      <c r="C565" s="22" t="n"/>
      <c r="D565" s="22" t="n"/>
      <c r="E565" s="22" t="n"/>
      <c r="F565" s="27" t="n">
        <v>941.76</v>
      </c>
      <c r="G565" s="22" t="n"/>
    </row>
    <row r="566">
      <c r="A566" s="26" t="inlineStr">
        <is>
          <t>Difference (calculated - printed)</t>
        </is>
      </c>
      <c r="B566" s="22" t="n"/>
      <c r="C566" s="22" t="n"/>
      <c r="D566" s="22" t="n"/>
      <c r="E566" s="22" t="n"/>
      <c r="F566" s="27">
        <f>F564-F565</f>
        <v/>
      </c>
      <c r="G566" s="22" t="n"/>
    </row>
    <row r="567">
      <c r="A567" s="29" t="inlineStr">
        <is>
          <t>SAY (Rs.) - final DAR rate as printed (fixed value, not computed)</t>
        </is>
      </c>
      <c r="B567" s="30" t="n"/>
      <c r="C567" s="30" t="n"/>
      <c r="D567" s="30" t="n"/>
      <c r="E567" s="30" t="n"/>
      <c r="F567" s="31" t="n">
        <v>126</v>
      </c>
      <c r="G567" s="30" t="n"/>
    </row>
    <row r="569" ht="62" customHeight="1">
      <c r="A569" s="8" t="inlineStr">
        <is>
          <t>12.16</t>
        </is>
      </c>
      <c r="B569" s="17" t="inlineStr">
        <is>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t>
        </is>
      </c>
      <c r="C569" s="9" t="n"/>
      <c r="D569" s="9" t="n"/>
      <c r="E569" s="9" t="n"/>
      <c r="F569" s="9" t="n"/>
      <c r="G569" s="9" t="n"/>
    </row>
    <row r="570" ht="18.5" customHeight="1">
      <c r="A570" s="18" t="inlineStr">
        <is>
          <t>12.16.1</t>
        </is>
      </c>
      <c r="B570" s="19" t="inlineStr">
        <is>
          <t>With common burnt clay F.P.S.(non modular) brick tile of class designation 10</t>
        </is>
      </c>
      <c r="C570" s="20" t="n"/>
      <c r="D570" s="20" t="n"/>
      <c r="E570" s="20" t="n"/>
      <c r="F570" s="20" t="n"/>
      <c r="G570" s="20" t="n"/>
    </row>
    <row r="571">
      <c r="A571" s="21" t="inlineStr">
        <is>
          <t>Details of cost for 10 sqm   |   Source: CivilDAR_2019_Vol_1.pdf, page 839</t>
        </is>
      </c>
    </row>
    <row r="572">
      <c r="A572" s="5" t="inlineStr">
        <is>
          <t>Code</t>
        </is>
      </c>
      <c r="B572" s="5" t="inlineStr">
        <is>
          <t>Description</t>
        </is>
      </c>
      <c r="C572" s="5" t="inlineStr">
        <is>
          <t>Unit</t>
        </is>
      </c>
      <c r="D572" s="5" t="inlineStr">
        <is>
          <t>Quantity</t>
        </is>
      </c>
      <c r="E572" s="5" t="inlineStr">
        <is>
          <t>Rate (Rs.)</t>
        </is>
      </c>
      <c r="F572" s="5" t="inlineStr">
        <is>
          <t>Amount (Rs.)</t>
        </is>
      </c>
      <c r="G572" s="5" t="inlineStr">
        <is>
          <t>Note</t>
        </is>
      </c>
    </row>
    <row r="573">
      <c r="A573" s="22" t="inlineStr">
        <is>
          <t>0811</t>
        </is>
      </c>
      <c r="B573" s="11" t="inlineStr">
        <is>
          <t>Mud (dry)</t>
        </is>
      </c>
      <c r="C573" s="22" t="inlineStr">
        <is>
          <t>cum</t>
        </is>
      </c>
      <c r="D573" s="23" t="n">
        <v>1.257</v>
      </c>
      <c r="E573" s="24" t="n">
        <v>165</v>
      </c>
      <c r="F573" s="24">
        <f>D573*E573</f>
        <v/>
      </c>
      <c r="G573" s="22" t="n"/>
    </row>
    <row r="574">
      <c r="A574" s="7" t="inlineStr">
        <is>
          <t>3.18</t>
        </is>
      </c>
      <c r="B574" s="11" t="inlineStr">
        <is>
          <t>Rate as per item 3.18 - Mud mortar</t>
        </is>
      </c>
      <c r="C574" s="22" t="inlineStr">
        <is>
          <t>cum</t>
        </is>
      </c>
      <c r="D574" s="23" t="n">
        <v>0.263</v>
      </c>
      <c r="E574" s="24" t="n">
        <v>737</v>
      </c>
      <c r="F574" s="24">
        <f>D574*E574</f>
        <v/>
      </c>
      <c r="G574" s="22" t="n"/>
    </row>
    <row r="575">
      <c r="A575" s="22" t="inlineStr">
        <is>
          <t>0308</t>
        </is>
      </c>
      <c r="B575" s="11" t="inlineStr">
        <is>
          <t>Bhusa</t>
        </is>
      </c>
      <c r="C575" s="22" t="inlineStr">
        <is>
          <t>quintal</t>
        </is>
      </c>
      <c r="D575" s="23" t="n">
        <v>0.1</v>
      </c>
      <c r="E575" s="24" t="n">
        <v>500</v>
      </c>
      <c r="F575" s="24">
        <f>D575*E575</f>
        <v/>
      </c>
      <c r="G575" s="22" t="n"/>
    </row>
    <row r="576">
      <c r="A576" s="22" t="inlineStr">
        <is>
          <t>9999</t>
        </is>
      </c>
      <c r="B576" s="11" t="inlineStr">
        <is>
          <t>Cowdung</t>
        </is>
      </c>
      <c r="C576" s="22" t="inlineStr">
        <is>
          <t>L.S.</t>
        </is>
      </c>
      <c r="D576" s="23" t="n">
        <v>5.33</v>
      </c>
      <c r="E576" s="24" t="n">
        <v>2</v>
      </c>
      <c r="F576" s="24">
        <f>D576*E576</f>
        <v/>
      </c>
      <c r="G576" s="22" t="n"/>
    </row>
    <row r="577">
      <c r="A577" s="22" t="inlineStr">
        <is>
          <t>9999</t>
        </is>
      </c>
      <c r="B577" s="11" t="inlineStr">
        <is>
          <t>Mud mortar for gobri leaping</t>
        </is>
      </c>
      <c r="C577" s="22" t="inlineStr">
        <is>
          <t>L.S.</t>
        </is>
      </c>
      <c r="D577" s="23" t="n">
        <v>8.06</v>
      </c>
      <c r="E577" s="24" t="n">
        <v>2</v>
      </c>
      <c r="F577" s="24">
        <f>D577*E577</f>
        <v/>
      </c>
      <c r="G577" s="22" t="n"/>
    </row>
    <row r="578">
      <c r="A578" s="22" t="inlineStr">
        <is>
          <t>9977</t>
        </is>
      </c>
      <c r="B578" s="11" t="inlineStr">
        <is>
          <t>Carriage of bhusa and cowdung</t>
        </is>
      </c>
      <c r="C578" s="22" t="inlineStr">
        <is>
          <t>L.S.</t>
        </is>
      </c>
      <c r="D578" s="23" t="n">
        <v>2.73</v>
      </c>
      <c r="E578" s="24" t="n">
        <v>2</v>
      </c>
      <c r="F578" s="24">
        <f>D578*E578</f>
        <v/>
      </c>
      <c r="G578" s="22" t="n"/>
    </row>
    <row r="579">
      <c r="A579" s="22" t="inlineStr">
        <is>
          <t>1984</t>
        </is>
      </c>
      <c r="B579" s="11" t="inlineStr">
        <is>
          <t>Common burnt clay F.P.S. (non modular) bricks tile class designation 10</t>
        </is>
      </c>
      <c r="C579" s="22" t="inlineStr">
        <is>
          <t>1000 Nos</t>
        </is>
      </c>
      <c r="D579" s="23" t="n">
        <v>0.38</v>
      </c>
      <c r="E579" s="24" t="n">
        <v>4500</v>
      </c>
      <c r="F579" s="24">
        <f>D579*E579</f>
        <v/>
      </c>
      <c r="G579" s="22" t="n"/>
    </row>
    <row r="580">
      <c r="A580" s="22" t="inlineStr">
        <is>
          <t>2207</t>
        </is>
      </c>
      <c r="B580" s="11" t="inlineStr">
        <is>
          <t>Carriage of Brick tiles</t>
        </is>
      </c>
      <c r="C580" s="22" t="inlineStr">
        <is>
          <t>1000 Nos</t>
        </is>
      </c>
      <c r="D580" s="23" t="n">
        <v>0.38</v>
      </c>
      <c r="E580" s="24" t="n">
        <v>166.03</v>
      </c>
      <c r="F580" s="24">
        <f>D580*E580</f>
        <v/>
      </c>
      <c r="G580" s="22" t="n"/>
    </row>
    <row r="581">
      <c r="A581" s="7" t="inlineStr">
        <is>
          <t>3.3</t>
        </is>
      </c>
      <c r="B581" s="11" t="inlineStr">
        <is>
          <t>Rate as per item 3.3 - Cement mortar 1:3 (1 cement : 3 fine sand)</t>
        </is>
      </c>
      <c r="C581" s="22" t="inlineStr">
        <is>
          <t>cum</t>
        </is>
      </c>
      <c r="D581" s="23" t="n">
        <v>0.061</v>
      </c>
      <c r="E581" s="24" t="n">
        <v>4183.05</v>
      </c>
      <c r="F581" s="24">
        <f>D581*E581</f>
        <v/>
      </c>
      <c r="G581" s="22" t="n"/>
    </row>
    <row r="582">
      <c r="A582" s="22" t="inlineStr">
        <is>
          <t>1213</t>
        </is>
      </c>
      <c r="B582" s="11" t="inlineStr">
        <is>
          <t>Water proofing materials</t>
        </is>
      </c>
      <c r="C582" s="22" t="inlineStr">
        <is>
          <t>kilogram</t>
        </is>
      </c>
      <c r="D582" s="23" t="n">
        <v>0.006</v>
      </c>
      <c r="E582" s="24" t="n">
        <v>35</v>
      </c>
      <c r="F582" s="24">
        <f>D582*E582</f>
        <v/>
      </c>
      <c r="G582" s="22" t="n"/>
    </row>
    <row r="583">
      <c r="A583" s="22" t="inlineStr">
        <is>
          <t>9999</t>
        </is>
      </c>
      <c r="B583" s="11" t="inlineStr">
        <is>
          <t>Sundries</t>
        </is>
      </c>
      <c r="C583" s="22" t="inlineStr">
        <is>
          <t>L.S.</t>
        </is>
      </c>
      <c r="D583" s="23" t="n">
        <v>6.76</v>
      </c>
      <c r="E583" s="24" t="n">
        <v>2</v>
      </c>
      <c r="F583" s="24">
        <f>D583*E583</f>
        <v/>
      </c>
      <c r="G583" s="22" t="n"/>
    </row>
    <row r="584">
      <c r="A584" s="22" t="inlineStr">
        <is>
          <t>0124</t>
        </is>
      </c>
      <c r="B584" s="11" t="inlineStr">
        <is>
          <t>Mason (brick layer) 2nd class</t>
        </is>
      </c>
      <c r="C584" s="22" t="inlineStr">
        <is>
          <t>day</t>
        </is>
      </c>
      <c r="D584" s="23" t="n">
        <v>1.3</v>
      </c>
      <c r="E584" s="24" t="n">
        <v>679</v>
      </c>
      <c r="F584" s="24">
        <f>D584*E584</f>
        <v/>
      </c>
      <c r="G584" s="22" t="n"/>
    </row>
    <row r="585">
      <c r="A585" s="22" t="inlineStr">
        <is>
          <t>0114</t>
        </is>
      </c>
      <c r="B585" s="11" t="inlineStr">
        <is>
          <t>Beldar</t>
        </is>
      </c>
      <c r="C585" s="22" t="inlineStr">
        <is>
          <t>day</t>
        </is>
      </c>
      <c r="D585" s="23" t="n">
        <v>3.75</v>
      </c>
      <c r="E585" s="24" t="n">
        <v>558</v>
      </c>
      <c r="F585" s="24">
        <f>D585*E585</f>
        <v/>
      </c>
      <c r="G585" s="22" t="n"/>
    </row>
    <row r="586">
      <c r="A586" s="22" t="inlineStr">
        <is>
          <t>0101</t>
        </is>
      </c>
      <c r="B586" s="11" t="inlineStr">
        <is>
          <t>Bhisti</t>
        </is>
      </c>
      <c r="C586" s="22" t="inlineStr">
        <is>
          <t>day</t>
        </is>
      </c>
      <c r="D586" s="23" t="n">
        <v>1.1</v>
      </c>
      <c r="E586" s="24" t="n">
        <v>617</v>
      </c>
      <c r="F586" s="24">
        <f>D586*E586</f>
        <v/>
      </c>
      <c r="G586" s="22" t="n"/>
    </row>
    <row r="587">
      <c r="A587" s="8" t="inlineStr">
        <is>
          <t>Calculated W - SUM of the Amount column above</t>
        </is>
      </c>
      <c r="B587" s="9" t="n"/>
      <c r="C587" s="9" t="n"/>
      <c r="D587" s="9" t="n"/>
      <c r="E587" s="9" t="n"/>
      <c r="F587" s="25">
        <f>SUM(F573:F586)</f>
        <v/>
      </c>
      <c r="G587" s="9" t="n"/>
    </row>
    <row r="588">
      <c r="A588" s="26" t="inlineStr">
        <is>
          <t>W as printed in the DAR</t>
        </is>
      </c>
      <c r="B588" s="22" t="n"/>
      <c r="C588" s="22" t="n"/>
      <c r="D588" s="22" t="n"/>
      <c r="E588" s="22" t="n"/>
      <c r="F588" s="27" t="n">
        <v>6179.36</v>
      </c>
      <c r="G588" s="22" t="n"/>
    </row>
    <row r="589">
      <c r="A589" s="26" t="inlineStr">
        <is>
          <t>Difference (calculated - printed)</t>
        </is>
      </c>
      <c r="B589" s="22" t="n"/>
      <c r="C589" s="22" t="n"/>
      <c r="D589" s="22" t="n"/>
      <c r="E589" s="22" t="n"/>
      <c r="F589" s="27">
        <f>F587-F588</f>
        <v/>
      </c>
      <c r="G589" s="22" t="n"/>
    </row>
    <row r="590">
      <c r="A590" s="29" t="inlineStr">
        <is>
          <t>SAY (Rs.) - final DAR rate as printed (fixed value, not computed)</t>
        </is>
      </c>
      <c r="B590" s="30" t="n"/>
      <c r="C590" s="30" t="n"/>
      <c r="D590" s="30" t="n"/>
      <c r="E590" s="30" t="n"/>
      <c r="F590" s="31" t="n">
        <v>826.75</v>
      </c>
      <c r="G590" s="30" t="n"/>
    </row>
    <row r="592" ht="62" customHeight="1">
      <c r="A592" s="8" t="inlineStr">
        <is>
          <t>12.17</t>
        </is>
      </c>
      <c r="B592" s="17" t="inlineStr">
        <is>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t>
        </is>
      </c>
      <c r="C592" s="9" t="n"/>
      <c r="D592" s="9" t="n"/>
      <c r="E592" s="9" t="n"/>
      <c r="F592" s="9" t="n"/>
      <c r="G592" s="9" t="n"/>
    </row>
    <row r="593" ht="18.5" customHeight="1">
      <c r="A593" s="18" t="inlineStr">
        <is>
          <t>12.17.1</t>
        </is>
      </c>
      <c r="B593" s="19" t="inlineStr">
        <is>
          <t>With machine moulded common burnt clay F.P.S. (non modular) brick tiles of class designation 12.5, conforming to IS 2690</t>
        </is>
      </c>
      <c r="C593" s="20" t="n"/>
      <c r="D593" s="20" t="n"/>
      <c r="E593" s="20" t="n"/>
      <c r="F593" s="20" t="n"/>
      <c r="G593" s="20" t="n"/>
    </row>
    <row r="594">
      <c r="A594" s="21" t="inlineStr">
        <is>
          <t>Details of cost for 10 sqm   |   Source: CivilDAR_2019_Vol_1.pdf, page 840</t>
        </is>
      </c>
    </row>
    <row r="595">
      <c r="A595" s="5" t="inlineStr">
        <is>
          <t>Code</t>
        </is>
      </c>
      <c r="B595" s="5" t="inlineStr">
        <is>
          <t>Description</t>
        </is>
      </c>
      <c r="C595" s="5" t="inlineStr">
        <is>
          <t>Unit</t>
        </is>
      </c>
      <c r="D595" s="5" t="inlineStr">
        <is>
          <t>Quantity</t>
        </is>
      </c>
      <c r="E595" s="5" t="inlineStr">
        <is>
          <t>Rate (Rs.)</t>
        </is>
      </c>
      <c r="F595" s="5" t="inlineStr">
        <is>
          <t>Amount (Rs.)</t>
        </is>
      </c>
      <c r="G595" s="5" t="inlineStr">
        <is>
          <t>Note</t>
        </is>
      </c>
    </row>
    <row r="596">
      <c r="A596" s="22" t="inlineStr">
        <is>
          <t>0811</t>
        </is>
      </c>
      <c r="B596" s="11" t="inlineStr">
        <is>
          <t>Mud (dry)</t>
        </is>
      </c>
      <c r="C596" s="22" t="inlineStr">
        <is>
          <t>cum</t>
        </is>
      </c>
      <c r="D596" s="23" t="n">
        <v>1.257</v>
      </c>
      <c r="E596" s="24" t="n">
        <v>165</v>
      </c>
      <c r="F596" s="24">
        <f>D596*E596</f>
        <v/>
      </c>
      <c r="G596" s="22" t="n"/>
    </row>
    <row r="597">
      <c r="A597" s="7" t="inlineStr">
        <is>
          <t>3.18</t>
        </is>
      </c>
      <c r="B597" s="11" t="inlineStr">
        <is>
          <t>Rate as per item 3.18 - Mud mortar</t>
        </is>
      </c>
      <c r="C597" s="22" t="inlineStr">
        <is>
          <t>cum</t>
        </is>
      </c>
      <c r="D597" s="23" t="n">
        <v>0.263</v>
      </c>
      <c r="E597" s="24" t="n">
        <v>737</v>
      </c>
      <c r="F597" s="24">
        <f>D597*E597</f>
        <v/>
      </c>
      <c r="G597" s="22" t="n"/>
    </row>
    <row r="598">
      <c r="A598" s="22" t="inlineStr">
        <is>
          <t>0308</t>
        </is>
      </c>
      <c r="B598" s="11" t="inlineStr">
        <is>
          <t>Bhusa</t>
        </is>
      </c>
      <c r="C598" s="22" t="inlineStr">
        <is>
          <t>quintal</t>
        </is>
      </c>
      <c r="D598" s="23" t="n">
        <v>0.1</v>
      </c>
      <c r="E598" s="24" t="n">
        <v>500</v>
      </c>
      <c r="F598" s="24">
        <f>D598*E598</f>
        <v/>
      </c>
      <c r="G598" s="22" t="n"/>
    </row>
    <row r="599">
      <c r="A599" s="22" t="inlineStr">
        <is>
          <t>9999</t>
        </is>
      </c>
      <c r="B599" s="11" t="inlineStr">
        <is>
          <t>Cowdung</t>
        </is>
      </c>
      <c r="C599" s="22" t="inlineStr">
        <is>
          <t>L.S.</t>
        </is>
      </c>
      <c r="D599" s="23" t="n">
        <v>5.33</v>
      </c>
      <c r="E599" s="24" t="n">
        <v>2</v>
      </c>
      <c r="F599" s="24">
        <f>D599*E599</f>
        <v/>
      </c>
      <c r="G599" s="22" t="n"/>
    </row>
    <row r="600">
      <c r="A600" s="22" t="inlineStr">
        <is>
          <t>9999</t>
        </is>
      </c>
      <c r="B600" s="11" t="inlineStr">
        <is>
          <t>Mud mortar for gobri leaping</t>
        </is>
      </c>
      <c r="C600" s="22" t="inlineStr">
        <is>
          <t>L.S.</t>
        </is>
      </c>
      <c r="D600" s="23" t="n">
        <v>8.06</v>
      </c>
      <c r="E600" s="24" t="n">
        <v>2</v>
      </c>
      <c r="F600" s="24">
        <f>D600*E600</f>
        <v/>
      </c>
      <c r="G600" s="22" t="n"/>
    </row>
    <row r="601">
      <c r="A601" s="22" t="inlineStr">
        <is>
          <t>9977</t>
        </is>
      </c>
      <c r="B601" s="11" t="inlineStr">
        <is>
          <t>Carriage of bhusa and cowdung</t>
        </is>
      </c>
      <c r="C601" s="22" t="inlineStr">
        <is>
          <t>L.S.</t>
        </is>
      </c>
      <c r="D601" s="23" t="n">
        <v>2.73</v>
      </c>
      <c r="E601" s="24" t="n">
        <v>2</v>
      </c>
      <c r="F601" s="24">
        <f>D601*E601</f>
        <v/>
      </c>
      <c r="G601" s="22" t="n"/>
    </row>
    <row r="602">
      <c r="A602" s="22" t="inlineStr">
        <is>
          <t>7904</t>
        </is>
      </c>
      <c r="B602" s="11" t="inlineStr">
        <is>
          <t>Machine moulded common burnt clay tile bricks of class designation 12.5</t>
        </is>
      </c>
      <c r="C602" s="22" t="inlineStr">
        <is>
          <t>1000 Nos</t>
        </is>
      </c>
      <c r="D602" s="23" t="n">
        <v>0.38</v>
      </c>
      <c r="E602" s="24" t="n">
        <v>4900</v>
      </c>
      <c r="F602" s="24">
        <f>D602*E602</f>
        <v/>
      </c>
      <c r="G602" s="22" t="n"/>
    </row>
    <row r="603">
      <c r="A603" s="22" t="inlineStr">
        <is>
          <t>2207</t>
        </is>
      </c>
      <c r="B603" s="11" t="inlineStr">
        <is>
          <t>Carriage of Brick tiles</t>
        </is>
      </c>
      <c r="C603" s="22" t="inlineStr">
        <is>
          <t>1000 Nos</t>
        </is>
      </c>
      <c r="D603" s="23" t="n">
        <v>0.38</v>
      </c>
      <c r="E603" s="24" t="n">
        <v>166.03</v>
      </c>
      <c r="F603" s="24">
        <f>D603*E603</f>
        <v/>
      </c>
      <c r="G603" s="22" t="n"/>
    </row>
    <row r="604">
      <c r="A604" s="7" t="inlineStr">
        <is>
          <t>3.3</t>
        </is>
      </c>
      <c r="B604" s="11" t="inlineStr">
        <is>
          <t>Rate as per item 3.3 - Cement mortar 1:3 (1 cement : 3 fine sand)</t>
        </is>
      </c>
      <c r="C604" s="22" t="inlineStr">
        <is>
          <t>cum</t>
        </is>
      </c>
      <c r="D604" s="23" t="n">
        <v>0.061</v>
      </c>
      <c r="E604" s="24" t="n">
        <v>4183.05</v>
      </c>
      <c r="F604" s="24">
        <f>D604*E604</f>
        <v/>
      </c>
      <c r="G604" s="22" t="n"/>
    </row>
    <row r="605">
      <c r="A605" s="22" t="inlineStr">
        <is>
          <t>1213</t>
        </is>
      </c>
      <c r="B605" s="11" t="inlineStr">
        <is>
          <t>Water proofing materials</t>
        </is>
      </c>
      <c r="C605" s="22" t="inlineStr">
        <is>
          <t>kilogram</t>
        </is>
      </c>
      <c r="D605" s="23" t="n">
        <v>0.006</v>
      </c>
      <c r="E605" s="24" t="n">
        <v>35</v>
      </c>
      <c r="F605" s="24">
        <f>D605*E605</f>
        <v/>
      </c>
      <c r="G605" s="22" t="n"/>
    </row>
    <row r="606">
      <c r="A606" s="22" t="inlineStr">
        <is>
          <t>9999</t>
        </is>
      </c>
      <c r="B606" s="11" t="inlineStr">
        <is>
          <t>Sundries</t>
        </is>
      </c>
      <c r="C606" s="22" t="inlineStr">
        <is>
          <t>L.S.</t>
        </is>
      </c>
      <c r="D606" s="23" t="n">
        <v>6.76</v>
      </c>
      <c r="E606" s="24" t="n">
        <v>2</v>
      </c>
      <c r="F606" s="24">
        <f>D606*E606</f>
        <v/>
      </c>
      <c r="G606" s="22" t="n"/>
    </row>
    <row r="607">
      <c r="A607" s="22" t="inlineStr">
        <is>
          <t>0124</t>
        </is>
      </c>
      <c r="B607" s="11" t="inlineStr">
        <is>
          <t>Mason (brick layer) 2nd class</t>
        </is>
      </c>
      <c r="C607" s="22" t="inlineStr">
        <is>
          <t>day</t>
        </is>
      </c>
      <c r="D607" s="23" t="n">
        <v>1.3</v>
      </c>
      <c r="E607" s="24" t="n">
        <v>679</v>
      </c>
      <c r="F607" s="24">
        <f>D607*E607</f>
        <v/>
      </c>
      <c r="G607" s="22" t="n"/>
    </row>
    <row r="608">
      <c r="A608" s="22" t="inlineStr">
        <is>
          <t>0114</t>
        </is>
      </c>
      <c r="B608" s="11" t="inlineStr">
        <is>
          <t>Beldar</t>
        </is>
      </c>
      <c r="C608" s="22" t="inlineStr">
        <is>
          <t>day</t>
        </is>
      </c>
      <c r="D608" s="23" t="n">
        <v>3.75</v>
      </c>
      <c r="E608" s="24" t="n">
        <v>558</v>
      </c>
      <c r="F608" s="24">
        <f>D608*E608</f>
        <v/>
      </c>
      <c r="G608" s="22" t="n"/>
    </row>
    <row r="609">
      <c r="A609" s="22" t="inlineStr">
        <is>
          <t>0101</t>
        </is>
      </c>
      <c r="B609" s="11" t="inlineStr">
        <is>
          <t>Bhisti</t>
        </is>
      </c>
      <c r="C609" s="22" t="inlineStr">
        <is>
          <t>day</t>
        </is>
      </c>
      <c r="D609" s="23" t="n">
        <v>1.1</v>
      </c>
      <c r="E609" s="24" t="n">
        <v>617</v>
      </c>
      <c r="F609" s="24">
        <f>D609*E609</f>
        <v/>
      </c>
      <c r="G609" s="22" t="n"/>
    </row>
    <row r="610">
      <c r="A610" s="8" t="inlineStr">
        <is>
          <t>Calculated W - SUM of the Amount column above</t>
        </is>
      </c>
      <c r="B610" s="9" t="n"/>
      <c r="C610" s="9" t="n"/>
      <c r="D610" s="9" t="n"/>
      <c r="E610" s="9" t="n"/>
      <c r="F610" s="25">
        <f>SUM(F596:F609)</f>
        <v/>
      </c>
      <c r="G610" s="9" t="n"/>
    </row>
    <row r="611">
      <c r="A611" s="26" t="inlineStr">
        <is>
          <t>W as printed in the DAR</t>
        </is>
      </c>
      <c r="B611" s="22" t="n"/>
      <c r="C611" s="22" t="n"/>
      <c r="D611" s="22" t="n"/>
      <c r="E611" s="22" t="n"/>
      <c r="F611" s="27" t="n">
        <v>6331.36</v>
      </c>
      <c r="G611" s="22" t="n"/>
    </row>
    <row r="612">
      <c r="A612" s="26" t="inlineStr">
        <is>
          <t>Difference (calculated - printed)</t>
        </is>
      </c>
      <c r="B612" s="22" t="n"/>
      <c r="C612" s="22" t="n"/>
      <c r="D612" s="22" t="n"/>
      <c r="E612" s="22" t="n"/>
      <c r="F612" s="27">
        <f>F610-F611</f>
        <v/>
      </c>
      <c r="G612" s="22" t="n"/>
    </row>
    <row r="613">
      <c r="A613" s="29" t="inlineStr">
        <is>
          <t>SAY (Rs.) - final DAR rate as printed (fixed value, not computed)</t>
        </is>
      </c>
      <c r="B613" s="30" t="n"/>
      <c r="C613" s="30" t="n"/>
      <c r="D613" s="30" t="n"/>
      <c r="E613" s="30" t="n"/>
      <c r="F613" s="31" t="n">
        <v>847.1</v>
      </c>
      <c r="G613" s="30" t="n"/>
    </row>
    <row r="615" ht="18.5" customHeight="1">
      <c r="A615" s="18" t="inlineStr">
        <is>
          <t>12.18</t>
        </is>
      </c>
      <c r="B615" s="19" t="inlineStr">
        <is>
          <t>Extra for every additional 1 cm thickness of mud phaska.</t>
        </is>
      </c>
      <c r="C615" s="20" t="n"/>
      <c r="D615" s="20" t="n"/>
      <c r="E615" s="20" t="n"/>
      <c r="F615" s="20" t="n"/>
      <c r="G615" s="20" t="n"/>
    </row>
    <row r="616">
      <c r="A616" s="21" t="inlineStr">
        <is>
          <t>Details of cost for 10 sqm   |   Source: CivilDAR_2019_Vol_1.pdf, page 841</t>
        </is>
      </c>
    </row>
    <row r="617">
      <c r="A617" s="5" t="inlineStr">
        <is>
          <t>Code</t>
        </is>
      </c>
      <c r="B617" s="5" t="inlineStr">
        <is>
          <t>Description</t>
        </is>
      </c>
      <c r="C617" s="5" t="inlineStr">
        <is>
          <t>Unit</t>
        </is>
      </c>
      <c r="D617" s="5" t="inlineStr">
        <is>
          <t>Quantity</t>
        </is>
      </c>
      <c r="E617" s="5" t="inlineStr">
        <is>
          <t>Rate (Rs.)</t>
        </is>
      </c>
      <c r="F617" s="5" t="inlineStr">
        <is>
          <t>Amount (Rs.)</t>
        </is>
      </c>
      <c r="G617" s="5" t="inlineStr">
        <is>
          <t>Note</t>
        </is>
      </c>
    </row>
    <row r="618">
      <c r="A618" s="22" t="inlineStr">
        <is>
          <t>0811</t>
        </is>
      </c>
      <c r="B618" s="11" t="inlineStr">
        <is>
          <t>Mud (dry)</t>
        </is>
      </c>
      <c r="C618" s="22" t="inlineStr">
        <is>
          <t>cum</t>
        </is>
      </c>
      <c r="D618" s="23" t="n">
        <v>0.13</v>
      </c>
      <c r="E618" s="24" t="n">
        <v>165</v>
      </c>
      <c r="F618" s="24">
        <f>D618*E618</f>
        <v/>
      </c>
      <c r="G618" s="22" t="n"/>
    </row>
    <row r="619">
      <c r="A619" s="22" t="inlineStr">
        <is>
          <t>0114</t>
        </is>
      </c>
      <c r="B619" s="11" t="inlineStr">
        <is>
          <t>Beldar</t>
        </is>
      </c>
      <c r="C619" s="22" t="inlineStr">
        <is>
          <t>day</t>
        </is>
      </c>
      <c r="D619" s="23" t="n">
        <v>0.07000000000000001</v>
      </c>
      <c r="E619" s="24" t="n">
        <v>558</v>
      </c>
      <c r="F619" s="24">
        <f>D619*E619</f>
        <v/>
      </c>
      <c r="G619" s="22" t="n"/>
    </row>
    <row r="620">
      <c r="A620" s="22" t="inlineStr">
        <is>
          <t>0101</t>
        </is>
      </c>
      <c r="B620" s="11" t="inlineStr">
        <is>
          <t>Bhisti</t>
        </is>
      </c>
      <c r="C620" s="22" t="inlineStr">
        <is>
          <t>day</t>
        </is>
      </c>
      <c r="D620" s="23" t="n">
        <v>0.04</v>
      </c>
      <c r="E620" s="24" t="n">
        <v>617</v>
      </c>
      <c r="F620" s="24">
        <f>D620*E620</f>
        <v/>
      </c>
      <c r="G620" s="22" t="n"/>
    </row>
    <row r="621">
      <c r="A621" s="22" t="inlineStr">
        <is>
          <t>9999</t>
        </is>
      </c>
      <c r="B621" s="11" t="inlineStr">
        <is>
          <t>Labour for leaping and carring to roof</t>
        </is>
      </c>
      <c r="C621" s="22" t="inlineStr">
        <is>
          <t>L.S.</t>
        </is>
      </c>
      <c r="D621" s="23" t="n">
        <v>26.91</v>
      </c>
      <c r="E621" s="24" t="n">
        <v>2</v>
      </c>
      <c r="F621" s="24">
        <f>D621*E621</f>
        <v/>
      </c>
      <c r="G621" s="22" t="n"/>
    </row>
    <row r="622">
      <c r="A622" s="8" t="inlineStr">
        <is>
          <t>Calculated W - SUM of the Amount column above</t>
        </is>
      </c>
      <c r="B622" s="9" t="n"/>
      <c r="C622" s="9" t="n"/>
      <c r="D622" s="9" t="n"/>
      <c r="E622" s="9" t="n"/>
      <c r="F622" s="25">
        <f>SUM(F618:F621)</f>
        <v/>
      </c>
      <c r="G622" s="9" t="n"/>
    </row>
    <row r="623">
      <c r="A623" s="26" t="inlineStr">
        <is>
          <t>W as printed in the DAR</t>
        </is>
      </c>
      <c r="B623" s="22" t="n"/>
      <c r="C623" s="22" t="n"/>
      <c r="D623" s="22" t="n"/>
      <c r="E623" s="22" t="n"/>
      <c r="F623" s="27" t="n">
        <v>139.01</v>
      </c>
      <c r="G623" s="22" t="n"/>
    </row>
    <row r="624">
      <c r="A624" s="26" t="inlineStr">
        <is>
          <t>Difference (calculated - printed)</t>
        </is>
      </c>
      <c r="B624" s="22" t="n"/>
      <c r="C624" s="22" t="n"/>
      <c r="D624" s="22" t="n"/>
      <c r="E624" s="22" t="n"/>
      <c r="F624" s="27">
        <f>F622-F623</f>
        <v/>
      </c>
      <c r="G624" s="22" t="n"/>
    </row>
    <row r="625">
      <c r="A625" s="29" t="inlineStr">
        <is>
          <t>SAY (Rs.) - final DAR rate as printed (fixed value, not computed)</t>
        </is>
      </c>
      <c r="B625" s="30" t="n"/>
      <c r="C625" s="30" t="n"/>
      <c r="D625" s="30" t="n"/>
      <c r="E625" s="30" t="n"/>
      <c r="F625" s="31" t="n">
        <v>18.6</v>
      </c>
      <c r="G625" s="30" t="n"/>
    </row>
    <row r="627" ht="47.5" customHeight="1">
      <c r="A627" s="8" t="inlineStr">
        <is>
          <t>12.19</t>
        </is>
      </c>
      <c r="B627" s="17" t="inlineStr">
        <is>
          <t>Providing and laying brick tiles over mumty roofs, grouted with cement mortar 1:3 (1 cement : 3 fine sand) mixed with 2% of integral water proofing compound by weight of cement, over 12 mm layer of cement mortar 1:3 (1 cement : 3 fine sand) and finished neat:</t>
        </is>
      </c>
      <c r="C627" s="9" t="n"/>
      <c r="D627" s="9" t="n"/>
      <c r="E627" s="9" t="n"/>
      <c r="F627" s="9" t="n"/>
      <c r="G627" s="9" t="n"/>
    </row>
    <row r="628" ht="18.5" customHeight="1">
      <c r="A628" s="18" t="inlineStr">
        <is>
          <t>12.19.1</t>
        </is>
      </c>
      <c r="B628" s="19" t="inlineStr">
        <is>
          <t>With common burnt clay F.P.S. (non modular) brick tiles of class designation 10</t>
        </is>
      </c>
      <c r="C628" s="20" t="n"/>
      <c r="D628" s="20" t="n"/>
      <c r="E628" s="20" t="n"/>
      <c r="F628" s="20" t="n"/>
      <c r="G628" s="20" t="n"/>
    </row>
    <row r="629">
      <c r="A629" s="21" t="inlineStr">
        <is>
          <t>Details of cost for 10 sqm   |   Source: CivilDAR_2019_Vol_1.pdf, page 842</t>
        </is>
      </c>
    </row>
    <row r="630">
      <c r="A630" s="5" t="inlineStr">
        <is>
          <t>Code</t>
        </is>
      </c>
      <c r="B630" s="5" t="inlineStr">
        <is>
          <t>Description</t>
        </is>
      </c>
      <c r="C630" s="5" t="inlineStr">
        <is>
          <t>Unit</t>
        </is>
      </c>
      <c r="D630" s="5" t="inlineStr">
        <is>
          <t>Quantity</t>
        </is>
      </c>
      <c r="E630" s="5" t="inlineStr">
        <is>
          <t>Rate (Rs.)</t>
        </is>
      </c>
      <c r="F630" s="5" t="inlineStr">
        <is>
          <t>Amount (Rs.)</t>
        </is>
      </c>
      <c r="G630" s="5" t="inlineStr">
        <is>
          <t>Note</t>
        </is>
      </c>
    </row>
    <row r="631">
      <c r="A631" s="22" t="inlineStr">
        <is>
          <t>1984</t>
        </is>
      </c>
      <c r="B631" s="11" t="inlineStr">
        <is>
          <t>Common burnt clay F.P.S. (non modular) bricks tile class designation 10</t>
        </is>
      </c>
      <c r="C631" s="22" t="inlineStr">
        <is>
          <t>1000 Nos</t>
        </is>
      </c>
      <c r="D631" s="23" t="n">
        <v>0.38</v>
      </c>
      <c r="E631" s="24" t="n">
        <v>4500</v>
      </c>
      <c r="F631" s="24">
        <f>D631*E631</f>
        <v/>
      </c>
      <c r="G631" s="22" t="n"/>
    </row>
    <row r="632">
      <c r="A632" s="22" t="inlineStr">
        <is>
          <t>2207</t>
        </is>
      </c>
      <c r="B632" s="11" t="inlineStr">
        <is>
          <t>Carriage of Brick tiles</t>
        </is>
      </c>
      <c r="C632" s="22" t="inlineStr">
        <is>
          <t>1000 Nos</t>
        </is>
      </c>
      <c r="D632" s="23" t="n">
        <v>0.38</v>
      </c>
      <c r="E632" s="24" t="n">
        <v>166.03</v>
      </c>
      <c r="F632" s="24">
        <f>D632*E632</f>
        <v/>
      </c>
      <c r="G632" s="22" t="n"/>
    </row>
    <row r="633">
      <c r="A633" s="7" t="inlineStr">
        <is>
          <t>3.3</t>
        </is>
      </c>
      <c r="B633" s="11" t="inlineStr">
        <is>
          <t>Rate as per item 3.3 - Cement mortar 1:3 (1 cement : 3 fine sand)</t>
        </is>
      </c>
      <c r="C633" s="22" t="inlineStr">
        <is>
          <t>cum</t>
        </is>
      </c>
      <c r="D633" s="23" t="n">
        <v>0.179</v>
      </c>
      <c r="E633" s="24" t="n">
        <v>4183.05</v>
      </c>
      <c r="F633" s="24">
        <f>D633*E633</f>
        <v/>
      </c>
      <c r="G633" s="22" t="n"/>
    </row>
    <row r="634">
      <c r="A634" s="22" t="inlineStr">
        <is>
          <t>1213</t>
        </is>
      </c>
      <c r="B634" s="11" t="inlineStr">
        <is>
          <t>Water proofing materials</t>
        </is>
      </c>
      <c r="C634" s="22" t="inlineStr">
        <is>
          <t>kilogram</t>
        </is>
      </c>
      <c r="D634" s="23" t="n">
        <v>0.005</v>
      </c>
      <c r="E634" s="24" t="n">
        <v>35</v>
      </c>
      <c r="F634" s="24">
        <f>D634*E634</f>
        <v/>
      </c>
      <c r="G634" s="22" t="n"/>
    </row>
    <row r="635">
      <c r="A635" s="22" t="inlineStr">
        <is>
          <t>0124</t>
        </is>
      </c>
      <c r="B635" s="11" t="inlineStr">
        <is>
          <t>Mason (brick layer) 2nd class</t>
        </is>
      </c>
      <c r="C635" s="22" t="inlineStr">
        <is>
          <t>day</t>
        </is>
      </c>
      <c r="D635" s="23" t="n">
        <v>0.8100000000000001</v>
      </c>
      <c r="E635" s="24" t="n">
        <v>679</v>
      </c>
      <c r="F635" s="24">
        <f>D635*E635</f>
        <v/>
      </c>
      <c r="G635" s="22" t="n"/>
    </row>
    <row r="636">
      <c r="A636" s="22" t="inlineStr">
        <is>
          <t>0115</t>
        </is>
      </c>
      <c r="B636" s="11" t="inlineStr">
        <is>
          <t>Coolie</t>
        </is>
      </c>
      <c r="C636" s="22" t="inlineStr">
        <is>
          <t>day</t>
        </is>
      </c>
      <c r="D636" s="23" t="n">
        <v>1.08</v>
      </c>
      <c r="E636" s="24" t="n">
        <v>558</v>
      </c>
      <c r="F636" s="24">
        <f>D636*E636</f>
        <v/>
      </c>
      <c r="G636" s="22" t="n"/>
    </row>
    <row r="637">
      <c r="A637" s="22" t="inlineStr">
        <is>
          <t>0101</t>
        </is>
      </c>
      <c r="B637" s="11" t="inlineStr">
        <is>
          <t>Bhisti</t>
        </is>
      </c>
      <c r="C637" s="22" t="inlineStr">
        <is>
          <t>day</t>
        </is>
      </c>
      <c r="D637" s="23" t="n">
        <v>0.27</v>
      </c>
      <c r="E637" s="24" t="n">
        <v>617</v>
      </c>
      <c r="F637" s="24">
        <f>D637*E637</f>
        <v/>
      </c>
      <c r="G637" s="22" t="n"/>
    </row>
    <row r="638">
      <c r="A638" s="22" t="inlineStr">
        <is>
          <t>9999</t>
        </is>
      </c>
      <c r="B638" s="11" t="inlineStr">
        <is>
          <t>Sundries</t>
        </is>
      </c>
      <c r="C638" s="22" t="inlineStr">
        <is>
          <t>L.S.</t>
        </is>
      </c>
      <c r="D638" s="23" t="n">
        <v>1.82</v>
      </c>
      <c r="E638" s="24" t="n">
        <v>2</v>
      </c>
      <c r="F638" s="24">
        <f>D638*E638</f>
        <v/>
      </c>
      <c r="G638" s="22" t="n"/>
    </row>
    <row r="639">
      <c r="A639" s="8" t="inlineStr">
        <is>
          <t>Calculated W - SUM of the Amount column above</t>
        </is>
      </c>
      <c r="B639" s="9" t="n"/>
      <c r="C639" s="9" t="n"/>
      <c r="D639" s="9" t="n"/>
      <c r="E639" s="9" t="n"/>
      <c r="F639" s="25">
        <f>SUM(F631:F638)</f>
        <v/>
      </c>
      <c r="G639" s="9" t="n"/>
    </row>
    <row r="640">
      <c r="A640" s="26" t="inlineStr">
        <is>
          <t>W as printed in the DAR</t>
        </is>
      </c>
      <c r="B640" s="22" t="n"/>
      <c r="C640" s="22" t="n"/>
      <c r="D640" s="22" t="n"/>
      <c r="E640" s="22" t="n"/>
      <c r="F640" s="27" t="n">
        <v>3844.89</v>
      </c>
      <c r="G640" s="22" t="n"/>
    </row>
    <row r="641">
      <c r="A641" s="26" t="inlineStr">
        <is>
          <t>Difference (calculated - printed)</t>
        </is>
      </c>
      <c r="B641" s="22" t="n"/>
      <c r="C641" s="22" t="n"/>
      <c r="D641" s="22" t="n"/>
      <c r="E641" s="22" t="n"/>
      <c r="F641" s="27">
        <f>F639-F640</f>
        <v/>
      </c>
      <c r="G641" s="22" t="n"/>
    </row>
    <row r="642">
      <c r="A642" s="29" t="inlineStr">
        <is>
          <t>SAY (Rs.) - final DAR rate as printed (fixed value, not computed)</t>
        </is>
      </c>
      <c r="B642" s="30" t="n"/>
      <c r="C642" s="30" t="n"/>
      <c r="D642" s="30" t="n"/>
      <c r="E642" s="30" t="n"/>
      <c r="F642" s="31" t="n">
        <v>514.4</v>
      </c>
      <c r="G642" s="30" t="n"/>
    </row>
    <row r="644" ht="47.5" customHeight="1">
      <c r="A644" s="18" t="inlineStr">
        <is>
          <t>12.20</t>
        </is>
      </c>
      <c r="B644" s="19" t="inlineStr">
        <is>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is>
      </c>
      <c r="C644" s="20" t="n"/>
      <c r="D644" s="20" t="n"/>
      <c r="E644" s="20" t="n"/>
      <c r="F644" s="20" t="n"/>
      <c r="G644" s="20" t="n"/>
    </row>
    <row r="645">
      <c r="A645" s="21" t="inlineStr">
        <is>
          <t>Details of cost for 10 sqm   |   Source: CivilDAR_2019_Vol_1.pdf, page 842</t>
        </is>
      </c>
    </row>
    <row r="646">
      <c r="A646" s="5" t="inlineStr">
        <is>
          <t>Code</t>
        </is>
      </c>
      <c r="B646" s="5" t="inlineStr">
        <is>
          <t>Description</t>
        </is>
      </c>
      <c r="C646" s="5" t="inlineStr">
        <is>
          <t>Unit</t>
        </is>
      </c>
      <c r="D646" s="5" t="inlineStr">
        <is>
          <t>Quantity</t>
        </is>
      </c>
      <c r="E646" s="5" t="inlineStr">
        <is>
          <t>Rate (Rs.)</t>
        </is>
      </c>
      <c r="F646" s="5" t="inlineStr">
        <is>
          <t>Amount (Rs.)</t>
        </is>
      </c>
      <c r="G646" s="5" t="inlineStr">
        <is>
          <t>Note</t>
        </is>
      </c>
    </row>
    <row r="647">
      <c r="A647" s="22" t="inlineStr">
        <is>
          <t>7266</t>
        </is>
      </c>
      <c r="B647" s="11" t="inlineStr">
        <is>
          <t>Pressed clay tiles 20 mm thick 250 x 250 mm size</t>
        </is>
      </c>
      <c r="C647" s="22" t="inlineStr">
        <is>
          <t>1000 Nos</t>
        </is>
      </c>
      <c r="D647" s="23" t="n">
        <v>0.16</v>
      </c>
      <c r="E647" s="24" t="n">
        <v>8600</v>
      </c>
      <c r="F647" s="24">
        <f>D647*E647</f>
        <v/>
      </c>
      <c r="G647" s="22" t="n"/>
    </row>
    <row r="648">
      <c r="A648" s="22" t="inlineStr">
        <is>
          <t>2207</t>
        </is>
      </c>
      <c r="B648" s="11" t="inlineStr">
        <is>
          <t>Carriage of Brick tiles</t>
        </is>
      </c>
      <c r="C648" s="22" t="inlineStr">
        <is>
          <t>1000 Nos</t>
        </is>
      </c>
      <c r="D648" s="23" t="n">
        <v>0.16</v>
      </c>
      <c r="E648" s="24" t="n">
        <v>166.03</v>
      </c>
      <c r="F648" s="24">
        <f>D648*E648</f>
        <v/>
      </c>
      <c r="G648" s="22" t="n"/>
    </row>
    <row r="649">
      <c r="A649" s="7" t="inlineStr">
        <is>
          <t>3.9</t>
        </is>
      </c>
      <c r="B649" s="11" t="inlineStr">
        <is>
          <t>Rate as per item 3.9 - Cement mortar 1:4 (1 cement : 4 coarse sand)</t>
        </is>
      </c>
      <c r="C649" s="22" t="inlineStr">
        <is>
          <t>cum</t>
        </is>
      </c>
      <c r="D649" s="23" t="n">
        <v>0.037</v>
      </c>
      <c r="E649" s="24" t="n">
        <v>4010.35</v>
      </c>
      <c r="F649" s="24">
        <f>D649*E649</f>
        <v/>
      </c>
      <c r="G649" s="22" t="n"/>
    </row>
    <row r="650">
      <c r="A650" s="22" t="inlineStr">
        <is>
          <t>1213</t>
        </is>
      </c>
      <c r="B650" s="11" t="inlineStr">
        <is>
          <t>Water proofing materials</t>
        </is>
      </c>
      <c r="C650" s="22" t="inlineStr">
        <is>
          <t>kilogram</t>
        </is>
      </c>
      <c r="D650" s="23" t="n">
        <v>0.01</v>
      </c>
      <c r="E650" s="24" t="n">
        <v>35</v>
      </c>
      <c r="F650" s="24">
        <f>D650*E650</f>
        <v/>
      </c>
      <c r="G650" s="22" t="n"/>
    </row>
    <row r="651">
      <c r="A651" s="7" t="inlineStr">
        <is>
          <t>3.9</t>
        </is>
      </c>
      <c r="B651" s="11" t="inlineStr">
        <is>
          <t>Rate as per item 3.9 - Cement mortar 1:4 (1 cement : 4 coarse sand)</t>
        </is>
      </c>
      <c r="C651" s="22" t="inlineStr">
        <is>
          <t>cum</t>
        </is>
      </c>
      <c r="D651" s="23" t="n">
        <v>0.224</v>
      </c>
      <c r="E651" s="24" t="n">
        <v>4010.35</v>
      </c>
      <c r="F651" s="24">
        <f>D651*E651</f>
        <v/>
      </c>
      <c r="G651" s="22" t="n"/>
    </row>
    <row r="652">
      <c r="A652" s="22" t="inlineStr">
        <is>
          <t>0123</t>
        </is>
      </c>
      <c r="B652" s="11" t="inlineStr">
        <is>
          <t>Mason (brick layer) 1st class</t>
        </is>
      </c>
      <c r="C652" s="22" t="inlineStr">
        <is>
          <t>day</t>
        </is>
      </c>
      <c r="D652" s="23" t="n">
        <v>0.6</v>
      </c>
      <c r="E652" s="24" t="n">
        <v>738</v>
      </c>
      <c r="F652" s="24">
        <f>D652*E652</f>
        <v/>
      </c>
      <c r="G652" s="22" t="n"/>
    </row>
    <row r="653">
      <c r="A653" s="22" t="inlineStr">
        <is>
          <t>0114</t>
        </is>
      </c>
      <c r="B653" s="11" t="inlineStr">
        <is>
          <t>Beldar</t>
        </is>
      </c>
      <c r="C653" s="22" t="inlineStr">
        <is>
          <t>day</t>
        </is>
      </c>
      <c r="D653" s="23" t="n">
        <v>2.6</v>
      </c>
      <c r="E653" s="24" t="n">
        <v>558</v>
      </c>
      <c r="F653" s="24">
        <f>D653*E653</f>
        <v/>
      </c>
      <c r="G653" s="22" t="n"/>
    </row>
    <row r="654">
      <c r="A654" s="22" t="inlineStr">
        <is>
          <t>9999</t>
        </is>
      </c>
      <c r="B654" s="11" t="inlineStr">
        <is>
          <t>Sundries</t>
        </is>
      </c>
      <c r="C654" s="22" t="inlineStr">
        <is>
          <t>L.S.</t>
        </is>
      </c>
      <c r="D654" s="23" t="n">
        <v>13</v>
      </c>
      <c r="E654" s="24" t="n">
        <v>2</v>
      </c>
      <c r="F654" s="24">
        <f>D654*E654</f>
        <v/>
      </c>
      <c r="G654" s="22" t="n"/>
    </row>
    <row r="655">
      <c r="A655" s="8" t="inlineStr">
        <is>
          <t>Calculated W - SUM of the Amount column above</t>
        </is>
      </c>
      <c r="B655" s="9" t="n"/>
      <c r="C655" s="9" t="n"/>
      <c r="D655" s="9" t="n"/>
      <c r="E655" s="9" t="n"/>
      <c r="F655" s="25">
        <f>SUM(F647:F654)</f>
        <v/>
      </c>
      <c r="G655" s="9" t="n"/>
    </row>
    <row r="656">
      <c r="A656" s="26" t="inlineStr">
        <is>
          <t>W as printed in the DAR</t>
        </is>
      </c>
      <c r="B656" s="22" t="n"/>
      <c r="C656" s="22" t="n"/>
      <c r="D656" s="22" t="n"/>
      <c r="E656" s="22" t="n"/>
      <c r="F656" s="27" t="n">
        <v>4369.22</v>
      </c>
      <c r="G656" s="22" t="n"/>
    </row>
    <row r="657">
      <c r="A657" s="26" t="inlineStr">
        <is>
          <t>Difference (calculated - printed)</t>
        </is>
      </c>
      <c r="B657" s="22" t="n"/>
      <c r="C657" s="22" t="n"/>
      <c r="D657" s="22" t="n"/>
      <c r="E657" s="22" t="n"/>
      <c r="F657" s="27">
        <f>F655-F656</f>
        <v/>
      </c>
      <c r="G657" s="22" t="n"/>
    </row>
    <row r="658">
      <c r="A658" s="29" t="inlineStr">
        <is>
          <t>SAY (Rs.) - final DAR rate as printed (fixed value, not computed)</t>
        </is>
      </c>
      <c r="B658" s="30" t="n"/>
      <c r="C658" s="30" t="n"/>
      <c r="D658" s="30" t="n"/>
      <c r="E658" s="30" t="n"/>
      <c r="F658" s="31" t="n">
        <v>584.55</v>
      </c>
      <c r="G658" s="30" t="n"/>
    </row>
    <row r="660" ht="33" customHeight="1">
      <c r="A660" s="8" t="inlineStr">
        <is>
          <t>12.21</t>
        </is>
      </c>
      <c r="B660" s="17" t="inlineStr">
        <is>
          <t>Providing gola 75x75 mm in cement concrete 1:2:4 (1 cement : 2 coarse sand : 4 stone aggregate 10 mm and down gauge), including finishing with cement mortar 1:3 (1 cement : 3 fine sand) as per standard design :</t>
        </is>
      </c>
      <c r="C660" s="9" t="n"/>
      <c r="D660" s="9" t="n"/>
      <c r="E660" s="9" t="n"/>
      <c r="F660" s="9" t="n"/>
      <c r="G660" s="9" t="n"/>
    </row>
    <row r="661" ht="18.5" customHeight="1">
      <c r="A661" s="18" t="inlineStr">
        <is>
          <t>12.21.1</t>
        </is>
      </c>
      <c r="B661" s="19" t="inlineStr">
        <is>
          <t>In 75x75 mm deep chase</t>
        </is>
      </c>
      <c r="C661" s="20" t="n"/>
      <c r="D661" s="20" t="n"/>
      <c r="E661" s="20" t="n"/>
      <c r="F661" s="20" t="n"/>
      <c r="G661" s="20" t="n"/>
    </row>
    <row r="662">
      <c r="A662" s="21" t="inlineStr">
        <is>
          <t>Details of cost for 10 metre   |   Source: CivilDAR_2019_Vol_1.pdf, page 843</t>
        </is>
      </c>
    </row>
    <row r="663">
      <c r="A663" s="5" t="inlineStr">
        <is>
          <t>Code</t>
        </is>
      </c>
      <c r="B663" s="5" t="inlineStr">
        <is>
          <t>Description</t>
        </is>
      </c>
      <c r="C663" s="5" t="inlineStr">
        <is>
          <t>Unit</t>
        </is>
      </c>
      <c r="D663" s="5" t="inlineStr">
        <is>
          <t>Quantity</t>
        </is>
      </c>
      <c r="E663" s="5" t="inlineStr">
        <is>
          <t>Rate (Rs.)</t>
        </is>
      </c>
      <c r="F663" s="5" t="inlineStr">
        <is>
          <t>Amount (Rs.)</t>
        </is>
      </c>
      <c r="G663" s="5" t="inlineStr">
        <is>
          <t>Note</t>
        </is>
      </c>
    </row>
    <row r="664">
      <c r="A664" s="22" t="inlineStr">
        <is>
          <t>0297</t>
        </is>
      </c>
      <c r="B664" s="11" t="inlineStr">
        <is>
          <t>Stone Aggregate (Single size) : 10 mm nominal size</t>
        </is>
      </c>
      <c r="C664" s="22" t="inlineStr">
        <is>
          <t>cum</t>
        </is>
      </c>
      <c r="D664" s="23" t="n">
        <v>0.08359999999999999</v>
      </c>
      <c r="E664" s="24" t="n">
        <v>1350</v>
      </c>
      <c r="F664" s="24">
        <f>D664*E664</f>
        <v/>
      </c>
      <c r="G664" s="22" t="n"/>
    </row>
    <row r="665">
      <c r="A665" s="22" t="inlineStr">
        <is>
          <t>2202</t>
        </is>
      </c>
      <c r="B665" s="11" t="inlineStr">
        <is>
          <t>Carriage of Stone aggregate below 40 mm nominal size</t>
        </is>
      </c>
      <c r="C665" s="22" t="inlineStr">
        <is>
          <t>cum</t>
        </is>
      </c>
      <c r="D665" s="23" t="n">
        <v>0.08359999999999999</v>
      </c>
      <c r="E665" s="24" t="n">
        <v>103.77</v>
      </c>
      <c r="F665" s="24">
        <f>D665*E665</f>
        <v/>
      </c>
      <c r="G665" s="22" t="n"/>
    </row>
    <row r="666">
      <c r="A666" s="22" t="inlineStr">
        <is>
          <t>0982</t>
        </is>
      </c>
      <c r="B666" s="11" t="inlineStr">
        <is>
          <t>Coarse sand (zone III)</t>
        </is>
      </c>
      <c r="C666" s="22" t="inlineStr">
        <is>
          <t>cum</t>
        </is>
      </c>
      <c r="D666" s="23" t="n">
        <v>0.0418</v>
      </c>
      <c r="E666" s="24" t="n">
        <v>1350</v>
      </c>
      <c r="F666" s="24">
        <f>D666*E666</f>
        <v/>
      </c>
      <c r="G666" s="22" t="n"/>
    </row>
    <row r="667">
      <c r="A667" s="22" t="inlineStr">
        <is>
          <t>2203</t>
        </is>
      </c>
      <c r="B667" s="11" t="inlineStr">
        <is>
          <t>Carriage of Coarse sand</t>
        </is>
      </c>
      <c r="C667" s="22" t="inlineStr">
        <is>
          <t>cum</t>
        </is>
      </c>
      <c r="D667" s="23" t="n">
        <v>0.0418</v>
      </c>
      <c r="E667" s="24" t="n">
        <v>103.77</v>
      </c>
      <c r="F667" s="24">
        <f>D667*E667</f>
        <v/>
      </c>
      <c r="G667" s="22" t="n"/>
    </row>
    <row r="668">
      <c r="A668" s="22" t="inlineStr">
        <is>
          <t>0367</t>
        </is>
      </c>
      <c r="B668" s="11" t="inlineStr">
        <is>
          <t>Portland Cement (OPC-43 grade)</t>
        </is>
      </c>
      <c r="C668" s="22" t="inlineStr">
        <is>
          <t>tonne</t>
        </is>
      </c>
      <c r="D668" s="23" t="n">
        <v>0.03</v>
      </c>
      <c r="E668" s="24" t="n">
        <v>4940</v>
      </c>
      <c r="F668" s="24">
        <f>D668*E668</f>
        <v/>
      </c>
      <c r="G668" s="22" t="n"/>
    </row>
    <row r="669">
      <c r="A669" s="22" t="inlineStr">
        <is>
          <t>2209</t>
        </is>
      </c>
      <c r="B669" s="11" t="inlineStr">
        <is>
          <t>Carriage of Cement</t>
        </is>
      </c>
      <c r="C669" s="22" t="inlineStr">
        <is>
          <t>tonne</t>
        </is>
      </c>
      <c r="D669" s="23" t="n">
        <v>0.03</v>
      </c>
      <c r="E669" s="24" t="n">
        <v>92.23999999999999</v>
      </c>
      <c r="F669" s="24">
        <f>D669*E669</f>
        <v/>
      </c>
      <c r="G669" s="22" t="n"/>
    </row>
    <row r="670">
      <c r="A670" s="22" t="inlineStr">
        <is>
          <t>0114</t>
        </is>
      </c>
      <c r="B670" s="11" t="inlineStr">
        <is>
          <t>Beldar</t>
        </is>
      </c>
      <c r="C670" s="22" t="inlineStr">
        <is>
          <t>day</t>
        </is>
      </c>
      <c r="D670" s="23" t="n">
        <v>0.08500000000000001</v>
      </c>
      <c r="E670" s="24" t="n">
        <v>558</v>
      </c>
      <c r="F670" s="24">
        <f>D670*E670</f>
        <v/>
      </c>
      <c r="G670" s="22" t="n"/>
    </row>
    <row r="671">
      <c r="A671" s="22" t="inlineStr">
        <is>
          <t>0115</t>
        </is>
      </c>
      <c r="B671" s="11" t="inlineStr">
        <is>
          <t>Coolie</t>
        </is>
      </c>
      <c r="C671" s="22" t="inlineStr">
        <is>
          <t>day</t>
        </is>
      </c>
      <c r="D671" s="23" t="n">
        <v>0.056</v>
      </c>
      <c r="E671" s="24" t="n">
        <v>558</v>
      </c>
      <c r="F671" s="24">
        <f>D671*E671</f>
        <v/>
      </c>
      <c r="G671" s="22" t="n"/>
    </row>
    <row r="672">
      <c r="A672" s="22" t="inlineStr">
        <is>
          <t>0101</t>
        </is>
      </c>
      <c r="B672" s="11" t="inlineStr">
        <is>
          <t>Bhisti</t>
        </is>
      </c>
      <c r="C672" s="22" t="inlineStr">
        <is>
          <t>day</t>
        </is>
      </c>
      <c r="D672" s="23" t="n">
        <v>0.025</v>
      </c>
      <c r="E672" s="24" t="n">
        <v>617</v>
      </c>
      <c r="F672" s="24">
        <f>D672*E672</f>
        <v/>
      </c>
      <c r="G672" s="22" t="n"/>
    </row>
    <row r="673">
      <c r="A673" s="22" t="inlineStr">
        <is>
          <t>0123</t>
        </is>
      </c>
      <c r="B673" s="11" t="inlineStr">
        <is>
          <t>Mason (brick layer) 1st class</t>
        </is>
      </c>
      <c r="C673" s="22" t="inlineStr">
        <is>
          <t>day</t>
        </is>
      </c>
      <c r="D673" s="23" t="n">
        <v>0.005</v>
      </c>
      <c r="E673" s="24" t="n">
        <v>738</v>
      </c>
      <c r="F673" s="24">
        <f>D673*E673</f>
        <v/>
      </c>
      <c r="G673" s="22" t="n"/>
    </row>
    <row r="674">
      <c r="A674" s="22" t="inlineStr">
        <is>
          <t>0124</t>
        </is>
      </c>
      <c r="B674" s="11" t="inlineStr">
        <is>
          <t>Mason (brick layer) 2nd class</t>
        </is>
      </c>
      <c r="C674" s="22" t="inlineStr">
        <is>
          <t>day</t>
        </is>
      </c>
      <c r="D674" s="23" t="n">
        <v>0.005</v>
      </c>
      <c r="E674" s="24" t="n">
        <v>679</v>
      </c>
      <c r="F674" s="24">
        <f>D674*E674</f>
        <v/>
      </c>
      <c r="G674" s="22" t="n"/>
    </row>
    <row r="675">
      <c r="A675" s="22" t="inlineStr">
        <is>
          <t>0128</t>
        </is>
      </c>
      <c r="B675" s="11" t="inlineStr">
        <is>
          <t>Mate</t>
        </is>
      </c>
      <c r="C675" s="22" t="inlineStr">
        <is>
          <t>day</t>
        </is>
      </c>
      <c r="D675" s="23" t="n">
        <v>0.0037</v>
      </c>
      <c r="E675" s="24" t="n">
        <v>617</v>
      </c>
      <c r="F675" s="24">
        <f>D675*E675</f>
        <v/>
      </c>
      <c r="G675" s="22" t="n"/>
    </row>
    <row r="676">
      <c r="A676" s="22" t="inlineStr">
        <is>
          <t>9999</t>
        </is>
      </c>
      <c r="B676" s="11" t="inlineStr">
        <is>
          <t>Hire and running charge of mechanical mixer</t>
        </is>
      </c>
      <c r="C676" s="22" t="inlineStr">
        <is>
          <t>L.S.</t>
        </is>
      </c>
      <c r="D676" s="23" t="n">
        <v>2.47</v>
      </c>
      <c r="E676" s="24" t="n">
        <v>2</v>
      </c>
      <c r="F676" s="24">
        <f>D676*E676</f>
        <v/>
      </c>
      <c r="G676" s="22" t="n"/>
    </row>
    <row r="677">
      <c r="A677" s="22" t="inlineStr">
        <is>
          <t>9999</t>
        </is>
      </c>
      <c r="B677" s="11" t="inlineStr">
        <is>
          <t>Sundries</t>
        </is>
      </c>
      <c r="C677" s="22" t="inlineStr">
        <is>
          <t>L.S.</t>
        </is>
      </c>
      <c r="D677" s="23" t="n">
        <v>1.3</v>
      </c>
      <c r="E677" s="24" t="n">
        <v>2</v>
      </c>
      <c r="F677" s="24">
        <f>D677*E677</f>
        <v/>
      </c>
      <c r="G677" s="22" t="n"/>
    </row>
    <row r="678">
      <c r="A678" s="22" t="inlineStr">
        <is>
          <t>0123</t>
        </is>
      </c>
      <c r="B678" s="11" t="inlineStr">
        <is>
          <t>Mason (brick layer) 1st class</t>
        </is>
      </c>
      <c r="C678" s="22" t="inlineStr">
        <is>
          <t>day</t>
        </is>
      </c>
      <c r="D678" s="23" t="n">
        <v>0.15</v>
      </c>
      <c r="E678" s="24" t="n">
        <v>738</v>
      </c>
      <c r="F678" s="24">
        <f>D678*E678</f>
        <v/>
      </c>
      <c r="G678" s="22" t="n"/>
    </row>
    <row r="679">
      <c r="A679" s="22" t="inlineStr">
        <is>
          <t>0124</t>
        </is>
      </c>
      <c r="B679" s="11" t="inlineStr">
        <is>
          <t>Mason (brick layer) 2nd class</t>
        </is>
      </c>
      <c r="C679" s="22" t="inlineStr">
        <is>
          <t>day</t>
        </is>
      </c>
      <c r="D679" s="23" t="n">
        <v>0.15</v>
      </c>
      <c r="E679" s="24" t="n">
        <v>679</v>
      </c>
      <c r="F679" s="24">
        <f>D679*E679</f>
        <v/>
      </c>
      <c r="G679" s="22" t="n"/>
    </row>
    <row r="680">
      <c r="A680" s="22" t="inlineStr">
        <is>
          <t>9999</t>
        </is>
      </c>
      <c r="B680" s="11" t="inlineStr">
        <is>
          <t>Sundries</t>
        </is>
      </c>
      <c r="C680" s="22" t="inlineStr">
        <is>
          <t>L.S.</t>
        </is>
      </c>
      <c r="D680" s="23" t="n">
        <v>5.07</v>
      </c>
      <c r="E680" s="24" t="n">
        <v>2</v>
      </c>
      <c r="F680" s="24">
        <f>D680*E680</f>
        <v/>
      </c>
      <c r="G680" s="22" t="n"/>
    </row>
    <row r="681">
      <c r="A681" s="22" t="inlineStr">
        <is>
          <t>0123</t>
        </is>
      </c>
      <c r="B681" s="11" t="inlineStr">
        <is>
          <t>Mason (brick layer) 1st class</t>
        </is>
      </c>
      <c r="C681" s="22" t="inlineStr">
        <is>
          <t>day</t>
        </is>
      </c>
      <c r="D681" s="23" t="n">
        <v>0.25</v>
      </c>
      <c r="E681" s="24" t="n">
        <v>738</v>
      </c>
      <c r="F681" s="24">
        <f>D681*E681</f>
        <v/>
      </c>
      <c r="G681" s="22" t="n"/>
    </row>
    <row r="682">
      <c r="A682" s="22" t="inlineStr">
        <is>
          <t>0124</t>
        </is>
      </c>
      <c r="B682" s="11" t="inlineStr">
        <is>
          <t>Mason (brick layer) 2nd class</t>
        </is>
      </c>
      <c r="C682" s="22" t="inlineStr">
        <is>
          <t>day</t>
        </is>
      </c>
      <c r="D682" s="23" t="n">
        <v>0.25</v>
      </c>
      <c r="E682" s="24" t="n">
        <v>679</v>
      </c>
      <c r="F682" s="24">
        <f>D682*E682</f>
        <v/>
      </c>
      <c r="G682" s="22" t="n"/>
    </row>
    <row r="683">
      <c r="A683" s="22" t="inlineStr">
        <is>
          <t>0114</t>
        </is>
      </c>
      <c r="B683" s="11" t="inlineStr">
        <is>
          <t>Beldar</t>
        </is>
      </c>
      <c r="C683" s="22" t="inlineStr">
        <is>
          <t>day</t>
        </is>
      </c>
      <c r="D683" s="23" t="n">
        <v>1</v>
      </c>
      <c r="E683" s="24" t="n">
        <v>558</v>
      </c>
      <c r="F683" s="24">
        <f>D683*E683</f>
        <v/>
      </c>
      <c r="G683" s="22" t="n"/>
    </row>
    <row r="684">
      <c r="A684" s="22" t="inlineStr">
        <is>
          <t>9977</t>
        </is>
      </c>
      <c r="B684" s="11" t="inlineStr">
        <is>
          <t>Carriage</t>
        </is>
      </c>
      <c r="C684" s="22" t="inlineStr">
        <is>
          <t>L.S.</t>
        </is>
      </c>
      <c r="D684" s="23" t="n">
        <v>8.06</v>
      </c>
      <c r="E684" s="24" t="n">
        <v>2</v>
      </c>
      <c r="F684" s="24">
        <f>D684*E684</f>
        <v/>
      </c>
      <c r="G684" s="22" t="n"/>
    </row>
    <row r="685">
      <c r="A685" s="7" t="inlineStr">
        <is>
          <t>3.3</t>
        </is>
      </c>
      <c r="B685" s="11" t="inlineStr">
        <is>
          <t>Rate as per item 3.3 - Cement mortar 1:3 (1 cement : 3 fine sand)</t>
        </is>
      </c>
      <c r="C685" s="22" t="inlineStr">
        <is>
          <t>cum</t>
        </is>
      </c>
      <c r="D685" s="23" t="n">
        <v>0.008999999999999999</v>
      </c>
      <c r="E685" s="24" t="n">
        <v>4183.05</v>
      </c>
      <c r="F685" s="24">
        <f>D685*E685</f>
        <v/>
      </c>
      <c r="G685" s="22" t="n"/>
    </row>
    <row r="686">
      <c r="A686" s="22" t="inlineStr">
        <is>
          <t>0155</t>
        </is>
      </c>
      <c r="B686" s="11" t="inlineStr">
        <is>
          <t>Mason (average)</t>
        </is>
      </c>
      <c r="C686" s="22" t="inlineStr">
        <is>
          <t>day</t>
        </is>
      </c>
      <c r="D686" s="23" t="n">
        <v>0.081</v>
      </c>
      <c r="E686" s="24" t="n">
        <v>709</v>
      </c>
      <c r="F686" s="24">
        <f>D686*E686</f>
        <v/>
      </c>
      <c r="G686" s="22" t="n"/>
    </row>
    <row r="687">
      <c r="A687" s="22" t="inlineStr">
        <is>
          <t>0115</t>
        </is>
      </c>
      <c r="B687" s="11" t="inlineStr">
        <is>
          <t>Coolie</t>
        </is>
      </c>
      <c r="C687" s="22" t="inlineStr">
        <is>
          <t>day</t>
        </is>
      </c>
      <c r="D687" s="23" t="n">
        <v>0.101</v>
      </c>
      <c r="E687" s="24" t="n">
        <v>558</v>
      </c>
      <c r="F687" s="24">
        <f>D687*E687</f>
        <v/>
      </c>
      <c r="G687" s="22" t="n"/>
    </row>
    <row r="688">
      <c r="A688" s="22" t="inlineStr">
        <is>
          <t>0101</t>
        </is>
      </c>
      <c r="B688" s="11" t="inlineStr">
        <is>
          <t>Bhisti</t>
        </is>
      </c>
      <c r="C688" s="22" t="inlineStr">
        <is>
          <t>day</t>
        </is>
      </c>
      <c r="D688" s="23" t="n">
        <v>0.033</v>
      </c>
      <c r="E688" s="24" t="n">
        <v>617</v>
      </c>
      <c r="F688" s="24">
        <f>D688*E688</f>
        <v/>
      </c>
      <c r="G688" s="22" t="n"/>
    </row>
    <row r="689">
      <c r="A689" s="22" t="inlineStr">
        <is>
          <t>9999</t>
        </is>
      </c>
      <c r="B689" s="11" t="inlineStr">
        <is>
          <t>Hire and running charges of mechanical mixer</t>
        </is>
      </c>
      <c r="C689" s="22" t="inlineStr">
        <is>
          <t>L.S.</t>
        </is>
      </c>
      <c r="D689" s="23" t="n">
        <v>1.69</v>
      </c>
      <c r="E689" s="24" t="n">
        <v>2</v>
      </c>
      <c r="F689" s="24">
        <f>D689*E689</f>
        <v/>
      </c>
      <c r="G689" s="22" t="n"/>
    </row>
    <row r="690">
      <c r="A690" s="22" t="inlineStr">
        <is>
          <t>9999</t>
        </is>
      </c>
      <c r="B690" s="11" t="inlineStr">
        <is>
          <t>Sundries</t>
        </is>
      </c>
      <c r="C690" s="22" t="inlineStr">
        <is>
          <t>L.S.</t>
        </is>
      </c>
      <c r="D690" s="23" t="n">
        <v>1.43</v>
      </c>
      <c r="E690" s="24" t="n">
        <v>2</v>
      </c>
      <c r="F690" s="24">
        <f>D690*E690</f>
        <v/>
      </c>
      <c r="G690" s="22" t="n"/>
    </row>
    <row r="691">
      <c r="A691" s="8" t="inlineStr">
        <is>
          <t>Calculated W - SUM of the Amount column above</t>
        </is>
      </c>
      <c r="B691" s="9" t="n"/>
      <c r="C691" s="9" t="n"/>
      <c r="D691" s="9" t="n"/>
      <c r="E691" s="9" t="n"/>
      <c r="F691" s="25">
        <f>SUM(F664:F690)</f>
        <v/>
      </c>
      <c r="G691" s="9" t="n"/>
    </row>
    <row r="692">
      <c r="A692" s="26" t="inlineStr">
        <is>
          <t>W as printed in the DAR</t>
        </is>
      </c>
      <c r="B692" s="22" t="n"/>
      <c r="C692" s="22" t="n"/>
      <c r="D692" s="22" t="n"/>
      <c r="E692" s="22" t="n"/>
      <c r="F692" s="27" t="n">
        <v>1773.38</v>
      </c>
      <c r="G692" s="22" t="n"/>
    </row>
    <row r="693">
      <c r="A693" s="26" t="inlineStr">
        <is>
          <t>Difference (calculated - printed)</t>
        </is>
      </c>
      <c r="B693" s="22" t="n"/>
      <c r="C693" s="22" t="n"/>
      <c r="D693" s="22" t="n"/>
      <c r="E693" s="22" t="n"/>
      <c r="F693" s="27">
        <f>F691-F692</f>
        <v/>
      </c>
      <c r="G693" s="22" t="n"/>
    </row>
    <row r="694">
      <c r="A694" s="29" t="inlineStr">
        <is>
          <t>SAY (Rs.) - final DAR rate as printed (fixed value, not computed)</t>
        </is>
      </c>
      <c r="B694" s="30" t="n"/>
      <c r="C694" s="30" t="n"/>
      <c r="D694" s="30" t="n"/>
      <c r="E694" s="30" t="n"/>
      <c r="F694" s="31" t="n">
        <v>237.25</v>
      </c>
      <c r="G694" s="30" t="n"/>
    </row>
    <row r="696" ht="47.5" customHeight="1">
      <c r="A696" s="18" t="inlineStr">
        <is>
          <t>12.22</t>
        </is>
      </c>
      <c r="B696" s="19" t="inlineStr">
        <is>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is>
      </c>
      <c r="C696" s="20" t="n"/>
      <c r="D696" s="20" t="n"/>
      <c r="E696" s="20" t="n"/>
      <c r="F696" s="20" t="n"/>
      <c r="G696" s="20" t="n"/>
    </row>
    <row r="697">
      <c r="A697" s="21" t="inlineStr">
        <is>
          <t>Details of cost for 1 no   |   Source: CivilDAR_2019_Vol_1.pdf, page 844</t>
        </is>
      </c>
    </row>
    <row r="698">
      <c r="A698" s="5" t="inlineStr">
        <is>
          <t>Code</t>
        </is>
      </c>
      <c r="B698" s="5" t="inlineStr">
        <is>
          <t>Description</t>
        </is>
      </c>
      <c r="C698" s="5" t="inlineStr">
        <is>
          <t>Unit</t>
        </is>
      </c>
      <c r="D698" s="5" t="inlineStr">
        <is>
          <t>Quantity</t>
        </is>
      </c>
      <c r="E698" s="5" t="inlineStr">
        <is>
          <t>Rate (Rs.)</t>
        </is>
      </c>
      <c r="F698" s="5" t="inlineStr">
        <is>
          <t>Amount (Rs.)</t>
        </is>
      </c>
      <c r="G698" s="5" t="inlineStr">
        <is>
          <t>Note</t>
        </is>
      </c>
    </row>
    <row r="699">
      <c r="A699" s="22" t="inlineStr">
        <is>
          <t>0295</t>
        </is>
      </c>
      <c r="B699" s="11" t="inlineStr">
        <is>
          <t>Stone Aggregate (Single size) : 20 mm nominal size</t>
        </is>
      </c>
      <c r="C699" s="22" t="inlineStr">
        <is>
          <t>cum</t>
        </is>
      </c>
      <c r="D699" s="23" t="n">
        <v>0.0067</v>
      </c>
      <c r="E699" s="24" t="n">
        <v>1350</v>
      </c>
      <c r="F699" s="24">
        <f>D699*E699</f>
        <v/>
      </c>
      <c r="G699" s="22" t="n"/>
    </row>
    <row r="700">
      <c r="A700" s="22" t="inlineStr">
        <is>
          <t>0297</t>
        </is>
      </c>
      <c r="B700" s="11" t="inlineStr">
        <is>
          <t>Stone Aggregate (Single size) : 10 mm nominal size</t>
        </is>
      </c>
      <c r="C700" s="22" t="inlineStr">
        <is>
          <t>cum</t>
        </is>
      </c>
      <c r="D700" s="23" t="n">
        <v>0.0022</v>
      </c>
      <c r="E700" s="24" t="n">
        <v>1350</v>
      </c>
      <c r="F700" s="24">
        <f>D700*E700</f>
        <v/>
      </c>
      <c r="G700" s="22" t="n"/>
    </row>
    <row r="701">
      <c r="A701" s="22" t="inlineStr">
        <is>
          <t>2202</t>
        </is>
      </c>
      <c r="B701" s="11" t="inlineStr">
        <is>
          <t>Carriage of Stone aggregate below 40 mm nominal size</t>
        </is>
      </c>
      <c r="C701" s="22" t="inlineStr">
        <is>
          <t>cum</t>
        </is>
      </c>
      <c r="D701" s="23" t="n">
        <v>0.0089</v>
      </c>
      <c r="E701" s="24" t="n">
        <v>103.77</v>
      </c>
      <c r="F701" s="24">
        <f>D701*E701</f>
        <v/>
      </c>
      <c r="G701" s="22" t="n"/>
    </row>
    <row r="702">
      <c r="A702" s="22" t="inlineStr">
        <is>
          <t>0982</t>
        </is>
      </c>
      <c r="B702" s="11" t="inlineStr">
        <is>
          <t>Coarse sand (zone III)</t>
        </is>
      </c>
      <c r="C702" s="22" t="inlineStr">
        <is>
          <t>cum</t>
        </is>
      </c>
      <c r="D702" s="23" t="n">
        <v>0.0044</v>
      </c>
      <c r="E702" s="24" t="n">
        <v>1350</v>
      </c>
      <c r="F702" s="24">
        <f>D702*E702</f>
        <v/>
      </c>
      <c r="G702" s="22" t="n"/>
    </row>
    <row r="703">
      <c r="A703" s="22" t="inlineStr">
        <is>
          <t>2203</t>
        </is>
      </c>
      <c r="B703" s="11" t="inlineStr">
        <is>
          <t>Carriage of Coarse sand</t>
        </is>
      </c>
      <c r="C703" s="22" t="inlineStr">
        <is>
          <t>cum</t>
        </is>
      </c>
      <c r="D703" s="23" t="n">
        <v>0.0044</v>
      </c>
      <c r="E703" s="24" t="n">
        <v>103.77</v>
      </c>
      <c r="F703" s="24">
        <f>D703*E703</f>
        <v/>
      </c>
      <c r="G703" s="22" t="n"/>
    </row>
    <row r="704">
      <c r="A704" s="22" t="inlineStr">
        <is>
          <t>0367</t>
        </is>
      </c>
      <c r="B704" s="11" t="inlineStr">
        <is>
          <t>Portland Cement (OPC-43 grade)</t>
        </is>
      </c>
      <c r="C704" s="22" t="inlineStr">
        <is>
          <t>tonne</t>
        </is>
      </c>
      <c r="D704" s="23" t="n">
        <v>0.0032</v>
      </c>
      <c r="E704" s="24" t="n">
        <v>4940</v>
      </c>
      <c r="F704" s="24">
        <f>D704*E704</f>
        <v/>
      </c>
      <c r="G704" s="22" t="n"/>
    </row>
    <row r="705">
      <c r="A705" s="22" t="inlineStr">
        <is>
          <t>2209</t>
        </is>
      </c>
      <c r="B705" s="11" t="inlineStr">
        <is>
          <t>Carriage of Cement</t>
        </is>
      </c>
      <c r="C705" s="22" t="inlineStr">
        <is>
          <t>tonne</t>
        </is>
      </c>
      <c r="D705" s="23" t="n">
        <v>0.0032</v>
      </c>
      <c r="E705" s="24" t="n">
        <v>92.23999999999999</v>
      </c>
      <c r="F705" s="24">
        <f>D705*E705</f>
        <v/>
      </c>
      <c r="G705" s="22" t="n"/>
    </row>
    <row r="706">
      <c r="A706" s="22" t="inlineStr">
        <is>
          <t>0114</t>
        </is>
      </c>
      <c r="B706" s="11" t="inlineStr">
        <is>
          <t>Beldar</t>
        </is>
      </c>
      <c r="C706" s="22" t="inlineStr">
        <is>
          <t>day</t>
        </is>
      </c>
      <c r="D706" s="23" t="n">
        <v>0.008999999999999999</v>
      </c>
      <c r="E706" s="24" t="n">
        <v>558</v>
      </c>
      <c r="F706" s="24">
        <f>D706*E706</f>
        <v/>
      </c>
      <c r="G706" s="22" t="n"/>
    </row>
    <row r="707">
      <c r="A707" s="22" t="inlineStr">
        <is>
          <t>0115</t>
        </is>
      </c>
      <c r="B707" s="11" t="inlineStr">
        <is>
          <t>Coolie</t>
        </is>
      </c>
      <c r="C707" s="22" t="inlineStr">
        <is>
          <t>day</t>
        </is>
      </c>
      <c r="D707" s="23" t="n">
        <v>0.006</v>
      </c>
      <c r="E707" s="24" t="n">
        <v>558</v>
      </c>
      <c r="F707" s="24">
        <f>D707*E707</f>
        <v/>
      </c>
      <c r="G707" s="22" t="n"/>
    </row>
    <row r="708">
      <c r="A708" s="22" t="inlineStr">
        <is>
          <t>0101</t>
        </is>
      </c>
      <c r="B708" s="11" t="inlineStr">
        <is>
          <t>Bhisti</t>
        </is>
      </c>
      <c r="C708" s="22" t="inlineStr">
        <is>
          <t>day</t>
        </is>
      </c>
      <c r="D708" s="23" t="n">
        <v>0.0027</v>
      </c>
      <c r="E708" s="24" t="n">
        <v>617</v>
      </c>
      <c r="F708" s="24">
        <f>D708*E708</f>
        <v/>
      </c>
      <c r="G708" s="22" t="n"/>
    </row>
    <row r="709">
      <c r="A709" s="22" t="inlineStr">
        <is>
          <t>0123</t>
        </is>
      </c>
      <c r="B709" s="11" t="inlineStr">
        <is>
          <t>Mason (brick layer) 1st class</t>
        </is>
      </c>
      <c r="C709" s="22" t="inlineStr">
        <is>
          <t>day</t>
        </is>
      </c>
      <c r="D709" s="23" t="n">
        <v>0.0005</v>
      </c>
      <c r="E709" s="24" t="n">
        <v>738</v>
      </c>
      <c r="F709" s="24">
        <f>D709*E709</f>
        <v/>
      </c>
      <c r="G709" s="22" t="n"/>
    </row>
    <row r="710">
      <c r="A710" s="22" t="inlineStr">
        <is>
          <t>0124</t>
        </is>
      </c>
      <c r="B710" s="11" t="inlineStr">
        <is>
          <t>Mason (brick layer) 2nd class</t>
        </is>
      </c>
      <c r="C710" s="22" t="inlineStr">
        <is>
          <t>day</t>
        </is>
      </c>
      <c r="D710" s="23" t="n">
        <v>0.0005</v>
      </c>
      <c r="E710" s="24" t="n">
        <v>679</v>
      </c>
      <c r="F710" s="24">
        <f>D710*E710</f>
        <v/>
      </c>
      <c r="G710" s="22" t="n"/>
    </row>
    <row r="711">
      <c r="A711" s="22" t="inlineStr">
        <is>
          <t>0128</t>
        </is>
      </c>
      <c r="B711" s="11" t="inlineStr">
        <is>
          <t>Mate</t>
        </is>
      </c>
      <c r="C711" s="22" t="inlineStr">
        <is>
          <t>day</t>
        </is>
      </c>
      <c r="D711" s="23" t="n">
        <v>0.0004</v>
      </c>
      <c r="E711" s="24" t="n">
        <v>617</v>
      </c>
      <c r="F711" s="24">
        <f>D711*E711</f>
        <v/>
      </c>
      <c r="G711" s="22" t="n"/>
    </row>
    <row r="712">
      <c r="A712" s="22" t="inlineStr">
        <is>
          <t>9999</t>
        </is>
      </c>
      <c r="B712" s="11" t="inlineStr">
        <is>
          <t>Hire and running charge of mechanical mixer</t>
        </is>
      </c>
      <c r="C712" s="22" t="inlineStr">
        <is>
          <t>L.S.</t>
        </is>
      </c>
      <c r="D712" s="23" t="n">
        <v>0.26</v>
      </c>
      <c r="E712" s="24" t="n">
        <v>2</v>
      </c>
      <c r="F712" s="24">
        <f>D712*E712</f>
        <v/>
      </c>
      <c r="G712" s="22" t="n"/>
    </row>
    <row r="713">
      <c r="A713" s="22" t="inlineStr">
        <is>
          <t>9999</t>
        </is>
      </c>
      <c r="B713" s="11" t="inlineStr">
        <is>
          <t>Sundries</t>
        </is>
      </c>
      <c r="C713" s="22" t="inlineStr">
        <is>
          <t>L.S.</t>
        </is>
      </c>
      <c r="D713" s="23" t="n">
        <v>0.13</v>
      </c>
      <c r="E713" s="24" t="n">
        <v>2</v>
      </c>
      <c r="F713" s="24">
        <f>D713*E713</f>
        <v/>
      </c>
      <c r="G713" s="22" t="n"/>
    </row>
    <row r="714">
      <c r="A714" s="22" t="inlineStr">
        <is>
          <t>3002</t>
        </is>
      </c>
      <c r="B714" s="11" t="inlineStr">
        <is>
          <t>Polyvinyle chloride sheet 400 micron thick</t>
        </is>
      </c>
      <c r="C714" s="22" t="inlineStr">
        <is>
          <t>sqm</t>
        </is>
      </c>
      <c r="D714" s="23" t="n">
        <v>1</v>
      </c>
      <c r="E714" s="24" t="n">
        <v>40</v>
      </c>
      <c r="F714" s="24">
        <f>D714*E714</f>
        <v/>
      </c>
      <c r="G714" s="22" t="n"/>
    </row>
    <row r="715">
      <c r="A715" s="7" t="inlineStr">
        <is>
          <t>3.8</t>
        </is>
      </c>
      <c r="B715" s="11" t="inlineStr">
        <is>
          <t>Rate as per item 3.8 - Cement mortar 1:3 (1 cement : 3 coarse sand)</t>
        </is>
      </c>
      <c r="C715" s="22" t="inlineStr">
        <is>
          <t>cum</t>
        </is>
      </c>
      <c r="D715" s="23" t="n">
        <v>0.0041</v>
      </c>
      <c r="E715" s="24" t="n">
        <v>4664.55</v>
      </c>
      <c r="F715" s="24">
        <f>D715*E715</f>
        <v/>
      </c>
      <c r="G715" s="22" t="n"/>
    </row>
    <row r="716">
      <c r="A716" s="22" t="inlineStr">
        <is>
          <t>0155</t>
        </is>
      </c>
      <c r="B716" s="11" t="inlineStr">
        <is>
          <t>Mason (average)</t>
        </is>
      </c>
      <c r="C716" s="22" t="inlineStr">
        <is>
          <t>day</t>
        </is>
      </c>
      <c r="D716" s="23" t="n">
        <v>0.0235</v>
      </c>
      <c r="E716" s="24" t="n">
        <v>709</v>
      </c>
      <c r="F716" s="24">
        <f>D716*E716</f>
        <v/>
      </c>
      <c r="G716" s="22" t="n"/>
    </row>
    <row r="717">
      <c r="A717" s="22" t="inlineStr">
        <is>
          <t>0115</t>
        </is>
      </c>
      <c r="B717" s="11" t="inlineStr">
        <is>
          <t>Coolie</t>
        </is>
      </c>
      <c r="C717" s="22" t="inlineStr">
        <is>
          <t>day</t>
        </is>
      </c>
      <c r="D717" s="23" t="n">
        <v>0.0235</v>
      </c>
      <c r="E717" s="24" t="n">
        <v>558</v>
      </c>
      <c r="F717" s="24">
        <f>D717*E717</f>
        <v/>
      </c>
      <c r="G717" s="22" t="n"/>
    </row>
    <row r="718">
      <c r="A718" s="22" t="inlineStr">
        <is>
          <t>0101</t>
        </is>
      </c>
      <c r="B718" s="11" t="inlineStr">
        <is>
          <t>Bhisti</t>
        </is>
      </c>
      <c r="C718" s="22" t="inlineStr">
        <is>
          <t>day</t>
        </is>
      </c>
      <c r="D718" s="23" t="n">
        <v>0.0078</v>
      </c>
      <c r="E718" s="24" t="n">
        <v>617</v>
      </c>
      <c r="F718" s="24">
        <f>D718*E718</f>
        <v/>
      </c>
      <c r="G718" s="22" t="n"/>
    </row>
    <row r="719">
      <c r="A719" s="22" t="inlineStr">
        <is>
          <t>9999</t>
        </is>
      </c>
      <c r="B719" s="11" t="inlineStr">
        <is>
          <t>Sundries</t>
        </is>
      </c>
      <c r="C719" s="22" t="inlineStr">
        <is>
          <t>L.S.</t>
        </is>
      </c>
      <c r="D719" s="23" t="n">
        <v>0.39</v>
      </c>
      <c r="E719" s="24" t="n">
        <v>2</v>
      </c>
      <c r="F719" s="24">
        <f>D719*E719</f>
        <v/>
      </c>
      <c r="G719" s="22" t="n"/>
    </row>
    <row r="720">
      <c r="A720" s="22" t="inlineStr">
        <is>
          <t>0367</t>
        </is>
      </c>
      <c r="B720" s="11" t="inlineStr">
        <is>
          <t>Portland Cement (OPC-43 grade)</t>
        </is>
      </c>
      <c r="C720" s="22" t="inlineStr">
        <is>
          <t>tonne</t>
        </is>
      </c>
      <c r="D720" s="23" t="n">
        <v>0.0005999999999999999</v>
      </c>
      <c r="E720" s="24" t="n">
        <v>4940</v>
      </c>
      <c r="F720" s="24">
        <f>D720*E720</f>
        <v/>
      </c>
      <c r="G720" s="22" t="n"/>
    </row>
    <row r="721">
      <c r="A721" s="22" t="inlineStr">
        <is>
          <t>2209</t>
        </is>
      </c>
      <c r="B721" s="11" t="inlineStr">
        <is>
          <t>Carriage of Cement</t>
        </is>
      </c>
      <c r="C721" s="22" t="inlineStr">
        <is>
          <t>tonne</t>
        </is>
      </c>
      <c r="D721" s="23" t="n">
        <v>0.0005999999999999999</v>
      </c>
      <c r="E721" s="24" t="n">
        <v>92.23999999999999</v>
      </c>
      <c r="F721" s="24">
        <f>D721*E721</f>
        <v/>
      </c>
      <c r="G721" s="22" t="n"/>
    </row>
    <row r="722">
      <c r="A722" s="22" t="inlineStr">
        <is>
          <t>0155</t>
        </is>
      </c>
      <c r="B722" s="11" t="inlineStr">
        <is>
          <t>Mason (average)</t>
        </is>
      </c>
      <c r="C722" s="22" t="inlineStr">
        <is>
          <t>day</t>
        </is>
      </c>
      <c r="D722" s="23" t="n">
        <v>0.008</v>
      </c>
      <c r="E722" s="24" t="n">
        <v>709</v>
      </c>
      <c r="F722" s="24">
        <f>D722*E722</f>
        <v/>
      </c>
      <c r="G722" s="22" t="n"/>
    </row>
    <row r="723">
      <c r="A723" s="22" t="inlineStr">
        <is>
          <t>0115</t>
        </is>
      </c>
      <c r="B723" s="11" t="inlineStr">
        <is>
          <t>Coolie</t>
        </is>
      </c>
      <c r="C723" s="22" t="inlineStr">
        <is>
          <t>day</t>
        </is>
      </c>
      <c r="D723" s="23" t="n">
        <v>0.008</v>
      </c>
      <c r="E723" s="24" t="n">
        <v>558</v>
      </c>
      <c r="F723" s="24">
        <f>D723*E723</f>
        <v/>
      </c>
      <c r="G723" s="22" t="n"/>
    </row>
    <row r="724">
      <c r="A724" s="22" t="inlineStr">
        <is>
          <t>9999</t>
        </is>
      </c>
      <c r="B724" s="11" t="inlineStr">
        <is>
          <t>Rounding of edges and making outlet</t>
        </is>
      </c>
      <c r="C724" s="22" t="inlineStr">
        <is>
          <t>L.S.</t>
        </is>
      </c>
      <c r="D724" s="23" t="n">
        <v>0.26</v>
      </c>
      <c r="E724" s="24" t="n">
        <v>2</v>
      </c>
      <c r="F724" s="24">
        <f>D724*E724</f>
        <v/>
      </c>
      <c r="G724" s="22" t="n"/>
    </row>
    <row r="725">
      <c r="A725" s="22" t="inlineStr">
        <is>
          <t>9999</t>
        </is>
      </c>
      <c r="B725" s="11" t="inlineStr">
        <is>
          <t>Sundries</t>
        </is>
      </c>
      <c r="C725" s="22" t="inlineStr">
        <is>
          <t>L.S.</t>
        </is>
      </c>
      <c r="D725" s="23" t="n">
        <v>13.52</v>
      </c>
      <c r="E725" s="24" t="n">
        <v>2</v>
      </c>
      <c r="F725" s="24">
        <f>D725*E725</f>
        <v/>
      </c>
      <c r="G725" s="22" t="n"/>
    </row>
    <row r="726">
      <c r="A726" s="8" t="inlineStr">
        <is>
          <t>Calculated W - SUM of the Amount column above</t>
        </is>
      </c>
      <c r="B726" s="9" t="n"/>
      <c r="C726" s="9" t="n"/>
      <c r="D726" s="9" t="n"/>
      <c r="E726" s="9" t="n"/>
      <c r="F726" s="25">
        <f>SUM(F699:F725)</f>
        <v/>
      </c>
      <c r="G726" s="9" t="n"/>
    </row>
    <row r="727">
      <c r="A727" s="26" t="inlineStr">
        <is>
          <t>W as printed in the DAR</t>
        </is>
      </c>
      <c r="B727" s="22" t="n"/>
      <c r="C727" s="22" t="n"/>
      <c r="D727" s="22" t="n"/>
      <c r="E727" s="22" t="n"/>
      <c r="F727" s="27" t="n">
        <v>182.42</v>
      </c>
      <c r="G727" s="22" t="n"/>
    </row>
    <row r="728">
      <c r="A728" s="26" t="inlineStr">
        <is>
          <t>Difference (calculated - printed)</t>
        </is>
      </c>
      <c r="B728" s="22" t="n"/>
      <c r="C728" s="22" t="n"/>
      <c r="D728" s="22" t="n"/>
      <c r="E728" s="22" t="n"/>
      <c r="F728" s="27">
        <f>F726-F727</f>
        <v/>
      </c>
      <c r="G728" s="22" t="n"/>
    </row>
    <row r="729">
      <c r="A729" s="29" t="inlineStr">
        <is>
          <t>SAY (Rs.) - final DAR rate as printed (fixed value, not computed)</t>
        </is>
      </c>
      <c r="B729" s="30" t="n"/>
      <c r="C729" s="30" t="n"/>
      <c r="D729" s="30" t="n"/>
      <c r="E729" s="30" t="n"/>
      <c r="F729" s="31" t="n">
        <v>244.05</v>
      </c>
      <c r="G729" s="30" t="n"/>
    </row>
    <row r="731" ht="47.5" customHeight="1">
      <c r="A731" s="8" t="inlineStr">
        <is>
          <t>12.23</t>
        </is>
      </c>
      <c r="B731" s="17"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is>
      </c>
      <c r="C731" s="9" t="n"/>
      <c r="D731" s="9" t="n"/>
      <c r="E731" s="9" t="n"/>
      <c r="F731" s="9" t="n"/>
      <c r="G731" s="9" t="n"/>
    </row>
    <row r="732" ht="18.5" customHeight="1">
      <c r="A732" s="8" t="inlineStr">
        <is>
          <t>12.23.1</t>
        </is>
      </c>
      <c r="B732" s="17" t="inlineStr">
        <is>
          <t>Red sand stone slab</t>
        </is>
      </c>
      <c r="C732" s="9" t="n"/>
      <c r="D732" s="9" t="n"/>
      <c r="E732" s="9" t="n"/>
      <c r="F732" s="9" t="n"/>
      <c r="G732" s="9" t="n"/>
    </row>
    <row r="733" ht="18.5" customHeight="1">
      <c r="A733" s="18" t="inlineStr">
        <is>
          <t>12.23.1.1</t>
        </is>
      </c>
      <c r="B733" s="19" t="inlineStr">
        <is>
          <t>40 to 50 mm thick</t>
        </is>
      </c>
      <c r="C733" s="20" t="n"/>
      <c r="D733" s="20" t="n"/>
      <c r="E733" s="20" t="n"/>
      <c r="F733" s="20" t="n"/>
      <c r="G733" s="20" t="n"/>
    </row>
    <row r="734">
      <c r="A734" s="21" t="inlineStr">
        <is>
          <t>Details of cost for 10 sqm   |   Source: CivilDAR_2019_Vol_1.pdf, page 845</t>
        </is>
      </c>
    </row>
    <row r="735">
      <c r="A735" s="5" t="inlineStr">
        <is>
          <t>Code</t>
        </is>
      </c>
      <c r="B735" s="5" t="inlineStr">
        <is>
          <t>Description</t>
        </is>
      </c>
      <c r="C735" s="5" t="inlineStr">
        <is>
          <t>Unit</t>
        </is>
      </c>
      <c r="D735" s="5" t="inlineStr">
        <is>
          <t>Quantity</t>
        </is>
      </c>
      <c r="E735" s="5" t="inlineStr">
        <is>
          <t>Rate (Rs.)</t>
        </is>
      </c>
      <c r="F735" s="5" t="inlineStr">
        <is>
          <t>Amount (Rs.)</t>
        </is>
      </c>
      <c r="G735" s="5" t="inlineStr">
        <is>
          <t>Note</t>
        </is>
      </c>
    </row>
    <row r="736">
      <c r="A736" s="22" t="inlineStr">
        <is>
          <t>1174</t>
        </is>
      </c>
      <c r="B736" s="11" t="inlineStr">
        <is>
          <t>Red sand stone slab 45 mm and 50 mm thick (un-dressed)</t>
        </is>
      </c>
      <c r="C736" s="22" t="inlineStr">
        <is>
          <t>sqm</t>
        </is>
      </c>
      <c r="D736" s="23" t="n">
        <v>11</v>
      </c>
      <c r="E736" s="24" t="n">
        <v>225</v>
      </c>
      <c r="F736" s="24">
        <f>D736*E736</f>
        <v/>
      </c>
      <c r="G736" s="22" t="n"/>
    </row>
    <row r="737">
      <c r="A737" s="22" t="inlineStr">
        <is>
          <t>2216</t>
        </is>
      </c>
      <c r="B737" s="11" t="inlineStr">
        <is>
          <t>Carriage of Stone blocks white &amp; red sand stone &amp; kota stone slab</t>
        </is>
      </c>
      <c r="C737" s="22" t="inlineStr">
        <is>
          <t>tonne</t>
        </is>
      </c>
      <c r="D737" s="23" t="n">
        <v>1.27</v>
      </c>
      <c r="E737" s="24" t="n">
        <v>92.23999999999999</v>
      </c>
      <c r="F737" s="24">
        <f>D737*E737</f>
        <v/>
      </c>
      <c r="G737" s="22" t="n"/>
    </row>
    <row r="738">
      <c r="A738" s="7" t="inlineStr">
        <is>
          <t>3.9</t>
        </is>
      </c>
      <c r="B738" s="11" t="inlineStr">
        <is>
          <t>Rate as per item 3.9 - Cement mortar 1:4 (1 cement : 4 coarse sand)</t>
        </is>
      </c>
      <c r="C738" s="22" t="inlineStr">
        <is>
          <t>cum</t>
        </is>
      </c>
      <c r="D738" s="23" t="n">
        <v>0.0095</v>
      </c>
      <c r="E738" s="24" t="n">
        <v>4010.35</v>
      </c>
      <c r="F738" s="24">
        <f>D738*E738</f>
        <v/>
      </c>
      <c r="G738" s="22" t="n"/>
    </row>
    <row r="739">
      <c r="A739" s="7" t="inlineStr">
        <is>
          <t>3.3</t>
        </is>
      </c>
      <c r="B739" s="11" t="inlineStr">
        <is>
          <t>Rate as per item 3.3 - Cement mortar 1:3 (1 cement : 3 fine sand)</t>
        </is>
      </c>
      <c r="C739" s="22" t="inlineStr">
        <is>
          <t>cum</t>
        </is>
      </c>
      <c r="D739" s="23" t="n">
        <v>0.0075</v>
      </c>
      <c r="E739" s="24" t="n">
        <v>4183.05</v>
      </c>
      <c r="F739" s="24">
        <f>D739*E739</f>
        <v/>
      </c>
      <c r="G739" s="22" t="n"/>
    </row>
    <row r="740">
      <c r="A740" s="22" t="inlineStr">
        <is>
          <t>0155</t>
        </is>
      </c>
      <c r="B740" s="11" t="inlineStr">
        <is>
          <t>Mason (average)</t>
        </is>
      </c>
      <c r="C740" s="22" t="inlineStr">
        <is>
          <t>day</t>
        </is>
      </c>
      <c r="D740" s="23" t="n">
        <v>1.52</v>
      </c>
      <c r="E740" s="24" t="n">
        <v>709</v>
      </c>
      <c r="F740" s="24">
        <f>D740*E740</f>
        <v/>
      </c>
      <c r="G740" s="22" t="n"/>
    </row>
    <row r="741">
      <c r="A741" s="22" t="inlineStr">
        <is>
          <t>0100</t>
        </is>
      </c>
      <c r="B741" s="11" t="inlineStr">
        <is>
          <t>Bandhani</t>
        </is>
      </c>
      <c r="C741" s="22" t="inlineStr">
        <is>
          <t>day</t>
        </is>
      </c>
      <c r="D741" s="23" t="n">
        <v>1.82</v>
      </c>
      <c r="E741" s="24" t="n">
        <v>617</v>
      </c>
      <c r="F741" s="24">
        <f>D741*E741</f>
        <v/>
      </c>
      <c r="G741" s="22" t="n"/>
    </row>
    <row r="742">
      <c r="A742" s="22" t="inlineStr">
        <is>
          <t>0115</t>
        </is>
      </c>
      <c r="B742" s="11" t="inlineStr">
        <is>
          <t>Coolie</t>
        </is>
      </c>
      <c r="C742" s="22" t="inlineStr">
        <is>
          <t>day</t>
        </is>
      </c>
      <c r="D742" s="23" t="n">
        <v>1.52</v>
      </c>
      <c r="E742" s="24" t="n">
        <v>558</v>
      </c>
      <c r="F742" s="24">
        <f>D742*E742</f>
        <v/>
      </c>
      <c r="G742" s="22" t="n"/>
    </row>
    <row r="743">
      <c r="A743" s="22" t="inlineStr">
        <is>
          <t>0101</t>
        </is>
      </c>
      <c r="B743" s="11" t="inlineStr">
        <is>
          <t>Bhisti</t>
        </is>
      </c>
      <c r="C743" s="22" t="inlineStr">
        <is>
          <t>day</t>
        </is>
      </c>
      <c r="D743" s="23" t="n">
        <v>0.3</v>
      </c>
      <c r="E743" s="24" t="n">
        <v>617</v>
      </c>
      <c r="F743" s="24">
        <f>D743*E743</f>
        <v/>
      </c>
      <c r="G743" s="22" t="n"/>
    </row>
    <row r="744">
      <c r="A744" s="22" t="inlineStr">
        <is>
          <t>9999</t>
        </is>
      </c>
      <c r="B744" s="11" t="inlineStr">
        <is>
          <t>Sundries</t>
        </is>
      </c>
      <c r="C744" s="22" t="inlineStr">
        <is>
          <t>L.S.</t>
        </is>
      </c>
      <c r="D744" s="23" t="n">
        <v>16.12</v>
      </c>
      <c r="E744" s="24" t="n">
        <v>2</v>
      </c>
      <c r="F744" s="24">
        <f>D744*E744</f>
        <v/>
      </c>
      <c r="G744" s="22" t="n"/>
    </row>
    <row r="745">
      <c r="A745" s="8" t="inlineStr">
        <is>
          <t>Calculated W - SUM of the Amount column above</t>
        </is>
      </c>
      <c r="B745" s="9" t="n"/>
      <c r="C745" s="9" t="n"/>
      <c r="D745" s="9" t="n"/>
      <c r="E745" s="9" t="n"/>
      <c r="F745" s="25">
        <f>SUM(F736:F744)</f>
        <v/>
      </c>
      <c r="G745" s="9" t="n"/>
    </row>
    <row r="746">
      <c r="A746" s="26" t="inlineStr">
        <is>
          <t>W as printed in the DAR</t>
        </is>
      </c>
      <c r="B746" s="22" t="n"/>
      <c r="C746" s="22" t="n"/>
      <c r="D746" s="22" t="n"/>
      <c r="E746" s="22" t="n"/>
      <c r="F746" s="27" t="n">
        <v>5927.74</v>
      </c>
      <c r="G746" s="22" t="n"/>
    </row>
    <row r="747">
      <c r="A747" s="26" t="inlineStr">
        <is>
          <t>Difference (calculated - printed)</t>
        </is>
      </c>
      <c r="B747" s="22" t="n"/>
      <c r="C747" s="22" t="n"/>
      <c r="D747" s="22" t="n"/>
      <c r="E747" s="22" t="n"/>
      <c r="F747" s="27">
        <f>F745-F746</f>
        <v/>
      </c>
      <c r="G747" s="22" t="n"/>
    </row>
    <row r="748">
      <c r="A748" s="29" t="inlineStr">
        <is>
          <t>SAY (Rs.) - final DAR rate as printed (fixed value, not computed)</t>
        </is>
      </c>
      <c r="B748" s="30" t="n"/>
      <c r="C748" s="30" t="n"/>
      <c r="D748" s="30" t="n"/>
      <c r="E748" s="30" t="n"/>
      <c r="F748" s="31" t="n">
        <v>793.1</v>
      </c>
      <c r="G748" s="30" t="n"/>
    </row>
    <row r="750" ht="47.5" customHeight="1">
      <c r="A750" s="8" t="inlineStr">
        <is>
          <t>12.23</t>
        </is>
      </c>
      <c r="B750" s="17"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is>
      </c>
      <c r="C750" s="9" t="n"/>
      <c r="D750" s="9" t="n"/>
      <c r="E750" s="9" t="n"/>
      <c r="F750" s="9" t="n"/>
      <c r="G750" s="9" t="n"/>
    </row>
    <row r="751" ht="18.5" customHeight="1">
      <c r="A751" s="8" t="inlineStr">
        <is>
          <t>12.23.2</t>
        </is>
      </c>
      <c r="B751" s="17" t="inlineStr">
        <is>
          <t>White sand stone slab</t>
        </is>
      </c>
      <c r="C751" s="9" t="n"/>
      <c r="D751" s="9" t="n"/>
      <c r="E751" s="9" t="n"/>
      <c r="F751" s="9" t="n"/>
      <c r="G751" s="9" t="n"/>
    </row>
    <row r="752" ht="18.5" customHeight="1">
      <c r="A752" s="18" t="inlineStr">
        <is>
          <t>12.23.2.1</t>
        </is>
      </c>
      <c r="B752" s="19" t="inlineStr">
        <is>
          <t>40 to 50 mm thick</t>
        </is>
      </c>
      <c r="C752" s="20" t="n"/>
      <c r="D752" s="20" t="n"/>
      <c r="E752" s="20" t="n"/>
      <c r="F752" s="20" t="n"/>
      <c r="G752" s="20" t="n"/>
    </row>
    <row r="753">
      <c r="A753" s="21" t="inlineStr">
        <is>
          <t>Details of cost for 10 sqm   |   Source: CivilDAR_2019_Vol_1.pdf, page 846</t>
        </is>
      </c>
    </row>
    <row r="754">
      <c r="A754" s="5" t="inlineStr">
        <is>
          <t>Code</t>
        </is>
      </c>
      <c r="B754" s="5" t="inlineStr">
        <is>
          <t>Description</t>
        </is>
      </c>
      <c r="C754" s="5" t="inlineStr">
        <is>
          <t>Unit</t>
        </is>
      </c>
      <c r="D754" s="5" t="inlineStr">
        <is>
          <t>Quantity</t>
        </is>
      </c>
      <c r="E754" s="5" t="inlineStr">
        <is>
          <t>Rate (Rs.)</t>
        </is>
      </c>
      <c r="F754" s="5" t="inlineStr">
        <is>
          <t>Amount (Rs.)</t>
        </is>
      </c>
      <c r="G754" s="5" t="inlineStr">
        <is>
          <t>Note</t>
        </is>
      </c>
    </row>
    <row r="755">
      <c r="A755" s="22" t="inlineStr">
        <is>
          <t>1175</t>
        </is>
      </c>
      <c r="B755" s="11" t="inlineStr">
        <is>
          <t>White sand stone slab 45 mm and 50 mm thick (un-dressed)</t>
        </is>
      </c>
      <c r="C755" s="22" t="inlineStr">
        <is>
          <t>sqm</t>
        </is>
      </c>
      <c r="D755" s="23" t="n">
        <v>11</v>
      </c>
      <c r="E755" s="24" t="n">
        <v>240</v>
      </c>
      <c r="F755" s="24">
        <f>D755*E755</f>
        <v/>
      </c>
      <c r="G755" s="22" t="n"/>
    </row>
    <row r="756">
      <c r="A756" s="22" t="inlineStr">
        <is>
          <t>2216</t>
        </is>
      </c>
      <c r="B756" s="11" t="inlineStr">
        <is>
          <t>Carriage of Stone blocks white &amp; red sand stone &amp; kota stone slab</t>
        </is>
      </c>
      <c r="C756" s="22" t="inlineStr">
        <is>
          <t>tonne</t>
        </is>
      </c>
      <c r="D756" s="23" t="n">
        <v>1.27</v>
      </c>
      <c r="E756" s="24" t="n">
        <v>92.23999999999999</v>
      </c>
      <c r="F756" s="24">
        <f>D756*E756</f>
        <v/>
      </c>
      <c r="G756" s="22" t="n"/>
    </row>
    <row r="757">
      <c r="A757" s="7" t="inlineStr">
        <is>
          <t>3.9</t>
        </is>
      </c>
      <c r="B757" s="11" t="inlineStr">
        <is>
          <t>Rate as per item 3.9 - Cement mortar 1:4 (1 cement : 4 coarse sand)</t>
        </is>
      </c>
      <c r="C757" s="22" t="inlineStr">
        <is>
          <t>cum</t>
        </is>
      </c>
      <c r="D757" s="23" t="n">
        <v>0.0095</v>
      </c>
      <c r="E757" s="24" t="n">
        <v>4010.35</v>
      </c>
      <c r="F757" s="24">
        <f>D757*E757</f>
        <v/>
      </c>
      <c r="G757" s="22" t="n"/>
    </row>
    <row r="758">
      <c r="A758" s="22" t="inlineStr">
        <is>
          <t>0155</t>
        </is>
      </c>
      <c r="B758" s="11" t="inlineStr">
        <is>
          <t>Mason (average)</t>
        </is>
      </c>
      <c r="C758" s="22" t="inlineStr">
        <is>
          <t>day</t>
        </is>
      </c>
      <c r="D758" s="23" t="n">
        <v>1.52</v>
      </c>
      <c r="E758" s="24" t="n">
        <v>709</v>
      </c>
      <c r="F758" s="24">
        <f>D758*E758</f>
        <v/>
      </c>
      <c r="G758" s="22" t="n"/>
    </row>
    <row r="759">
      <c r="A759" s="22" t="inlineStr">
        <is>
          <t>0100</t>
        </is>
      </c>
      <c r="B759" s="11" t="inlineStr">
        <is>
          <t>Bandhani</t>
        </is>
      </c>
      <c r="C759" s="22" t="inlineStr">
        <is>
          <t>day</t>
        </is>
      </c>
      <c r="D759" s="23" t="n">
        <v>1.82</v>
      </c>
      <c r="E759" s="24" t="n">
        <v>617</v>
      </c>
      <c r="F759" s="24">
        <f>D759*E759</f>
        <v/>
      </c>
      <c r="G759" s="22" t="n"/>
    </row>
    <row r="760">
      <c r="A760" s="22" t="inlineStr">
        <is>
          <t>0115</t>
        </is>
      </c>
      <c r="B760" s="11" t="inlineStr">
        <is>
          <t>Coolie</t>
        </is>
      </c>
      <c r="C760" s="22" t="inlineStr">
        <is>
          <t>day</t>
        </is>
      </c>
      <c r="D760" s="23" t="n">
        <v>1.52</v>
      </c>
      <c r="E760" s="24" t="n">
        <v>558</v>
      </c>
      <c r="F760" s="24">
        <f>D760*E760</f>
        <v/>
      </c>
      <c r="G760" s="22" t="n"/>
    </row>
    <row r="761">
      <c r="A761" s="22" t="inlineStr">
        <is>
          <t>0101</t>
        </is>
      </c>
      <c r="B761" s="11" t="inlineStr">
        <is>
          <t>Bhisti</t>
        </is>
      </c>
      <c r="C761" s="22" t="inlineStr">
        <is>
          <t>day</t>
        </is>
      </c>
      <c r="D761" s="23" t="n">
        <v>0.3</v>
      </c>
      <c r="E761" s="24" t="n">
        <v>617</v>
      </c>
      <c r="F761" s="24">
        <f>D761*E761</f>
        <v/>
      </c>
      <c r="G761" s="22" t="n"/>
    </row>
    <row r="762">
      <c r="A762" s="22" t="inlineStr">
        <is>
          <t>9999</t>
        </is>
      </c>
      <c r="B762" s="11" t="inlineStr">
        <is>
          <t>Sundries</t>
        </is>
      </c>
      <c r="C762" s="22" t="inlineStr">
        <is>
          <t>L.S.</t>
        </is>
      </c>
      <c r="D762" s="23" t="n">
        <v>16.12</v>
      </c>
      <c r="E762" s="24" t="n">
        <v>2</v>
      </c>
      <c r="F762" s="24">
        <f>D762*E762</f>
        <v/>
      </c>
      <c r="G762" s="22" t="n"/>
    </row>
    <row r="763">
      <c r="A763" s="7" t="inlineStr">
        <is>
          <t>3.3</t>
        </is>
      </c>
      <c r="B763" s="11" t="inlineStr">
        <is>
          <t>Rate as per item 3.3 - Cement mortar 1:3 (1 cement : 3 fine sand)</t>
        </is>
      </c>
      <c r="C763" s="22" t="inlineStr">
        <is>
          <t>cum</t>
        </is>
      </c>
      <c r="D763" s="23" t="n">
        <v>0.0075</v>
      </c>
      <c r="E763" s="24" t="n">
        <v>4183.05</v>
      </c>
      <c r="F763" s="24">
        <f>D763*E763</f>
        <v/>
      </c>
      <c r="G763" s="22" t="n"/>
    </row>
    <row r="764">
      <c r="A764" s="8" t="inlineStr">
        <is>
          <t>Calculated W - SUM of the Amount column above</t>
        </is>
      </c>
      <c r="B764" s="9" t="n"/>
      <c r="C764" s="9" t="n"/>
      <c r="D764" s="9" t="n"/>
      <c r="E764" s="9" t="n"/>
      <c r="F764" s="25">
        <f>SUM(F755:F763)</f>
        <v/>
      </c>
      <c r="G764" s="9" t="n"/>
    </row>
    <row r="765">
      <c r="A765" s="26" t="inlineStr">
        <is>
          <t>W as printed in the DAR</t>
        </is>
      </c>
      <c r="B765" s="22" t="n"/>
      <c r="C765" s="22" t="n"/>
      <c r="D765" s="22" t="n"/>
      <c r="E765" s="22" t="n"/>
      <c r="F765" s="27" t="n">
        <v>6092.74</v>
      </c>
      <c r="G765" s="22" t="n"/>
    </row>
    <row r="766">
      <c r="A766" s="26" t="inlineStr">
        <is>
          <t>Difference (calculated - printed)</t>
        </is>
      </c>
      <c r="B766" s="22" t="n"/>
      <c r="C766" s="22" t="n"/>
      <c r="D766" s="22" t="n"/>
      <c r="E766" s="22" t="n"/>
      <c r="F766" s="27">
        <f>F764-F765</f>
        <v/>
      </c>
      <c r="G766" s="22" t="n"/>
    </row>
    <row r="767">
      <c r="A767" s="29" t="inlineStr">
        <is>
          <t>SAY (Rs.) - final DAR rate as printed (fixed value, not computed)</t>
        </is>
      </c>
      <c r="B767" s="30" t="n"/>
      <c r="C767" s="30" t="n"/>
      <c r="D767" s="30" t="n"/>
      <c r="E767" s="30" t="n"/>
      <c r="F767" s="31" t="n">
        <v>815.15</v>
      </c>
      <c r="G767" s="30" t="n"/>
    </row>
    <row r="769" ht="33" customHeight="1">
      <c r="A769" s="8" t="inlineStr">
        <is>
          <t>12.24</t>
        </is>
      </c>
      <c r="B769" s="17" t="inlineStr">
        <is>
          <t>Providing and fixing insulating board ceiling of approved quality with necessary nails etc. complete (frame work to be paid separately) :</t>
        </is>
      </c>
      <c r="C769" s="9" t="n"/>
      <c r="D769" s="9" t="n"/>
      <c r="E769" s="9" t="n"/>
      <c r="F769" s="9" t="n"/>
      <c r="G769" s="9" t="n"/>
    </row>
    <row r="770" ht="18.5" customHeight="1">
      <c r="A770" s="8" t="inlineStr">
        <is>
          <t>12.24.1</t>
        </is>
      </c>
      <c r="B770" s="17" t="inlineStr">
        <is>
          <t>Natural colour insulating board</t>
        </is>
      </c>
      <c r="C770" s="9" t="n"/>
      <c r="D770" s="9" t="n"/>
      <c r="E770" s="9" t="n"/>
      <c r="F770" s="9" t="n"/>
      <c r="G770" s="9" t="n"/>
    </row>
    <row r="771" ht="18.5" customHeight="1">
      <c r="A771" s="18" t="inlineStr">
        <is>
          <t>12.24.1.1</t>
        </is>
      </c>
      <c r="B771" s="19" t="inlineStr">
        <is>
          <t>12 mm thick</t>
        </is>
      </c>
      <c r="C771" s="20" t="n"/>
      <c r="D771" s="20" t="n"/>
      <c r="E771" s="20" t="n"/>
      <c r="F771" s="20" t="n"/>
      <c r="G771" s="20" t="n"/>
    </row>
    <row r="772">
      <c r="A772" s="21" t="inlineStr">
        <is>
          <t>Details of cost for 10 sqm   |   Source: CivilDAR_2019_Vol_1.pdf, page 847</t>
        </is>
      </c>
    </row>
    <row r="773">
      <c r="A773" s="5" t="inlineStr">
        <is>
          <t>Code</t>
        </is>
      </c>
      <c r="B773" s="5" t="inlineStr">
        <is>
          <t>Description</t>
        </is>
      </c>
      <c r="C773" s="5" t="inlineStr">
        <is>
          <t>Unit</t>
        </is>
      </c>
      <c r="D773" s="5" t="inlineStr">
        <is>
          <t>Quantity</t>
        </is>
      </c>
      <c r="E773" s="5" t="inlineStr">
        <is>
          <t>Rate (Rs.)</t>
        </is>
      </c>
      <c r="F773" s="5" t="inlineStr">
        <is>
          <t>Amount (Rs.)</t>
        </is>
      </c>
      <c r="G773" s="5" t="inlineStr">
        <is>
          <t>Note</t>
        </is>
      </c>
    </row>
    <row r="774">
      <c r="A774" s="22" t="inlineStr">
        <is>
          <t>0332</t>
        </is>
      </c>
      <c r="B774" s="11" t="inlineStr">
        <is>
          <t>Natural colour insulating board: 12 mm thick</t>
        </is>
      </c>
      <c r="C774" s="22" t="inlineStr">
        <is>
          <t>sqm</t>
        </is>
      </c>
      <c r="D774" s="23" t="n">
        <v>11</v>
      </c>
      <c r="E774" s="24" t="n">
        <v>210</v>
      </c>
      <c r="F774" s="24">
        <f>D774*E774</f>
        <v/>
      </c>
      <c r="G774" s="22" t="n"/>
    </row>
    <row r="775">
      <c r="A775" s="22" t="inlineStr">
        <is>
          <t>9977</t>
        </is>
      </c>
      <c r="B775" s="11" t="inlineStr">
        <is>
          <t>Carriage of material</t>
        </is>
      </c>
      <c r="C775" s="22" t="inlineStr">
        <is>
          <t>L.S.</t>
        </is>
      </c>
      <c r="D775" s="23" t="n">
        <v>17.55</v>
      </c>
      <c r="E775" s="24" t="n">
        <v>2</v>
      </c>
      <c r="F775" s="24">
        <f>D775*E775</f>
        <v/>
      </c>
      <c r="G775" s="22" t="n"/>
    </row>
    <row r="776">
      <c r="A776" s="22" t="inlineStr">
        <is>
          <t>9999</t>
        </is>
      </c>
      <c r="B776" s="11" t="inlineStr">
        <is>
          <t>Nails</t>
        </is>
      </c>
      <c r="C776" s="22" t="inlineStr">
        <is>
          <t>L.S.</t>
        </is>
      </c>
      <c r="D776" s="23" t="n">
        <v>26.91</v>
      </c>
      <c r="E776" s="24" t="n">
        <v>2</v>
      </c>
      <c r="F776" s="24">
        <f>D776*E776</f>
        <v/>
      </c>
      <c r="G776" s="22" t="n"/>
    </row>
    <row r="777">
      <c r="A777" s="22" t="inlineStr">
        <is>
          <t>0111</t>
        </is>
      </c>
      <c r="B777" s="11" t="inlineStr">
        <is>
          <t>Carpenter 1st class</t>
        </is>
      </c>
      <c r="C777" s="22" t="inlineStr">
        <is>
          <t>day</t>
        </is>
      </c>
      <c r="D777" s="23" t="n">
        <v>2.5</v>
      </c>
      <c r="E777" s="24" t="n">
        <v>738</v>
      </c>
      <c r="F777" s="24">
        <f>D777*E777</f>
        <v/>
      </c>
      <c r="G777" s="22" t="n"/>
    </row>
    <row r="778">
      <c r="A778" s="22" t="inlineStr">
        <is>
          <t>0114</t>
        </is>
      </c>
      <c r="B778" s="11" t="inlineStr">
        <is>
          <t>Beldar</t>
        </is>
      </c>
      <c r="C778" s="22" t="inlineStr">
        <is>
          <t>day</t>
        </is>
      </c>
      <c r="D778" s="23" t="n">
        <v>2</v>
      </c>
      <c r="E778" s="24" t="n">
        <v>558</v>
      </c>
      <c r="F778" s="24">
        <f>D778*E778</f>
        <v/>
      </c>
      <c r="G778" s="22" t="n"/>
    </row>
    <row r="779">
      <c r="A779" s="22" t="inlineStr">
        <is>
          <t>9999</t>
        </is>
      </c>
      <c r="B779" s="11" t="inlineStr">
        <is>
          <t>Scaffolding</t>
        </is>
      </c>
      <c r="C779" s="22" t="inlineStr">
        <is>
          <t>L.S.</t>
        </is>
      </c>
      <c r="D779" s="23" t="n">
        <v>31.07</v>
      </c>
      <c r="E779" s="24" t="n">
        <v>2</v>
      </c>
      <c r="F779" s="24">
        <f>D779*E779</f>
        <v/>
      </c>
      <c r="G779" s="22" t="n"/>
    </row>
    <row r="780">
      <c r="A780" s="22" t="inlineStr">
        <is>
          <t>9999</t>
        </is>
      </c>
      <c r="B780" s="11" t="inlineStr">
        <is>
          <t>Sundries</t>
        </is>
      </c>
      <c r="C780" s="22" t="inlineStr">
        <is>
          <t>L.S.</t>
        </is>
      </c>
      <c r="D780" s="23" t="n">
        <v>31.07</v>
      </c>
      <c r="E780" s="24" t="n">
        <v>2</v>
      </c>
      <c r="F780" s="24">
        <f>D780*E780</f>
        <v/>
      </c>
      <c r="G780" s="22" t="n"/>
    </row>
    <row r="781">
      <c r="A781" s="8" t="inlineStr">
        <is>
          <t>Calculated W - SUM of the Amount column above</t>
        </is>
      </c>
      <c r="B781" s="9" t="n"/>
      <c r="C781" s="9" t="n"/>
      <c r="D781" s="9" t="n"/>
      <c r="E781" s="9" t="n"/>
      <c r="F781" s="25">
        <f>SUM(F774:F780)</f>
        <v/>
      </c>
      <c r="G781" s="9" t="n"/>
    </row>
    <row r="782">
      <c r="A782" s="26" t="inlineStr">
        <is>
          <t>W as printed in the DAR</t>
        </is>
      </c>
      <c r="B782" s="22" t="n"/>
      <c r="C782" s="22" t="n"/>
      <c r="D782" s="22" t="n"/>
      <c r="E782" s="22" t="n"/>
      <c r="F782" s="27" t="n">
        <v>5484.2</v>
      </c>
      <c r="G782" s="22" t="n"/>
    </row>
    <row r="783">
      <c r="A783" s="26" t="inlineStr">
        <is>
          <t>Difference (calculated - printed)</t>
        </is>
      </c>
      <c r="B783" s="22" t="n"/>
      <c r="C783" s="22" t="n"/>
      <c r="D783" s="22" t="n"/>
      <c r="E783" s="22" t="n"/>
      <c r="F783" s="27">
        <f>F781-F782</f>
        <v/>
      </c>
      <c r="G783" s="22" t="n"/>
    </row>
    <row r="784">
      <c r="A784" s="29" t="inlineStr">
        <is>
          <t>SAY (Rs.) - final DAR rate as printed (fixed value, not computed)</t>
        </is>
      </c>
      <c r="B784" s="30" t="n"/>
      <c r="C784" s="30" t="n"/>
      <c r="D784" s="30" t="n"/>
      <c r="E784" s="30" t="n"/>
      <c r="F784" s="31" t="n">
        <v>733.75</v>
      </c>
      <c r="G784" s="30" t="n"/>
    </row>
    <row r="786" ht="33" customHeight="1">
      <c r="A786" s="8" t="inlineStr">
        <is>
          <t>12.24</t>
        </is>
      </c>
      <c r="B786" s="17" t="inlineStr">
        <is>
          <t>Providing and fixing insulating board ceiling of approved quality with necessary nails etc. complete (frame work to be paid separately) :</t>
        </is>
      </c>
      <c r="C786" s="9" t="n"/>
      <c r="D786" s="9" t="n"/>
      <c r="E786" s="9" t="n"/>
      <c r="F786" s="9" t="n"/>
      <c r="G786" s="9" t="n"/>
    </row>
    <row r="787" ht="18.5" customHeight="1">
      <c r="A787" s="8" t="inlineStr">
        <is>
          <t>12.24.2</t>
        </is>
      </c>
      <c r="B787" s="17" t="inlineStr">
        <is>
          <t>White face insulating board</t>
        </is>
      </c>
      <c r="C787" s="9" t="n"/>
      <c r="D787" s="9" t="n"/>
      <c r="E787" s="9" t="n"/>
      <c r="F787" s="9" t="n"/>
      <c r="G787" s="9" t="n"/>
    </row>
    <row r="788" ht="18.5" customHeight="1">
      <c r="A788" s="18" t="inlineStr">
        <is>
          <t>12.24.2.1</t>
        </is>
      </c>
      <c r="B788" s="19" t="inlineStr">
        <is>
          <t>12 mm thick</t>
        </is>
      </c>
      <c r="C788" s="20" t="n"/>
      <c r="D788" s="20" t="n"/>
      <c r="E788" s="20" t="n"/>
      <c r="F788" s="20" t="n"/>
      <c r="G788" s="20" t="n"/>
    </row>
    <row r="789">
      <c r="A789" s="21" t="inlineStr">
        <is>
          <t>Details of cost for 10 sqm   |   Source: CivilDAR_2019_Vol_1.pdf, page 848</t>
        </is>
      </c>
    </row>
    <row r="790">
      <c r="A790" s="5" t="inlineStr">
        <is>
          <t>Code</t>
        </is>
      </c>
      <c r="B790" s="5" t="inlineStr">
        <is>
          <t>Description</t>
        </is>
      </c>
      <c r="C790" s="5" t="inlineStr">
        <is>
          <t>Unit</t>
        </is>
      </c>
      <c r="D790" s="5" t="inlineStr">
        <is>
          <t>Quantity</t>
        </is>
      </c>
      <c r="E790" s="5" t="inlineStr">
        <is>
          <t>Rate (Rs.)</t>
        </is>
      </c>
      <c r="F790" s="5" t="inlineStr">
        <is>
          <t>Amount (Rs.)</t>
        </is>
      </c>
      <c r="G790" s="5" t="inlineStr">
        <is>
          <t>Note</t>
        </is>
      </c>
    </row>
    <row r="791">
      <c r="A791" s="22" t="inlineStr">
        <is>
          <t>0328</t>
        </is>
      </c>
      <c r="B791" s="11" t="inlineStr">
        <is>
          <t>White face insulating board:12 mm thick</t>
        </is>
      </c>
      <c r="C791" s="22" t="inlineStr">
        <is>
          <t>sqm</t>
        </is>
      </c>
      <c r="D791" s="23" t="n">
        <v>11</v>
      </c>
      <c r="E791" s="24" t="n">
        <v>235</v>
      </c>
      <c r="F791" s="24">
        <f>D791*E791</f>
        <v/>
      </c>
      <c r="G791" s="22" t="n"/>
    </row>
    <row r="792">
      <c r="A792" s="22" t="inlineStr">
        <is>
          <t>9977</t>
        </is>
      </c>
      <c r="B792" s="11" t="inlineStr">
        <is>
          <t>Carriage of material</t>
        </is>
      </c>
      <c r="C792" s="22" t="inlineStr">
        <is>
          <t>L.S.</t>
        </is>
      </c>
      <c r="D792" s="23" t="n">
        <v>17.55</v>
      </c>
      <c r="E792" s="24" t="n">
        <v>2</v>
      </c>
      <c r="F792" s="24">
        <f>D792*E792</f>
        <v/>
      </c>
      <c r="G792" s="22" t="n"/>
    </row>
    <row r="793">
      <c r="A793" s="22" t="inlineStr">
        <is>
          <t>9999</t>
        </is>
      </c>
      <c r="B793" s="11" t="inlineStr">
        <is>
          <t>Nails</t>
        </is>
      </c>
      <c r="C793" s="22" t="inlineStr">
        <is>
          <t>L.S.</t>
        </is>
      </c>
      <c r="D793" s="23" t="n">
        <v>26.91</v>
      </c>
      <c r="E793" s="24" t="n">
        <v>2</v>
      </c>
      <c r="F793" s="24">
        <f>D793*E793</f>
        <v/>
      </c>
      <c r="G793" s="22" t="n"/>
    </row>
    <row r="794">
      <c r="A794" s="22" t="inlineStr">
        <is>
          <t>0111</t>
        </is>
      </c>
      <c r="B794" s="11" t="inlineStr">
        <is>
          <t>Carpenter 1st class</t>
        </is>
      </c>
      <c r="C794" s="22" t="inlineStr">
        <is>
          <t>day</t>
        </is>
      </c>
      <c r="D794" s="23" t="n">
        <v>2.5</v>
      </c>
      <c r="E794" s="24" t="n">
        <v>738</v>
      </c>
      <c r="F794" s="24">
        <f>D794*E794</f>
        <v/>
      </c>
      <c r="G794" s="22" t="n"/>
    </row>
    <row r="795">
      <c r="A795" s="22" t="inlineStr">
        <is>
          <t>0114</t>
        </is>
      </c>
      <c r="B795" s="11" t="inlineStr">
        <is>
          <t>Beldar</t>
        </is>
      </c>
      <c r="C795" s="22" t="inlineStr">
        <is>
          <t>day</t>
        </is>
      </c>
      <c r="D795" s="23" t="n">
        <v>2</v>
      </c>
      <c r="E795" s="24" t="n">
        <v>558</v>
      </c>
      <c r="F795" s="24">
        <f>D795*E795</f>
        <v/>
      </c>
      <c r="G795" s="22" t="n"/>
    </row>
    <row r="796">
      <c r="A796" s="22" t="inlineStr">
        <is>
          <t>9999</t>
        </is>
      </c>
      <c r="B796" s="11" t="inlineStr">
        <is>
          <t>Scaffolding</t>
        </is>
      </c>
      <c r="C796" s="22" t="inlineStr">
        <is>
          <t>L.S.</t>
        </is>
      </c>
      <c r="D796" s="23" t="n">
        <v>31.07</v>
      </c>
      <c r="E796" s="24" t="n">
        <v>2</v>
      </c>
      <c r="F796" s="24">
        <f>D796*E796</f>
        <v/>
      </c>
      <c r="G796" s="22" t="n"/>
    </row>
    <row r="797">
      <c r="A797" s="22" t="inlineStr">
        <is>
          <t>9999</t>
        </is>
      </c>
      <c r="B797" s="11" t="inlineStr">
        <is>
          <t>Sundries</t>
        </is>
      </c>
      <c r="C797" s="22" t="inlineStr">
        <is>
          <t>L.S.</t>
        </is>
      </c>
      <c r="D797" s="23" t="n">
        <v>31.07</v>
      </c>
      <c r="E797" s="24" t="n">
        <v>2</v>
      </c>
      <c r="F797" s="24">
        <f>D797*E797</f>
        <v/>
      </c>
      <c r="G797" s="22" t="n"/>
    </row>
    <row r="798">
      <c r="A798" s="8" t="inlineStr">
        <is>
          <t>Calculated W - SUM of the Amount column above</t>
        </is>
      </c>
      <c r="B798" s="9" t="n"/>
      <c r="C798" s="9" t="n"/>
      <c r="D798" s="9" t="n"/>
      <c r="E798" s="9" t="n"/>
      <c r="F798" s="25">
        <f>SUM(F791:F797)</f>
        <v/>
      </c>
      <c r="G798" s="9" t="n"/>
    </row>
    <row r="799">
      <c r="A799" s="26" t="inlineStr">
        <is>
          <t>W as printed in the DAR</t>
        </is>
      </c>
      <c r="B799" s="22" t="n"/>
      <c r="C799" s="22" t="n"/>
      <c r="D799" s="22" t="n"/>
      <c r="E799" s="22" t="n"/>
      <c r="F799" s="27" t="n">
        <v>5759.2</v>
      </c>
      <c r="G799" s="22" t="n"/>
    </row>
    <row r="800">
      <c r="A800" s="26" t="inlineStr">
        <is>
          <t>Difference (calculated - printed)</t>
        </is>
      </c>
      <c r="B800" s="22" t="n"/>
      <c r="C800" s="22" t="n"/>
      <c r="D800" s="22" t="n"/>
      <c r="E800" s="22" t="n"/>
      <c r="F800" s="27">
        <f>F798-F799</f>
        <v/>
      </c>
      <c r="G800" s="22" t="n"/>
    </row>
    <row r="801">
      <c r="A801" s="29" t="inlineStr">
        <is>
          <t>SAY (Rs.) - final DAR rate as printed (fixed value, not computed)</t>
        </is>
      </c>
      <c r="B801" s="30" t="n"/>
      <c r="C801" s="30" t="n"/>
      <c r="D801" s="30" t="n"/>
      <c r="E801" s="30" t="n"/>
      <c r="F801" s="31" t="n">
        <v>770.55</v>
      </c>
      <c r="G801" s="30" t="n"/>
    </row>
    <row r="803" ht="33" customHeight="1">
      <c r="A803" s="8" t="inlineStr">
        <is>
          <t>12.24</t>
        </is>
      </c>
      <c r="B803" s="17" t="inlineStr">
        <is>
          <t>Providing and fixing insulating board ceiling of approved quality with necessary nails etc. complete (frame work to be paid separately) :</t>
        </is>
      </c>
      <c r="C803" s="9" t="n"/>
      <c r="D803" s="9" t="n"/>
      <c r="E803" s="9" t="n"/>
      <c r="F803" s="9" t="n"/>
      <c r="G803" s="9" t="n"/>
    </row>
    <row r="804" ht="18.5" customHeight="1">
      <c r="A804" s="8" t="inlineStr">
        <is>
          <t>12.24.3</t>
        </is>
      </c>
      <c r="B804" s="17" t="inlineStr">
        <is>
          <t>Flame retardant face insulating board</t>
        </is>
      </c>
      <c r="C804" s="9" t="n"/>
      <c r="D804" s="9" t="n"/>
      <c r="E804" s="9" t="n"/>
      <c r="F804" s="9" t="n"/>
      <c r="G804" s="9" t="n"/>
    </row>
    <row r="805" ht="18.5" customHeight="1">
      <c r="A805" s="18" t="inlineStr">
        <is>
          <t>12.24.3.1</t>
        </is>
      </c>
      <c r="B805" s="19" t="inlineStr">
        <is>
          <t>12 mm thick</t>
        </is>
      </c>
      <c r="C805" s="20" t="n"/>
      <c r="D805" s="20" t="n"/>
      <c r="E805" s="20" t="n"/>
      <c r="F805" s="20" t="n"/>
      <c r="G805" s="20" t="n"/>
    </row>
    <row r="806">
      <c r="A806" s="21" t="inlineStr">
        <is>
          <t>Details of cost for 10 sqm   |   Source: CivilDAR_2019_Vol_1.pdf, page 848</t>
        </is>
      </c>
    </row>
    <row r="807">
      <c r="A807" s="5" t="inlineStr">
        <is>
          <t>Code</t>
        </is>
      </c>
      <c r="B807" s="5" t="inlineStr">
        <is>
          <t>Description</t>
        </is>
      </c>
      <c r="C807" s="5" t="inlineStr">
        <is>
          <t>Unit</t>
        </is>
      </c>
      <c r="D807" s="5" t="inlineStr">
        <is>
          <t>Quantity</t>
        </is>
      </c>
      <c r="E807" s="5" t="inlineStr">
        <is>
          <t>Rate (Rs.)</t>
        </is>
      </c>
      <c r="F807" s="5" t="inlineStr">
        <is>
          <t>Amount (Rs.)</t>
        </is>
      </c>
      <c r="G807" s="5" t="inlineStr">
        <is>
          <t>Note</t>
        </is>
      </c>
    </row>
    <row r="808">
      <c r="A808" s="22" t="inlineStr">
        <is>
          <t>0336</t>
        </is>
      </c>
      <c r="B808" s="11" t="inlineStr">
        <is>
          <t>Flame retardent face insulating board: 12 mm thick</t>
        </is>
      </c>
      <c r="C808" s="22" t="inlineStr">
        <is>
          <t>sqm</t>
        </is>
      </c>
      <c r="D808" s="23" t="n">
        <v>11</v>
      </c>
      <c r="E808" s="24" t="n">
        <v>320</v>
      </c>
      <c r="F808" s="24">
        <f>D808*E808</f>
        <v/>
      </c>
      <c r="G808" s="22" t="n"/>
    </row>
    <row r="809">
      <c r="A809" s="22" t="inlineStr">
        <is>
          <t>9977</t>
        </is>
      </c>
      <c r="B809" s="11" t="inlineStr">
        <is>
          <t>Carriage of material</t>
        </is>
      </c>
      <c r="C809" s="22" t="inlineStr">
        <is>
          <t>L.S.</t>
        </is>
      </c>
      <c r="D809" s="23" t="n">
        <v>17.55</v>
      </c>
      <c r="E809" s="24" t="n">
        <v>2</v>
      </c>
      <c r="F809" s="24">
        <f>D809*E809</f>
        <v/>
      </c>
      <c r="G809" s="22" t="n"/>
    </row>
    <row r="810">
      <c r="A810" s="22" t="inlineStr">
        <is>
          <t>9999</t>
        </is>
      </c>
      <c r="B810" s="11" t="inlineStr">
        <is>
          <t>Nails</t>
        </is>
      </c>
      <c r="C810" s="22" t="inlineStr">
        <is>
          <t>L.S.</t>
        </is>
      </c>
      <c r="D810" s="23" t="n">
        <v>26.91</v>
      </c>
      <c r="E810" s="24" t="n">
        <v>2</v>
      </c>
      <c r="F810" s="24">
        <f>D810*E810</f>
        <v/>
      </c>
      <c r="G810" s="22" t="n"/>
    </row>
    <row r="811">
      <c r="A811" s="22" t="inlineStr">
        <is>
          <t>0111</t>
        </is>
      </c>
      <c r="B811" s="11" t="inlineStr">
        <is>
          <t>Carpenter 1st class</t>
        </is>
      </c>
      <c r="C811" s="22" t="inlineStr">
        <is>
          <t>day</t>
        </is>
      </c>
      <c r="D811" s="23" t="n">
        <v>2.5</v>
      </c>
      <c r="E811" s="24" t="n">
        <v>738</v>
      </c>
      <c r="F811" s="24">
        <f>D811*E811</f>
        <v/>
      </c>
      <c r="G811" s="22" t="n"/>
    </row>
    <row r="812">
      <c r="A812" s="22" t="inlineStr">
        <is>
          <t>0114</t>
        </is>
      </c>
      <c r="B812" s="11" t="inlineStr">
        <is>
          <t>Beldar</t>
        </is>
      </c>
      <c r="C812" s="22" t="inlineStr">
        <is>
          <t>day</t>
        </is>
      </c>
      <c r="D812" s="23" t="n">
        <v>2</v>
      </c>
      <c r="E812" s="24" t="n">
        <v>558</v>
      </c>
      <c r="F812" s="24">
        <f>D812*E812</f>
        <v/>
      </c>
      <c r="G812" s="22" t="n"/>
    </row>
    <row r="813">
      <c r="A813" s="22" t="inlineStr">
        <is>
          <t>9999</t>
        </is>
      </c>
      <c r="B813" s="11" t="inlineStr">
        <is>
          <t>Scaffolding</t>
        </is>
      </c>
      <c r="C813" s="22" t="inlineStr">
        <is>
          <t>L.S.</t>
        </is>
      </c>
      <c r="D813" s="23" t="n">
        <v>31.07</v>
      </c>
      <c r="E813" s="24" t="n">
        <v>2</v>
      </c>
      <c r="F813" s="24">
        <f>D813*E813</f>
        <v/>
      </c>
      <c r="G813" s="22" t="n"/>
    </row>
    <row r="814">
      <c r="A814" s="22" t="inlineStr">
        <is>
          <t>9999</t>
        </is>
      </c>
      <c r="B814" s="11" t="inlineStr">
        <is>
          <t>Sundries</t>
        </is>
      </c>
      <c r="C814" s="22" t="inlineStr">
        <is>
          <t>L.S.</t>
        </is>
      </c>
      <c r="D814" s="23" t="n">
        <v>31.07</v>
      </c>
      <c r="E814" s="24" t="n">
        <v>2</v>
      </c>
      <c r="F814" s="24">
        <f>D814*E814</f>
        <v/>
      </c>
      <c r="G814" s="22" t="n"/>
    </row>
    <row r="815">
      <c r="A815" s="8" t="inlineStr">
        <is>
          <t>Calculated W - SUM of the Amount column above</t>
        </is>
      </c>
      <c r="B815" s="9" t="n"/>
      <c r="C815" s="9" t="n"/>
      <c r="D815" s="9" t="n"/>
      <c r="E815" s="9" t="n"/>
      <c r="F815" s="25">
        <f>SUM(F808:F814)</f>
        <v/>
      </c>
      <c r="G815" s="9" t="n"/>
    </row>
    <row r="816">
      <c r="A816" s="26" t="inlineStr">
        <is>
          <t>W as printed in the DAR</t>
        </is>
      </c>
      <c r="B816" s="22" t="n"/>
      <c r="C816" s="22" t="n"/>
      <c r="D816" s="22" t="n"/>
      <c r="E816" s="22" t="n"/>
      <c r="F816" s="27" t="n">
        <v>6694.2</v>
      </c>
      <c r="G816" s="22" t="n"/>
    </row>
    <row r="817">
      <c r="A817" s="26" t="inlineStr">
        <is>
          <t>Difference (calculated - printed)</t>
        </is>
      </c>
      <c r="B817" s="22" t="n"/>
      <c r="C817" s="22" t="n"/>
      <c r="D817" s="22" t="n"/>
      <c r="E817" s="22" t="n"/>
      <c r="F817" s="27">
        <f>F815-F816</f>
        <v/>
      </c>
      <c r="G817" s="22" t="n"/>
    </row>
    <row r="818">
      <c r="A818" s="29" t="inlineStr">
        <is>
          <t>SAY (Rs.) - final DAR rate as printed (fixed value, not computed)</t>
        </is>
      </c>
      <c r="B818" s="30" t="n"/>
      <c r="C818" s="30" t="n"/>
      <c r="D818" s="30" t="n"/>
      <c r="E818" s="30" t="n"/>
      <c r="F818" s="31" t="n">
        <v>895.65</v>
      </c>
      <c r="G818" s="30" t="n"/>
    </row>
    <row r="820" ht="33" customHeight="1">
      <c r="A820" s="8" t="inlineStr">
        <is>
          <t>12.25</t>
        </is>
      </c>
      <c r="B820" s="17" t="inlineStr">
        <is>
          <t>Providing and fixing flat pressed 3 layer medium density particle board or graded particle board (Grade I) IS: 3087 marked, in ceiling with necessary nails etc. complete (frame work to be paid separately):</t>
        </is>
      </c>
      <c r="C820" s="9" t="n"/>
      <c r="D820" s="9" t="n"/>
      <c r="E820" s="9" t="n"/>
      <c r="F820" s="9" t="n"/>
      <c r="G820" s="9" t="n"/>
    </row>
    <row r="821" ht="18.5" customHeight="1">
      <c r="A821" s="18" t="inlineStr">
        <is>
          <t>12.25.1</t>
        </is>
      </c>
      <c r="B821" s="19" t="inlineStr">
        <is>
          <t>12 mm thick</t>
        </is>
      </c>
      <c r="C821" s="20" t="n"/>
      <c r="D821" s="20" t="n"/>
      <c r="E821" s="20" t="n"/>
      <c r="F821" s="20" t="n"/>
      <c r="G821" s="20" t="n"/>
    </row>
    <row r="822">
      <c r="A822" s="21" t="inlineStr">
        <is>
          <t>Details of cost for 10 sqm   |   Source: CivilDAR_2019_Vol_1.pdf, page 849</t>
        </is>
      </c>
    </row>
    <row r="823">
      <c r="A823" s="5" t="inlineStr">
        <is>
          <t>Code</t>
        </is>
      </c>
      <c r="B823" s="5" t="inlineStr">
        <is>
          <t>Description</t>
        </is>
      </c>
      <c r="C823" s="5" t="inlineStr">
        <is>
          <t>Unit</t>
        </is>
      </c>
      <c r="D823" s="5" t="inlineStr">
        <is>
          <t>Quantity</t>
        </is>
      </c>
      <c r="E823" s="5" t="inlineStr">
        <is>
          <t>Rate (Rs.)</t>
        </is>
      </c>
      <c r="F823" s="5" t="inlineStr">
        <is>
          <t>Amount (Rs.)</t>
        </is>
      </c>
      <c r="G823" s="5" t="inlineStr">
        <is>
          <t>Note</t>
        </is>
      </c>
    </row>
    <row r="824">
      <c r="A824" s="22" t="inlineStr">
        <is>
          <t>0341</t>
        </is>
      </c>
      <c r="B824" s="11" t="inlineStr">
        <is>
          <t>Flat pressed 3 layer particle board (medium density) Grade I :12 mm thick</t>
        </is>
      </c>
      <c r="C824" s="22" t="inlineStr">
        <is>
          <t>sqm</t>
        </is>
      </c>
      <c r="D824" s="23" t="n">
        <v>11</v>
      </c>
      <c r="E824" s="24" t="n">
        <v>288</v>
      </c>
      <c r="F824" s="24">
        <f>D824*E824</f>
        <v/>
      </c>
      <c r="G824" s="22" t="n"/>
    </row>
    <row r="825">
      <c r="A825" s="22" t="inlineStr">
        <is>
          <t>9977</t>
        </is>
      </c>
      <c r="B825" s="11" t="inlineStr">
        <is>
          <t>Carriage</t>
        </is>
      </c>
      <c r="C825" s="22" t="inlineStr">
        <is>
          <t>L.S.</t>
        </is>
      </c>
      <c r="D825" s="23" t="n">
        <v>14.95</v>
      </c>
      <c r="E825" s="24" t="n">
        <v>2</v>
      </c>
      <c r="F825" s="24">
        <f>D825*E825</f>
        <v/>
      </c>
      <c r="G825" s="22" t="n"/>
    </row>
    <row r="826">
      <c r="A826" s="22" t="inlineStr">
        <is>
          <t>9999</t>
        </is>
      </c>
      <c r="B826" s="11" t="inlineStr">
        <is>
          <t>Nails</t>
        </is>
      </c>
      <c r="C826" s="22" t="inlineStr">
        <is>
          <t>L.S.</t>
        </is>
      </c>
      <c r="D826" s="23" t="n">
        <v>26.91</v>
      </c>
      <c r="E826" s="24" t="n">
        <v>2</v>
      </c>
      <c r="F826" s="24">
        <f>D826*E826</f>
        <v/>
      </c>
      <c r="G826" s="22" t="n"/>
    </row>
    <row r="827">
      <c r="A827" s="22" t="inlineStr">
        <is>
          <t>0111</t>
        </is>
      </c>
      <c r="B827" s="11" t="inlineStr">
        <is>
          <t>Carpenter 1st class</t>
        </is>
      </c>
      <c r="C827" s="22" t="inlineStr">
        <is>
          <t>day</t>
        </is>
      </c>
      <c r="D827" s="23" t="n">
        <v>2.5</v>
      </c>
      <c r="E827" s="24" t="n">
        <v>738</v>
      </c>
      <c r="F827" s="24">
        <f>D827*E827</f>
        <v/>
      </c>
      <c r="G827" s="22" t="n"/>
    </row>
    <row r="828">
      <c r="A828" s="22" t="inlineStr">
        <is>
          <t>0114</t>
        </is>
      </c>
      <c r="B828" s="11" t="inlineStr">
        <is>
          <t>Beldar</t>
        </is>
      </c>
      <c r="C828" s="22" t="inlineStr">
        <is>
          <t>day</t>
        </is>
      </c>
      <c r="D828" s="23" t="n">
        <v>2</v>
      </c>
      <c r="E828" s="24" t="n">
        <v>558</v>
      </c>
      <c r="F828" s="24">
        <f>D828*E828</f>
        <v/>
      </c>
      <c r="G828" s="22" t="n"/>
    </row>
    <row r="829">
      <c r="A829" s="22" t="inlineStr">
        <is>
          <t>9999</t>
        </is>
      </c>
      <c r="B829" s="11" t="inlineStr">
        <is>
          <t>Scaffolding</t>
        </is>
      </c>
      <c r="C829" s="22" t="inlineStr">
        <is>
          <t>L.S.</t>
        </is>
      </c>
      <c r="D829" s="23" t="n">
        <v>31.07</v>
      </c>
      <c r="E829" s="24" t="n">
        <v>2</v>
      </c>
      <c r="F829" s="24">
        <f>D829*E829</f>
        <v/>
      </c>
      <c r="G829" s="22" t="n"/>
    </row>
    <row r="830">
      <c r="A830" s="22" t="inlineStr">
        <is>
          <t>9999</t>
        </is>
      </c>
      <c r="B830" s="11" t="inlineStr">
        <is>
          <t>Sundries</t>
        </is>
      </c>
      <c r="C830" s="22" t="inlineStr">
        <is>
          <t>L.S.</t>
        </is>
      </c>
      <c r="D830" s="23" t="n">
        <v>31.07</v>
      </c>
      <c r="E830" s="24" t="n">
        <v>2</v>
      </c>
      <c r="F830" s="24">
        <f>D830*E830</f>
        <v/>
      </c>
      <c r="G830" s="22" t="n"/>
    </row>
    <row r="831">
      <c r="A831" s="8" t="inlineStr">
        <is>
          <t>Calculated W - SUM of the Amount column above</t>
        </is>
      </c>
      <c r="B831" s="9" t="n"/>
      <c r="C831" s="9" t="n"/>
      <c r="D831" s="9" t="n"/>
      <c r="E831" s="9" t="n"/>
      <c r="F831" s="25">
        <f>SUM(F824:F830)</f>
        <v/>
      </c>
      <c r="G831" s="9" t="n"/>
    </row>
    <row r="832">
      <c r="A832" s="26" t="inlineStr">
        <is>
          <t>W as printed in the DAR</t>
        </is>
      </c>
      <c r="B832" s="22" t="n"/>
      <c r="C832" s="22" t="n"/>
      <c r="D832" s="22" t="n"/>
      <c r="E832" s="22" t="n"/>
      <c r="F832" s="27" t="n">
        <v>6337</v>
      </c>
      <c r="G832" s="22" t="n"/>
    </row>
    <row r="833">
      <c r="A833" s="26" t="inlineStr">
        <is>
          <t>Difference (calculated - printed)</t>
        </is>
      </c>
      <c r="B833" s="22" t="n"/>
      <c r="C833" s="22" t="n"/>
      <c r="D833" s="22" t="n"/>
      <c r="E833" s="22" t="n"/>
      <c r="F833" s="27">
        <f>F831-F832</f>
        <v/>
      </c>
      <c r="G833" s="22" t="n"/>
    </row>
    <row r="834">
      <c r="A834" s="29" t="inlineStr">
        <is>
          <t>SAY (Rs.) - final DAR rate as printed (fixed value, not computed)</t>
        </is>
      </c>
      <c r="B834" s="30" t="n"/>
      <c r="C834" s="30" t="n"/>
      <c r="D834" s="30" t="n"/>
      <c r="E834" s="30" t="n"/>
      <c r="F834" s="31" t="n">
        <v>847.85</v>
      </c>
      <c r="G834" s="30" t="n"/>
    </row>
    <row r="836" ht="33" customHeight="1">
      <c r="A836" s="8" t="inlineStr">
        <is>
          <t>12.26</t>
        </is>
      </c>
      <c r="B836" s="17" t="inlineStr">
        <is>
          <t>Providing and fixing plain multipurpose cement board(Hight pressure steam cured) with suitable screws for cement particle board in ceiling etc. complete (frame work to be paid seperatately).</t>
        </is>
      </c>
      <c r="C836" s="9" t="n"/>
      <c r="D836" s="9" t="n"/>
      <c r="E836" s="9" t="n"/>
      <c r="F836" s="9" t="n"/>
      <c r="G836" s="9" t="n"/>
    </row>
    <row r="837" ht="18.5" customHeight="1">
      <c r="A837" s="18" t="inlineStr">
        <is>
          <t>12.26.1</t>
        </is>
      </c>
      <c r="B837" s="19" t="inlineStr">
        <is>
          <t>6 mm thick Cement fiber board as per IS: 14862</t>
        </is>
      </c>
      <c r="C837" s="20" t="n"/>
      <c r="D837" s="20" t="n"/>
      <c r="E837" s="20" t="n"/>
      <c r="F837" s="20" t="n"/>
      <c r="G837" s="20" t="n"/>
    </row>
    <row r="838">
      <c r="A838" s="21" t="inlineStr">
        <is>
          <t>Details of cost for 10 sqm   |   Source: CivilDAR_2019_Vol_1.pdf, page 849</t>
        </is>
      </c>
    </row>
    <row r="839">
      <c r="A839" s="5" t="inlineStr">
        <is>
          <t>Code</t>
        </is>
      </c>
      <c r="B839" s="5" t="inlineStr">
        <is>
          <t>Description</t>
        </is>
      </c>
      <c r="C839" s="5" t="inlineStr">
        <is>
          <t>Unit</t>
        </is>
      </c>
      <c r="D839" s="5" t="inlineStr">
        <is>
          <t>Quantity</t>
        </is>
      </c>
      <c r="E839" s="5" t="inlineStr">
        <is>
          <t>Rate (Rs.)</t>
        </is>
      </c>
      <c r="F839" s="5" t="inlineStr">
        <is>
          <t>Amount (Rs.)</t>
        </is>
      </c>
      <c r="G839" s="5" t="inlineStr">
        <is>
          <t>Note</t>
        </is>
      </c>
    </row>
    <row r="840">
      <c r="A840" s="22" t="inlineStr">
        <is>
          <t>0236</t>
        </is>
      </c>
      <c r="B840" s="11" t="inlineStr">
        <is>
          <t>Multipurpose fibre reinforced by organic and / or inorganic synthetic fibres cement board 6 mm thick</t>
        </is>
      </c>
      <c r="C840" s="22" t="inlineStr">
        <is>
          <t>sqm</t>
        </is>
      </c>
      <c r="D840" s="23" t="n">
        <v>11</v>
      </c>
      <c r="E840" s="24" t="n">
        <v>210</v>
      </c>
      <c r="F840" s="24">
        <f>D840*E840</f>
        <v/>
      </c>
      <c r="G840" s="22" t="n"/>
    </row>
    <row r="841">
      <c r="A841" s="22" t="inlineStr">
        <is>
          <t>9977</t>
        </is>
      </c>
      <c r="B841" s="11" t="inlineStr">
        <is>
          <t>Carriage</t>
        </is>
      </c>
      <c r="C841" s="22" t="inlineStr">
        <is>
          <t>L.S.</t>
        </is>
      </c>
      <c r="D841" s="23" t="n">
        <v>14.95</v>
      </c>
      <c r="E841" s="24" t="n">
        <v>2</v>
      </c>
      <c r="F841" s="24">
        <f>D841*E841</f>
        <v/>
      </c>
      <c r="G841" s="22" t="n"/>
    </row>
    <row r="842">
      <c r="A842" s="22" t="inlineStr">
        <is>
          <t>9999</t>
        </is>
      </c>
      <c r="B842" s="11" t="inlineStr">
        <is>
          <t>Nails</t>
        </is>
      </c>
      <c r="C842" s="22" t="inlineStr">
        <is>
          <t>L.S.</t>
        </is>
      </c>
      <c r="D842" s="23" t="n">
        <v>26.91</v>
      </c>
      <c r="E842" s="24" t="n">
        <v>2</v>
      </c>
      <c r="F842" s="24">
        <f>D842*E842</f>
        <v/>
      </c>
      <c r="G842" s="22" t="n"/>
    </row>
    <row r="843">
      <c r="A843" s="22" t="inlineStr">
        <is>
          <t>0111</t>
        </is>
      </c>
      <c r="B843" s="11" t="inlineStr">
        <is>
          <t>Carpenter 1st class</t>
        </is>
      </c>
      <c r="C843" s="22" t="inlineStr">
        <is>
          <t>day</t>
        </is>
      </c>
      <c r="D843" s="23" t="n">
        <v>2.5</v>
      </c>
      <c r="E843" s="24" t="n">
        <v>738</v>
      </c>
      <c r="F843" s="24">
        <f>D843*E843</f>
        <v/>
      </c>
      <c r="G843" s="22" t="n"/>
    </row>
    <row r="844">
      <c r="A844" s="22" t="inlineStr">
        <is>
          <t>0114</t>
        </is>
      </c>
      <c r="B844" s="11" t="inlineStr">
        <is>
          <t>Beldar</t>
        </is>
      </c>
      <c r="C844" s="22" t="inlineStr">
        <is>
          <t>day</t>
        </is>
      </c>
      <c r="D844" s="23" t="n">
        <v>2</v>
      </c>
      <c r="E844" s="24" t="n">
        <v>558</v>
      </c>
      <c r="F844" s="24">
        <f>D844*E844</f>
        <v/>
      </c>
      <c r="G844" s="22" t="n"/>
    </row>
    <row r="845">
      <c r="A845" s="22" t="inlineStr">
        <is>
          <t>9999</t>
        </is>
      </c>
      <c r="B845" s="11" t="inlineStr">
        <is>
          <t>Scaffolding</t>
        </is>
      </c>
      <c r="C845" s="22" t="inlineStr">
        <is>
          <t>L.S.</t>
        </is>
      </c>
      <c r="D845" s="23" t="n">
        <v>31.07</v>
      </c>
      <c r="E845" s="24" t="n">
        <v>2</v>
      </c>
      <c r="F845" s="24">
        <f>D845*E845</f>
        <v/>
      </c>
      <c r="G845" s="22" t="n"/>
    </row>
    <row r="846">
      <c r="A846" s="22" t="inlineStr">
        <is>
          <t>9999</t>
        </is>
      </c>
      <c r="B846" s="11" t="inlineStr">
        <is>
          <t>Sundries</t>
        </is>
      </c>
      <c r="C846" s="22" t="inlineStr">
        <is>
          <t>L.S.</t>
        </is>
      </c>
      <c r="D846" s="23" t="n">
        <v>31.07</v>
      </c>
      <c r="E846" s="24" t="n">
        <v>2</v>
      </c>
      <c r="F846" s="24">
        <f>D846*E846</f>
        <v/>
      </c>
      <c r="G846" s="22" t="n"/>
    </row>
    <row r="847">
      <c r="A847" s="8" t="inlineStr">
        <is>
          <t>Calculated W - SUM of the Amount column above</t>
        </is>
      </c>
      <c r="B847" s="9" t="n"/>
      <c r="C847" s="9" t="n"/>
      <c r="D847" s="9" t="n"/>
      <c r="E847" s="9" t="n"/>
      <c r="F847" s="25">
        <f>SUM(F840:F846)</f>
        <v/>
      </c>
      <c r="G847" s="9" t="n"/>
    </row>
    <row r="848">
      <c r="A848" s="26" t="inlineStr">
        <is>
          <t>W as printed in the DAR</t>
        </is>
      </c>
      <c r="B848" s="22" t="n"/>
      <c r="C848" s="22" t="n"/>
      <c r="D848" s="22" t="n"/>
      <c r="E848" s="22" t="n"/>
      <c r="F848" s="27" t="n">
        <v>5479</v>
      </c>
      <c r="G848" s="22" t="n"/>
    </row>
    <row r="849">
      <c r="A849" s="26" t="inlineStr">
        <is>
          <t>Difference (calculated - printed)</t>
        </is>
      </c>
      <c r="B849" s="22" t="n"/>
      <c r="C849" s="22" t="n"/>
      <c r="D849" s="22" t="n"/>
      <c r="E849" s="22" t="n"/>
      <c r="F849" s="27">
        <f>F847-F848</f>
        <v/>
      </c>
      <c r="G849" s="22" t="n"/>
    </row>
    <row r="850">
      <c r="A850" s="29" t="inlineStr">
        <is>
          <t>SAY (Rs.) - final DAR rate as printed (fixed value, not computed)</t>
        </is>
      </c>
      <c r="B850" s="30" t="n"/>
      <c r="C850" s="30" t="n"/>
      <c r="D850" s="30" t="n"/>
      <c r="E850" s="30" t="n"/>
      <c r="F850" s="31" t="n">
        <v>733.05</v>
      </c>
      <c r="G850" s="30" t="n"/>
    </row>
    <row r="852" ht="33" customHeight="1">
      <c r="A852" s="8" t="inlineStr">
        <is>
          <t>12.26</t>
        </is>
      </c>
      <c r="B852" s="17" t="inlineStr">
        <is>
          <t>Providing and fixing plain multipurpose cement board(Hight pressure steam cured) with suitable screws for cement particle board in ceiling etc. complete (frame work to be paid seperatately).</t>
        </is>
      </c>
      <c r="C852" s="9" t="n"/>
      <c r="D852" s="9" t="n"/>
      <c r="E852" s="9" t="n"/>
      <c r="F852" s="9" t="n"/>
      <c r="G852" s="9" t="n"/>
    </row>
    <row r="853" ht="18.5" customHeight="1">
      <c r="A853" s="18" t="inlineStr">
        <is>
          <t>12.26.2</t>
        </is>
      </c>
      <c r="B853" s="19" t="inlineStr">
        <is>
          <t>6 mm thick Cement bonded wood particle board as per IS:14276</t>
        </is>
      </c>
      <c r="C853" s="20" t="n"/>
      <c r="D853" s="20" t="n"/>
      <c r="E853" s="20" t="n"/>
      <c r="F853" s="20" t="n"/>
      <c r="G853" s="20" t="n"/>
    </row>
    <row r="854">
      <c r="A854" s="21" t="inlineStr">
        <is>
          <t>Details of cost for 10 sqm   |   Source: CivilDAR_2019_Vol_1.pdf, page 850</t>
        </is>
      </c>
    </row>
    <row r="855">
      <c r="A855" s="5" t="inlineStr">
        <is>
          <t>Code</t>
        </is>
      </c>
      <c r="B855" s="5" t="inlineStr">
        <is>
          <t>Description</t>
        </is>
      </c>
      <c r="C855" s="5" t="inlineStr">
        <is>
          <t>Unit</t>
        </is>
      </c>
      <c r="D855" s="5" t="inlineStr">
        <is>
          <t>Quantity</t>
        </is>
      </c>
      <c r="E855" s="5" t="inlineStr">
        <is>
          <t>Rate (Rs.)</t>
        </is>
      </c>
      <c r="F855" s="5" t="inlineStr">
        <is>
          <t>Amount (Rs.)</t>
        </is>
      </c>
      <c r="G855" s="5" t="inlineStr">
        <is>
          <t>Note</t>
        </is>
      </c>
    </row>
    <row r="856">
      <c r="A856" s="22" t="inlineStr">
        <is>
          <t>0242</t>
        </is>
      </c>
      <c r="B856" s="11" t="inlineStr">
        <is>
          <t>6 mm thick multi purpose cement bonded wood particle board</t>
        </is>
      </c>
      <c r="C856" s="22" t="inlineStr">
        <is>
          <t>sqm</t>
        </is>
      </c>
      <c r="D856" s="23" t="n">
        <v>11</v>
      </c>
      <c r="E856" s="24" t="n">
        <v>195</v>
      </c>
      <c r="F856" s="24">
        <f>D856*E856</f>
        <v/>
      </c>
      <c r="G856" s="22" t="n"/>
    </row>
    <row r="857">
      <c r="A857" s="22" t="inlineStr">
        <is>
          <t>9977</t>
        </is>
      </c>
      <c r="B857" s="11" t="inlineStr">
        <is>
          <t>Carriage</t>
        </is>
      </c>
      <c r="C857" s="22" t="inlineStr">
        <is>
          <t>L.S.</t>
        </is>
      </c>
      <c r="D857" s="23" t="n">
        <v>14.95</v>
      </c>
      <c r="E857" s="24" t="n">
        <v>2</v>
      </c>
      <c r="F857" s="24">
        <f>D857*E857</f>
        <v/>
      </c>
      <c r="G857" s="22" t="n"/>
    </row>
    <row r="858">
      <c r="A858" s="22" t="inlineStr">
        <is>
          <t>9999</t>
        </is>
      </c>
      <c r="B858" s="11" t="inlineStr">
        <is>
          <t>Nails</t>
        </is>
      </c>
      <c r="C858" s="22" t="inlineStr">
        <is>
          <t>L.S.</t>
        </is>
      </c>
      <c r="D858" s="23" t="n">
        <v>26.91</v>
      </c>
      <c r="E858" s="24" t="n">
        <v>2</v>
      </c>
      <c r="F858" s="24">
        <f>D858*E858</f>
        <v/>
      </c>
      <c r="G858" s="22" t="n"/>
    </row>
    <row r="859">
      <c r="A859" s="22" t="inlineStr">
        <is>
          <t>0111</t>
        </is>
      </c>
      <c r="B859" s="11" t="inlineStr">
        <is>
          <t>Carpenter 1st class</t>
        </is>
      </c>
      <c r="C859" s="22" t="inlineStr">
        <is>
          <t>day</t>
        </is>
      </c>
      <c r="D859" s="23" t="n">
        <v>2.5</v>
      </c>
      <c r="E859" s="24" t="n">
        <v>738</v>
      </c>
      <c r="F859" s="24">
        <f>D859*E859</f>
        <v/>
      </c>
      <c r="G859" s="22" t="n"/>
    </row>
    <row r="860">
      <c r="A860" s="22" t="inlineStr">
        <is>
          <t>0114</t>
        </is>
      </c>
      <c r="B860" s="11" t="inlineStr">
        <is>
          <t>Beldar</t>
        </is>
      </c>
      <c r="C860" s="22" t="inlineStr">
        <is>
          <t>day</t>
        </is>
      </c>
      <c r="D860" s="23" t="n">
        <v>2</v>
      </c>
      <c r="E860" s="24" t="n">
        <v>558</v>
      </c>
      <c r="F860" s="24">
        <f>D860*E860</f>
        <v/>
      </c>
      <c r="G860" s="22" t="n"/>
    </row>
    <row r="861">
      <c r="A861" s="22" t="inlineStr">
        <is>
          <t>9999</t>
        </is>
      </c>
      <c r="B861" s="11" t="inlineStr">
        <is>
          <t>Scaffolding</t>
        </is>
      </c>
      <c r="C861" s="22" t="inlineStr">
        <is>
          <t>L.S.</t>
        </is>
      </c>
      <c r="D861" s="23" t="n">
        <v>31.07</v>
      </c>
      <c r="E861" s="24" t="n">
        <v>2</v>
      </c>
      <c r="F861" s="24">
        <f>D861*E861</f>
        <v/>
      </c>
      <c r="G861" s="22" t="n"/>
    </row>
    <row r="862">
      <c r="A862" s="22" t="inlineStr">
        <is>
          <t>9999</t>
        </is>
      </c>
      <c r="B862" s="11" t="inlineStr">
        <is>
          <t>Sundries</t>
        </is>
      </c>
      <c r="C862" s="22" t="inlineStr">
        <is>
          <t>L.S.</t>
        </is>
      </c>
      <c r="D862" s="23" t="n">
        <v>31.07</v>
      </c>
      <c r="E862" s="24" t="n">
        <v>2</v>
      </c>
      <c r="F862" s="24">
        <f>D862*E862</f>
        <v/>
      </c>
      <c r="G862" s="22" t="n"/>
    </row>
    <row r="863">
      <c r="A863" s="8" t="inlineStr">
        <is>
          <t>Calculated W - SUM of the Amount column above</t>
        </is>
      </c>
      <c r="B863" s="9" t="n"/>
      <c r="C863" s="9" t="n"/>
      <c r="D863" s="9" t="n"/>
      <c r="E863" s="9" t="n"/>
      <c r="F863" s="25">
        <f>SUM(F856:F862)</f>
        <v/>
      </c>
      <c r="G863" s="9" t="n"/>
    </row>
    <row r="864">
      <c r="A864" s="26" t="inlineStr">
        <is>
          <t>W as printed in the DAR</t>
        </is>
      </c>
      <c r="B864" s="22" t="n"/>
      <c r="C864" s="22" t="n"/>
      <c r="D864" s="22" t="n"/>
      <c r="E864" s="22" t="n"/>
      <c r="F864" s="27" t="n">
        <v>5314</v>
      </c>
      <c r="G864" s="22" t="n"/>
    </row>
    <row r="865">
      <c r="A865" s="26" t="inlineStr">
        <is>
          <t>Difference (calculated - printed)</t>
        </is>
      </c>
      <c r="B865" s="22" t="n"/>
      <c r="C865" s="22" t="n"/>
      <c r="D865" s="22" t="n"/>
      <c r="E865" s="22" t="n"/>
      <c r="F865" s="27">
        <f>F863-F864</f>
        <v/>
      </c>
      <c r="G865" s="22" t="n"/>
    </row>
    <row r="866">
      <c r="A866" s="29" t="inlineStr">
        <is>
          <t>SAY (Rs.) - final DAR rate as printed (fixed value, not computed)</t>
        </is>
      </c>
      <c r="B866" s="30" t="n"/>
      <c r="C866" s="30" t="n"/>
      <c r="D866" s="30" t="n"/>
      <c r="E866" s="30" t="n"/>
      <c r="F866" s="31" t="n">
        <v>711</v>
      </c>
      <c r="G866" s="30" t="n"/>
    </row>
    <row r="868" ht="18.5" customHeight="1">
      <c r="A868" s="8" t="inlineStr">
        <is>
          <t>12.27</t>
        </is>
      </c>
      <c r="B868" s="17" t="inlineStr">
        <is>
          <t>Extra for Circular cutting including wastages in ceiling with:</t>
        </is>
      </c>
      <c r="C868" s="9" t="n"/>
      <c r="D868" s="9" t="n"/>
      <c r="E868" s="9" t="n"/>
      <c r="F868" s="9" t="n"/>
      <c r="G868" s="9" t="n"/>
    </row>
    <row r="869" ht="18.5" customHeight="1">
      <c r="A869" s="18" t="inlineStr">
        <is>
          <t>12.27.1</t>
        </is>
      </c>
      <c r="B869" s="19" t="inlineStr">
        <is>
          <t>2nd class teak wood planks 20 mm thick</t>
        </is>
      </c>
      <c r="C869" s="20" t="n"/>
      <c r="D869" s="20" t="n"/>
      <c r="E869" s="20" t="n"/>
      <c r="F869" s="20" t="n"/>
      <c r="G869" s="20" t="n"/>
    </row>
    <row r="870">
      <c r="A870" s="21" t="inlineStr">
        <is>
          <t>Details of cost for 15.71 metre   |   Source: CivilDAR_2019_Vol_1.pdf, page 850</t>
        </is>
      </c>
    </row>
    <row r="871">
      <c r="A871" s="5" t="inlineStr">
        <is>
          <t>Code</t>
        </is>
      </c>
      <c r="B871" s="5" t="inlineStr">
        <is>
          <t>Description</t>
        </is>
      </c>
      <c r="C871" s="5" t="inlineStr">
        <is>
          <t>Unit</t>
        </is>
      </c>
      <c r="D871" s="5" t="inlineStr">
        <is>
          <t>Quantity</t>
        </is>
      </c>
      <c r="E871" s="5" t="inlineStr">
        <is>
          <t>Rate (Rs.)</t>
        </is>
      </c>
      <c r="F871" s="5" t="inlineStr">
        <is>
          <t>Amount (Rs.)</t>
        </is>
      </c>
      <c r="G871" s="5" t="inlineStr">
        <is>
          <t>Note</t>
        </is>
      </c>
    </row>
    <row r="872">
      <c r="A872" s="22" t="inlineStr">
        <is>
          <t>1190</t>
        </is>
      </c>
      <c r="B872" s="11" t="inlineStr">
        <is>
          <t>Second class teak wood in planks</t>
        </is>
      </c>
      <c r="C872" s="22" t="inlineStr">
        <is>
          <t>10 cudm</t>
        </is>
      </c>
      <c r="D872" s="23" t="n">
        <v>4.3</v>
      </c>
      <c r="E872" s="24" t="n">
        <v>791</v>
      </c>
      <c r="F872" s="24">
        <f>D872*E872</f>
        <v/>
      </c>
      <c r="G872" s="22" t="n"/>
    </row>
    <row r="873">
      <c r="A873" s="22" t="inlineStr">
        <is>
          <t>2204</t>
        </is>
      </c>
      <c r="B873" s="11" t="inlineStr">
        <is>
          <t>Carriage of Timber</t>
        </is>
      </c>
      <c r="C873" s="22" t="inlineStr">
        <is>
          <t>cum</t>
        </is>
      </c>
      <c r="D873" s="23" t="n">
        <v>0.041</v>
      </c>
      <c r="E873" s="24" t="n">
        <v>118.59</v>
      </c>
      <c r="F873" s="24">
        <f>D873*E873</f>
        <v/>
      </c>
      <c r="G873" s="22" t="n"/>
    </row>
    <row r="874">
      <c r="A874" s="22" t="inlineStr">
        <is>
          <t>0637</t>
        </is>
      </c>
      <c r="B874" s="11" t="inlineStr">
        <is>
          <t>Bright finished or black enamelled mild steel screws 40 mm</t>
        </is>
      </c>
      <c r="C874" s="22" t="inlineStr">
        <is>
          <t>100 Nos</t>
        </is>
      </c>
      <c r="D874" s="23" t="n">
        <v>0.31</v>
      </c>
      <c r="E874" s="24" t="n">
        <v>60</v>
      </c>
      <c r="F874" s="24">
        <f>D874*E874</f>
        <v/>
      </c>
      <c r="G874" s="22" t="n"/>
    </row>
    <row r="875">
      <c r="A875" s="22" t="inlineStr">
        <is>
          <t>0111</t>
        </is>
      </c>
      <c r="B875" s="11" t="inlineStr">
        <is>
          <t>Carpenter 1st class</t>
        </is>
      </c>
      <c r="C875" s="22" t="inlineStr">
        <is>
          <t>day</t>
        </is>
      </c>
      <c r="D875" s="23" t="n">
        <v>2.65</v>
      </c>
      <c r="E875" s="24" t="n">
        <v>738</v>
      </c>
      <c r="F875" s="24">
        <f>D875*E875</f>
        <v/>
      </c>
      <c r="G875" s="22" t="n"/>
    </row>
    <row r="876">
      <c r="A876" s="22" t="inlineStr">
        <is>
          <t>0112</t>
        </is>
      </c>
      <c r="B876" s="11" t="inlineStr">
        <is>
          <t>Carpenter 2nd class</t>
        </is>
      </c>
      <c r="C876" s="22" t="inlineStr">
        <is>
          <t>day</t>
        </is>
      </c>
      <c r="D876" s="23" t="n">
        <v>0.145</v>
      </c>
      <c r="E876" s="24" t="n">
        <v>679</v>
      </c>
      <c r="F876" s="24">
        <f>D876*E876</f>
        <v/>
      </c>
      <c r="G876" s="22" t="n"/>
    </row>
    <row r="877">
      <c r="A877" s="22" t="inlineStr">
        <is>
          <t>0114</t>
        </is>
      </c>
      <c r="B877" s="11" t="inlineStr">
        <is>
          <t>Beldar</t>
        </is>
      </c>
      <c r="C877" s="22" t="inlineStr">
        <is>
          <t>day</t>
        </is>
      </c>
      <c r="D877" s="23" t="n">
        <v>2.79</v>
      </c>
      <c r="E877" s="24" t="n">
        <v>558</v>
      </c>
      <c r="F877" s="24">
        <f>D877*E877</f>
        <v/>
      </c>
      <c r="G877" s="22" t="n"/>
    </row>
    <row r="878">
      <c r="A878" s="22" t="inlineStr">
        <is>
          <t>9999</t>
        </is>
      </c>
      <c r="B878" s="11" t="inlineStr">
        <is>
          <t>Scaffolding</t>
        </is>
      </c>
      <c r="C878" s="22" t="inlineStr">
        <is>
          <t>L.S.</t>
        </is>
      </c>
      <c r="D878" s="23" t="n">
        <v>7.8</v>
      </c>
      <c r="E878" s="24" t="n">
        <v>2</v>
      </c>
      <c r="F878" s="24">
        <f>D878*E878</f>
        <v/>
      </c>
      <c r="G878" s="22" t="n"/>
    </row>
    <row r="879">
      <c r="A879" s="22" t="inlineStr">
        <is>
          <t>9999</t>
        </is>
      </c>
      <c r="B879" s="11" t="inlineStr">
        <is>
          <t>Sundries</t>
        </is>
      </c>
      <c r="C879" s="22" t="inlineStr">
        <is>
          <t>L.S.</t>
        </is>
      </c>
      <c r="D879" s="23" t="n">
        <v>14.69</v>
      </c>
      <c r="E879" s="24" t="n">
        <v>2</v>
      </c>
      <c r="F879" s="24">
        <f>D879*E879</f>
        <v/>
      </c>
      <c r="G879" s="22" t="n"/>
    </row>
    <row r="880">
      <c r="A880" s="8" t="inlineStr">
        <is>
          <t>Calculated W - SUM of the Amount column above</t>
        </is>
      </c>
      <c r="B880" s="9" t="n"/>
      <c r="C880" s="9" t="n"/>
      <c r="D880" s="9" t="n"/>
      <c r="E880" s="9" t="n"/>
      <c r="F880" s="25">
        <f>SUM(F872:F879)</f>
        <v/>
      </c>
      <c r="G880" s="9" t="n"/>
    </row>
    <row r="881">
      <c r="A881" s="26" t="inlineStr">
        <is>
          <t>W as printed in the DAR</t>
        </is>
      </c>
      <c r="B881" s="22" t="n"/>
      <c r="C881" s="22" t="n"/>
      <c r="D881" s="22" t="n"/>
      <c r="E881" s="22" t="n"/>
      <c r="F881" s="27" t="n">
        <v>7080.72</v>
      </c>
      <c r="G881" s="22" t="n"/>
    </row>
    <row r="882">
      <c r="A882" s="26" t="inlineStr">
        <is>
          <t>Difference (calculated - printed)</t>
        </is>
      </c>
      <c r="B882" s="22" t="n"/>
      <c r="C882" s="22" t="n"/>
      <c r="D882" s="22" t="n"/>
      <c r="E882" s="22" t="n"/>
      <c r="F882" s="27">
        <f>F880-F881</f>
        <v/>
      </c>
      <c r="G882" s="22" t="n"/>
    </row>
    <row r="883">
      <c r="A883" s="29" t="inlineStr">
        <is>
          <t>SAY (Rs.) - final DAR rate as printed (fixed value, not computed)</t>
        </is>
      </c>
      <c r="B883" s="30" t="n"/>
      <c r="C883" s="30" t="n"/>
      <c r="D883" s="30" t="n"/>
      <c r="E883" s="30" t="n"/>
      <c r="F883" s="31" t="n">
        <v>603.05</v>
      </c>
      <c r="G883" s="30" t="n"/>
    </row>
    <row r="885" ht="18.5" customHeight="1">
      <c r="A885" s="8" t="inlineStr">
        <is>
          <t>12.27</t>
        </is>
      </c>
      <c r="B885" s="17" t="inlineStr">
        <is>
          <t>Extra for Circular cutting including wastages in ceiling with:</t>
        </is>
      </c>
      <c r="C885" s="9" t="n"/>
      <c r="D885" s="9" t="n"/>
      <c r="E885" s="9" t="n"/>
      <c r="F885" s="9" t="n"/>
      <c r="G885" s="9" t="n"/>
    </row>
    <row r="886" ht="18.5" customHeight="1">
      <c r="A886" s="8" t="inlineStr">
        <is>
          <t>12.27.2</t>
        </is>
      </c>
      <c r="B886" s="17" t="inlineStr">
        <is>
          <t>Natural colour insulating board</t>
        </is>
      </c>
      <c r="C886" s="9" t="n"/>
      <c r="D886" s="9" t="n"/>
      <c r="E886" s="9" t="n"/>
      <c r="F886" s="9" t="n"/>
      <c r="G886" s="9" t="n"/>
    </row>
    <row r="887" ht="18.5" customHeight="1">
      <c r="A887" s="18" t="inlineStr">
        <is>
          <t>12.27.2.1</t>
        </is>
      </c>
      <c r="B887" s="19" t="inlineStr">
        <is>
          <t>12 mm thick</t>
        </is>
      </c>
      <c r="C887" s="20" t="n"/>
      <c r="D887" s="20" t="n"/>
      <c r="E887" s="20" t="n"/>
      <c r="F887" s="20" t="n"/>
      <c r="G887" s="20" t="n"/>
    </row>
    <row r="888">
      <c r="A888" s="21" t="inlineStr">
        <is>
          <t>Details of cost for 15.71 metre   |   Source: CivilDAR_2019_Vol_1.pdf, page 851</t>
        </is>
      </c>
    </row>
    <row r="889">
      <c r="A889" s="5" t="inlineStr">
        <is>
          <t>Code</t>
        </is>
      </c>
      <c r="B889" s="5" t="inlineStr">
        <is>
          <t>Description</t>
        </is>
      </c>
      <c r="C889" s="5" t="inlineStr">
        <is>
          <t>Unit</t>
        </is>
      </c>
      <c r="D889" s="5" t="inlineStr">
        <is>
          <t>Quantity</t>
        </is>
      </c>
      <c r="E889" s="5" t="inlineStr">
        <is>
          <t>Rate (Rs.)</t>
        </is>
      </c>
      <c r="F889" s="5" t="inlineStr">
        <is>
          <t>Amount (Rs.)</t>
        </is>
      </c>
      <c r="G889" s="5" t="inlineStr">
        <is>
          <t>Note</t>
        </is>
      </c>
    </row>
    <row r="890">
      <c r="A890" s="22" t="inlineStr">
        <is>
          <t>0332</t>
        </is>
      </c>
      <c r="B890" s="11" t="inlineStr">
        <is>
          <t>Natural colour insulating board: 12 mm thick</t>
        </is>
      </c>
      <c r="C890" s="22" t="inlineStr">
        <is>
          <t>sqm</t>
        </is>
      </c>
      <c r="D890" s="23" t="n">
        <v>2.15</v>
      </c>
      <c r="E890" s="24" t="n">
        <v>210</v>
      </c>
      <c r="F890" s="24">
        <f>D890*E890</f>
        <v/>
      </c>
      <c r="G890" s="22" t="n"/>
    </row>
    <row r="891">
      <c r="A891" s="22" t="inlineStr">
        <is>
          <t>9977</t>
        </is>
      </c>
      <c r="B891" s="11" t="inlineStr">
        <is>
          <t>Carriage</t>
        </is>
      </c>
      <c r="C891" s="22" t="inlineStr">
        <is>
          <t>L.S.</t>
        </is>
      </c>
      <c r="D891" s="23" t="n">
        <v>3.38</v>
      </c>
      <c r="E891" s="24" t="n">
        <v>2</v>
      </c>
      <c r="F891" s="24">
        <f>D891*E891</f>
        <v/>
      </c>
      <c r="G891" s="22" t="n"/>
    </row>
    <row r="892">
      <c r="A892" s="22" t="inlineStr">
        <is>
          <t>9999</t>
        </is>
      </c>
      <c r="B892" s="11" t="inlineStr">
        <is>
          <t>Nails</t>
        </is>
      </c>
      <c r="C892" s="22" t="inlineStr">
        <is>
          <t>L.S.</t>
        </is>
      </c>
      <c r="D892" s="23" t="n">
        <v>5.33</v>
      </c>
      <c r="E892" s="24" t="n">
        <v>2</v>
      </c>
      <c r="F892" s="24">
        <f>D892*E892</f>
        <v/>
      </c>
      <c r="G892" s="22" t="n"/>
    </row>
    <row r="893">
      <c r="A893" s="22" t="inlineStr">
        <is>
          <t>0111</t>
        </is>
      </c>
      <c r="B893" s="11" t="inlineStr">
        <is>
          <t>Carpenter 1st class</t>
        </is>
      </c>
      <c r="C893" s="22" t="inlineStr">
        <is>
          <t>day</t>
        </is>
      </c>
      <c r="D893" s="23" t="n">
        <v>0.49</v>
      </c>
      <c r="E893" s="24" t="n">
        <v>738</v>
      </c>
      <c r="F893" s="24">
        <f>D893*E893</f>
        <v/>
      </c>
      <c r="G893" s="22" t="n"/>
    </row>
    <row r="894">
      <c r="A894" s="22" t="inlineStr">
        <is>
          <t>0114</t>
        </is>
      </c>
      <c r="B894" s="11" t="inlineStr">
        <is>
          <t>Beldar</t>
        </is>
      </c>
      <c r="C894" s="22" t="inlineStr">
        <is>
          <t>day</t>
        </is>
      </c>
      <c r="D894" s="23" t="n">
        <v>0.39</v>
      </c>
      <c r="E894" s="24" t="n">
        <v>558</v>
      </c>
      <c r="F894" s="24">
        <f>D894*E894</f>
        <v/>
      </c>
      <c r="G894" s="22" t="n"/>
    </row>
    <row r="895">
      <c r="A895" s="22" t="inlineStr">
        <is>
          <t>9999</t>
        </is>
      </c>
      <c r="B895" s="11" t="inlineStr">
        <is>
          <t>Scaffolding</t>
        </is>
      </c>
      <c r="C895" s="22" t="inlineStr">
        <is>
          <t>L.S.</t>
        </is>
      </c>
      <c r="D895" s="23" t="n">
        <v>6.11</v>
      </c>
      <c r="E895" s="24" t="n">
        <v>2</v>
      </c>
      <c r="F895" s="24">
        <f>D895*E895</f>
        <v/>
      </c>
      <c r="G895" s="22" t="n"/>
    </row>
    <row r="896">
      <c r="A896" s="22" t="inlineStr">
        <is>
          <t>9999</t>
        </is>
      </c>
      <c r="B896" s="11" t="inlineStr">
        <is>
          <t>Sundries</t>
        </is>
      </c>
      <c r="C896" s="22" t="inlineStr">
        <is>
          <t>L.S.</t>
        </is>
      </c>
      <c r="D896" s="23" t="n">
        <v>6.11</v>
      </c>
      <c r="E896" s="24" t="n">
        <v>2</v>
      </c>
      <c r="F896" s="24">
        <f>D896*E896</f>
        <v/>
      </c>
      <c r="G896" s="22" t="n"/>
    </row>
    <row r="897">
      <c r="A897" s="22" t="inlineStr">
        <is>
          <t>0111</t>
        </is>
      </c>
      <c r="B897" s="11" t="inlineStr">
        <is>
          <t>Carpenter 1st class</t>
        </is>
      </c>
      <c r="C897" s="22" t="inlineStr">
        <is>
          <t>day</t>
        </is>
      </c>
      <c r="D897" s="23" t="n">
        <v>2.5</v>
      </c>
      <c r="E897" s="24" t="n">
        <v>738</v>
      </c>
      <c r="F897" s="24">
        <f>D897*E897</f>
        <v/>
      </c>
      <c r="G897" s="22" t="n"/>
    </row>
    <row r="898">
      <c r="A898" s="22" t="inlineStr">
        <is>
          <t>0114</t>
        </is>
      </c>
      <c r="B898" s="11" t="inlineStr">
        <is>
          <t>Beldar</t>
        </is>
      </c>
      <c r="C898" s="22" t="inlineStr">
        <is>
          <t>day</t>
        </is>
      </c>
      <c r="D898" s="23" t="n">
        <v>2.5</v>
      </c>
      <c r="E898" s="24" t="n">
        <v>558</v>
      </c>
      <c r="F898" s="24">
        <f>D898*E898</f>
        <v/>
      </c>
      <c r="G898" s="22" t="n"/>
    </row>
    <row r="899">
      <c r="A899" s="22" t="inlineStr">
        <is>
          <t>9999</t>
        </is>
      </c>
      <c r="B899" s="11" t="inlineStr">
        <is>
          <t>Scaffolding</t>
        </is>
      </c>
      <c r="C899" s="22" t="inlineStr">
        <is>
          <t>L.S.</t>
        </is>
      </c>
      <c r="D899" s="23" t="n">
        <v>10.79</v>
      </c>
      <c r="E899" s="24" t="n">
        <v>2</v>
      </c>
      <c r="F899" s="24">
        <f>D899*E899</f>
        <v/>
      </c>
      <c r="G899" s="22" t="n"/>
    </row>
    <row r="900">
      <c r="A900" s="8" t="inlineStr">
        <is>
          <t>Calculated W - SUM of the Amount column above</t>
        </is>
      </c>
      <c r="B900" s="9" t="n"/>
      <c r="C900" s="9" t="n"/>
      <c r="D900" s="9" t="n"/>
      <c r="E900" s="9" t="n"/>
      <c r="F900" s="25">
        <f>SUM(F890:F899)</f>
        <v/>
      </c>
      <c r="G900" s="9" t="n"/>
    </row>
    <row r="901">
      <c r="A901" s="26" t="inlineStr">
        <is>
          <t>W as printed in the DAR</t>
        </is>
      </c>
      <c r="B901" s="22" t="n"/>
      <c r="C901" s="22" t="n"/>
      <c r="D901" s="22" t="n"/>
      <c r="E901" s="22" t="n"/>
      <c r="F901" s="27" t="n">
        <v>4334.18</v>
      </c>
      <c r="G901" s="22" t="n"/>
    </row>
    <row r="902">
      <c r="A902" s="26" t="inlineStr">
        <is>
          <t>Difference (calculated - printed)</t>
        </is>
      </c>
      <c r="B902" s="22" t="n"/>
      <c r="C902" s="22" t="n"/>
      <c r="D902" s="22" t="n"/>
      <c r="E902" s="22" t="n"/>
      <c r="F902" s="27">
        <f>F900-F901</f>
        <v/>
      </c>
      <c r="G902" s="22" t="n"/>
    </row>
    <row r="903">
      <c r="A903" s="29" t="inlineStr">
        <is>
          <t>SAY (Rs.) - final DAR rate as printed (fixed value, not computed)</t>
        </is>
      </c>
      <c r="B903" s="30" t="n"/>
      <c r="C903" s="30" t="n"/>
      <c r="D903" s="30" t="n"/>
      <c r="E903" s="30" t="n"/>
      <c r="F903" s="31" t="n">
        <v>369.1</v>
      </c>
      <c r="G903" s="30" t="n"/>
    </row>
    <row r="905" ht="18.5" customHeight="1">
      <c r="A905" s="8" t="inlineStr">
        <is>
          <t>12.27</t>
        </is>
      </c>
      <c r="B905" s="17" t="inlineStr">
        <is>
          <t>Extra for Circular cutting including wastages in ceiling with:</t>
        </is>
      </c>
      <c r="C905" s="9" t="n"/>
      <c r="D905" s="9" t="n"/>
      <c r="E905" s="9" t="n"/>
      <c r="F905" s="9" t="n"/>
      <c r="G905" s="9" t="n"/>
    </row>
    <row r="906" ht="18.5" customHeight="1">
      <c r="A906" s="8" t="inlineStr">
        <is>
          <t>12.27.3</t>
        </is>
      </c>
      <c r="B906" s="17" t="inlineStr">
        <is>
          <t>White face insulating board:</t>
        </is>
      </c>
      <c r="C906" s="9" t="n"/>
      <c r="D906" s="9" t="n"/>
      <c r="E906" s="9" t="n"/>
      <c r="F906" s="9" t="n"/>
      <c r="G906" s="9" t="n"/>
    </row>
    <row r="907" ht="18.5" customHeight="1">
      <c r="A907" s="18" t="inlineStr">
        <is>
          <t>12.27.3.1</t>
        </is>
      </c>
      <c r="B907" s="19" t="inlineStr">
        <is>
          <t>12 mm thick</t>
        </is>
      </c>
      <c r="C907" s="20" t="n"/>
      <c r="D907" s="20" t="n"/>
      <c r="E907" s="20" t="n"/>
      <c r="F907" s="20" t="n"/>
      <c r="G907" s="20" t="n"/>
    </row>
    <row r="908">
      <c r="A908" s="21" t="inlineStr">
        <is>
          <t>Details of cost for 15.71 metre   |   Source: CivilDAR_2019_Vol_1.pdf, page 852</t>
        </is>
      </c>
    </row>
    <row r="909">
      <c r="A909" s="5" t="inlineStr">
        <is>
          <t>Code</t>
        </is>
      </c>
      <c r="B909" s="5" t="inlineStr">
        <is>
          <t>Description</t>
        </is>
      </c>
      <c r="C909" s="5" t="inlineStr">
        <is>
          <t>Unit</t>
        </is>
      </c>
      <c r="D909" s="5" t="inlineStr">
        <is>
          <t>Quantity</t>
        </is>
      </c>
      <c r="E909" s="5" t="inlineStr">
        <is>
          <t>Rate (Rs.)</t>
        </is>
      </c>
      <c r="F909" s="5" t="inlineStr">
        <is>
          <t>Amount (Rs.)</t>
        </is>
      </c>
      <c r="G909" s="5" t="inlineStr">
        <is>
          <t>Note</t>
        </is>
      </c>
    </row>
    <row r="910">
      <c r="A910" s="22" t="inlineStr">
        <is>
          <t>0328</t>
        </is>
      </c>
      <c r="B910" s="11" t="inlineStr">
        <is>
          <t>White face insulating board:12 mm thick</t>
        </is>
      </c>
      <c r="C910" s="22" t="inlineStr">
        <is>
          <t>sqm</t>
        </is>
      </c>
      <c r="D910" s="23" t="n">
        <v>2.15</v>
      </c>
      <c r="E910" s="24" t="n">
        <v>235</v>
      </c>
      <c r="F910" s="24">
        <f>D910*E910</f>
        <v/>
      </c>
      <c r="G910" s="22" t="n"/>
    </row>
    <row r="911">
      <c r="A911" s="22" t="inlineStr">
        <is>
          <t>9977</t>
        </is>
      </c>
      <c r="B911" s="11" t="inlineStr">
        <is>
          <t>Carriage</t>
        </is>
      </c>
      <c r="C911" s="22" t="inlineStr">
        <is>
          <t>L.S.</t>
        </is>
      </c>
      <c r="D911" s="23" t="n">
        <v>3.38</v>
      </c>
      <c r="E911" s="24" t="n">
        <v>2</v>
      </c>
      <c r="F911" s="24">
        <f>D911*E911</f>
        <v/>
      </c>
      <c r="G911" s="22" t="n"/>
    </row>
    <row r="912">
      <c r="A912" s="22" t="inlineStr">
        <is>
          <t>9999</t>
        </is>
      </c>
      <c r="B912" s="11" t="inlineStr">
        <is>
          <t>Nails</t>
        </is>
      </c>
      <c r="C912" s="22" t="inlineStr">
        <is>
          <t>L.S.</t>
        </is>
      </c>
      <c r="D912" s="23" t="n">
        <v>5.33</v>
      </c>
      <c r="E912" s="24" t="n">
        <v>2</v>
      </c>
      <c r="F912" s="24">
        <f>D912*E912</f>
        <v/>
      </c>
      <c r="G912" s="22" t="n"/>
    </row>
    <row r="913">
      <c r="A913" s="22" t="inlineStr">
        <is>
          <t>0111</t>
        </is>
      </c>
      <c r="B913" s="11" t="inlineStr">
        <is>
          <t>Carpenter 1st class</t>
        </is>
      </c>
      <c r="C913" s="22" t="inlineStr">
        <is>
          <t>day</t>
        </is>
      </c>
      <c r="D913" s="23" t="n">
        <v>0.49</v>
      </c>
      <c r="E913" s="24" t="n">
        <v>738</v>
      </c>
      <c r="F913" s="24">
        <f>D913*E913</f>
        <v/>
      </c>
      <c r="G913" s="22" t="n"/>
    </row>
    <row r="914">
      <c r="A914" s="22" t="inlineStr">
        <is>
          <t>0114</t>
        </is>
      </c>
      <c r="B914" s="11" t="inlineStr">
        <is>
          <t>Beldar</t>
        </is>
      </c>
      <c r="C914" s="22" t="inlineStr">
        <is>
          <t>day</t>
        </is>
      </c>
      <c r="D914" s="23" t="n">
        <v>0.39</v>
      </c>
      <c r="E914" s="24" t="n">
        <v>558</v>
      </c>
      <c r="F914" s="24">
        <f>D914*E914</f>
        <v/>
      </c>
      <c r="G914" s="22" t="n"/>
    </row>
    <row r="915">
      <c r="A915" s="22" t="inlineStr">
        <is>
          <t>9999</t>
        </is>
      </c>
      <c r="B915" s="11" t="inlineStr">
        <is>
          <t>Scaffolding</t>
        </is>
      </c>
      <c r="C915" s="22" t="inlineStr">
        <is>
          <t>L.S.</t>
        </is>
      </c>
      <c r="D915" s="23" t="n">
        <v>6.11</v>
      </c>
      <c r="E915" s="24" t="n">
        <v>2</v>
      </c>
      <c r="F915" s="24">
        <f>D915*E915</f>
        <v/>
      </c>
      <c r="G915" s="22" t="n"/>
    </row>
    <row r="916">
      <c r="A916" s="22" t="inlineStr">
        <is>
          <t>9999</t>
        </is>
      </c>
      <c r="B916" s="11" t="inlineStr">
        <is>
          <t>Sundries</t>
        </is>
      </c>
      <c r="C916" s="22" t="inlineStr">
        <is>
          <t>L.S.</t>
        </is>
      </c>
      <c r="D916" s="23" t="n">
        <v>6.11</v>
      </c>
      <c r="E916" s="24" t="n">
        <v>2</v>
      </c>
      <c r="F916" s="24">
        <f>D916*E916</f>
        <v/>
      </c>
      <c r="G916" s="22" t="n"/>
    </row>
    <row r="917">
      <c r="A917" s="22" t="inlineStr">
        <is>
          <t>0111</t>
        </is>
      </c>
      <c r="B917" s="11" t="inlineStr">
        <is>
          <t>Carpenter 1st class</t>
        </is>
      </c>
      <c r="C917" s="22" t="inlineStr">
        <is>
          <t>day</t>
        </is>
      </c>
      <c r="D917" s="23" t="n">
        <v>2.5</v>
      </c>
      <c r="E917" s="24" t="n">
        <v>738</v>
      </c>
      <c r="F917" s="24">
        <f>D917*E917</f>
        <v/>
      </c>
      <c r="G917" s="22" t="n"/>
    </row>
    <row r="918">
      <c r="A918" s="22" t="inlineStr">
        <is>
          <t>0114</t>
        </is>
      </c>
      <c r="B918" s="11" t="inlineStr">
        <is>
          <t>Beldar</t>
        </is>
      </c>
      <c r="C918" s="22" t="inlineStr">
        <is>
          <t>day</t>
        </is>
      </c>
      <c r="D918" s="23" t="n">
        <v>2.5</v>
      </c>
      <c r="E918" s="24" t="n">
        <v>558</v>
      </c>
      <c r="F918" s="24">
        <f>D918*E918</f>
        <v/>
      </c>
      <c r="G918" s="22" t="n"/>
    </row>
    <row r="919">
      <c r="A919" s="22" t="inlineStr">
        <is>
          <t>9999</t>
        </is>
      </c>
      <c r="B919" s="11" t="inlineStr">
        <is>
          <t>Scaffolding</t>
        </is>
      </c>
      <c r="C919" s="22" t="inlineStr">
        <is>
          <t>L.S.</t>
        </is>
      </c>
      <c r="D919" s="23" t="n">
        <v>10.79</v>
      </c>
      <c r="E919" s="24" t="n">
        <v>2</v>
      </c>
      <c r="F919" s="24">
        <f>D919*E919</f>
        <v/>
      </c>
      <c r="G919" s="22" t="n"/>
    </row>
    <row r="920">
      <c r="A920" s="8" t="inlineStr">
        <is>
          <t>Calculated W - SUM of the Amount column above</t>
        </is>
      </c>
      <c r="B920" s="9" t="n"/>
      <c r="C920" s="9" t="n"/>
      <c r="D920" s="9" t="n"/>
      <c r="E920" s="9" t="n"/>
      <c r="F920" s="25">
        <f>SUM(F910:F919)</f>
        <v/>
      </c>
      <c r="G920" s="9" t="n"/>
    </row>
    <row r="921">
      <c r="A921" s="26" t="inlineStr">
        <is>
          <t>W as printed in the DAR</t>
        </is>
      </c>
      <c r="B921" s="22" t="n"/>
      <c r="C921" s="22" t="n"/>
      <c r="D921" s="22" t="n"/>
      <c r="E921" s="22" t="n"/>
      <c r="F921" s="27" t="n">
        <v>4387.93</v>
      </c>
      <c r="G921" s="22" t="n"/>
    </row>
    <row r="922">
      <c r="A922" s="26" t="inlineStr">
        <is>
          <t>Difference (calculated - printed)</t>
        </is>
      </c>
      <c r="B922" s="22" t="n"/>
      <c r="C922" s="22" t="n"/>
      <c r="D922" s="22" t="n"/>
      <c r="E922" s="22" t="n"/>
      <c r="F922" s="27">
        <f>F920-F921</f>
        <v/>
      </c>
      <c r="G922" s="22" t="n"/>
    </row>
    <row r="923">
      <c r="A923" s="29" t="inlineStr">
        <is>
          <t>SAY (Rs.) - final DAR rate as printed (fixed value, not computed)</t>
        </is>
      </c>
      <c r="B923" s="30" t="n"/>
      <c r="C923" s="30" t="n"/>
      <c r="D923" s="30" t="n"/>
      <c r="E923" s="30" t="n"/>
      <c r="F923" s="31" t="n">
        <v>373.7</v>
      </c>
      <c r="G923" s="30" t="n"/>
    </row>
    <row r="925" ht="18.5" customHeight="1">
      <c r="A925" s="8" t="inlineStr">
        <is>
          <t>12.27</t>
        </is>
      </c>
      <c r="B925" s="17" t="inlineStr">
        <is>
          <t>Extra for Circular cutting including wastages in ceiling with:</t>
        </is>
      </c>
      <c r="C925" s="9" t="n"/>
      <c r="D925" s="9" t="n"/>
      <c r="E925" s="9" t="n"/>
      <c r="F925" s="9" t="n"/>
      <c r="G925" s="9" t="n"/>
    </row>
    <row r="926" ht="18.5" customHeight="1">
      <c r="A926" s="8" t="inlineStr">
        <is>
          <t>12.27.4</t>
        </is>
      </c>
      <c r="B926" s="17" t="inlineStr">
        <is>
          <t>Flame retardant face insulating board:</t>
        </is>
      </c>
      <c r="C926" s="9" t="n"/>
      <c r="D926" s="9" t="n"/>
      <c r="E926" s="9" t="n"/>
      <c r="F926" s="9" t="n"/>
      <c r="G926" s="9" t="n"/>
    </row>
    <row r="927" ht="18.5" customHeight="1">
      <c r="A927" s="18" t="inlineStr">
        <is>
          <t>12.27.4.1</t>
        </is>
      </c>
      <c r="B927" s="19" t="inlineStr">
        <is>
          <t>12 mm thick</t>
        </is>
      </c>
      <c r="C927" s="20" t="n"/>
      <c r="D927" s="20" t="n"/>
      <c r="E927" s="20" t="n"/>
      <c r="F927" s="20" t="n"/>
      <c r="G927" s="20" t="n"/>
    </row>
    <row r="928">
      <c r="A928" s="21" t="inlineStr">
        <is>
          <t>Details of cost for 15.71 metre   |   Source: CivilDAR_2019_Vol_1.pdf, page 853</t>
        </is>
      </c>
    </row>
    <row r="929">
      <c r="A929" s="5" t="inlineStr">
        <is>
          <t>Code</t>
        </is>
      </c>
      <c r="B929" s="5" t="inlineStr">
        <is>
          <t>Description</t>
        </is>
      </c>
      <c r="C929" s="5" t="inlineStr">
        <is>
          <t>Unit</t>
        </is>
      </c>
      <c r="D929" s="5" t="inlineStr">
        <is>
          <t>Quantity</t>
        </is>
      </c>
      <c r="E929" s="5" t="inlineStr">
        <is>
          <t>Rate (Rs.)</t>
        </is>
      </c>
      <c r="F929" s="5" t="inlineStr">
        <is>
          <t>Amount (Rs.)</t>
        </is>
      </c>
      <c r="G929" s="5" t="inlineStr">
        <is>
          <t>Note</t>
        </is>
      </c>
    </row>
    <row r="930">
      <c r="A930" s="22" t="inlineStr">
        <is>
          <t>0336</t>
        </is>
      </c>
      <c r="B930" s="11" t="inlineStr">
        <is>
          <t>Flame retardent face insulating board: 12 mm thick</t>
        </is>
      </c>
      <c r="C930" s="22" t="inlineStr">
        <is>
          <t>sqm</t>
        </is>
      </c>
      <c r="D930" s="23" t="n">
        <v>2.15</v>
      </c>
      <c r="E930" s="24" t="n">
        <v>320</v>
      </c>
      <c r="F930" s="24">
        <f>D930*E930</f>
        <v/>
      </c>
      <c r="G930" s="22" t="n"/>
    </row>
    <row r="931">
      <c r="A931" s="22" t="inlineStr">
        <is>
          <t>9977</t>
        </is>
      </c>
      <c r="B931" s="11" t="inlineStr">
        <is>
          <t>Carriage</t>
        </is>
      </c>
      <c r="C931" s="22" t="inlineStr">
        <is>
          <t>L.S.</t>
        </is>
      </c>
      <c r="D931" s="23" t="n">
        <v>3.38</v>
      </c>
      <c r="E931" s="24" t="n">
        <v>2</v>
      </c>
      <c r="F931" s="24">
        <f>D931*E931</f>
        <v/>
      </c>
      <c r="G931" s="22" t="n"/>
    </row>
    <row r="932">
      <c r="A932" s="22" t="inlineStr">
        <is>
          <t>9999</t>
        </is>
      </c>
      <c r="B932" s="11" t="inlineStr">
        <is>
          <t>Nails</t>
        </is>
      </c>
      <c r="C932" s="22" t="inlineStr">
        <is>
          <t>L.S.</t>
        </is>
      </c>
      <c r="D932" s="23" t="n">
        <v>5.33</v>
      </c>
      <c r="E932" s="24" t="n">
        <v>2</v>
      </c>
      <c r="F932" s="24">
        <f>D932*E932</f>
        <v/>
      </c>
      <c r="G932" s="22" t="n"/>
    </row>
    <row r="933">
      <c r="A933" s="22" t="inlineStr">
        <is>
          <t>0111</t>
        </is>
      </c>
      <c r="B933" s="11" t="inlineStr">
        <is>
          <t>Carpenter 1st class</t>
        </is>
      </c>
      <c r="C933" s="22" t="inlineStr">
        <is>
          <t>day</t>
        </is>
      </c>
      <c r="D933" s="23" t="n">
        <v>0.49</v>
      </c>
      <c r="E933" s="24" t="n">
        <v>738</v>
      </c>
      <c r="F933" s="24">
        <f>D933*E933</f>
        <v/>
      </c>
      <c r="G933" s="22" t="n"/>
    </row>
    <row r="934">
      <c r="A934" s="22" t="inlineStr">
        <is>
          <t>0114</t>
        </is>
      </c>
      <c r="B934" s="11" t="inlineStr">
        <is>
          <t>Beldar</t>
        </is>
      </c>
      <c r="C934" s="22" t="inlineStr">
        <is>
          <t>day</t>
        </is>
      </c>
      <c r="D934" s="23" t="n">
        <v>0.39</v>
      </c>
      <c r="E934" s="24" t="n">
        <v>558</v>
      </c>
      <c r="F934" s="24">
        <f>D934*E934</f>
        <v/>
      </c>
      <c r="G934" s="22" t="n"/>
    </row>
    <row r="935">
      <c r="A935" s="22" t="inlineStr">
        <is>
          <t>9999</t>
        </is>
      </c>
      <c r="B935" s="11" t="inlineStr">
        <is>
          <t>Scaffolding</t>
        </is>
      </c>
      <c r="C935" s="22" t="inlineStr">
        <is>
          <t>L.S.</t>
        </is>
      </c>
      <c r="D935" s="23" t="n">
        <v>6.11</v>
      </c>
      <c r="E935" s="24" t="n">
        <v>2</v>
      </c>
      <c r="F935" s="24">
        <f>D935*E935</f>
        <v/>
      </c>
      <c r="G935" s="22" t="n"/>
    </row>
    <row r="936">
      <c r="A936" s="22" t="inlineStr">
        <is>
          <t>9999</t>
        </is>
      </c>
      <c r="B936" s="11" t="inlineStr">
        <is>
          <t>Sundries</t>
        </is>
      </c>
      <c r="C936" s="22" t="inlineStr">
        <is>
          <t>L.S.</t>
        </is>
      </c>
      <c r="D936" s="23" t="n">
        <v>6.11</v>
      </c>
      <c r="E936" s="24" t="n">
        <v>2</v>
      </c>
      <c r="F936" s="24">
        <f>D936*E936</f>
        <v/>
      </c>
      <c r="G936" s="22" t="n"/>
    </row>
    <row r="937">
      <c r="A937" s="22" t="inlineStr">
        <is>
          <t>0111</t>
        </is>
      </c>
      <c r="B937" s="11" t="inlineStr">
        <is>
          <t>Carpenter 1st class</t>
        </is>
      </c>
      <c r="C937" s="22" t="inlineStr">
        <is>
          <t>day</t>
        </is>
      </c>
      <c r="D937" s="23" t="n">
        <v>2.5</v>
      </c>
      <c r="E937" s="24" t="n">
        <v>738</v>
      </c>
      <c r="F937" s="24">
        <f>D937*E937</f>
        <v/>
      </c>
      <c r="G937" s="22" t="n"/>
    </row>
    <row r="938">
      <c r="A938" s="22" t="inlineStr">
        <is>
          <t>0114</t>
        </is>
      </c>
      <c r="B938" s="11" t="inlineStr">
        <is>
          <t>Beldar</t>
        </is>
      </c>
      <c r="C938" s="22" t="inlineStr">
        <is>
          <t>day</t>
        </is>
      </c>
      <c r="D938" s="23" t="n">
        <v>2.5</v>
      </c>
      <c r="E938" s="24" t="n">
        <v>558</v>
      </c>
      <c r="F938" s="24">
        <f>D938*E938</f>
        <v/>
      </c>
      <c r="G938" s="22" t="n"/>
    </row>
    <row r="939">
      <c r="A939" s="22" t="inlineStr">
        <is>
          <t>9999</t>
        </is>
      </c>
      <c r="B939" s="11" t="inlineStr">
        <is>
          <t>Scaffolding</t>
        </is>
      </c>
      <c r="C939" s="22" t="inlineStr">
        <is>
          <t>L.S.</t>
        </is>
      </c>
      <c r="D939" s="23" t="n">
        <v>10.79</v>
      </c>
      <c r="E939" s="24" t="n">
        <v>2</v>
      </c>
      <c r="F939" s="24">
        <f>D939*E939</f>
        <v/>
      </c>
      <c r="G939" s="22" t="n"/>
    </row>
    <row r="940">
      <c r="A940" s="8" t="inlineStr">
        <is>
          <t>Calculated W - SUM of the Amount column above</t>
        </is>
      </c>
      <c r="B940" s="9" t="n"/>
      <c r="C940" s="9" t="n"/>
      <c r="D940" s="9" t="n"/>
      <c r="E940" s="9" t="n"/>
      <c r="F940" s="25">
        <f>SUM(F930:F939)</f>
        <v/>
      </c>
      <c r="G940" s="9" t="n"/>
    </row>
    <row r="941">
      <c r="A941" s="26" t="inlineStr">
        <is>
          <t>W as printed in the DAR</t>
        </is>
      </c>
      <c r="B941" s="22" t="n"/>
      <c r="C941" s="22" t="n"/>
      <c r="D941" s="22" t="n"/>
      <c r="E941" s="22" t="n"/>
      <c r="F941" s="27" t="n">
        <v>4570.68</v>
      </c>
      <c r="G941" s="22" t="n"/>
    </row>
    <row r="942">
      <c r="A942" s="26" t="inlineStr">
        <is>
          <t>Difference (calculated - printed)</t>
        </is>
      </c>
      <c r="B942" s="22" t="n"/>
      <c r="C942" s="22" t="n"/>
      <c r="D942" s="22" t="n"/>
      <c r="E942" s="22" t="n"/>
      <c r="F942" s="27">
        <f>F940-F941</f>
        <v/>
      </c>
      <c r="G942" s="22" t="n"/>
    </row>
    <row r="943">
      <c r="A943" s="29" t="inlineStr">
        <is>
          <t>SAY (Rs.) - final DAR rate as printed (fixed value, not computed)</t>
        </is>
      </c>
      <c r="B943" s="30" t="n"/>
      <c r="C943" s="30" t="n"/>
      <c r="D943" s="30" t="n"/>
      <c r="E943" s="30" t="n"/>
      <c r="F943" s="31" t="n">
        <v>389.25</v>
      </c>
      <c r="G943" s="30" t="n"/>
    </row>
    <row r="945" ht="18.5" customHeight="1">
      <c r="A945" s="8" t="inlineStr">
        <is>
          <t>12.27</t>
        </is>
      </c>
      <c r="B945" s="17" t="inlineStr">
        <is>
          <t>Extra for Circular cutting including wastages in ceiling with:</t>
        </is>
      </c>
      <c r="C945" s="9" t="n"/>
      <c r="D945" s="9" t="n"/>
      <c r="E945" s="9" t="n"/>
      <c r="F945" s="9" t="n"/>
      <c r="G945" s="9" t="n"/>
    </row>
    <row r="946" ht="18.5" customHeight="1">
      <c r="A946" s="8" t="inlineStr">
        <is>
          <t>12.27.5</t>
        </is>
      </c>
      <c r="B946" s="17" t="inlineStr">
        <is>
          <t>Standard quality hard board sheet:</t>
        </is>
      </c>
      <c r="C946" s="9" t="n"/>
      <c r="D946" s="9" t="n"/>
      <c r="E946" s="9" t="n"/>
      <c r="F946" s="9" t="n"/>
      <c r="G946" s="9" t="n"/>
    </row>
    <row r="947" ht="18.5" customHeight="1">
      <c r="A947" s="18" t="inlineStr">
        <is>
          <t>12.27.5.1</t>
        </is>
      </c>
      <c r="B947" s="19" t="inlineStr">
        <is>
          <t>3 mm thick</t>
        </is>
      </c>
      <c r="C947" s="20" t="n"/>
      <c r="D947" s="20" t="n"/>
      <c r="E947" s="20" t="n"/>
      <c r="F947" s="20" t="n"/>
      <c r="G947" s="20" t="n"/>
    </row>
    <row r="948">
      <c r="A948" s="21" t="inlineStr">
        <is>
          <t>Details of cost for 15.71 metre   |   Source: CivilDAR_2019_Vol_1.pdf, page 853</t>
        </is>
      </c>
    </row>
    <row r="949">
      <c r="A949" s="5" t="inlineStr">
        <is>
          <t>Code</t>
        </is>
      </c>
      <c r="B949" s="5" t="inlineStr">
        <is>
          <t>Description</t>
        </is>
      </c>
      <c r="C949" s="5" t="inlineStr">
        <is>
          <t>Unit</t>
        </is>
      </c>
      <c r="D949" s="5" t="inlineStr">
        <is>
          <t>Quantity</t>
        </is>
      </c>
      <c r="E949" s="5" t="inlineStr">
        <is>
          <t>Rate (Rs.)</t>
        </is>
      </c>
      <c r="F949" s="5" t="inlineStr">
        <is>
          <t>Amount (Rs.)</t>
        </is>
      </c>
      <c r="G949" s="5" t="inlineStr">
        <is>
          <t>Note</t>
        </is>
      </c>
    </row>
    <row r="950">
      <c r="A950" s="22" t="inlineStr">
        <is>
          <t>0994</t>
        </is>
      </c>
      <c r="B950" s="11" t="inlineStr">
        <is>
          <t>Standard quality hard board sheet 3 mm thick</t>
        </is>
      </c>
      <c r="C950" s="22" t="inlineStr">
        <is>
          <t>sqm</t>
        </is>
      </c>
      <c r="D950" s="23" t="n">
        <v>2.15</v>
      </c>
      <c r="E950" s="24" t="n">
        <v>135</v>
      </c>
      <c r="F950" s="24">
        <f>D950*E950</f>
        <v/>
      </c>
      <c r="G950" s="22" t="n"/>
    </row>
    <row r="951">
      <c r="A951" s="22" t="inlineStr">
        <is>
          <t>9977</t>
        </is>
      </c>
      <c r="B951" s="11" t="inlineStr">
        <is>
          <t>Carriage</t>
        </is>
      </c>
      <c r="C951" s="22" t="inlineStr">
        <is>
          <t>L.S.</t>
        </is>
      </c>
      <c r="D951" s="23" t="n">
        <v>2.73</v>
      </c>
      <c r="E951" s="24" t="n">
        <v>2</v>
      </c>
      <c r="F951" s="24">
        <f>D951*E951</f>
        <v/>
      </c>
      <c r="G951" s="22" t="n"/>
    </row>
    <row r="952">
      <c r="A952" s="22" t="inlineStr">
        <is>
          <t>9999</t>
        </is>
      </c>
      <c r="B952" s="11" t="inlineStr">
        <is>
          <t>Nails</t>
        </is>
      </c>
      <c r="C952" s="22" t="inlineStr">
        <is>
          <t>L.S.</t>
        </is>
      </c>
      <c r="D952" s="23" t="n">
        <v>5.33</v>
      </c>
      <c r="E952" s="24" t="n">
        <v>2</v>
      </c>
      <c r="F952" s="24">
        <f>D952*E952</f>
        <v/>
      </c>
      <c r="G952" s="22" t="n"/>
    </row>
    <row r="953">
      <c r="A953" s="22" t="inlineStr">
        <is>
          <t>0111</t>
        </is>
      </c>
      <c r="B953" s="11" t="inlineStr">
        <is>
          <t>Carpenter 1st class</t>
        </is>
      </c>
      <c r="C953" s="22" t="inlineStr">
        <is>
          <t>day</t>
        </is>
      </c>
      <c r="D953" s="23" t="n">
        <v>0.49</v>
      </c>
      <c r="E953" s="24" t="n">
        <v>738</v>
      </c>
      <c r="F953" s="24">
        <f>D953*E953</f>
        <v/>
      </c>
      <c r="G953" s="22" t="n"/>
    </row>
    <row r="954">
      <c r="A954" s="22" t="inlineStr">
        <is>
          <t>0114</t>
        </is>
      </c>
      <c r="B954" s="11" t="inlineStr">
        <is>
          <t>Beldar</t>
        </is>
      </c>
      <c r="C954" s="22" t="inlineStr">
        <is>
          <t>day</t>
        </is>
      </c>
      <c r="D954" s="23" t="n">
        <v>0.39</v>
      </c>
      <c r="E954" s="24" t="n">
        <v>558</v>
      </c>
      <c r="F954" s="24">
        <f>D954*E954</f>
        <v/>
      </c>
      <c r="G954" s="22" t="n"/>
    </row>
    <row r="955">
      <c r="A955" s="22" t="inlineStr">
        <is>
          <t>9999</t>
        </is>
      </c>
      <c r="B955" s="11" t="inlineStr">
        <is>
          <t>Scaffolding</t>
        </is>
      </c>
      <c r="C955" s="22" t="inlineStr">
        <is>
          <t>L.S.</t>
        </is>
      </c>
      <c r="D955" s="23" t="n">
        <v>6.11</v>
      </c>
      <c r="E955" s="24" t="n">
        <v>2</v>
      </c>
      <c r="F955" s="24">
        <f>D955*E955</f>
        <v/>
      </c>
      <c r="G955" s="22" t="n"/>
    </row>
    <row r="956">
      <c r="A956" s="22" t="inlineStr">
        <is>
          <t>9999</t>
        </is>
      </c>
      <c r="B956" s="11" t="inlineStr">
        <is>
          <t>Sundries</t>
        </is>
      </c>
      <c r="C956" s="22" t="inlineStr">
        <is>
          <t>L.S.</t>
        </is>
      </c>
      <c r="D956" s="23" t="n">
        <v>6.11</v>
      </c>
      <c r="E956" s="24" t="n">
        <v>2</v>
      </c>
      <c r="F956" s="24">
        <f>D956*E956</f>
        <v/>
      </c>
      <c r="G956" s="22" t="n"/>
    </row>
    <row r="957">
      <c r="A957" s="22" t="inlineStr">
        <is>
          <t>0111</t>
        </is>
      </c>
      <c r="B957" s="11" t="inlineStr">
        <is>
          <t>Carpenter 1st class</t>
        </is>
      </c>
      <c r="C957" s="22" t="inlineStr">
        <is>
          <t>day</t>
        </is>
      </c>
      <c r="D957" s="23" t="n">
        <v>2.5</v>
      </c>
      <c r="E957" s="24" t="n">
        <v>738</v>
      </c>
      <c r="F957" s="24">
        <f>D957*E957</f>
        <v/>
      </c>
      <c r="G957" s="22" t="n"/>
    </row>
    <row r="958">
      <c r="A958" s="22" t="inlineStr">
        <is>
          <t>0114</t>
        </is>
      </c>
      <c r="B958" s="11" t="inlineStr">
        <is>
          <t>Beldar</t>
        </is>
      </c>
      <c r="C958" s="22" t="inlineStr">
        <is>
          <t>day</t>
        </is>
      </c>
      <c r="D958" s="23" t="n">
        <v>2.5</v>
      </c>
      <c r="E958" s="24" t="n">
        <v>558</v>
      </c>
      <c r="F958" s="24">
        <f>D958*E958</f>
        <v/>
      </c>
      <c r="G958" s="22" t="n"/>
    </row>
    <row r="959">
      <c r="A959" s="22" t="inlineStr">
        <is>
          <t>9999</t>
        </is>
      </c>
      <c r="B959" s="11" t="inlineStr">
        <is>
          <t>Scaffolding</t>
        </is>
      </c>
      <c r="C959" s="22" t="inlineStr">
        <is>
          <t>L.S.</t>
        </is>
      </c>
      <c r="D959" s="23" t="n">
        <v>10.79</v>
      </c>
      <c r="E959" s="24" t="n">
        <v>2</v>
      </c>
      <c r="F959" s="24">
        <f>D959*E959</f>
        <v/>
      </c>
      <c r="G959" s="22" t="n"/>
    </row>
    <row r="960">
      <c r="A960" s="8" t="inlineStr">
        <is>
          <t>Calculated W - SUM of the Amount column above</t>
        </is>
      </c>
      <c r="B960" s="9" t="n"/>
      <c r="C960" s="9" t="n"/>
      <c r="D960" s="9" t="n"/>
      <c r="E960" s="9" t="n"/>
      <c r="F960" s="25">
        <f>SUM(F950:F959)</f>
        <v/>
      </c>
      <c r="G960" s="9" t="n"/>
    </row>
    <row r="961">
      <c r="A961" s="26" t="inlineStr">
        <is>
          <t>W as printed in the DAR</t>
        </is>
      </c>
      <c r="B961" s="22" t="n"/>
      <c r="C961" s="22" t="n"/>
      <c r="D961" s="22" t="n"/>
      <c r="E961" s="22" t="n"/>
      <c r="F961" s="27" t="n">
        <v>4171.63</v>
      </c>
      <c r="G961" s="22" t="n"/>
    </row>
    <row r="962">
      <c r="A962" s="26" t="inlineStr">
        <is>
          <t>Difference (calculated - printed)</t>
        </is>
      </c>
      <c r="B962" s="22" t="n"/>
      <c r="C962" s="22" t="n"/>
      <c r="D962" s="22" t="n"/>
      <c r="E962" s="22" t="n"/>
      <c r="F962" s="27">
        <f>F960-F961</f>
        <v/>
      </c>
      <c r="G962" s="22" t="n"/>
    </row>
    <row r="963">
      <c r="A963" s="29" t="inlineStr">
        <is>
          <t>SAY (Rs.) - final DAR rate as printed (fixed value, not computed)</t>
        </is>
      </c>
      <c r="B963" s="30" t="n"/>
      <c r="C963" s="30" t="n"/>
      <c r="D963" s="30" t="n"/>
      <c r="E963" s="30" t="n"/>
      <c r="F963" s="31" t="n">
        <v>355.3</v>
      </c>
      <c r="G963" s="30" t="n"/>
    </row>
    <row r="965" ht="18.5" customHeight="1">
      <c r="A965" s="8" t="inlineStr">
        <is>
          <t>12.27</t>
        </is>
      </c>
      <c r="B965" s="17" t="inlineStr">
        <is>
          <t>Extra for Circular cutting including wastages in ceiling with:</t>
        </is>
      </c>
      <c r="C965" s="9" t="n"/>
      <c r="D965" s="9" t="n"/>
      <c r="E965" s="9" t="n"/>
      <c r="F965" s="9" t="n"/>
      <c r="G965" s="9" t="n"/>
    </row>
    <row r="966" ht="18.5" customHeight="1">
      <c r="A966" s="8" t="inlineStr">
        <is>
          <t>12.27.5</t>
        </is>
      </c>
      <c r="B966" s="17" t="inlineStr">
        <is>
          <t>Standard quality hard board sheet:</t>
        </is>
      </c>
      <c r="C966" s="9" t="n"/>
      <c r="D966" s="9" t="n"/>
      <c r="E966" s="9" t="n"/>
      <c r="F966" s="9" t="n"/>
      <c r="G966" s="9" t="n"/>
    </row>
    <row r="967" ht="18.5" customHeight="1">
      <c r="A967" s="18" t="inlineStr">
        <is>
          <t>12.27.5.2</t>
        </is>
      </c>
      <c r="B967" s="19" t="inlineStr">
        <is>
          <t>4.5 mm thick</t>
        </is>
      </c>
      <c r="C967" s="20" t="n"/>
      <c r="D967" s="20" t="n"/>
      <c r="E967" s="20" t="n"/>
      <c r="F967" s="20" t="n"/>
      <c r="G967" s="20" t="n"/>
    </row>
    <row r="968">
      <c r="A968" s="21" t="inlineStr">
        <is>
          <t>Details of cost for 15.71 metre   |   Source: CivilDAR_2019_Vol_1.pdf, page 854</t>
        </is>
      </c>
    </row>
    <row r="969">
      <c r="A969" s="5" t="inlineStr">
        <is>
          <t>Code</t>
        </is>
      </c>
      <c r="B969" s="5" t="inlineStr">
        <is>
          <t>Description</t>
        </is>
      </c>
      <c r="C969" s="5" t="inlineStr">
        <is>
          <t>Unit</t>
        </is>
      </c>
      <c r="D969" s="5" t="inlineStr">
        <is>
          <t>Quantity</t>
        </is>
      </c>
      <c r="E969" s="5" t="inlineStr">
        <is>
          <t>Rate (Rs.)</t>
        </is>
      </c>
      <c r="F969" s="5" t="inlineStr">
        <is>
          <t>Amount (Rs.)</t>
        </is>
      </c>
      <c r="G969" s="5" t="inlineStr">
        <is>
          <t>Note</t>
        </is>
      </c>
    </row>
    <row r="970">
      <c r="A970" s="22" t="inlineStr">
        <is>
          <t>0996</t>
        </is>
      </c>
      <c r="B970" s="11" t="inlineStr">
        <is>
          <t>Standard quality hard board sheet 4.5 mm thick</t>
        </is>
      </c>
      <c r="C970" s="22" t="inlineStr">
        <is>
          <t>sqm</t>
        </is>
      </c>
      <c r="D970" s="23" t="n">
        <v>2.15</v>
      </c>
      <c r="E970" s="24" t="n">
        <v>210</v>
      </c>
      <c r="F970" s="24">
        <f>D970*E970</f>
        <v/>
      </c>
      <c r="G970" s="22" t="n"/>
    </row>
    <row r="971">
      <c r="A971" s="22" t="inlineStr">
        <is>
          <t>9977</t>
        </is>
      </c>
      <c r="B971" s="11" t="inlineStr">
        <is>
          <t>Carriage</t>
        </is>
      </c>
      <c r="C971" s="22" t="inlineStr">
        <is>
          <t>L.S.</t>
        </is>
      </c>
      <c r="D971" s="23" t="n">
        <v>2.86</v>
      </c>
      <c r="E971" s="24" t="n">
        <v>2</v>
      </c>
      <c r="F971" s="24">
        <f>D971*E971</f>
        <v/>
      </c>
      <c r="G971" s="22" t="n"/>
    </row>
    <row r="972">
      <c r="A972" s="22" t="inlineStr">
        <is>
          <t>9999</t>
        </is>
      </c>
      <c r="B972" s="11" t="inlineStr">
        <is>
          <t>Nails</t>
        </is>
      </c>
      <c r="C972" s="22" t="inlineStr">
        <is>
          <t>L.S.</t>
        </is>
      </c>
      <c r="D972" s="23" t="n">
        <v>5.33</v>
      </c>
      <c r="E972" s="24" t="n">
        <v>2</v>
      </c>
      <c r="F972" s="24">
        <f>D972*E972</f>
        <v/>
      </c>
      <c r="G972" s="22" t="n"/>
    </row>
    <row r="973">
      <c r="A973" s="22" t="inlineStr">
        <is>
          <t>0111</t>
        </is>
      </c>
      <c r="B973" s="11" t="inlineStr">
        <is>
          <t>Carpenter 1st class</t>
        </is>
      </c>
      <c r="C973" s="22" t="inlineStr">
        <is>
          <t>day</t>
        </is>
      </c>
      <c r="D973" s="23" t="n">
        <v>0.49</v>
      </c>
      <c r="E973" s="24" t="n">
        <v>738</v>
      </c>
      <c r="F973" s="24">
        <f>D973*E973</f>
        <v/>
      </c>
      <c r="G973" s="22" t="n"/>
    </row>
    <row r="974">
      <c r="A974" s="22" t="inlineStr">
        <is>
          <t>0114</t>
        </is>
      </c>
      <c r="B974" s="11" t="inlineStr">
        <is>
          <t>Beldar</t>
        </is>
      </c>
      <c r="C974" s="22" t="inlineStr">
        <is>
          <t>day</t>
        </is>
      </c>
      <c r="D974" s="23" t="n">
        <v>0.39</v>
      </c>
      <c r="E974" s="24" t="n">
        <v>558</v>
      </c>
      <c r="F974" s="24">
        <f>D974*E974</f>
        <v/>
      </c>
      <c r="G974" s="22" t="n"/>
    </row>
    <row r="975">
      <c r="A975" s="22" t="inlineStr">
        <is>
          <t>9999</t>
        </is>
      </c>
      <c r="B975" s="11" t="inlineStr">
        <is>
          <t>Scaffolding</t>
        </is>
      </c>
      <c r="C975" s="22" t="inlineStr">
        <is>
          <t>L.S.</t>
        </is>
      </c>
      <c r="D975" s="23" t="n">
        <v>6.11</v>
      </c>
      <c r="E975" s="24" t="n">
        <v>2</v>
      </c>
      <c r="F975" s="24">
        <f>D975*E975</f>
        <v/>
      </c>
      <c r="G975" s="22" t="n"/>
    </row>
    <row r="976">
      <c r="A976" s="22" t="inlineStr">
        <is>
          <t>9999</t>
        </is>
      </c>
      <c r="B976" s="11" t="inlineStr">
        <is>
          <t>Sundries</t>
        </is>
      </c>
      <c r="C976" s="22" t="inlineStr">
        <is>
          <t>L.S.</t>
        </is>
      </c>
      <c r="D976" s="23" t="n">
        <v>6.11</v>
      </c>
      <c r="E976" s="24" t="n">
        <v>2</v>
      </c>
      <c r="F976" s="24">
        <f>D976*E976</f>
        <v/>
      </c>
      <c r="G976" s="22" t="n"/>
    </row>
    <row r="977">
      <c r="A977" s="22" t="inlineStr">
        <is>
          <t>0111</t>
        </is>
      </c>
      <c r="B977" s="11" t="inlineStr">
        <is>
          <t>Carpenter 1st class</t>
        </is>
      </c>
      <c r="C977" s="22" t="inlineStr">
        <is>
          <t>day</t>
        </is>
      </c>
      <c r="D977" s="23" t="n">
        <v>2.5</v>
      </c>
      <c r="E977" s="24" t="n">
        <v>738</v>
      </c>
      <c r="F977" s="24">
        <f>D977*E977</f>
        <v/>
      </c>
      <c r="G977" s="22" t="n"/>
    </row>
    <row r="978">
      <c r="A978" s="22" t="inlineStr">
        <is>
          <t>0114</t>
        </is>
      </c>
      <c r="B978" s="11" t="inlineStr">
        <is>
          <t>Beldar</t>
        </is>
      </c>
      <c r="C978" s="22" t="inlineStr">
        <is>
          <t>day</t>
        </is>
      </c>
      <c r="D978" s="23" t="n">
        <v>2.5</v>
      </c>
      <c r="E978" s="24" t="n">
        <v>558</v>
      </c>
      <c r="F978" s="24">
        <f>D978*E978</f>
        <v/>
      </c>
      <c r="G978" s="22" t="n"/>
    </row>
    <row r="979">
      <c r="A979" s="22" t="inlineStr">
        <is>
          <t>9999</t>
        </is>
      </c>
      <c r="B979" s="11" t="inlineStr">
        <is>
          <t>Scaffolding</t>
        </is>
      </c>
      <c r="C979" s="22" t="inlineStr">
        <is>
          <t>L.S.</t>
        </is>
      </c>
      <c r="D979" s="23" t="n">
        <v>10.79</v>
      </c>
      <c r="E979" s="24" t="n">
        <v>2</v>
      </c>
      <c r="F979" s="24">
        <f>D979*E979</f>
        <v/>
      </c>
      <c r="G979" s="22" t="n"/>
    </row>
    <row r="980">
      <c r="A980" s="8" t="inlineStr">
        <is>
          <t>Calculated W - SUM of the Amount column above</t>
        </is>
      </c>
      <c r="B980" s="9" t="n"/>
      <c r="C980" s="9" t="n"/>
      <c r="D980" s="9" t="n"/>
      <c r="E980" s="9" t="n"/>
      <c r="F980" s="25">
        <f>SUM(F970:F979)</f>
        <v/>
      </c>
      <c r="G980" s="9" t="n"/>
    </row>
    <row r="981">
      <c r="A981" s="26" t="inlineStr">
        <is>
          <t>W as printed in the DAR</t>
        </is>
      </c>
      <c r="B981" s="22" t="n"/>
      <c r="C981" s="22" t="n"/>
      <c r="D981" s="22" t="n"/>
      <c r="E981" s="22" t="n"/>
      <c r="F981" s="27" t="n">
        <v>4333.14</v>
      </c>
      <c r="G981" s="22" t="n"/>
    </row>
    <row r="982">
      <c r="A982" s="26" t="inlineStr">
        <is>
          <t>Difference (calculated - printed)</t>
        </is>
      </c>
      <c r="B982" s="22" t="n"/>
      <c r="C982" s="22" t="n"/>
      <c r="D982" s="22" t="n"/>
      <c r="E982" s="22" t="n"/>
      <c r="F982" s="27">
        <f>F980-F981</f>
        <v/>
      </c>
      <c r="G982" s="22" t="n"/>
    </row>
    <row r="983">
      <c r="A983" s="29" t="inlineStr">
        <is>
          <t>SAY (Rs.) - final DAR rate as printed (fixed value, not computed)</t>
        </is>
      </c>
      <c r="B983" s="30" t="n"/>
      <c r="C983" s="30" t="n"/>
      <c r="D983" s="30" t="n"/>
      <c r="E983" s="30" t="n"/>
      <c r="F983" s="31" t="n">
        <v>369.05</v>
      </c>
      <c r="G983" s="30" t="n"/>
    </row>
    <row r="985" ht="18.5" customHeight="1">
      <c r="A985" s="18" t="inlineStr">
        <is>
          <t>12.28</t>
        </is>
      </c>
      <c r="B985" s="19" t="inlineStr">
        <is>
          <t>Extra for providing and fixing ceiling to curved surfaces in narrow widths</t>
        </is>
      </c>
      <c r="C985" s="20" t="n"/>
      <c r="D985" s="20" t="n"/>
      <c r="E985" s="20" t="n"/>
      <c r="F985" s="20" t="n"/>
      <c r="G985" s="20" t="n"/>
    </row>
    <row r="986">
      <c r="A986" s="21" t="inlineStr">
        <is>
          <t>Details of cost for 10 sqm   |   Source: CivilDAR_2019_Vol_1.pdf, page 855</t>
        </is>
      </c>
    </row>
    <row r="987">
      <c r="A987" s="5" t="inlineStr">
        <is>
          <t>Code</t>
        </is>
      </c>
      <c r="B987" s="5" t="inlineStr">
        <is>
          <t>Description</t>
        </is>
      </c>
      <c r="C987" s="5" t="inlineStr">
        <is>
          <t>Unit</t>
        </is>
      </c>
      <c r="D987" s="5" t="inlineStr">
        <is>
          <t>Quantity</t>
        </is>
      </c>
      <c r="E987" s="5" t="inlineStr">
        <is>
          <t>Rate (Rs.)</t>
        </is>
      </c>
      <c r="F987" s="5" t="inlineStr">
        <is>
          <t>Amount (Rs.)</t>
        </is>
      </c>
      <c r="G987" s="5" t="inlineStr">
        <is>
          <t>Note</t>
        </is>
      </c>
    </row>
    <row r="988">
      <c r="A988" s="22" t="inlineStr">
        <is>
          <t>0111</t>
        </is>
      </c>
      <c r="B988" s="11" t="inlineStr">
        <is>
          <t>Carpenter 1st class</t>
        </is>
      </c>
      <c r="C988" s="22" t="inlineStr">
        <is>
          <t>day</t>
        </is>
      </c>
      <c r="D988" s="23" t="n">
        <v>1</v>
      </c>
      <c r="E988" s="24" t="n">
        <v>738</v>
      </c>
      <c r="F988" s="24">
        <f>D988*E988</f>
        <v/>
      </c>
      <c r="G988" s="22" t="n"/>
    </row>
    <row r="989">
      <c r="A989" s="22" t="inlineStr">
        <is>
          <t>0112</t>
        </is>
      </c>
      <c r="B989" s="11" t="inlineStr">
        <is>
          <t>Carpenter 2nd class</t>
        </is>
      </c>
      <c r="C989" s="22" t="inlineStr">
        <is>
          <t>day</t>
        </is>
      </c>
      <c r="D989" s="23" t="n">
        <v>1</v>
      </c>
      <c r="E989" s="24" t="n">
        <v>679</v>
      </c>
      <c r="F989" s="24">
        <f>D989*E989</f>
        <v/>
      </c>
      <c r="G989" s="22" t="n"/>
    </row>
    <row r="990">
      <c r="A990" s="22" t="inlineStr">
        <is>
          <t>0114</t>
        </is>
      </c>
      <c r="B990" s="11" t="inlineStr">
        <is>
          <t>Beldar</t>
        </is>
      </c>
      <c r="C990" s="22" t="inlineStr">
        <is>
          <t>day</t>
        </is>
      </c>
      <c r="D990" s="23" t="n">
        <v>2</v>
      </c>
      <c r="E990" s="24" t="n">
        <v>558</v>
      </c>
      <c r="F990" s="24">
        <f>D990*E990</f>
        <v/>
      </c>
      <c r="G990" s="22" t="n"/>
    </row>
    <row r="991">
      <c r="A991" s="8" t="inlineStr">
        <is>
          <t>Calculated W - SUM of the Amount column above</t>
        </is>
      </c>
      <c r="B991" s="9" t="n"/>
      <c r="C991" s="9" t="n"/>
      <c r="D991" s="9" t="n"/>
      <c r="E991" s="9" t="n"/>
      <c r="F991" s="25">
        <f>SUM(F988:F990)</f>
        <v/>
      </c>
      <c r="G991" s="9" t="n"/>
    </row>
    <row r="992">
      <c r="A992" s="26" t="inlineStr">
        <is>
          <t>W as printed in the DAR</t>
        </is>
      </c>
      <c r="B992" s="22" t="n"/>
      <c r="C992" s="22" t="n"/>
      <c r="D992" s="22" t="n"/>
      <c r="E992" s="22" t="n"/>
      <c r="F992" s="27" t="n">
        <v>2533</v>
      </c>
      <c r="G992" s="22" t="n"/>
    </row>
    <row r="993">
      <c r="A993" s="26" t="inlineStr">
        <is>
          <t>Difference (calculated - printed)</t>
        </is>
      </c>
      <c r="B993" s="22" t="n"/>
      <c r="C993" s="22" t="n"/>
      <c r="D993" s="22" t="n"/>
      <c r="E993" s="22" t="n"/>
      <c r="F993" s="27">
        <f>F991-F992</f>
        <v/>
      </c>
      <c r="G993" s="22" t="n"/>
    </row>
    <row r="994">
      <c r="A994" s="29" t="inlineStr">
        <is>
          <t>SAY (Rs.) - final DAR rate as printed (fixed value, not computed)</t>
        </is>
      </c>
      <c r="B994" s="30" t="n"/>
      <c r="C994" s="30" t="n"/>
      <c r="D994" s="30" t="n"/>
      <c r="E994" s="30" t="n"/>
      <c r="F994" s="31" t="n">
        <v>338.9</v>
      </c>
      <c r="G994" s="30" t="n"/>
    </row>
    <row r="996" ht="47.5" customHeight="1">
      <c r="A996" s="8" t="inlineStr">
        <is>
          <t>12.31</t>
        </is>
      </c>
      <c r="B996" s="17" t="inlineStr">
        <is>
          <t>Providing 10 mm thick plaster of Paris (gypsum anhydrous) ceiling up to a height of 5 m above floor level, over first class kail wood strips 25x6 mm with 10 mm gap in between and reinforced with rabbit wire mesh fixed to wooden frame (frame work to be paid separately):</t>
        </is>
      </c>
      <c r="C996" s="9" t="n"/>
      <c r="D996" s="9" t="n"/>
      <c r="E996" s="9" t="n"/>
      <c r="F996" s="9" t="n"/>
      <c r="G996" s="9" t="n"/>
    </row>
    <row r="997" ht="18.5" customHeight="1">
      <c r="A997" s="18" t="inlineStr">
        <is>
          <t>12.31.1</t>
        </is>
      </c>
      <c r="B997" s="19" t="inlineStr">
        <is>
          <t>Flat surfaces</t>
        </is>
      </c>
      <c r="C997" s="20" t="n"/>
      <c r="D997" s="20" t="n"/>
      <c r="E997" s="20" t="n"/>
      <c r="F997" s="20" t="n"/>
      <c r="G997" s="20" t="n"/>
    </row>
    <row r="998">
      <c r="A998" s="21" t="inlineStr">
        <is>
          <t>Details of cost for 10 sqm   |   Source: CivilDAR_2019_Vol_1.pdf, page 855</t>
        </is>
      </c>
    </row>
    <row r="999">
      <c r="A999" s="5" t="inlineStr">
        <is>
          <t>Code</t>
        </is>
      </c>
      <c r="B999" s="5" t="inlineStr">
        <is>
          <t>Description</t>
        </is>
      </c>
      <c r="C999" s="5" t="inlineStr">
        <is>
          <t>Unit</t>
        </is>
      </c>
      <c r="D999" s="5" t="inlineStr">
        <is>
          <t>Quantity</t>
        </is>
      </c>
      <c r="E999" s="5" t="inlineStr">
        <is>
          <t>Rate (Rs.)</t>
        </is>
      </c>
      <c r="F999" s="5" t="inlineStr">
        <is>
          <t>Amount (Rs.)</t>
        </is>
      </c>
      <c r="G999" s="5" t="inlineStr">
        <is>
          <t>Note</t>
        </is>
      </c>
    </row>
    <row r="1000">
      <c r="A1000" s="22" t="inlineStr">
        <is>
          <t>1196</t>
        </is>
      </c>
      <c r="B1000" s="11" t="inlineStr">
        <is>
          <t>First class kail wood in planks</t>
        </is>
      </c>
      <c r="C1000" s="22" t="inlineStr">
        <is>
          <t>10 cudm</t>
        </is>
      </c>
      <c r="D1000" s="23" t="n">
        <v>4.752</v>
      </c>
      <c r="E1000" s="24" t="n">
        <v>300</v>
      </c>
      <c r="F1000" s="24">
        <f>D1000*E1000</f>
        <v/>
      </c>
      <c r="G1000" s="22" t="n"/>
    </row>
    <row r="1001">
      <c r="A1001" s="22" t="inlineStr">
        <is>
          <t>2204</t>
        </is>
      </c>
      <c r="B1001" s="11" t="inlineStr">
        <is>
          <t>Carriage of Timber</t>
        </is>
      </c>
      <c r="C1001" s="22" t="inlineStr">
        <is>
          <t>cum</t>
        </is>
      </c>
      <c r="D1001" s="23" t="n">
        <v>0.0475</v>
      </c>
      <c r="E1001" s="24" t="n">
        <v>118.59</v>
      </c>
      <c r="F1001" s="24">
        <f>D1001*E1001</f>
        <v/>
      </c>
      <c r="G1001" s="22" t="n"/>
    </row>
    <row r="1002">
      <c r="A1002" s="22" t="inlineStr">
        <is>
          <t>1219</t>
        </is>
      </c>
      <c r="B1002" s="11" t="inlineStr">
        <is>
          <t>Wire nails</t>
        </is>
      </c>
      <c r="C1002" s="22" t="inlineStr">
        <is>
          <t>kilogram</t>
        </is>
      </c>
      <c r="D1002" s="23" t="n">
        <v>0.75</v>
      </c>
      <c r="E1002" s="24" t="n">
        <v>58</v>
      </c>
      <c r="F1002" s="24">
        <f>D1002*E1002</f>
        <v/>
      </c>
      <c r="G1002" s="22" t="n"/>
    </row>
    <row r="1003">
      <c r="A1003" s="22" t="inlineStr">
        <is>
          <t>1220</t>
        </is>
      </c>
      <c r="B1003" s="11" t="inlineStr">
        <is>
          <t>Wire mesh (rabbit)</t>
        </is>
      </c>
      <c r="C1003" s="22" t="inlineStr">
        <is>
          <t>sqm</t>
        </is>
      </c>
      <c r="D1003" s="23" t="n">
        <v>10.2</v>
      </c>
      <c r="E1003" s="24" t="n">
        <v>42</v>
      </c>
      <c r="F1003" s="24">
        <f>D1003*E1003</f>
        <v/>
      </c>
      <c r="G1003" s="22" t="n"/>
    </row>
    <row r="1004">
      <c r="A1004" s="22" t="inlineStr">
        <is>
          <t>0869</t>
        </is>
      </c>
      <c r="B1004" s="11" t="inlineStr">
        <is>
          <t>Plaster of Paris</t>
        </is>
      </c>
      <c r="C1004" s="22" t="inlineStr">
        <is>
          <t>kilogram</t>
        </is>
      </c>
      <c r="D1004" s="23" t="n">
        <v>219.76</v>
      </c>
      <c r="E1004" s="24" t="n">
        <v>5</v>
      </c>
      <c r="F1004" s="24">
        <f>D1004*E1004</f>
        <v/>
      </c>
      <c r="G1004" s="22" t="n"/>
    </row>
    <row r="1005">
      <c r="A1005" s="22" t="inlineStr">
        <is>
          <t>2308</t>
        </is>
      </c>
      <c r="B1005" s="11" t="inlineStr">
        <is>
          <t>Carriage of Plaster of paris</t>
        </is>
      </c>
      <c r="C1005" s="22" t="inlineStr">
        <is>
          <t>tonne</t>
        </is>
      </c>
      <c r="D1005" s="23" t="n">
        <v>0.22</v>
      </c>
      <c r="E1005" s="24" t="n">
        <v>92.23999999999999</v>
      </c>
      <c r="F1005" s="24">
        <f>D1005*E1005</f>
        <v/>
      </c>
      <c r="G1005" s="22" t="n"/>
    </row>
    <row r="1006">
      <c r="A1006" s="22" t="inlineStr">
        <is>
          <t>9977</t>
        </is>
      </c>
      <c r="B1006" s="11" t="inlineStr">
        <is>
          <t>Carriage of wiremesh and nails etc.</t>
        </is>
      </c>
      <c r="C1006" s="22" t="inlineStr">
        <is>
          <t>L.S.</t>
        </is>
      </c>
      <c r="D1006" s="23" t="n">
        <v>2.73</v>
      </c>
      <c r="E1006" s="24" t="n">
        <v>2</v>
      </c>
      <c r="F1006" s="24">
        <f>D1006*E1006</f>
        <v/>
      </c>
      <c r="G1006" s="22" t="n"/>
    </row>
    <row r="1007">
      <c r="A1007" s="22" t="inlineStr">
        <is>
          <t>0111</t>
        </is>
      </c>
      <c r="B1007" s="11" t="inlineStr">
        <is>
          <t>Carpenter 1st class</t>
        </is>
      </c>
      <c r="C1007" s="22" t="inlineStr">
        <is>
          <t>day</t>
        </is>
      </c>
      <c r="D1007" s="23" t="n">
        <v>1.6</v>
      </c>
      <c r="E1007" s="24" t="n">
        <v>738</v>
      </c>
      <c r="F1007" s="24">
        <f>D1007*E1007</f>
        <v/>
      </c>
      <c r="G1007" s="22" t="n"/>
    </row>
    <row r="1008">
      <c r="A1008" s="22" t="inlineStr">
        <is>
          <t>0114</t>
        </is>
      </c>
      <c r="B1008" s="11" t="inlineStr">
        <is>
          <t>Beldar</t>
        </is>
      </c>
      <c r="C1008" s="22" t="inlineStr">
        <is>
          <t>day</t>
        </is>
      </c>
      <c r="D1008" s="23" t="n">
        <v>1.6</v>
      </c>
      <c r="E1008" s="24" t="n">
        <v>558</v>
      </c>
      <c r="F1008" s="24">
        <f>D1008*E1008</f>
        <v/>
      </c>
      <c r="G1008" s="22" t="n"/>
    </row>
    <row r="1009">
      <c r="A1009" s="22" t="inlineStr">
        <is>
          <t>0122</t>
        </is>
      </c>
      <c r="B1009" s="11" t="inlineStr">
        <is>
          <t>Mason (for plaster of paris work) 1st class</t>
        </is>
      </c>
      <c r="C1009" s="22" t="inlineStr">
        <is>
          <t>day</t>
        </is>
      </c>
      <c r="D1009" s="23" t="n">
        <v>3.23</v>
      </c>
      <c r="E1009" s="24" t="n">
        <v>738</v>
      </c>
      <c r="F1009" s="24">
        <f>D1009*E1009</f>
        <v/>
      </c>
      <c r="G1009" s="22" t="n"/>
    </row>
    <row r="1010">
      <c r="A1010" s="22" t="inlineStr">
        <is>
          <t>0114</t>
        </is>
      </c>
      <c r="B1010" s="11" t="inlineStr">
        <is>
          <t>Beldar</t>
        </is>
      </c>
      <c r="C1010" s="22" t="inlineStr">
        <is>
          <t>day</t>
        </is>
      </c>
      <c r="D1010" s="23" t="n">
        <v>3.23</v>
      </c>
      <c r="E1010" s="24" t="n">
        <v>558</v>
      </c>
      <c r="F1010" s="24">
        <f>D1010*E1010</f>
        <v/>
      </c>
      <c r="G1010" s="22" t="n"/>
    </row>
    <row r="1011">
      <c r="A1011" s="22" t="inlineStr">
        <is>
          <t>0101</t>
        </is>
      </c>
      <c r="B1011" s="11" t="inlineStr">
        <is>
          <t>Bhisti</t>
        </is>
      </c>
      <c r="C1011" s="22" t="inlineStr">
        <is>
          <t>day</t>
        </is>
      </c>
      <c r="D1011" s="23" t="n">
        <v>0.54</v>
      </c>
      <c r="E1011" s="24" t="n">
        <v>617</v>
      </c>
      <c r="F1011" s="24">
        <f>D1011*E1011</f>
        <v/>
      </c>
      <c r="G1011" s="22" t="n"/>
    </row>
    <row r="1012">
      <c r="A1012" s="22" t="inlineStr">
        <is>
          <t>9999</t>
        </is>
      </c>
      <c r="B1012" s="11" t="inlineStr">
        <is>
          <t>Scaffolding</t>
        </is>
      </c>
      <c r="C1012" s="22" t="inlineStr">
        <is>
          <t>L.S.</t>
        </is>
      </c>
      <c r="D1012" s="23" t="n">
        <v>83.98</v>
      </c>
      <c r="E1012" s="24" t="n">
        <v>2</v>
      </c>
      <c r="F1012" s="24">
        <f>D1012*E1012</f>
        <v/>
      </c>
      <c r="G1012" s="22" t="n"/>
    </row>
    <row r="1013">
      <c r="A1013" s="22" t="inlineStr">
        <is>
          <t>9999</t>
        </is>
      </c>
      <c r="B1013" s="11" t="inlineStr">
        <is>
          <t>Sundries</t>
        </is>
      </c>
      <c r="C1013" s="22" t="inlineStr">
        <is>
          <t>L.S.</t>
        </is>
      </c>
      <c r="D1013" s="23" t="n">
        <v>53.82</v>
      </c>
      <c r="E1013" s="24" t="n">
        <v>2</v>
      </c>
      <c r="F1013" s="24">
        <f>D1013*E1013</f>
        <v/>
      </c>
      <c r="G1013" s="22" t="n"/>
    </row>
    <row r="1014">
      <c r="A1014" s="8" t="inlineStr">
        <is>
          <t>Calculated W - SUM of the Amount column above</t>
        </is>
      </c>
      <c r="B1014" s="9" t="n"/>
      <c r="C1014" s="9" t="n"/>
      <c r="D1014" s="9" t="n"/>
      <c r="E1014" s="9" t="n"/>
      <c r="F1014" s="25">
        <f>SUM(F1000:F1013)</f>
        <v/>
      </c>
      <c r="G1014" s="9" t="n"/>
    </row>
    <row r="1015">
      <c r="A1015" s="26" t="inlineStr">
        <is>
          <t>W as printed in the DAR</t>
        </is>
      </c>
      <c r="B1015" s="22" t="n"/>
      <c r="C1015" s="22" t="n"/>
      <c r="D1015" s="22" t="n"/>
      <c r="E1015" s="22" t="n"/>
      <c r="F1015" s="27" t="n">
        <v>9896.15</v>
      </c>
      <c r="G1015" s="22" t="n"/>
    </row>
    <row r="1016">
      <c r="A1016" s="26" t="inlineStr">
        <is>
          <t>Difference (calculated - printed)</t>
        </is>
      </c>
      <c r="B1016" s="22" t="n"/>
      <c r="C1016" s="22" t="n"/>
      <c r="D1016" s="22" t="n"/>
      <c r="E1016" s="22" t="n"/>
      <c r="F1016" s="27">
        <f>F1014-F1015</f>
        <v/>
      </c>
      <c r="G1016" s="22" t="n"/>
    </row>
    <row r="1017">
      <c r="A1017" s="29" t="inlineStr">
        <is>
          <t>SAY (Rs.) - final DAR rate as printed (fixed value, not computed)</t>
        </is>
      </c>
      <c r="B1017" s="30" t="n"/>
      <c r="C1017" s="30" t="n"/>
      <c r="D1017" s="30" t="n"/>
      <c r="E1017" s="30" t="n"/>
      <c r="F1017" s="31" t="n">
        <v>1324.05</v>
      </c>
      <c r="G1017" s="30" t="n"/>
    </row>
    <row r="1019" ht="47.5" customHeight="1">
      <c r="A1019" s="8" t="inlineStr">
        <is>
          <t>12.31</t>
        </is>
      </c>
      <c r="B1019" s="17" t="inlineStr">
        <is>
          <t>Providing 10 mm thick plaster of Paris (gypsum anhydrous) ceiling up to a height of 5 m above floor level, over first class kail wood strips 25x6 mm with 10 mm gap in between and reinforced with rabbit wire mesh fixed to wooden frame (frame work to be paid separately):</t>
        </is>
      </c>
      <c r="C1019" s="9" t="n"/>
      <c r="D1019" s="9" t="n"/>
      <c r="E1019" s="9" t="n"/>
      <c r="F1019" s="9" t="n"/>
      <c r="G1019" s="9" t="n"/>
    </row>
    <row r="1020" ht="18.5" customHeight="1">
      <c r="A1020" s="18" t="inlineStr">
        <is>
          <t>12.31.2</t>
        </is>
      </c>
      <c r="B1020" s="19" t="inlineStr">
        <is>
          <t>Curved surfaces</t>
        </is>
      </c>
      <c r="C1020" s="20" t="n"/>
      <c r="D1020" s="20" t="n"/>
      <c r="E1020" s="20" t="n"/>
      <c r="F1020" s="20" t="n"/>
      <c r="G1020" s="20" t="n"/>
    </row>
    <row r="1021">
      <c r="A1021" s="21" t="inlineStr">
        <is>
          <t>Details of cost for 10 sqm   |   Source: CivilDAR_2019_Vol_1.pdf, page 856</t>
        </is>
      </c>
    </row>
    <row r="1022">
      <c r="A1022" s="5" t="inlineStr">
        <is>
          <t>Code</t>
        </is>
      </c>
      <c r="B1022" s="5" t="inlineStr">
        <is>
          <t>Description</t>
        </is>
      </c>
      <c r="C1022" s="5" t="inlineStr">
        <is>
          <t>Unit</t>
        </is>
      </c>
      <c r="D1022" s="5" t="inlineStr">
        <is>
          <t>Quantity</t>
        </is>
      </c>
      <c r="E1022" s="5" t="inlineStr">
        <is>
          <t>Rate (Rs.)</t>
        </is>
      </c>
      <c r="F1022" s="5" t="inlineStr">
        <is>
          <t>Amount (Rs.)</t>
        </is>
      </c>
      <c r="G1022" s="5" t="inlineStr">
        <is>
          <t>Note</t>
        </is>
      </c>
    </row>
    <row r="1023">
      <c r="A1023" s="22" t="inlineStr">
        <is>
          <t>1196</t>
        </is>
      </c>
      <c r="B1023" s="11" t="inlineStr">
        <is>
          <t>First class kail wood in planks</t>
        </is>
      </c>
      <c r="C1023" s="22" t="inlineStr">
        <is>
          <t>10 cudm</t>
        </is>
      </c>
      <c r="D1023" s="23" t="n">
        <v>4.752</v>
      </c>
      <c r="E1023" s="24" t="n">
        <v>300</v>
      </c>
      <c r="F1023" s="24">
        <f>D1023*E1023</f>
        <v/>
      </c>
      <c r="G1023" s="22" t="n"/>
    </row>
    <row r="1024">
      <c r="A1024" s="22" t="inlineStr">
        <is>
          <t>2204</t>
        </is>
      </c>
      <c r="B1024" s="11" t="inlineStr">
        <is>
          <t>Carriage of Timber</t>
        </is>
      </c>
      <c r="C1024" s="22" t="inlineStr">
        <is>
          <t>cum</t>
        </is>
      </c>
      <c r="D1024" s="23" t="n">
        <v>0.0475</v>
      </c>
      <c r="E1024" s="24" t="n">
        <v>118.59</v>
      </c>
      <c r="F1024" s="24">
        <f>D1024*E1024</f>
        <v/>
      </c>
      <c r="G1024" s="22" t="n"/>
    </row>
    <row r="1025">
      <c r="A1025" s="22" t="inlineStr">
        <is>
          <t>1219</t>
        </is>
      </c>
      <c r="B1025" s="11" t="inlineStr">
        <is>
          <t>Wire nails</t>
        </is>
      </c>
      <c r="C1025" s="22" t="inlineStr">
        <is>
          <t>kilogram</t>
        </is>
      </c>
      <c r="D1025" s="23" t="n">
        <v>0.75</v>
      </c>
      <c r="E1025" s="24" t="n">
        <v>58</v>
      </c>
      <c r="F1025" s="24">
        <f>D1025*E1025</f>
        <v/>
      </c>
      <c r="G1025" s="22" t="n"/>
    </row>
    <row r="1026">
      <c r="A1026" s="22" t="inlineStr">
        <is>
          <t>1220</t>
        </is>
      </c>
      <c r="B1026" s="11" t="inlineStr">
        <is>
          <t>Wire mesh (rabbit)</t>
        </is>
      </c>
      <c r="C1026" s="22" t="inlineStr">
        <is>
          <t>sqm</t>
        </is>
      </c>
      <c r="D1026" s="23" t="n">
        <v>10.2</v>
      </c>
      <c r="E1026" s="24" t="n">
        <v>42</v>
      </c>
      <c r="F1026" s="24">
        <f>D1026*E1026</f>
        <v/>
      </c>
      <c r="G1026" s="22" t="n"/>
    </row>
    <row r="1027">
      <c r="A1027" s="22" t="inlineStr">
        <is>
          <t>0869</t>
        </is>
      </c>
      <c r="B1027" s="11" t="inlineStr">
        <is>
          <t>Plaster of Paris</t>
        </is>
      </c>
      <c r="C1027" s="22" t="inlineStr">
        <is>
          <t>kilogram</t>
        </is>
      </c>
      <c r="D1027" s="23" t="n">
        <v>219.76</v>
      </c>
      <c r="E1027" s="24" t="n">
        <v>5</v>
      </c>
      <c r="F1027" s="24">
        <f>D1027*E1027</f>
        <v/>
      </c>
      <c r="G1027" s="22" t="n"/>
    </row>
    <row r="1028">
      <c r="A1028" s="22" t="inlineStr">
        <is>
          <t>2308</t>
        </is>
      </c>
      <c r="B1028" s="11" t="inlineStr">
        <is>
          <t>Carriage of Plaster of paris</t>
        </is>
      </c>
      <c r="C1028" s="22" t="inlineStr">
        <is>
          <t>tonne</t>
        </is>
      </c>
      <c r="D1028" s="23" t="n">
        <v>0.22</v>
      </c>
      <c r="E1028" s="24" t="n">
        <v>92.23999999999999</v>
      </c>
      <c r="F1028" s="24">
        <f>D1028*E1028</f>
        <v/>
      </c>
      <c r="G1028" s="22" t="n"/>
    </row>
    <row r="1029">
      <c r="A1029" s="22" t="inlineStr">
        <is>
          <t>9977</t>
        </is>
      </c>
      <c r="B1029" s="11" t="inlineStr">
        <is>
          <t>Carriage of wiremesh and nails etc.</t>
        </is>
      </c>
      <c r="C1029" s="22" t="inlineStr">
        <is>
          <t>L.S.</t>
        </is>
      </c>
      <c r="D1029" s="23" t="n">
        <v>2.73</v>
      </c>
      <c r="E1029" s="24" t="n">
        <v>2</v>
      </c>
      <c r="F1029" s="24">
        <f>D1029*E1029</f>
        <v/>
      </c>
      <c r="G1029" s="22" t="n"/>
    </row>
    <row r="1030">
      <c r="A1030" s="22" t="inlineStr">
        <is>
          <t>0111</t>
        </is>
      </c>
      <c r="B1030" s="11" t="inlineStr">
        <is>
          <t>Carpenter 1st class</t>
        </is>
      </c>
      <c r="C1030" s="22" t="inlineStr">
        <is>
          <t>day</t>
        </is>
      </c>
      <c r="D1030" s="23" t="n">
        <v>1.6</v>
      </c>
      <c r="E1030" s="24" t="n">
        <v>738</v>
      </c>
      <c r="F1030" s="24">
        <f>D1030*E1030</f>
        <v/>
      </c>
      <c r="G1030" s="22" t="n"/>
    </row>
    <row r="1031">
      <c r="A1031" s="22" t="inlineStr">
        <is>
          <t>0114</t>
        </is>
      </c>
      <c r="B1031" s="11" t="inlineStr">
        <is>
          <t>Beldar</t>
        </is>
      </c>
      <c r="C1031" s="22" t="inlineStr">
        <is>
          <t>day</t>
        </is>
      </c>
      <c r="D1031" s="23" t="n">
        <v>1.6</v>
      </c>
      <c r="E1031" s="24" t="n">
        <v>558</v>
      </c>
      <c r="F1031" s="24">
        <f>D1031*E1031</f>
        <v/>
      </c>
      <c r="G1031" s="22" t="n"/>
    </row>
    <row r="1032">
      <c r="A1032" s="22" t="inlineStr">
        <is>
          <t>0122</t>
        </is>
      </c>
      <c r="B1032" s="11" t="inlineStr">
        <is>
          <t>Mason (for plaster of paris work) 1st class</t>
        </is>
      </c>
      <c r="C1032" s="22" t="inlineStr">
        <is>
          <t>day</t>
        </is>
      </c>
      <c r="D1032" s="23" t="n">
        <v>3.23</v>
      </c>
      <c r="E1032" s="24" t="n">
        <v>738</v>
      </c>
      <c r="F1032" s="24">
        <f>D1032*E1032</f>
        <v/>
      </c>
      <c r="G1032" s="22" t="n"/>
    </row>
    <row r="1033">
      <c r="A1033" s="22" t="inlineStr">
        <is>
          <t>0114</t>
        </is>
      </c>
      <c r="B1033" s="11" t="inlineStr">
        <is>
          <t>Beldar</t>
        </is>
      </c>
      <c r="C1033" s="22" t="inlineStr">
        <is>
          <t>day</t>
        </is>
      </c>
      <c r="D1033" s="23" t="n">
        <v>3.23</v>
      </c>
      <c r="E1033" s="24" t="n">
        <v>558</v>
      </c>
      <c r="F1033" s="24">
        <f>D1033*E1033</f>
        <v/>
      </c>
      <c r="G1033" s="22" t="n"/>
    </row>
    <row r="1034">
      <c r="A1034" s="22" t="inlineStr">
        <is>
          <t>0101</t>
        </is>
      </c>
      <c r="B1034" s="11" t="inlineStr">
        <is>
          <t>Bhisti</t>
        </is>
      </c>
      <c r="C1034" s="22" t="inlineStr">
        <is>
          <t>day</t>
        </is>
      </c>
      <c r="D1034" s="23" t="n">
        <v>0.54</v>
      </c>
      <c r="E1034" s="24" t="n">
        <v>617</v>
      </c>
      <c r="F1034" s="24">
        <f>D1034*E1034</f>
        <v/>
      </c>
      <c r="G1034" s="22" t="n"/>
    </row>
    <row r="1035">
      <c r="A1035" s="22" t="inlineStr">
        <is>
          <t>9999</t>
        </is>
      </c>
      <c r="B1035" s="11" t="inlineStr">
        <is>
          <t>Scaffolding</t>
        </is>
      </c>
      <c r="C1035" s="22" t="inlineStr">
        <is>
          <t>L.S.</t>
        </is>
      </c>
      <c r="D1035" s="23" t="n">
        <v>83.98</v>
      </c>
      <c r="E1035" s="24" t="n">
        <v>2</v>
      </c>
      <c r="F1035" s="24">
        <f>D1035*E1035</f>
        <v/>
      </c>
      <c r="G1035" s="22" t="n"/>
    </row>
    <row r="1036">
      <c r="A1036" s="22" t="inlineStr">
        <is>
          <t>9999</t>
        </is>
      </c>
      <c r="B1036" s="11" t="inlineStr">
        <is>
          <t>Sundries</t>
        </is>
      </c>
      <c r="C1036" s="22" t="inlineStr">
        <is>
          <t>L.S.</t>
        </is>
      </c>
      <c r="D1036" s="23" t="n">
        <v>53.82</v>
      </c>
      <c r="E1036" s="24" t="n">
        <v>2</v>
      </c>
      <c r="F1036" s="24">
        <f>D1036*E1036</f>
        <v/>
      </c>
      <c r="G1036" s="22" t="n"/>
    </row>
    <row r="1037">
      <c r="A1037" s="22" t="inlineStr">
        <is>
          <t>0111</t>
        </is>
      </c>
      <c r="B1037" s="11" t="inlineStr">
        <is>
          <t>Carpenter 1st class</t>
        </is>
      </c>
      <c r="C1037" s="22" t="inlineStr">
        <is>
          <t>day</t>
        </is>
      </c>
      <c r="D1037" s="23" t="n">
        <v>0.5</v>
      </c>
      <c r="E1037" s="24" t="n">
        <v>738</v>
      </c>
      <c r="F1037" s="24">
        <f>D1037*E1037</f>
        <v/>
      </c>
      <c r="G1037" s="22" t="n"/>
    </row>
    <row r="1038">
      <c r="A1038" s="22" t="inlineStr">
        <is>
          <t>0122</t>
        </is>
      </c>
      <c r="B1038" s="11" t="inlineStr">
        <is>
          <t>Mason (for plaster of paris work) 1st class</t>
        </is>
      </c>
      <c r="C1038" s="22" t="inlineStr">
        <is>
          <t>day</t>
        </is>
      </c>
      <c r="D1038" s="23" t="n">
        <v>1</v>
      </c>
      <c r="E1038" s="24" t="n">
        <v>738</v>
      </c>
      <c r="F1038" s="24">
        <f>D1038*E1038</f>
        <v/>
      </c>
      <c r="G1038" s="22" t="n"/>
    </row>
    <row r="1039">
      <c r="A1039" s="22" t="inlineStr">
        <is>
          <t>0114</t>
        </is>
      </c>
      <c r="B1039" s="11" t="inlineStr">
        <is>
          <t>Beldar</t>
        </is>
      </c>
      <c r="C1039" s="22" t="inlineStr">
        <is>
          <t>day</t>
        </is>
      </c>
      <c r="D1039" s="23" t="n">
        <v>1.5</v>
      </c>
      <c r="E1039" s="24" t="n">
        <v>558</v>
      </c>
      <c r="F1039" s="24">
        <f>D1039*E1039</f>
        <v/>
      </c>
      <c r="G1039" s="22" t="n"/>
    </row>
    <row r="1040">
      <c r="A1040" s="8" t="inlineStr">
        <is>
          <t>Calculated W - SUM of the Amount column above</t>
        </is>
      </c>
      <c r="B1040" s="9" t="n"/>
      <c r="C1040" s="9" t="n"/>
      <c r="D1040" s="9" t="n"/>
      <c r="E1040" s="9" t="n"/>
      <c r="F1040" s="25">
        <f>SUM(F1023:F1039)</f>
        <v/>
      </c>
      <c r="G1040" s="9" t="n"/>
    </row>
    <row r="1041">
      <c r="A1041" s="26" t="inlineStr">
        <is>
          <t>W as printed in the DAR</t>
        </is>
      </c>
      <c r="B1041" s="22" t="n"/>
      <c r="C1041" s="22" t="n"/>
      <c r="D1041" s="22" t="n"/>
      <c r="E1041" s="22" t="n"/>
      <c r="F1041" s="27" t="n">
        <v>11840.15</v>
      </c>
      <c r="G1041" s="22" t="n"/>
    </row>
    <row r="1042">
      <c r="A1042" s="26" t="inlineStr">
        <is>
          <t>Difference (calculated - printed)</t>
        </is>
      </c>
      <c r="B1042" s="22" t="n"/>
      <c r="C1042" s="22" t="n"/>
      <c r="D1042" s="22" t="n"/>
      <c r="E1042" s="22" t="n"/>
      <c r="F1042" s="27">
        <f>F1040-F1041</f>
        <v/>
      </c>
      <c r="G1042" s="22" t="n"/>
    </row>
    <row r="1043">
      <c r="A1043" s="29" t="inlineStr">
        <is>
          <t>SAY (Rs.) - final DAR rate as printed (fixed value, not computed)</t>
        </is>
      </c>
      <c r="B1043" s="30" t="n"/>
      <c r="C1043" s="30" t="n"/>
      <c r="D1043" s="30" t="n"/>
      <c r="E1043" s="30" t="n"/>
      <c r="F1043" s="31" t="n">
        <v>1584.15</v>
      </c>
      <c r="G1043" s="30" t="n"/>
    </row>
    <row r="1045" ht="18.5" customHeight="1">
      <c r="A1045" s="18" t="inlineStr">
        <is>
          <t>12.32</t>
        </is>
      </c>
      <c r="B1045" s="19" t="inlineStr">
        <is>
          <t>Extra for sunk or raised mouldings in the plaster of Paris (Gypsum anhydrous) ceiling.</t>
        </is>
      </c>
      <c r="C1045" s="20" t="n"/>
      <c r="D1045" s="20" t="n"/>
      <c r="E1045" s="20" t="n"/>
      <c r="F1045" s="20" t="n"/>
      <c r="G1045" s="20" t="n"/>
    </row>
    <row r="1046">
      <c r="A1046" s="21" t="inlineStr">
        <is>
          <t>Details of cost for 10 sqm   |   Source: CivilDAR_2019_Vol_1.pdf, page 857</t>
        </is>
      </c>
    </row>
    <row r="1047">
      <c r="A1047" s="5" t="inlineStr">
        <is>
          <t>Code</t>
        </is>
      </c>
      <c r="B1047" s="5" t="inlineStr">
        <is>
          <t>Description</t>
        </is>
      </c>
      <c r="C1047" s="5" t="inlineStr">
        <is>
          <t>Unit</t>
        </is>
      </c>
      <c r="D1047" s="5" t="inlineStr">
        <is>
          <t>Quantity</t>
        </is>
      </c>
      <c r="E1047" s="5" t="inlineStr">
        <is>
          <t>Rate (Rs.)</t>
        </is>
      </c>
      <c r="F1047" s="5" t="inlineStr">
        <is>
          <t>Amount (Rs.)</t>
        </is>
      </c>
      <c r="G1047" s="5" t="inlineStr">
        <is>
          <t>Note</t>
        </is>
      </c>
    </row>
    <row r="1048">
      <c r="A1048" s="22" t="inlineStr">
        <is>
          <t>0869</t>
        </is>
      </c>
      <c r="B1048" s="11" t="inlineStr">
        <is>
          <t>Plaster of Paris</t>
        </is>
      </c>
      <c r="C1048" s="22" t="inlineStr">
        <is>
          <t>kilogram</t>
        </is>
      </c>
      <c r="D1048" s="23" t="n">
        <v>109.88</v>
      </c>
      <c r="E1048" s="24" t="n">
        <v>5</v>
      </c>
      <c r="F1048" s="24">
        <f>D1048*E1048</f>
        <v/>
      </c>
      <c r="G1048" s="22" t="n"/>
    </row>
    <row r="1049">
      <c r="A1049" s="22" t="inlineStr">
        <is>
          <t>2308</t>
        </is>
      </c>
      <c r="B1049" s="11" t="inlineStr">
        <is>
          <t>Carriage of Plaster of paris</t>
        </is>
      </c>
      <c r="C1049" s="22" t="inlineStr">
        <is>
          <t>tonne</t>
        </is>
      </c>
      <c r="D1049" s="23" t="n">
        <v>0.11</v>
      </c>
      <c r="E1049" s="24" t="n">
        <v>92.23999999999999</v>
      </c>
      <c r="F1049" s="24">
        <f>D1049*E1049</f>
        <v/>
      </c>
      <c r="G1049" s="22" t="n"/>
    </row>
    <row r="1050">
      <c r="A1050" s="22" t="inlineStr">
        <is>
          <t>0122</t>
        </is>
      </c>
      <c r="B1050" s="11" t="inlineStr">
        <is>
          <t>Mason (for plaster of paris work) 1st class</t>
        </is>
      </c>
      <c r="C1050" s="22" t="inlineStr">
        <is>
          <t>day</t>
        </is>
      </c>
      <c r="D1050" s="23" t="n">
        <v>2</v>
      </c>
      <c r="E1050" s="24" t="n">
        <v>738</v>
      </c>
      <c r="F1050" s="24">
        <f>D1050*E1050</f>
        <v/>
      </c>
      <c r="G1050" s="22" t="n"/>
    </row>
    <row r="1051">
      <c r="A1051" s="22" t="inlineStr">
        <is>
          <t>0114</t>
        </is>
      </c>
      <c r="B1051" s="11" t="inlineStr">
        <is>
          <t>Beldar</t>
        </is>
      </c>
      <c r="C1051" s="22" t="inlineStr">
        <is>
          <t>day</t>
        </is>
      </c>
      <c r="D1051" s="23" t="n">
        <v>2</v>
      </c>
      <c r="E1051" s="24" t="n">
        <v>558</v>
      </c>
      <c r="F1051" s="24">
        <f>D1051*E1051</f>
        <v/>
      </c>
      <c r="G1051" s="22" t="n"/>
    </row>
    <row r="1052">
      <c r="A1052" s="22" t="inlineStr">
        <is>
          <t>0101</t>
        </is>
      </c>
      <c r="B1052" s="11" t="inlineStr">
        <is>
          <t>Bhisti</t>
        </is>
      </c>
      <c r="C1052" s="22" t="inlineStr">
        <is>
          <t>day</t>
        </is>
      </c>
      <c r="D1052" s="23" t="n">
        <v>0.25</v>
      </c>
      <c r="E1052" s="24" t="n">
        <v>617</v>
      </c>
      <c r="F1052" s="24">
        <f>D1052*E1052</f>
        <v/>
      </c>
      <c r="G1052" s="22" t="n"/>
    </row>
    <row r="1053">
      <c r="A1053" s="22" t="inlineStr">
        <is>
          <t>9999</t>
        </is>
      </c>
      <c r="B1053" s="11" t="inlineStr">
        <is>
          <t>Scaffolding and Sundries</t>
        </is>
      </c>
      <c r="C1053" s="22" t="inlineStr">
        <is>
          <t>L.S.</t>
        </is>
      </c>
      <c r="D1053" s="23" t="n">
        <v>13.52</v>
      </c>
      <c r="E1053" s="24" t="n">
        <v>2</v>
      </c>
      <c r="F1053" s="24">
        <f>D1053*E1053</f>
        <v/>
      </c>
      <c r="G1053" s="22" t="n"/>
    </row>
    <row r="1054">
      <c r="A1054" s="8" t="inlineStr">
        <is>
          <t>Calculated W - SUM of the Amount column above</t>
        </is>
      </c>
      <c r="B1054" s="9" t="n"/>
      <c r="C1054" s="9" t="n"/>
      <c r="D1054" s="9" t="n"/>
      <c r="E1054" s="9" t="n"/>
      <c r="F1054" s="25">
        <f>SUM(F1048:F1053)</f>
        <v/>
      </c>
      <c r="G1054" s="9" t="n"/>
    </row>
    <row r="1055">
      <c r="A1055" s="26" t="inlineStr">
        <is>
          <t>W as printed in the DAR</t>
        </is>
      </c>
      <c r="B1055" s="22" t="n"/>
      <c r="C1055" s="22" t="n"/>
      <c r="D1055" s="22" t="n"/>
      <c r="E1055" s="22" t="n"/>
      <c r="F1055" s="27" t="n">
        <v>3332.84</v>
      </c>
      <c r="G1055" s="22" t="n"/>
    </row>
    <row r="1056">
      <c r="A1056" s="26" t="inlineStr">
        <is>
          <t>Difference (calculated - printed)</t>
        </is>
      </c>
      <c r="B1056" s="22" t="n"/>
      <c r="C1056" s="22" t="n"/>
      <c r="D1056" s="22" t="n"/>
      <c r="E1056" s="22" t="n"/>
      <c r="F1056" s="27">
        <f>F1054-F1055</f>
        <v/>
      </c>
      <c r="G1056" s="22" t="n"/>
    </row>
    <row r="1057">
      <c r="A1057" s="29" t="inlineStr">
        <is>
          <t>SAY (Rs.) - final DAR rate as printed (fixed value, not computed)</t>
        </is>
      </c>
      <c r="B1057" s="30" t="n"/>
      <c r="C1057" s="30" t="n"/>
      <c r="D1057" s="30" t="n"/>
      <c r="E1057" s="30" t="n"/>
      <c r="F1057" s="31" t="n">
        <v>445.9</v>
      </c>
      <c r="G1057" s="30" t="n"/>
    </row>
    <row r="1059" ht="18.5" customHeight="1">
      <c r="A1059" s="18" t="inlineStr">
        <is>
          <t>12.33</t>
        </is>
      </c>
      <c r="B1059" s="19" t="inlineStr">
        <is>
          <t>Extra for providing plaster of Paris (Gypsum anhydrous) ceiling above 5 metres height from floor level.</t>
        </is>
      </c>
      <c r="C1059" s="20" t="n"/>
      <c r="D1059" s="20" t="n"/>
      <c r="E1059" s="20" t="n"/>
      <c r="F1059" s="20" t="n"/>
      <c r="G1059" s="20" t="n"/>
    </row>
    <row r="1060">
      <c r="A1060" s="21" t="inlineStr">
        <is>
          <t>Details of cost for 10 sqm   |   Source: CivilDAR_2019_Vol_1.pdf, page 858</t>
        </is>
      </c>
    </row>
    <row r="1061">
      <c r="A1061" s="5" t="inlineStr">
        <is>
          <t>Code</t>
        </is>
      </c>
      <c r="B1061" s="5" t="inlineStr">
        <is>
          <t>Description</t>
        </is>
      </c>
      <c r="C1061" s="5" t="inlineStr">
        <is>
          <t>Unit</t>
        </is>
      </c>
      <c r="D1061" s="5" t="inlineStr">
        <is>
          <t>Quantity</t>
        </is>
      </c>
      <c r="E1061" s="5" t="inlineStr">
        <is>
          <t>Rate (Rs.)</t>
        </is>
      </c>
      <c r="F1061" s="5" t="inlineStr">
        <is>
          <t>Amount (Rs.)</t>
        </is>
      </c>
      <c r="G1061" s="5" t="inlineStr">
        <is>
          <t>Note</t>
        </is>
      </c>
    </row>
    <row r="1062">
      <c r="A1062" s="22" t="inlineStr">
        <is>
          <t>9999</t>
        </is>
      </c>
      <c r="B1062" s="11" t="inlineStr">
        <is>
          <t>Scaffolding</t>
        </is>
      </c>
      <c r="C1062" s="22" t="inlineStr">
        <is>
          <t>L.S.</t>
        </is>
      </c>
      <c r="D1062" s="23" t="n">
        <v>13.52</v>
      </c>
      <c r="E1062" s="24" t="n">
        <v>2</v>
      </c>
      <c r="F1062" s="24">
        <f>D1062*E1062</f>
        <v/>
      </c>
      <c r="G1062" s="22" t="n"/>
    </row>
    <row r="1063">
      <c r="A1063" s="22" t="inlineStr">
        <is>
          <t>0122</t>
        </is>
      </c>
      <c r="B1063" s="11" t="inlineStr">
        <is>
          <t>Mason (for plaster of paris work) 1st class</t>
        </is>
      </c>
      <c r="C1063" s="22" t="inlineStr">
        <is>
          <t>day</t>
        </is>
      </c>
      <c r="D1063" s="23" t="n">
        <v>1</v>
      </c>
      <c r="E1063" s="24" t="n">
        <v>738</v>
      </c>
      <c r="F1063" s="24">
        <f>D1063*E1063</f>
        <v/>
      </c>
      <c r="G1063" s="22" t="n"/>
    </row>
    <row r="1064">
      <c r="A1064" s="22" t="inlineStr">
        <is>
          <t>0114</t>
        </is>
      </c>
      <c r="B1064" s="11" t="inlineStr">
        <is>
          <t>Beldar</t>
        </is>
      </c>
      <c r="C1064" s="22" t="inlineStr">
        <is>
          <t>day</t>
        </is>
      </c>
      <c r="D1064" s="23" t="n">
        <v>1</v>
      </c>
      <c r="E1064" s="24" t="n">
        <v>558</v>
      </c>
      <c r="F1064" s="24">
        <f>D1064*E1064</f>
        <v/>
      </c>
      <c r="G1064" s="22" t="n"/>
    </row>
    <row r="1065">
      <c r="A1065" s="22" t="inlineStr">
        <is>
          <t>0101</t>
        </is>
      </c>
      <c r="B1065" s="11" t="inlineStr">
        <is>
          <t>Bhisti</t>
        </is>
      </c>
      <c r="C1065" s="22" t="inlineStr">
        <is>
          <t>day</t>
        </is>
      </c>
      <c r="D1065" s="23" t="n">
        <v>0.25</v>
      </c>
      <c r="E1065" s="24" t="n">
        <v>617</v>
      </c>
      <c r="F1065" s="24">
        <f>D1065*E1065</f>
        <v/>
      </c>
      <c r="G1065" s="22" t="n"/>
    </row>
    <row r="1066">
      <c r="A1066" s="8" t="inlineStr">
        <is>
          <t>Calculated W - SUM of the Amount column above</t>
        </is>
      </c>
      <c r="B1066" s="9" t="n"/>
      <c r="C1066" s="9" t="n"/>
      <c r="D1066" s="9" t="n"/>
      <c r="E1066" s="9" t="n"/>
      <c r="F1066" s="25">
        <f>SUM(F1062:F1065)</f>
        <v/>
      </c>
      <c r="G1066" s="9" t="n"/>
    </row>
    <row r="1067">
      <c r="A1067" s="26" t="inlineStr">
        <is>
          <t>W as printed in the DAR</t>
        </is>
      </c>
      <c r="B1067" s="22" t="n"/>
      <c r="C1067" s="22" t="n"/>
      <c r="D1067" s="22" t="n"/>
      <c r="E1067" s="22" t="n"/>
      <c r="F1067" s="27" t="n">
        <v>1477.29</v>
      </c>
      <c r="G1067" s="22" t="n"/>
    </row>
    <row r="1068">
      <c r="A1068" s="26" t="inlineStr">
        <is>
          <t>Difference (calculated - printed)</t>
        </is>
      </c>
      <c r="B1068" s="22" t="n"/>
      <c r="C1068" s="22" t="n"/>
      <c r="D1068" s="22" t="n"/>
      <c r="E1068" s="22" t="n"/>
      <c r="F1068" s="27">
        <f>F1066-F1067</f>
        <v/>
      </c>
      <c r="G1068" s="22" t="n"/>
    </row>
    <row r="1069">
      <c r="A1069" s="29" t="inlineStr">
        <is>
          <t>SAY (Rs.) - final DAR rate as printed (fixed value, not computed)</t>
        </is>
      </c>
      <c r="B1069" s="30" t="n"/>
      <c r="C1069" s="30" t="n"/>
      <c r="D1069" s="30" t="n"/>
      <c r="E1069" s="30" t="n"/>
      <c r="F1069" s="31" t="n">
        <v>197.65</v>
      </c>
      <c r="G1069" s="30" t="n"/>
    </row>
    <row r="1071" ht="47.5" customHeight="1">
      <c r="A1071" s="18" t="inlineStr">
        <is>
          <t>12.34</t>
        </is>
      </c>
      <c r="B1071" s="19" t="inlineStr">
        <is>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t>
        </is>
      </c>
      <c r="C1071" s="20" t="n"/>
      <c r="D1071" s="20" t="n"/>
      <c r="E1071" s="20" t="n"/>
      <c r="F1071" s="20" t="n"/>
      <c r="G1071" s="20" t="n"/>
    </row>
    <row r="1072">
      <c r="A1072" s="21" t="inlineStr">
        <is>
          <t>Details of cost for 10 sqm   |   Source: CivilDAR_2019_Vol_1.pdf, page 858</t>
        </is>
      </c>
    </row>
    <row r="1073">
      <c r="A1073" s="5" t="inlineStr">
        <is>
          <t>Code</t>
        </is>
      </c>
      <c r="B1073" s="5" t="inlineStr">
        <is>
          <t>Description</t>
        </is>
      </c>
      <c r="C1073" s="5" t="inlineStr">
        <is>
          <t>Unit</t>
        </is>
      </c>
      <c r="D1073" s="5" t="inlineStr">
        <is>
          <t>Quantity</t>
        </is>
      </c>
      <c r="E1073" s="5" t="inlineStr">
        <is>
          <t>Rate (Rs.)</t>
        </is>
      </c>
      <c r="F1073" s="5" t="inlineStr">
        <is>
          <t>Amount (Rs.)</t>
        </is>
      </c>
      <c r="G1073" s="5" t="inlineStr">
        <is>
          <t>Note</t>
        </is>
      </c>
    </row>
    <row r="1074">
      <c r="A1074" s="22" t="inlineStr">
        <is>
          <t>7232</t>
        </is>
      </c>
      <c r="B1074" s="11" t="inlineStr">
        <is>
          <t>Resin Bonded Glass wool 24 kg/m³ 50 mm thick</t>
        </is>
      </c>
      <c r="C1074" s="22" t="inlineStr">
        <is>
          <t>sqm</t>
        </is>
      </c>
      <c r="D1074" s="23" t="n">
        <v>11</v>
      </c>
      <c r="E1074" s="24" t="n">
        <v>143</v>
      </c>
      <c r="F1074" s="24">
        <f>D1074*E1074</f>
        <v/>
      </c>
      <c r="G1074" s="22" t="n"/>
    </row>
    <row r="1075">
      <c r="A1075" s="22" t="inlineStr">
        <is>
          <t>9999</t>
        </is>
      </c>
      <c r="B1075" s="11" t="inlineStr">
        <is>
          <t>Sundries including GI wire 20 SWG and Virgin polythene bags 200 gram</t>
        </is>
      </c>
      <c r="C1075" s="22" t="inlineStr">
        <is>
          <t>L.S.</t>
        </is>
      </c>
      <c r="D1075" s="23" t="n">
        <v>104</v>
      </c>
      <c r="E1075" s="24" t="n">
        <v>2</v>
      </c>
      <c r="F1075" s="24">
        <f>D1075*E1075</f>
        <v/>
      </c>
      <c r="G1075" s="22" t="n"/>
    </row>
    <row r="1076">
      <c r="A1076" s="22" t="inlineStr">
        <is>
          <t>9999</t>
        </is>
      </c>
      <c r="B1076" s="11" t="inlineStr">
        <is>
          <t>GI chiken mesh 12.5mm x 24 SWG</t>
        </is>
      </c>
      <c r="C1076" s="22" t="inlineStr">
        <is>
          <t>L.S.</t>
        </is>
      </c>
      <c r="D1076" s="23" t="n">
        <v>351</v>
      </c>
      <c r="E1076" s="24" t="n">
        <v>2</v>
      </c>
      <c r="F1076" s="24">
        <f>D1076*E1076</f>
        <v/>
      </c>
      <c r="G1076" s="22" t="n"/>
    </row>
    <row r="1077">
      <c r="A1077" s="22" t="inlineStr">
        <is>
          <t>0111</t>
        </is>
      </c>
      <c r="B1077" s="11" t="inlineStr">
        <is>
          <t>Carpenter 1st class</t>
        </is>
      </c>
      <c r="C1077" s="22" t="inlineStr">
        <is>
          <t>day</t>
        </is>
      </c>
      <c r="D1077" s="23" t="n">
        <v>1</v>
      </c>
      <c r="E1077" s="24" t="n">
        <v>738</v>
      </c>
      <c r="F1077" s="24">
        <f>D1077*E1077</f>
        <v/>
      </c>
      <c r="G1077" s="22" t="n"/>
    </row>
    <row r="1078">
      <c r="A1078" s="22" t="inlineStr">
        <is>
          <t>0114</t>
        </is>
      </c>
      <c r="B1078" s="11" t="inlineStr">
        <is>
          <t>Beldar</t>
        </is>
      </c>
      <c r="C1078" s="22" t="inlineStr">
        <is>
          <t>day</t>
        </is>
      </c>
      <c r="D1078" s="23" t="n">
        <v>2</v>
      </c>
      <c r="E1078" s="24" t="n">
        <v>558</v>
      </c>
      <c r="F1078" s="24">
        <f>D1078*E1078</f>
        <v/>
      </c>
      <c r="G1078" s="22" t="n"/>
    </row>
    <row r="1079">
      <c r="A1079" s="8" t="inlineStr">
        <is>
          <t>Calculated W - SUM of the Amount column above</t>
        </is>
      </c>
      <c r="B1079" s="9" t="n"/>
      <c r="C1079" s="9" t="n"/>
      <c r="D1079" s="9" t="n"/>
      <c r="E1079" s="9" t="n"/>
      <c r="F1079" s="25">
        <f>SUM(F1074:F1078)</f>
        <v/>
      </c>
      <c r="G1079" s="9" t="n"/>
    </row>
    <row r="1080">
      <c r="A1080" s="26" t="inlineStr">
        <is>
          <t>W as printed in the DAR</t>
        </is>
      </c>
      <c r="B1080" s="22" t="n"/>
      <c r="C1080" s="22" t="n"/>
      <c r="D1080" s="22" t="n"/>
      <c r="E1080" s="22" t="n"/>
      <c r="F1080" s="27" t="n">
        <v>4337</v>
      </c>
      <c r="G1080" s="22" t="n"/>
    </row>
    <row r="1081">
      <c r="A1081" s="26" t="inlineStr">
        <is>
          <t>Difference (calculated - printed)</t>
        </is>
      </c>
      <c r="B1081" s="22" t="n"/>
      <c r="C1081" s="22" t="n"/>
      <c r="D1081" s="22" t="n"/>
      <c r="E1081" s="22" t="n"/>
      <c r="F1081" s="27">
        <f>F1079-F1080</f>
        <v/>
      </c>
      <c r="G1081" s="22" t="n"/>
    </row>
    <row r="1082">
      <c r="A1082" s="29" t="inlineStr">
        <is>
          <t>SAY (Rs.) - final DAR rate as printed (fixed value, not computed)</t>
        </is>
      </c>
      <c r="B1082" s="30" t="n"/>
      <c r="C1082" s="30" t="n"/>
      <c r="D1082" s="30" t="n"/>
      <c r="E1082" s="30" t="n"/>
      <c r="F1082" s="31" t="n">
        <v>580.25</v>
      </c>
      <c r="G1082" s="30" t="n"/>
    </row>
    <row r="1084" ht="33" customHeight="1">
      <c r="A1084" s="18" t="inlineStr">
        <is>
          <t>12.35</t>
        </is>
      </c>
      <c r="B1084" s="19" t="inlineStr">
        <is>
          <t>Providing and fixing thermal insulation with Resin Bonded Fibre glass wool conforming to IS: 8183. Density 16 kg/m³, 50 mm thick, wrapped in 200G Virgin Polythene bags placed over existing false ceiling and held in position by criss-crossing GI wire.</t>
        </is>
      </c>
      <c r="C1084" s="20" t="n"/>
      <c r="D1084" s="20" t="n"/>
      <c r="E1084" s="20" t="n"/>
      <c r="F1084" s="20" t="n"/>
      <c r="G1084" s="20" t="n"/>
    </row>
    <row r="1085">
      <c r="A1085" s="21" t="inlineStr">
        <is>
          <t>Details of cost for 10 sqm   |   Source: CivilDAR_2019_Vol_1.pdf, page 859</t>
        </is>
      </c>
    </row>
    <row r="1086">
      <c r="A1086" s="5" t="inlineStr">
        <is>
          <t>Code</t>
        </is>
      </c>
      <c r="B1086" s="5" t="inlineStr">
        <is>
          <t>Description</t>
        </is>
      </c>
      <c r="C1086" s="5" t="inlineStr">
        <is>
          <t>Unit</t>
        </is>
      </c>
      <c r="D1086" s="5" t="inlineStr">
        <is>
          <t>Quantity</t>
        </is>
      </c>
      <c r="E1086" s="5" t="inlineStr">
        <is>
          <t>Rate (Rs.)</t>
        </is>
      </c>
      <c r="F1086" s="5" t="inlineStr">
        <is>
          <t>Amount (Rs.)</t>
        </is>
      </c>
      <c r="G1086" s="5" t="inlineStr">
        <is>
          <t>Note</t>
        </is>
      </c>
    </row>
    <row r="1087">
      <c r="A1087" s="22" t="inlineStr">
        <is>
          <t>7231</t>
        </is>
      </c>
      <c r="B1087" s="11" t="inlineStr">
        <is>
          <t>Resin Bonded Glass wool 16 kg/m³ 50 mm thick</t>
        </is>
      </c>
      <c r="C1087" s="22" t="inlineStr">
        <is>
          <t>sqm</t>
        </is>
      </c>
      <c r="D1087" s="23" t="n">
        <v>11</v>
      </c>
      <c r="E1087" s="24" t="n">
        <v>100</v>
      </c>
      <c r="F1087" s="24">
        <f>D1087*E1087</f>
        <v/>
      </c>
      <c r="G1087" s="22" t="n"/>
    </row>
    <row r="1088">
      <c r="A1088" s="22" t="inlineStr">
        <is>
          <t>9999</t>
        </is>
      </c>
      <c r="B1088" s="11" t="inlineStr">
        <is>
          <t>Sundries including GI wire 20 SWG and Virgin polythene bags 200 gram</t>
        </is>
      </c>
      <c r="C1088" s="22" t="inlineStr">
        <is>
          <t>L.S.</t>
        </is>
      </c>
      <c r="D1088" s="23" t="n">
        <v>52</v>
      </c>
      <c r="E1088" s="24" t="n">
        <v>2</v>
      </c>
      <c r="F1088" s="24">
        <f>D1088*E1088</f>
        <v/>
      </c>
      <c r="G1088" s="22" t="n"/>
    </row>
    <row r="1089">
      <c r="A1089" s="22" t="inlineStr">
        <is>
          <t>0111</t>
        </is>
      </c>
      <c r="B1089" s="11" t="inlineStr">
        <is>
          <t>Carpenter 1st class</t>
        </is>
      </c>
      <c r="C1089" s="22" t="inlineStr">
        <is>
          <t>day</t>
        </is>
      </c>
      <c r="D1089" s="23" t="n">
        <v>0.5</v>
      </c>
      <c r="E1089" s="24" t="n">
        <v>738</v>
      </c>
      <c r="F1089" s="24">
        <f>D1089*E1089</f>
        <v/>
      </c>
      <c r="G1089" s="22" t="n"/>
    </row>
    <row r="1090">
      <c r="A1090" s="22" t="inlineStr">
        <is>
          <t>0114</t>
        </is>
      </c>
      <c r="B1090" s="11" t="inlineStr">
        <is>
          <t>Beldar</t>
        </is>
      </c>
      <c r="C1090" s="22" t="inlineStr">
        <is>
          <t>day</t>
        </is>
      </c>
      <c r="D1090" s="23" t="n">
        <v>0.5</v>
      </c>
      <c r="E1090" s="24" t="n">
        <v>558</v>
      </c>
      <c r="F1090" s="24">
        <f>D1090*E1090</f>
        <v/>
      </c>
      <c r="G1090" s="22" t="n"/>
    </row>
    <row r="1091">
      <c r="A1091" s="8" t="inlineStr">
        <is>
          <t>Calculated W - SUM of the Amount column above</t>
        </is>
      </c>
      <c r="B1091" s="9" t="n"/>
      <c r="C1091" s="9" t="n"/>
      <c r="D1091" s="9" t="n"/>
      <c r="E1091" s="9" t="n"/>
      <c r="F1091" s="25">
        <f>SUM(F1087:F1090)</f>
        <v/>
      </c>
      <c r="G1091" s="9" t="n"/>
    </row>
    <row r="1092">
      <c r="A1092" s="26" t="inlineStr">
        <is>
          <t>W as printed in the DAR</t>
        </is>
      </c>
      <c r="B1092" s="22" t="n"/>
      <c r="C1092" s="22" t="n"/>
      <c r="D1092" s="22" t="n"/>
      <c r="E1092" s="22" t="n"/>
      <c r="F1092" s="27" t="n">
        <v>1852</v>
      </c>
      <c r="G1092" s="22" t="n"/>
    </row>
    <row r="1093">
      <c r="A1093" s="26" t="inlineStr">
        <is>
          <t>Difference (calculated - printed)</t>
        </is>
      </c>
      <c r="B1093" s="22" t="n"/>
      <c r="C1093" s="22" t="n"/>
      <c r="D1093" s="22" t="n"/>
      <c r="E1093" s="22" t="n"/>
      <c r="F1093" s="27">
        <f>F1091-F1092</f>
        <v/>
      </c>
      <c r="G1093" s="22" t="n"/>
    </row>
    <row r="1094">
      <c r="A1094" s="29" t="inlineStr">
        <is>
          <t>SAY (Rs.) - final DAR rate as printed (fixed value, not computed)</t>
        </is>
      </c>
      <c r="B1094" s="30" t="n"/>
      <c r="C1094" s="30" t="n"/>
      <c r="D1094" s="30" t="n"/>
      <c r="E1094" s="30" t="n"/>
      <c r="F1094" s="31" t="n">
        <v>247.8</v>
      </c>
      <c r="G1094" s="30" t="n"/>
    </row>
    <row r="1096" ht="33" customHeight="1">
      <c r="A1096" s="8" t="inlineStr">
        <is>
          <t>12.36</t>
        </is>
      </c>
      <c r="B1096" s="17" t="inlineStr">
        <is>
          <t>Thermal Insulation of roofing with Expanded polystyrene fixed with suitable adhesive to the false ceiling as per the directions of the Engineer-in-charge:</t>
        </is>
      </c>
      <c r="C1096" s="9" t="n"/>
      <c r="D1096" s="9" t="n"/>
      <c r="E1096" s="9" t="n"/>
      <c r="F1096" s="9" t="n"/>
      <c r="G1096" s="9" t="n"/>
    </row>
    <row r="1097" ht="18.5" customHeight="1">
      <c r="A1097" s="18" t="inlineStr">
        <is>
          <t>12.36.1</t>
        </is>
      </c>
      <c r="B1097" s="19" t="inlineStr">
        <is>
          <t>With Type N - Normal 50 mm thick</t>
        </is>
      </c>
      <c r="C1097" s="20" t="n"/>
      <c r="D1097" s="20" t="n"/>
      <c r="E1097" s="20" t="n"/>
      <c r="F1097" s="20" t="n"/>
      <c r="G1097" s="20" t="n"/>
    </row>
    <row r="1098">
      <c r="A1098" s="21" t="inlineStr">
        <is>
          <t>Details of cost for 10 sqm   |   Source: CivilDAR_2019_Vol_1.pdf, page 859</t>
        </is>
      </c>
    </row>
    <row r="1099">
      <c r="A1099" s="5" t="inlineStr">
        <is>
          <t>Code</t>
        </is>
      </c>
      <c r="B1099" s="5" t="inlineStr">
        <is>
          <t>Description</t>
        </is>
      </c>
      <c r="C1099" s="5" t="inlineStr">
        <is>
          <t>Unit</t>
        </is>
      </c>
      <c r="D1099" s="5" t="inlineStr">
        <is>
          <t>Quantity</t>
        </is>
      </c>
      <c r="E1099" s="5" t="inlineStr">
        <is>
          <t>Rate (Rs.)</t>
        </is>
      </c>
      <c r="F1099" s="5" t="inlineStr">
        <is>
          <t>Amount (Rs.)</t>
        </is>
      </c>
      <c r="G1099" s="5" t="inlineStr">
        <is>
          <t>Note</t>
        </is>
      </c>
    </row>
    <row r="1100">
      <c r="A1100" s="22" t="inlineStr">
        <is>
          <t>7090</t>
        </is>
      </c>
      <c r="B1100" s="11" t="inlineStr">
        <is>
          <t>Expanded polystyrene type N- Normal</t>
        </is>
      </c>
      <c r="C1100" s="22" t="inlineStr">
        <is>
          <t>sqm</t>
        </is>
      </c>
      <c r="D1100" s="23" t="n">
        <v>11</v>
      </c>
      <c r="E1100" s="24" t="n">
        <v>125</v>
      </c>
      <c r="F1100" s="24">
        <f>D1100*E1100</f>
        <v/>
      </c>
      <c r="G1100" s="22" t="n"/>
    </row>
    <row r="1101">
      <c r="A1101" s="22" t="inlineStr">
        <is>
          <t>0314</t>
        </is>
      </c>
      <c r="B1101" s="11" t="inlineStr">
        <is>
          <t>Bitumen hot sealing compound : grade A</t>
        </is>
      </c>
      <c r="C1101" s="22" t="inlineStr">
        <is>
          <t>kilogram</t>
        </is>
      </c>
      <c r="D1101" s="23" t="n">
        <v>0.25</v>
      </c>
      <c r="E1101" s="24" t="n">
        <v>28</v>
      </c>
      <c r="F1101" s="24">
        <f>D1101*E1101</f>
        <v/>
      </c>
      <c r="G1101" s="22" t="n"/>
    </row>
    <row r="1102">
      <c r="A1102" s="22" t="inlineStr">
        <is>
          <t>9999</t>
        </is>
      </c>
      <c r="B1102" s="11" t="inlineStr">
        <is>
          <t>Sundries</t>
        </is>
      </c>
      <c r="C1102" s="22" t="inlineStr">
        <is>
          <t>L.S.</t>
        </is>
      </c>
      <c r="D1102" s="23" t="n">
        <v>13</v>
      </c>
      <c r="E1102" s="24" t="n">
        <v>2</v>
      </c>
      <c r="F1102" s="24">
        <f>D1102*E1102</f>
        <v/>
      </c>
      <c r="G1102" s="22" t="n"/>
    </row>
    <row r="1103">
      <c r="A1103" s="22" t="inlineStr">
        <is>
          <t>0111</t>
        </is>
      </c>
      <c r="B1103" s="11" t="inlineStr">
        <is>
          <t>Carpenter 1st class</t>
        </is>
      </c>
      <c r="C1103" s="22" t="inlineStr">
        <is>
          <t>day</t>
        </is>
      </c>
      <c r="D1103" s="23" t="n">
        <v>0.5</v>
      </c>
      <c r="E1103" s="24" t="n">
        <v>738</v>
      </c>
      <c r="F1103" s="24">
        <f>D1103*E1103</f>
        <v/>
      </c>
      <c r="G1103" s="22" t="n"/>
    </row>
    <row r="1104">
      <c r="A1104" s="22" t="inlineStr">
        <is>
          <t>0114</t>
        </is>
      </c>
      <c r="B1104" s="11" t="inlineStr">
        <is>
          <t>Beldar</t>
        </is>
      </c>
      <c r="C1104" s="22" t="inlineStr">
        <is>
          <t>day</t>
        </is>
      </c>
      <c r="D1104" s="23" t="n">
        <v>0.5</v>
      </c>
      <c r="E1104" s="24" t="n">
        <v>558</v>
      </c>
      <c r="F1104" s="24">
        <f>D1104*E1104</f>
        <v/>
      </c>
      <c r="G1104" s="22" t="n"/>
    </row>
    <row r="1105">
      <c r="A1105" s="8" t="inlineStr">
        <is>
          <t>Calculated W - SUM of the Amount column above</t>
        </is>
      </c>
      <c r="B1105" s="9" t="n"/>
      <c r="C1105" s="9" t="n"/>
      <c r="D1105" s="9" t="n"/>
      <c r="E1105" s="9" t="n"/>
      <c r="F1105" s="25">
        <f>SUM(F1100:F1104)</f>
        <v/>
      </c>
      <c r="G1105" s="9" t="n"/>
    </row>
    <row r="1106">
      <c r="A1106" s="26" t="inlineStr">
        <is>
          <t>W as printed in the DAR</t>
        </is>
      </c>
      <c r="B1106" s="22" t="n"/>
      <c r="C1106" s="22" t="n"/>
      <c r="D1106" s="22" t="n"/>
      <c r="E1106" s="22" t="n"/>
      <c r="F1106" s="27" t="n">
        <v>2056</v>
      </c>
      <c r="G1106" s="22" t="n"/>
    </row>
    <row r="1107">
      <c r="A1107" s="26" t="inlineStr">
        <is>
          <t>Difference (calculated - printed)</t>
        </is>
      </c>
      <c r="B1107" s="22" t="n"/>
      <c r="C1107" s="22" t="n"/>
      <c r="D1107" s="22" t="n"/>
      <c r="E1107" s="22" t="n"/>
      <c r="F1107" s="27">
        <f>F1105-F1106</f>
        <v/>
      </c>
      <c r="G1107" s="22" t="n"/>
    </row>
    <row r="1108">
      <c r="A1108" s="29" t="inlineStr">
        <is>
          <t>SAY (Rs.) - final DAR rate as printed (fixed value, not computed)</t>
        </is>
      </c>
      <c r="B1108" s="30" t="n"/>
      <c r="C1108" s="30" t="n"/>
      <c r="D1108" s="30" t="n"/>
      <c r="E1108" s="30" t="n"/>
      <c r="F1108" s="31" t="n">
        <v>275.1</v>
      </c>
      <c r="G1108" s="30" t="n"/>
    </row>
    <row r="1110" ht="33" customHeight="1">
      <c r="A1110" s="8" t="inlineStr">
        <is>
          <t>12.36</t>
        </is>
      </c>
      <c r="B1110" s="17" t="inlineStr">
        <is>
          <t>Thermal Insulation of roofing with Expanded polystyrene fixed with suitable adhesive to the false ceiling as per the directions of the Engineer-in-charge:</t>
        </is>
      </c>
      <c r="C1110" s="9" t="n"/>
      <c r="D1110" s="9" t="n"/>
      <c r="E1110" s="9" t="n"/>
      <c r="F1110" s="9" t="n"/>
      <c r="G1110" s="9" t="n"/>
    </row>
    <row r="1111" ht="18.5" customHeight="1">
      <c r="A1111" s="18" t="inlineStr">
        <is>
          <t>12.36.2</t>
        </is>
      </c>
      <c r="B1111" s="19" t="inlineStr">
        <is>
          <t>With Type SE - Self Extinguishing type 50 mm thick</t>
        </is>
      </c>
      <c r="C1111" s="20" t="n"/>
      <c r="D1111" s="20" t="n"/>
      <c r="E1111" s="20" t="n"/>
      <c r="F1111" s="20" t="n"/>
      <c r="G1111" s="20" t="n"/>
    </row>
    <row r="1112">
      <c r="A1112" s="21" t="inlineStr">
        <is>
          <t>Details of cost for 10 sqm   |   Source: CivilDAR_2019_Vol_1.pdf, page 860</t>
        </is>
      </c>
    </row>
    <row r="1113">
      <c r="A1113" s="5" t="inlineStr">
        <is>
          <t>Code</t>
        </is>
      </c>
      <c r="B1113" s="5" t="inlineStr">
        <is>
          <t>Description</t>
        </is>
      </c>
      <c r="C1113" s="5" t="inlineStr">
        <is>
          <t>Unit</t>
        </is>
      </c>
      <c r="D1113" s="5" t="inlineStr">
        <is>
          <t>Quantity</t>
        </is>
      </c>
      <c r="E1113" s="5" t="inlineStr">
        <is>
          <t>Rate (Rs.)</t>
        </is>
      </c>
      <c r="F1113" s="5" t="inlineStr">
        <is>
          <t>Amount (Rs.)</t>
        </is>
      </c>
      <c r="G1113" s="5" t="inlineStr">
        <is>
          <t>Note</t>
        </is>
      </c>
    </row>
    <row r="1114">
      <c r="A1114" s="22" t="inlineStr">
        <is>
          <t>7091</t>
        </is>
      </c>
      <c r="B1114" s="11" t="inlineStr">
        <is>
          <t>Expanded polystyrene type - SE</t>
        </is>
      </c>
      <c r="C1114" s="22" t="inlineStr">
        <is>
          <t>sqm</t>
        </is>
      </c>
      <c r="D1114" s="23" t="n">
        <v>11</v>
      </c>
      <c r="E1114" s="24" t="n">
        <v>150</v>
      </c>
      <c r="F1114" s="24">
        <f>D1114*E1114</f>
        <v/>
      </c>
      <c r="G1114" s="22" t="n"/>
    </row>
    <row r="1115">
      <c r="A1115" s="22" t="inlineStr">
        <is>
          <t>0314</t>
        </is>
      </c>
      <c r="B1115" s="11" t="inlineStr">
        <is>
          <t>Bitumen hot sealing compound : grade A</t>
        </is>
      </c>
      <c r="C1115" s="22" t="inlineStr">
        <is>
          <t>kilogram</t>
        </is>
      </c>
      <c r="D1115" s="23" t="n">
        <v>0.25</v>
      </c>
      <c r="E1115" s="24" t="n">
        <v>28</v>
      </c>
      <c r="F1115" s="24">
        <f>D1115*E1115</f>
        <v/>
      </c>
      <c r="G1115" s="22" t="n"/>
    </row>
    <row r="1116">
      <c r="A1116" s="22" t="inlineStr">
        <is>
          <t>9999</t>
        </is>
      </c>
      <c r="B1116" s="11" t="inlineStr">
        <is>
          <t>Sundries</t>
        </is>
      </c>
      <c r="C1116" s="22" t="inlineStr">
        <is>
          <t>L.S.</t>
        </is>
      </c>
      <c r="D1116" s="23" t="n">
        <v>13</v>
      </c>
      <c r="E1116" s="24" t="n">
        <v>2</v>
      </c>
      <c r="F1116" s="24">
        <f>D1116*E1116</f>
        <v/>
      </c>
      <c r="G1116" s="22" t="n"/>
    </row>
    <row r="1117">
      <c r="A1117" s="22" t="inlineStr">
        <is>
          <t>0111</t>
        </is>
      </c>
      <c r="B1117" s="11" t="inlineStr">
        <is>
          <t>Carpenter 1st class</t>
        </is>
      </c>
      <c r="C1117" s="22" t="inlineStr">
        <is>
          <t>day</t>
        </is>
      </c>
      <c r="D1117" s="23" t="n">
        <v>0.5</v>
      </c>
      <c r="E1117" s="24" t="n">
        <v>738</v>
      </c>
      <c r="F1117" s="24">
        <f>D1117*E1117</f>
        <v/>
      </c>
      <c r="G1117" s="22" t="n"/>
    </row>
    <row r="1118">
      <c r="A1118" s="22" t="inlineStr">
        <is>
          <t>0114</t>
        </is>
      </c>
      <c r="B1118" s="11" t="inlineStr">
        <is>
          <t>Beldar</t>
        </is>
      </c>
      <c r="C1118" s="22" t="inlineStr">
        <is>
          <t>day</t>
        </is>
      </c>
      <c r="D1118" s="23" t="n">
        <v>0.5</v>
      </c>
      <c r="E1118" s="24" t="n">
        <v>558</v>
      </c>
      <c r="F1118" s="24">
        <f>D1118*E1118</f>
        <v/>
      </c>
      <c r="G1118" s="22" t="n"/>
    </row>
    <row r="1119">
      <c r="A1119" s="8" t="inlineStr">
        <is>
          <t>Calculated W - SUM of the Amount column above</t>
        </is>
      </c>
      <c r="B1119" s="9" t="n"/>
      <c r="C1119" s="9" t="n"/>
      <c r="D1119" s="9" t="n"/>
      <c r="E1119" s="9" t="n"/>
      <c r="F1119" s="25">
        <f>SUM(F1114:F1118)</f>
        <v/>
      </c>
      <c r="G1119" s="9" t="n"/>
    </row>
    <row r="1120">
      <c r="A1120" s="26" t="inlineStr">
        <is>
          <t>W as printed in the DAR</t>
        </is>
      </c>
      <c r="B1120" s="22" t="n"/>
      <c r="C1120" s="22" t="n"/>
      <c r="D1120" s="22" t="n"/>
      <c r="E1120" s="22" t="n"/>
      <c r="F1120" s="27" t="n">
        <v>2331</v>
      </c>
      <c r="G1120" s="22" t="n"/>
    </row>
    <row r="1121">
      <c r="A1121" s="26" t="inlineStr">
        <is>
          <t>Difference (calculated - printed)</t>
        </is>
      </c>
      <c r="B1121" s="22" t="n"/>
      <c r="C1121" s="22" t="n"/>
      <c r="D1121" s="22" t="n"/>
      <c r="E1121" s="22" t="n"/>
      <c r="F1121" s="27">
        <f>F1119-F1120</f>
        <v/>
      </c>
      <c r="G1121" s="22" t="n"/>
    </row>
    <row r="1122">
      <c r="A1122" s="29" t="inlineStr">
        <is>
          <t>SAY (Rs.) - final DAR rate as printed (fixed value, not computed)</t>
        </is>
      </c>
      <c r="B1122" s="30" t="n"/>
      <c r="C1122" s="30" t="n"/>
      <c r="D1122" s="30" t="n"/>
      <c r="E1122" s="30" t="n"/>
      <c r="F1122" s="31" t="n">
        <v>311.85</v>
      </c>
      <c r="G1122" s="30" t="n"/>
    </row>
    <row r="1124" ht="18.5" customHeight="1">
      <c r="A1124" s="8" t="inlineStr">
        <is>
          <t>12.37</t>
        </is>
      </c>
      <c r="B1124" s="17" t="inlineStr">
        <is>
          <t>Providing and fixing 100 mm diameter and 60 cm long rain water spout in cement mortar 1:4 (1 cement : 4 fine sand).</t>
        </is>
      </c>
      <c r="C1124" s="9" t="n"/>
      <c r="D1124" s="9" t="n"/>
      <c r="E1124" s="9" t="n"/>
      <c r="F1124" s="9" t="n"/>
      <c r="G1124" s="9" t="n"/>
    </row>
    <row r="1125" ht="18.5" customHeight="1">
      <c r="A1125" s="18" t="inlineStr">
        <is>
          <t>12.37.1</t>
        </is>
      </c>
      <c r="B1125" s="19" t="inlineStr">
        <is>
          <t>Stone ware spout</t>
        </is>
      </c>
      <c r="C1125" s="20" t="n"/>
      <c r="D1125" s="20" t="n"/>
      <c r="E1125" s="20" t="n"/>
      <c r="F1125" s="20" t="n"/>
      <c r="G1125" s="20" t="n"/>
    </row>
    <row r="1126">
      <c r="A1126" s="21" t="inlineStr">
        <is>
          <t>Details of cost for 10 spouts   |   Source: CivilDAR_2019_Vol_1.pdf, page 861</t>
        </is>
      </c>
    </row>
    <row r="1127">
      <c r="A1127" s="5" t="inlineStr">
        <is>
          <t>Code</t>
        </is>
      </c>
      <c r="B1127" s="5" t="inlineStr">
        <is>
          <t>Description</t>
        </is>
      </c>
      <c r="C1127" s="5" t="inlineStr">
        <is>
          <t>Unit</t>
        </is>
      </c>
      <c r="D1127" s="5" t="inlineStr">
        <is>
          <t>Quantity</t>
        </is>
      </c>
      <c r="E1127" s="5" t="inlineStr">
        <is>
          <t>Rate (Rs.)</t>
        </is>
      </c>
      <c r="F1127" s="5" t="inlineStr">
        <is>
          <t>Amount (Rs.)</t>
        </is>
      </c>
      <c r="G1127" s="5" t="inlineStr">
        <is>
          <t>Note</t>
        </is>
      </c>
    </row>
    <row r="1128">
      <c r="A1128" s="22" t="inlineStr">
        <is>
          <t>3004</t>
        </is>
      </c>
      <c r="B1128" s="11" t="inlineStr">
        <is>
          <t>Stone ware spouts 100 mm dia 60 cm long</t>
        </is>
      </c>
      <c r="C1128" s="22" t="inlineStr">
        <is>
          <t>each</t>
        </is>
      </c>
      <c r="D1128" s="23" t="n">
        <v>10</v>
      </c>
      <c r="E1128" s="24" t="n">
        <v>40</v>
      </c>
      <c r="F1128" s="24">
        <f>D1128*E1128</f>
        <v/>
      </c>
      <c r="G1128" s="22" t="n"/>
    </row>
    <row r="1129">
      <c r="A1129" s="22" t="inlineStr">
        <is>
          <t>9977</t>
        </is>
      </c>
      <c r="B1129" s="11" t="inlineStr">
        <is>
          <t>CARRIAGE</t>
        </is>
      </c>
      <c r="C1129" s="22" t="inlineStr">
        <is>
          <t>L.S.</t>
        </is>
      </c>
      <c r="D1129" s="23" t="n">
        <v>13.52</v>
      </c>
      <c r="E1129" s="24" t="n">
        <v>2</v>
      </c>
      <c r="F1129" s="24">
        <f>D1129*E1129</f>
        <v/>
      </c>
      <c r="G1129" s="22" t="n"/>
    </row>
    <row r="1130">
      <c r="A1130" s="22" t="inlineStr">
        <is>
          <t>9999</t>
        </is>
      </c>
      <c r="B1130" s="11" t="inlineStr">
        <is>
          <t>Mortar</t>
        </is>
      </c>
      <c r="C1130" s="22" t="inlineStr">
        <is>
          <t>L.S.</t>
        </is>
      </c>
      <c r="D1130" s="23" t="n">
        <v>13.52</v>
      </c>
      <c r="E1130" s="24" t="n">
        <v>2</v>
      </c>
      <c r="F1130" s="24">
        <f>D1130*E1130</f>
        <v/>
      </c>
      <c r="G1130" s="22" t="n"/>
    </row>
    <row r="1131">
      <c r="A1131" s="22" t="inlineStr">
        <is>
          <t>0124</t>
        </is>
      </c>
      <c r="B1131" s="11" t="inlineStr">
        <is>
          <t>Mason (brick layer) 2nd class</t>
        </is>
      </c>
      <c r="C1131" s="22" t="inlineStr">
        <is>
          <t>day</t>
        </is>
      </c>
      <c r="D1131" s="23" t="n">
        <v>0.4</v>
      </c>
      <c r="E1131" s="24" t="n">
        <v>679</v>
      </c>
      <c r="F1131" s="24">
        <f>D1131*E1131</f>
        <v/>
      </c>
      <c r="G1131" s="22" t="n"/>
    </row>
    <row r="1132">
      <c r="A1132" s="22" t="inlineStr">
        <is>
          <t>0114</t>
        </is>
      </c>
      <c r="B1132" s="11" t="inlineStr">
        <is>
          <t>Beldar</t>
        </is>
      </c>
      <c r="C1132" s="22" t="inlineStr">
        <is>
          <t>day</t>
        </is>
      </c>
      <c r="D1132" s="23" t="n">
        <v>0.4</v>
      </c>
      <c r="E1132" s="24" t="n">
        <v>558</v>
      </c>
      <c r="F1132" s="24">
        <f>D1132*E1132</f>
        <v/>
      </c>
      <c r="G1132" s="22" t="n"/>
    </row>
    <row r="1133">
      <c r="A1133" s="22" t="inlineStr">
        <is>
          <t>9999</t>
        </is>
      </c>
      <c r="B1133" s="11" t="inlineStr">
        <is>
          <t>Sundries</t>
        </is>
      </c>
      <c r="C1133" s="22" t="inlineStr">
        <is>
          <t>L.S.</t>
        </is>
      </c>
      <c r="D1133" s="23" t="n">
        <v>5.33</v>
      </c>
      <c r="E1133" s="24" t="n">
        <v>2</v>
      </c>
      <c r="F1133" s="24">
        <f>D1133*E1133</f>
        <v/>
      </c>
      <c r="G1133" s="22" t="n"/>
    </row>
    <row r="1134">
      <c r="A1134" s="8" t="inlineStr">
        <is>
          <t>Calculated W - SUM of the Amount column above</t>
        </is>
      </c>
      <c r="B1134" s="9" t="n"/>
      <c r="C1134" s="9" t="n"/>
      <c r="D1134" s="9" t="n"/>
      <c r="E1134" s="9" t="n"/>
      <c r="F1134" s="25">
        <f>SUM(F1128:F1133)</f>
        <v/>
      </c>
      <c r="G1134" s="9" t="n"/>
    </row>
    <row r="1135">
      <c r="A1135" s="26" t="inlineStr">
        <is>
          <t>W as printed in the DAR</t>
        </is>
      </c>
      <c r="B1135" s="22" t="n"/>
      <c r="C1135" s="22" t="n"/>
      <c r="D1135" s="22" t="n"/>
      <c r="E1135" s="22" t="n"/>
      <c r="F1135" s="27" t="n">
        <v>959.54</v>
      </c>
      <c r="G1135" s="22" t="n"/>
    </row>
    <row r="1136">
      <c r="A1136" s="26" t="inlineStr">
        <is>
          <t>Difference (calculated - printed)</t>
        </is>
      </c>
      <c r="B1136" s="22" t="n"/>
      <c r="C1136" s="22" t="n"/>
      <c r="D1136" s="22" t="n"/>
      <c r="E1136" s="22" t="n"/>
      <c r="F1136" s="27">
        <f>F1134-F1135</f>
        <v/>
      </c>
      <c r="G1136" s="22" t="n"/>
    </row>
    <row r="1137">
      <c r="A1137" s="29" t="inlineStr">
        <is>
          <t>SAY (Rs.) - final DAR rate as printed (fixed value, not computed)</t>
        </is>
      </c>
      <c r="B1137" s="30" t="n"/>
      <c r="C1137" s="30" t="n"/>
      <c r="D1137" s="30" t="n"/>
      <c r="E1137" s="30" t="n"/>
      <c r="F1137" s="31" t="n">
        <v>128.4</v>
      </c>
      <c r="G1137" s="30" t="n"/>
    </row>
    <row r="1139" ht="47.5" customHeight="1">
      <c r="A1139" s="8" t="inlineStr">
        <is>
          <t>12.38</t>
        </is>
      </c>
      <c r="B1139" s="17"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is>
      </c>
      <c r="C1139" s="9" t="n"/>
      <c r="D1139" s="9" t="n"/>
      <c r="E1139" s="9" t="n"/>
      <c r="F1139" s="9" t="n"/>
      <c r="G1139" s="9" t="n"/>
    </row>
    <row r="1140" ht="18.5" customHeight="1">
      <c r="A1140" s="18" t="inlineStr">
        <is>
          <t>12.38.1</t>
        </is>
      </c>
      <c r="B1140" s="19" t="inlineStr">
        <is>
          <t>100 mm diameter</t>
        </is>
      </c>
      <c r="C1140" s="20" t="n"/>
      <c r="D1140" s="20" t="n"/>
      <c r="E1140" s="20" t="n"/>
      <c r="F1140" s="20" t="n"/>
      <c r="G1140" s="20" t="n"/>
    </row>
    <row r="1141">
      <c r="A1141" s="21" t="inlineStr">
        <is>
          <t>Details of cost for 5 bat   |   Source: CivilDAR_2019_Vol_1.pdf, page 861</t>
        </is>
      </c>
    </row>
    <row r="1142">
      <c r="A1142" s="5" t="inlineStr">
        <is>
          <t>Code</t>
        </is>
      </c>
      <c r="B1142" s="5" t="inlineStr">
        <is>
          <t>Description</t>
        </is>
      </c>
      <c r="C1142" s="5" t="inlineStr">
        <is>
          <t>Unit</t>
        </is>
      </c>
      <c r="D1142" s="5" t="inlineStr">
        <is>
          <t>Quantity</t>
        </is>
      </c>
      <c r="E1142" s="5" t="inlineStr">
        <is>
          <t>Rate (Rs.)</t>
        </is>
      </c>
      <c r="F1142" s="5" t="inlineStr">
        <is>
          <t>Amount (Rs.)</t>
        </is>
      </c>
      <c r="G1142" s="5" t="inlineStr">
        <is>
          <t>Note</t>
        </is>
      </c>
    </row>
    <row r="1143">
      <c r="A1143" s="22" t="inlineStr">
        <is>
          <t>1331</t>
        </is>
      </c>
      <c r="B1143" s="11" t="inlineStr">
        <is>
          <t>M.S.Holder bat clamp of approved design for 100 mm S.C.I. pipe</t>
        </is>
      </c>
      <c r="C1143" s="22" t="inlineStr">
        <is>
          <t>each</t>
        </is>
      </c>
      <c r="D1143" s="23" t="n">
        <v>5</v>
      </c>
      <c r="E1143" s="24" t="n">
        <v>30</v>
      </c>
      <c r="F1143" s="24">
        <f>D1143*E1143</f>
        <v/>
      </c>
      <c r="G1143" s="22" t="n"/>
    </row>
    <row r="1144">
      <c r="A1144" s="22" t="inlineStr">
        <is>
          <t>9977</t>
        </is>
      </c>
      <c r="B1144" s="11" t="inlineStr">
        <is>
          <t>Carriage of bat clamps</t>
        </is>
      </c>
      <c r="C1144" s="22" t="inlineStr">
        <is>
          <t>L.S.</t>
        </is>
      </c>
      <c r="D1144" s="23" t="n">
        <v>2.47</v>
      </c>
      <c r="E1144" s="24" t="n">
        <v>2</v>
      </c>
      <c r="F1144" s="24">
        <f>D1144*E1144</f>
        <v/>
      </c>
      <c r="G1144" s="22" t="n"/>
    </row>
    <row r="1145">
      <c r="A1145" s="22" t="inlineStr">
        <is>
          <t>9999</t>
        </is>
      </c>
      <c r="B1145" s="11" t="inlineStr">
        <is>
          <t>Sundries</t>
        </is>
      </c>
      <c r="C1145" s="22" t="inlineStr">
        <is>
          <t>L.S.</t>
        </is>
      </c>
      <c r="D1145" s="23" t="n">
        <v>7.15</v>
      </c>
      <c r="E1145" s="24" t="n">
        <v>2</v>
      </c>
      <c r="F1145" s="24">
        <f>D1145*E1145</f>
        <v/>
      </c>
      <c r="G1145" s="22" t="n"/>
    </row>
    <row r="1146">
      <c r="A1146" s="22" t="inlineStr">
        <is>
          <t>0116</t>
        </is>
      </c>
      <c r="B1146" s="11" t="inlineStr">
        <is>
          <t>Fitter (grade 1)</t>
        </is>
      </c>
      <c r="C1146" s="22" t="inlineStr">
        <is>
          <t>day</t>
        </is>
      </c>
      <c r="D1146" s="23" t="n">
        <v>0.125</v>
      </c>
      <c r="E1146" s="24" t="n">
        <v>738</v>
      </c>
      <c r="F1146" s="24">
        <f>D1146*E1146</f>
        <v/>
      </c>
      <c r="G1146" s="22" t="n"/>
    </row>
    <row r="1147">
      <c r="A1147" s="22" t="inlineStr">
        <is>
          <t>0124</t>
        </is>
      </c>
      <c r="B1147" s="11" t="inlineStr">
        <is>
          <t>Mason (brick layer) 2nd class</t>
        </is>
      </c>
      <c r="C1147" s="22" t="inlineStr">
        <is>
          <t>day</t>
        </is>
      </c>
      <c r="D1147" s="23" t="n">
        <v>0.75</v>
      </c>
      <c r="E1147" s="24" t="n">
        <v>679</v>
      </c>
      <c r="F1147" s="24">
        <f>D1147*E1147</f>
        <v/>
      </c>
      <c r="G1147" s="22" t="n"/>
    </row>
    <row r="1148">
      <c r="A1148" s="22" t="inlineStr">
        <is>
          <t>0114</t>
        </is>
      </c>
      <c r="B1148" s="11" t="inlineStr">
        <is>
          <t>Beldar</t>
        </is>
      </c>
      <c r="C1148" s="22" t="inlineStr">
        <is>
          <t>day</t>
        </is>
      </c>
      <c r="D1148" s="23" t="n">
        <v>0.5</v>
      </c>
      <c r="E1148" s="24" t="n">
        <v>558</v>
      </c>
      <c r="F1148" s="24">
        <f>D1148*E1148</f>
        <v/>
      </c>
      <c r="G1148" s="22" t="n"/>
    </row>
    <row r="1149">
      <c r="A1149" s="22" t="inlineStr">
        <is>
          <t>0295</t>
        </is>
      </c>
      <c r="B1149" s="11" t="inlineStr">
        <is>
          <t>Stone Aggregate (Single size) : 20 mm nominal size</t>
        </is>
      </c>
      <c r="C1149" s="22" t="inlineStr">
        <is>
          <t>cum</t>
        </is>
      </c>
      <c r="D1149" s="23" t="n">
        <v>0.0033</v>
      </c>
      <c r="E1149" s="24" t="n">
        <v>1350</v>
      </c>
      <c r="F1149" s="24">
        <f>D1149*E1149</f>
        <v/>
      </c>
      <c r="G1149" s="22" t="n"/>
    </row>
    <row r="1150">
      <c r="A1150" s="22" t="inlineStr">
        <is>
          <t>0297</t>
        </is>
      </c>
      <c r="B1150" s="11" t="inlineStr">
        <is>
          <t>Stone Aggregate (Single size) : 10 mm nominal size</t>
        </is>
      </c>
      <c r="C1150" s="22" t="inlineStr">
        <is>
          <t>cum</t>
        </is>
      </c>
      <c r="D1150" s="23" t="n">
        <v>0.0011</v>
      </c>
      <c r="E1150" s="24" t="n">
        <v>1350</v>
      </c>
      <c r="F1150" s="24">
        <f>D1150*E1150</f>
        <v/>
      </c>
      <c r="G1150" s="22" t="n"/>
    </row>
    <row r="1151">
      <c r="A1151" s="22" t="inlineStr">
        <is>
          <t>2202</t>
        </is>
      </c>
      <c r="B1151" s="11" t="inlineStr">
        <is>
          <t>Carriage of Stone aggregate below 40 mm nominal size</t>
        </is>
      </c>
      <c r="C1151" s="22" t="inlineStr">
        <is>
          <t>cum</t>
        </is>
      </c>
      <c r="D1151" s="23" t="n">
        <v>0.0044</v>
      </c>
      <c r="E1151" s="24" t="n">
        <v>103.77</v>
      </c>
      <c r="F1151" s="24">
        <f>D1151*E1151</f>
        <v/>
      </c>
      <c r="G1151" s="22" t="n"/>
    </row>
    <row r="1152">
      <c r="A1152" s="22" t="inlineStr">
        <is>
          <t>0982</t>
        </is>
      </c>
      <c r="B1152" s="11" t="inlineStr">
        <is>
          <t>Coarse sand (zone III)</t>
        </is>
      </c>
      <c r="C1152" s="22" t="inlineStr">
        <is>
          <t>cum</t>
        </is>
      </c>
      <c r="D1152" s="23" t="n">
        <v>0.0022</v>
      </c>
      <c r="E1152" s="24" t="n">
        <v>1350</v>
      </c>
      <c r="F1152" s="24">
        <f>D1152*E1152</f>
        <v/>
      </c>
      <c r="G1152" s="22" t="n"/>
    </row>
    <row r="1153">
      <c r="A1153" s="22" t="inlineStr">
        <is>
          <t>2203</t>
        </is>
      </c>
      <c r="B1153" s="11" t="inlineStr">
        <is>
          <t>Carriage of Coarse sand</t>
        </is>
      </c>
      <c r="C1153" s="22" t="inlineStr">
        <is>
          <t>cum</t>
        </is>
      </c>
      <c r="D1153" s="23" t="n">
        <v>0.0022</v>
      </c>
      <c r="E1153" s="24" t="n">
        <v>103.77</v>
      </c>
      <c r="F1153" s="24">
        <f>D1153*E1153</f>
        <v/>
      </c>
      <c r="G1153" s="22" t="n"/>
    </row>
    <row r="1154">
      <c r="A1154" s="22" t="inlineStr">
        <is>
          <t>0367</t>
        </is>
      </c>
      <c r="B1154" s="11" t="inlineStr">
        <is>
          <t>Portland Cement (OPC-43 grade)</t>
        </is>
      </c>
      <c r="C1154" s="22" t="inlineStr">
        <is>
          <t>tonne</t>
        </is>
      </c>
      <c r="D1154" s="23" t="n">
        <v>0.0016</v>
      </c>
      <c r="E1154" s="24" t="n">
        <v>4940</v>
      </c>
      <c r="F1154" s="24">
        <f>D1154*E1154</f>
        <v/>
      </c>
      <c r="G1154" s="22" t="n"/>
    </row>
    <row r="1155">
      <c r="A1155" s="22" t="inlineStr">
        <is>
          <t>2209</t>
        </is>
      </c>
      <c r="B1155" s="11" t="inlineStr">
        <is>
          <t>Carriage of Cement</t>
        </is>
      </c>
      <c r="C1155" s="22" t="inlineStr">
        <is>
          <t>tonne</t>
        </is>
      </c>
      <c r="D1155" s="23" t="n">
        <v>0.0016</v>
      </c>
      <c r="E1155" s="24" t="n">
        <v>92.23999999999999</v>
      </c>
      <c r="F1155" s="24">
        <f>D1155*E1155</f>
        <v/>
      </c>
      <c r="G1155" s="22" t="n"/>
    </row>
    <row r="1156">
      <c r="A1156" s="22" t="inlineStr">
        <is>
          <t>0114</t>
        </is>
      </c>
      <c r="B1156" s="11" t="inlineStr">
        <is>
          <t>Beldar</t>
        </is>
      </c>
      <c r="C1156" s="22" t="inlineStr">
        <is>
          <t>day</t>
        </is>
      </c>
      <c r="D1156" s="23" t="n">
        <v>0.0045</v>
      </c>
      <c r="E1156" s="24" t="n">
        <v>558</v>
      </c>
      <c r="F1156" s="24">
        <f>D1156*E1156</f>
        <v/>
      </c>
      <c r="G1156" s="22" t="n"/>
    </row>
    <row r="1157">
      <c r="A1157" s="22" t="inlineStr">
        <is>
          <t>0115</t>
        </is>
      </c>
      <c r="B1157" s="11" t="inlineStr">
        <is>
          <t>Coolie</t>
        </is>
      </c>
      <c r="C1157" s="22" t="inlineStr">
        <is>
          <t>day</t>
        </is>
      </c>
      <c r="D1157" s="23" t="n">
        <v>0.0032</v>
      </c>
      <c r="E1157" s="24" t="n">
        <v>558</v>
      </c>
      <c r="F1157" s="24">
        <f>D1157*E1157</f>
        <v/>
      </c>
      <c r="G1157" s="22" t="n"/>
    </row>
    <row r="1158">
      <c r="A1158" s="22" t="inlineStr">
        <is>
          <t>0101</t>
        </is>
      </c>
      <c r="B1158" s="11" t="inlineStr">
        <is>
          <t>Bhisti</t>
        </is>
      </c>
      <c r="C1158" s="22" t="inlineStr">
        <is>
          <t>day</t>
        </is>
      </c>
      <c r="D1158" s="23" t="n">
        <v>0.0014</v>
      </c>
      <c r="E1158" s="24" t="n">
        <v>617</v>
      </c>
      <c r="F1158" s="24">
        <f>D1158*E1158</f>
        <v/>
      </c>
      <c r="G1158" s="22" t="n"/>
    </row>
    <row r="1159">
      <c r="A1159" s="22" t="inlineStr">
        <is>
          <t>0123</t>
        </is>
      </c>
      <c r="B1159" s="11" t="inlineStr">
        <is>
          <t>Mason (brick layer) 1st class</t>
        </is>
      </c>
      <c r="C1159" s="22" t="inlineStr">
        <is>
          <t>day</t>
        </is>
      </c>
      <c r="D1159" s="23" t="n">
        <v>0.0003</v>
      </c>
      <c r="E1159" s="24" t="n">
        <v>738</v>
      </c>
      <c r="F1159" s="24">
        <f>D1159*E1159</f>
        <v/>
      </c>
      <c r="G1159" s="22" t="n"/>
    </row>
    <row r="1160">
      <c r="A1160" s="22" t="inlineStr">
        <is>
          <t>0124</t>
        </is>
      </c>
      <c r="B1160" s="11" t="inlineStr">
        <is>
          <t>Mason (brick layer) 2nd class</t>
        </is>
      </c>
      <c r="C1160" s="22" t="inlineStr">
        <is>
          <t>day</t>
        </is>
      </c>
      <c r="D1160" s="23" t="n">
        <v>0.0003</v>
      </c>
      <c r="E1160" s="24" t="n">
        <v>679</v>
      </c>
      <c r="F1160" s="24">
        <f>D1160*E1160</f>
        <v/>
      </c>
      <c r="G1160" s="22" t="n"/>
    </row>
    <row r="1161">
      <c r="A1161" s="22" t="inlineStr">
        <is>
          <t>0128</t>
        </is>
      </c>
      <c r="B1161" s="11" t="inlineStr">
        <is>
          <t>Mate</t>
        </is>
      </c>
      <c r="C1161" s="22" t="inlineStr">
        <is>
          <t>day</t>
        </is>
      </c>
      <c r="D1161" s="23" t="n">
        <v>0.0002</v>
      </c>
      <c r="E1161" s="24" t="n">
        <v>617</v>
      </c>
      <c r="F1161" s="24">
        <f>D1161*E1161</f>
        <v/>
      </c>
      <c r="G1161" s="22" t="n"/>
    </row>
    <row r="1162">
      <c r="A1162" s="22" t="inlineStr">
        <is>
          <t>9999</t>
        </is>
      </c>
      <c r="B1162" s="11" t="inlineStr">
        <is>
          <t>Hire charges of machine etc.</t>
        </is>
      </c>
      <c r="C1162" s="22" t="inlineStr">
        <is>
          <t>L.S.</t>
        </is>
      </c>
      <c r="D1162" s="23" t="n">
        <v>0.26</v>
      </c>
      <c r="E1162" s="24" t="n">
        <v>2</v>
      </c>
      <c r="F1162" s="24">
        <f>D1162*E1162</f>
        <v/>
      </c>
      <c r="G1162" s="22" t="n"/>
    </row>
    <row r="1163">
      <c r="A1163" s="22" t="inlineStr">
        <is>
          <t>9999</t>
        </is>
      </c>
      <c r="B1163" s="11" t="inlineStr">
        <is>
          <t>Sundries</t>
        </is>
      </c>
      <c r="C1163" s="22" t="inlineStr">
        <is>
          <t>L.S.</t>
        </is>
      </c>
      <c r="D1163" s="23" t="n">
        <v>0.13</v>
      </c>
      <c r="E1163" s="24" t="n">
        <v>2</v>
      </c>
      <c r="F1163" s="24">
        <f>D1163*E1163</f>
        <v/>
      </c>
      <c r="G1163" s="22" t="n"/>
    </row>
    <row r="1164">
      <c r="A1164" s="22" t="inlineStr">
        <is>
          <t>9999</t>
        </is>
      </c>
      <c r="B1164" s="11" t="inlineStr">
        <is>
          <t>Sundries</t>
        </is>
      </c>
      <c r="C1164" s="22" t="inlineStr">
        <is>
          <t>L.S.</t>
        </is>
      </c>
      <c r="D1164" s="23" t="n">
        <v>0.13</v>
      </c>
      <c r="E1164" s="24" t="n">
        <v>2</v>
      </c>
      <c r="F1164" s="24">
        <f>D1164*E1164</f>
        <v/>
      </c>
      <c r="G1164" s="22" t="n"/>
    </row>
    <row r="1165">
      <c r="A1165" s="8" t="inlineStr">
        <is>
          <t>Calculated W - SUM of the Amount column above</t>
        </is>
      </c>
      <c r="B1165" s="9" t="n"/>
      <c r="C1165" s="9" t="n"/>
      <c r="D1165" s="9" t="n"/>
      <c r="E1165" s="9" t="n"/>
      <c r="F1165" s="25">
        <f>SUM(F1143:F1164)</f>
        <v/>
      </c>
      <c r="G1165" s="9" t="n"/>
    </row>
    <row r="1166">
      <c r="A1166" s="26" t="inlineStr">
        <is>
          <t>W as printed in the DAR</t>
        </is>
      </c>
      <c r="B1166" s="22" t="n"/>
      <c r="C1166" s="22" t="n"/>
      <c r="D1166" s="22" t="n"/>
      <c r="E1166" s="22" t="n"/>
      <c r="F1166" s="27" t="n">
        <v>1074.14</v>
      </c>
      <c r="G1166" s="22" t="n"/>
    </row>
    <row r="1167">
      <c r="A1167" s="26" t="inlineStr">
        <is>
          <t>Difference (calculated - printed)</t>
        </is>
      </c>
      <c r="B1167" s="22" t="n"/>
      <c r="C1167" s="22" t="n"/>
      <c r="D1167" s="22" t="n"/>
      <c r="E1167" s="22" t="n"/>
      <c r="F1167" s="27">
        <f>F1165-F1166</f>
        <v/>
      </c>
      <c r="G1167" s="22" t="n"/>
    </row>
    <row r="1168">
      <c r="A1168" s="29" t="inlineStr">
        <is>
          <t>SAY (Rs.) - final DAR rate as printed (fixed value, not computed)</t>
        </is>
      </c>
      <c r="B1168" s="30" t="n"/>
      <c r="C1168" s="30" t="n"/>
      <c r="D1168" s="30" t="n"/>
      <c r="E1168" s="30" t="n"/>
      <c r="F1168" s="31" t="n">
        <v>287.45</v>
      </c>
      <c r="G1168" s="30" t="n"/>
    </row>
    <row r="1170" ht="47.5" customHeight="1">
      <c r="A1170" s="8" t="inlineStr">
        <is>
          <t>12.38</t>
        </is>
      </c>
      <c r="B1170" s="17"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is>
      </c>
      <c r="C1170" s="9" t="n"/>
      <c r="D1170" s="9" t="n"/>
      <c r="E1170" s="9" t="n"/>
      <c r="F1170" s="9" t="n"/>
      <c r="G1170" s="9" t="n"/>
    </row>
    <row r="1171" ht="18.5" customHeight="1">
      <c r="A1171" s="18" t="inlineStr">
        <is>
          <t>12.38.2</t>
        </is>
      </c>
      <c r="B1171" s="19" t="inlineStr">
        <is>
          <t>150 mm diameter</t>
        </is>
      </c>
      <c r="C1171" s="20" t="n"/>
      <c r="D1171" s="20" t="n"/>
      <c r="E1171" s="20" t="n"/>
      <c r="F1171" s="20" t="n"/>
      <c r="G1171" s="20" t="n"/>
    </row>
    <row r="1172">
      <c r="A1172" s="21" t="inlineStr">
        <is>
          <t>Details of cost for 5 bat   |   Source: CivilDAR_2019_Vol_1.pdf, page 862</t>
        </is>
      </c>
    </row>
    <row r="1173">
      <c r="A1173" s="5" t="inlineStr">
        <is>
          <t>Code</t>
        </is>
      </c>
      <c r="B1173" s="5" t="inlineStr">
        <is>
          <t>Description</t>
        </is>
      </c>
      <c r="C1173" s="5" t="inlineStr">
        <is>
          <t>Unit</t>
        </is>
      </c>
      <c r="D1173" s="5" t="inlineStr">
        <is>
          <t>Quantity</t>
        </is>
      </c>
      <c r="E1173" s="5" t="inlineStr">
        <is>
          <t>Rate (Rs.)</t>
        </is>
      </c>
      <c r="F1173" s="5" t="inlineStr">
        <is>
          <t>Amount (Rs.)</t>
        </is>
      </c>
      <c r="G1173" s="5" t="inlineStr">
        <is>
          <t>Note</t>
        </is>
      </c>
    </row>
    <row r="1174">
      <c r="A1174" s="22" t="inlineStr">
        <is>
          <t>0886</t>
        </is>
      </c>
      <c r="B1174" s="11" t="inlineStr">
        <is>
          <t>Standard holdar bat clamps for sand cast iron or cast iron pipes 150 mm dia</t>
        </is>
      </c>
      <c r="C1174" s="22" t="inlineStr">
        <is>
          <t>each</t>
        </is>
      </c>
      <c r="D1174" s="23" t="n">
        <v>5</v>
      </c>
      <c r="E1174" s="24" t="n">
        <v>45</v>
      </c>
      <c r="F1174" s="24">
        <f>D1174*E1174</f>
        <v/>
      </c>
      <c r="G1174" s="22" t="n"/>
    </row>
    <row r="1175">
      <c r="A1175" s="22" t="inlineStr">
        <is>
          <t>9977</t>
        </is>
      </c>
      <c r="B1175" s="11" t="inlineStr">
        <is>
          <t>Carriage of bat clamps</t>
        </is>
      </c>
      <c r="C1175" s="22" t="inlineStr">
        <is>
          <t>L.S.</t>
        </is>
      </c>
      <c r="D1175" s="23" t="n">
        <v>2.47</v>
      </c>
      <c r="E1175" s="24" t="n">
        <v>2</v>
      </c>
      <c r="F1175" s="24">
        <f>D1175*E1175</f>
        <v/>
      </c>
      <c r="G1175" s="22" t="n"/>
    </row>
    <row r="1176">
      <c r="A1176" s="22" t="inlineStr">
        <is>
          <t>9999</t>
        </is>
      </c>
      <c r="B1176" s="11" t="inlineStr">
        <is>
          <t>Sundries</t>
        </is>
      </c>
      <c r="C1176" s="22" t="inlineStr">
        <is>
          <t>L.S.</t>
        </is>
      </c>
      <c r="D1176" s="23" t="n">
        <v>7.15</v>
      </c>
      <c r="E1176" s="24" t="n">
        <v>2</v>
      </c>
      <c r="F1176" s="24">
        <f>D1176*E1176</f>
        <v/>
      </c>
      <c r="G1176" s="22" t="n"/>
    </row>
    <row r="1177">
      <c r="A1177" s="22" t="inlineStr">
        <is>
          <t>0116</t>
        </is>
      </c>
      <c r="B1177" s="11" t="inlineStr">
        <is>
          <t>Fitter (grade 1)</t>
        </is>
      </c>
      <c r="C1177" s="22" t="inlineStr">
        <is>
          <t>day</t>
        </is>
      </c>
      <c r="D1177" s="23" t="n">
        <v>0.125</v>
      </c>
      <c r="E1177" s="24" t="n">
        <v>738</v>
      </c>
      <c r="F1177" s="24">
        <f>D1177*E1177</f>
        <v/>
      </c>
      <c r="G1177" s="22" t="n"/>
    </row>
    <row r="1178">
      <c r="A1178" s="22" t="inlineStr">
        <is>
          <t>0124</t>
        </is>
      </c>
      <c r="B1178" s="11" t="inlineStr">
        <is>
          <t>Mason (brick layer) 2nd class</t>
        </is>
      </c>
      <c r="C1178" s="22" t="inlineStr">
        <is>
          <t>day</t>
        </is>
      </c>
      <c r="D1178" s="23" t="n">
        <v>0.75</v>
      </c>
      <c r="E1178" s="24" t="n">
        <v>679</v>
      </c>
      <c r="F1178" s="24">
        <f>D1178*E1178</f>
        <v/>
      </c>
      <c r="G1178" s="22" t="n"/>
    </row>
    <row r="1179">
      <c r="A1179" s="22" t="inlineStr">
        <is>
          <t>0114</t>
        </is>
      </c>
      <c r="B1179" s="11" t="inlineStr">
        <is>
          <t>Beldar</t>
        </is>
      </c>
      <c r="C1179" s="22" t="inlineStr">
        <is>
          <t>day</t>
        </is>
      </c>
      <c r="D1179" s="23" t="n">
        <v>0.5</v>
      </c>
      <c r="E1179" s="24" t="n">
        <v>558</v>
      </c>
      <c r="F1179" s="24">
        <f>D1179*E1179</f>
        <v/>
      </c>
      <c r="G1179" s="22" t="n"/>
    </row>
    <row r="1180">
      <c r="A1180" s="22" t="inlineStr">
        <is>
          <t>0295</t>
        </is>
      </c>
      <c r="B1180" s="11" t="inlineStr">
        <is>
          <t>Stone Aggregate (Single size) : 20 mm nominal size</t>
        </is>
      </c>
      <c r="C1180" s="22" t="inlineStr">
        <is>
          <t>cum</t>
        </is>
      </c>
      <c r="D1180" s="23" t="n">
        <v>0.0033</v>
      </c>
      <c r="E1180" s="24" t="n">
        <v>1350</v>
      </c>
      <c r="F1180" s="24">
        <f>D1180*E1180</f>
        <v/>
      </c>
      <c r="G1180" s="22" t="n"/>
    </row>
    <row r="1181">
      <c r="A1181" s="22" t="inlineStr">
        <is>
          <t>0297</t>
        </is>
      </c>
      <c r="B1181" s="11" t="inlineStr">
        <is>
          <t>Stone Aggregate (Single size) : 10 mm nominal size</t>
        </is>
      </c>
      <c r="C1181" s="22" t="inlineStr">
        <is>
          <t>cum</t>
        </is>
      </c>
      <c r="D1181" s="23" t="n">
        <v>0.0011</v>
      </c>
      <c r="E1181" s="24" t="n">
        <v>1350</v>
      </c>
      <c r="F1181" s="24">
        <f>D1181*E1181</f>
        <v/>
      </c>
      <c r="G1181" s="22" t="n"/>
    </row>
    <row r="1182">
      <c r="A1182" s="22" t="inlineStr">
        <is>
          <t>2202</t>
        </is>
      </c>
      <c r="B1182" s="11" t="inlineStr">
        <is>
          <t>Carriage of Stone aggregate below 40 mm nominal size</t>
        </is>
      </c>
      <c r="C1182" s="22" t="inlineStr">
        <is>
          <t>cum</t>
        </is>
      </c>
      <c r="D1182" s="23" t="n">
        <v>0.0044</v>
      </c>
      <c r="E1182" s="24" t="n">
        <v>103.77</v>
      </c>
      <c r="F1182" s="24">
        <f>D1182*E1182</f>
        <v/>
      </c>
      <c r="G1182" s="22" t="n"/>
    </row>
    <row r="1183">
      <c r="A1183" s="22" t="inlineStr">
        <is>
          <t>0982</t>
        </is>
      </c>
      <c r="B1183" s="11" t="inlineStr">
        <is>
          <t>Coarse sand (zone III)</t>
        </is>
      </c>
      <c r="C1183" s="22" t="inlineStr">
        <is>
          <t>cum</t>
        </is>
      </c>
      <c r="D1183" s="23" t="n">
        <v>0.0022</v>
      </c>
      <c r="E1183" s="24" t="n">
        <v>1350</v>
      </c>
      <c r="F1183" s="24">
        <f>D1183*E1183</f>
        <v/>
      </c>
      <c r="G1183" s="22" t="n"/>
    </row>
    <row r="1184">
      <c r="A1184" s="22" t="inlineStr">
        <is>
          <t>2203</t>
        </is>
      </c>
      <c r="B1184" s="11" t="inlineStr">
        <is>
          <t>Carriage of Coarse sand</t>
        </is>
      </c>
      <c r="C1184" s="22" t="inlineStr">
        <is>
          <t>cum</t>
        </is>
      </c>
      <c r="D1184" s="23" t="n">
        <v>0.0022</v>
      </c>
      <c r="E1184" s="24" t="n">
        <v>103.77</v>
      </c>
      <c r="F1184" s="24">
        <f>D1184*E1184</f>
        <v/>
      </c>
      <c r="G1184" s="22" t="n"/>
    </row>
    <row r="1185">
      <c r="A1185" s="22" t="inlineStr">
        <is>
          <t>0367</t>
        </is>
      </c>
      <c r="B1185" s="11" t="inlineStr">
        <is>
          <t>Portland Cement (OPC-43 grade)</t>
        </is>
      </c>
      <c r="C1185" s="22" t="inlineStr">
        <is>
          <t>tonne</t>
        </is>
      </c>
      <c r="D1185" s="23" t="n">
        <v>0.0016</v>
      </c>
      <c r="E1185" s="24" t="n">
        <v>4940</v>
      </c>
      <c r="F1185" s="24">
        <f>D1185*E1185</f>
        <v/>
      </c>
      <c r="G1185" s="22" t="n"/>
    </row>
    <row r="1186">
      <c r="A1186" s="22" t="inlineStr">
        <is>
          <t>2209</t>
        </is>
      </c>
      <c r="B1186" s="11" t="inlineStr">
        <is>
          <t>Carriage of Cement</t>
        </is>
      </c>
      <c r="C1186" s="22" t="inlineStr">
        <is>
          <t>tonne</t>
        </is>
      </c>
      <c r="D1186" s="23" t="n">
        <v>0.0016</v>
      </c>
      <c r="E1186" s="24" t="n">
        <v>92.23999999999999</v>
      </c>
      <c r="F1186" s="24">
        <f>D1186*E1186</f>
        <v/>
      </c>
      <c r="G1186" s="22" t="n"/>
    </row>
    <row r="1187">
      <c r="A1187" s="22" t="inlineStr">
        <is>
          <t>0114</t>
        </is>
      </c>
      <c r="B1187" s="11" t="inlineStr">
        <is>
          <t>Beldar</t>
        </is>
      </c>
      <c r="C1187" s="22" t="inlineStr">
        <is>
          <t>day</t>
        </is>
      </c>
      <c r="D1187" s="23" t="n">
        <v>0.0045</v>
      </c>
      <c r="E1187" s="24" t="n">
        <v>558</v>
      </c>
      <c r="F1187" s="24">
        <f>D1187*E1187</f>
        <v/>
      </c>
      <c r="G1187" s="22" t="n"/>
    </row>
    <row r="1188">
      <c r="A1188" s="22" t="inlineStr">
        <is>
          <t>0115</t>
        </is>
      </c>
      <c r="B1188" s="11" t="inlineStr">
        <is>
          <t>Coolie</t>
        </is>
      </c>
      <c r="C1188" s="22" t="inlineStr">
        <is>
          <t>day</t>
        </is>
      </c>
      <c r="D1188" s="23" t="n">
        <v>0.0032</v>
      </c>
      <c r="E1188" s="24" t="n">
        <v>558</v>
      </c>
      <c r="F1188" s="24">
        <f>D1188*E1188</f>
        <v/>
      </c>
      <c r="G1188" s="22" t="n"/>
    </row>
    <row r="1189">
      <c r="A1189" s="22" t="inlineStr">
        <is>
          <t>0101</t>
        </is>
      </c>
      <c r="B1189" s="11" t="inlineStr">
        <is>
          <t>Bhisti</t>
        </is>
      </c>
      <c r="C1189" s="22" t="inlineStr">
        <is>
          <t>day</t>
        </is>
      </c>
      <c r="D1189" s="23" t="n">
        <v>0.0014</v>
      </c>
      <c r="E1189" s="24" t="n">
        <v>617</v>
      </c>
      <c r="F1189" s="24">
        <f>D1189*E1189</f>
        <v/>
      </c>
      <c r="G1189" s="22" t="n"/>
    </row>
    <row r="1190">
      <c r="A1190" s="22" t="inlineStr">
        <is>
          <t>0123</t>
        </is>
      </c>
      <c r="B1190" s="11" t="inlineStr">
        <is>
          <t>Mason (brick layer) 1st class</t>
        </is>
      </c>
      <c r="C1190" s="22" t="inlineStr">
        <is>
          <t>day</t>
        </is>
      </c>
      <c r="D1190" s="23" t="n">
        <v>0.0003</v>
      </c>
      <c r="E1190" s="24" t="n">
        <v>738</v>
      </c>
      <c r="F1190" s="24">
        <f>D1190*E1190</f>
        <v/>
      </c>
      <c r="G1190" s="22" t="n"/>
    </row>
    <row r="1191">
      <c r="A1191" s="22" t="inlineStr">
        <is>
          <t>0124</t>
        </is>
      </c>
      <c r="B1191" s="11" t="inlineStr">
        <is>
          <t>Mason (brick layer) 2nd class</t>
        </is>
      </c>
      <c r="C1191" s="22" t="inlineStr">
        <is>
          <t>day</t>
        </is>
      </c>
      <c r="D1191" s="23" t="n">
        <v>0.0003</v>
      </c>
      <c r="E1191" s="24" t="n">
        <v>679</v>
      </c>
      <c r="F1191" s="24">
        <f>D1191*E1191</f>
        <v/>
      </c>
      <c r="G1191" s="22" t="n"/>
    </row>
    <row r="1192">
      <c r="A1192" s="22" t="inlineStr">
        <is>
          <t>0128</t>
        </is>
      </c>
      <c r="B1192" s="11" t="inlineStr">
        <is>
          <t>Mate</t>
        </is>
      </c>
      <c r="C1192" s="22" t="inlineStr">
        <is>
          <t>day</t>
        </is>
      </c>
      <c r="D1192" s="23" t="n">
        <v>0.0002</v>
      </c>
      <c r="E1192" s="24" t="n">
        <v>617</v>
      </c>
      <c r="F1192" s="24">
        <f>D1192*E1192</f>
        <v/>
      </c>
      <c r="G1192" s="22" t="n"/>
    </row>
    <row r="1193">
      <c r="A1193" s="22" t="inlineStr">
        <is>
          <t>9999</t>
        </is>
      </c>
      <c r="B1193" s="11" t="inlineStr">
        <is>
          <t>Hire charges of machine etc.</t>
        </is>
      </c>
      <c r="C1193" s="22" t="inlineStr">
        <is>
          <t>L.S.</t>
        </is>
      </c>
      <c r="D1193" s="23" t="n">
        <v>0.26</v>
      </c>
      <c r="E1193" s="24" t="n">
        <v>2</v>
      </c>
      <c r="F1193" s="24">
        <f>D1193*E1193</f>
        <v/>
      </c>
      <c r="G1193" s="22" t="n"/>
    </row>
    <row r="1194">
      <c r="A1194" s="22" t="inlineStr">
        <is>
          <t>9999</t>
        </is>
      </c>
      <c r="B1194" s="11" t="inlineStr">
        <is>
          <t>Sundries</t>
        </is>
      </c>
      <c r="C1194" s="22" t="inlineStr">
        <is>
          <t>L.S.</t>
        </is>
      </c>
      <c r="D1194" s="23" t="n">
        <v>0.13</v>
      </c>
      <c r="E1194" s="24" t="n">
        <v>2</v>
      </c>
      <c r="F1194" s="24">
        <f>D1194*E1194</f>
        <v/>
      </c>
      <c r="G1194" s="22" t="n"/>
    </row>
    <row r="1195">
      <c r="A1195" s="22" t="inlineStr">
        <is>
          <t>9999</t>
        </is>
      </c>
      <c r="B1195" s="11" t="inlineStr">
        <is>
          <t>Sundries</t>
        </is>
      </c>
      <c r="C1195" s="22" t="inlineStr">
        <is>
          <t>L.S.</t>
        </is>
      </c>
      <c r="D1195" s="23" t="n">
        <v>0.13</v>
      </c>
      <c r="E1195" s="24" t="n">
        <v>2</v>
      </c>
      <c r="F1195" s="24">
        <f>D1195*E1195</f>
        <v/>
      </c>
      <c r="G1195" s="22" t="n"/>
    </row>
    <row r="1196">
      <c r="A1196" s="8" t="inlineStr">
        <is>
          <t>Calculated W - SUM of the Amount column above</t>
        </is>
      </c>
      <c r="B1196" s="9" t="n"/>
      <c r="C1196" s="9" t="n"/>
      <c r="D1196" s="9" t="n"/>
      <c r="E1196" s="9" t="n"/>
      <c r="F1196" s="25">
        <f>SUM(F1174:F1195)</f>
        <v/>
      </c>
      <c r="G1196" s="9" t="n"/>
    </row>
    <row r="1197">
      <c r="A1197" s="26" t="inlineStr">
        <is>
          <t>W as printed in the DAR</t>
        </is>
      </c>
      <c r="B1197" s="22" t="n"/>
      <c r="C1197" s="22" t="n"/>
      <c r="D1197" s="22" t="n"/>
      <c r="E1197" s="22" t="n"/>
      <c r="F1197" s="27" t="n">
        <v>1149.14</v>
      </c>
      <c r="G1197" s="22" t="n"/>
    </row>
    <row r="1198">
      <c r="A1198" s="26" t="inlineStr">
        <is>
          <t>Difference (calculated - printed)</t>
        </is>
      </c>
      <c r="B1198" s="22" t="n"/>
      <c r="C1198" s="22" t="n"/>
      <c r="D1198" s="22" t="n"/>
      <c r="E1198" s="22" t="n"/>
      <c r="F1198" s="27">
        <f>F1196-F1197</f>
        <v/>
      </c>
      <c r="G1198" s="22" t="n"/>
    </row>
    <row r="1199">
      <c r="A1199" s="29" t="inlineStr">
        <is>
          <t>SAY (Rs.) - final DAR rate as printed (fixed value, not computed)</t>
        </is>
      </c>
      <c r="B1199" s="30" t="n"/>
      <c r="C1199" s="30" t="n"/>
      <c r="D1199" s="30" t="n"/>
      <c r="E1199" s="30" t="n"/>
      <c r="F1199" s="31" t="n">
        <v>307.5</v>
      </c>
      <c r="G1199" s="30" t="n"/>
    </row>
    <row r="1201" ht="18.5" customHeight="1">
      <c r="A1201" s="8" t="inlineStr">
        <is>
          <t>12.39</t>
        </is>
      </c>
      <c r="B1201" s="17" t="inlineStr">
        <is>
          <t>Providing lead caulked joints to sand cast iron rain water pipes and fittings:</t>
        </is>
      </c>
      <c r="C1201" s="9" t="n"/>
      <c r="D1201" s="9" t="n"/>
      <c r="E1201" s="9" t="n"/>
      <c r="F1201" s="9" t="n"/>
      <c r="G1201" s="9" t="n"/>
    </row>
    <row r="1202" ht="18.5" customHeight="1">
      <c r="A1202" s="18" t="inlineStr">
        <is>
          <t>12.39.1</t>
        </is>
      </c>
      <c r="B1202" s="19" t="inlineStr">
        <is>
          <t>100 mm dia Pipe</t>
        </is>
      </c>
      <c r="C1202" s="20" t="n"/>
      <c r="D1202" s="20" t="n"/>
      <c r="E1202" s="20" t="n"/>
      <c r="F1202" s="20" t="n"/>
      <c r="G1202" s="20" t="n"/>
    </row>
    <row r="1203">
      <c r="A1203" s="21" t="inlineStr">
        <is>
          <t>Details of cost for 1 joint   |   Source: CivilDAR_2019_Vol_1.pdf, page 863</t>
        </is>
      </c>
    </row>
    <row r="1204">
      <c r="A1204" s="5" t="inlineStr">
        <is>
          <t>Code</t>
        </is>
      </c>
      <c r="B1204" s="5" t="inlineStr">
        <is>
          <t>Description</t>
        </is>
      </c>
      <c r="C1204" s="5" t="inlineStr">
        <is>
          <t>Unit</t>
        </is>
      </c>
      <c r="D1204" s="5" t="inlineStr">
        <is>
          <t>Quantity</t>
        </is>
      </c>
      <c r="E1204" s="5" t="inlineStr">
        <is>
          <t>Rate (Rs.)</t>
        </is>
      </c>
      <c r="F1204" s="5" t="inlineStr">
        <is>
          <t>Amount (Rs.)</t>
        </is>
      </c>
      <c r="G1204" s="5" t="inlineStr">
        <is>
          <t>Note</t>
        </is>
      </c>
    </row>
    <row r="1205">
      <c r="A1205" s="22" t="inlineStr">
        <is>
          <t>0865</t>
        </is>
      </c>
      <c r="B1205" s="11" t="inlineStr">
        <is>
          <t>Pig lead</t>
        </is>
      </c>
      <c r="C1205" s="22" t="inlineStr">
        <is>
          <t>kilogram</t>
        </is>
      </c>
      <c r="D1205" s="23" t="n">
        <v>0.98</v>
      </c>
      <c r="E1205" s="24" t="n">
        <v>130</v>
      </c>
      <c r="F1205" s="24">
        <f>D1205*E1205</f>
        <v/>
      </c>
      <c r="G1205" s="22" t="n"/>
    </row>
    <row r="1206">
      <c r="A1206" s="22" t="inlineStr">
        <is>
          <t>1001</t>
        </is>
      </c>
      <c r="B1206" s="11" t="inlineStr">
        <is>
          <t>Spun yarn</t>
        </is>
      </c>
      <c r="C1206" s="22" t="inlineStr">
        <is>
          <t>kilogram</t>
        </is>
      </c>
      <c r="D1206" s="23" t="n">
        <v>0.11</v>
      </c>
      <c r="E1206" s="24" t="n">
        <v>50</v>
      </c>
      <c r="F1206" s="24">
        <f>D1206*E1206</f>
        <v/>
      </c>
      <c r="G1206" s="22" t="n"/>
    </row>
    <row r="1207">
      <c r="A1207" s="22" t="inlineStr">
        <is>
          <t>9999</t>
        </is>
      </c>
      <c r="B1207" s="11" t="inlineStr">
        <is>
          <t>Kerosene oil fuel and sundries</t>
        </is>
      </c>
      <c r="C1207" s="22" t="inlineStr">
        <is>
          <t>L.S.</t>
        </is>
      </c>
      <c r="D1207" s="23" t="n">
        <v>13.52</v>
      </c>
      <c r="E1207" s="24" t="n">
        <v>2</v>
      </c>
      <c r="F1207" s="24">
        <f>D1207*E1207</f>
        <v/>
      </c>
      <c r="G1207" s="22" t="n"/>
    </row>
    <row r="1208">
      <c r="A1208" s="22" t="inlineStr">
        <is>
          <t>9977</t>
        </is>
      </c>
      <c r="B1208" s="11" t="inlineStr">
        <is>
          <t>Carriage of materials</t>
        </is>
      </c>
      <c r="C1208" s="22" t="inlineStr">
        <is>
          <t>L.S.</t>
        </is>
      </c>
      <c r="D1208" s="23" t="n">
        <v>1.43</v>
      </c>
      <c r="E1208" s="24" t="n">
        <v>2</v>
      </c>
      <c r="F1208" s="24">
        <f>D1208*E1208</f>
        <v/>
      </c>
      <c r="G1208" s="22" t="n"/>
    </row>
    <row r="1209">
      <c r="A1209" s="22" t="inlineStr">
        <is>
          <t>0116</t>
        </is>
      </c>
      <c r="B1209" s="11" t="inlineStr">
        <is>
          <t>Fitter (grade 1)</t>
        </is>
      </c>
      <c r="C1209" s="22" t="inlineStr">
        <is>
          <t>day</t>
        </is>
      </c>
      <c r="D1209" s="23" t="n">
        <v>0.06</v>
      </c>
      <c r="E1209" s="24" t="n">
        <v>738</v>
      </c>
      <c r="F1209" s="24">
        <f>D1209*E1209</f>
        <v/>
      </c>
      <c r="G1209" s="22" t="n"/>
    </row>
    <row r="1210">
      <c r="A1210" s="22" t="inlineStr">
        <is>
          <t>0117</t>
        </is>
      </c>
      <c r="B1210" s="11" t="inlineStr">
        <is>
          <t>Assistant Fitter or 2nd class Fitter</t>
        </is>
      </c>
      <c r="C1210" s="22" t="inlineStr">
        <is>
          <t>day</t>
        </is>
      </c>
      <c r="D1210" s="23" t="n">
        <v>0.06</v>
      </c>
      <c r="E1210" s="24" t="n">
        <v>679</v>
      </c>
      <c r="F1210" s="24">
        <f>D1210*E1210</f>
        <v/>
      </c>
      <c r="G1210" s="22" t="n"/>
    </row>
    <row r="1211">
      <c r="A1211" s="22" t="inlineStr">
        <is>
          <t>0114</t>
        </is>
      </c>
      <c r="B1211" s="11" t="inlineStr">
        <is>
          <t>Beldar</t>
        </is>
      </c>
      <c r="C1211" s="22" t="inlineStr">
        <is>
          <t>day</t>
        </is>
      </c>
      <c r="D1211" s="23" t="n">
        <v>0.12</v>
      </c>
      <c r="E1211" s="24" t="n">
        <v>558</v>
      </c>
      <c r="F1211" s="24">
        <f>D1211*E1211</f>
        <v/>
      </c>
      <c r="G1211" s="22" t="n"/>
    </row>
    <row r="1212">
      <c r="A1212" s="8" t="inlineStr">
        <is>
          <t>Calculated W - SUM of the Amount column above</t>
        </is>
      </c>
      <c r="B1212" s="9" t="n"/>
      <c r="C1212" s="9" t="n"/>
      <c r="D1212" s="9" t="n"/>
      <c r="E1212" s="9" t="n"/>
      <c r="F1212" s="25">
        <f>SUM(F1205:F1211)</f>
        <v/>
      </c>
      <c r="G1212" s="9" t="n"/>
    </row>
    <row r="1213">
      <c r="A1213" s="26" t="inlineStr">
        <is>
          <t>W as printed in the DAR</t>
        </is>
      </c>
      <c r="B1213" s="22" t="n"/>
      <c r="C1213" s="22" t="n"/>
      <c r="D1213" s="22" t="n"/>
      <c r="E1213" s="22" t="n"/>
      <c r="F1213" s="27" t="n">
        <v>314.78</v>
      </c>
      <c r="G1213" s="22" t="n"/>
    </row>
    <row r="1214">
      <c r="A1214" s="26" t="inlineStr">
        <is>
          <t>Difference (calculated - printed)</t>
        </is>
      </c>
      <c r="B1214" s="22" t="n"/>
      <c r="C1214" s="22" t="n"/>
      <c r="D1214" s="22" t="n"/>
      <c r="E1214" s="22" t="n"/>
      <c r="F1214" s="27">
        <f>F1212-F1213</f>
        <v/>
      </c>
      <c r="G1214" s="22" t="n"/>
    </row>
    <row r="1215">
      <c r="A1215" s="29" t="inlineStr">
        <is>
          <t>SAY (Rs.) - final DAR rate as printed (fixed value, not computed)</t>
        </is>
      </c>
      <c r="B1215" s="30" t="n"/>
      <c r="C1215" s="30" t="n"/>
      <c r="D1215" s="30" t="n"/>
      <c r="E1215" s="30" t="n"/>
      <c r="F1215" s="31" t="n">
        <v>421.15</v>
      </c>
      <c r="G1215" s="30" t="n"/>
    </row>
    <row r="1217" ht="18.5" customHeight="1">
      <c r="A1217" s="8" t="inlineStr">
        <is>
          <t>12.39</t>
        </is>
      </c>
      <c r="B1217" s="17" t="inlineStr">
        <is>
          <t>Providing lead caulked joints to sand cast iron rain water pipes and fittings:</t>
        </is>
      </c>
      <c r="C1217" s="9" t="n"/>
      <c r="D1217" s="9" t="n"/>
      <c r="E1217" s="9" t="n"/>
      <c r="F1217" s="9" t="n"/>
      <c r="G1217" s="9" t="n"/>
    </row>
    <row r="1218" ht="18.5" customHeight="1">
      <c r="A1218" s="18" t="inlineStr">
        <is>
          <t>12.39.2</t>
        </is>
      </c>
      <c r="B1218" s="19" t="inlineStr">
        <is>
          <t>150 mm dia Pipe</t>
        </is>
      </c>
      <c r="C1218" s="20" t="n"/>
      <c r="D1218" s="20" t="n"/>
      <c r="E1218" s="20" t="n"/>
      <c r="F1218" s="20" t="n"/>
      <c r="G1218" s="20" t="n"/>
    </row>
    <row r="1219">
      <c r="A1219" s="21" t="inlineStr">
        <is>
          <t>Details of cost for 1 joint   |   Source: CivilDAR_2019_Vol_1.pdf, page 864</t>
        </is>
      </c>
    </row>
    <row r="1220">
      <c r="A1220" s="5" t="inlineStr">
        <is>
          <t>Code</t>
        </is>
      </c>
      <c r="B1220" s="5" t="inlineStr">
        <is>
          <t>Description</t>
        </is>
      </c>
      <c r="C1220" s="5" t="inlineStr">
        <is>
          <t>Unit</t>
        </is>
      </c>
      <c r="D1220" s="5" t="inlineStr">
        <is>
          <t>Quantity</t>
        </is>
      </c>
      <c r="E1220" s="5" t="inlineStr">
        <is>
          <t>Rate (Rs.)</t>
        </is>
      </c>
      <c r="F1220" s="5" t="inlineStr">
        <is>
          <t>Amount (Rs.)</t>
        </is>
      </c>
      <c r="G1220" s="5" t="inlineStr">
        <is>
          <t>Note</t>
        </is>
      </c>
    </row>
    <row r="1221">
      <c r="A1221" s="22" t="inlineStr">
        <is>
          <t>0865</t>
        </is>
      </c>
      <c r="B1221" s="11" t="inlineStr">
        <is>
          <t>Pig lead</t>
        </is>
      </c>
      <c r="C1221" s="22" t="inlineStr">
        <is>
          <t>kilogram</t>
        </is>
      </c>
      <c r="D1221" s="23" t="n">
        <v>1.48</v>
      </c>
      <c r="E1221" s="24" t="n">
        <v>130</v>
      </c>
      <c r="F1221" s="24">
        <f>D1221*E1221</f>
        <v/>
      </c>
      <c r="G1221" s="22" t="n"/>
    </row>
    <row r="1222">
      <c r="A1222" s="22" t="inlineStr">
        <is>
          <t>1001</t>
        </is>
      </c>
      <c r="B1222" s="11" t="inlineStr">
        <is>
          <t>Spun yarn</t>
        </is>
      </c>
      <c r="C1222" s="22" t="inlineStr">
        <is>
          <t>kilogram</t>
        </is>
      </c>
      <c r="D1222" s="23" t="n">
        <v>0.17</v>
      </c>
      <c r="E1222" s="24" t="n">
        <v>50</v>
      </c>
      <c r="F1222" s="24">
        <f>D1222*E1222</f>
        <v/>
      </c>
      <c r="G1222" s="22" t="n"/>
    </row>
    <row r="1223">
      <c r="A1223" s="22" t="inlineStr">
        <is>
          <t>9999</t>
        </is>
      </c>
      <c r="B1223" s="11" t="inlineStr">
        <is>
          <t>Kerosene oil fuel and sundries</t>
        </is>
      </c>
      <c r="C1223" s="22" t="inlineStr">
        <is>
          <t>L.S.</t>
        </is>
      </c>
      <c r="D1223" s="23" t="n">
        <v>13.52</v>
      </c>
      <c r="E1223" s="24" t="n">
        <v>2</v>
      </c>
      <c r="F1223" s="24">
        <f>D1223*E1223</f>
        <v/>
      </c>
      <c r="G1223" s="22" t="n"/>
    </row>
    <row r="1224">
      <c r="A1224" s="22" t="inlineStr">
        <is>
          <t>9977</t>
        </is>
      </c>
      <c r="B1224" s="11" t="inlineStr">
        <is>
          <t>Carriage of materials</t>
        </is>
      </c>
      <c r="C1224" s="22" t="inlineStr">
        <is>
          <t>L.S.</t>
        </is>
      </c>
      <c r="D1224" s="23" t="n">
        <v>2.73</v>
      </c>
      <c r="E1224" s="24" t="n">
        <v>2</v>
      </c>
      <c r="F1224" s="24">
        <f>D1224*E1224</f>
        <v/>
      </c>
      <c r="G1224" s="22" t="n"/>
    </row>
    <row r="1225">
      <c r="A1225" s="22" t="inlineStr">
        <is>
          <t>0116</t>
        </is>
      </c>
      <c r="B1225" s="11" t="inlineStr">
        <is>
          <t>Fitter (grade 1)</t>
        </is>
      </c>
      <c r="C1225" s="22" t="inlineStr">
        <is>
          <t>day</t>
        </is>
      </c>
      <c r="D1225" s="23" t="n">
        <v>0.08</v>
      </c>
      <c r="E1225" s="24" t="n">
        <v>738</v>
      </c>
      <c r="F1225" s="24">
        <f>D1225*E1225</f>
        <v/>
      </c>
      <c r="G1225" s="22" t="n"/>
    </row>
    <row r="1226">
      <c r="A1226" s="22" t="inlineStr">
        <is>
          <t>0117</t>
        </is>
      </c>
      <c r="B1226" s="11" t="inlineStr">
        <is>
          <t>Assistant Fitter or 2nd class Fitter</t>
        </is>
      </c>
      <c r="C1226" s="22" t="inlineStr">
        <is>
          <t>day</t>
        </is>
      </c>
      <c r="D1226" s="23" t="n">
        <v>0.08</v>
      </c>
      <c r="E1226" s="24" t="n">
        <v>679</v>
      </c>
      <c r="F1226" s="24">
        <f>D1226*E1226</f>
        <v/>
      </c>
      <c r="G1226" s="22" t="n"/>
    </row>
    <row r="1227">
      <c r="A1227" s="22" t="inlineStr">
        <is>
          <t>0114</t>
        </is>
      </c>
      <c r="B1227" s="11" t="inlineStr">
        <is>
          <t>Beldar</t>
        </is>
      </c>
      <c r="C1227" s="22" t="inlineStr">
        <is>
          <t>day</t>
        </is>
      </c>
      <c r="D1227" s="23" t="n">
        <v>0.15</v>
      </c>
      <c r="E1227" s="24" t="n">
        <v>558</v>
      </c>
      <c r="F1227" s="24">
        <f>D1227*E1227</f>
        <v/>
      </c>
      <c r="G1227" s="22" t="n"/>
    </row>
    <row r="1228">
      <c r="A1228" s="8" t="inlineStr">
        <is>
          <t>Calculated W - SUM of the Amount column above</t>
        </is>
      </c>
      <c r="B1228" s="9" t="n"/>
      <c r="C1228" s="9" t="n"/>
      <c r="D1228" s="9" t="n"/>
      <c r="E1228" s="9" t="n"/>
      <c r="F1228" s="25">
        <f>SUM(F1221:F1227)</f>
        <v/>
      </c>
      <c r="G1228" s="9" t="n"/>
    </row>
    <row r="1229">
      <c r="A1229" s="26" t="inlineStr">
        <is>
          <t>W as printed in the DAR</t>
        </is>
      </c>
      <c r="B1229" s="22" t="n"/>
      <c r="C1229" s="22" t="n"/>
      <c r="D1229" s="22" t="n"/>
      <c r="E1229" s="22" t="n"/>
      <c r="F1229" s="27" t="n">
        <v>430.46</v>
      </c>
      <c r="G1229" s="22" t="n"/>
    </row>
    <row r="1230">
      <c r="A1230" s="26" t="inlineStr">
        <is>
          <t>Difference (calculated - printed)</t>
        </is>
      </c>
      <c r="B1230" s="22" t="n"/>
      <c r="C1230" s="22" t="n"/>
      <c r="D1230" s="22" t="n"/>
      <c r="E1230" s="22" t="n"/>
      <c r="F1230" s="27">
        <f>F1228-F1229</f>
        <v/>
      </c>
      <c r="G1230" s="22" t="n"/>
    </row>
    <row r="1231">
      <c r="A1231" s="29" t="inlineStr">
        <is>
          <t>SAY (Rs.) - final DAR rate as printed (fixed value, not computed)</t>
        </is>
      </c>
      <c r="B1231" s="30" t="n"/>
      <c r="C1231" s="30" t="n"/>
      <c r="D1231" s="30" t="n"/>
      <c r="E1231" s="30" t="n"/>
      <c r="F1231" s="31" t="n">
        <v>575.95</v>
      </c>
      <c r="G1231" s="30" t="n"/>
    </row>
    <row r="1233" ht="33" customHeight="1">
      <c r="A1233" s="8" t="inlineStr">
        <is>
          <t>12.40</t>
        </is>
      </c>
      <c r="B1233" s="17" t="inlineStr">
        <is>
          <t>Providing, fixing and embedding sand cast iron accessories for rain water pipes in the masonry surrounded with 12 mm thick cement mortar of the same mix, as that of masonry (lead caulking will be paid for separately):</t>
        </is>
      </c>
      <c r="C1233" s="9" t="n"/>
      <c r="D1233" s="9" t="n"/>
      <c r="E1233" s="9" t="n"/>
      <c r="F1233" s="9" t="n"/>
      <c r="G1233" s="9" t="n"/>
    </row>
    <row r="1234" ht="18.5" customHeight="1">
      <c r="A1234" s="8" t="inlineStr">
        <is>
          <t>12.40.1</t>
        </is>
      </c>
      <c r="B1234" s="17" t="inlineStr">
        <is>
          <t>Sand cast iron plain shoes :</t>
        </is>
      </c>
      <c r="C1234" s="9" t="n"/>
      <c r="D1234" s="9" t="n"/>
      <c r="E1234" s="9" t="n"/>
      <c r="F1234" s="9" t="n"/>
      <c r="G1234" s="9" t="n"/>
    </row>
    <row r="1235" ht="18.5" customHeight="1">
      <c r="A1235" s="18" t="inlineStr">
        <is>
          <t>12.40.1.1</t>
        </is>
      </c>
      <c r="B1235" s="19" t="inlineStr">
        <is>
          <t>150 mm diameter</t>
        </is>
      </c>
      <c r="C1235" s="20" t="n"/>
      <c r="D1235" s="20" t="n"/>
      <c r="E1235" s="20" t="n"/>
      <c r="F1235" s="20" t="n"/>
      <c r="G1235" s="20" t="n"/>
    </row>
    <row r="1236">
      <c r="A1236" s="21" t="inlineStr">
        <is>
          <t>Details of cost for 1 nos   |   Source: CivilDAR_2019_Vol_1.pdf, page 864</t>
        </is>
      </c>
    </row>
    <row r="1237">
      <c r="A1237" s="5" t="inlineStr">
        <is>
          <t>Code</t>
        </is>
      </c>
      <c r="B1237" s="5" t="inlineStr">
        <is>
          <t>Description</t>
        </is>
      </c>
      <c r="C1237" s="5" t="inlineStr">
        <is>
          <t>Unit</t>
        </is>
      </c>
      <c r="D1237" s="5" t="inlineStr">
        <is>
          <t>Quantity</t>
        </is>
      </c>
      <c r="E1237" s="5" t="inlineStr">
        <is>
          <t>Rate (Rs.)</t>
        </is>
      </c>
      <c r="F1237" s="5" t="inlineStr">
        <is>
          <t>Amount (Rs.)</t>
        </is>
      </c>
      <c r="G1237" s="5" t="inlineStr">
        <is>
          <t>Note</t>
        </is>
      </c>
    </row>
    <row r="1238">
      <c r="A1238" s="22" t="inlineStr">
        <is>
          <t>0966</t>
        </is>
      </c>
      <c r="B1238" s="11" t="inlineStr">
        <is>
          <t>Sand Cast iron plain shoe 150 mm dia</t>
        </is>
      </c>
      <c r="C1238" s="22" t="inlineStr">
        <is>
          <t>each</t>
        </is>
      </c>
      <c r="D1238" s="23" t="n">
        <v>1</v>
      </c>
      <c r="E1238" s="24" t="n">
        <v>285</v>
      </c>
      <c r="F1238" s="24">
        <f>D1238*E1238</f>
        <v/>
      </c>
      <c r="G1238" s="22" t="n"/>
    </row>
    <row r="1239">
      <c r="A1239" s="22" t="inlineStr">
        <is>
          <t>9988</t>
        </is>
      </c>
      <c r="B1239" s="11" t="inlineStr">
        <is>
          <t>Carriage, fixing and mortar</t>
        </is>
      </c>
      <c r="C1239" s="22" t="inlineStr">
        <is>
          <t>L.S.</t>
        </is>
      </c>
      <c r="D1239" s="23" t="n">
        <v>17.55</v>
      </c>
      <c r="E1239" s="24" t="n">
        <v>2</v>
      </c>
      <c r="F1239" s="24">
        <f>D1239*E1239</f>
        <v/>
      </c>
      <c r="G1239" s="22" t="n"/>
    </row>
    <row r="1240">
      <c r="A1240" s="8" t="inlineStr">
        <is>
          <t>Calculated W - SUM of the Amount column above</t>
        </is>
      </c>
      <c r="B1240" s="9" t="n"/>
      <c r="C1240" s="9" t="n"/>
      <c r="D1240" s="9" t="n"/>
      <c r="E1240" s="9" t="n"/>
      <c r="F1240" s="25">
        <f>SUM(F1238:F1239)</f>
        <v/>
      </c>
      <c r="G1240" s="9" t="n"/>
    </row>
    <row r="1241">
      <c r="A1241" s="26" t="inlineStr">
        <is>
          <t>W as printed in the DAR</t>
        </is>
      </c>
      <c r="B1241" s="22" t="n"/>
      <c r="C1241" s="22" t="n"/>
      <c r="D1241" s="22" t="n"/>
      <c r="E1241" s="22" t="n"/>
      <c r="F1241" s="27" t="n">
        <v>320.1</v>
      </c>
      <c r="G1241" s="22" t="n"/>
    </row>
    <row r="1242">
      <c r="A1242" s="26" t="inlineStr">
        <is>
          <t>Difference (calculated - printed)</t>
        </is>
      </c>
      <c r="B1242" s="22" t="n"/>
      <c r="C1242" s="22" t="n"/>
      <c r="D1242" s="22" t="n"/>
      <c r="E1242" s="22" t="n"/>
      <c r="F1242" s="27">
        <f>F1240-F1241</f>
        <v/>
      </c>
      <c r="G1242" s="22" t="n"/>
    </row>
    <row r="1243">
      <c r="A1243" s="29" t="inlineStr">
        <is>
          <t>SAY (Rs.) - final DAR rate as printed (fixed value, not computed)</t>
        </is>
      </c>
      <c r="B1243" s="30" t="n"/>
      <c r="C1243" s="30" t="n"/>
      <c r="D1243" s="30" t="n"/>
      <c r="E1243" s="30" t="n"/>
      <c r="F1243" s="31" t="n">
        <v>428.25</v>
      </c>
      <c r="G1243" s="30" t="n"/>
    </row>
    <row r="1245" ht="33" customHeight="1">
      <c r="A1245" s="8" t="inlineStr">
        <is>
          <t>12.41</t>
        </is>
      </c>
      <c r="B1245" s="17" t="inlineStr">
        <is>
          <t>Providing and fixing on wall face unplasticised Rigid PVC rain water pipes conforming to IS : 13592 Type A, including jointing with seal ring conforming to IS : 5382, leaving 10 mm gap for thermal expansion, (i) Single socketed pipes.</t>
        </is>
      </c>
      <c r="C1245" s="9" t="n"/>
      <c r="D1245" s="9" t="n"/>
      <c r="E1245" s="9" t="n"/>
      <c r="F1245" s="9" t="n"/>
      <c r="G1245" s="9" t="n"/>
    </row>
    <row r="1246" ht="18.5" customHeight="1">
      <c r="A1246" s="18" t="inlineStr">
        <is>
          <t>12.41.1</t>
        </is>
      </c>
      <c r="B1246" s="19" t="inlineStr">
        <is>
          <t>75 mm diameter</t>
        </is>
      </c>
      <c r="C1246" s="20" t="n"/>
      <c r="D1246" s="20" t="n"/>
      <c r="E1246" s="20" t="n"/>
      <c r="F1246" s="20" t="n"/>
      <c r="G1246" s="20" t="n"/>
    </row>
    <row r="1247">
      <c r="A1247" s="21" t="inlineStr">
        <is>
          <t>Details of cost for 6 metre   |   Source: CivilDAR_2019_Vol_1.pdf, page 865</t>
        </is>
      </c>
    </row>
    <row r="1248">
      <c r="A1248" s="5" t="inlineStr">
        <is>
          <t>Code</t>
        </is>
      </c>
      <c r="B1248" s="5" t="inlineStr">
        <is>
          <t>Description</t>
        </is>
      </c>
      <c r="C1248" s="5" t="inlineStr">
        <is>
          <t>Unit</t>
        </is>
      </c>
      <c r="D1248" s="5" t="inlineStr">
        <is>
          <t>Quantity</t>
        </is>
      </c>
      <c r="E1248" s="5" t="inlineStr">
        <is>
          <t>Rate (Rs.)</t>
        </is>
      </c>
      <c r="F1248" s="5" t="inlineStr">
        <is>
          <t>Amount (Rs.)</t>
        </is>
      </c>
      <c r="G1248" s="5" t="inlineStr">
        <is>
          <t>Note</t>
        </is>
      </c>
    </row>
    <row r="1249">
      <c r="A1249" s="22" t="inlineStr">
        <is>
          <t>7188</t>
        </is>
      </c>
      <c r="B1249" s="11" t="inlineStr">
        <is>
          <t>U-PVC pipes (working pressure 4 kg / sqcm.) Single socketed pipe 75 mm dia.</t>
        </is>
      </c>
      <c r="C1249" s="22" t="inlineStr">
        <is>
          <t>metre</t>
        </is>
      </c>
      <c r="D1249" s="23" t="n">
        <v>6</v>
      </c>
      <c r="E1249" s="24" t="n">
        <v>70</v>
      </c>
      <c r="F1249" s="24">
        <f>D1249*E1249</f>
        <v/>
      </c>
      <c r="G1249" s="22" t="n"/>
    </row>
    <row r="1250">
      <c r="A1250" s="22" t="inlineStr">
        <is>
          <t>7190</t>
        </is>
      </c>
      <c r="B1250" s="11" t="inlineStr">
        <is>
          <t>U-PVC pipes (working pressure 4 kg / sqcm.) Rubber (Seal) Ring 75 mm dia.</t>
        </is>
      </c>
      <c r="C1250" s="22" t="inlineStr">
        <is>
          <t>each</t>
        </is>
      </c>
      <c r="D1250" s="23" t="n">
        <v>1</v>
      </c>
      <c r="E1250" s="24" t="n">
        <v>8</v>
      </c>
      <c r="F1250" s="24">
        <f>D1250*E1250</f>
        <v/>
      </c>
      <c r="G1250" s="22" t="n"/>
    </row>
    <row r="1251">
      <c r="A1251" s="22" t="inlineStr">
        <is>
          <t>9977</t>
        </is>
      </c>
      <c r="B1251" s="11" t="inlineStr">
        <is>
          <t>Carriage of materials</t>
        </is>
      </c>
      <c r="C1251" s="22" t="inlineStr">
        <is>
          <t>L.S.</t>
        </is>
      </c>
      <c r="D1251" s="23" t="n">
        <v>13.52</v>
      </c>
      <c r="E1251" s="24" t="n">
        <v>2</v>
      </c>
      <c r="F1251" s="24">
        <f>D1251*E1251</f>
        <v/>
      </c>
      <c r="G1251" s="22" t="n"/>
    </row>
    <row r="1252">
      <c r="A1252" s="22" t="inlineStr">
        <is>
          <t>9999</t>
        </is>
      </c>
      <c r="B1252" s="11" t="inlineStr">
        <is>
          <t>Adhesive, and sundries etc.</t>
        </is>
      </c>
      <c r="C1252" s="22" t="inlineStr">
        <is>
          <t>L.S.</t>
        </is>
      </c>
      <c r="D1252" s="23" t="n">
        <v>6.76</v>
      </c>
      <c r="E1252" s="24" t="n">
        <v>2</v>
      </c>
      <c r="F1252" s="24">
        <f>D1252*E1252</f>
        <v/>
      </c>
      <c r="G1252" s="22" t="n"/>
    </row>
    <row r="1253">
      <c r="A1253" s="22" t="inlineStr">
        <is>
          <t>0116</t>
        </is>
      </c>
      <c r="B1253" s="11" t="inlineStr">
        <is>
          <t>Fitter (grade 1)</t>
        </is>
      </c>
      <c r="C1253" s="22" t="inlineStr">
        <is>
          <t>day</t>
        </is>
      </c>
      <c r="D1253" s="23" t="n">
        <v>0.19</v>
      </c>
      <c r="E1253" s="24" t="n">
        <v>738</v>
      </c>
      <c r="F1253" s="24">
        <f>D1253*E1253</f>
        <v/>
      </c>
      <c r="G1253" s="22" t="n"/>
    </row>
    <row r="1254">
      <c r="A1254" s="22" t="inlineStr">
        <is>
          <t>0114</t>
        </is>
      </c>
      <c r="B1254" s="11" t="inlineStr">
        <is>
          <t>Beldar</t>
        </is>
      </c>
      <c r="C1254" s="22" t="inlineStr">
        <is>
          <t>day</t>
        </is>
      </c>
      <c r="D1254" s="23" t="n">
        <v>0.37</v>
      </c>
      <c r="E1254" s="24" t="n">
        <v>558</v>
      </c>
      <c r="F1254" s="24">
        <f>D1254*E1254</f>
        <v/>
      </c>
      <c r="G1254" s="22" t="n"/>
    </row>
    <row r="1255">
      <c r="A1255" s="22" t="inlineStr">
        <is>
          <t>0100</t>
        </is>
      </c>
      <c r="B1255" s="11" t="inlineStr">
        <is>
          <t>Bandhani</t>
        </is>
      </c>
      <c r="C1255" s="22" t="inlineStr">
        <is>
          <t>day</t>
        </is>
      </c>
      <c r="D1255" s="23" t="n">
        <v>0.08</v>
      </c>
      <c r="E1255" s="24" t="n">
        <v>617</v>
      </c>
      <c r="F1255" s="24">
        <f>D1255*E1255</f>
        <v/>
      </c>
      <c r="G1255" s="22" t="n"/>
    </row>
    <row r="1256">
      <c r="A1256" s="22" t="inlineStr">
        <is>
          <t>9999</t>
        </is>
      </c>
      <c r="B1256" s="11" t="inlineStr">
        <is>
          <t>Scaffolding etc.</t>
        </is>
      </c>
      <c r="C1256" s="22" t="inlineStr">
        <is>
          <t>L.S.</t>
        </is>
      </c>
      <c r="D1256" s="23" t="n">
        <v>18.59</v>
      </c>
      <c r="E1256" s="24" t="n">
        <v>2</v>
      </c>
      <c r="F1256" s="24">
        <f>D1256*E1256</f>
        <v/>
      </c>
      <c r="G1256" s="22" t="n"/>
    </row>
    <row r="1257">
      <c r="A1257" s="8" t="inlineStr">
        <is>
          <t>Calculated W - SUM of the Amount column above</t>
        </is>
      </c>
      <c r="B1257" s="9" t="n"/>
      <c r="C1257" s="9" t="n"/>
      <c r="D1257" s="9" t="n"/>
      <c r="E1257" s="9" t="n"/>
      <c r="F1257" s="25">
        <f>SUM(F1249:F1256)</f>
        <v/>
      </c>
      <c r="G1257" s="9" t="n"/>
    </row>
    <row r="1258">
      <c r="A1258" s="26" t="inlineStr">
        <is>
          <t>W as printed in the DAR</t>
        </is>
      </c>
      <c r="B1258" s="22" t="n"/>
      <c r="C1258" s="22" t="n"/>
      <c r="D1258" s="22" t="n"/>
      <c r="E1258" s="22" t="n"/>
      <c r="F1258" s="27" t="n">
        <v>901.78</v>
      </c>
      <c r="G1258" s="22" t="n"/>
    </row>
    <row r="1259">
      <c r="A1259" s="26" t="inlineStr">
        <is>
          <t>Difference (calculated - printed)</t>
        </is>
      </c>
      <c r="B1259" s="22" t="n"/>
      <c r="C1259" s="22" t="n"/>
      <c r="D1259" s="22" t="n"/>
      <c r="E1259" s="22" t="n"/>
      <c r="F1259" s="27">
        <f>F1257-F1258</f>
        <v/>
      </c>
      <c r="G1259" s="22" t="n"/>
    </row>
    <row r="1260">
      <c r="A1260" s="29" t="inlineStr">
        <is>
          <t>SAY (Rs.) - final DAR rate as printed (fixed value, not computed)</t>
        </is>
      </c>
      <c r="B1260" s="30" t="n"/>
      <c r="C1260" s="30" t="n"/>
      <c r="D1260" s="30" t="n"/>
      <c r="E1260" s="30" t="n"/>
      <c r="F1260" s="31" t="n">
        <v>201.1</v>
      </c>
      <c r="G1260" s="30" t="n"/>
    </row>
    <row r="1262" ht="33" customHeight="1">
      <c r="A1262" s="8" t="inlineStr">
        <is>
          <t>12.41</t>
        </is>
      </c>
      <c r="B1262" s="17" t="inlineStr">
        <is>
          <t>Providing and fixing on wall face unplasticised Rigid PVC rain water pipes conforming to IS : 13592 Type A, including jointing with seal ring conforming to IS : 5382, leaving 10 mm gap for thermal expansion, (i) Single socketed pipes.</t>
        </is>
      </c>
      <c r="C1262" s="9" t="n"/>
      <c r="D1262" s="9" t="n"/>
      <c r="E1262" s="9" t="n"/>
      <c r="F1262" s="9" t="n"/>
      <c r="G1262" s="9" t="n"/>
    </row>
    <row r="1263" ht="18.5" customHeight="1">
      <c r="A1263" s="18" t="inlineStr">
        <is>
          <t>12.41.2</t>
        </is>
      </c>
      <c r="B1263" s="19" t="inlineStr">
        <is>
          <t>110 mm diameter</t>
        </is>
      </c>
      <c r="C1263" s="20" t="n"/>
      <c r="D1263" s="20" t="n"/>
      <c r="E1263" s="20" t="n"/>
      <c r="F1263" s="20" t="n"/>
      <c r="G1263" s="20" t="n"/>
    </row>
    <row r="1264">
      <c r="A1264" s="21" t="inlineStr">
        <is>
          <t>Details of cost for 6 metre   |   Source: CivilDAR_2019_Vol_1.pdf, page 865</t>
        </is>
      </c>
    </row>
    <row r="1265">
      <c r="A1265" s="5" t="inlineStr">
        <is>
          <t>Code</t>
        </is>
      </c>
      <c r="B1265" s="5" t="inlineStr">
        <is>
          <t>Description</t>
        </is>
      </c>
      <c r="C1265" s="5" t="inlineStr">
        <is>
          <t>Unit</t>
        </is>
      </c>
      <c r="D1265" s="5" t="inlineStr">
        <is>
          <t>Quantity</t>
        </is>
      </c>
      <c r="E1265" s="5" t="inlineStr">
        <is>
          <t>Rate (Rs.)</t>
        </is>
      </c>
      <c r="F1265" s="5" t="inlineStr">
        <is>
          <t>Amount (Rs.)</t>
        </is>
      </c>
      <c r="G1265" s="5" t="inlineStr">
        <is>
          <t>Note</t>
        </is>
      </c>
    </row>
    <row r="1266">
      <c r="A1266" s="22" t="inlineStr">
        <is>
          <t>7189</t>
        </is>
      </c>
      <c r="B1266" s="11" t="inlineStr">
        <is>
          <t>U-PVC pipes (working pressure 4 kg / sqcm) Single socketed pipe 110 mm dia.</t>
        </is>
      </c>
      <c r="C1266" s="22" t="inlineStr">
        <is>
          <t>metre</t>
        </is>
      </c>
      <c r="D1266" s="23" t="n">
        <v>6</v>
      </c>
      <c r="E1266" s="24" t="n">
        <v>130</v>
      </c>
      <c r="F1266" s="24">
        <f>D1266*E1266</f>
        <v/>
      </c>
      <c r="G1266" s="22" t="n"/>
    </row>
    <row r="1267">
      <c r="A1267" s="22" t="inlineStr">
        <is>
          <t>7191</t>
        </is>
      </c>
      <c r="B1267" s="11" t="inlineStr">
        <is>
          <t>U-PVC pipes (working pressure 4 kg / sqcm.) Rubber (Seal) Ring 110 mm dia.</t>
        </is>
      </c>
      <c r="C1267" s="22" t="inlineStr">
        <is>
          <t>each</t>
        </is>
      </c>
      <c r="D1267" s="23" t="n">
        <v>1</v>
      </c>
      <c r="E1267" s="24" t="n">
        <v>11</v>
      </c>
      <c r="F1267" s="24">
        <f>D1267*E1267</f>
        <v/>
      </c>
      <c r="G1267" s="22" t="n"/>
    </row>
    <row r="1268">
      <c r="A1268" s="22" t="inlineStr">
        <is>
          <t>9977</t>
        </is>
      </c>
      <c r="B1268" s="11" t="inlineStr">
        <is>
          <t>Carriage of materials</t>
        </is>
      </c>
      <c r="C1268" s="22" t="inlineStr">
        <is>
          <t>L.S.</t>
        </is>
      </c>
      <c r="D1268" s="23" t="n">
        <v>17.55</v>
      </c>
      <c r="E1268" s="24" t="n">
        <v>2</v>
      </c>
      <c r="F1268" s="24">
        <f>D1268*E1268</f>
        <v/>
      </c>
      <c r="G1268" s="22" t="n"/>
    </row>
    <row r="1269">
      <c r="A1269" s="22" t="inlineStr">
        <is>
          <t>9999</t>
        </is>
      </c>
      <c r="B1269" s="11" t="inlineStr">
        <is>
          <t>Adhesive, and sundries etc.</t>
        </is>
      </c>
      <c r="C1269" s="22" t="inlineStr">
        <is>
          <t>L.S.</t>
        </is>
      </c>
      <c r="D1269" s="23" t="n">
        <v>8.06</v>
      </c>
      <c r="E1269" s="24" t="n">
        <v>2</v>
      </c>
      <c r="F1269" s="24">
        <f>D1269*E1269</f>
        <v/>
      </c>
      <c r="G1269" s="22" t="n"/>
    </row>
    <row r="1270">
      <c r="A1270" s="22" t="inlineStr">
        <is>
          <t>0116</t>
        </is>
      </c>
      <c r="B1270" s="11" t="inlineStr">
        <is>
          <t>Fitter (grade 1)</t>
        </is>
      </c>
      <c r="C1270" s="22" t="inlineStr">
        <is>
          <t>day</t>
        </is>
      </c>
      <c r="D1270" s="23" t="n">
        <v>0.23</v>
      </c>
      <c r="E1270" s="24" t="n">
        <v>738</v>
      </c>
      <c r="F1270" s="24">
        <f>D1270*E1270</f>
        <v/>
      </c>
      <c r="G1270" s="22" t="n"/>
    </row>
    <row r="1271">
      <c r="A1271" s="22" t="inlineStr">
        <is>
          <t>0114</t>
        </is>
      </c>
      <c r="B1271" s="11" t="inlineStr">
        <is>
          <t>Beldar</t>
        </is>
      </c>
      <c r="C1271" s="22" t="inlineStr">
        <is>
          <t>day</t>
        </is>
      </c>
      <c r="D1271" s="23" t="n">
        <v>0.45</v>
      </c>
      <c r="E1271" s="24" t="n">
        <v>558</v>
      </c>
      <c r="F1271" s="24">
        <f>D1271*E1271</f>
        <v/>
      </c>
      <c r="G1271" s="22" t="n"/>
    </row>
    <row r="1272">
      <c r="A1272" s="22" t="inlineStr">
        <is>
          <t>0100</t>
        </is>
      </c>
      <c r="B1272" s="11" t="inlineStr">
        <is>
          <t>Bandhani</t>
        </is>
      </c>
      <c r="C1272" s="22" t="inlineStr">
        <is>
          <t>day</t>
        </is>
      </c>
      <c r="D1272" s="23" t="n">
        <v>0.11</v>
      </c>
      <c r="E1272" s="24" t="n">
        <v>617</v>
      </c>
      <c r="F1272" s="24">
        <f>D1272*E1272</f>
        <v/>
      </c>
      <c r="G1272" s="22" t="n"/>
    </row>
    <row r="1273">
      <c r="A1273" s="22" t="inlineStr">
        <is>
          <t>9999</t>
        </is>
      </c>
      <c r="B1273" s="11" t="inlineStr">
        <is>
          <t>Scaffolding etc.</t>
        </is>
      </c>
      <c r="C1273" s="22" t="inlineStr">
        <is>
          <t>L.S.</t>
        </is>
      </c>
      <c r="D1273" s="23" t="n">
        <v>18.59</v>
      </c>
      <c r="E1273" s="24" t="n">
        <v>2</v>
      </c>
      <c r="F1273" s="24">
        <f>D1273*E1273</f>
        <v/>
      </c>
      <c r="G1273" s="22" t="n"/>
    </row>
    <row r="1274">
      <c r="A1274" s="8" t="inlineStr">
        <is>
          <t>Calculated W - SUM of the Amount column above</t>
        </is>
      </c>
      <c r="B1274" s="9" t="n"/>
      <c r="C1274" s="9" t="n"/>
      <c r="D1274" s="9" t="n"/>
      <c r="E1274" s="9" t="n"/>
      <c r="F1274" s="25">
        <f>SUM(F1266:F1273)</f>
        <v/>
      </c>
      <c r="G1274" s="9" t="n"/>
    </row>
    <row r="1275">
      <c r="A1275" s="26" t="inlineStr">
        <is>
          <t>W as printed in the DAR</t>
        </is>
      </c>
      <c r="B1275" s="22" t="n"/>
      <c r="C1275" s="22" t="n"/>
      <c r="D1275" s="22" t="n"/>
      <c r="E1275" s="22" t="n"/>
      <c r="F1275" s="27" t="n">
        <v>1368.11</v>
      </c>
      <c r="G1275" s="22" t="n"/>
    </row>
    <row r="1276">
      <c r="A1276" s="26" t="inlineStr">
        <is>
          <t>Difference (calculated - printed)</t>
        </is>
      </c>
      <c r="B1276" s="22" t="n"/>
      <c r="C1276" s="22" t="n"/>
      <c r="D1276" s="22" t="n"/>
      <c r="E1276" s="22" t="n"/>
      <c r="F1276" s="27">
        <f>F1274-F1275</f>
        <v/>
      </c>
      <c r="G1276" s="22" t="n"/>
    </row>
    <row r="1277">
      <c r="A1277" s="29" t="inlineStr">
        <is>
          <t>SAY (Rs.) - final DAR rate as printed (fixed value, not computed)</t>
        </is>
      </c>
      <c r="B1277" s="30" t="n"/>
      <c r="C1277" s="30" t="n"/>
      <c r="D1277" s="30" t="n"/>
      <c r="E1277" s="30" t="n"/>
      <c r="F1277" s="31" t="n">
        <v>305.05</v>
      </c>
      <c r="G1277" s="30" t="n"/>
    </row>
    <row r="1279" ht="47.5" customHeight="1">
      <c r="A1279" s="8" t="inlineStr">
        <is>
          <t>12.42</t>
        </is>
      </c>
      <c r="B1279"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279" s="9" t="n"/>
      <c r="D1279" s="9" t="n"/>
      <c r="E1279" s="9" t="n"/>
      <c r="F1279" s="9" t="n"/>
      <c r="G1279" s="9" t="n"/>
    </row>
    <row r="1280" ht="18.5" customHeight="1">
      <c r="A1280" s="8" t="inlineStr">
        <is>
          <t>12.42.1</t>
        </is>
      </c>
      <c r="B1280" s="17" t="inlineStr">
        <is>
          <t>Coupler</t>
        </is>
      </c>
      <c r="C1280" s="9" t="n"/>
      <c r="D1280" s="9" t="n"/>
      <c r="E1280" s="9" t="n"/>
      <c r="F1280" s="9" t="n"/>
      <c r="G1280" s="9" t="n"/>
    </row>
    <row r="1281" ht="18.5" customHeight="1">
      <c r="A1281" s="18" t="inlineStr">
        <is>
          <t>12.42.1.1</t>
        </is>
      </c>
      <c r="B1281" s="19" t="inlineStr">
        <is>
          <t>75 mm</t>
        </is>
      </c>
      <c r="C1281" s="20" t="n"/>
      <c r="D1281" s="20" t="n"/>
      <c r="E1281" s="20" t="n"/>
      <c r="F1281" s="20" t="n"/>
      <c r="G1281" s="20" t="n"/>
    </row>
    <row r="1282">
      <c r="A1282" s="21" t="inlineStr">
        <is>
          <t>Details of cost for 1 coupler   |   Source: CivilDAR_2019_Vol_1.pdf, page 866</t>
        </is>
      </c>
    </row>
    <row r="1283">
      <c r="A1283" s="5" t="inlineStr">
        <is>
          <t>Code</t>
        </is>
      </c>
      <c r="B1283" s="5" t="inlineStr">
        <is>
          <t>Description</t>
        </is>
      </c>
      <c r="C1283" s="5" t="inlineStr">
        <is>
          <t>Unit</t>
        </is>
      </c>
      <c r="D1283" s="5" t="inlineStr">
        <is>
          <t>Quantity</t>
        </is>
      </c>
      <c r="E1283" s="5" t="inlineStr">
        <is>
          <t>Rate (Rs.)</t>
        </is>
      </c>
      <c r="F1283" s="5" t="inlineStr">
        <is>
          <t>Amount (Rs.)</t>
        </is>
      </c>
      <c r="G1283" s="5" t="inlineStr">
        <is>
          <t>Note</t>
        </is>
      </c>
    </row>
    <row r="1284">
      <c r="A1284" s="22" t="inlineStr">
        <is>
          <t>7192</t>
        </is>
      </c>
      <c r="B1284" s="11" t="inlineStr">
        <is>
          <t>UPVC coupler for UPVC drainage pipes 75 mm</t>
        </is>
      </c>
      <c r="C1284" s="22" t="inlineStr">
        <is>
          <t>each</t>
        </is>
      </c>
      <c r="D1284" s="23" t="n">
        <v>1</v>
      </c>
      <c r="E1284" s="24" t="n">
        <v>18</v>
      </c>
      <c r="F1284" s="24">
        <f>D1284*E1284</f>
        <v/>
      </c>
      <c r="G1284" s="22" t="n"/>
    </row>
    <row r="1285">
      <c r="A1285" s="22" t="inlineStr">
        <is>
          <t>7190</t>
        </is>
      </c>
      <c r="B1285" s="11" t="inlineStr">
        <is>
          <t>U-PVC pipes (working pressure 4 kg / sqcm.) Rubber (Seal) Ring 75 mm dia.</t>
        </is>
      </c>
      <c r="C1285" s="22" t="inlineStr">
        <is>
          <t>each</t>
        </is>
      </c>
      <c r="D1285" s="23" t="n">
        <v>2</v>
      </c>
      <c r="E1285" s="24" t="n">
        <v>8</v>
      </c>
      <c r="F1285" s="24">
        <f>D1285*E1285</f>
        <v/>
      </c>
      <c r="G1285" s="22" t="n"/>
    </row>
    <row r="1286">
      <c r="A1286" s="22" t="inlineStr">
        <is>
          <t>9999</t>
        </is>
      </c>
      <c r="B1286" s="11" t="inlineStr">
        <is>
          <t>Adhesive, and sundries etc.</t>
        </is>
      </c>
      <c r="C1286" s="22" t="inlineStr">
        <is>
          <t>L.S.</t>
        </is>
      </c>
      <c r="D1286" s="23" t="n">
        <v>2.73</v>
      </c>
      <c r="E1286" s="24" t="n">
        <v>2</v>
      </c>
      <c r="F1286" s="24">
        <f>D1286*E1286</f>
        <v/>
      </c>
      <c r="G1286" s="22" t="n"/>
    </row>
    <row r="1287">
      <c r="A1287" s="22" t="inlineStr">
        <is>
          <t>9988</t>
        </is>
      </c>
      <c r="B1287" s="11" t="inlineStr">
        <is>
          <t>Carriage and fixing charges</t>
        </is>
      </c>
      <c r="C1287" s="22" t="inlineStr">
        <is>
          <t>L.S.</t>
        </is>
      </c>
      <c r="D1287" s="23" t="n">
        <v>9.359999999999999</v>
      </c>
      <c r="E1287" s="24" t="n">
        <v>2</v>
      </c>
      <c r="F1287" s="24">
        <f>D1287*E1287</f>
        <v/>
      </c>
      <c r="G1287" s="22" t="n"/>
    </row>
    <row r="1288">
      <c r="A1288" s="8" t="inlineStr">
        <is>
          <t>Calculated W - SUM of the Amount column above</t>
        </is>
      </c>
      <c r="B1288" s="9" t="n"/>
      <c r="C1288" s="9" t="n"/>
      <c r="D1288" s="9" t="n"/>
      <c r="E1288" s="9" t="n"/>
      <c r="F1288" s="25">
        <f>SUM(F1284:F1287)</f>
        <v/>
      </c>
      <c r="G1288" s="9" t="n"/>
    </row>
    <row r="1289">
      <c r="A1289" s="26" t="inlineStr">
        <is>
          <t>W as printed in the DAR</t>
        </is>
      </c>
      <c r="B1289" s="22" t="n"/>
      <c r="C1289" s="22" t="n"/>
      <c r="D1289" s="22" t="n"/>
      <c r="E1289" s="22" t="n"/>
      <c r="F1289" s="27" t="n">
        <v>58.18</v>
      </c>
      <c r="G1289" s="22" t="n"/>
    </row>
    <row r="1290">
      <c r="A1290" s="26" t="inlineStr">
        <is>
          <t>Difference (calculated - printed)</t>
        </is>
      </c>
      <c r="B1290" s="22" t="n"/>
      <c r="C1290" s="22" t="n"/>
      <c r="D1290" s="22" t="n"/>
      <c r="E1290" s="22" t="n"/>
      <c r="F1290" s="27">
        <f>F1288-F1289</f>
        <v/>
      </c>
      <c r="G1290" s="22" t="n"/>
    </row>
    <row r="1291">
      <c r="A1291" s="29" t="inlineStr">
        <is>
          <t>SAY (Rs.) - final DAR rate as printed (fixed value, not computed)</t>
        </is>
      </c>
      <c r="B1291" s="30" t="n"/>
      <c r="C1291" s="30" t="n"/>
      <c r="D1291" s="30" t="n"/>
      <c r="E1291" s="30" t="n"/>
      <c r="F1291" s="31" t="n">
        <v>77.84999999999999</v>
      </c>
      <c r="G1291" s="30" t="n"/>
    </row>
    <row r="1293" ht="47.5" customHeight="1">
      <c r="A1293" s="8" t="inlineStr">
        <is>
          <t>12.42</t>
        </is>
      </c>
      <c r="B1293"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293" s="9" t="n"/>
      <c r="D1293" s="9" t="n"/>
      <c r="E1293" s="9" t="n"/>
      <c r="F1293" s="9" t="n"/>
      <c r="G1293" s="9" t="n"/>
    </row>
    <row r="1294" ht="18.5" customHeight="1">
      <c r="A1294" s="8" t="inlineStr">
        <is>
          <t>12.42.1</t>
        </is>
      </c>
      <c r="B1294" s="17" t="inlineStr">
        <is>
          <t>Coupler</t>
        </is>
      </c>
      <c r="C1294" s="9" t="n"/>
      <c r="D1294" s="9" t="n"/>
      <c r="E1294" s="9" t="n"/>
      <c r="F1294" s="9" t="n"/>
      <c r="G1294" s="9" t="n"/>
    </row>
    <row r="1295" ht="18.5" customHeight="1">
      <c r="A1295" s="18" t="inlineStr">
        <is>
          <t>12.42.1.2</t>
        </is>
      </c>
      <c r="B1295" s="19" t="inlineStr">
        <is>
          <t>110 mm</t>
        </is>
      </c>
      <c r="C1295" s="20" t="n"/>
      <c r="D1295" s="20" t="n"/>
      <c r="E1295" s="20" t="n"/>
      <c r="F1295" s="20" t="n"/>
      <c r="G1295" s="20" t="n"/>
    </row>
    <row r="1296">
      <c r="A1296" s="21" t="inlineStr">
        <is>
          <t>Details of cost for 1 coupler   |   Source: CivilDAR_2019_Vol_1.pdf, page 866</t>
        </is>
      </c>
    </row>
    <row r="1297">
      <c r="A1297" s="5" t="inlineStr">
        <is>
          <t>Code</t>
        </is>
      </c>
      <c r="B1297" s="5" t="inlineStr">
        <is>
          <t>Description</t>
        </is>
      </c>
      <c r="C1297" s="5" t="inlineStr">
        <is>
          <t>Unit</t>
        </is>
      </c>
      <c r="D1297" s="5" t="inlineStr">
        <is>
          <t>Quantity</t>
        </is>
      </c>
      <c r="E1297" s="5" t="inlineStr">
        <is>
          <t>Rate (Rs.)</t>
        </is>
      </c>
      <c r="F1297" s="5" t="inlineStr">
        <is>
          <t>Amount (Rs.)</t>
        </is>
      </c>
      <c r="G1297" s="5" t="inlineStr">
        <is>
          <t>Note</t>
        </is>
      </c>
    </row>
    <row r="1298">
      <c r="A1298" s="22" t="inlineStr">
        <is>
          <t>7193</t>
        </is>
      </c>
      <c r="B1298" s="11" t="inlineStr">
        <is>
          <t>UPVC coupler for UPVC drainage pipes 110 mm</t>
        </is>
      </c>
      <c r="C1298" s="22" t="inlineStr">
        <is>
          <t>each</t>
        </is>
      </c>
      <c r="D1298" s="23" t="n">
        <v>1</v>
      </c>
      <c r="E1298" s="24" t="n">
        <v>39</v>
      </c>
      <c r="F1298" s="24">
        <f>D1298*E1298</f>
        <v/>
      </c>
      <c r="G1298" s="22" t="n"/>
    </row>
    <row r="1299">
      <c r="A1299" s="22" t="inlineStr">
        <is>
          <t>7191</t>
        </is>
      </c>
      <c r="B1299" s="11" t="inlineStr">
        <is>
          <t>U-PVC pipes (working pressure 4 kg /sqcm) Rubber (Seal) Ring 110 mm dia.</t>
        </is>
      </c>
      <c r="C1299" s="22" t="inlineStr">
        <is>
          <t>each</t>
        </is>
      </c>
      <c r="D1299" s="23" t="n">
        <v>2</v>
      </c>
      <c r="E1299" s="24" t="n">
        <v>11</v>
      </c>
      <c r="F1299" s="24">
        <f>D1299*E1299</f>
        <v/>
      </c>
      <c r="G1299" s="22" t="n"/>
    </row>
    <row r="1300">
      <c r="A1300" s="22" t="inlineStr">
        <is>
          <t>9999</t>
        </is>
      </c>
      <c r="B1300" s="11" t="inlineStr">
        <is>
          <t>Adhesive, and sundries etc.</t>
        </is>
      </c>
      <c r="C1300" s="22" t="inlineStr">
        <is>
          <t>L.S.</t>
        </is>
      </c>
      <c r="D1300" s="23" t="n">
        <v>2.73</v>
      </c>
      <c r="E1300" s="24" t="n">
        <v>2</v>
      </c>
      <c r="F1300" s="24">
        <f>D1300*E1300</f>
        <v/>
      </c>
      <c r="G1300" s="22" t="n"/>
    </row>
    <row r="1301">
      <c r="A1301" s="22" t="inlineStr">
        <is>
          <t>9988</t>
        </is>
      </c>
      <c r="B1301" s="11" t="inlineStr">
        <is>
          <t>Carriage and fixing charges</t>
        </is>
      </c>
      <c r="C1301" s="22" t="inlineStr">
        <is>
          <t>L.S.</t>
        </is>
      </c>
      <c r="D1301" s="23" t="n">
        <v>10.79</v>
      </c>
      <c r="E1301" s="24" t="n">
        <v>2</v>
      </c>
      <c r="F1301" s="24">
        <f>D1301*E1301</f>
        <v/>
      </c>
      <c r="G1301" s="22" t="n"/>
    </row>
    <row r="1302">
      <c r="A1302" s="8" t="inlineStr">
        <is>
          <t>Calculated W - SUM of the Amount column above</t>
        </is>
      </c>
      <c r="B1302" s="9" t="n"/>
      <c r="C1302" s="9" t="n"/>
      <c r="D1302" s="9" t="n"/>
      <c r="E1302" s="9" t="n"/>
      <c r="F1302" s="25">
        <f>SUM(F1298:F1301)</f>
        <v/>
      </c>
      <c r="G1302" s="9" t="n"/>
    </row>
    <row r="1303">
      <c r="A1303" s="26" t="inlineStr">
        <is>
          <t>W as printed in the DAR</t>
        </is>
      </c>
      <c r="B1303" s="22" t="n"/>
      <c r="C1303" s="22" t="n"/>
      <c r="D1303" s="22" t="n"/>
      <c r="E1303" s="22" t="n"/>
      <c r="F1303" s="27" t="n">
        <v>88.04000000000001</v>
      </c>
      <c r="G1303" s="22" t="n"/>
    </row>
    <row r="1304">
      <c r="A1304" s="26" t="inlineStr">
        <is>
          <t>Difference (calculated - printed)</t>
        </is>
      </c>
      <c r="B1304" s="22" t="n"/>
      <c r="C1304" s="22" t="n"/>
      <c r="D1304" s="22" t="n"/>
      <c r="E1304" s="22" t="n"/>
      <c r="F1304" s="27">
        <f>F1302-F1303</f>
        <v/>
      </c>
      <c r="G1304" s="22" t="n"/>
    </row>
    <row r="1305">
      <c r="A1305" s="29" t="inlineStr">
        <is>
          <t>SAY (Rs.) - final DAR rate as printed (fixed value, not computed)</t>
        </is>
      </c>
      <c r="B1305" s="30" t="n"/>
      <c r="C1305" s="30" t="n"/>
      <c r="D1305" s="30" t="n"/>
      <c r="E1305" s="30" t="n"/>
      <c r="F1305" s="31" t="n">
        <v>117.8</v>
      </c>
      <c r="G1305" s="30" t="n"/>
    </row>
    <row r="1307" ht="47.5" customHeight="1">
      <c r="A1307" s="8" t="inlineStr">
        <is>
          <t>12.42</t>
        </is>
      </c>
      <c r="B1307"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07" s="9" t="n"/>
      <c r="D1307" s="9" t="n"/>
      <c r="E1307" s="9" t="n"/>
      <c r="F1307" s="9" t="n"/>
      <c r="G1307" s="9" t="n"/>
    </row>
    <row r="1308" ht="18.5" customHeight="1">
      <c r="A1308" s="8" t="inlineStr">
        <is>
          <t>12.42.2</t>
        </is>
      </c>
      <c r="B1308" s="17" t="inlineStr">
        <is>
          <t>Single pushfit Coupler</t>
        </is>
      </c>
      <c r="C1308" s="9" t="n"/>
      <c r="D1308" s="9" t="n"/>
      <c r="E1308" s="9" t="n"/>
      <c r="F1308" s="9" t="n"/>
      <c r="G1308" s="9" t="n"/>
    </row>
    <row r="1309" ht="18.5" customHeight="1">
      <c r="A1309" s="18" t="inlineStr">
        <is>
          <t>12.42.2.1</t>
        </is>
      </c>
      <c r="B1309" s="19" t="inlineStr">
        <is>
          <t>75 mm</t>
        </is>
      </c>
      <c r="C1309" s="20" t="n"/>
      <c r="D1309" s="20" t="n"/>
      <c r="E1309" s="20" t="n"/>
      <c r="F1309" s="20" t="n"/>
      <c r="G1309" s="20" t="n"/>
    </row>
    <row r="1310">
      <c r="A1310" s="21" t="inlineStr">
        <is>
          <t>Details of cost for 1 coupler   |   Source: CivilDAR_2019_Vol_1.pdf, page 867</t>
        </is>
      </c>
    </row>
    <row r="1311">
      <c r="A1311" s="5" t="inlineStr">
        <is>
          <t>Code</t>
        </is>
      </c>
      <c r="B1311" s="5" t="inlineStr">
        <is>
          <t>Description</t>
        </is>
      </c>
      <c r="C1311" s="5" t="inlineStr">
        <is>
          <t>Unit</t>
        </is>
      </c>
      <c r="D1311" s="5" t="inlineStr">
        <is>
          <t>Quantity</t>
        </is>
      </c>
      <c r="E1311" s="5" t="inlineStr">
        <is>
          <t>Rate (Rs.)</t>
        </is>
      </c>
      <c r="F1311" s="5" t="inlineStr">
        <is>
          <t>Amount (Rs.)</t>
        </is>
      </c>
      <c r="G1311" s="5" t="inlineStr">
        <is>
          <t>Note</t>
        </is>
      </c>
    </row>
    <row r="1312">
      <c r="A1312" s="22" t="inlineStr">
        <is>
          <t>7194</t>
        </is>
      </c>
      <c r="B1312" s="11" t="inlineStr">
        <is>
          <t>UPVC pushfit coupler (single) 75 mm thick</t>
        </is>
      </c>
      <c r="C1312" s="22" t="inlineStr">
        <is>
          <t>each</t>
        </is>
      </c>
      <c r="D1312" s="23" t="n">
        <v>1</v>
      </c>
      <c r="E1312" s="24" t="n">
        <v>18</v>
      </c>
      <c r="F1312" s="24">
        <f>D1312*E1312</f>
        <v/>
      </c>
      <c r="G1312" s="22" t="n"/>
    </row>
    <row r="1313">
      <c r="A1313" s="22" t="inlineStr">
        <is>
          <t>7190</t>
        </is>
      </c>
      <c r="B1313" s="11" t="inlineStr">
        <is>
          <t>U-PVC pipes (working pressure 4 kg /sqcm.) Rubber (Seal) Ring 75 mm dia.</t>
        </is>
      </c>
      <c r="C1313" s="22" t="inlineStr">
        <is>
          <t>each</t>
        </is>
      </c>
      <c r="D1313" s="23" t="n">
        <v>2</v>
      </c>
      <c r="E1313" s="24" t="n">
        <v>8</v>
      </c>
      <c r="F1313" s="24">
        <f>D1313*E1313</f>
        <v/>
      </c>
      <c r="G1313" s="22" t="n"/>
    </row>
    <row r="1314">
      <c r="A1314" s="22" t="inlineStr">
        <is>
          <t>9999</t>
        </is>
      </c>
      <c r="B1314" s="11" t="inlineStr">
        <is>
          <t>Adhesive, and sundries etc.</t>
        </is>
      </c>
      <c r="C1314" s="22" t="inlineStr">
        <is>
          <t>L.S.</t>
        </is>
      </c>
      <c r="D1314" s="23" t="n">
        <v>2.73</v>
      </c>
      <c r="E1314" s="24" t="n">
        <v>2</v>
      </c>
      <c r="F1314" s="24">
        <f>D1314*E1314</f>
        <v/>
      </c>
      <c r="G1314" s="22" t="n"/>
    </row>
    <row r="1315">
      <c r="A1315" s="22" t="inlineStr">
        <is>
          <t>9988</t>
        </is>
      </c>
      <c r="B1315" s="11" t="inlineStr">
        <is>
          <t>Carriage and fixing charges</t>
        </is>
      </c>
      <c r="C1315" s="22" t="inlineStr">
        <is>
          <t>L.S.</t>
        </is>
      </c>
      <c r="D1315" s="23" t="n">
        <v>9.359999999999999</v>
      </c>
      <c r="E1315" s="24" t="n">
        <v>2</v>
      </c>
      <c r="F1315" s="24">
        <f>D1315*E1315</f>
        <v/>
      </c>
      <c r="G1315" s="22" t="n"/>
    </row>
    <row r="1316">
      <c r="A1316" s="8" t="inlineStr">
        <is>
          <t>Calculated W - SUM of the Amount column above</t>
        </is>
      </c>
      <c r="B1316" s="9" t="n"/>
      <c r="C1316" s="9" t="n"/>
      <c r="D1316" s="9" t="n"/>
      <c r="E1316" s="9" t="n"/>
      <c r="F1316" s="25">
        <f>SUM(F1312:F1315)</f>
        <v/>
      </c>
      <c r="G1316" s="9" t="n"/>
    </row>
    <row r="1317">
      <c r="A1317" s="26" t="inlineStr">
        <is>
          <t>W as printed in the DAR</t>
        </is>
      </c>
      <c r="B1317" s="22" t="n"/>
      <c r="C1317" s="22" t="n"/>
      <c r="D1317" s="22" t="n"/>
      <c r="E1317" s="22" t="n"/>
      <c r="F1317" s="27" t="n">
        <v>58.18</v>
      </c>
      <c r="G1317" s="22" t="n"/>
    </row>
    <row r="1318">
      <c r="A1318" s="26" t="inlineStr">
        <is>
          <t>Difference (calculated - printed)</t>
        </is>
      </c>
      <c r="B1318" s="22" t="n"/>
      <c r="C1318" s="22" t="n"/>
      <c r="D1318" s="22" t="n"/>
      <c r="E1318" s="22" t="n"/>
      <c r="F1318" s="27">
        <f>F1316-F1317</f>
        <v/>
      </c>
      <c r="G1318" s="22" t="n"/>
    </row>
    <row r="1319">
      <c r="A1319" s="29" t="inlineStr">
        <is>
          <t>SAY (Rs.) - final DAR rate as printed (fixed value, not computed)</t>
        </is>
      </c>
      <c r="B1319" s="30" t="n"/>
      <c r="C1319" s="30" t="n"/>
      <c r="D1319" s="30" t="n"/>
      <c r="E1319" s="30" t="n"/>
      <c r="F1319" s="31" t="n">
        <v>77.84999999999999</v>
      </c>
      <c r="G1319" s="30" t="n"/>
    </row>
    <row r="1321" ht="47.5" customHeight="1">
      <c r="A1321" s="8" t="inlineStr">
        <is>
          <t>12.42</t>
        </is>
      </c>
      <c r="B1321"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21" s="9" t="n"/>
      <c r="D1321" s="9" t="n"/>
      <c r="E1321" s="9" t="n"/>
      <c r="F1321" s="9" t="n"/>
      <c r="G1321" s="9" t="n"/>
    </row>
    <row r="1322" ht="18.5" customHeight="1">
      <c r="A1322" s="8" t="inlineStr">
        <is>
          <t>12.42.2</t>
        </is>
      </c>
      <c r="B1322" s="17" t="inlineStr">
        <is>
          <t>Single pushfit Coupler</t>
        </is>
      </c>
      <c r="C1322" s="9" t="n"/>
      <c r="D1322" s="9" t="n"/>
      <c r="E1322" s="9" t="n"/>
      <c r="F1322" s="9" t="n"/>
      <c r="G1322" s="9" t="n"/>
    </row>
    <row r="1323" ht="18.5" customHeight="1">
      <c r="A1323" s="18" t="inlineStr">
        <is>
          <t>12.42.2.2</t>
        </is>
      </c>
      <c r="B1323" s="19" t="inlineStr">
        <is>
          <t>110 mm</t>
        </is>
      </c>
      <c r="C1323" s="20" t="n"/>
      <c r="D1323" s="20" t="n"/>
      <c r="E1323" s="20" t="n"/>
      <c r="F1323" s="20" t="n"/>
      <c r="G1323" s="20" t="n"/>
    </row>
    <row r="1324">
      <c r="A1324" s="21" t="inlineStr">
        <is>
          <t>Details of cost for 1 coupler   |   Source: CivilDAR_2019_Vol_1.pdf, page 867</t>
        </is>
      </c>
    </row>
    <row r="1325">
      <c r="A1325" s="5" t="inlineStr">
        <is>
          <t>Code</t>
        </is>
      </c>
      <c r="B1325" s="5" t="inlineStr">
        <is>
          <t>Description</t>
        </is>
      </c>
      <c r="C1325" s="5" t="inlineStr">
        <is>
          <t>Unit</t>
        </is>
      </c>
      <c r="D1325" s="5" t="inlineStr">
        <is>
          <t>Quantity</t>
        </is>
      </c>
      <c r="E1325" s="5" t="inlineStr">
        <is>
          <t>Rate (Rs.)</t>
        </is>
      </c>
      <c r="F1325" s="5" t="inlineStr">
        <is>
          <t>Amount (Rs.)</t>
        </is>
      </c>
      <c r="G1325" s="5" t="inlineStr">
        <is>
          <t>Note</t>
        </is>
      </c>
    </row>
    <row r="1326">
      <c r="A1326" s="22" t="inlineStr">
        <is>
          <t>7195</t>
        </is>
      </c>
      <c r="B1326" s="11" t="inlineStr">
        <is>
          <t>UPVC pushfit coupler (single) 110 mm thick</t>
        </is>
      </c>
      <c r="C1326" s="22" t="inlineStr">
        <is>
          <t>each</t>
        </is>
      </c>
      <c r="D1326" s="23" t="n">
        <v>1</v>
      </c>
      <c r="E1326" s="24" t="n">
        <v>32</v>
      </c>
      <c r="F1326" s="24">
        <f>D1326*E1326</f>
        <v/>
      </c>
      <c r="G1326" s="22" t="n"/>
    </row>
    <row r="1327">
      <c r="A1327" s="22" t="inlineStr">
        <is>
          <t>7191</t>
        </is>
      </c>
      <c r="B1327" s="11" t="inlineStr">
        <is>
          <t>U-PVC pipes (working pressure 4 kg /sq.cm) Rubber (Seal) Ring 110 mm dia.</t>
        </is>
      </c>
      <c r="C1327" s="22" t="inlineStr">
        <is>
          <t>each</t>
        </is>
      </c>
      <c r="D1327" s="23" t="n">
        <v>2</v>
      </c>
      <c r="E1327" s="24" t="n">
        <v>11</v>
      </c>
      <c r="F1327" s="24">
        <f>D1327*E1327</f>
        <v/>
      </c>
      <c r="G1327" s="22" t="n"/>
    </row>
    <row r="1328">
      <c r="A1328" s="22" t="inlineStr">
        <is>
          <t>9999</t>
        </is>
      </c>
      <c r="B1328" s="11" t="inlineStr">
        <is>
          <t>Adhesive, and sundries etc.</t>
        </is>
      </c>
      <c r="C1328" s="22" t="inlineStr">
        <is>
          <t>L.S.</t>
        </is>
      </c>
      <c r="D1328" s="23" t="n">
        <v>2.73</v>
      </c>
      <c r="E1328" s="24" t="n">
        <v>2</v>
      </c>
      <c r="F1328" s="24">
        <f>D1328*E1328</f>
        <v/>
      </c>
      <c r="G1328" s="22" t="n"/>
    </row>
    <row r="1329">
      <c r="A1329" s="22" t="inlineStr">
        <is>
          <t>9988</t>
        </is>
      </c>
      <c r="B1329" s="11" t="inlineStr">
        <is>
          <t>Carriage and fixing charges</t>
        </is>
      </c>
      <c r="C1329" s="22" t="inlineStr">
        <is>
          <t>L.S.</t>
        </is>
      </c>
      <c r="D1329" s="23" t="n">
        <v>10.79</v>
      </c>
      <c r="E1329" s="24" t="n">
        <v>2</v>
      </c>
      <c r="F1329" s="24">
        <f>D1329*E1329</f>
        <v/>
      </c>
      <c r="G1329" s="22" t="n"/>
    </row>
    <row r="1330">
      <c r="A1330" s="8" t="inlineStr">
        <is>
          <t>Calculated W - SUM of the Amount column above</t>
        </is>
      </c>
      <c r="B1330" s="9" t="n"/>
      <c r="C1330" s="9" t="n"/>
      <c r="D1330" s="9" t="n"/>
      <c r="E1330" s="9" t="n"/>
      <c r="F1330" s="25">
        <f>SUM(F1326:F1329)</f>
        <v/>
      </c>
      <c r="G1330" s="9" t="n"/>
    </row>
    <row r="1331">
      <c r="A1331" s="26" t="inlineStr">
        <is>
          <t>W as printed in the DAR</t>
        </is>
      </c>
      <c r="B1331" s="22" t="n"/>
      <c r="C1331" s="22" t="n"/>
      <c r="D1331" s="22" t="n"/>
      <c r="E1331" s="22" t="n"/>
      <c r="F1331" s="27" t="n">
        <v>81.04000000000001</v>
      </c>
      <c r="G1331" s="22" t="n"/>
    </row>
    <row r="1332">
      <c r="A1332" s="26" t="inlineStr">
        <is>
          <t>Difference (calculated - printed)</t>
        </is>
      </c>
      <c r="B1332" s="22" t="n"/>
      <c r="C1332" s="22" t="n"/>
      <c r="D1332" s="22" t="n"/>
      <c r="E1332" s="22" t="n"/>
      <c r="F1332" s="27">
        <f>F1330-F1331</f>
        <v/>
      </c>
      <c r="G1332" s="22" t="n"/>
    </row>
    <row r="1333">
      <c r="A1333" s="29" t="inlineStr">
        <is>
          <t>SAY (Rs.) - final DAR rate as printed (fixed value, not computed)</t>
        </is>
      </c>
      <c r="B1333" s="30" t="n"/>
      <c r="C1333" s="30" t="n"/>
      <c r="D1333" s="30" t="n"/>
      <c r="E1333" s="30" t="n"/>
      <c r="F1333" s="31" t="n">
        <v>108.45</v>
      </c>
      <c r="G1333" s="30" t="n"/>
    </row>
    <row r="1335" ht="47.5" customHeight="1">
      <c r="A1335" s="8" t="inlineStr">
        <is>
          <t>12.42</t>
        </is>
      </c>
      <c r="B1335"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35" s="9" t="n"/>
      <c r="D1335" s="9" t="n"/>
      <c r="E1335" s="9" t="n"/>
      <c r="F1335" s="9" t="n"/>
      <c r="G1335" s="9" t="n"/>
    </row>
    <row r="1336" ht="18.5" customHeight="1">
      <c r="A1336" s="8" t="inlineStr">
        <is>
          <t>12.42.3</t>
        </is>
      </c>
      <c r="B1336" s="17" t="inlineStr">
        <is>
          <t>Single tee with door</t>
        </is>
      </c>
      <c r="C1336" s="9" t="n"/>
      <c r="D1336" s="9" t="n"/>
      <c r="E1336" s="9" t="n"/>
      <c r="F1336" s="9" t="n"/>
      <c r="G1336" s="9" t="n"/>
    </row>
    <row r="1337" ht="18.5" customHeight="1">
      <c r="A1337" s="18" t="inlineStr">
        <is>
          <t>12.42.3.1</t>
        </is>
      </c>
      <c r="B1337" s="19" t="inlineStr">
        <is>
          <t>75x75x75 mm</t>
        </is>
      </c>
      <c r="C1337" s="20" t="n"/>
      <c r="D1337" s="20" t="n"/>
      <c r="E1337" s="20" t="n"/>
      <c r="F1337" s="20" t="n"/>
      <c r="G1337" s="20" t="n"/>
    </row>
    <row r="1338">
      <c r="A1338" s="21" t="inlineStr">
        <is>
          <t>Details of cost for 1 tee   |   Source: CivilDAR_2019_Vol_1.pdf, page 868</t>
        </is>
      </c>
    </row>
    <row r="1339">
      <c r="A1339" s="5" t="inlineStr">
        <is>
          <t>Code</t>
        </is>
      </c>
      <c r="B1339" s="5" t="inlineStr">
        <is>
          <t>Description</t>
        </is>
      </c>
      <c r="C1339" s="5" t="inlineStr">
        <is>
          <t>Unit</t>
        </is>
      </c>
      <c r="D1339" s="5" t="inlineStr">
        <is>
          <t>Quantity</t>
        </is>
      </c>
      <c r="E1339" s="5" t="inlineStr">
        <is>
          <t>Rate (Rs.)</t>
        </is>
      </c>
      <c r="F1339" s="5" t="inlineStr">
        <is>
          <t>Amount (Rs.)</t>
        </is>
      </c>
      <c r="G1339" s="5" t="inlineStr">
        <is>
          <t>Note</t>
        </is>
      </c>
    </row>
    <row r="1340">
      <c r="A1340" s="22" t="inlineStr">
        <is>
          <t>7198</t>
        </is>
      </c>
      <c r="B1340" s="11" t="inlineStr">
        <is>
          <t>UPVC single equal Tee (with door) 75x75x75 mm</t>
        </is>
      </c>
      <c r="C1340" s="22" t="inlineStr">
        <is>
          <t>each</t>
        </is>
      </c>
      <c r="D1340" s="23" t="n">
        <v>1</v>
      </c>
      <c r="E1340" s="24" t="n">
        <v>59</v>
      </c>
      <c r="F1340" s="24">
        <f>D1340*E1340</f>
        <v/>
      </c>
      <c r="G1340" s="22" t="n"/>
    </row>
    <row r="1341">
      <c r="A1341" s="22" t="inlineStr">
        <is>
          <t>7190</t>
        </is>
      </c>
      <c r="B1341" s="11" t="inlineStr">
        <is>
          <t>U-PVC pipes (working pressure 4 kg /sqcm) Rubber (Seal) Ring 75 mm dia.</t>
        </is>
      </c>
      <c r="C1341" s="22" t="inlineStr">
        <is>
          <t>each</t>
        </is>
      </c>
      <c r="D1341" s="23" t="n">
        <v>3</v>
      </c>
      <c r="E1341" s="24" t="n">
        <v>8</v>
      </c>
      <c r="F1341" s="24">
        <f>D1341*E1341</f>
        <v/>
      </c>
      <c r="G1341" s="22" t="n"/>
    </row>
    <row r="1342">
      <c r="A1342" s="22" t="inlineStr">
        <is>
          <t>9988</t>
        </is>
      </c>
      <c r="B1342" s="11" t="inlineStr">
        <is>
          <t>Adhesive, Carriage of material rubber washer etc. including fixing charges</t>
        </is>
      </c>
      <c r="C1342" s="22" t="inlineStr">
        <is>
          <t>L.S.</t>
        </is>
      </c>
      <c r="D1342" s="23" t="n">
        <v>10.76</v>
      </c>
      <c r="E1342" s="24" t="n">
        <v>2</v>
      </c>
      <c r="F1342" s="24">
        <f>D1342*E1342</f>
        <v/>
      </c>
      <c r="G1342" s="22" t="n"/>
    </row>
    <row r="1343">
      <c r="A1343" s="8" t="inlineStr">
        <is>
          <t>Calculated W - SUM of the Amount column above</t>
        </is>
      </c>
      <c r="B1343" s="9" t="n"/>
      <c r="C1343" s="9" t="n"/>
      <c r="D1343" s="9" t="n"/>
      <c r="E1343" s="9" t="n"/>
      <c r="F1343" s="25">
        <f>SUM(F1340:F1342)</f>
        <v/>
      </c>
      <c r="G1343" s="9" t="n"/>
    </row>
    <row r="1344">
      <c r="A1344" s="26" t="inlineStr">
        <is>
          <t>W as printed in the DAR</t>
        </is>
      </c>
      <c r="B1344" s="22" t="n"/>
      <c r="C1344" s="22" t="n"/>
      <c r="D1344" s="22" t="n"/>
      <c r="E1344" s="22" t="n"/>
      <c r="F1344" s="27" t="n">
        <v>104.52</v>
      </c>
      <c r="G1344" s="22" t="n"/>
    </row>
    <row r="1345">
      <c r="A1345" s="26" t="inlineStr">
        <is>
          <t>Difference (calculated - printed)</t>
        </is>
      </c>
      <c r="B1345" s="22" t="n"/>
      <c r="C1345" s="22" t="n"/>
      <c r="D1345" s="22" t="n"/>
      <c r="E1345" s="22" t="n"/>
      <c r="F1345" s="27">
        <f>F1343-F1344</f>
        <v/>
      </c>
      <c r="G1345" s="22" t="n"/>
    </row>
    <row r="1346">
      <c r="A1346" s="29" t="inlineStr">
        <is>
          <t>SAY (Rs.) - final DAR rate as printed (fixed value, not computed)</t>
        </is>
      </c>
      <c r="B1346" s="30" t="n"/>
      <c r="C1346" s="30" t="n"/>
      <c r="D1346" s="30" t="n"/>
      <c r="E1346" s="30" t="n"/>
      <c r="F1346" s="31" t="n">
        <v>139.85</v>
      </c>
      <c r="G1346" s="30" t="n"/>
    </row>
    <row r="1348" ht="47.5" customHeight="1">
      <c r="A1348" s="8" t="inlineStr">
        <is>
          <t>12.42</t>
        </is>
      </c>
      <c r="B1348"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48" s="9" t="n"/>
      <c r="D1348" s="9" t="n"/>
      <c r="E1348" s="9" t="n"/>
      <c r="F1348" s="9" t="n"/>
      <c r="G1348" s="9" t="n"/>
    </row>
    <row r="1349" ht="18.5" customHeight="1">
      <c r="A1349" s="8" t="inlineStr">
        <is>
          <t>12.42.3</t>
        </is>
      </c>
      <c r="B1349" s="17" t="inlineStr">
        <is>
          <t>Single tee with door</t>
        </is>
      </c>
      <c r="C1349" s="9" t="n"/>
      <c r="D1349" s="9" t="n"/>
      <c r="E1349" s="9" t="n"/>
      <c r="F1349" s="9" t="n"/>
      <c r="G1349" s="9" t="n"/>
    </row>
    <row r="1350" ht="18.5" customHeight="1">
      <c r="A1350" s="18" t="inlineStr">
        <is>
          <t>12.42.3.2</t>
        </is>
      </c>
      <c r="B1350" s="19" t="inlineStr">
        <is>
          <t>110x110x110 mm</t>
        </is>
      </c>
      <c r="C1350" s="20" t="n"/>
      <c r="D1350" s="20" t="n"/>
      <c r="E1350" s="20" t="n"/>
      <c r="F1350" s="20" t="n"/>
      <c r="G1350" s="20" t="n"/>
    </row>
    <row r="1351">
      <c r="A1351" s="21" t="inlineStr">
        <is>
          <t>Details of cost for 1 tee   |   Source: CivilDAR_2019_Vol_1.pdf, page 868</t>
        </is>
      </c>
    </row>
    <row r="1352">
      <c r="A1352" s="5" t="inlineStr">
        <is>
          <t>Code</t>
        </is>
      </c>
      <c r="B1352" s="5" t="inlineStr">
        <is>
          <t>Description</t>
        </is>
      </c>
      <c r="C1352" s="5" t="inlineStr">
        <is>
          <t>Unit</t>
        </is>
      </c>
      <c r="D1352" s="5" t="inlineStr">
        <is>
          <t>Quantity</t>
        </is>
      </c>
      <c r="E1352" s="5" t="inlineStr">
        <is>
          <t>Rate (Rs.)</t>
        </is>
      </c>
      <c r="F1352" s="5" t="inlineStr">
        <is>
          <t>Amount (Rs.)</t>
        </is>
      </c>
      <c r="G1352" s="5" t="inlineStr">
        <is>
          <t>Note</t>
        </is>
      </c>
    </row>
    <row r="1353">
      <c r="A1353" s="22" t="inlineStr">
        <is>
          <t>7199</t>
        </is>
      </c>
      <c r="B1353" s="11" t="inlineStr">
        <is>
          <t>UPVC single equal Tee (with door) 110x110x110 mm</t>
        </is>
      </c>
      <c r="C1353" s="22" t="inlineStr">
        <is>
          <t>each</t>
        </is>
      </c>
      <c r="D1353" s="23" t="n">
        <v>1</v>
      </c>
      <c r="E1353" s="24" t="n">
        <v>92</v>
      </c>
      <c r="F1353" s="24">
        <f>D1353*E1353</f>
        <v/>
      </c>
      <c r="G1353" s="22" t="n"/>
    </row>
    <row r="1354">
      <c r="A1354" s="22" t="inlineStr">
        <is>
          <t>7191</t>
        </is>
      </c>
      <c r="B1354" s="11" t="inlineStr">
        <is>
          <t>U-PVC pipes (working pressure 4 kg / sqcm) Rubber (Seal) Ring 110 mm dia.</t>
        </is>
      </c>
      <c r="C1354" s="22" t="inlineStr">
        <is>
          <t>each</t>
        </is>
      </c>
      <c r="D1354" s="23" t="n">
        <v>3</v>
      </c>
      <c r="E1354" s="24" t="n">
        <v>11</v>
      </c>
      <c r="F1354" s="24">
        <f>D1354*E1354</f>
        <v/>
      </c>
      <c r="G1354" s="22" t="n"/>
    </row>
    <row r="1355">
      <c r="A1355" s="22" t="inlineStr">
        <is>
          <t>9988</t>
        </is>
      </c>
      <c r="B1355" s="11" t="inlineStr">
        <is>
          <t>Adhesive, Carriage of material rubber washer etc. including fixing charges</t>
        </is>
      </c>
      <c r="C1355" s="22" t="inlineStr">
        <is>
          <t>L.S.</t>
        </is>
      </c>
      <c r="D1355" s="23" t="n">
        <v>13.47</v>
      </c>
      <c r="E1355" s="24" t="n">
        <v>2</v>
      </c>
      <c r="F1355" s="24">
        <f>D1355*E1355</f>
        <v/>
      </c>
      <c r="G1355" s="22" t="n"/>
    </row>
    <row r="1356">
      <c r="A1356" s="8" t="inlineStr">
        <is>
          <t>Calculated W - SUM of the Amount column above</t>
        </is>
      </c>
      <c r="B1356" s="9" t="n"/>
      <c r="C1356" s="9" t="n"/>
      <c r="D1356" s="9" t="n"/>
      <c r="E1356" s="9" t="n"/>
      <c r="F1356" s="25">
        <f>SUM(F1353:F1355)</f>
        <v/>
      </c>
      <c r="G1356" s="9" t="n"/>
    </row>
    <row r="1357">
      <c r="A1357" s="26" t="inlineStr">
        <is>
          <t>W as printed in the DAR</t>
        </is>
      </c>
      <c r="B1357" s="22" t="n"/>
      <c r="C1357" s="22" t="n"/>
      <c r="D1357" s="22" t="n"/>
      <c r="E1357" s="22" t="n"/>
      <c r="F1357" s="27" t="n">
        <v>151.94</v>
      </c>
      <c r="G1357" s="22" t="n"/>
    </row>
    <row r="1358">
      <c r="A1358" s="26" t="inlineStr">
        <is>
          <t>Difference (calculated - printed)</t>
        </is>
      </c>
      <c r="B1358" s="22" t="n"/>
      <c r="C1358" s="22" t="n"/>
      <c r="D1358" s="22" t="n"/>
      <c r="E1358" s="22" t="n"/>
      <c r="F1358" s="27">
        <f>F1356-F1357</f>
        <v/>
      </c>
      <c r="G1358" s="22" t="n"/>
    </row>
    <row r="1359">
      <c r="A1359" s="29" t="inlineStr">
        <is>
          <t>SAY (Rs.) - final DAR rate as printed (fixed value, not computed)</t>
        </is>
      </c>
      <c r="B1359" s="30" t="n"/>
      <c r="C1359" s="30" t="n"/>
      <c r="D1359" s="30" t="n"/>
      <c r="E1359" s="30" t="n"/>
      <c r="F1359" s="31" t="n">
        <v>203.3</v>
      </c>
      <c r="G1359" s="30" t="n"/>
    </row>
    <row r="1361" ht="47.5" customHeight="1">
      <c r="A1361" s="8" t="inlineStr">
        <is>
          <t>12.42</t>
        </is>
      </c>
      <c r="B1361"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61" s="9" t="n"/>
      <c r="D1361" s="9" t="n"/>
      <c r="E1361" s="9" t="n"/>
      <c r="F1361" s="9" t="n"/>
      <c r="G1361" s="9" t="n"/>
    </row>
    <row r="1362" ht="18.5" customHeight="1">
      <c r="A1362" s="8" t="inlineStr">
        <is>
          <t>12.42.4</t>
        </is>
      </c>
      <c r="B1362" s="17" t="inlineStr">
        <is>
          <t>Single tee without door</t>
        </is>
      </c>
      <c r="C1362" s="9" t="n"/>
      <c r="D1362" s="9" t="n"/>
      <c r="E1362" s="9" t="n"/>
      <c r="F1362" s="9" t="n"/>
      <c r="G1362" s="9" t="n"/>
    </row>
    <row r="1363" ht="18.5" customHeight="1">
      <c r="A1363" s="18" t="inlineStr">
        <is>
          <t>12.42.4.1</t>
        </is>
      </c>
      <c r="B1363" s="19" t="inlineStr">
        <is>
          <t>75x75x75 mm</t>
        </is>
      </c>
      <c r="C1363" s="20" t="n"/>
      <c r="D1363" s="20" t="n"/>
      <c r="E1363" s="20" t="n"/>
      <c r="F1363" s="20" t="n"/>
      <c r="G1363" s="20" t="n"/>
    </row>
    <row r="1364">
      <c r="A1364" s="21" t="inlineStr">
        <is>
          <t>Details of cost for 1 tee   |   Source: CivilDAR_2019_Vol_1.pdf, page 869</t>
        </is>
      </c>
    </row>
    <row r="1365">
      <c r="A1365" s="5" t="inlineStr">
        <is>
          <t>Code</t>
        </is>
      </c>
      <c r="B1365" s="5" t="inlineStr">
        <is>
          <t>Description</t>
        </is>
      </c>
      <c r="C1365" s="5" t="inlineStr">
        <is>
          <t>Unit</t>
        </is>
      </c>
      <c r="D1365" s="5" t="inlineStr">
        <is>
          <t>Quantity</t>
        </is>
      </c>
      <c r="E1365" s="5" t="inlineStr">
        <is>
          <t>Rate (Rs.)</t>
        </is>
      </c>
      <c r="F1365" s="5" t="inlineStr">
        <is>
          <t>Amount (Rs.)</t>
        </is>
      </c>
      <c r="G1365" s="5" t="inlineStr">
        <is>
          <t>Note</t>
        </is>
      </c>
    </row>
    <row r="1366">
      <c r="A1366" s="22" t="inlineStr">
        <is>
          <t>7196</t>
        </is>
      </c>
      <c r="B1366" s="11" t="inlineStr">
        <is>
          <t>UPVC single equal Tee (with door) 75x75x75 mm</t>
        </is>
      </c>
      <c r="C1366" s="22" t="inlineStr">
        <is>
          <t>each</t>
        </is>
      </c>
      <c r="D1366" s="23" t="n">
        <v>1</v>
      </c>
      <c r="E1366" s="24" t="n">
        <v>46</v>
      </c>
      <c r="F1366" s="24">
        <f>D1366*E1366</f>
        <v/>
      </c>
      <c r="G1366" s="22" t="n"/>
    </row>
    <row r="1367">
      <c r="A1367" s="22" t="inlineStr">
        <is>
          <t>7190</t>
        </is>
      </c>
      <c r="B1367" s="11" t="inlineStr">
        <is>
          <t>U-PVC pipes (working pressure 4 kg /sqcm) Rubber (Seal) Ring 75 mm dia.</t>
        </is>
      </c>
      <c r="C1367" s="22" t="inlineStr">
        <is>
          <t>each</t>
        </is>
      </c>
      <c r="D1367" s="23" t="n">
        <v>3</v>
      </c>
      <c r="E1367" s="24" t="n">
        <v>8</v>
      </c>
      <c r="F1367" s="24">
        <f>D1367*E1367</f>
        <v/>
      </c>
      <c r="G1367" s="22" t="n"/>
    </row>
    <row r="1368">
      <c r="A1368" s="22" t="inlineStr">
        <is>
          <t>9988</t>
        </is>
      </c>
      <c r="B1368" s="11" t="inlineStr">
        <is>
          <t>Adhesive, Carriage of material rubber washer etc. including fixing charges</t>
        </is>
      </c>
      <c r="C1368" s="22" t="inlineStr">
        <is>
          <t>L.S.</t>
        </is>
      </c>
      <c r="D1368" s="23" t="n">
        <v>10.76</v>
      </c>
      <c r="E1368" s="24" t="n">
        <v>2</v>
      </c>
      <c r="F1368" s="24">
        <f>D1368*E1368</f>
        <v/>
      </c>
      <c r="G1368" s="22" t="n"/>
    </row>
    <row r="1369">
      <c r="A1369" s="8" t="inlineStr">
        <is>
          <t>Calculated W - SUM of the Amount column above</t>
        </is>
      </c>
      <c r="B1369" s="9" t="n"/>
      <c r="C1369" s="9" t="n"/>
      <c r="D1369" s="9" t="n"/>
      <c r="E1369" s="9" t="n"/>
      <c r="F1369" s="25">
        <f>SUM(F1366:F1368)</f>
        <v/>
      </c>
      <c r="G1369" s="9" t="n"/>
    </row>
    <row r="1370">
      <c r="A1370" s="26" t="inlineStr">
        <is>
          <t>W as printed in the DAR</t>
        </is>
      </c>
      <c r="B1370" s="22" t="n"/>
      <c r="C1370" s="22" t="n"/>
      <c r="D1370" s="22" t="n"/>
      <c r="E1370" s="22" t="n"/>
      <c r="F1370" s="27" t="n">
        <v>91.52</v>
      </c>
      <c r="G1370" s="22" t="n"/>
    </row>
    <row r="1371">
      <c r="A1371" s="26" t="inlineStr">
        <is>
          <t>Difference (calculated - printed)</t>
        </is>
      </c>
      <c r="B1371" s="22" t="n"/>
      <c r="C1371" s="22" t="n"/>
      <c r="D1371" s="22" t="n"/>
      <c r="E1371" s="22" t="n"/>
      <c r="F1371" s="27">
        <f>F1369-F1370</f>
        <v/>
      </c>
      <c r="G1371" s="22" t="n"/>
    </row>
    <row r="1372">
      <c r="A1372" s="29" t="inlineStr">
        <is>
          <t>SAY (Rs.) - final DAR rate as printed (fixed value, not computed)</t>
        </is>
      </c>
      <c r="B1372" s="30" t="n"/>
      <c r="C1372" s="30" t="n"/>
      <c r="D1372" s="30" t="n"/>
      <c r="E1372" s="30" t="n"/>
      <c r="F1372" s="31" t="n">
        <v>122.45</v>
      </c>
      <c r="G1372" s="30" t="n"/>
    </row>
    <row r="1374" ht="47.5" customHeight="1">
      <c r="A1374" s="8" t="inlineStr">
        <is>
          <t>12.42</t>
        </is>
      </c>
      <c r="B1374"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74" s="9" t="n"/>
      <c r="D1374" s="9" t="n"/>
      <c r="E1374" s="9" t="n"/>
      <c r="F1374" s="9" t="n"/>
      <c r="G1374" s="9" t="n"/>
    </row>
    <row r="1375" ht="18.5" customHeight="1">
      <c r="A1375" s="8" t="inlineStr">
        <is>
          <t>12.42.4</t>
        </is>
      </c>
      <c r="B1375" s="17" t="inlineStr">
        <is>
          <t>Single tee without door</t>
        </is>
      </c>
      <c r="C1375" s="9" t="n"/>
      <c r="D1375" s="9" t="n"/>
      <c r="E1375" s="9" t="n"/>
      <c r="F1375" s="9" t="n"/>
      <c r="G1375" s="9" t="n"/>
    </row>
    <row r="1376" ht="18.5" customHeight="1">
      <c r="A1376" s="18" t="inlineStr">
        <is>
          <t>12.42.4.2</t>
        </is>
      </c>
      <c r="B1376" s="19" t="inlineStr">
        <is>
          <t>110x110x110 mm</t>
        </is>
      </c>
      <c r="C1376" s="20" t="n"/>
      <c r="D1376" s="20" t="n"/>
      <c r="E1376" s="20" t="n"/>
      <c r="F1376" s="20" t="n"/>
      <c r="G1376" s="20" t="n"/>
    </row>
    <row r="1377">
      <c r="A1377" s="21" t="inlineStr">
        <is>
          <t>Details of cost for 1 tee   |   Source: CivilDAR_2019_Vol_1.pdf, page 869</t>
        </is>
      </c>
    </row>
    <row r="1378">
      <c r="A1378" s="5" t="inlineStr">
        <is>
          <t>Code</t>
        </is>
      </c>
      <c r="B1378" s="5" t="inlineStr">
        <is>
          <t>Description</t>
        </is>
      </c>
      <c r="C1378" s="5" t="inlineStr">
        <is>
          <t>Unit</t>
        </is>
      </c>
      <c r="D1378" s="5" t="inlineStr">
        <is>
          <t>Quantity</t>
        </is>
      </c>
      <c r="E1378" s="5" t="inlineStr">
        <is>
          <t>Rate (Rs.)</t>
        </is>
      </c>
      <c r="F1378" s="5" t="inlineStr">
        <is>
          <t>Amount (Rs.)</t>
        </is>
      </c>
      <c r="G1378" s="5" t="inlineStr">
        <is>
          <t>Note</t>
        </is>
      </c>
    </row>
    <row r="1379">
      <c r="A1379" s="22" t="inlineStr">
        <is>
          <t>7197</t>
        </is>
      </c>
      <c r="B1379" s="11" t="inlineStr">
        <is>
          <t>UPVC single equal Tee (with door) 110x110x110 mm</t>
        </is>
      </c>
      <c r="C1379" s="22" t="inlineStr">
        <is>
          <t>each</t>
        </is>
      </c>
      <c r="D1379" s="23" t="n">
        <v>1</v>
      </c>
      <c r="E1379" s="24" t="n">
        <v>81</v>
      </c>
      <c r="F1379" s="24">
        <f>D1379*E1379</f>
        <v/>
      </c>
      <c r="G1379" s="22" t="n"/>
    </row>
    <row r="1380">
      <c r="A1380" s="22" t="inlineStr">
        <is>
          <t>7191</t>
        </is>
      </c>
      <c r="B1380" s="11" t="inlineStr">
        <is>
          <t>U-PVC pipes (working pressure 4 kg /sqcm) Rubber (Seal) Ring 110 mm dia.</t>
        </is>
      </c>
      <c r="C1380" s="22" t="inlineStr">
        <is>
          <t>each</t>
        </is>
      </c>
      <c r="D1380" s="23" t="n">
        <v>3</v>
      </c>
      <c r="E1380" s="24" t="n">
        <v>11</v>
      </c>
      <c r="F1380" s="24">
        <f>D1380*E1380</f>
        <v/>
      </c>
      <c r="G1380" s="22" t="n"/>
    </row>
    <row r="1381">
      <c r="A1381" s="22" t="inlineStr">
        <is>
          <t>9988</t>
        </is>
      </c>
      <c r="B1381" s="11" t="inlineStr">
        <is>
          <t>Adhesive, Carriage of material rubber washer etc. including fixing charges</t>
        </is>
      </c>
      <c r="C1381" s="22" t="inlineStr">
        <is>
          <t>L.S.</t>
        </is>
      </c>
      <c r="D1381" s="23" t="n">
        <v>13.47</v>
      </c>
      <c r="E1381" s="24" t="n">
        <v>2</v>
      </c>
      <c r="F1381" s="24">
        <f>D1381*E1381</f>
        <v/>
      </c>
      <c r="G1381" s="22" t="n"/>
    </row>
    <row r="1382">
      <c r="A1382" s="8" t="inlineStr">
        <is>
          <t>Calculated W - SUM of the Amount column above</t>
        </is>
      </c>
      <c r="B1382" s="9" t="n"/>
      <c r="C1382" s="9" t="n"/>
      <c r="D1382" s="9" t="n"/>
      <c r="E1382" s="9" t="n"/>
      <c r="F1382" s="25">
        <f>SUM(F1379:F1381)</f>
        <v/>
      </c>
      <c r="G1382" s="9" t="n"/>
    </row>
    <row r="1383">
      <c r="A1383" s="26" t="inlineStr">
        <is>
          <t>W as printed in the DAR</t>
        </is>
      </c>
      <c r="B1383" s="22" t="n"/>
      <c r="C1383" s="22" t="n"/>
      <c r="D1383" s="22" t="n"/>
      <c r="E1383" s="22" t="n"/>
      <c r="F1383" s="27" t="n">
        <v>140.94</v>
      </c>
      <c r="G1383" s="22" t="n"/>
    </row>
    <row r="1384">
      <c r="A1384" s="26" t="inlineStr">
        <is>
          <t>Difference (calculated - printed)</t>
        </is>
      </c>
      <c r="B1384" s="22" t="n"/>
      <c r="C1384" s="22" t="n"/>
      <c r="D1384" s="22" t="n"/>
      <c r="E1384" s="22" t="n"/>
      <c r="F1384" s="27">
        <f>F1382-F1383</f>
        <v/>
      </c>
      <c r="G1384" s="22" t="n"/>
    </row>
    <row r="1385">
      <c r="A1385" s="29" t="inlineStr">
        <is>
          <t>SAY (Rs.) - final DAR rate as printed (fixed value, not computed)</t>
        </is>
      </c>
      <c r="B1385" s="30" t="n"/>
      <c r="C1385" s="30" t="n"/>
      <c r="D1385" s="30" t="n"/>
      <c r="E1385" s="30" t="n"/>
      <c r="F1385" s="31" t="n">
        <v>188.55</v>
      </c>
      <c r="G1385" s="30" t="n"/>
    </row>
    <row r="1387" ht="47.5" customHeight="1">
      <c r="A1387" s="8" t="inlineStr">
        <is>
          <t>12.42</t>
        </is>
      </c>
      <c r="B1387"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387" s="9" t="n"/>
      <c r="D1387" s="9" t="n"/>
      <c r="E1387" s="9" t="n"/>
      <c r="F1387" s="9" t="n"/>
      <c r="G1387" s="9" t="n"/>
    </row>
    <row r="1388" ht="18.5" customHeight="1">
      <c r="A1388" s="8" t="inlineStr">
        <is>
          <t>12.42.5</t>
        </is>
      </c>
      <c r="B1388" s="17" t="inlineStr">
        <is>
          <t>Bend 87.5°</t>
        </is>
      </c>
      <c r="C1388" s="9" t="n"/>
      <c r="D1388" s="9" t="n"/>
      <c r="E1388" s="9" t="n"/>
      <c r="F1388" s="9" t="n"/>
      <c r="G1388" s="9" t="n"/>
    </row>
    <row r="1389" ht="18.5" customHeight="1">
      <c r="A1389" s="18" t="inlineStr">
        <is>
          <t>12.42.5.1</t>
        </is>
      </c>
      <c r="B1389" s="19" t="inlineStr">
        <is>
          <t>75 mm bend</t>
        </is>
      </c>
      <c r="C1389" s="20" t="n"/>
      <c r="D1389" s="20" t="n"/>
      <c r="E1389" s="20" t="n"/>
      <c r="F1389" s="20" t="n"/>
      <c r="G1389" s="20" t="n"/>
    </row>
    <row r="1390">
      <c r="A1390" s="21" t="inlineStr">
        <is>
          <t>Details of cost for 1 bend   |   Source: CivilDAR_2019_Vol_1.pdf, page 870</t>
        </is>
      </c>
    </row>
    <row r="1391">
      <c r="A1391" s="5" t="inlineStr">
        <is>
          <t>Code</t>
        </is>
      </c>
      <c r="B1391" s="5" t="inlineStr">
        <is>
          <t>Description</t>
        </is>
      </c>
      <c r="C1391" s="5" t="inlineStr">
        <is>
          <t>Unit</t>
        </is>
      </c>
      <c r="D1391" s="5" t="inlineStr">
        <is>
          <t>Quantity</t>
        </is>
      </c>
      <c r="E1391" s="5" t="inlineStr">
        <is>
          <t>Rate (Rs.)</t>
        </is>
      </c>
      <c r="F1391" s="5" t="inlineStr">
        <is>
          <t>Amount (Rs.)</t>
        </is>
      </c>
      <c r="G1391" s="5" t="inlineStr">
        <is>
          <t>Note</t>
        </is>
      </c>
    </row>
    <row r="1392">
      <c r="A1392" s="22" t="inlineStr">
        <is>
          <t>7208</t>
        </is>
      </c>
      <c r="B1392" s="11" t="inlineStr">
        <is>
          <t>UPVC bend 87.5° 75 mm bend</t>
        </is>
      </c>
      <c r="C1392" s="22" t="inlineStr">
        <is>
          <t>each</t>
        </is>
      </c>
      <c r="D1392" s="23" t="n">
        <v>1</v>
      </c>
      <c r="E1392" s="24" t="n">
        <v>35</v>
      </c>
      <c r="F1392" s="24">
        <f>D1392*E1392</f>
        <v/>
      </c>
      <c r="G1392" s="22" t="n"/>
    </row>
    <row r="1393">
      <c r="A1393" s="22" t="inlineStr">
        <is>
          <t>7190</t>
        </is>
      </c>
      <c r="B1393" s="11" t="inlineStr">
        <is>
          <t>U-PVC pipes (working pressure 4 kg / sqcm) Rubber (Seal) Ring 75 mm dia.</t>
        </is>
      </c>
      <c r="C1393" s="22" t="inlineStr">
        <is>
          <t>each</t>
        </is>
      </c>
      <c r="D1393" s="23" t="n">
        <v>1</v>
      </c>
      <c r="E1393" s="24" t="n">
        <v>8</v>
      </c>
      <c r="F1393" s="24">
        <f>D1393*E1393</f>
        <v/>
      </c>
      <c r="G1393" s="22" t="n"/>
    </row>
    <row r="1394">
      <c r="A1394" s="22" t="inlineStr">
        <is>
          <t>9999</t>
        </is>
      </c>
      <c r="B1394" s="11" t="inlineStr">
        <is>
          <t>Adhesive, and sundries etc.</t>
        </is>
      </c>
      <c r="C1394" s="22" t="inlineStr">
        <is>
          <t>L.S.</t>
        </is>
      </c>
      <c r="D1394" s="23" t="n">
        <v>2.73</v>
      </c>
      <c r="E1394" s="24" t="n">
        <v>2</v>
      </c>
      <c r="F1394" s="24">
        <f>D1394*E1394</f>
        <v/>
      </c>
      <c r="G1394" s="22" t="n"/>
    </row>
    <row r="1395">
      <c r="A1395" s="22" t="inlineStr">
        <is>
          <t>9988</t>
        </is>
      </c>
      <c r="B1395" s="11" t="inlineStr">
        <is>
          <t>Carriage and fixing charges</t>
        </is>
      </c>
      <c r="C1395" s="22" t="inlineStr">
        <is>
          <t>L.S.</t>
        </is>
      </c>
      <c r="D1395" s="23" t="n">
        <v>9.359999999999999</v>
      </c>
      <c r="E1395" s="24" t="n">
        <v>2</v>
      </c>
      <c r="F1395" s="24">
        <f>D1395*E1395</f>
        <v/>
      </c>
      <c r="G1395" s="22" t="n"/>
    </row>
    <row r="1396">
      <c r="A1396" s="8" t="inlineStr">
        <is>
          <t>Calculated W - SUM of the Amount column above</t>
        </is>
      </c>
      <c r="B1396" s="9" t="n"/>
      <c r="C1396" s="9" t="n"/>
      <c r="D1396" s="9" t="n"/>
      <c r="E1396" s="9" t="n"/>
      <c r="F1396" s="25">
        <f>SUM(F1392:F1395)</f>
        <v/>
      </c>
      <c r="G1396" s="9" t="n"/>
    </row>
    <row r="1397">
      <c r="A1397" s="26" t="inlineStr">
        <is>
          <t>W as printed in the DAR</t>
        </is>
      </c>
      <c r="B1397" s="22" t="n"/>
      <c r="C1397" s="22" t="n"/>
      <c r="D1397" s="22" t="n"/>
      <c r="E1397" s="22" t="n"/>
      <c r="F1397" s="27" t="n">
        <v>67.18000000000001</v>
      </c>
      <c r="G1397" s="22" t="n"/>
    </row>
    <row r="1398">
      <c r="A1398" s="26" t="inlineStr">
        <is>
          <t>Difference (calculated - printed)</t>
        </is>
      </c>
      <c r="B1398" s="22" t="n"/>
      <c r="C1398" s="22" t="n"/>
      <c r="D1398" s="22" t="n"/>
      <c r="E1398" s="22" t="n"/>
      <c r="F1398" s="27">
        <f>F1396-F1397</f>
        <v/>
      </c>
      <c r="G1398" s="22" t="n"/>
    </row>
    <row r="1399">
      <c r="A1399" s="29" t="inlineStr">
        <is>
          <t>SAY (Rs.) - final DAR rate as printed (fixed value, not computed)</t>
        </is>
      </c>
      <c r="B1399" s="30" t="n"/>
      <c r="C1399" s="30" t="n"/>
      <c r="D1399" s="30" t="n"/>
      <c r="E1399" s="30" t="n"/>
      <c r="F1399" s="31" t="n">
        <v>89.90000000000001</v>
      </c>
      <c r="G1399" s="30" t="n"/>
    </row>
    <row r="1401" ht="47.5" customHeight="1">
      <c r="A1401" s="8" t="inlineStr">
        <is>
          <t>12.42</t>
        </is>
      </c>
      <c r="B1401"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401" s="9" t="n"/>
      <c r="D1401" s="9" t="n"/>
      <c r="E1401" s="9" t="n"/>
      <c r="F1401" s="9" t="n"/>
      <c r="G1401" s="9" t="n"/>
    </row>
    <row r="1402" ht="18.5" customHeight="1">
      <c r="A1402" s="8" t="inlineStr">
        <is>
          <t>12.42.5</t>
        </is>
      </c>
      <c r="B1402" s="17" t="inlineStr">
        <is>
          <t>Bend 87.5°</t>
        </is>
      </c>
      <c r="C1402" s="9" t="n"/>
      <c r="D1402" s="9" t="n"/>
      <c r="E1402" s="9" t="n"/>
      <c r="F1402" s="9" t="n"/>
      <c r="G1402" s="9" t="n"/>
    </row>
    <row r="1403" ht="18.5" customHeight="1">
      <c r="A1403" s="18" t="inlineStr">
        <is>
          <t>12.42.5.2</t>
        </is>
      </c>
      <c r="B1403" s="19" t="inlineStr">
        <is>
          <t>110 mm bend</t>
        </is>
      </c>
      <c r="C1403" s="20" t="n"/>
      <c r="D1403" s="20" t="n"/>
      <c r="E1403" s="20" t="n"/>
      <c r="F1403" s="20" t="n"/>
      <c r="G1403" s="20" t="n"/>
    </row>
    <row r="1404">
      <c r="A1404" s="21" t="inlineStr">
        <is>
          <t>Details of cost for 1 bend   |   Source: CivilDAR_2019_Vol_1.pdf, page 870</t>
        </is>
      </c>
    </row>
    <row r="1405">
      <c r="A1405" s="5" t="inlineStr">
        <is>
          <t>Code</t>
        </is>
      </c>
      <c r="B1405" s="5" t="inlineStr">
        <is>
          <t>Description</t>
        </is>
      </c>
      <c r="C1405" s="5" t="inlineStr">
        <is>
          <t>Unit</t>
        </is>
      </c>
      <c r="D1405" s="5" t="inlineStr">
        <is>
          <t>Quantity</t>
        </is>
      </c>
      <c r="E1405" s="5" t="inlineStr">
        <is>
          <t>Rate (Rs.)</t>
        </is>
      </c>
      <c r="F1405" s="5" t="inlineStr">
        <is>
          <t>Amount (Rs.)</t>
        </is>
      </c>
      <c r="G1405" s="5" t="inlineStr">
        <is>
          <t>Note</t>
        </is>
      </c>
    </row>
    <row r="1406">
      <c r="A1406" s="22" t="inlineStr">
        <is>
          <t>7209</t>
        </is>
      </c>
      <c r="B1406" s="11" t="inlineStr">
        <is>
          <t>UPVC bend 87.5° 110 mm bend</t>
        </is>
      </c>
      <c r="C1406" s="22" t="inlineStr">
        <is>
          <t>each</t>
        </is>
      </c>
      <c r="D1406" s="23" t="n">
        <v>1</v>
      </c>
      <c r="E1406" s="24" t="n">
        <v>59</v>
      </c>
      <c r="F1406" s="24">
        <f>D1406*E1406</f>
        <v/>
      </c>
      <c r="G1406" s="22" t="n"/>
    </row>
    <row r="1407">
      <c r="A1407" s="22" t="inlineStr">
        <is>
          <t>7191</t>
        </is>
      </c>
      <c r="B1407" s="11" t="inlineStr">
        <is>
          <t>U-PVC pipes (working pressure 4 kg /sqcm) Rubber (Seal) Ring 110 mm dia.</t>
        </is>
      </c>
      <c r="C1407" s="22" t="inlineStr">
        <is>
          <t>each</t>
        </is>
      </c>
      <c r="D1407" s="23" t="n">
        <v>1</v>
      </c>
      <c r="E1407" s="24" t="n">
        <v>11</v>
      </c>
      <c r="F1407" s="24">
        <f>D1407*E1407</f>
        <v/>
      </c>
      <c r="G1407" s="22" t="n"/>
    </row>
    <row r="1408">
      <c r="A1408" s="22" t="inlineStr">
        <is>
          <t>9999</t>
        </is>
      </c>
      <c r="B1408" s="11" t="inlineStr">
        <is>
          <t>Adhesive, and sundries etc.</t>
        </is>
      </c>
      <c r="C1408" s="22" t="inlineStr">
        <is>
          <t>L.S.</t>
        </is>
      </c>
      <c r="D1408" s="23" t="n">
        <v>2.73</v>
      </c>
      <c r="E1408" s="24" t="n">
        <v>2</v>
      </c>
      <c r="F1408" s="24">
        <f>D1408*E1408</f>
        <v/>
      </c>
      <c r="G1408" s="22" t="n"/>
    </row>
    <row r="1409">
      <c r="A1409" s="22" t="inlineStr">
        <is>
          <t>9988</t>
        </is>
      </c>
      <c r="B1409" s="11" t="inlineStr">
        <is>
          <t>Carriage and fixing charges</t>
        </is>
      </c>
      <c r="C1409" s="22" t="inlineStr">
        <is>
          <t>L.S.</t>
        </is>
      </c>
      <c r="D1409" s="23" t="n">
        <v>10.79</v>
      </c>
      <c r="E1409" s="24" t="n">
        <v>2</v>
      </c>
      <c r="F1409" s="24">
        <f>D1409*E1409</f>
        <v/>
      </c>
      <c r="G1409" s="22" t="n"/>
    </row>
    <row r="1410">
      <c r="A1410" s="8" t="inlineStr">
        <is>
          <t>Calculated W - SUM of the Amount column above</t>
        </is>
      </c>
      <c r="B1410" s="9" t="n"/>
      <c r="C1410" s="9" t="n"/>
      <c r="D1410" s="9" t="n"/>
      <c r="E1410" s="9" t="n"/>
      <c r="F1410" s="25">
        <f>SUM(F1406:F1409)</f>
        <v/>
      </c>
      <c r="G1410" s="9" t="n"/>
    </row>
    <row r="1411">
      <c r="A1411" s="26" t="inlineStr">
        <is>
          <t>W as printed in the DAR</t>
        </is>
      </c>
      <c r="B1411" s="22" t="n"/>
      <c r="C1411" s="22" t="n"/>
      <c r="D1411" s="22" t="n"/>
      <c r="E1411" s="22" t="n"/>
      <c r="F1411" s="27" t="n">
        <v>97.04000000000001</v>
      </c>
      <c r="G1411" s="22" t="n"/>
    </row>
    <row r="1412">
      <c r="A1412" s="26" t="inlineStr">
        <is>
          <t>Difference (calculated - printed)</t>
        </is>
      </c>
      <c r="B1412" s="22" t="n"/>
      <c r="C1412" s="22" t="n"/>
      <c r="D1412" s="22" t="n"/>
      <c r="E1412" s="22" t="n"/>
      <c r="F1412" s="27">
        <f>F1410-F1411</f>
        <v/>
      </c>
      <c r="G1412" s="22" t="n"/>
    </row>
    <row r="1413">
      <c r="A1413" s="29" t="inlineStr">
        <is>
          <t>SAY (Rs.) - final DAR rate as printed (fixed value, not computed)</t>
        </is>
      </c>
      <c r="B1413" s="30" t="n"/>
      <c r="C1413" s="30" t="n"/>
      <c r="D1413" s="30" t="n"/>
      <c r="E1413" s="30" t="n"/>
      <c r="F1413" s="31" t="n">
        <v>129.85</v>
      </c>
      <c r="G1413" s="30" t="n"/>
    </row>
    <row r="1415" ht="47.5" customHeight="1">
      <c r="A1415" s="8" t="inlineStr">
        <is>
          <t>12.42</t>
        </is>
      </c>
      <c r="B1415"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415" s="9" t="n"/>
      <c r="D1415" s="9" t="n"/>
      <c r="E1415" s="9" t="n"/>
      <c r="F1415" s="9" t="n"/>
      <c r="G1415" s="9" t="n"/>
    </row>
    <row r="1416" ht="18.5" customHeight="1">
      <c r="A1416" s="8" t="inlineStr">
        <is>
          <t>12.42.6</t>
        </is>
      </c>
      <c r="B1416" s="17" t="inlineStr">
        <is>
          <t>Shoe (Plain)</t>
        </is>
      </c>
      <c r="C1416" s="9" t="n"/>
      <c r="D1416" s="9" t="n"/>
      <c r="E1416" s="9" t="n"/>
      <c r="F1416" s="9" t="n"/>
      <c r="G1416" s="9" t="n"/>
    </row>
    <row r="1417" ht="18.5" customHeight="1">
      <c r="A1417" s="18" t="inlineStr">
        <is>
          <t>12.42.6.1</t>
        </is>
      </c>
      <c r="B1417" s="19" t="inlineStr">
        <is>
          <t>75 mm Shoe</t>
        </is>
      </c>
      <c r="C1417" s="20" t="n"/>
      <c r="D1417" s="20" t="n"/>
      <c r="E1417" s="20" t="n"/>
      <c r="F1417" s="20" t="n"/>
      <c r="G1417" s="20" t="n"/>
    </row>
    <row r="1418">
      <c r="A1418" s="21" t="inlineStr">
        <is>
          <t>Details of cost for 1 shoe   |   Source: CivilDAR_2019_Vol_1.pdf, page 871</t>
        </is>
      </c>
    </row>
    <row r="1419">
      <c r="A1419" s="5" t="inlineStr">
        <is>
          <t>Code</t>
        </is>
      </c>
      <c r="B1419" s="5" t="inlineStr">
        <is>
          <t>Description</t>
        </is>
      </c>
      <c r="C1419" s="5" t="inlineStr">
        <is>
          <t>Unit</t>
        </is>
      </c>
      <c r="D1419" s="5" t="inlineStr">
        <is>
          <t>Quantity</t>
        </is>
      </c>
      <c r="E1419" s="5" t="inlineStr">
        <is>
          <t>Rate (Rs.)</t>
        </is>
      </c>
      <c r="F1419" s="5" t="inlineStr">
        <is>
          <t>Amount (Rs.)</t>
        </is>
      </c>
      <c r="G1419" s="5" t="inlineStr">
        <is>
          <t>Note</t>
        </is>
      </c>
    </row>
    <row r="1420">
      <c r="A1420" s="22" t="inlineStr">
        <is>
          <t>7212</t>
        </is>
      </c>
      <c r="B1420" s="11" t="inlineStr">
        <is>
          <t>UPVC plain shoe 75 mm bend</t>
        </is>
      </c>
      <c r="C1420" s="22" t="inlineStr">
        <is>
          <t>each</t>
        </is>
      </c>
      <c r="D1420" s="23" t="n">
        <v>1</v>
      </c>
      <c r="E1420" s="24" t="n">
        <v>27</v>
      </c>
      <c r="F1420" s="24">
        <f>D1420*E1420</f>
        <v/>
      </c>
      <c r="G1420" s="22" t="n"/>
    </row>
    <row r="1421">
      <c r="A1421" s="22" t="inlineStr">
        <is>
          <t>7190</t>
        </is>
      </c>
      <c r="B1421" s="11" t="inlineStr">
        <is>
          <t>U-PVC pipes (working pressure 4 kg / sqcm) Rubber (Seal) Ring 75 mm dia.</t>
        </is>
      </c>
      <c r="C1421" s="22" t="inlineStr">
        <is>
          <t>each</t>
        </is>
      </c>
      <c r="D1421" s="23" t="n">
        <v>1</v>
      </c>
      <c r="E1421" s="24" t="n">
        <v>8</v>
      </c>
      <c r="F1421" s="24">
        <f>D1421*E1421</f>
        <v/>
      </c>
      <c r="G1421" s="22" t="n"/>
    </row>
    <row r="1422">
      <c r="A1422" s="22" t="inlineStr">
        <is>
          <t>9999</t>
        </is>
      </c>
      <c r="B1422" s="11" t="inlineStr">
        <is>
          <t>Adhesive, and sundries etc.</t>
        </is>
      </c>
      <c r="C1422" s="22" t="inlineStr">
        <is>
          <t>L.S.</t>
        </is>
      </c>
      <c r="D1422" s="23" t="n">
        <v>2.73</v>
      </c>
      <c r="E1422" s="24" t="n">
        <v>2</v>
      </c>
      <c r="F1422" s="24">
        <f>D1422*E1422</f>
        <v/>
      </c>
      <c r="G1422" s="22" t="n"/>
    </row>
    <row r="1423">
      <c r="A1423" s="22" t="inlineStr">
        <is>
          <t>9988</t>
        </is>
      </c>
      <c r="B1423" s="11" t="inlineStr">
        <is>
          <t>Carriage and fixing charges</t>
        </is>
      </c>
      <c r="C1423" s="22" t="inlineStr">
        <is>
          <t>L.S.</t>
        </is>
      </c>
      <c r="D1423" s="23" t="n">
        <v>9.359999999999999</v>
      </c>
      <c r="E1423" s="24" t="n">
        <v>2</v>
      </c>
      <c r="F1423" s="24">
        <f>D1423*E1423</f>
        <v/>
      </c>
      <c r="G1423" s="22" t="n"/>
    </row>
    <row r="1424">
      <c r="A1424" s="8" t="inlineStr">
        <is>
          <t>Calculated W - SUM of the Amount column above</t>
        </is>
      </c>
      <c r="B1424" s="9" t="n"/>
      <c r="C1424" s="9" t="n"/>
      <c r="D1424" s="9" t="n"/>
      <c r="E1424" s="9" t="n"/>
      <c r="F1424" s="25">
        <f>SUM(F1420:F1423)</f>
        <v/>
      </c>
      <c r="G1424" s="9" t="n"/>
    </row>
    <row r="1425">
      <c r="A1425" s="26" t="inlineStr">
        <is>
          <t>W as printed in the DAR</t>
        </is>
      </c>
      <c r="B1425" s="22" t="n"/>
      <c r="C1425" s="22" t="n"/>
      <c r="D1425" s="22" t="n"/>
      <c r="E1425" s="22" t="n"/>
      <c r="F1425" s="27" t="n">
        <v>59.18</v>
      </c>
      <c r="G1425" s="22" t="n"/>
    </row>
    <row r="1426">
      <c r="A1426" s="26" t="inlineStr">
        <is>
          <t>Difference (calculated - printed)</t>
        </is>
      </c>
      <c r="B1426" s="22" t="n"/>
      <c r="C1426" s="22" t="n"/>
      <c r="D1426" s="22" t="n"/>
      <c r="E1426" s="22" t="n"/>
      <c r="F1426" s="27">
        <f>F1424-F1425</f>
        <v/>
      </c>
      <c r="G1426" s="22" t="n"/>
    </row>
    <row r="1427">
      <c r="A1427" s="29" t="inlineStr">
        <is>
          <t>SAY (Rs.) - final DAR rate as printed (fixed value, not computed)</t>
        </is>
      </c>
      <c r="B1427" s="30" t="n"/>
      <c r="C1427" s="30" t="n"/>
      <c r="D1427" s="30" t="n"/>
      <c r="E1427" s="30" t="n"/>
      <c r="F1427" s="31" t="n">
        <v>79.2</v>
      </c>
      <c r="G1427" s="30" t="n"/>
    </row>
    <row r="1429" ht="47.5" customHeight="1">
      <c r="A1429" s="8" t="inlineStr">
        <is>
          <t>12.42</t>
        </is>
      </c>
      <c r="B1429" s="17" t="inlineStr">
        <is>
          <t>Providing and fixing on wall face unplasticised - PVC moulded fittings/ accessories for unplasticised Rigid PVC rain water pipes conforming to IS : 13592 Type A, including jointing with seal ring conforming to IS : 5382, leaving 10 mm gap for thermal expansion.</t>
        </is>
      </c>
      <c r="C1429" s="9" t="n"/>
      <c r="D1429" s="9" t="n"/>
      <c r="E1429" s="9" t="n"/>
      <c r="F1429" s="9" t="n"/>
      <c r="G1429" s="9" t="n"/>
    </row>
    <row r="1430" ht="18.5" customHeight="1">
      <c r="A1430" s="8" t="inlineStr">
        <is>
          <t>12.42.6</t>
        </is>
      </c>
      <c r="B1430" s="17" t="inlineStr">
        <is>
          <t>Shoe (Plain)</t>
        </is>
      </c>
      <c r="C1430" s="9" t="n"/>
      <c r="D1430" s="9" t="n"/>
      <c r="E1430" s="9" t="n"/>
      <c r="F1430" s="9" t="n"/>
      <c r="G1430" s="9" t="n"/>
    </row>
    <row r="1431" ht="18.5" customHeight="1">
      <c r="A1431" s="18" t="inlineStr">
        <is>
          <t>12.42.6.2</t>
        </is>
      </c>
      <c r="B1431" s="19" t="inlineStr">
        <is>
          <t>110 mm Shoe</t>
        </is>
      </c>
      <c r="C1431" s="20" t="n"/>
      <c r="D1431" s="20" t="n"/>
      <c r="E1431" s="20" t="n"/>
      <c r="F1431" s="20" t="n"/>
      <c r="G1431" s="20" t="n"/>
    </row>
    <row r="1432">
      <c r="A1432" s="21" t="inlineStr">
        <is>
          <t>Details of cost for 1 shoe   |   Source: CivilDAR_2019_Vol_1.pdf, page 871</t>
        </is>
      </c>
    </row>
    <row r="1433">
      <c r="A1433" s="5" t="inlineStr">
        <is>
          <t>Code</t>
        </is>
      </c>
      <c r="B1433" s="5" t="inlineStr">
        <is>
          <t>Description</t>
        </is>
      </c>
      <c r="C1433" s="5" t="inlineStr">
        <is>
          <t>Unit</t>
        </is>
      </c>
      <c r="D1433" s="5" t="inlineStr">
        <is>
          <t>Quantity</t>
        </is>
      </c>
      <c r="E1433" s="5" t="inlineStr">
        <is>
          <t>Rate (Rs.)</t>
        </is>
      </c>
      <c r="F1433" s="5" t="inlineStr">
        <is>
          <t>Amount (Rs.)</t>
        </is>
      </c>
      <c r="G1433" s="5" t="inlineStr">
        <is>
          <t>Note</t>
        </is>
      </c>
    </row>
    <row r="1434">
      <c r="A1434" s="22" t="inlineStr">
        <is>
          <t>7213</t>
        </is>
      </c>
      <c r="B1434" s="11" t="inlineStr">
        <is>
          <t>UPVC plain shoe 110 mm bend</t>
        </is>
      </c>
      <c r="C1434" s="22" t="inlineStr">
        <is>
          <t>each</t>
        </is>
      </c>
      <c r="D1434" s="23" t="n">
        <v>1</v>
      </c>
      <c r="E1434" s="24" t="n">
        <v>47</v>
      </c>
      <c r="F1434" s="24">
        <f>D1434*E1434</f>
        <v/>
      </c>
      <c r="G1434" s="22" t="n"/>
    </row>
    <row r="1435">
      <c r="A1435" s="22" t="inlineStr">
        <is>
          <t>7191</t>
        </is>
      </c>
      <c r="B1435" s="11" t="inlineStr">
        <is>
          <t>U-PVC pipes (working pressure 4 kg / sqcm) Rubber (Seal) Ring 110 mm dia.</t>
        </is>
      </c>
      <c r="C1435" s="22" t="inlineStr">
        <is>
          <t>each</t>
        </is>
      </c>
      <c r="D1435" s="23" t="n">
        <v>1</v>
      </c>
      <c r="E1435" s="24" t="n">
        <v>11</v>
      </c>
      <c r="F1435" s="24">
        <f>D1435*E1435</f>
        <v/>
      </c>
      <c r="G1435" s="22" t="n"/>
    </row>
    <row r="1436">
      <c r="A1436" s="22" t="inlineStr">
        <is>
          <t>9999</t>
        </is>
      </c>
      <c r="B1436" s="11" t="inlineStr">
        <is>
          <t>Adhesive, and sundries etc.</t>
        </is>
      </c>
      <c r="C1436" s="22" t="inlineStr">
        <is>
          <t>L.S.</t>
        </is>
      </c>
      <c r="D1436" s="23" t="n">
        <v>2.73</v>
      </c>
      <c r="E1436" s="24" t="n">
        <v>2</v>
      </c>
      <c r="F1436" s="24">
        <f>D1436*E1436</f>
        <v/>
      </c>
      <c r="G1436" s="22" t="n"/>
    </row>
    <row r="1437">
      <c r="A1437" s="22" t="inlineStr">
        <is>
          <t>9988</t>
        </is>
      </c>
      <c r="B1437" s="11" t="inlineStr">
        <is>
          <t>Carriage and fixing charges</t>
        </is>
      </c>
      <c r="C1437" s="22" t="inlineStr">
        <is>
          <t>L.S.</t>
        </is>
      </c>
      <c r="D1437" s="23" t="n">
        <v>10.79</v>
      </c>
      <c r="E1437" s="24" t="n">
        <v>2</v>
      </c>
      <c r="F1437" s="24">
        <f>D1437*E1437</f>
        <v/>
      </c>
      <c r="G1437" s="22" t="n"/>
    </row>
    <row r="1438">
      <c r="A1438" s="8" t="inlineStr">
        <is>
          <t>Calculated W - SUM of the Amount column above</t>
        </is>
      </c>
      <c r="B1438" s="9" t="n"/>
      <c r="C1438" s="9" t="n"/>
      <c r="D1438" s="9" t="n"/>
      <c r="E1438" s="9" t="n"/>
      <c r="F1438" s="25">
        <f>SUM(F1434:F1437)</f>
        <v/>
      </c>
      <c r="G1438" s="9" t="n"/>
    </row>
    <row r="1439">
      <c r="A1439" s="26" t="inlineStr">
        <is>
          <t>W as printed in the DAR</t>
        </is>
      </c>
      <c r="B1439" s="22" t="n"/>
      <c r="C1439" s="22" t="n"/>
      <c r="D1439" s="22" t="n"/>
      <c r="E1439" s="22" t="n"/>
      <c r="F1439" s="27" t="n">
        <v>85.04000000000001</v>
      </c>
      <c r="G1439" s="22" t="n"/>
    </row>
    <row r="1440">
      <c r="A1440" s="26" t="inlineStr">
        <is>
          <t>Difference (calculated - printed)</t>
        </is>
      </c>
      <c r="B1440" s="22" t="n"/>
      <c r="C1440" s="22" t="n"/>
      <c r="D1440" s="22" t="n"/>
      <c r="E1440" s="22" t="n"/>
      <c r="F1440" s="27">
        <f>F1438-F1439</f>
        <v/>
      </c>
      <c r="G1440" s="22" t="n"/>
    </row>
    <row r="1441">
      <c r="A1441" s="29" t="inlineStr">
        <is>
          <t>SAY (Rs.) - final DAR rate as printed (fixed value, not computed)</t>
        </is>
      </c>
      <c r="B1441" s="30" t="n"/>
      <c r="C1441" s="30" t="n"/>
      <c r="D1441" s="30" t="n"/>
      <c r="E1441" s="30" t="n"/>
      <c r="F1441" s="31" t="n">
        <v>113.8</v>
      </c>
      <c r="G1441" s="30" t="n"/>
    </row>
    <row r="1443" ht="47.5" customHeight="1">
      <c r="A1443" s="8" t="inlineStr">
        <is>
          <t>12.43</t>
        </is>
      </c>
      <c r="B1443" s="17"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is>
      </c>
      <c r="C1443" s="9" t="n"/>
      <c r="D1443" s="9" t="n"/>
      <c r="E1443" s="9" t="n"/>
      <c r="F1443" s="9" t="n"/>
      <c r="G1443" s="9" t="n"/>
    </row>
    <row r="1444" ht="18.5" customHeight="1">
      <c r="A1444" s="18" t="inlineStr">
        <is>
          <t>12.43.1</t>
        </is>
      </c>
      <c r="B1444" s="19" t="inlineStr">
        <is>
          <t>75 mm</t>
        </is>
      </c>
      <c r="C1444" s="20" t="n"/>
      <c r="D1444" s="20" t="n"/>
      <c r="E1444" s="20" t="n"/>
      <c r="F1444" s="20" t="n"/>
      <c r="G1444" s="20" t="n"/>
    </row>
    <row r="1445">
      <c r="A1445" s="21" t="inlineStr">
        <is>
          <t>Details of cost for 5 nos   |   Source: CivilDAR_2019_Vol_1.pdf, page 872</t>
        </is>
      </c>
    </row>
    <row r="1446">
      <c r="A1446" s="5" t="inlineStr">
        <is>
          <t>Code</t>
        </is>
      </c>
      <c r="B1446" s="5" t="inlineStr">
        <is>
          <t>Description</t>
        </is>
      </c>
      <c r="C1446" s="5" t="inlineStr">
        <is>
          <t>Unit</t>
        </is>
      </c>
      <c r="D1446" s="5" t="inlineStr">
        <is>
          <t>Quantity</t>
        </is>
      </c>
      <c r="E1446" s="5" t="inlineStr">
        <is>
          <t>Rate (Rs.)</t>
        </is>
      </c>
      <c r="F1446" s="5" t="inlineStr">
        <is>
          <t>Amount (Rs.)</t>
        </is>
      </c>
      <c r="G1446" s="5" t="inlineStr">
        <is>
          <t>Note</t>
        </is>
      </c>
    </row>
    <row r="1447">
      <c r="A1447" s="22" t="inlineStr">
        <is>
          <t>7214</t>
        </is>
      </c>
      <c r="B1447" s="11" t="inlineStr">
        <is>
          <t>UPVC pipe clip 75 mm bend</t>
        </is>
      </c>
      <c r="C1447" s="22" t="inlineStr">
        <is>
          <t>each</t>
        </is>
      </c>
      <c r="D1447" s="23" t="n">
        <v>5</v>
      </c>
      <c r="E1447" s="24" t="n">
        <v>15</v>
      </c>
      <c r="F1447" s="24">
        <f>D1447*E1447</f>
        <v/>
      </c>
      <c r="G1447" s="22" t="n"/>
    </row>
    <row r="1448">
      <c r="A1448" s="22" t="inlineStr">
        <is>
          <t>9977</t>
        </is>
      </c>
      <c r="B1448" s="11" t="inlineStr">
        <is>
          <t>Carriage of U-PVC pipe clips</t>
        </is>
      </c>
      <c r="C1448" s="22" t="inlineStr">
        <is>
          <t>L.S.</t>
        </is>
      </c>
      <c r="D1448" s="23" t="n">
        <v>2.47</v>
      </c>
      <c r="E1448" s="24" t="n">
        <v>2</v>
      </c>
      <c r="F1448" s="24">
        <f>D1448*E1448</f>
        <v/>
      </c>
      <c r="G1448" s="22" t="n"/>
    </row>
    <row r="1449">
      <c r="A1449" s="22" t="inlineStr">
        <is>
          <t>0870</t>
        </is>
      </c>
      <c r="B1449" s="11" t="inlineStr">
        <is>
          <t>Plug</t>
        </is>
      </c>
      <c r="C1449" s="22" t="inlineStr">
        <is>
          <t>each</t>
        </is>
      </c>
      <c r="D1449" s="23" t="n">
        <v>10</v>
      </c>
      <c r="E1449" s="24" t="n">
        <v>10</v>
      </c>
      <c r="F1449" s="24">
        <f>D1449*E1449</f>
        <v/>
      </c>
      <c r="G1449" s="22" t="n"/>
    </row>
    <row r="1450">
      <c r="A1450" s="22" t="inlineStr">
        <is>
          <t>0116</t>
        </is>
      </c>
      <c r="B1450" s="11" t="inlineStr">
        <is>
          <t>Fitter (grade 1)</t>
        </is>
      </c>
      <c r="C1450" s="22" t="inlineStr">
        <is>
          <t>day</t>
        </is>
      </c>
      <c r="D1450" s="23" t="n">
        <v>0.125</v>
      </c>
      <c r="E1450" s="24" t="n">
        <v>738</v>
      </c>
      <c r="F1450" s="24">
        <f>D1450*E1450</f>
        <v/>
      </c>
      <c r="G1450" s="22" t="n"/>
    </row>
    <row r="1451">
      <c r="A1451" s="22" t="inlineStr">
        <is>
          <t>0124</t>
        </is>
      </c>
      <c r="B1451" s="11" t="inlineStr">
        <is>
          <t>Mason (brick layer) 2nd class</t>
        </is>
      </c>
      <c r="C1451" s="22" t="inlineStr">
        <is>
          <t>day</t>
        </is>
      </c>
      <c r="D1451" s="23" t="n">
        <v>0.75</v>
      </c>
      <c r="E1451" s="24" t="n">
        <v>679</v>
      </c>
      <c r="F1451" s="24">
        <f>D1451*E1451</f>
        <v/>
      </c>
      <c r="G1451" s="22" t="n"/>
    </row>
    <row r="1452">
      <c r="A1452" s="22" t="inlineStr">
        <is>
          <t>0114</t>
        </is>
      </c>
      <c r="B1452" s="11" t="inlineStr">
        <is>
          <t>Beldar</t>
        </is>
      </c>
      <c r="C1452" s="22" t="inlineStr">
        <is>
          <t>day</t>
        </is>
      </c>
      <c r="D1452" s="23" t="n">
        <v>0.5</v>
      </c>
      <c r="E1452" s="24" t="n">
        <v>558</v>
      </c>
      <c r="F1452" s="24">
        <f>D1452*E1452</f>
        <v/>
      </c>
      <c r="G1452" s="22" t="n"/>
    </row>
    <row r="1453">
      <c r="A1453" s="22" t="inlineStr">
        <is>
          <t>9999</t>
        </is>
      </c>
      <c r="B1453" s="11" t="inlineStr">
        <is>
          <t>Sundries</t>
        </is>
      </c>
      <c r="C1453" s="22" t="inlineStr">
        <is>
          <t>L.S.</t>
        </is>
      </c>
      <c r="D1453" s="23" t="n">
        <v>7.15</v>
      </c>
      <c r="E1453" s="24" t="n">
        <v>2</v>
      </c>
      <c r="F1453" s="24">
        <f>D1453*E1453</f>
        <v/>
      </c>
      <c r="G1453" s="22" t="n"/>
    </row>
    <row r="1454">
      <c r="A1454" s="22" t="inlineStr">
        <is>
          <t>9999</t>
        </is>
      </c>
      <c r="B1454" s="11" t="inlineStr">
        <is>
          <t>Sundries</t>
        </is>
      </c>
      <c r="C1454" s="22" t="inlineStr">
        <is>
          <t>L.S.</t>
        </is>
      </c>
      <c r="D1454" s="23" t="n">
        <v>0.91</v>
      </c>
      <c r="E1454" s="24" t="n">
        <v>2</v>
      </c>
      <c r="F1454" s="24">
        <f>D1454*E1454</f>
        <v/>
      </c>
      <c r="G1454" s="22" t="n"/>
    </row>
    <row r="1455">
      <c r="A1455" s="22" t="inlineStr">
        <is>
          <t>9999</t>
        </is>
      </c>
      <c r="B1455" s="11" t="inlineStr">
        <is>
          <t>Sundries cement mortar 1:4 (1Cement : 4 Coarse sand)</t>
        </is>
      </c>
      <c r="C1455" s="22" t="inlineStr">
        <is>
          <t>L.S.</t>
        </is>
      </c>
      <c r="D1455" s="23" t="n">
        <v>3.9</v>
      </c>
      <c r="E1455" s="24" t="n">
        <v>2</v>
      </c>
      <c r="F1455" s="24">
        <f>D1455*E1455</f>
        <v/>
      </c>
      <c r="G1455" s="22" t="n"/>
    </row>
    <row r="1456">
      <c r="A1456" s="8" t="inlineStr">
        <is>
          <t>Calculated W - SUM of the Amount column above</t>
        </is>
      </c>
      <c r="B1456" s="9" t="n"/>
      <c r="C1456" s="9" t="n"/>
      <c r="D1456" s="9" t="n"/>
      <c r="E1456" s="9" t="n"/>
      <c r="F1456" s="25">
        <f>SUM(F1447:F1455)</f>
        <v/>
      </c>
      <c r="G1456" s="9" t="n"/>
    </row>
    <row r="1457">
      <c r="A1457" s="26" t="inlineStr">
        <is>
          <t>W as printed in the DAR</t>
        </is>
      </c>
      <c r="B1457" s="22" t="n"/>
      <c r="C1457" s="22" t="n"/>
      <c r="D1457" s="22" t="n"/>
      <c r="E1457" s="22" t="n"/>
      <c r="F1457" s="27" t="n">
        <v>1084.36</v>
      </c>
      <c r="G1457" s="22" t="n"/>
    </row>
    <row r="1458">
      <c r="A1458" s="26" t="inlineStr">
        <is>
          <t>Difference (calculated - printed)</t>
        </is>
      </c>
      <c r="B1458" s="22" t="n"/>
      <c r="C1458" s="22" t="n"/>
      <c r="D1458" s="22" t="n"/>
      <c r="E1458" s="22" t="n"/>
      <c r="F1458" s="27">
        <f>F1456-F1457</f>
        <v/>
      </c>
      <c r="G1458" s="22" t="n"/>
    </row>
    <row r="1459">
      <c r="A1459" s="29" t="inlineStr">
        <is>
          <t>SAY (Rs.) - final DAR rate as printed (fixed value, not computed)</t>
        </is>
      </c>
      <c r="B1459" s="30" t="n"/>
      <c r="C1459" s="30" t="n"/>
      <c r="D1459" s="30" t="n"/>
      <c r="E1459" s="30" t="n"/>
      <c r="F1459" s="31" t="n">
        <v>290.15</v>
      </c>
      <c r="G1459" s="30" t="n"/>
    </row>
    <row r="1461" ht="47.5" customHeight="1">
      <c r="A1461" s="8" t="inlineStr">
        <is>
          <t>12.43</t>
        </is>
      </c>
      <c r="B1461" s="17"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is>
      </c>
      <c r="C1461" s="9" t="n"/>
      <c r="D1461" s="9" t="n"/>
      <c r="E1461" s="9" t="n"/>
      <c r="F1461" s="9" t="n"/>
      <c r="G1461" s="9" t="n"/>
    </row>
    <row r="1462" ht="18.5" customHeight="1">
      <c r="A1462" s="18" t="inlineStr">
        <is>
          <t>12.43.2</t>
        </is>
      </c>
      <c r="B1462" s="19" t="inlineStr">
        <is>
          <t>110 mm</t>
        </is>
      </c>
      <c r="C1462" s="20" t="n"/>
      <c r="D1462" s="20" t="n"/>
      <c r="E1462" s="20" t="n"/>
      <c r="F1462" s="20" t="n"/>
      <c r="G1462" s="20" t="n"/>
    </row>
    <row r="1463">
      <c r="A1463" s="21" t="inlineStr">
        <is>
          <t>Details of cost for 5 nos   |   Source: CivilDAR_2019_Vol_1.pdf, page 873</t>
        </is>
      </c>
    </row>
    <row r="1464">
      <c r="A1464" s="5" t="inlineStr">
        <is>
          <t>Code</t>
        </is>
      </c>
      <c r="B1464" s="5" t="inlineStr">
        <is>
          <t>Description</t>
        </is>
      </c>
      <c r="C1464" s="5" t="inlineStr">
        <is>
          <t>Unit</t>
        </is>
      </c>
      <c r="D1464" s="5" t="inlineStr">
        <is>
          <t>Quantity</t>
        </is>
      </c>
      <c r="E1464" s="5" t="inlineStr">
        <is>
          <t>Rate (Rs.)</t>
        </is>
      </c>
      <c r="F1464" s="5" t="inlineStr">
        <is>
          <t>Amount (Rs.)</t>
        </is>
      </c>
      <c r="G1464" s="5" t="inlineStr">
        <is>
          <t>Note</t>
        </is>
      </c>
    </row>
    <row r="1465">
      <c r="A1465" s="22" t="inlineStr">
        <is>
          <t>7215</t>
        </is>
      </c>
      <c r="B1465" s="11" t="inlineStr">
        <is>
          <t>UPVC pipe clip 110 mm bend</t>
        </is>
      </c>
      <c r="C1465" s="22" t="inlineStr">
        <is>
          <t>each</t>
        </is>
      </c>
      <c r="D1465" s="23" t="n">
        <v>5</v>
      </c>
      <c r="E1465" s="24" t="n">
        <v>14</v>
      </c>
      <c r="F1465" s="24">
        <f>D1465*E1465</f>
        <v/>
      </c>
      <c r="G1465" s="22" t="n"/>
    </row>
    <row r="1466">
      <c r="A1466" s="22" t="inlineStr">
        <is>
          <t>9977</t>
        </is>
      </c>
      <c r="B1466" s="11" t="inlineStr">
        <is>
          <t>Carriage of U-PVC pipe clips</t>
        </is>
      </c>
      <c r="C1466" s="22" t="inlineStr">
        <is>
          <t>L.S.</t>
        </is>
      </c>
      <c r="D1466" s="23" t="n">
        <v>2.47</v>
      </c>
      <c r="E1466" s="24" t="n">
        <v>2</v>
      </c>
      <c r="F1466" s="24">
        <f>D1466*E1466</f>
        <v/>
      </c>
      <c r="G1466" s="22" t="n"/>
    </row>
    <row r="1467">
      <c r="A1467" s="22" t="inlineStr">
        <is>
          <t>0870</t>
        </is>
      </c>
      <c r="B1467" s="11" t="inlineStr">
        <is>
          <t>Plug</t>
        </is>
      </c>
      <c r="C1467" s="22" t="inlineStr">
        <is>
          <t>each</t>
        </is>
      </c>
      <c r="D1467" s="23" t="n">
        <v>10</v>
      </c>
      <c r="E1467" s="24" t="n">
        <v>10</v>
      </c>
      <c r="F1467" s="24">
        <f>D1467*E1467</f>
        <v/>
      </c>
      <c r="G1467" s="22" t="n"/>
    </row>
    <row r="1468">
      <c r="A1468" s="22" t="inlineStr">
        <is>
          <t>0116</t>
        </is>
      </c>
      <c r="B1468" s="11" t="inlineStr">
        <is>
          <t>Fitter (grade 1)</t>
        </is>
      </c>
      <c r="C1468" s="22" t="inlineStr">
        <is>
          <t>day</t>
        </is>
      </c>
      <c r="D1468" s="23" t="n">
        <v>0.125</v>
      </c>
      <c r="E1468" s="24" t="n">
        <v>738</v>
      </c>
      <c r="F1468" s="24">
        <f>D1468*E1468</f>
        <v/>
      </c>
      <c r="G1468" s="22" t="n"/>
    </row>
    <row r="1469">
      <c r="A1469" s="22" t="inlineStr">
        <is>
          <t>0124</t>
        </is>
      </c>
      <c r="B1469" s="11" t="inlineStr">
        <is>
          <t>Mason (brick layer) 2nd class</t>
        </is>
      </c>
      <c r="C1469" s="22" t="inlineStr">
        <is>
          <t>day</t>
        </is>
      </c>
      <c r="D1469" s="23" t="n">
        <v>0.75</v>
      </c>
      <c r="E1469" s="24" t="n">
        <v>679</v>
      </c>
      <c r="F1469" s="24">
        <f>D1469*E1469</f>
        <v/>
      </c>
      <c r="G1469" s="22" t="n"/>
    </row>
    <row r="1470">
      <c r="A1470" s="22" t="inlineStr">
        <is>
          <t>0114</t>
        </is>
      </c>
      <c r="B1470" s="11" t="inlineStr">
        <is>
          <t>Beldar</t>
        </is>
      </c>
      <c r="C1470" s="22" t="inlineStr">
        <is>
          <t>day</t>
        </is>
      </c>
      <c r="D1470" s="23" t="n">
        <v>0.5</v>
      </c>
      <c r="E1470" s="24" t="n">
        <v>558</v>
      </c>
      <c r="F1470" s="24">
        <f>D1470*E1470</f>
        <v/>
      </c>
      <c r="G1470" s="22" t="n"/>
    </row>
    <row r="1471">
      <c r="A1471" s="22" t="inlineStr">
        <is>
          <t>9999</t>
        </is>
      </c>
      <c r="B1471" s="11" t="inlineStr">
        <is>
          <t>Sundries</t>
        </is>
      </c>
      <c r="C1471" s="22" t="inlineStr">
        <is>
          <t>L.S.</t>
        </is>
      </c>
      <c r="D1471" s="23" t="n">
        <v>7.15</v>
      </c>
      <c r="E1471" s="24" t="n">
        <v>2</v>
      </c>
      <c r="F1471" s="24">
        <f>D1471*E1471</f>
        <v/>
      </c>
      <c r="G1471" s="22" t="n"/>
    </row>
    <row r="1472">
      <c r="A1472" s="22" t="inlineStr">
        <is>
          <t>9999</t>
        </is>
      </c>
      <c r="B1472" s="11" t="inlineStr">
        <is>
          <t>Sundries</t>
        </is>
      </c>
      <c r="C1472" s="22" t="inlineStr">
        <is>
          <t>L.S.</t>
        </is>
      </c>
      <c r="D1472" s="23" t="n">
        <v>0.91</v>
      </c>
      <c r="E1472" s="24" t="n">
        <v>2</v>
      </c>
      <c r="F1472" s="24">
        <f>D1472*E1472</f>
        <v/>
      </c>
      <c r="G1472" s="22" t="n"/>
    </row>
    <row r="1473">
      <c r="A1473" s="22" t="inlineStr">
        <is>
          <t>9999</t>
        </is>
      </c>
      <c r="B1473" s="11" t="inlineStr">
        <is>
          <t>Sundries cement mortar 1:4 (1Cement : 4 Coarse sand)</t>
        </is>
      </c>
      <c r="C1473" s="22" t="inlineStr">
        <is>
          <t>L.S.</t>
        </is>
      </c>
      <c r="D1473" s="23" t="n">
        <v>3.9</v>
      </c>
      <c r="E1473" s="24" t="n">
        <v>2</v>
      </c>
      <c r="F1473" s="24">
        <f>D1473*E1473</f>
        <v/>
      </c>
      <c r="G1473" s="22" t="n"/>
    </row>
    <row r="1474">
      <c r="A1474" s="8" t="inlineStr">
        <is>
          <t>Calculated W - SUM of the Amount column above</t>
        </is>
      </c>
      <c r="B1474" s="9" t="n"/>
      <c r="C1474" s="9" t="n"/>
      <c r="D1474" s="9" t="n"/>
      <c r="E1474" s="9" t="n"/>
      <c r="F1474" s="25">
        <f>SUM(F1465:F1473)</f>
        <v/>
      </c>
      <c r="G1474" s="9" t="n"/>
    </row>
    <row r="1475">
      <c r="A1475" s="26" t="inlineStr">
        <is>
          <t>W as printed in the DAR</t>
        </is>
      </c>
      <c r="B1475" s="22" t="n"/>
      <c r="C1475" s="22" t="n"/>
      <c r="D1475" s="22" t="n"/>
      <c r="E1475" s="22" t="n"/>
      <c r="F1475" s="27" t="n">
        <v>1079.36</v>
      </c>
      <c r="G1475" s="22" t="n"/>
    </row>
    <row r="1476">
      <c r="A1476" s="26" t="inlineStr">
        <is>
          <t>Difference (calculated - printed)</t>
        </is>
      </c>
      <c r="B1476" s="22" t="n"/>
      <c r="C1476" s="22" t="n"/>
      <c r="D1476" s="22" t="n"/>
      <c r="E1476" s="22" t="n"/>
      <c r="F1476" s="27">
        <f>F1474-F1475</f>
        <v/>
      </c>
      <c r="G1476" s="22" t="n"/>
    </row>
    <row r="1477">
      <c r="A1477" s="29" t="inlineStr">
        <is>
          <t>SAY (Rs.) - final DAR rate as printed (fixed value, not computed)</t>
        </is>
      </c>
      <c r="B1477" s="30" t="n"/>
      <c r="C1477" s="30" t="n"/>
      <c r="D1477" s="30" t="n"/>
      <c r="E1477" s="30" t="n"/>
      <c r="F1477" s="31" t="n">
        <v>288.8</v>
      </c>
      <c r="G1477" s="30" t="n"/>
    </row>
    <row r="1479" ht="33" customHeight="1">
      <c r="A1479" s="18" t="inlineStr">
        <is>
          <t>12.44</t>
        </is>
      </c>
      <c r="B1479" s="19" t="inlineStr">
        <is>
          <t>Providing and fixing to the inlet mouth of rain water pipe cast iron grating 15 cm diameter and weighing not less than 440 grams.</t>
        </is>
      </c>
      <c r="C1479" s="20" t="n"/>
      <c r="D1479" s="20" t="n"/>
      <c r="E1479" s="20" t="n"/>
      <c r="F1479" s="20" t="n"/>
      <c r="G1479" s="20" t="n"/>
    </row>
    <row r="1480">
      <c r="A1480" s="21" t="inlineStr">
        <is>
          <t>Details of cost for 1 grating   |   Source: CivilDAR_2019_Vol_1.pdf, page 873</t>
        </is>
      </c>
    </row>
    <row r="1481">
      <c r="A1481" s="5" t="inlineStr">
        <is>
          <t>Code</t>
        </is>
      </c>
      <c r="B1481" s="5" t="inlineStr">
        <is>
          <t>Description</t>
        </is>
      </c>
      <c r="C1481" s="5" t="inlineStr">
        <is>
          <t>Unit</t>
        </is>
      </c>
      <c r="D1481" s="5" t="inlineStr">
        <is>
          <t>Quantity</t>
        </is>
      </c>
      <c r="E1481" s="5" t="inlineStr">
        <is>
          <t>Rate (Rs.)</t>
        </is>
      </c>
      <c r="F1481" s="5" t="inlineStr">
        <is>
          <t>Amount (Rs.)</t>
        </is>
      </c>
      <c r="G1481" s="5" t="inlineStr">
        <is>
          <t>Note</t>
        </is>
      </c>
    </row>
    <row r="1482">
      <c r="A1482" s="22" t="inlineStr">
        <is>
          <t>7187</t>
        </is>
      </c>
      <c r="B1482" s="11" t="inlineStr">
        <is>
          <t>C.I. grating 150 mm dia. (Weighing not less than 440 gm)</t>
        </is>
      </c>
      <c r="C1482" s="22" t="inlineStr">
        <is>
          <t>each</t>
        </is>
      </c>
      <c r="D1482" s="23" t="n">
        <v>1</v>
      </c>
      <c r="E1482" s="24" t="n">
        <v>27</v>
      </c>
      <c r="F1482" s="24">
        <f>D1482*E1482</f>
        <v/>
      </c>
      <c r="G1482" s="22" t="n"/>
    </row>
    <row r="1483">
      <c r="A1483" s="22" t="inlineStr">
        <is>
          <t>9977</t>
        </is>
      </c>
      <c r="B1483" s="11" t="inlineStr">
        <is>
          <t>Carriage of material and fixing charges</t>
        </is>
      </c>
      <c r="C1483" s="22" t="inlineStr">
        <is>
          <t>L.S.</t>
        </is>
      </c>
      <c r="D1483" s="23" t="n">
        <v>4.16</v>
      </c>
      <c r="E1483" s="24" t="n">
        <v>2</v>
      </c>
      <c r="F1483" s="24">
        <f>D1483*E1483</f>
        <v/>
      </c>
      <c r="G1483" s="22" t="n"/>
    </row>
    <row r="1484">
      <c r="A1484" s="8" t="inlineStr">
        <is>
          <t>Calculated W - SUM of the Amount column above</t>
        </is>
      </c>
      <c r="B1484" s="9" t="n"/>
      <c r="C1484" s="9" t="n"/>
      <c r="D1484" s="9" t="n"/>
      <c r="E1484" s="9" t="n"/>
      <c r="F1484" s="25">
        <f>SUM(F1482:F1483)</f>
        <v/>
      </c>
      <c r="G1484" s="9" t="n"/>
    </row>
    <row r="1485">
      <c r="A1485" s="26" t="inlineStr">
        <is>
          <t>W as printed in the DAR</t>
        </is>
      </c>
      <c r="B1485" s="22" t="n"/>
      <c r="C1485" s="22" t="n"/>
      <c r="D1485" s="22" t="n"/>
      <c r="E1485" s="22" t="n"/>
      <c r="F1485" s="27" t="n">
        <v>35.32</v>
      </c>
      <c r="G1485" s="22" t="n"/>
    </row>
    <row r="1486">
      <c r="A1486" s="26" t="inlineStr">
        <is>
          <t>Difference (calculated - printed)</t>
        </is>
      </c>
      <c r="B1486" s="22" t="n"/>
      <c r="C1486" s="22" t="n"/>
      <c r="D1486" s="22" t="n"/>
      <c r="E1486" s="22" t="n"/>
      <c r="F1486" s="27">
        <f>F1484-F1485</f>
        <v/>
      </c>
      <c r="G1486" s="22" t="n"/>
    </row>
    <row r="1487">
      <c r="A1487" s="29" t="inlineStr">
        <is>
          <t>SAY (Rs.) - final DAR rate as printed (fixed value, not computed)</t>
        </is>
      </c>
      <c r="B1487" s="30" t="n"/>
      <c r="C1487" s="30" t="n"/>
      <c r="D1487" s="30" t="n"/>
      <c r="E1487" s="30" t="n"/>
      <c r="F1487" s="31" t="n">
        <v>47.25</v>
      </c>
      <c r="G1487" s="30" t="n"/>
    </row>
    <row r="1489" ht="47.5" customHeight="1">
      <c r="A1489" s="8" t="inlineStr">
        <is>
          <t>12.45</t>
        </is>
      </c>
      <c r="B1489" s="17"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t>
        </is>
      </c>
      <c r="C1489" s="9" t="n"/>
      <c r="D1489" s="9" t="n"/>
      <c r="E1489" s="9" t="n"/>
      <c r="F1489" s="9" t="n"/>
      <c r="G1489" s="9" t="n"/>
    </row>
    <row r="1490" ht="18.5" customHeight="1">
      <c r="A1490" s="18" t="inlineStr">
        <is>
          <t>12.45.1</t>
        </is>
      </c>
      <c r="B1490" s="19" t="inlineStr">
        <is>
          <t>12.5 mm thick tapered edge gypsum plain board conforming to IS: 2095- (Part I) :</t>
        </is>
      </c>
      <c r="C1490" s="20" t="n"/>
      <c r="D1490" s="20" t="n"/>
      <c r="E1490" s="20" t="n"/>
      <c r="F1490" s="20" t="n"/>
      <c r="G1490" s="20" t="n"/>
    </row>
    <row r="1491">
      <c r="A1491" s="21" t="inlineStr">
        <is>
          <t>Details of cost for 103.68 sqm   |   Source: CivilDAR_2019_Vol_1.pdf, page 874</t>
        </is>
      </c>
    </row>
    <row r="1492">
      <c r="A1492" s="5" t="inlineStr">
        <is>
          <t>Code</t>
        </is>
      </c>
      <c r="B1492" s="5" t="inlineStr">
        <is>
          <t>Description</t>
        </is>
      </c>
      <c r="C1492" s="5" t="inlineStr">
        <is>
          <t>Unit</t>
        </is>
      </c>
      <c r="D1492" s="5" t="inlineStr">
        <is>
          <t>Quantity</t>
        </is>
      </c>
      <c r="E1492" s="5" t="inlineStr">
        <is>
          <t>Rate (Rs.)</t>
        </is>
      </c>
      <c r="F1492" s="5" t="inlineStr">
        <is>
          <t>Amount (Rs.)</t>
        </is>
      </c>
      <c r="G1492" s="5" t="inlineStr">
        <is>
          <t>Note</t>
        </is>
      </c>
    </row>
    <row r="1493">
      <c r="A1493" s="22" t="inlineStr">
        <is>
          <t>7009</t>
        </is>
      </c>
      <c r="B1493" s="11" t="inlineStr">
        <is>
          <t>12.5 mm thick tapered edge gypsum plain borad</t>
        </is>
      </c>
      <c r="C1493" s="22" t="inlineStr">
        <is>
          <t>sqm</t>
        </is>
      </c>
      <c r="D1493" s="23" t="n">
        <v>108.86</v>
      </c>
      <c r="E1493" s="24" t="n">
        <v>155</v>
      </c>
      <c r="F1493" s="24">
        <f>D1493*E1493</f>
        <v/>
      </c>
      <c r="G1493" s="22" t="n"/>
    </row>
    <row r="1494">
      <c r="A1494" s="22" t="inlineStr">
        <is>
          <t>7010</t>
        </is>
      </c>
      <c r="B1494" s="11" t="inlineStr">
        <is>
          <t>Galvanised Steel ceiling section (size 80x26x0.50mm)</t>
        </is>
      </c>
      <c r="C1494" s="22" t="inlineStr">
        <is>
          <t>metre</t>
        </is>
      </c>
      <c r="D1494" s="23" t="n">
        <v>238.14</v>
      </c>
      <c r="E1494" s="24" t="n">
        <v>46</v>
      </c>
      <c r="F1494" s="24">
        <f>D1494*E1494</f>
        <v/>
      </c>
      <c r="G1494" s="22" t="n"/>
    </row>
    <row r="1495">
      <c r="A1495" s="22" t="inlineStr">
        <is>
          <t>7011</t>
        </is>
      </c>
      <c r="B1495" s="11" t="inlineStr">
        <is>
          <t>Galvanised Steel perimetre Channel (Size 20x27x30x0.50mm)</t>
        </is>
      </c>
      <c r="C1495" s="22" t="inlineStr">
        <is>
          <t>metre</t>
        </is>
      </c>
      <c r="D1495" s="23" t="n">
        <v>41.84</v>
      </c>
      <c r="E1495" s="24" t="n">
        <v>22</v>
      </c>
      <c r="F1495" s="24">
        <f>D1495*E1495</f>
        <v/>
      </c>
      <c r="G1495" s="22" t="n"/>
    </row>
    <row r="1496">
      <c r="A1496" s="22" t="inlineStr">
        <is>
          <t>7012</t>
        </is>
      </c>
      <c r="B1496" s="11" t="inlineStr">
        <is>
          <t>Galvanised Steel intermediate Channel (Size 15x45x15x0.90mm)</t>
        </is>
      </c>
      <c r="C1496" s="22" t="inlineStr">
        <is>
          <t>metre</t>
        </is>
      </c>
      <c r="D1496" s="23" t="n">
        <v>90.72</v>
      </c>
      <c r="E1496" s="24" t="n">
        <v>38</v>
      </c>
      <c r="F1496" s="24">
        <f>D1496*E1496</f>
        <v/>
      </c>
      <c r="G1496" s="22" t="n"/>
    </row>
    <row r="1497">
      <c r="A1497" s="22" t="inlineStr">
        <is>
          <t>7013</t>
        </is>
      </c>
      <c r="B1497" s="11" t="inlineStr">
        <is>
          <t>Galvanised Steel angle hanger (Celling angle) (Size 25x10x0.50mm)</t>
        </is>
      </c>
      <c r="C1497" s="22" t="inlineStr">
        <is>
          <t>metre</t>
        </is>
      </c>
      <c r="D1497" s="23" t="n">
        <v>10.8</v>
      </c>
      <c r="E1497" s="24" t="n">
        <v>12</v>
      </c>
      <c r="F1497" s="24">
        <f>D1497*E1497</f>
        <v/>
      </c>
      <c r="G1497" s="22" t="n"/>
    </row>
    <row r="1498">
      <c r="A1498" s="22" t="inlineStr">
        <is>
          <t>7014</t>
        </is>
      </c>
      <c r="B1498" s="11" t="inlineStr">
        <is>
          <t>Galvanised Steel connecting clips (2.64mm dia and 230 mm long GI wire)</t>
        </is>
      </c>
      <c r="C1498" s="22" t="inlineStr">
        <is>
          <t>each</t>
        </is>
      </c>
      <c r="D1498" s="23" t="n">
        <v>189</v>
      </c>
      <c r="E1498" s="24" t="n">
        <v>4</v>
      </c>
      <c r="F1498" s="24">
        <f>D1498*E1498</f>
        <v/>
      </c>
      <c r="G1498" s="22" t="n"/>
    </row>
    <row r="1499">
      <c r="A1499" s="22" t="inlineStr">
        <is>
          <t>1022</t>
        </is>
      </c>
      <c r="B1499" s="11" t="inlineStr">
        <is>
          <t>Galvanised steel bolts &amp; nuts 6 mm dia and 25 mm long round head with slots</t>
        </is>
      </c>
      <c r="C1499" s="22" t="inlineStr">
        <is>
          <t>10 Nos</t>
        </is>
      </c>
      <c r="D1499" s="23" t="n">
        <v>21.6</v>
      </c>
      <c r="E1499" s="24" t="n">
        <v>38</v>
      </c>
      <c r="F1499" s="24">
        <f>D1499*E1499</f>
        <v/>
      </c>
      <c r="G1499" s="22" t="n"/>
    </row>
    <row r="1500">
      <c r="A1500" s="22" t="inlineStr">
        <is>
          <t>7015</t>
        </is>
      </c>
      <c r="B1500" s="11" t="inlineStr">
        <is>
          <t>Galvanised Steel soffit cleat (Size 27x37x25x0.60mm)</t>
        </is>
      </c>
      <c r="C1500" s="22" t="inlineStr">
        <is>
          <t>each</t>
        </is>
      </c>
      <c r="D1500" s="23" t="n">
        <v>72</v>
      </c>
      <c r="E1500" s="24" t="n">
        <v>3</v>
      </c>
      <c r="F1500" s="24">
        <f>D1500*E1500</f>
        <v/>
      </c>
      <c r="G1500" s="22" t="n"/>
    </row>
    <row r="1501">
      <c r="A1501" s="22" t="inlineStr">
        <is>
          <t>7020</t>
        </is>
      </c>
      <c r="B1501" s="11" t="inlineStr">
        <is>
          <t>All drive screws ( for gypsum board)</t>
        </is>
      </c>
      <c r="C1501" s="22" t="inlineStr">
        <is>
          <t>100 Nos</t>
        </is>
      </c>
      <c r="D1501" s="23" t="n">
        <v>10</v>
      </c>
      <c r="E1501" s="24" t="n">
        <v>58</v>
      </c>
      <c r="F1501" s="24">
        <f>D1501*E1501</f>
        <v/>
      </c>
      <c r="G1501" s="22" t="n"/>
    </row>
    <row r="1502">
      <c r="A1502" s="22" t="inlineStr">
        <is>
          <t>7016</t>
        </is>
      </c>
      <c r="B1502" s="11" t="inlineStr">
        <is>
          <t>Joint filler</t>
        </is>
      </c>
      <c r="C1502" s="22" t="inlineStr">
        <is>
          <t>kilogram</t>
        </is>
      </c>
      <c r="D1502" s="23" t="n">
        <v>22.81</v>
      </c>
      <c r="E1502" s="24" t="n">
        <v>26</v>
      </c>
      <c r="F1502" s="24">
        <f>D1502*E1502</f>
        <v/>
      </c>
      <c r="G1502" s="22" t="n"/>
    </row>
    <row r="1503">
      <c r="A1503" s="22" t="inlineStr">
        <is>
          <t>7017</t>
        </is>
      </c>
      <c r="B1503" s="11" t="inlineStr">
        <is>
          <t>Joint finisher</t>
        </is>
      </c>
      <c r="C1503" s="22" t="inlineStr">
        <is>
          <t>kilogram</t>
        </is>
      </c>
      <c r="D1503" s="23" t="n">
        <v>34.21</v>
      </c>
      <c r="E1503" s="24" t="n">
        <v>23</v>
      </c>
      <c r="F1503" s="24">
        <f>D1503*E1503</f>
        <v/>
      </c>
      <c r="G1503" s="22" t="n"/>
    </row>
    <row r="1504">
      <c r="A1504" s="22" t="inlineStr">
        <is>
          <t>7018</t>
        </is>
      </c>
      <c r="B1504" s="11" t="inlineStr">
        <is>
          <t>Joint tape roll</t>
        </is>
      </c>
      <c r="C1504" s="22" t="inlineStr">
        <is>
          <t>roll</t>
        </is>
      </c>
      <c r="D1504" s="23" t="n">
        <v>1.27</v>
      </c>
      <c r="E1504" s="24" t="n">
        <v>100</v>
      </c>
      <c r="F1504" s="24">
        <f>D1504*E1504</f>
        <v/>
      </c>
      <c r="G1504" s="22" t="n"/>
    </row>
    <row r="1505">
      <c r="A1505" s="22" t="inlineStr">
        <is>
          <t>7021</t>
        </is>
      </c>
      <c r="B1505" s="11" t="inlineStr">
        <is>
          <t>Primer ( for gypsum board)</t>
        </is>
      </c>
      <c r="C1505" s="22" t="inlineStr">
        <is>
          <t>litre</t>
        </is>
      </c>
      <c r="D1505" s="23" t="n">
        <v>18.66</v>
      </c>
      <c r="E1505" s="24" t="n">
        <v>85</v>
      </c>
      <c r="F1505" s="24">
        <f>D1505*E1505</f>
        <v/>
      </c>
      <c r="G1505" s="22" t="n"/>
    </row>
    <row r="1506">
      <c r="A1506" s="22" t="inlineStr">
        <is>
          <t>7388</t>
        </is>
      </c>
      <c r="B1506" s="11" t="inlineStr">
        <is>
          <t>Dash hold fastener 12.5 mm dia, 40 mm long with 6 mm dia bolt</t>
        </is>
      </c>
      <c r="C1506" s="22" t="inlineStr">
        <is>
          <t>each</t>
        </is>
      </c>
      <c r="D1506" s="23" t="n">
        <v>72</v>
      </c>
      <c r="E1506" s="24" t="n">
        <v>11</v>
      </c>
      <c r="F1506" s="24">
        <f>D1506*E1506</f>
        <v/>
      </c>
      <c r="G1506" s="22" t="n"/>
    </row>
    <row r="1507">
      <c r="A1507" s="22" t="inlineStr">
        <is>
          <t>9999</t>
        </is>
      </c>
      <c r="B1507" s="11" t="inlineStr">
        <is>
          <t>Sundries like rawl plug scaffolding etc</t>
        </is>
      </c>
      <c r="C1507" s="22" t="inlineStr">
        <is>
          <t>L.S.</t>
        </is>
      </c>
      <c r="D1507" s="23" t="n">
        <v>807.3</v>
      </c>
      <c r="E1507" s="24" t="n">
        <v>2</v>
      </c>
      <c r="F1507" s="24">
        <f>D1507*E1507</f>
        <v/>
      </c>
      <c r="G1507" s="22" t="n"/>
    </row>
    <row r="1508">
      <c r="A1508" s="22" t="inlineStr">
        <is>
          <t>9977</t>
        </is>
      </c>
      <c r="B1508" s="11" t="inlineStr">
        <is>
          <t>Carriage of material etc.</t>
        </is>
      </c>
      <c r="C1508" s="22" t="inlineStr">
        <is>
          <t>L.S.</t>
        </is>
      </c>
      <c r="D1508" s="23" t="n">
        <v>447.2</v>
      </c>
      <c r="E1508" s="24" t="n">
        <v>2</v>
      </c>
      <c r="F1508" s="24">
        <f>D1508*E1508</f>
        <v/>
      </c>
      <c r="G1508" s="22" t="n"/>
    </row>
    <row r="1509">
      <c r="A1509" s="22" t="inlineStr">
        <is>
          <t>0112</t>
        </is>
      </c>
      <c r="B1509" s="11" t="inlineStr">
        <is>
          <t>Carpenter 2nd class</t>
        </is>
      </c>
      <c r="C1509" s="22" t="inlineStr">
        <is>
          <t>day</t>
        </is>
      </c>
      <c r="D1509" s="23" t="n">
        <v>31.104</v>
      </c>
      <c r="E1509" s="24" t="n">
        <v>679</v>
      </c>
      <c r="F1509" s="24">
        <f>D1509*E1509</f>
        <v/>
      </c>
      <c r="G1509" s="22" t="n"/>
    </row>
    <row r="1510">
      <c r="A1510" s="22" t="inlineStr">
        <is>
          <t>0114</t>
        </is>
      </c>
      <c r="B1510" s="11" t="inlineStr">
        <is>
          <t>Beldar</t>
        </is>
      </c>
      <c r="C1510" s="22" t="inlineStr">
        <is>
          <t>day</t>
        </is>
      </c>
      <c r="D1510" s="23" t="n">
        <v>31.104</v>
      </c>
      <c r="E1510" s="24" t="n">
        <v>558</v>
      </c>
      <c r="F1510" s="24">
        <f>D1510*E1510</f>
        <v/>
      </c>
      <c r="G1510" s="22" t="n"/>
    </row>
    <row r="1511">
      <c r="A1511" s="22" t="inlineStr">
        <is>
          <t>0131</t>
        </is>
      </c>
      <c r="B1511" s="11" t="inlineStr">
        <is>
          <t>Painter</t>
        </is>
      </c>
      <c r="C1511" s="22" t="inlineStr">
        <is>
          <t>day</t>
        </is>
      </c>
      <c r="D1511" s="23" t="n">
        <v>10.368</v>
      </c>
      <c r="E1511" s="24" t="n">
        <v>679</v>
      </c>
      <c r="F1511" s="24">
        <f>D1511*E1511</f>
        <v/>
      </c>
      <c r="G1511" s="22" t="n"/>
    </row>
    <row r="1512">
      <c r="A1512" s="8" t="inlineStr">
        <is>
          <t>Calculated W - SUM of the Amount column above</t>
        </is>
      </c>
      <c r="B1512" s="9" t="n"/>
      <c r="C1512" s="9" t="n"/>
      <c r="D1512" s="9" t="n"/>
      <c r="E1512" s="9" t="n"/>
      <c r="F1512" s="25">
        <f>SUM(F1493:F1511)</f>
        <v/>
      </c>
      <c r="G1512" s="9" t="n"/>
    </row>
    <row r="1513">
      <c r="A1513" s="26" t="inlineStr">
        <is>
          <t>W as printed in the DAR</t>
        </is>
      </c>
      <c r="B1513" s="22" t="n"/>
      <c r="C1513" s="22" t="n"/>
      <c r="D1513" s="22" t="n"/>
      <c r="E1513" s="22" t="n"/>
      <c r="F1513" s="27" t="n">
        <v>86607.49000000001</v>
      </c>
      <c r="G1513" s="22" t="n"/>
    </row>
    <row r="1514">
      <c r="A1514" s="26" t="inlineStr">
        <is>
          <t>Difference (calculated - printed)</t>
        </is>
      </c>
      <c r="B1514" s="22" t="n"/>
      <c r="C1514" s="22" t="n"/>
      <c r="D1514" s="22" t="n"/>
      <c r="E1514" s="22" t="n"/>
      <c r="F1514" s="27">
        <f>F1512-F1513</f>
        <v/>
      </c>
      <c r="G1514" s="22" t="n"/>
    </row>
    <row r="1515">
      <c r="A1515" s="29" t="inlineStr">
        <is>
          <t>SAY (Rs.) - final DAR rate as printed (fixed value, not computed)</t>
        </is>
      </c>
      <c r="B1515" s="30" t="n"/>
      <c r="C1515" s="30" t="n"/>
      <c r="D1515" s="30" t="n"/>
      <c r="E1515" s="30" t="n"/>
      <c r="F1515" s="31" t="n">
        <v>1117.65</v>
      </c>
      <c r="G1515" s="30" t="n"/>
    </row>
    <row r="1517" ht="47.5" customHeight="1">
      <c r="A1517" s="8" t="inlineStr">
        <is>
          <t>12.45</t>
        </is>
      </c>
      <c r="B1517" s="17"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t>
        </is>
      </c>
      <c r="C1517" s="9" t="n"/>
      <c r="D1517" s="9" t="n"/>
      <c r="E1517" s="9" t="n"/>
      <c r="F1517" s="9" t="n"/>
      <c r="G1517" s="9" t="n"/>
    </row>
    <row r="1518" ht="33" customHeight="1">
      <c r="A1518" s="18" t="inlineStr">
        <is>
          <t>12.45.2</t>
        </is>
      </c>
      <c r="B1518" s="19" t="inlineStr">
        <is>
          <t>12.5 mm thick tapered edge Glass Reinforced Gypsum (GRG) board conforming to IS: 2095- (Part 3) : 1996 (Board with BIS Certification marks)</t>
        </is>
      </c>
      <c r="C1518" s="20" t="n"/>
      <c r="D1518" s="20" t="n"/>
      <c r="E1518" s="20" t="n"/>
      <c r="F1518" s="20" t="n"/>
      <c r="G1518" s="20" t="n"/>
    </row>
    <row r="1519">
      <c r="A1519" s="21" t="inlineStr">
        <is>
          <t>Details of cost for 103.68 sqm   |   Source: CivilDAR_2019_Vol_1.pdf, page 875</t>
        </is>
      </c>
    </row>
    <row r="1520">
      <c r="A1520" s="5" t="inlineStr">
        <is>
          <t>Code</t>
        </is>
      </c>
      <c r="B1520" s="5" t="inlineStr">
        <is>
          <t>Description</t>
        </is>
      </c>
      <c r="C1520" s="5" t="inlineStr">
        <is>
          <t>Unit</t>
        </is>
      </c>
      <c r="D1520" s="5" t="inlineStr">
        <is>
          <t>Quantity</t>
        </is>
      </c>
      <c r="E1520" s="5" t="inlineStr">
        <is>
          <t>Rate (Rs.)</t>
        </is>
      </c>
      <c r="F1520" s="5" t="inlineStr">
        <is>
          <t>Amount (Rs.)</t>
        </is>
      </c>
      <c r="G1520" s="5" t="inlineStr">
        <is>
          <t>Note</t>
        </is>
      </c>
    </row>
    <row r="1521">
      <c r="A1521" s="22" t="inlineStr">
        <is>
          <t>7366</t>
        </is>
      </c>
      <c r="B1521" s="11" t="inlineStr">
        <is>
          <t>12.5 mm thick tapered edge Glass Reinforced Gypsum (GRG) board</t>
        </is>
      </c>
      <c r="C1521" s="22" t="inlineStr">
        <is>
          <t>sqm</t>
        </is>
      </c>
      <c r="D1521" s="23" t="n">
        <v>108.86</v>
      </c>
      <c r="E1521" s="24" t="n">
        <v>240</v>
      </c>
      <c r="F1521" s="24">
        <f>D1521*E1521</f>
        <v/>
      </c>
      <c r="G1521" s="22" t="n"/>
    </row>
    <row r="1522">
      <c r="A1522" s="22" t="inlineStr">
        <is>
          <t>7010</t>
        </is>
      </c>
      <c r="B1522" s="11" t="inlineStr">
        <is>
          <t>Galvanised Steel ceiling section (size 80x26x0.50mm)</t>
        </is>
      </c>
      <c r="C1522" s="22" t="inlineStr">
        <is>
          <t>metre</t>
        </is>
      </c>
      <c r="D1522" s="23" t="n">
        <v>238.14</v>
      </c>
      <c r="E1522" s="24" t="n">
        <v>46</v>
      </c>
      <c r="F1522" s="24">
        <f>D1522*E1522</f>
        <v/>
      </c>
      <c r="G1522" s="22" t="n"/>
    </row>
    <row r="1523">
      <c r="A1523" s="22" t="inlineStr">
        <is>
          <t>7011</t>
        </is>
      </c>
      <c r="B1523" s="11" t="inlineStr">
        <is>
          <t>Galvanised Steel perimetre Channel (Size 20x27x30x0.50mm)</t>
        </is>
      </c>
      <c r="C1523" s="22" t="inlineStr">
        <is>
          <t>metre</t>
        </is>
      </c>
      <c r="D1523" s="23" t="n">
        <v>41.84</v>
      </c>
      <c r="E1523" s="24" t="n">
        <v>22</v>
      </c>
      <c r="F1523" s="24">
        <f>D1523*E1523</f>
        <v/>
      </c>
      <c r="G1523" s="22" t="n"/>
    </row>
    <row r="1524">
      <c r="A1524" s="22" t="inlineStr">
        <is>
          <t>7012</t>
        </is>
      </c>
      <c r="B1524" s="11" t="inlineStr">
        <is>
          <t>Galvanised Steel intermediate Channel (Size 15x45x15x0.90mm)</t>
        </is>
      </c>
      <c r="C1524" s="22" t="inlineStr">
        <is>
          <t>metre</t>
        </is>
      </c>
      <c r="D1524" s="23" t="n">
        <v>90.72</v>
      </c>
      <c r="E1524" s="24" t="n">
        <v>38</v>
      </c>
      <c r="F1524" s="24">
        <f>D1524*E1524</f>
        <v/>
      </c>
      <c r="G1524" s="22" t="n"/>
    </row>
    <row r="1525">
      <c r="A1525" s="22" t="inlineStr">
        <is>
          <t>7013</t>
        </is>
      </c>
      <c r="B1525" s="11" t="inlineStr">
        <is>
          <t>Galvanised Steel angle hanger (Celling angle) (Size 25x10x0.50mm)</t>
        </is>
      </c>
      <c r="C1525" s="22" t="inlineStr">
        <is>
          <t>metre</t>
        </is>
      </c>
      <c r="D1525" s="23" t="n">
        <v>10.8</v>
      </c>
      <c r="E1525" s="24" t="n">
        <v>12</v>
      </c>
      <c r="F1525" s="24">
        <f>D1525*E1525</f>
        <v/>
      </c>
      <c r="G1525" s="22" t="n"/>
    </row>
    <row r="1526">
      <c r="A1526" s="22" t="inlineStr">
        <is>
          <t>7014</t>
        </is>
      </c>
      <c r="B1526" s="11" t="inlineStr">
        <is>
          <t>Galvanised Steel connecting clips (2.64mm dia and 230 mm long GI wire)</t>
        </is>
      </c>
      <c r="C1526" s="22" t="inlineStr">
        <is>
          <t>each</t>
        </is>
      </c>
      <c r="D1526" s="23" t="n">
        <v>189</v>
      </c>
      <c r="E1526" s="24" t="n">
        <v>4</v>
      </c>
      <c r="F1526" s="24">
        <f>D1526*E1526</f>
        <v/>
      </c>
      <c r="G1526" s="22" t="n"/>
    </row>
    <row r="1527">
      <c r="A1527" s="22" t="inlineStr">
        <is>
          <t>1022</t>
        </is>
      </c>
      <c r="B1527" s="11" t="inlineStr">
        <is>
          <t>Galvanised steel bolts &amp; nuts 6 mm dia and 25 mmlong round head with slots</t>
        </is>
      </c>
      <c r="C1527" s="22" t="inlineStr">
        <is>
          <t>10 Nos</t>
        </is>
      </c>
      <c r="D1527" s="23" t="n">
        <v>21.6</v>
      </c>
      <c r="E1527" s="24" t="n">
        <v>38</v>
      </c>
      <c r="F1527" s="24">
        <f>D1527*E1527</f>
        <v/>
      </c>
      <c r="G1527" s="22" t="n"/>
    </row>
    <row r="1528">
      <c r="A1528" s="22" t="inlineStr">
        <is>
          <t>7015</t>
        </is>
      </c>
      <c r="B1528" s="11" t="inlineStr">
        <is>
          <t>Galvanised Steel soffit cleat (Size 27x37x25x0.60mm)</t>
        </is>
      </c>
      <c r="C1528" s="22" t="inlineStr">
        <is>
          <t>each</t>
        </is>
      </c>
      <c r="D1528" s="23" t="n">
        <v>72</v>
      </c>
      <c r="E1528" s="24" t="n">
        <v>3</v>
      </c>
      <c r="F1528" s="24">
        <f>D1528*E1528</f>
        <v/>
      </c>
      <c r="G1528" s="22" t="n"/>
    </row>
    <row r="1529">
      <c r="A1529" s="22" t="inlineStr">
        <is>
          <t>7020</t>
        </is>
      </c>
      <c r="B1529" s="11" t="inlineStr">
        <is>
          <t>All drive screws (for gypsum board)</t>
        </is>
      </c>
      <c r="C1529" s="22" t="inlineStr">
        <is>
          <t>100 Nos</t>
        </is>
      </c>
      <c r="D1529" s="23" t="n">
        <v>10</v>
      </c>
      <c r="E1529" s="24" t="n">
        <v>58</v>
      </c>
      <c r="F1529" s="24">
        <f>D1529*E1529</f>
        <v/>
      </c>
      <c r="G1529" s="22" t="n"/>
    </row>
    <row r="1530">
      <c r="A1530" s="22" t="inlineStr">
        <is>
          <t>7016</t>
        </is>
      </c>
      <c r="B1530" s="11" t="inlineStr">
        <is>
          <t>Joint filler</t>
        </is>
      </c>
      <c r="C1530" s="22" t="inlineStr">
        <is>
          <t>kilogram</t>
        </is>
      </c>
      <c r="D1530" s="23" t="n">
        <v>22.81</v>
      </c>
      <c r="E1530" s="24" t="n">
        <v>26</v>
      </c>
      <c r="F1530" s="24">
        <f>D1530*E1530</f>
        <v/>
      </c>
      <c r="G1530" s="22" t="n"/>
    </row>
    <row r="1531">
      <c r="A1531" s="22" t="inlineStr">
        <is>
          <t>7017</t>
        </is>
      </c>
      <c r="B1531" s="11" t="inlineStr">
        <is>
          <t>Joint finisher</t>
        </is>
      </c>
      <c r="C1531" s="22" t="inlineStr">
        <is>
          <t>kilogram</t>
        </is>
      </c>
      <c r="D1531" s="23" t="n">
        <v>34.21</v>
      </c>
      <c r="E1531" s="24" t="n">
        <v>23</v>
      </c>
      <c r="F1531" s="24">
        <f>D1531*E1531</f>
        <v/>
      </c>
      <c r="G1531" s="22" t="n"/>
    </row>
    <row r="1532">
      <c r="A1532" s="22" t="inlineStr">
        <is>
          <t>7018</t>
        </is>
      </c>
      <c r="B1532" s="11" t="inlineStr">
        <is>
          <t>Joint tape roll</t>
        </is>
      </c>
      <c r="C1532" s="22" t="inlineStr">
        <is>
          <t>roll</t>
        </is>
      </c>
      <c r="D1532" s="23" t="n">
        <v>1.27</v>
      </c>
      <c r="E1532" s="24" t="n">
        <v>100</v>
      </c>
      <c r="F1532" s="24">
        <f>D1532*E1532</f>
        <v/>
      </c>
      <c r="G1532" s="22" t="n"/>
    </row>
    <row r="1533">
      <c r="A1533" s="22" t="inlineStr">
        <is>
          <t>7021</t>
        </is>
      </c>
      <c r="B1533" s="11" t="inlineStr">
        <is>
          <t>Primer ( for gypsum board)</t>
        </is>
      </c>
      <c r="C1533" s="22" t="inlineStr">
        <is>
          <t>litre</t>
        </is>
      </c>
      <c r="D1533" s="23" t="n">
        <v>18.66</v>
      </c>
      <c r="E1533" s="24" t="n">
        <v>85</v>
      </c>
      <c r="F1533" s="24">
        <f>D1533*E1533</f>
        <v/>
      </c>
      <c r="G1533" s="22" t="n"/>
    </row>
    <row r="1534">
      <c r="A1534" s="22" t="inlineStr">
        <is>
          <t>7388</t>
        </is>
      </c>
      <c r="B1534" s="11" t="inlineStr">
        <is>
          <t>Dash hold fastener 12.5 mm dia, 40 mm long with 6 mm dia bolt</t>
        </is>
      </c>
      <c r="C1534" s="22" t="inlineStr">
        <is>
          <t>each</t>
        </is>
      </c>
      <c r="D1534" s="23" t="n">
        <v>72</v>
      </c>
      <c r="E1534" s="24" t="n">
        <v>11</v>
      </c>
      <c r="F1534" s="24">
        <f>D1534*E1534</f>
        <v/>
      </c>
      <c r="G1534" s="22" t="n"/>
    </row>
    <row r="1535">
      <c r="A1535" s="22" t="inlineStr">
        <is>
          <t>9999</t>
        </is>
      </c>
      <c r="B1535" s="11" t="inlineStr">
        <is>
          <t>Sundries like rawl plug scaffolding etc</t>
        </is>
      </c>
      <c r="C1535" s="22" t="inlineStr">
        <is>
          <t>L.S.</t>
        </is>
      </c>
      <c r="D1535" s="23" t="n">
        <v>807.3</v>
      </c>
      <c r="E1535" s="24" t="n">
        <v>2</v>
      </c>
      <c r="F1535" s="24">
        <f>D1535*E1535</f>
        <v/>
      </c>
      <c r="G1535" s="22" t="n"/>
    </row>
    <row r="1536">
      <c r="A1536" s="22" t="inlineStr">
        <is>
          <t>9977</t>
        </is>
      </c>
      <c r="B1536" s="11" t="inlineStr">
        <is>
          <t>Carriage of material etc.</t>
        </is>
      </c>
      <c r="C1536" s="22" t="inlineStr">
        <is>
          <t>L.S.</t>
        </is>
      </c>
      <c r="D1536" s="23" t="n">
        <v>447.2</v>
      </c>
      <c r="E1536" s="24" t="n">
        <v>2</v>
      </c>
      <c r="F1536" s="24">
        <f>D1536*E1536</f>
        <v/>
      </c>
      <c r="G1536" s="22" t="n"/>
    </row>
    <row r="1537">
      <c r="A1537" s="22" t="inlineStr">
        <is>
          <t>0112</t>
        </is>
      </c>
      <c r="B1537" s="11" t="inlineStr">
        <is>
          <t>Carpenter 2nd class</t>
        </is>
      </c>
      <c r="C1537" s="22" t="inlineStr">
        <is>
          <t>day</t>
        </is>
      </c>
      <c r="D1537" s="23" t="n">
        <v>31.104</v>
      </c>
      <c r="E1537" s="24" t="n">
        <v>679</v>
      </c>
      <c r="F1537" s="24">
        <f>D1537*E1537</f>
        <v/>
      </c>
      <c r="G1537" s="22" t="n"/>
    </row>
    <row r="1538">
      <c r="A1538" s="22" t="inlineStr">
        <is>
          <t>0114</t>
        </is>
      </c>
      <c r="B1538" s="11" t="inlineStr">
        <is>
          <t>Beldar</t>
        </is>
      </c>
      <c r="C1538" s="22" t="inlineStr">
        <is>
          <t>day</t>
        </is>
      </c>
      <c r="D1538" s="23" t="n">
        <v>31.104</v>
      </c>
      <c r="E1538" s="24" t="n">
        <v>558</v>
      </c>
      <c r="F1538" s="24">
        <f>D1538*E1538</f>
        <v/>
      </c>
      <c r="G1538" s="22" t="n"/>
    </row>
    <row r="1539">
      <c r="A1539" s="22" t="inlineStr">
        <is>
          <t>0131</t>
        </is>
      </c>
      <c r="B1539" s="11" t="inlineStr">
        <is>
          <t>Painter</t>
        </is>
      </c>
      <c r="C1539" s="22" t="inlineStr">
        <is>
          <t>day</t>
        </is>
      </c>
      <c r="D1539" s="23" t="n">
        <v>10.37</v>
      </c>
      <c r="E1539" s="24" t="n">
        <v>679</v>
      </c>
      <c r="F1539" s="24">
        <f>D1539*E1539</f>
        <v/>
      </c>
      <c r="G1539" s="22" t="n"/>
    </row>
    <row r="1540">
      <c r="A1540" s="8" t="inlineStr">
        <is>
          <t>Calculated W - SUM of the Amount column above</t>
        </is>
      </c>
      <c r="B1540" s="9" t="n"/>
      <c r="C1540" s="9" t="n"/>
      <c r="D1540" s="9" t="n"/>
      <c r="E1540" s="9" t="n"/>
      <c r="F1540" s="25">
        <f>SUM(F1521:F1539)</f>
        <v/>
      </c>
      <c r="G1540" s="9" t="n"/>
    </row>
    <row r="1541">
      <c r="A1541" s="26" t="inlineStr">
        <is>
          <t>W as printed in the DAR</t>
        </is>
      </c>
      <c r="B1541" s="22" t="n"/>
      <c r="C1541" s="22" t="n"/>
      <c r="D1541" s="22" t="n"/>
      <c r="E1541" s="22" t="n"/>
      <c r="F1541" s="27" t="n">
        <v>95861.95</v>
      </c>
      <c r="G1541" s="22" t="n"/>
    </row>
    <row r="1542">
      <c r="A1542" s="26" t="inlineStr">
        <is>
          <t>Difference (calculated - printed)</t>
        </is>
      </c>
      <c r="B1542" s="22" t="n"/>
      <c r="C1542" s="22" t="n"/>
      <c r="D1542" s="22" t="n"/>
      <c r="E1542" s="22" t="n"/>
      <c r="F1542" s="27">
        <f>F1540-F1541</f>
        <v/>
      </c>
      <c r="G1542" s="22" t="n"/>
    </row>
    <row r="1543">
      <c r="A1543" s="29" t="inlineStr">
        <is>
          <t>SAY (Rs.) - final DAR rate as printed (fixed value, not computed)</t>
        </is>
      </c>
      <c r="B1543" s="30" t="n"/>
      <c r="C1543" s="30" t="n"/>
      <c r="D1543" s="30" t="n"/>
      <c r="E1543" s="30" t="n"/>
      <c r="F1543" s="31" t="n">
        <v>1237.05</v>
      </c>
      <c r="G1543" s="30" t="n"/>
    </row>
    <row r="1545" ht="47.5" customHeight="1">
      <c r="A1545" s="8" t="inlineStr">
        <is>
          <t>12.45</t>
        </is>
      </c>
      <c r="B1545" s="17"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t>
        </is>
      </c>
      <c r="C1545" s="9" t="n"/>
      <c r="D1545" s="9" t="n"/>
      <c r="E1545" s="9" t="n"/>
      <c r="F1545" s="9" t="n"/>
      <c r="G1545" s="9" t="n"/>
    </row>
    <row r="1546" ht="18.5" customHeight="1">
      <c r="A1546" s="18" t="inlineStr">
        <is>
          <t>12.45.3</t>
        </is>
      </c>
      <c r="B1546" s="19" t="inlineStr">
        <is>
          <t>12.5 mm thick tapered edge gypsum moisture resistant board</t>
        </is>
      </c>
      <c r="C1546" s="20" t="n"/>
      <c r="D1546" s="20" t="n"/>
      <c r="E1546" s="20" t="n"/>
      <c r="F1546" s="20" t="n"/>
      <c r="G1546" s="20" t="n"/>
    </row>
    <row r="1547">
      <c r="A1547" s="21" t="inlineStr">
        <is>
          <t>Details of cost for 103.68 sqm   |   Source: CivilDAR_2019_Vol_1.pdf, page 876</t>
        </is>
      </c>
    </row>
    <row r="1548">
      <c r="A1548" s="5" t="inlineStr">
        <is>
          <t>Code</t>
        </is>
      </c>
      <c r="B1548" s="5" t="inlineStr">
        <is>
          <t>Description</t>
        </is>
      </c>
      <c r="C1548" s="5" t="inlineStr">
        <is>
          <t>Unit</t>
        </is>
      </c>
      <c r="D1548" s="5" t="inlineStr">
        <is>
          <t>Quantity</t>
        </is>
      </c>
      <c r="E1548" s="5" t="inlineStr">
        <is>
          <t>Rate (Rs.)</t>
        </is>
      </c>
      <c r="F1548" s="5" t="inlineStr">
        <is>
          <t>Amount (Rs.)</t>
        </is>
      </c>
      <c r="G1548" s="5" t="inlineStr">
        <is>
          <t>Note</t>
        </is>
      </c>
    </row>
    <row r="1549">
      <c r="A1549" s="22" t="inlineStr">
        <is>
          <t>7031</t>
        </is>
      </c>
      <c r="B1549" s="11" t="inlineStr">
        <is>
          <t>12.5 mm thick tapered edge gypsum moisture resistant board</t>
        </is>
      </c>
      <c r="C1549" s="22" t="inlineStr">
        <is>
          <t>sqm</t>
        </is>
      </c>
      <c r="D1549" s="23" t="n">
        <v>108.86</v>
      </c>
      <c r="E1549" s="24" t="n">
        <v>275</v>
      </c>
      <c r="F1549" s="24">
        <f>D1549*E1549</f>
        <v/>
      </c>
      <c r="G1549" s="22" t="n"/>
    </row>
    <row r="1550">
      <c r="A1550" s="22" t="inlineStr">
        <is>
          <t>7010</t>
        </is>
      </c>
      <c r="B1550" s="11" t="inlineStr">
        <is>
          <t>Galvanised Steel ceiling section (size 80x26x0.50mm)</t>
        </is>
      </c>
      <c r="C1550" s="22" t="inlineStr">
        <is>
          <t>metre</t>
        </is>
      </c>
      <c r="D1550" s="23" t="n">
        <v>238.14</v>
      </c>
      <c r="E1550" s="24" t="n">
        <v>46</v>
      </c>
      <c r="F1550" s="24">
        <f>D1550*E1550</f>
        <v/>
      </c>
      <c r="G1550" s="22" t="n"/>
    </row>
    <row r="1551">
      <c r="A1551" s="22" t="inlineStr">
        <is>
          <t>7011</t>
        </is>
      </c>
      <c r="B1551" s="11" t="inlineStr">
        <is>
          <t>Galvanised Steel perimetre Channel (Size 20x27x30x0.50mm)</t>
        </is>
      </c>
      <c r="C1551" s="22" t="inlineStr">
        <is>
          <t>metre</t>
        </is>
      </c>
      <c r="D1551" s="23" t="n">
        <v>41.84</v>
      </c>
      <c r="E1551" s="24" t="n">
        <v>22</v>
      </c>
      <c r="F1551" s="24">
        <f>D1551*E1551</f>
        <v/>
      </c>
      <c r="G1551" s="22" t="n"/>
    </row>
    <row r="1552">
      <c r="A1552" s="22" t="inlineStr">
        <is>
          <t>7012</t>
        </is>
      </c>
      <c r="B1552" s="11" t="inlineStr">
        <is>
          <t>Galvanised Steel intermediate Channel (Size 15x45x15x0.90mm)</t>
        </is>
      </c>
      <c r="C1552" s="22" t="inlineStr">
        <is>
          <t>metre</t>
        </is>
      </c>
      <c r="D1552" s="23" t="n">
        <v>90.72</v>
      </c>
      <c r="E1552" s="24" t="n">
        <v>38</v>
      </c>
      <c r="F1552" s="24">
        <f>D1552*E1552</f>
        <v/>
      </c>
      <c r="G1552" s="22" t="n"/>
    </row>
    <row r="1553">
      <c r="A1553" s="22" t="inlineStr">
        <is>
          <t>7013</t>
        </is>
      </c>
      <c r="B1553" s="11" t="inlineStr">
        <is>
          <t>Galvanised Steel angle hanger (Celling angle) (Size 25x10x0.50mm)</t>
        </is>
      </c>
      <c r="C1553" s="22" t="inlineStr">
        <is>
          <t>metre</t>
        </is>
      </c>
      <c r="D1553" s="23" t="n">
        <v>10.8</v>
      </c>
      <c r="E1553" s="24" t="n">
        <v>12</v>
      </c>
      <c r="F1553" s="24">
        <f>D1553*E1553</f>
        <v/>
      </c>
      <c r="G1553" s="22" t="n"/>
    </row>
    <row r="1554">
      <c r="A1554" s="22" t="inlineStr">
        <is>
          <t>7014</t>
        </is>
      </c>
      <c r="B1554" s="11" t="inlineStr">
        <is>
          <t>Galvanised Steel connecting clips (2.64mm dia and 230 mm long GI wire)</t>
        </is>
      </c>
      <c r="C1554" s="22" t="inlineStr">
        <is>
          <t>each</t>
        </is>
      </c>
      <c r="D1554" s="23" t="n">
        <v>189</v>
      </c>
      <c r="E1554" s="24" t="n">
        <v>4</v>
      </c>
      <c r="F1554" s="24">
        <f>D1554*E1554</f>
        <v/>
      </c>
      <c r="G1554" s="22" t="n"/>
    </row>
    <row r="1555">
      <c r="A1555" s="22" t="inlineStr">
        <is>
          <t>1022</t>
        </is>
      </c>
      <c r="B1555" s="11" t="inlineStr">
        <is>
          <t>Galvanised steel bolts &amp; nuts 6 mm dia and 25 mmlong round head with slots</t>
        </is>
      </c>
      <c r="C1555" s="22" t="inlineStr">
        <is>
          <t>10 Nos</t>
        </is>
      </c>
      <c r="D1555" s="23" t="n">
        <v>21.6</v>
      </c>
      <c r="E1555" s="24" t="n">
        <v>38</v>
      </c>
      <c r="F1555" s="24">
        <f>D1555*E1555</f>
        <v/>
      </c>
      <c r="G1555" s="22" t="n"/>
    </row>
    <row r="1556">
      <c r="A1556" s="22" t="inlineStr">
        <is>
          <t>7015</t>
        </is>
      </c>
      <c r="B1556" s="11" t="inlineStr">
        <is>
          <t>Galvanised Steel soffit cleat (Size 27x37x25x0.60mm)</t>
        </is>
      </c>
      <c r="C1556" s="22" t="inlineStr">
        <is>
          <t>each</t>
        </is>
      </c>
      <c r="D1556" s="23" t="n">
        <v>72</v>
      </c>
      <c r="E1556" s="24" t="n">
        <v>3</v>
      </c>
      <c r="F1556" s="24">
        <f>D1556*E1556</f>
        <v/>
      </c>
      <c r="G1556" s="22" t="n"/>
    </row>
    <row r="1557">
      <c r="A1557" s="22" t="inlineStr">
        <is>
          <t>7020</t>
        </is>
      </c>
      <c r="B1557" s="11" t="inlineStr">
        <is>
          <t>All drive screws ( for gypsum board)</t>
        </is>
      </c>
      <c r="C1557" s="22" t="inlineStr">
        <is>
          <t>100 Nos</t>
        </is>
      </c>
      <c r="D1557" s="23" t="n">
        <v>10</v>
      </c>
      <c r="E1557" s="24" t="n">
        <v>58</v>
      </c>
      <c r="F1557" s="24">
        <f>D1557*E1557</f>
        <v/>
      </c>
      <c r="G1557" s="22" t="n"/>
    </row>
    <row r="1558">
      <c r="A1558" s="22" t="inlineStr">
        <is>
          <t>7016</t>
        </is>
      </c>
      <c r="B1558" s="11" t="inlineStr">
        <is>
          <t>Joint filler</t>
        </is>
      </c>
      <c r="C1558" s="22" t="inlineStr">
        <is>
          <t>kilogram</t>
        </is>
      </c>
      <c r="D1558" s="23" t="n">
        <v>22.81</v>
      </c>
      <c r="E1558" s="24" t="n">
        <v>26</v>
      </c>
      <c r="F1558" s="24">
        <f>D1558*E1558</f>
        <v/>
      </c>
      <c r="G1558" s="22" t="n"/>
    </row>
    <row r="1559">
      <c r="A1559" s="22" t="inlineStr">
        <is>
          <t>7017</t>
        </is>
      </c>
      <c r="B1559" s="11" t="inlineStr">
        <is>
          <t>Joint finisher</t>
        </is>
      </c>
      <c r="C1559" s="22" t="inlineStr">
        <is>
          <t>kilogram</t>
        </is>
      </c>
      <c r="D1559" s="23" t="n">
        <v>34.21</v>
      </c>
      <c r="E1559" s="24" t="n">
        <v>23</v>
      </c>
      <c r="F1559" s="24">
        <f>D1559*E1559</f>
        <v/>
      </c>
      <c r="G1559" s="22" t="n"/>
    </row>
    <row r="1560">
      <c r="A1560" s="22" t="inlineStr">
        <is>
          <t>7018</t>
        </is>
      </c>
      <c r="B1560" s="11" t="inlineStr">
        <is>
          <t>Joint tape roll</t>
        </is>
      </c>
      <c r="C1560" s="22" t="inlineStr">
        <is>
          <t>roll</t>
        </is>
      </c>
      <c r="D1560" s="23" t="n">
        <v>1.27</v>
      </c>
      <c r="E1560" s="24" t="n">
        <v>100</v>
      </c>
      <c r="F1560" s="24">
        <f>D1560*E1560</f>
        <v/>
      </c>
      <c r="G1560" s="22" t="n"/>
    </row>
    <row r="1561">
      <c r="A1561" s="22" t="inlineStr">
        <is>
          <t>7021</t>
        </is>
      </c>
      <c r="B1561" s="11" t="inlineStr">
        <is>
          <t>Primer ( for gypsum board)</t>
        </is>
      </c>
      <c r="C1561" s="22" t="inlineStr">
        <is>
          <t>litre</t>
        </is>
      </c>
      <c r="D1561" s="23" t="n">
        <v>18.66</v>
      </c>
      <c r="E1561" s="24" t="n">
        <v>85</v>
      </c>
      <c r="F1561" s="24">
        <f>D1561*E1561</f>
        <v/>
      </c>
      <c r="G1561" s="22" t="n"/>
    </row>
    <row r="1562">
      <c r="A1562" s="22" t="inlineStr">
        <is>
          <t>7388</t>
        </is>
      </c>
      <c r="B1562" s="11" t="inlineStr">
        <is>
          <t>Dash hold fastener 12.5 mm dia, 40 mm long with 6 mm dia bolt</t>
        </is>
      </c>
      <c r="C1562" s="22" t="inlineStr">
        <is>
          <t>each</t>
        </is>
      </c>
      <c r="D1562" s="23" t="n">
        <v>72</v>
      </c>
      <c r="E1562" s="24" t="n">
        <v>11</v>
      </c>
      <c r="F1562" s="24">
        <f>D1562*E1562</f>
        <v/>
      </c>
      <c r="G1562" s="22" t="n"/>
    </row>
    <row r="1563">
      <c r="A1563" s="22" t="inlineStr">
        <is>
          <t>9999</t>
        </is>
      </c>
      <c r="B1563" s="11" t="inlineStr">
        <is>
          <t>Sundries like rawl plug scaffolding etc</t>
        </is>
      </c>
      <c r="C1563" s="22" t="inlineStr">
        <is>
          <t>L.S.</t>
        </is>
      </c>
      <c r="D1563" s="23" t="n">
        <v>807.3</v>
      </c>
      <c r="E1563" s="24" t="n">
        <v>2</v>
      </c>
      <c r="F1563" s="24">
        <f>D1563*E1563</f>
        <v/>
      </c>
      <c r="G1563" s="22" t="n"/>
    </row>
    <row r="1564">
      <c r="A1564" s="22" t="inlineStr">
        <is>
          <t>9977</t>
        </is>
      </c>
      <c r="B1564" s="11" t="inlineStr">
        <is>
          <t>Carriage of material etc.</t>
        </is>
      </c>
      <c r="C1564" s="22" t="inlineStr">
        <is>
          <t>L.S.</t>
        </is>
      </c>
      <c r="D1564" s="23" t="n">
        <v>447.2</v>
      </c>
      <c r="E1564" s="24" t="n">
        <v>2</v>
      </c>
      <c r="F1564" s="24">
        <f>D1564*E1564</f>
        <v/>
      </c>
      <c r="G1564" s="22" t="n"/>
    </row>
    <row r="1565">
      <c r="A1565" s="22" t="inlineStr">
        <is>
          <t>0112</t>
        </is>
      </c>
      <c r="B1565" s="11" t="inlineStr">
        <is>
          <t>Carpenter 2nd class</t>
        </is>
      </c>
      <c r="C1565" s="22" t="inlineStr">
        <is>
          <t>day</t>
        </is>
      </c>
      <c r="D1565" s="23" t="n">
        <v>31.104</v>
      </c>
      <c r="E1565" s="24" t="n">
        <v>679</v>
      </c>
      <c r="F1565" s="24">
        <f>D1565*E1565</f>
        <v/>
      </c>
      <c r="G1565" s="22" t="n"/>
    </row>
    <row r="1566">
      <c r="A1566" s="22" t="inlineStr">
        <is>
          <t>0114</t>
        </is>
      </c>
      <c r="B1566" s="11" t="inlineStr">
        <is>
          <t>Beldar</t>
        </is>
      </c>
      <c r="C1566" s="22" t="inlineStr">
        <is>
          <t>day</t>
        </is>
      </c>
      <c r="D1566" s="23" t="n">
        <v>31.104</v>
      </c>
      <c r="E1566" s="24" t="n">
        <v>558</v>
      </c>
      <c r="F1566" s="24">
        <f>D1566*E1566</f>
        <v/>
      </c>
      <c r="G1566" s="22" t="n"/>
    </row>
    <row r="1567">
      <c r="A1567" s="22" t="inlineStr">
        <is>
          <t>0131</t>
        </is>
      </c>
      <c r="B1567" s="11" t="inlineStr">
        <is>
          <t>Painter</t>
        </is>
      </c>
      <c r="C1567" s="22" t="inlineStr">
        <is>
          <t>day</t>
        </is>
      </c>
      <c r="D1567" s="23" t="n">
        <v>10.37</v>
      </c>
      <c r="E1567" s="24" t="n">
        <v>679</v>
      </c>
      <c r="F1567" s="24">
        <f>D1567*E1567</f>
        <v/>
      </c>
      <c r="G1567" s="22" t="n"/>
    </row>
    <row r="1568">
      <c r="A1568" s="8" t="inlineStr">
        <is>
          <t>Calculated W - SUM of the Amount column above</t>
        </is>
      </c>
      <c r="B1568" s="9" t="n"/>
      <c r="C1568" s="9" t="n"/>
      <c r="D1568" s="9" t="n"/>
      <c r="E1568" s="9" t="n"/>
      <c r="F1568" s="25">
        <f>SUM(F1549:F1567)</f>
        <v/>
      </c>
      <c r="G1568" s="9" t="n"/>
    </row>
    <row r="1569">
      <c r="A1569" s="26" t="inlineStr">
        <is>
          <t>W as printed in the DAR</t>
        </is>
      </c>
      <c r="B1569" s="22" t="n"/>
      <c r="C1569" s="22" t="n"/>
      <c r="D1569" s="22" t="n"/>
      <c r="E1569" s="22" t="n"/>
      <c r="F1569" s="27" t="n">
        <v>99672.05</v>
      </c>
      <c r="G1569" s="22" t="n"/>
    </row>
    <row r="1570">
      <c r="A1570" s="26" t="inlineStr">
        <is>
          <t>Difference (calculated - printed)</t>
        </is>
      </c>
      <c r="B1570" s="22" t="n"/>
      <c r="C1570" s="22" t="n"/>
      <c r="D1570" s="22" t="n"/>
      <c r="E1570" s="22" t="n"/>
      <c r="F1570" s="27">
        <f>F1568-F1569</f>
        <v/>
      </c>
      <c r="G1570" s="22" t="n"/>
    </row>
    <row r="1571">
      <c r="A1571" s="29" t="inlineStr">
        <is>
          <t>SAY (Rs.) - final DAR rate as printed (fixed value, not computed)</t>
        </is>
      </c>
      <c r="B1571" s="30" t="n"/>
      <c r="C1571" s="30" t="n"/>
      <c r="D1571" s="30" t="n"/>
      <c r="E1571" s="30" t="n"/>
      <c r="F1571" s="31" t="n">
        <v>1286.2</v>
      </c>
      <c r="G1571" s="30" t="n"/>
    </row>
    <row r="1573" ht="47.5" customHeight="1">
      <c r="A1573" s="8" t="inlineStr">
        <is>
          <t>12.45</t>
        </is>
      </c>
      <c r="B1573" s="17"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t>
        </is>
      </c>
      <c r="C1573" s="9" t="n"/>
      <c r="D1573" s="9" t="n"/>
      <c r="E1573" s="9" t="n"/>
      <c r="F1573" s="9" t="n"/>
      <c r="G1573" s="9" t="n"/>
    </row>
    <row r="1574" ht="47.5" customHeight="1">
      <c r="A1574" s="18" t="inlineStr">
        <is>
          <t>12.45.4</t>
        </is>
      </c>
      <c r="B1574" s="19" t="inlineStr">
        <is>
          <t>Fully Perforated Gypsum Plaster Board of size 1200 x 2400x12.5 mm having approx. 15 % perforated area with perforation size and pattern as approved by the Engineer- in-charge and as per manufacturer's specification, with all 4 side tapered and backed by acoustical tissue with NRC value not less than 0.60</t>
        </is>
      </c>
      <c r="C1574" s="20" t="n"/>
      <c r="D1574" s="20" t="n"/>
      <c r="E1574" s="20" t="n"/>
      <c r="F1574" s="20" t="n"/>
      <c r="G1574" s="20" t="n"/>
    </row>
    <row r="1575">
      <c r="A1575" s="21" t="inlineStr">
        <is>
          <t>Details of cost for 103.68 sqm   |   Source: CivilDAR_2019_Vol_1.pdf, page 877</t>
        </is>
      </c>
    </row>
    <row r="1576">
      <c r="A1576" s="5" t="inlineStr">
        <is>
          <t>Code</t>
        </is>
      </c>
      <c r="B1576" s="5" t="inlineStr">
        <is>
          <t>Description</t>
        </is>
      </c>
      <c r="C1576" s="5" t="inlineStr">
        <is>
          <t>Unit</t>
        </is>
      </c>
      <c r="D1576" s="5" t="inlineStr">
        <is>
          <t>Quantity</t>
        </is>
      </c>
      <c r="E1576" s="5" t="inlineStr">
        <is>
          <t>Rate (Rs.)</t>
        </is>
      </c>
      <c r="F1576" s="5" t="inlineStr">
        <is>
          <t>Amount (Rs.)</t>
        </is>
      </c>
      <c r="G1576" s="5" t="inlineStr">
        <is>
          <t>Note</t>
        </is>
      </c>
    </row>
    <row r="1577">
      <c r="A1577" s="22" t="inlineStr">
        <is>
          <t>7028</t>
        </is>
      </c>
      <c r="B1577" s="11" t="inlineStr">
        <is>
          <t>12.5 mm thick Fully Perforated gypsum board</t>
        </is>
      </c>
      <c r="C1577" s="22" t="inlineStr">
        <is>
          <t>sqm</t>
        </is>
      </c>
      <c r="D1577" s="23" t="n">
        <v>108.86</v>
      </c>
      <c r="E1577" s="24" t="n">
        <v>410</v>
      </c>
      <c r="F1577" s="24">
        <f>D1577*E1577</f>
        <v/>
      </c>
      <c r="G1577" s="22" t="n"/>
    </row>
    <row r="1578">
      <c r="A1578" s="22" t="inlineStr">
        <is>
          <t>7010</t>
        </is>
      </c>
      <c r="B1578" s="11" t="inlineStr">
        <is>
          <t>Galvanised Steel ceiling section (size 80x26x0.50mm)</t>
        </is>
      </c>
      <c r="C1578" s="22" t="inlineStr">
        <is>
          <t>metre</t>
        </is>
      </c>
      <c r="D1578" s="23" t="n">
        <v>238.14</v>
      </c>
      <c r="E1578" s="24" t="n">
        <v>46</v>
      </c>
      <c r="F1578" s="24">
        <f>D1578*E1578</f>
        <v/>
      </c>
      <c r="G1578" s="22" t="n"/>
    </row>
    <row r="1579">
      <c r="A1579" s="22" t="inlineStr">
        <is>
          <t>7011</t>
        </is>
      </c>
      <c r="B1579" s="11" t="inlineStr">
        <is>
          <t>Galvanised Steel perimetre Channel (Size 20x27x30x0.50mm)</t>
        </is>
      </c>
      <c r="C1579" s="22" t="inlineStr">
        <is>
          <t>metre</t>
        </is>
      </c>
      <c r="D1579" s="23" t="n">
        <v>41.84</v>
      </c>
      <c r="E1579" s="24" t="n">
        <v>22</v>
      </c>
      <c r="F1579" s="24">
        <f>D1579*E1579</f>
        <v/>
      </c>
      <c r="G1579" s="22" t="n"/>
    </row>
    <row r="1580">
      <c r="A1580" s="22" t="inlineStr">
        <is>
          <t>7012</t>
        </is>
      </c>
      <c r="B1580" s="11" t="inlineStr">
        <is>
          <t>Galvanised Steel intermediate Channel (Size 15x45x15x0.90mm)</t>
        </is>
      </c>
      <c r="C1580" s="22" t="inlineStr">
        <is>
          <t>metre</t>
        </is>
      </c>
      <c r="D1580" s="23" t="n">
        <v>90.72</v>
      </c>
      <c r="E1580" s="24" t="n">
        <v>38</v>
      </c>
      <c r="F1580" s="24">
        <f>D1580*E1580</f>
        <v/>
      </c>
      <c r="G1580" s="22" t="n"/>
    </row>
    <row r="1581">
      <c r="A1581" s="22" t="inlineStr">
        <is>
          <t>7013</t>
        </is>
      </c>
      <c r="B1581" s="11" t="inlineStr">
        <is>
          <t>Galvanised Steel angle hanger (Celling angle) (Size 25x10x0.50mm)</t>
        </is>
      </c>
      <c r="C1581" s="22" t="inlineStr">
        <is>
          <t>metre</t>
        </is>
      </c>
      <c r="D1581" s="23" t="n">
        <v>10.8</v>
      </c>
      <c r="E1581" s="24" t="n">
        <v>12</v>
      </c>
      <c r="F1581" s="24">
        <f>D1581*E1581</f>
        <v/>
      </c>
      <c r="G1581" s="22" t="n"/>
    </row>
    <row r="1582">
      <c r="A1582" s="22" t="inlineStr">
        <is>
          <t>7014</t>
        </is>
      </c>
      <c r="B1582" s="11" t="inlineStr">
        <is>
          <t>Galvanised Steel connecting clips (2.64mm dia and 230 mm long GI wire)</t>
        </is>
      </c>
      <c r="C1582" s="22" t="inlineStr">
        <is>
          <t>each</t>
        </is>
      </c>
      <c r="D1582" s="23" t="n">
        <v>189</v>
      </c>
      <c r="E1582" s="24" t="n">
        <v>4</v>
      </c>
      <c r="F1582" s="24">
        <f>D1582*E1582</f>
        <v/>
      </c>
      <c r="G1582" s="22" t="n"/>
    </row>
    <row r="1583">
      <c r="A1583" s="22" t="inlineStr">
        <is>
          <t>1022</t>
        </is>
      </c>
      <c r="B1583" s="11" t="inlineStr">
        <is>
          <t>Galvanised steel bolts &amp; nuts 6 mm dia and 25 mmlong round head with slots</t>
        </is>
      </c>
      <c r="C1583" s="22" t="inlineStr">
        <is>
          <t>10 Nos</t>
        </is>
      </c>
      <c r="D1583" s="23" t="n">
        <v>21.6</v>
      </c>
      <c r="E1583" s="24" t="n">
        <v>38</v>
      </c>
      <c r="F1583" s="24">
        <f>D1583*E1583</f>
        <v/>
      </c>
      <c r="G1583" s="22" t="n"/>
    </row>
    <row r="1584">
      <c r="A1584" s="22" t="inlineStr">
        <is>
          <t>7015</t>
        </is>
      </c>
      <c r="B1584" s="11" t="inlineStr">
        <is>
          <t>Galvanised Steel soffit cleat (Size 27x37x25x0.60mm)</t>
        </is>
      </c>
      <c r="C1584" s="22" t="inlineStr">
        <is>
          <t>each</t>
        </is>
      </c>
      <c r="D1584" s="23" t="n">
        <v>72</v>
      </c>
      <c r="E1584" s="24" t="n">
        <v>3</v>
      </c>
      <c r="F1584" s="24">
        <f>D1584*E1584</f>
        <v/>
      </c>
      <c r="G1584" s="22" t="n"/>
    </row>
    <row r="1585">
      <c r="A1585" s="22" t="inlineStr">
        <is>
          <t>7020</t>
        </is>
      </c>
      <c r="B1585" s="11" t="inlineStr">
        <is>
          <t>All drive screws ( for gypsum board)</t>
        </is>
      </c>
      <c r="C1585" s="22" t="inlineStr">
        <is>
          <t>100 Nos</t>
        </is>
      </c>
      <c r="D1585" s="23" t="n">
        <v>10</v>
      </c>
      <c r="E1585" s="24" t="n">
        <v>58</v>
      </c>
      <c r="F1585" s="24">
        <f>D1585*E1585</f>
        <v/>
      </c>
      <c r="G1585" s="22" t="n"/>
    </row>
    <row r="1586">
      <c r="A1586" s="22" t="inlineStr">
        <is>
          <t>7016</t>
        </is>
      </c>
      <c r="B1586" s="11" t="inlineStr">
        <is>
          <t>Joint filler</t>
        </is>
      </c>
      <c r="C1586" s="22" t="inlineStr">
        <is>
          <t>kilogram</t>
        </is>
      </c>
      <c r="D1586" s="23" t="n">
        <v>22.81</v>
      </c>
      <c r="E1586" s="24" t="n">
        <v>26</v>
      </c>
      <c r="F1586" s="24">
        <f>D1586*E1586</f>
        <v/>
      </c>
      <c r="G1586" s="22" t="n"/>
    </row>
    <row r="1587">
      <c r="A1587" s="22" t="inlineStr">
        <is>
          <t>7017</t>
        </is>
      </c>
      <c r="B1587" s="11" t="inlineStr">
        <is>
          <t>Joint finisher</t>
        </is>
      </c>
      <c r="C1587" s="22" t="inlineStr">
        <is>
          <t>kilogram</t>
        </is>
      </c>
      <c r="D1587" s="23" t="n">
        <v>34.21</v>
      </c>
      <c r="E1587" s="24" t="n">
        <v>23</v>
      </c>
      <c r="F1587" s="24">
        <f>D1587*E1587</f>
        <v/>
      </c>
      <c r="G1587" s="22" t="n"/>
    </row>
    <row r="1588">
      <c r="A1588" s="22" t="inlineStr">
        <is>
          <t>7018</t>
        </is>
      </c>
      <c r="B1588" s="11" t="inlineStr">
        <is>
          <t>Joint tape roll</t>
        </is>
      </c>
      <c r="C1588" s="22" t="inlineStr">
        <is>
          <t>roll</t>
        </is>
      </c>
      <c r="D1588" s="23" t="n">
        <v>1.27</v>
      </c>
      <c r="E1588" s="24" t="n">
        <v>100</v>
      </c>
      <c r="F1588" s="24">
        <f>D1588*E1588</f>
        <v/>
      </c>
      <c r="G1588" s="22" t="n"/>
    </row>
    <row r="1589">
      <c r="A1589" s="22" t="inlineStr">
        <is>
          <t>7021</t>
        </is>
      </c>
      <c r="B1589" s="11" t="inlineStr">
        <is>
          <t>Primer ( for gypsum board)</t>
        </is>
      </c>
      <c r="C1589" s="22" t="inlineStr">
        <is>
          <t>litre</t>
        </is>
      </c>
      <c r="D1589" s="23" t="n">
        <v>18.66</v>
      </c>
      <c r="E1589" s="24" t="n">
        <v>85</v>
      </c>
      <c r="F1589" s="24">
        <f>D1589*E1589</f>
        <v/>
      </c>
      <c r="G1589" s="22" t="n"/>
    </row>
    <row r="1590">
      <c r="A1590" s="22" t="inlineStr">
        <is>
          <t>7388</t>
        </is>
      </c>
      <c r="B1590" s="11" t="inlineStr">
        <is>
          <t>Dash hold fastener 12.5 mm dia, 40 mm long with 6 mm dia bolt</t>
        </is>
      </c>
      <c r="C1590" s="22" t="inlineStr">
        <is>
          <t>each</t>
        </is>
      </c>
      <c r="D1590" s="23" t="n">
        <v>72</v>
      </c>
      <c r="E1590" s="24" t="n">
        <v>11</v>
      </c>
      <c r="F1590" s="24">
        <f>D1590*E1590</f>
        <v/>
      </c>
      <c r="G1590" s="22" t="n"/>
    </row>
    <row r="1591">
      <c r="A1591" s="22" t="inlineStr">
        <is>
          <t>9999</t>
        </is>
      </c>
      <c r="B1591" s="11" t="inlineStr">
        <is>
          <t>Sundries like rawl plug scaffolding etc</t>
        </is>
      </c>
      <c r="C1591" s="22" t="inlineStr">
        <is>
          <t>L.S.</t>
        </is>
      </c>
      <c r="D1591" s="23" t="n">
        <v>807.3</v>
      </c>
      <c r="E1591" s="24" t="n">
        <v>2</v>
      </c>
      <c r="F1591" s="24">
        <f>D1591*E1591</f>
        <v/>
      </c>
      <c r="G1591" s="22" t="n"/>
    </row>
    <row r="1592">
      <c r="A1592" s="22" t="inlineStr">
        <is>
          <t>9977</t>
        </is>
      </c>
      <c r="B1592" s="11" t="inlineStr">
        <is>
          <t>Carriage of material etc.</t>
        </is>
      </c>
      <c r="C1592" s="22" t="inlineStr">
        <is>
          <t>L.S.</t>
        </is>
      </c>
      <c r="D1592" s="23" t="n">
        <v>447.2</v>
      </c>
      <c r="E1592" s="24" t="n">
        <v>2</v>
      </c>
      <c r="F1592" s="24">
        <f>D1592*E1592</f>
        <v/>
      </c>
      <c r="G1592" s="22" t="n"/>
    </row>
    <row r="1593">
      <c r="A1593" s="22" t="inlineStr">
        <is>
          <t>0112</t>
        </is>
      </c>
      <c r="B1593" s="11" t="inlineStr">
        <is>
          <t>Carpenter 2nd class</t>
        </is>
      </c>
      <c r="C1593" s="22" t="inlineStr">
        <is>
          <t>day</t>
        </is>
      </c>
      <c r="D1593" s="23" t="n">
        <v>31.104</v>
      </c>
      <c r="E1593" s="24" t="n">
        <v>679</v>
      </c>
      <c r="F1593" s="24">
        <f>D1593*E1593</f>
        <v/>
      </c>
      <c r="G1593" s="22" t="n"/>
    </row>
    <row r="1594">
      <c r="A1594" s="22" t="inlineStr">
        <is>
          <t>0114</t>
        </is>
      </c>
      <c r="B1594" s="11" t="inlineStr">
        <is>
          <t>Beldar</t>
        </is>
      </c>
      <c r="C1594" s="22" t="inlineStr">
        <is>
          <t>day</t>
        </is>
      </c>
      <c r="D1594" s="23" t="n">
        <v>31.104</v>
      </c>
      <c r="E1594" s="24" t="n">
        <v>558</v>
      </c>
      <c r="F1594" s="24">
        <f>D1594*E1594</f>
        <v/>
      </c>
      <c r="G1594" s="22" t="n"/>
    </row>
    <row r="1595">
      <c r="A1595" s="22" t="inlineStr">
        <is>
          <t>0131</t>
        </is>
      </c>
      <c r="B1595" s="11" t="inlineStr">
        <is>
          <t>Painter</t>
        </is>
      </c>
      <c r="C1595" s="22" t="inlineStr">
        <is>
          <t>day</t>
        </is>
      </c>
      <c r="D1595" s="23" t="n">
        <v>10.37</v>
      </c>
      <c r="E1595" s="24" t="n">
        <v>679</v>
      </c>
      <c r="F1595" s="24">
        <f>D1595*E1595</f>
        <v/>
      </c>
      <c r="G1595" s="22" t="n"/>
    </row>
    <row r="1596">
      <c r="A1596" s="8" t="inlineStr">
        <is>
          <t>Calculated W - SUM of the Amount column above</t>
        </is>
      </c>
      <c r="B1596" s="9" t="n"/>
      <c r="C1596" s="9" t="n"/>
      <c r="D1596" s="9" t="n"/>
      <c r="E1596" s="9" t="n"/>
      <c r="F1596" s="25">
        <f>SUM(F1577:F1595)</f>
        <v/>
      </c>
      <c r="G1596" s="9" t="n"/>
    </row>
    <row r="1597">
      <c r="A1597" s="26" t="inlineStr">
        <is>
          <t>W as printed in the DAR</t>
        </is>
      </c>
      <c r="B1597" s="22" t="n"/>
      <c r="C1597" s="22" t="n"/>
      <c r="D1597" s="22" t="n"/>
      <c r="E1597" s="22" t="n"/>
      <c r="F1597" s="27" t="n">
        <v>114368.15</v>
      </c>
      <c r="G1597" s="22" t="n"/>
    </row>
    <row r="1598">
      <c r="A1598" s="26" t="inlineStr">
        <is>
          <t>Difference (calculated - printed)</t>
        </is>
      </c>
      <c r="B1598" s="22" t="n"/>
      <c r="C1598" s="22" t="n"/>
      <c r="D1598" s="22" t="n"/>
      <c r="E1598" s="22" t="n"/>
      <c r="F1598" s="27">
        <f>F1596-F1597</f>
        <v/>
      </c>
      <c r="G1598" s="22" t="n"/>
    </row>
    <row r="1599">
      <c r="A1599" s="29" t="inlineStr">
        <is>
          <t>SAY (Rs.) - final DAR rate as printed (fixed value, not computed)</t>
        </is>
      </c>
      <c r="B1599" s="30" t="n"/>
      <c r="C1599" s="30" t="n"/>
      <c r="D1599" s="30" t="n"/>
      <c r="E1599" s="30" t="n"/>
      <c r="F1599" s="31" t="n">
        <v>1475.85</v>
      </c>
      <c r="G1599" s="30" t="n"/>
    </row>
    <row r="1601" ht="33" customHeight="1">
      <c r="A1601" s="18" t="inlineStr">
        <is>
          <t>12.46</t>
        </is>
      </c>
      <c r="B1601" s="19" t="inlineStr">
        <is>
          <t>Providing and fixing to the inlet mouth of rain water pipe PTMT (an Engineering Thermoplastic) grating square (Slit) 150 mm square with a height of 8 mm and weighing not less than 100 gms.</t>
        </is>
      </c>
      <c r="C1601" s="20" t="n"/>
      <c r="D1601" s="20" t="n"/>
      <c r="E1601" s="20" t="n"/>
      <c r="F1601" s="20" t="n"/>
      <c r="G1601" s="20" t="n"/>
    </row>
    <row r="1602">
      <c r="A1602" s="21" t="inlineStr">
        <is>
          <t>Details of cost for 1 grating   |   Source: CivilDAR_2019_Vol_1.pdf, page 878</t>
        </is>
      </c>
    </row>
    <row r="1603">
      <c r="A1603" s="5" t="inlineStr">
        <is>
          <t>Code</t>
        </is>
      </c>
      <c r="B1603" s="5" t="inlineStr">
        <is>
          <t>Description</t>
        </is>
      </c>
      <c r="C1603" s="5" t="inlineStr">
        <is>
          <t>Unit</t>
        </is>
      </c>
      <c r="D1603" s="5" t="inlineStr">
        <is>
          <t>Quantity</t>
        </is>
      </c>
      <c r="E1603" s="5" t="inlineStr">
        <is>
          <t>Rate (Rs.)</t>
        </is>
      </c>
      <c r="F1603" s="5" t="inlineStr">
        <is>
          <t>Amount (Rs.)</t>
        </is>
      </c>
      <c r="G1603" s="5" t="inlineStr">
        <is>
          <t>Note</t>
        </is>
      </c>
    </row>
    <row r="1604">
      <c r="A1604" s="22" t="inlineStr">
        <is>
          <t>7857</t>
        </is>
      </c>
      <c r="B1604" s="11" t="inlineStr">
        <is>
          <t>P.T.M.T. Grating square slit 150mm</t>
        </is>
      </c>
      <c r="C1604" s="22" t="inlineStr">
        <is>
          <t>each</t>
        </is>
      </c>
      <c r="D1604" s="23" t="n">
        <v>1</v>
      </c>
      <c r="E1604" s="24" t="n">
        <v>66.75</v>
      </c>
      <c r="F1604" s="24">
        <f>D1604*E1604</f>
        <v/>
      </c>
      <c r="G1604" s="22" t="n"/>
    </row>
    <row r="1605">
      <c r="A1605" s="22" t="inlineStr">
        <is>
          <t>9977</t>
        </is>
      </c>
      <c r="B1605" s="11" t="inlineStr">
        <is>
          <t>Carriage of material and fixing charges</t>
        </is>
      </c>
      <c r="C1605" s="22" t="inlineStr">
        <is>
          <t>L.S.</t>
        </is>
      </c>
      <c r="D1605" s="23" t="n">
        <v>4.16</v>
      </c>
      <c r="E1605" s="24" t="n">
        <v>2</v>
      </c>
      <c r="F1605" s="24">
        <f>D1605*E1605</f>
        <v/>
      </c>
      <c r="G1605" s="22" t="n"/>
    </row>
    <row r="1606">
      <c r="A1606" s="8" t="inlineStr">
        <is>
          <t>Calculated W - SUM of the Amount column above</t>
        </is>
      </c>
      <c r="B1606" s="9" t="n"/>
      <c r="C1606" s="9" t="n"/>
      <c r="D1606" s="9" t="n"/>
      <c r="E1606" s="9" t="n"/>
      <c r="F1606" s="25">
        <f>SUM(F1604:F1605)</f>
        <v/>
      </c>
      <c r="G1606" s="9" t="n"/>
    </row>
    <row r="1607">
      <c r="A1607" s="26" t="inlineStr">
        <is>
          <t>W as printed in the DAR</t>
        </is>
      </c>
      <c r="B1607" s="22" t="n"/>
      <c r="C1607" s="22" t="n"/>
      <c r="D1607" s="22" t="n"/>
      <c r="E1607" s="22" t="n"/>
      <c r="F1607" s="27" t="n">
        <v>75.06999999999999</v>
      </c>
      <c r="G1607" s="22" t="n"/>
    </row>
    <row r="1608">
      <c r="A1608" s="26" t="inlineStr">
        <is>
          <t>Difference (calculated - printed)</t>
        </is>
      </c>
      <c r="B1608" s="22" t="n"/>
      <c r="C1608" s="22" t="n"/>
      <c r="D1608" s="22" t="n"/>
      <c r="E1608" s="22" t="n"/>
      <c r="F1608" s="27">
        <f>F1606-F1607</f>
        <v/>
      </c>
      <c r="G1608" s="22" t="n"/>
    </row>
    <row r="1609">
      <c r="A1609" s="29" t="inlineStr">
        <is>
          <t>SAY (Rs.) - final DAR rate as printed (fixed value, not computed)</t>
        </is>
      </c>
      <c r="B1609" s="30" t="n"/>
      <c r="C1609" s="30" t="n"/>
      <c r="D1609" s="30" t="n"/>
      <c r="E1609" s="30" t="n"/>
      <c r="F1609" s="31" t="n">
        <v>100.45</v>
      </c>
      <c r="G1609" s="30" t="n"/>
    </row>
    <row r="1611" ht="91" customHeight="1">
      <c r="A1611" s="8" t="inlineStr">
        <is>
          <t>12.47</t>
        </is>
      </c>
      <c r="B1611" s="17" t="inlineStr">
        <is>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is>
      </c>
      <c r="C1611" s="9" t="n"/>
      <c r="D1611" s="9" t="n"/>
      <c r="E1611" s="9" t="n"/>
      <c r="F1611" s="9" t="n"/>
      <c r="G1611" s="9" t="n"/>
    </row>
    <row r="1612" ht="18.5" customHeight="1">
      <c r="A1612" s="18" t="inlineStr">
        <is>
          <t>12.47.1</t>
        </is>
      </c>
      <c r="B1612" s="19" t="inlineStr">
        <is>
          <t>2 mm thick corrugated (2.5" or 4.2" or 6") or step-down (2" or 3" or 6" ) as specified</t>
        </is>
      </c>
      <c r="C1612" s="20" t="n"/>
      <c r="D1612" s="20" t="n"/>
      <c r="E1612" s="20" t="n"/>
      <c r="F1612" s="20" t="n"/>
      <c r="G1612" s="20" t="n"/>
    </row>
    <row r="1613">
      <c r="A1613" s="21" t="inlineStr">
        <is>
          <t>Details of cost for 184.518 sqm   |   Source: CivilDAR_2019_Vol_1.pdf, page 879</t>
        </is>
      </c>
    </row>
    <row r="1614">
      <c r="A1614" s="5" t="inlineStr">
        <is>
          <t>Code</t>
        </is>
      </c>
      <c r="B1614" s="5" t="inlineStr">
        <is>
          <t>Description</t>
        </is>
      </c>
      <c r="C1614" s="5" t="inlineStr">
        <is>
          <t>Unit</t>
        </is>
      </c>
      <c r="D1614" s="5" t="inlineStr">
        <is>
          <t>Quantity</t>
        </is>
      </c>
      <c r="E1614" s="5" t="inlineStr">
        <is>
          <t>Rate (Rs.)</t>
        </is>
      </c>
      <c r="F1614" s="5" t="inlineStr">
        <is>
          <t>Amount (Rs.)</t>
        </is>
      </c>
      <c r="G1614" s="5" t="inlineStr">
        <is>
          <t>Note</t>
        </is>
      </c>
    </row>
    <row r="1615">
      <c r="A1615" s="22" t="inlineStr">
        <is>
          <t>8668</t>
        </is>
      </c>
      <c r="B1615" s="11" t="inlineStr">
        <is>
          <t>UV stabilised 2 mm thick corrugated FRP sheet</t>
        </is>
      </c>
      <c r="C1615" s="22" t="inlineStr">
        <is>
          <t>sqm</t>
        </is>
      </c>
      <c r="D1615" s="23" t="n">
        <v>240.408</v>
      </c>
      <c r="E1615" s="24" t="n">
        <v>485</v>
      </c>
      <c r="F1615" s="24">
        <f>D1615*E1615</f>
        <v/>
      </c>
      <c r="G1615" s="22" t="n"/>
    </row>
    <row r="1616">
      <c r="A1616" s="22" t="inlineStr">
        <is>
          <t>9977</t>
        </is>
      </c>
      <c r="B1616" s="11" t="inlineStr">
        <is>
          <t>Carriage of sheet</t>
        </is>
      </c>
      <c r="C1616" s="22" t="inlineStr">
        <is>
          <t>L.S.</t>
        </is>
      </c>
      <c r="D1616" s="23" t="n">
        <v>104</v>
      </c>
      <c r="E1616" s="24" t="n">
        <v>2</v>
      </c>
      <c r="F1616" s="24">
        <f>D1616*E1616</f>
        <v/>
      </c>
      <c r="G1616" s="22" t="n"/>
    </row>
    <row r="1617">
      <c r="A1617" s="22" t="inlineStr">
        <is>
          <t>1022</t>
        </is>
      </c>
      <c r="B1617" s="11" t="inlineStr">
        <is>
          <t>Galvanised steel bolts &amp; nuts 6 mm dia and 25 mmlong round head with slots</t>
        </is>
      </c>
      <c r="C1617" s="22" t="inlineStr">
        <is>
          <t>10 Nos</t>
        </is>
      </c>
      <c r="D1617" s="23" t="n">
        <v>88.40000000000001</v>
      </c>
      <c r="E1617" s="24" t="n">
        <v>38</v>
      </c>
      <c r="F1617" s="24">
        <f>D1617*E1617</f>
        <v/>
      </c>
      <c r="G1617" s="22" t="n"/>
    </row>
    <row r="1618">
      <c r="A1618" s="22" t="inlineStr">
        <is>
          <t>1023</t>
        </is>
      </c>
      <c r="B1618" s="11" t="inlineStr">
        <is>
          <t>Galvanised steel J or L hooks 8 mm dia</t>
        </is>
      </c>
      <c r="C1618" s="22" t="inlineStr">
        <is>
          <t>10 Nos</t>
        </is>
      </c>
      <c r="D1618" s="23" t="n">
        <v>81</v>
      </c>
      <c r="E1618" s="24" t="n">
        <v>120</v>
      </c>
      <c r="F1618" s="24">
        <f>D1618*E1618</f>
        <v/>
      </c>
      <c r="G1618" s="22" t="n"/>
    </row>
    <row r="1619">
      <c r="A1619" s="22" t="inlineStr">
        <is>
          <t>1207</t>
        </is>
      </c>
      <c r="B1619" s="11" t="inlineStr">
        <is>
          <t>G.I. Limpet washer</t>
        </is>
      </c>
      <c r="C1619" s="22" t="inlineStr">
        <is>
          <t>100 Nos</t>
        </is>
      </c>
      <c r="D1619" s="23" t="n">
        <v>16.94</v>
      </c>
      <c r="E1619" s="24" t="n">
        <v>21</v>
      </c>
      <c r="F1619" s="24">
        <f>D1619*E1619</f>
        <v/>
      </c>
      <c r="G1619" s="22" t="n"/>
    </row>
    <row r="1620">
      <c r="A1620" s="22" t="inlineStr">
        <is>
          <t>1208</t>
        </is>
      </c>
      <c r="B1620" s="11" t="inlineStr">
        <is>
          <t>Bitumen washer</t>
        </is>
      </c>
      <c r="C1620" s="22" t="inlineStr">
        <is>
          <t>100 Nos</t>
        </is>
      </c>
      <c r="D1620" s="23" t="n">
        <v>16.94</v>
      </c>
      <c r="E1620" s="24" t="n">
        <v>30</v>
      </c>
      <c r="F1620" s="24">
        <f>D1620*E1620</f>
        <v/>
      </c>
      <c r="G1620" s="22" t="n"/>
    </row>
    <row r="1621">
      <c r="A1621" s="22" t="inlineStr">
        <is>
          <t>9977</t>
        </is>
      </c>
      <c r="B1621" s="11" t="inlineStr">
        <is>
          <t>Carriage of bolts and washers</t>
        </is>
      </c>
      <c r="C1621" s="22" t="inlineStr">
        <is>
          <t>L.S.</t>
        </is>
      </c>
      <c r="D1621" s="23" t="n">
        <v>26.91</v>
      </c>
      <c r="E1621" s="24" t="n">
        <v>2</v>
      </c>
      <c r="F1621" s="24">
        <f>D1621*E1621</f>
        <v/>
      </c>
      <c r="G1621" s="22" t="n"/>
    </row>
    <row r="1622">
      <c r="A1622" s="22" t="inlineStr">
        <is>
          <t>9999</t>
        </is>
      </c>
      <c r="B1622" s="11" t="inlineStr">
        <is>
          <t>Sundries</t>
        </is>
      </c>
      <c r="C1622" s="22" t="inlineStr">
        <is>
          <t>L.S.</t>
        </is>
      </c>
      <c r="D1622" s="23" t="n">
        <v>53.82</v>
      </c>
      <c r="E1622" s="24" t="n">
        <v>2</v>
      </c>
      <c r="F1622" s="24">
        <f>D1622*E1622</f>
        <v/>
      </c>
      <c r="G1622" s="22" t="n"/>
    </row>
    <row r="1623">
      <c r="A1623" s="22" t="inlineStr">
        <is>
          <t>0130</t>
        </is>
      </c>
      <c r="B1623" s="11" t="inlineStr">
        <is>
          <t>Mistry</t>
        </is>
      </c>
      <c r="C1623" s="22" t="inlineStr">
        <is>
          <t>day</t>
        </is>
      </c>
      <c r="D1623" s="23" t="n">
        <v>1.3</v>
      </c>
      <c r="E1623" s="24" t="n">
        <v>738</v>
      </c>
      <c r="F1623" s="24">
        <f>D1623*E1623</f>
        <v/>
      </c>
      <c r="G1623" s="22" t="n"/>
    </row>
    <row r="1624">
      <c r="A1624" s="22" t="inlineStr">
        <is>
          <t>0112</t>
        </is>
      </c>
      <c r="B1624" s="11" t="inlineStr">
        <is>
          <t>Carpenter 2nd class</t>
        </is>
      </c>
      <c r="C1624" s="22" t="inlineStr">
        <is>
          <t>day</t>
        </is>
      </c>
      <c r="D1624" s="23" t="n">
        <v>15.5</v>
      </c>
      <c r="E1624" s="24" t="n">
        <v>679</v>
      </c>
      <c r="F1624" s="24">
        <f>D1624*E1624</f>
        <v/>
      </c>
      <c r="G1624" s="22" t="n"/>
    </row>
    <row r="1625">
      <c r="A1625" s="22" t="inlineStr">
        <is>
          <t>0114</t>
        </is>
      </c>
      <c r="B1625" s="11" t="inlineStr">
        <is>
          <t>Beldar</t>
        </is>
      </c>
      <c r="C1625" s="22" t="inlineStr">
        <is>
          <t>day</t>
        </is>
      </c>
      <c r="D1625" s="23" t="n">
        <v>15.5</v>
      </c>
      <c r="E1625" s="24" t="n">
        <v>558</v>
      </c>
      <c r="F1625" s="24">
        <f>D1625*E1625</f>
        <v/>
      </c>
      <c r="G1625" s="22" t="n"/>
    </row>
    <row r="1626">
      <c r="A1626" s="8" t="inlineStr">
        <is>
          <t>Calculated W - SUM of the Amount column above</t>
        </is>
      </c>
      <c r="B1626" s="9" t="n"/>
      <c r="C1626" s="9" t="n"/>
      <c r="D1626" s="9" t="n"/>
      <c r="E1626" s="9" t="n"/>
      <c r="F1626" s="25">
        <f>SUM(F1615:F1625)</f>
        <v/>
      </c>
      <c r="G1626" s="9" t="n"/>
    </row>
    <row r="1627">
      <c r="A1627" s="26" t="inlineStr">
        <is>
          <t>W as printed in the DAR</t>
        </is>
      </c>
      <c r="B1627" s="22" t="n"/>
      <c r="C1627" s="22" t="n"/>
      <c r="D1627" s="22" t="n"/>
      <c r="E1627" s="22" t="n"/>
      <c r="F1627" s="27" t="n">
        <v>151043.38</v>
      </c>
      <c r="G1627" s="22" t="n"/>
    </row>
    <row r="1628">
      <c r="A1628" s="26" t="inlineStr">
        <is>
          <t>Difference (calculated - printed)</t>
        </is>
      </c>
      <c r="B1628" s="22" t="n"/>
      <c r="C1628" s="22" t="n"/>
      <c r="D1628" s="22" t="n"/>
      <c r="E1628" s="22" t="n"/>
      <c r="F1628" s="27">
        <f>F1626-F1627</f>
        <v/>
      </c>
      <c r="G1628" s="22" t="n"/>
    </row>
    <row r="1629">
      <c r="A1629" s="29" t="inlineStr">
        <is>
          <t>SAY (Rs.) - final DAR rate as printed (fixed value, not computed)</t>
        </is>
      </c>
      <c r="B1629" s="30" t="n"/>
      <c r="C1629" s="30" t="n"/>
      <c r="D1629" s="30" t="n"/>
      <c r="E1629" s="30" t="n"/>
      <c r="F1629" s="31" t="n">
        <v>1095.2</v>
      </c>
      <c r="G1629" s="30" t="n"/>
    </row>
    <row r="1631" ht="91" customHeight="1">
      <c r="A1631" s="8" t="inlineStr">
        <is>
          <t>12.47</t>
        </is>
      </c>
      <c r="B1631" s="17" t="inlineStr">
        <is>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is>
      </c>
      <c r="C1631" s="9" t="n"/>
      <c r="D1631" s="9" t="n"/>
      <c r="E1631" s="9" t="n"/>
      <c r="F1631" s="9" t="n"/>
      <c r="G1631" s="9" t="n"/>
    </row>
    <row r="1632" ht="18.5" customHeight="1">
      <c r="A1632" s="18" t="inlineStr">
        <is>
          <t>12.47.2</t>
        </is>
      </c>
      <c r="B1632" s="19" t="inlineStr">
        <is>
          <t>2 mm thick flat</t>
        </is>
      </c>
      <c r="C1632" s="20" t="n"/>
      <c r="D1632" s="20" t="n"/>
      <c r="E1632" s="20" t="n"/>
      <c r="F1632" s="20" t="n"/>
      <c r="G1632" s="20" t="n"/>
    </row>
    <row r="1633">
      <c r="A1633" s="21" t="inlineStr">
        <is>
          <t>Details of cost for 184.518 sqm   |   Source: CivilDAR_2019_Vol_1.pdf, page 880</t>
        </is>
      </c>
    </row>
    <row r="1634">
      <c r="A1634" s="5" t="inlineStr">
        <is>
          <t>Code</t>
        </is>
      </c>
      <c r="B1634" s="5" t="inlineStr">
        <is>
          <t>Description</t>
        </is>
      </c>
      <c r="C1634" s="5" t="inlineStr">
        <is>
          <t>Unit</t>
        </is>
      </c>
      <c r="D1634" s="5" t="inlineStr">
        <is>
          <t>Quantity</t>
        </is>
      </c>
      <c r="E1634" s="5" t="inlineStr">
        <is>
          <t>Rate (Rs.)</t>
        </is>
      </c>
      <c r="F1634" s="5" t="inlineStr">
        <is>
          <t>Amount (Rs.)</t>
        </is>
      </c>
      <c r="G1634" s="5" t="inlineStr">
        <is>
          <t>Note</t>
        </is>
      </c>
    </row>
    <row r="1635">
      <c r="A1635" s="22" t="inlineStr">
        <is>
          <t>8667</t>
        </is>
      </c>
      <c r="B1635" s="11" t="inlineStr">
        <is>
          <t>UV stabilised 2 mm thick plain FRP sheet</t>
        </is>
      </c>
      <c r="C1635" s="22" t="inlineStr">
        <is>
          <t>sqm</t>
        </is>
      </c>
      <c r="D1635" s="23" t="n">
        <v>240.408</v>
      </c>
      <c r="E1635" s="24" t="n">
        <v>430</v>
      </c>
      <c r="F1635" s="24">
        <f>D1635*E1635</f>
        <v/>
      </c>
      <c r="G1635" s="22" t="n"/>
    </row>
    <row r="1636">
      <c r="A1636" s="22" t="inlineStr">
        <is>
          <t>9977</t>
        </is>
      </c>
      <c r="B1636" s="11" t="inlineStr">
        <is>
          <t>Carriage of sheet</t>
        </is>
      </c>
      <c r="C1636" s="22" t="inlineStr">
        <is>
          <t>L.S.</t>
        </is>
      </c>
      <c r="D1636" s="23" t="n">
        <v>104</v>
      </c>
      <c r="E1636" s="24" t="n">
        <v>2</v>
      </c>
      <c r="F1636" s="24">
        <f>D1636*E1636</f>
        <v/>
      </c>
      <c r="G1636" s="22" t="n"/>
    </row>
    <row r="1637">
      <c r="A1637" s="22" t="inlineStr">
        <is>
          <t>1022</t>
        </is>
      </c>
      <c r="B1637" s="11" t="inlineStr">
        <is>
          <t>Galvanised steel bolts &amp; nuts 6 mm dia and 25 mmlong round head with slots</t>
        </is>
      </c>
      <c r="C1637" s="22" t="inlineStr">
        <is>
          <t>10 Nos</t>
        </is>
      </c>
      <c r="D1637" s="23" t="n">
        <v>88.40000000000001</v>
      </c>
      <c r="E1637" s="24" t="n">
        <v>38</v>
      </c>
      <c r="F1637" s="24">
        <f>D1637*E1637</f>
        <v/>
      </c>
      <c r="G1637" s="22" t="n"/>
    </row>
    <row r="1638">
      <c r="A1638" s="22" t="inlineStr">
        <is>
          <t>1023</t>
        </is>
      </c>
      <c r="B1638" s="11" t="inlineStr">
        <is>
          <t>Galvanised steel J or L hooks 8 mm dia</t>
        </is>
      </c>
      <c r="C1638" s="22" t="inlineStr">
        <is>
          <t>10 Nos</t>
        </is>
      </c>
      <c r="D1638" s="23" t="n">
        <v>81</v>
      </c>
      <c r="E1638" s="24" t="n">
        <v>120</v>
      </c>
      <c r="F1638" s="24">
        <f>D1638*E1638</f>
        <v/>
      </c>
      <c r="G1638" s="22" t="n"/>
    </row>
    <row r="1639">
      <c r="A1639" s="22" t="inlineStr">
        <is>
          <t>1207</t>
        </is>
      </c>
      <c r="B1639" s="11" t="inlineStr">
        <is>
          <t>G.I. Limpet washer</t>
        </is>
      </c>
      <c r="C1639" s="22" t="inlineStr">
        <is>
          <t>100 Nos</t>
        </is>
      </c>
      <c r="D1639" s="23" t="n">
        <v>16.94</v>
      </c>
      <c r="E1639" s="24" t="n">
        <v>21</v>
      </c>
      <c r="F1639" s="24">
        <f>D1639*E1639</f>
        <v/>
      </c>
      <c r="G1639" s="22" t="n"/>
    </row>
    <row r="1640">
      <c r="A1640" s="22" t="inlineStr">
        <is>
          <t>1208</t>
        </is>
      </c>
      <c r="B1640" s="11" t="inlineStr">
        <is>
          <t>Bitumen washer</t>
        </is>
      </c>
      <c r="C1640" s="22" t="inlineStr">
        <is>
          <t>100 Nos</t>
        </is>
      </c>
      <c r="D1640" s="23" t="n">
        <v>16.94</v>
      </c>
      <c r="E1640" s="24" t="n">
        <v>30</v>
      </c>
      <c r="F1640" s="24">
        <f>D1640*E1640</f>
        <v/>
      </c>
      <c r="G1640" s="22" t="n"/>
    </row>
    <row r="1641">
      <c r="A1641" s="22" t="inlineStr">
        <is>
          <t>9977</t>
        </is>
      </c>
      <c r="B1641" s="11" t="inlineStr">
        <is>
          <t>Carriage of bolts and washers</t>
        </is>
      </c>
      <c r="C1641" s="22" t="inlineStr">
        <is>
          <t>L.S.</t>
        </is>
      </c>
      <c r="D1641" s="23" t="n">
        <v>26.91</v>
      </c>
      <c r="E1641" s="24" t="n">
        <v>2</v>
      </c>
      <c r="F1641" s="24">
        <f>D1641*E1641</f>
        <v/>
      </c>
      <c r="G1641" s="22" t="n"/>
    </row>
    <row r="1642">
      <c r="A1642" s="22" t="inlineStr">
        <is>
          <t>9999</t>
        </is>
      </c>
      <c r="B1642" s="11" t="inlineStr">
        <is>
          <t>Sundries</t>
        </is>
      </c>
      <c r="C1642" s="22" t="inlineStr">
        <is>
          <t>L.S.</t>
        </is>
      </c>
      <c r="D1642" s="23" t="n">
        <v>53.82</v>
      </c>
      <c r="E1642" s="24" t="n">
        <v>2</v>
      </c>
      <c r="F1642" s="24">
        <f>D1642*E1642</f>
        <v/>
      </c>
      <c r="G1642" s="22" t="n"/>
    </row>
    <row r="1643">
      <c r="A1643" s="22" t="inlineStr">
        <is>
          <t>0130</t>
        </is>
      </c>
      <c r="B1643" s="11" t="inlineStr">
        <is>
          <t>Mistry</t>
        </is>
      </c>
      <c r="C1643" s="22" t="inlineStr">
        <is>
          <t>day</t>
        </is>
      </c>
      <c r="D1643" s="23" t="n">
        <v>1.3</v>
      </c>
      <c r="E1643" s="24" t="n">
        <v>738</v>
      </c>
      <c r="F1643" s="24">
        <f>D1643*E1643</f>
        <v/>
      </c>
      <c r="G1643" s="22" t="n"/>
    </row>
    <row r="1644">
      <c r="A1644" s="22" t="inlineStr">
        <is>
          <t>0112</t>
        </is>
      </c>
      <c r="B1644" s="11" t="inlineStr">
        <is>
          <t>Carpenter 2nd class</t>
        </is>
      </c>
      <c r="C1644" s="22" t="inlineStr">
        <is>
          <t>day</t>
        </is>
      </c>
      <c r="D1644" s="23" t="n">
        <v>15.5</v>
      </c>
      <c r="E1644" s="24" t="n">
        <v>679</v>
      </c>
      <c r="F1644" s="24">
        <f>D1644*E1644</f>
        <v/>
      </c>
      <c r="G1644" s="22" t="n"/>
    </row>
    <row r="1645">
      <c r="A1645" s="22" t="inlineStr">
        <is>
          <t>0114</t>
        </is>
      </c>
      <c r="B1645" s="11" t="inlineStr">
        <is>
          <t>Beldar</t>
        </is>
      </c>
      <c r="C1645" s="22" t="inlineStr">
        <is>
          <t>day</t>
        </is>
      </c>
      <c r="D1645" s="23" t="n">
        <v>15.5</v>
      </c>
      <c r="E1645" s="24" t="n">
        <v>558</v>
      </c>
      <c r="F1645" s="24">
        <f>D1645*E1645</f>
        <v/>
      </c>
      <c r="G1645" s="22" t="n"/>
    </row>
    <row r="1646">
      <c r="A1646" s="8" t="inlineStr">
        <is>
          <t>Calculated W - SUM of the Amount column above</t>
        </is>
      </c>
      <c r="B1646" s="9" t="n"/>
      <c r="C1646" s="9" t="n"/>
      <c r="D1646" s="9" t="n"/>
      <c r="E1646" s="9" t="n"/>
      <c r="F1646" s="25">
        <f>SUM(F1635:F1645)</f>
        <v/>
      </c>
      <c r="G1646" s="9" t="n"/>
    </row>
    <row r="1647">
      <c r="A1647" s="26" t="inlineStr">
        <is>
          <t>W as printed in the DAR</t>
        </is>
      </c>
      <c r="B1647" s="22" t="n"/>
      <c r="C1647" s="22" t="n"/>
      <c r="D1647" s="22" t="n"/>
      <c r="E1647" s="22" t="n"/>
      <c r="F1647" s="27" t="n">
        <v>137820.94</v>
      </c>
      <c r="G1647" s="22" t="n"/>
    </row>
    <row r="1648">
      <c r="A1648" s="26" t="inlineStr">
        <is>
          <t>Difference (calculated - printed)</t>
        </is>
      </c>
      <c r="B1648" s="22" t="n"/>
      <c r="C1648" s="22" t="n"/>
      <c r="D1648" s="22" t="n"/>
      <c r="E1648" s="22" t="n"/>
      <c r="F1648" s="27">
        <f>F1646-F1647</f>
        <v/>
      </c>
      <c r="G1648" s="22" t="n"/>
    </row>
    <row r="1649">
      <c r="A1649" s="29" t="inlineStr">
        <is>
          <t>SAY (Rs.) - final DAR rate as printed (fixed value, not computed)</t>
        </is>
      </c>
      <c r="B1649" s="30" t="n"/>
      <c r="C1649" s="30" t="n"/>
      <c r="D1649" s="30" t="n"/>
      <c r="E1649" s="30" t="n"/>
      <c r="F1649" s="31" t="n">
        <v>999.35</v>
      </c>
      <c r="G1649" s="30" t="n"/>
    </row>
    <row r="1651" ht="33" customHeight="1">
      <c r="A1651" s="18" t="inlineStr">
        <is>
          <t>12.48</t>
        </is>
      </c>
      <c r="B1651" s="19" t="inlineStr">
        <is>
          <t>Providing &amp; fixing on roof pressed clay tile (Mangalore tile) of 20 mm nominal thickness and of approved size and as per approved pattern on steel frame work complete (steel frame work to be paid separately).</t>
        </is>
      </c>
      <c r="C1651" s="20" t="n"/>
      <c r="D1651" s="20" t="n"/>
      <c r="E1651" s="20" t="n"/>
      <c r="F1651" s="20" t="n"/>
      <c r="G1651" s="20" t="n"/>
    </row>
    <row r="1652">
      <c r="A1652" s="21" t="inlineStr">
        <is>
          <t>Details of cost for 10 sqm   |   Source: CivilDAR_2019_Vol_1.pdf, page 880</t>
        </is>
      </c>
    </row>
    <row r="1653">
      <c r="A1653" s="5" t="inlineStr">
        <is>
          <t>Code</t>
        </is>
      </c>
      <c r="B1653" s="5" t="inlineStr">
        <is>
          <t>Description</t>
        </is>
      </c>
      <c r="C1653" s="5" t="inlineStr">
        <is>
          <t>Unit</t>
        </is>
      </c>
      <c r="D1653" s="5" t="inlineStr">
        <is>
          <t>Quantity</t>
        </is>
      </c>
      <c r="E1653" s="5" t="inlineStr">
        <is>
          <t>Rate (Rs.)</t>
        </is>
      </c>
      <c r="F1653" s="5" t="inlineStr">
        <is>
          <t>Amount (Rs.)</t>
        </is>
      </c>
      <c r="G1653" s="5" t="inlineStr">
        <is>
          <t>Note</t>
        </is>
      </c>
    </row>
    <row r="1654">
      <c r="A1654" s="22" t="inlineStr">
        <is>
          <t>8670</t>
        </is>
      </c>
      <c r="B1654" s="11" t="inlineStr">
        <is>
          <t>Mangalore tiles 20 mm thick</t>
        </is>
      </c>
      <c r="C1654" s="22" t="inlineStr">
        <is>
          <t>each</t>
        </is>
      </c>
      <c r="D1654" s="23" t="n">
        <v>160</v>
      </c>
      <c r="E1654" s="24" t="n">
        <v>8</v>
      </c>
      <c r="F1654" s="24">
        <f>D1654*E1654</f>
        <v/>
      </c>
      <c r="G1654" s="22" t="n"/>
    </row>
    <row r="1655">
      <c r="A1655" s="22" t="inlineStr">
        <is>
          <t>2207</t>
        </is>
      </c>
      <c r="B1655" s="11" t="inlineStr">
        <is>
          <t>Carriage of Brick tiles</t>
        </is>
      </c>
      <c r="C1655" s="22" t="inlineStr">
        <is>
          <t>1000 Nos</t>
        </is>
      </c>
      <c r="D1655" s="23" t="n">
        <v>0.16</v>
      </c>
      <c r="E1655" s="24" t="n">
        <v>166.03</v>
      </c>
      <c r="F1655" s="24">
        <f>D1655*E1655</f>
        <v/>
      </c>
      <c r="G1655" s="22" t="n"/>
    </row>
    <row r="1656">
      <c r="A1656" s="22" t="inlineStr">
        <is>
          <t>0123</t>
        </is>
      </c>
      <c r="B1656" s="11" t="inlineStr">
        <is>
          <t>Mason (brick layer) 1st class</t>
        </is>
      </c>
      <c r="C1656" s="22" t="inlineStr">
        <is>
          <t>day</t>
        </is>
      </c>
      <c r="D1656" s="23" t="n">
        <v>0.3</v>
      </c>
      <c r="E1656" s="24" t="n">
        <v>738</v>
      </c>
      <c r="F1656" s="24">
        <f>D1656*E1656</f>
        <v/>
      </c>
      <c r="G1656" s="22" t="n"/>
    </row>
    <row r="1657">
      <c r="A1657" s="22" t="inlineStr">
        <is>
          <t>0114</t>
        </is>
      </c>
      <c r="B1657" s="11" t="inlineStr">
        <is>
          <t>Beldar</t>
        </is>
      </c>
      <c r="C1657" s="22" t="inlineStr">
        <is>
          <t>day</t>
        </is>
      </c>
      <c r="D1657" s="23" t="n">
        <v>1.56</v>
      </c>
      <c r="E1657" s="24" t="n">
        <v>558</v>
      </c>
      <c r="F1657" s="24">
        <f>D1657*E1657</f>
        <v/>
      </c>
      <c r="G1657" s="22" t="n"/>
    </row>
    <row r="1658">
      <c r="A1658" s="22" t="inlineStr">
        <is>
          <t>9999</t>
        </is>
      </c>
      <c r="B1658" s="11" t="inlineStr">
        <is>
          <t>Sundries</t>
        </is>
      </c>
      <c r="C1658" s="22" t="inlineStr">
        <is>
          <t>L.S.</t>
        </is>
      </c>
      <c r="D1658" s="23" t="n">
        <v>13</v>
      </c>
      <c r="E1658" s="24" t="n">
        <v>2</v>
      </c>
      <c r="F1658" s="24">
        <f>D1658*E1658</f>
        <v/>
      </c>
      <c r="G1658" s="22" t="n"/>
    </row>
    <row r="1659">
      <c r="A1659" s="8" t="inlineStr">
        <is>
          <t>Calculated W - SUM of the Amount column above</t>
        </is>
      </c>
      <c r="B1659" s="9" t="n"/>
      <c r="C1659" s="9" t="n"/>
      <c r="D1659" s="9" t="n"/>
      <c r="E1659" s="9" t="n"/>
      <c r="F1659" s="25">
        <f>SUM(F1654:F1658)</f>
        <v/>
      </c>
      <c r="G1659" s="9" t="n"/>
    </row>
    <row r="1660">
      <c r="A1660" s="26" t="inlineStr">
        <is>
          <t>W as printed in the DAR</t>
        </is>
      </c>
      <c r="B1660" s="22" t="n"/>
      <c r="C1660" s="22" t="n"/>
      <c r="D1660" s="22" t="n"/>
      <c r="E1660" s="22" t="n"/>
      <c r="F1660" s="27" t="n">
        <v>2424.44</v>
      </c>
      <c r="G1660" s="22" t="n"/>
    </row>
    <row r="1661">
      <c r="A1661" s="26" t="inlineStr">
        <is>
          <t>Difference (calculated - printed)</t>
        </is>
      </c>
      <c r="B1661" s="22" t="n"/>
      <c r="C1661" s="22" t="n"/>
      <c r="D1661" s="22" t="n"/>
      <c r="E1661" s="22" t="n"/>
      <c r="F1661" s="27">
        <f>F1659-F1660</f>
        <v/>
      </c>
      <c r="G1661" s="22" t="n"/>
    </row>
    <row r="1662">
      <c r="A1662" s="29" t="inlineStr">
        <is>
          <t>SAY (Rs.) - final DAR rate as printed (fixed value, not computed)</t>
        </is>
      </c>
      <c r="B1662" s="30" t="n"/>
      <c r="C1662" s="30" t="n"/>
      <c r="D1662" s="30" t="n"/>
      <c r="E1662" s="30" t="n"/>
      <c r="F1662" s="31" t="n">
        <v>324.4</v>
      </c>
      <c r="G1662" s="30" t="n"/>
    </row>
    <row r="1664" ht="33" customHeight="1">
      <c r="A1664" s="18" t="inlineStr">
        <is>
          <t>12.49</t>
        </is>
      </c>
      <c r="B1664" s="19" t="inlineStr">
        <is>
          <t>Providing &amp; laying on roof pressed clay tile ridge (Mangalore tile) of 20mm thickness and of approved pattern on steel frame work complete (steel frame work to be paid separately).</t>
        </is>
      </c>
      <c r="C1664" s="20" t="n"/>
      <c r="D1664" s="20" t="n"/>
      <c r="E1664" s="20" t="n"/>
      <c r="F1664" s="20" t="n"/>
      <c r="G1664" s="20" t="n"/>
    </row>
    <row r="1665">
      <c r="A1665" s="21" t="inlineStr">
        <is>
          <t>Details of cost for 3.6 metre   |   Source: CivilDAR_2019_Vol_1.pdf, page 881</t>
        </is>
      </c>
    </row>
    <row r="1666">
      <c r="A1666" s="5" t="inlineStr">
        <is>
          <t>Code</t>
        </is>
      </c>
      <c r="B1666" s="5" t="inlineStr">
        <is>
          <t>Description</t>
        </is>
      </c>
      <c r="C1666" s="5" t="inlineStr">
        <is>
          <t>Unit</t>
        </is>
      </c>
      <c r="D1666" s="5" t="inlineStr">
        <is>
          <t>Quantity</t>
        </is>
      </c>
      <c r="E1666" s="5" t="inlineStr">
        <is>
          <t>Rate (Rs.)</t>
        </is>
      </c>
      <c r="F1666" s="5" t="inlineStr">
        <is>
          <t>Amount (Rs.)</t>
        </is>
      </c>
      <c r="G1666" s="5" t="inlineStr">
        <is>
          <t>Note</t>
        </is>
      </c>
    </row>
    <row r="1667">
      <c r="A1667" s="22" t="inlineStr">
        <is>
          <t>8669</t>
        </is>
      </c>
      <c r="B1667" s="11" t="inlineStr">
        <is>
          <t>Mangalore ridge tiles 20 mm thick</t>
        </is>
      </c>
      <c r="C1667" s="22" t="inlineStr">
        <is>
          <t>each</t>
        </is>
      </c>
      <c r="D1667" s="23" t="n">
        <v>12</v>
      </c>
      <c r="E1667" s="24" t="n">
        <v>8</v>
      </c>
      <c r="F1667" s="24">
        <f>D1667*E1667</f>
        <v/>
      </c>
      <c r="G1667" s="22" t="n"/>
    </row>
    <row r="1668">
      <c r="A1668" s="22" t="inlineStr">
        <is>
          <t>2207</t>
        </is>
      </c>
      <c r="B1668" s="11" t="inlineStr">
        <is>
          <t>Carriage of Brick tiles</t>
        </is>
      </c>
      <c r="C1668" s="22" t="inlineStr">
        <is>
          <t>1000 Nos</t>
        </is>
      </c>
      <c r="D1668" s="23" t="n">
        <v>0.012</v>
      </c>
      <c r="E1668" s="24" t="n">
        <v>166.03</v>
      </c>
      <c r="F1668" s="24">
        <f>D1668*E1668</f>
        <v/>
      </c>
      <c r="G1668" s="22" t="n"/>
    </row>
    <row r="1669">
      <c r="A1669" s="22" t="inlineStr">
        <is>
          <t>0123</t>
        </is>
      </c>
      <c r="B1669" s="11" t="inlineStr">
        <is>
          <t>Mason (brick layer) 1st class</t>
        </is>
      </c>
      <c r="C1669" s="22" t="inlineStr">
        <is>
          <t>day</t>
        </is>
      </c>
      <c r="D1669" s="23" t="n">
        <v>0.01</v>
      </c>
      <c r="E1669" s="24" t="n">
        <v>738</v>
      </c>
      <c r="F1669" s="24">
        <f>D1669*E1669</f>
        <v/>
      </c>
      <c r="G1669" s="22" t="n"/>
    </row>
    <row r="1670">
      <c r="A1670" s="22" t="inlineStr">
        <is>
          <t>0114</t>
        </is>
      </c>
      <c r="B1670" s="11" t="inlineStr">
        <is>
          <t>Beldar</t>
        </is>
      </c>
      <c r="C1670" s="22" t="inlineStr">
        <is>
          <t>day</t>
        </is>
      </c>
      <c r="D1670" s="23" t="n">
        <v>0.15</v>
      </c>
      <c r="E1670" s="24" t="n">
        <v>558</v>
      </c>
      <c r="F1670" s="24">
        <f>D1670*E1670</f>
        <v/>
      </c>
      <c r="G1670" s="22" t="n"/>
    </row>
    <row r="1671">
      <c r="A1671" s="22" t="inlineStr">
        <is>
          <t>9999</t>
        </is>
      </c>
      <c r="B1671" s="11" t="inlineStr">
        <is>
          <t>Sundries</t>
        </is>
      </c>
      <c r="C1671" s="22" t="inlineStr">
        <is>
          <t>L.S.</t>
        </is>
      </c>
      <c r="D1671" s="23" t="n">
        <v>2.6</v>
      </c>
      <c r="E1671" s="24" t="n">
        <v>2</v>
      </c>
      <c r="F1671" s="24">
        <f>D1671*E1671</f>
        <v/>
      </c>
      <c r="G1671" s="22" t="n"/>
    </row>
    <row r="1672">
      <c r="A1672" s="8" t="inlineStr">
        <is>
          <t>Calculated W - SUM of the Amount column above</t>
        </is>
      </c>
      <c r="B1672" s="9" t="n"/>
      <c r="C1672" s="9" t="n"/>
      <c r="D1672" s="9" t="n"/>
      <c r="E1672" s="9" t="n"/>
      <c r="F1672" s="25">
        <f>SUM(F1667:F1671)</f>
        <v/>
      </c>
      <c r="G1672" s="9" t="n"/>
    </row>
    <row r="1673">
      <c r="A1673" s="26" t="inlineStr">
        <is>
          <t>W as printed in the DAR</t>
        </is>
      </c>
      <c r="B1673" s="22" t="n"/>
      <c r="C1673" s="22" t="n"/>
      <c r="D1673" s="22" t="n"/>
      <c r="E1673" s="22" t="n"/>
      <c r="F1673" s="27" t="n">
        <v>194.27</v>
      </c>
      <c r="G1673" s="22" t="n"/>
    </row>
    <row r="1674">
      <c r="A1674" s="26" t="inlineStr">
        <is>
          <t>Difference (calculated - printed)</t>
        </is>
      </c>
      <c r="B1674" s="22" t="n"/>
      <c r="C1674" s="22" t="n"/>
      <c r="D1674" s="22" t="n"/>
      <c r="E1674" s="22" t="n"/>
      <c r="F1674" s="27">
        <f>F1672-F1673</f>
        <v/>
      </c>
      <c r="G1674" s="22" t="n"/>
    </row>
    <row r="1675">
      <c r="A1675" s="29" t="inlineStr">
        <is>
          <t>SAY (Rs.) - final DAR rate as printed (fixed value, not computed)</t>
        </is>
      </c>
      <c r="B1675" s="30" t="n"/>
      <c r="C1675" s="30" t="n"/>
      <c r="D1675" s="30" t="n"/>
      <c r="E1675" s="30" t="n"/>
      <c r="F1675" s="31" t="n">
        <v>72.2</v>
      </c>
      <c r="G1675" s="30" t="n"/>
    </row>
    <row r="1677" ht="105.5" customHeight="1">
      <c r="A1677" s="18" t="inlineStr">
        <is>
          <t>12.50</t>
        </is>
      </c>
      <c r="B1677" s="19" t="inlineStr">
        <is>
          <t>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C1677" s="20" t="n"/>
      <c r="D1677" s="20" t="n"/>
      <c r="E1677" s="20" t="n"/>
      <c r="F1677" s="20" t="n"/>
      <c r="G1677" s="20" t="n"/>
    </row>
    <row r="1678">
      <c r="A1678" s="21" t="inlineStr">
        <is>
          <t>Details of cost for 216.14 sqm   |   Source: CivilDAR_2019_Vol_1.pdf, page 881</t>
        </is>
      </c>
    </row>
    <row r="1679">
      <c r="A1679" s="5" t="inlineStr">
        <is>
          <t>Code</t>
        </is>
      </c>
      <c r="B1679" s="5" t="inlineStr">
        <is>
          <t>Description</t>
        </is>
      </c>
      <c r="C1679" s="5" t="inlineStr">
        <is>
          <t>Unit</t>
        </is>
      </c>
      <c r="D1679" s="5" t="inlineStr">
        <is>
          <t>Quantity</t>
        </is>
      </c>
      <c r="E1679" s="5" t="inlineStr">
        <is>
          <t>Rate (Rs.)</t>
        </is>
      </c>
      <c r="F1679" s="5" t="inlineStr">
        <is>
          <t>Amount (Rs.)</t>
        </is>
      </c>
      <c r="G1679" s="5" t="inlineStr">
        <is>
          <t>Note</t>
        </is>
      </c>
    </row>
    <row r="1680">
      <c r="A1680" s="22" t="inlineStr">
        <is>
          <t>8671</t>
        </is>
      </c>
      <c r="B1680" s="11" t="inlineStr">
        <is>
          <t>Precoated galvanised iron profile sheet 0.50 mm TCT</t>
        </is>
      </c>
      <c r="C1680" s="22" t="inlineStr">
        <is>
          <t>sqm</t>
        </is>
      </c>
      <c r="D1680" s="23" t="n">
        <v>233.65</v>
      </c>
      <c r="E1680" s="24" t="n">
        <v>350</v>
      </c>
      <c r="F1680" s="24">
        <f>D1680*E1680</f>
        <v/>
      </c>
      <c r="G1680" s="22" t="n"/>
    </row>
    <row r="1681">
      <c r="A1681" s="22" t="inlineStr">
        <is>
          <t>9977</t>
        </is>
      </c>
      <c r="B1681" s="11" t="inlineStr">
        <is>
          <t>Carriage of sheets</t>
        </is>
      </c>
      <c r="C1681" s="22" t="inlineStr">
        <is>
          <t>L.S.</t>
        </is>
      </c>
      <c r="D1681" s="23" t="n">
        <v>104</v>
      </c>
      <c r="E1681" s="24" t="n">
        <v>2</v>
      </c>
      <c r="F1681" s="24">
        <f>D1681*E1681</f>
        <v/>
      </c>
      <c r="G1681" s="22" t="n"/>
    </row>
    <row r="1682">
      <c r="A1682" s="22" t="inlineStr">
        <is>
          <t>1023</t>
        </is>
      </c>
      <c r="B1682" s="11" t="inlineStr">
        <is>
          <t>Galvanised steel J or L hooks 8 mm dia</t>
        </is>
      </c>
      <c r="C1682" s="22" t="inlineStr">
        <is>
          <t>10 Nos</t>
        </is>
      </c>
      <c r="D1682" s="23" t="n">
        <v>47.6</v>
      </c>
      <c r="E1682" s="24" t="n">
        <v>120</v>
      </c>
      <c r="F1682" s="24">
        <f>D1682*E1682</f>
        <v/>
      </c>
      <c r="G1682" s="22" t="n"/>
    </row>
    <row r="1683">
      <c r="A1683" s="22" t="inlineStr">
        <is>
          <t>1208</t>
        </is>
      </c>
      <c r="B1683" s="11" t="inlineStr">
        <is>
          <t>Bitumen washer</t>
        </is>
      </c>
      <c r="C1683" s="22" t="inlineStr">
        <is>
          <t>100 Nos</t>
        </is>
      </c>
      <c r="D1683" s="23" t="n">
        <v>4.76</v>
      </c>
      <c r="E1683" s="24" t="n">
        <v>30</v>
      </c>
      <c r="F1683" s="24">
        <f>D1683*E1683</f>
        <v/>
      </c>
      <c r="G1683" s="22" t="n"/>
    </row>
    <row r="1684">
      <c r="A1684" s="22" t="inlineStr">
        <is>
          <t>1209</t>
        </is>
      </c>
      <c r="B1684" s="11" t="inlineStr">
        <is>
          <t>G.I. plain washer thick</t>
        </is>
      </c>
      <c r="C1684" s="22" t="inlineStr">
        <is>
          <t>100 Nos</t>
        </is>
      </c>
      <c r="D1684" s="23" t="n">
        <v>4.76</v>
      </c>
      <c r="E1684" s="24" t="n">
        <v>35</v>
      </c>
      <c r="F1684" s="24">
        <f>D1684*E1684</f>
        <v/>
      </c>
      <c r="G1684" s="22" t="n"/>
    </row>
    <row r="1685">
      <c r="A1685" s="22" t="inlineStr">
        <is>
          <t>9977</t>
        </is>
      </c>
      <c r="B1685" s="11" t="inlineStr">
        <is>
          <t>Carriage of bolts and nuts, washers etc.</t>
        </is>
      </c>
      <c r="C1685" s="22" t="inlineStr">
        <is>
          <t>L.S.</t>
        </is>
      </c>
      <c r="D1685" s="23" t="n">
        <v>8.06</v>
      </c>
      <c r="E1685" s="24" t="n">
        <v>2</v>
      </c>
      <c r="F1685" s="24">
        <f>D1685*E1685</f>
        <v/>
      </c>
      <c r="G1685" s="22" t="n"/>
    </row>
    <row r="1686">
      <c r="A1686" s="22" t="inlineStr">
        <is>
          <t>9999</t>
        </is>
      </c>
      <c r="B1686" s="11" t="inlineStr">
        <is>
          <t>Sundries</t>
        </is>
      </c>
      <c r="C1686" s="22" t="inlineStr">
        <is>
          <t>L.S.</t>
        </is>
      </c>
      <c r="D1686" s="23" t="n">
        <v>39.52</v>
      </c>
      <c r="E1686" s="24" t="n">
        <v>2</v>
      </c>
      <c r="F1686" s="24">
        <f>D1686*E1686</f>
        <v/>
      </c>
      <c r="G1686" s="22" t="n"/>
    </row>
    <row r="1687">
      <c r="A1687" s="22" t="inlineStr">
        <is>
          <t>0130</t>
        </is>
      </c>
      <c r="B1687" s="11" t="inlineStr">
        <is>
          <t>Mistry</t>
        </is>
      </c>
      <c r="C1687" s="22" t="inlineStr">
        <is>
          <t>day</t>
        </is>
      </c>
      <c r="D1687" s="23" t="n">
        <v>2.34</v>
      </c>
      <c r="E1687" s="24" t="n">
        <v>738</v>
      </c>
      <c r="F1687" s="24">
        <f>D1687*E1687</f>
        <v/>
      </c>
      <c r="G1687" s="22" t="n"/>
    </row>
    <row r="1688">
      <c r="A1688" s="22" t="inlineStr">
        <is>
          <t>0112</t>
        </is>
      </c>
      <c r="B1688" s="11" t="inlineStr">
        <is>
          <t>Carpenter 2nd class</t>
        </is>
      </c>
      <c r="C1688" s="22" t="inlineStr">
        <is>
          <t>day</t>
        </is>
      </c>
      <c r="D1688" s="23" t="n">
        <v>9.34</v>
      </c>
      <c r="E1688" s="24" t="n">
        <v>679</v>
      </c>
      <c r="F1688" s="24">
        <f>D1688*E1688</f>
        <v/>
      </c>
      <c r="G1688" s="22" t="n"/>
    </row>
    <row r="1689">
      <c r="A1689" s="22" t="inlineStr">
        <is>
          <t>0114</t>
        </is>
      </c>
      <c r="B1689" s="11" t="inlineStr">
        <is>
          <t>Beldar</t>
        </is>
      </c>
      <c r="C1689" s="22" t="inlineStr">
        <is>
          <t>day</t>
        </is>
      </c>
      <c r="D1689" s="23" t="n">
        <v>9.34</v>
      </c>
      <c r="E1689" s="24" t="n">
        <v>558</v>
      </c>
      <c r="F1689" s="24">
        <f>D1689*E1689</f>
        <v/>
      </c>
      <c r="G1689" s="22" t="n"/>
    </row>
    <row r="1690">
      <c r="A1690" s="8" t="inlineStr">
        <is>
          <t>Calculated W - SUM of the Amount column above</t>
        </is>
      </c>
      <c r="B1690" s="9" t="n"/>
      <c r="C1690" s="9" t="n"/>
      <c r="D1690" s="9" t="n"/>
      <c r="E1690" s="9" t="n"/>
      <c r="F1690" s="25">
        <f>SUM(F1680:F1689)</f>
        <v/>
      </c>
      <c r="G1690" s="9" t="n"/>
    </row>
    <row r="1691">
      <c r="A1691" s="26" t="inlineStr">
        <is>
          <t>W as printed in the DAR</t>
        </is>
      </c>
      <c r="B1691" s="22" t="n"/>
      <c r="C1691" s="22" t="n"/>
      <c r="D1691" s="22" t="n"/>
      <c r="E1691" s="22" t="n"/>
      <c r="F1691" s="27" t="n">
        <v>101382.56</v>
      </c>
      <c r="G1691" s="22" t="n"/>
    </row>
    <row r="1692">
      <c r="A1692" s="26" t="inlineStr">
        <is>
          <t>Difference (calculated - printed)</t>
        </is>
      </c>
      <c r="B1692" s="22" t="n"/>
      <c r="C1692" s="22" t="n"/>
      <c r="D1692" s="22" t="n"/>
      <c r="E1692" s="22" t="n"/>
      <c r="F1692" s="27">
        <f>F1690-F1691</f>
        <v/>
      </c>
      <c r="G1692" s="22" t="n"/>
    </row>
    <row r="1693">
      <c r="A1693" s="29" t="inlineStr">
        <is>
          <t>SAY (Rs.) - final DAR rate as printed (fixed value, not computed)</t>
        </is>
      </c>
      <c r="B1693" s="30" t="n"/>
      <c r="C1693" s="30" t="n"/>
      <c r="D1693" s="30" t="n"/>
      <c r="E1693" s="30" t="n"/>
      <c r="F1693" s="31" t="n">
        <v>627.55</v>
      </c>
      <c r="G1693" s="30" t="n"/>
    </row>
    <row r="1695" ht="47.5" customHeight="1">
      <c r="A1695" s="8" t="inlineStr">
        <is>
          <t>12.51</t>
        </is>
      </c>
      <c r="B1695"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695" s="9" t="n"/>
      <c r="D1695" s="9" t="n"/>
      <c r="E1695" s="9" t="n"/>
      <c r="F1695" s="9" t="n"/>
      <c r="G1695" s="9" t="n"/>
    </row>
    <row r="1696" ht="18.5" customHeight="1">
      <c r="A1696" s="18" t="inlineStr">
        <is>
          <t>12.51.1</t>
        </is>
      </c>
      <c r="B1696" s="19" t="inlineStr">
        <is>
          <t>Ridges plain (500 - 600mm)</t>
        </is>
      </c>
      <c r="C1696" s="20" t="n"/>
      <c r="D1696" s="20" t="n"/>
      <c r="E1696" s="20" t="n"/>
      <c r="F1696" s="20" t="n"/>
      <c r="G1696" s="20" t="n"/>
    </row>
    <row r="1697">
      <c r="A1697" s="21" t="inlineStr">
        <is>
          <t>Details of cost for 20.2 metre   |   Source: CivilDAR_2019_Vol_1.pdf, page 882</t>
        </is>
      </c>
    </row>
    <row r="1698">
      <c r="A1698" s="5" t="inlineStr">
        <is>
          <t>Code</t>
        </is>
      </c>
      <c r="B1698" s="5" t="inlineStr">
        <is>
          <t>Description</t>
        </is>
      </c>
      <c r="C1698" s="5" t="inlineStr">
        <is>
          <t>Unit</t>
        </is>
      </c>
      <c r="D1698" s="5" t="inlineStr">
        <is>
          <t>Quantity</t>
        </is>
      </c>
      <c r="E1698" s="5" t="inlineStr">
        <is>
          <t>Rate (Rs.)</t>
        </is>
      </c>
      <c r="F1698" s="5" t="inlineStr">
        <is>
          <t>Amount (Rs.)</t>
        </is>
      </c>
      <c r="G1698" s="5" t="inlineStr">
        <is>
          <t>Note</t>
        </is>
      </c>
    </row>
    <row r="1699">
      <c r="A1699" s="22" t="inlineStr">
        <is>
          <t>8672</t>
        </is>
      </c>
      <c r="B1699" s="11" t="inlineStr">
        <is>
          <t>Precoated galvanised steel plain ridges 0.50 mm TCT and 500 -600 mm wide</t>
        </is>
      </c>
      <c r="C1699" s="22" t="inlineStr">
        <is>
          <t>metre</t>
        </is>
      </c>
      <c r="D1699" s="23" t="n">
        <v>23.11</v>
      </c>
      <c r="E1699" s="24" t="n">
        <v>210</v>
      </c>
      <c r="F1699" s="24">
        <f>D1699*E1699</f>
        <v/>
      </c>
      <c r="G1699" s="22" t="n"/>
    </row>
    <row r="1700">
      <c r="A1700" s="22" t="inlineStr">
        <is>
          <t>9977</t>
        </is>
      </c>
      <c r="B1700" s="11" t="inlineStr">
        <is>
          <t>Carriage (The ridge is to be fixed with the same hooks as the Sheets)</t>
        </is>
      </c>
      <c r="C1700" s="22" t="inlineStr">
        <is>
          <t>L.S.</t>
        </is>
      </c>
      <c r="D1700" s="23" t="n">
        <v>13.52</v>
      </c>
      <c r="E1700" s="24" t="n">
        <v>2</v>
      </c>
      <c r="F1700" s="24">
        <f>D1700*E1700</f>
        <v/>
      </c>
      <c r="G1700" s="22" t="n"/>
    </row>
    <row r="1701">
      <c r="A1701" s="22" t="inlineStr">
        <is>
          <t>9999</t>
        </is>
      </c>
      <c r="B1701" s="11" t="inlineStr">
        <is>
          <t>Sundries</t>
        </is>
      </c>
      <c r="C1701" s="22" t="inlineStr">
        <is>
          <t>L.S.</t>
        </is>
      </c>
      <c r="D1701" s="23" t="n">
        <v>6.76</v>
      </c>
      <c r="E1701" s="24" t="n">
        <v>2</v>
      </c>
      <c r="F1701" s="24">
        <f>D1701*E1701</f>
        <v/>
      </c>
      <c r="G1701" s="22" t="n"/>
    </row>
    <row r="1702">
      <c r="A1702" s="22" t="inlineStr">
        <is>
          <t>0130</t>
        </is>
      </c>
      <c r="B1702" s="11" t="inlineStr">
        <is>
          <t>Mistry</t>
        </is>
      </c>
      <c r="C1702" s="22" t="inlineStr">
        <is>
          <t>day</t>
        </is>
      </c>
      <c r="D1702" s="23" t="n">
        <v>0.14</v>
      </c>
      <c r="E1702" s="24" t="n">
        <v>738</v>
      </c>
      <c r="F1702" s="24">
        <f>D1702*E1702</f>
        <v/>
      </c>
      <c r="G1702" s="22" t="n"/>
    </row>
    <row r="1703">
      <c r="A1703" s="22" t="inlineStr">
        <is>
          <t>0112</t>
        </is>
      </c>
      <c r="B1703" s="11" t="inlineStr">
        <is>
          <t>Carpenter 2nd class</t>
        </is>
      </c>
      <c r="C1703" s="22" t="inlineStr">
        <is>
          <t>day</t>
        </is>
      </c>
      <c r="D1703" s="23" t="n">
        <v>0.55</v>
      </c>
      <c r="E1703" s="24" t="n">
        <v>679</v>
      </c>
      <c r="F1703" s="24">
        <f>D1703*E1703</f>
        <v/>
      </c>
      <c r="G1703" s="22" t="n"/>
    </row>
    <row r="1704">
      <c r="A1704" s="22" t="inlineStr">
        <is>
          <t>0114</t>
        </is>
      </c>
      <c r="B1704" s="11" t="inlineStr">
        <is>
          <t>Beldar</t>
        </is>
      </c>
      <c r="C1704" s="22" t="inlineStr">
        <is>
          <t>day</t>
        </is>
      </c>
      <c r="D1704" s="23" t="n">
        <v>1.64</v>
      </c>
      <c r="E1704" s="24" t="n">
        <v>558</v>
      </c>
      <c r="F1704" s="24">
        <f>D1704*E1704</f>
        <v/>
      </c>
      <c r="G1704" s="22" t="n"/>
    </row>
    <row r="1705">
      <c r="A1705" s="8" t="inlineStr">
        <is>
          <t>Calculated W - SUM of the Amount column above</t>
        </is>
      </c>
      <c r="B1705" s="9" t="n"/>
      <c r="C1705" s="9" t="n"/>
      <c r="D1705" s="9" t="n"/>
      <c r="E1705" s="9" t="n"/>
      <c r="F1705" s="25">
        <f>SUM(F1699:F1704)</f>
        <v/>
      </c>
      <c r="G1705" s="9" t="n"/>
    </row>
    <row r="1706">
      <c r="A1706" s="26" t="inlineStr">
        <is>
          <t>W as printed in the DAR</t>
        </is>
      </c>
      <c r="B1706" s="22" t="n"/>
      <c r="C1706" s="22" t="n"/>
      <c r="D1706" s="22" t="n"/>
      <c r="E1706" s="22" t="n"/>
      <c r="F1706" s="27" t="n">
        <v>6285.55</v>
      </c>
      <c r="G1706" s="22" t="n"/>
    </row>
    <row r="1707">
      <c r="A1707" s="26" t="inlineStr">
        <is>
          <t>Difference (calculated - printed)</t>
        </is>
      </c>
      <c r="B1707" s="22" t="n"/>
      <c r="C1707" s="22" t="n"/>
      <c r="D1707" s="22" t="n"/>
      <c r="E1707" s="22" t="n"/>
      <c r="F1707" s="27">
        <f>F1705-F1706</f>
        <v/>
      </c>
      <c r="G1707" s="22" t="n"/>
    </row>
    <row r="1708">
      <c r="A1708" s="29" t="inlineStr">
        <is>
          <t>SAY (Rs.) - final DAR rate as printed (fixed value, not computed)</t>
        </is>
      </c>
      <c r="B1708" s="30" t="n"/>
      <c r="C1708" s="30" t="n"/>
      <c r="D1708" s="30" t="n"/>
      <c r="E1708" s="30" t="n"/>
      <c r="F1708" s="31" t="n">
        <v>416.3</v>
      </c>
      <c r="G1708" s="30" t="n"/>
    </row>
    <row r="1710" ht="47.5" customHeight="1">
      <c r="A1710" s="8" t="inlineStr">
        <is>
          <t>12.51</t>
        </is>
      </c>
      <c r="B1710"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710" s="9" t="n"/>
      <c r="D1710" s="9" t="n"/>
      <c r="E1710" s="9" t="n"/>
      <c r="F1710" s="9" t="n"/>
      <c r="G1710" s="9" t="n"/>
    </row>
    <row r="1711" ht="18.5" customHeight="1">
      <c r="A1711" s="18" t="inlineStr">
        <is>
          <t>12.51.2</t>
        </is>
      </c>
      <c r="B1711" s="19" t="inlineStr">
        <is>
          <t>Flashings/ Aprons.( Upto 600 mm) Details for shed of 20.2 metres completed length</t>
        </is>
      </c>
      <c r="C1711" s="20" t="n"/>
      <c r="D1711" s="20" t="n"/>
      <c r="E1711" s="20" t="n"/>
      <c r="F1711" s="20" t="n"/>
      <c r="G1711" s="20" t="n"/>
    </row>
    <row r="1712">
      <c r="A1712" s="21" t="inlineStr">
        <is>
          <t>Details of cost for 20.2 metre   |   Source: CivilDAR_2019_Vol_1.pdf, page 883</t>
        </is>
      </c>
    </row>
    <row r="1713">
      <c r="A1713" s="5" t="inlineStr">
        <is>
          <t>Code</t>
        </is>
      </c>
      <c r="B1713" s="5" t="inlineStr">
        <is>
          <t>Description</t>
        </is>
      </c>
      <c r="C1713" s="5" t="inlineStr">
        <is>
          <t>Unit</t>
        </is>
      </c>
      <c r="D1713" s="5" t="inlineStr">
        <is>
          <t>Quantity</t>
        </is>
      </c>
      <c r="E1713" s="5" t="inlineStr">
        <is>
          <t>Rate (Rs.)</t>
        </is>
      </c>
      <c r="F1713" s="5" t="inlineStr">
        <is>
          <t>Amount (Rs.)</t>
        </is>
      </c>
      <c r="G1713" s="5" t="inlineStr">
        <is>
          <t>Note</t>
        </is>
      </c>
    </row>
    <row r="1714">
      <c r="A1714" s="22" t="inlineStr">
        <is>
          <t>8673</t>
        </is>
      </c>
      <c r="B1714" s="11" t="inlineStr">
        <is>
          <t>Precoated galvanised steel flashings/ aprons 0.50mm TCT and wide upto 600 mm</t>
        </is>
      </c>
      <c r="C1714" s="22" t="inlineStr">
        <is>
          <t>metre</t>
        </is>
      </c>
      <c r="D1714" s="23" t="n">
        <v>23.11</v>
      </c>
      <c r="E1714" s="24" t="n">
        <v>210</v>
      </c>
      <c r="F1714" s="24">
        <f>D1714*E1714</f>
        <v/>
      </c>
      <c r="G1714" s="22" t="n"/>
    </row>
    <row r="1715">
      <c r="A1715" s="22" t="inlineStr">
        <is>
          <t>9977</t>
        </is>
      </c>
      <c r="B1715" s="11" t="inlineStr">
        <is>
          <t>Carriage of appron pieces. (The appron pieces are to be fixed with the same hooks as the sheets)</t>
        </is>
      </c>
      <c r="C1715" s="22" t="inlineStr">
        <is>
          <t>L.S.</t>
        </is>
      </c>
      <c r="D1715" s="23" t="n">
        <v>3.25</v>
      </c>
      <c r="E1715" s="24" t="n">
        <v>2</v>
      </c>
      <c r="F1715" s="24">
        <f>D1715*E1715</f>
        <v/>
      </c>
      <c r="G1715" s="22" t="n"/>
    </row>
    <row r="1716">
      <c r="A1716" s="22" t="inlineStr">
        <is>
          <t>9999</t>
        </is>
      </c>
      <c r="B1716" s="11" t="inlineStr">
        <is>
          <t>Sundries</t>
        </is>
      </c>
      <c r="C1716" s="22" t="inlineStr">
        <is>
          <t>L.S.</t>
        </is>
      </c>
      <c r="D1716" s="23" t="n">
        <v>3.25</v>
      </c>
      <c r="E1716" s="24" t="n">
        <v>2</v>
      </c>
      <c r="F1716" s="24">
        <f>D1716*E1716</f>
        <v/>
      </c>
      <c r="G1716" s="22" t="n"/>
    </row>
    <row r="1717">
      <c r="A1717" s="22" t="inlineStr">
        <is>
          <t>0130</t>
        </is>
      </c>
      <c r="B1717" s="11" t="inlineStr">
        <is>
          <t>Mistry</t>
        </is>
      </c>
      <c r="C1717" s="22" t="inlineStr">
        <is>
          <t>day</t>
        </is>
      </c>
      <c r="D1717" s="23" t="n">
        <v>0.07000000000000001</v>
      </c>
      <c r="E1717" s="24" t="n">
        <v>738</v>
      </c>
      <c r="F1717" s="24">
        <f>D1717*E1717</f>
        <v/>
      </c>
      <c r="G1717" s="22" t="n"/>
    </row>
    <row r="1718">
      <c r="A1718" s="22" t="inlineStr">
        <is>
          <t>0112</t>
        </is>
      </c>
      <c r="B1718" s="11" t="inlineStr">
        <is>
          <t>Carpenter 2nd class</t>
        </is>
      </c>
      <c r="C1718" s="22" t="inlineStr">
        <is>
          <t>day</t>
        </is>
      </c>
      <c r="D1718" s="23" t="n">
        <v>0.28</v>
      </c>
      <c r="E1718" s="24" t="n">
        <v>679</v>
      </c>
      <c r="F1718" s="24">
        <f>D1718*E1718</f>
        <v/>
      </c>
      <c r="G1718" s="22" t="n"/>
    </row>
    <row r="1719">
      <c r="A1719" s="22" t="inlineStr">
        <is>
          <t>0114</t>
        </is>
      </c>
      <c r="B1719" s="11" t="inlineStr">
        <is>
          <t>Beldar</t>
        </is>
      </c>
      <c r="C1719" s="22" t="inlineStr">
        <is>
          <t>day</t>
        </is>
      </c>
      <c r="D1719" s="23" t="n">
        <v>0.82</v>
      </c>
      <c r="E1719" s="24" t="n">
        <v>558</v>
      </c>
      <c r="F1719" s="24">
        <f>D1719*E1719</f>
        <v/>
      </c>
      <c r="G1719" s="22" t="n"/>
    </row>
    <row r="1720">
      <c r="A1720" s="8" t="inlineStr">
        <is>
          <t>Calculated W - SUM of the Amount column above</t>
        </is>
      </c>
      <c r="B1720" s="9" t="n"/>
      <c r="C1720" s="9" t="n"/>
      <c r="D1720" s="9" t="n"/>
      <c r="E1720" s="9" t="n"/>
      <c r="F1720" s="25">
        <f>SUM(F1714:F1719)</f>
        <v/>
      </c>
      <c r="G1720" s="9" t="n"/>
    </row>
    <row r="1721">
      <c r="A1721" s="26" t="inlineStr">
        <is>
          <t>W as printed in the DAR</t>
        </is>
      </c>
      <c r="B1721" s="22" t="n"/>
      <c r="C1721" s="22" t="n"/>
      <c r="D1721" s="22" t="n"/>
      <c r="E1721" s="22" t="n"/>
      <c r="F1721" s="27" t="n">
        <v>5565.44</v>
      </c>
      <c r="G1721" s="22" t="n"/>
    </row>
    <row r="1722">
      <c r="A1722" s="26" t="inlineStr">
        <is>
          <t>Difference (calculated - printed)</t>
        </is>
      </c>
      <c r="B1722" s="22" t="n"/>
      <c r="C1722" s="22" t="n"/>
      <c r="D1722" s="22" t="n"/>
      <c r="E1722" s="22" t="n"/>
      <c r="F1722" s="27">
        <f>F1720-F1721</f>
        <v/>
      </c>
      <c r="G1722" s="22" t="n"/>
    </row>
    <row r="1723">
      <c r="A1723" s="29" t="inlineStr">
        <is>
          <t>SAY (Rs.) - final DAR rate as printed (fixed value, not computed)</t>
        </is>
      </c>
      <c r="B1723" s="30" t="n"/>
      <c r="C1723" s="30" t="n"/>
      <c r="D1723" s="30" t="n"/>
      <c r="E1723" s="30" t="n"/>
      <c r="F1723" s="31" t="n">
        <v>368.6</v>
      </c>
      <c r="G1723" s="30" t="n"/>
    </row>
    <row r="1725" ht="47.5" customHeight="1">
      <c r="A1725" s="8" t="inlineStr">
        <is>
          <t>12.51</t>
        </is>
      </c>
      <c r="B1725"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725" s="9" t="n"/>
      <c r="D1725" s="9" t="n"/>
      <c r="E1725" s="9" t="n"/>
      <c r="F1725" s="9" t="n"/>
      <c r="G1725" s="9" t="n"/>
    </row>
    <row r="1726" ht="18.5" customHeight="1">
      <c r="A1726" s="18" t="inlineStr">
        <is>
          <t>12.51.3</t>
        </is>
      </c>
      <c r="B1726" s="19" t="inlineStr">
        <is>
          <t>North light curves Details of North light curve 20.20 metres long complete length</t>
        </is>
      </c>
      <c r="C1726" s="20" t="n"/>
      <c r="D1726" s="20" t="n"/>
      <c r="E1726" s="20" t="n"/>
      <c r="F1726" s="20" t="n"/>
      <c r="G1726" s="20" t="n"/>
    </row>
    <row r="1727">
      <c r="A1727" s="21" t="inlineStr">
        <is>
          <t>Details of cost for 20.2 metre   |   Source: CivilDAR_2019_Vol_1.pdf, page 884</t>
        </is>
      </c>
    </row>
    <row r="1728">
      <c r="A1728" s="5" t="inlineStr">
        <is>
          <t>Code</t>
        </is>
      </c>
      <c r="B1728" s="5" t="inlineStr">
        <is>
          <t>Description</t>
        </is>
      </c>
      <c r="C1728" s="5" t="inlineStr">
        <is>
          <t>Unit</t>
        </is>
      </c>
      <c r="D1728" s="5" t="inlineStr">
        <is>
          <t>Quantity</t>
        </is>
      </c>
      <c r="E1728" s="5" t="inlineStr">
        <is>
          <t>Rate (Rs.)</t>
        </is>
      </c>
      <c r="F1728" s="5" t="inlineStr">
        <is>
          <t>Amount (Rs.)</t>
        </is>
      </c>
      <c r="G1728" s="5" t="inlineStr">
        <is>
          <t>Note</t>
        </is>
      </c>
    </row>
    <row r="1729">
      <c r="A1729" s="22" t="inlineStr">
        <is>
          <t>8675</t>
        </is>
      </c>
      <c r="B1729" s="11" t="inlineStr">
        <is>
          <t>Precoated galvanised steel north light curves</t>
        </is>
      </c>
      <c r="C1729" s="22" t="inlineStr">
        <is>
          <t>metre</t>
        </is>
      </c>
      <c r="D1729" s="23" t="n">
        <v>23.11</v>
      </c>
      <c r="E1729" s="24" t="n">
        <v>230</v>
      </c>
      <c r="F1729" s="24">
        <f>D1729*E1729</f>
        <v/>
      </c>
      <c r="G1729" s="22" t="n"/>
    </row>
    <row r="1730">
      <c r="A1730" s="22" t="inlineStr">
        <is>
          <t>1023</t>
        </is>
      </c>
      <c r="B1730" s="11" t="inlineStr">
        <is>
          <t>Galvanised steel J or L hooks 8 mm dia</t>
        </is>
      </c>
      <c r="C1730" s="22" t="inlineStr">
        <is>
          <t>10 Nos</t>
        </is>
      </c>
      <c r="D1730" s="23" t="n">
        <v>4</v>
      </c>
      <c r="E1730" s="24" t="n">
        <v>120</v>
      </c>
      <c r="F1730" s="24">
        <f>D1730*E1730</f>
        <v/>
      </c>
      <c r="G1730" s="22" t="n"/>
    </row>
    <row r="1731">
      <c r="A1731" s="22" t="inlineStr">
        <is>
          <t>1209</t>
        </is>
      </c>
      <c r="B1731" s="11" t="inlineStr">
        <is>
          <t>G.I. plain washer thick</t>
        </is>
      </c>
      <c r="C1731" s="22" t="inlineStr">
        <is>
          <t>100 Nos</t>
        </is>
      </c>
      <c r="D1731" s="23" t="n">
        <v>0.4</v>
      </c>
      <c r="E1731" s="24" t="n">
        <v>35</v>
      </c>
      <c r="F1731" s="24">
        <f>D1731*E1731</f>
        <v/>
      </c>
      <c r="G1731" s="22" t="n"/>
    </row>
    <row r="1732">
      <c r="A1732" s="22" t="inlineStr">
        <is>
          <t>1208</t>
        </is>
      </c>
      <c r="B1732" s="11" t="inlineStr">
        <is>
          <t>Bitumen washer</t>
        </is>
      </c>
      <c r="C1732" s="22" t="inlineStr">
        <is>
          <t>100 Nos</t>
        </is>
      </c>
      <c r="D1732" s="23" t="n">
        <v>0.4</v>
      </c>
      <c r="E1732" s="24" t="n">
        <v>30</v>
      </c>
      <c r="F1732" s="24">
        <f>D1732*E1732</f>
        <v/>
      </c>
      <c r="G1732" s="22" t="n"/>
    </row>
    <row r="1733">
      <c r="A1733" s="22" t="inlineStr">
        <is>
          <t>9977</t>
        </is>
      </c>
      <c r="B1733" s="11" t="inlineStr">
        <is>
          <t>Carriage of hooks, nuts, washers and curves</t>
        </is>
      </c>
      <c r="C1733" s="22" t="inlineStr">
        <is>
          <t>L.S.</t>
        </is>
      </c>
      <c r="D1733" s="23" t="n">
        <v>9.880000000000001</v>
      </c>
      <c r="E1733" s="24" t="n">
        <v>2</v>
      </c>
      <c r="F1733" s="24">
        <f>D1733*E1733</f>
        <v/>
      </c>
      <c r="G1733" s="22" t="n"/>
    </row>
    <row r="1734">
      <c r="A1734" s="22" t="inlineStr">
        <is>
          <t>9999</t>
        </is>
      </c>
      <c r="B1734" s="11" t="inlineStr">
        <is>
          <t>Sundries</t>
        </is>
      </c>
      <c r="C1734" s="22" t="inlineStr">
        <is>
          <t>L.S.</t>
        </is>
      </c>
      <c r="D1734" s="23" t="n">
        <v>6.24</v>
      </c>
      <c r="E1734" s="24" t="n">
        <v>2</v>
      </c>
      <c r="F1734" s="24">
        <f>D1734*E1734</f>
        <v/>
      </c>
      <c r="G1734" s="22" t="n"/>
    </row>
    <row r="1735">
      <c r="A1735" s="22" t="inlineStr">
        <is>
          <t>0130</t>
        </is>
      </c>
      <c r="B1735" s="11" t="inlineStr">
        <is>
          <t>Mistry</t>
        </is>
      </c>
      <c r="C1735" s="22" t="inlineStr">
        <is>
          <t>day</t>
        </is>
      </c>
      <c r="D1735" s="23" t="n">
        <v>0.1</v>
      </c>
      <c r="E1735" s="24" t="n">
        <v>738</v>
      </c>
      <c r="F1735" s="24">
        <f>D1735*E1735</f>
        <v/>
      </c>
      <c r="G1735" s="22" t="n"/>
    </row>
    <row r="1736">
      <c r="A1736" s="22" t="inlineStr">
        <is>
          <t>0112</t>
        </is>
      </c>
      <c r="B1736" s="11" t="inlineStr">
        <is>
          <t>Carpenter 2nd class</t>
        </is>
      </c>
      <c r="C1736" s="22" t="inlineStr">
        <is>
          <t>day</t>
        </is>
      </c>
      <c r="D1736" s="23" t="n">
        <v>0.3</v>
      </c>
      <c r="E1736" s="24" t="n">
        <v>679</v>
      </c>
      <c r="F1736" s="24">
        <f>D1736*E1736</f>
        <v/>
      </c>
      <c r="G1736" s="22" t="n"/>
    </row>
    <row r="1737">
      <c r="A1737" s="22" t="inlineStr">
        <is>
          <t>0114</t>
        </is>
      </c>
      <c r="B1737" s="11" t="inlineStr">
        <is>
          <t>Beldar</t>
        </is>
      </c>
      <c r="C1737" s="22" t="inlineStr">
        <is>
          <t>day</t>
        </is>
      </c>
      <c r="D1737" s="23" t="n">
        <v>1</v>
      </c>
      <c r="E1737" s="24" t="n">
        <v>558</v>
      </c>
      <c r="F1737" s="24">
        <f>D1737*E1737</f>
        <v/>
      </c>
      <c r="G1737" s="22" t="n"/>
    </row>
    <row r="1738">
      <c r="A1738" s="8" t="inlineStr">
        <is>
          <t>Calculated W - SUM of the Amount column above</t>
        </is>
      </c>
      <c r="B1738" s="9" t="n"/>
      <c r="C1738" s="9" t="n"/>
      <c r="D1738" s="9" t="n"/>
      <c r="E1738" s="9" t="n"/>
      <c r="F1738" s="25">
        <f>SUM(F1729:F1737)</f>
        <v/>
      </c>
      <c r="G1738" s="9" t="n"/>
    </row>
    <row r="1739">
      <c r="A1739" s="26" t="inlineStr">
        <is>
          <t>W as printed in the DAR</t>
        </is>
      </c>
      <c r="B1739" s="22" t="n"/>
      <c r="C1739" s="22" t="n"/>
      <c r="D1739" s="22" t="n"/>
      <c r="E1739" s="22" t="n"/>
      <c r="F1739" s="27" t="n">
        <v>6689.04</v>
      </c>
      <c r="G1739" s="22" t="n"/>
    </row>
    <row r="1740">
      <c r="A1740" s="26" t="inlineStr">
        <is>
          <t>Difference (calculated - printed)</t>
        </is>
      </c>
      <c r="B1740" s="22" t="n"/>
      <c r="C1740" s="22" t="n"/>
      <c r="D1740" s="22" t="n"/>
      <c r="E1740" s="22" t="n"/>
      <c r="F1740" s="27">
        <f>F1738-F1739</f>
        <v/>
      </c>
      <c r="G1740" s="22" t="n"/>
    </row>
    <row r="1741">
      <c r="A1741" s="29" t="inlineStr">
        <is>
          <t>SAY (Rs.) - final DAR rate as printed (fixed value, not computed)</t>
        </is>
      </c>
      <c r="B1741" s="30" t="n"/>
      <c r="C1741" s="30" t="n"/>
      <c r="D1741" s="30" t="n"/>
      <c r="E1741" s="30" t="n"/>
      <c r="F1741" s="31" t="n">
        <v>443.05</v>
      </c>
      <c r="G1741" s="30" t="n"/>
    </row>
    <row r="1743" ht="47.5" customHeight="1">
      <c r="A1743" s="8" t="inlineStr">
        <is>
          <t>12.51</t>
        </is>
      </c>
      <c r="B1743"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743" s="9" t="n"/>
      <c r="D1743" s="9" t="n"/>
      <c r="E1743" s="9" t="n"/>
      <c r="F1743" s="9" t="n"/>
      <c r="G1743" s="9" t="n"/>
    </row>
    <row r="1744" ht="18.5" customHeight="1">
      <c r="A1744" s="18" t="inlineStr">
        <is>
          <t>12.51.4</t>
        </is>
      </c>
      <c r="B1744" s="19" t="inlineStr">
        <is>
          <t>Barge board (Upto 300 mm)</t>
        </is>
      </c>
      <c r="C1744" s="20" t="n"/>
      <c r="D1744" s="20" t="n"/>
      <c r="E1744" s="20" t="n"/>
      <c r="F1744" s="20" t="n"/>
      <c r="G1744" s="20" t="n"/>
    </row>
    <row r="1745">
      <c r="A1745" s="21" t="inlineStr">
        <is>
          <t>Details of cost for 8.23 metre   |   Source: CivilDAR_2019_Vol_1.pdf, page 884</t>
        </is>
      </c>
    </row>
    <row r="1746">
      <c r="A1746" s="5" t="inlineStr">
        <is>
          <t>Code</t>
        </is>
      </c>
      <c r="B1746" s="5" t="inlineStr">
        <is>
          <t>Description</t>
        </is>
      </c>
      <c r="C1746" s="5" t="inlineStr">
        <is>
          <t>Unit</t>
        </is>
      </c>
      <c r="D1746" s="5" t="inlineStr">
        <is>
          <t>Quantity</t>
        </is>
      </c>
      <c r="E1746" s="5" t="inlineStr">
        <is>
          <t>Rate (Rs.)</t>
        </is>
      </c>
      <c r="F1746" s="5" t="inlineStr">
        <is>
          <t>Amount (Rs.)</t>
        </is>
      </c>
      <c r="G1746" s="5" t="inlineStr">
        <is>
          <t>Note</t>
        </is>
      </c>
    </row>
    <row r="1747">
      <c r="A1747" s="22" t="inlineStr">
        <is>
          <t>8676</t>
        </is>
      </c>
      <c r="B1747" s="11" t="inlineStr">
        <is>
          <t>Precoated galvanised steel barge board</t>
        </is>
      </c>
      <c r="C1747" s="22" t="inlineStr">
        <is>
          <t>metre</t>
        </is>
      </c>
      <c r="D1747" s="23" t="n">
        <v>8.640000000000001</v>
      </c>
      <c r="E1747" s="24" t="n">
        <v>215</v>
      </c>
      <c r="F1747" s="24">
        <f>D1747*E1747</f>
        <v/>
      </c>
      <c r="G1747" s="22" t="n"/>
    </row>
    <row r="1748">
      <c r="A1748" s="22" t="inlineStr">
        <is>
          <t>0222</t>
        </is>
      </c>
      <c r="B1748" s="11" t="inlineStr">
        <is>
          <t>Seam bolts and nuts 6 mm dia and 25 mm long</t>
        </is>
      </c>
      <c r="C1748" s="22" t="inlineStr">
        <is>
          <t>10 Nos</t>
        </is>
      </c>
      <c r="D1748" s="23" t="n">
        <v>0.5</v>
      </c>
      <c r="E1748" s="24" t="n">
        <v>10</v>
      </c>
      <c r="F1748" s="24">
        <f>D1748*E1748</f>
        <v/>
      </c>
      <c r="G1748" s="22" t="n"/>
    </row>
    <row r="1749">
      <c r="A1749" s="22" t="inlineStr">
        <is>
          <t>1211</t>
        </is>
      </c>
      <c r="B1749" s="11" t="inlineStr">
        <is>
          <t>G.I. plain washer for seam bolts</t>
        </is>
      </c>
      <c r="C1749" s="22" t="inlineStr">
        <is>
          <t>100 Nos</t>
        </is>
      </c>
      <c r="D1749" s="23" t="n">
        <v>0.1</v>
      </c>
      <c r="E1749" s="24" t="n">
        <v>32</v>
      </c>
      <c r="F1749" s="24">
        <f>D1749*E1749</f>
        <v/>
      </c>
      <c r="G1749" s="22" t="n"/>
    </row>
    <row r="1750">
      <c r="A1750" s="22" t="inlineStr">
        <is>
          <t>1208</t>
        </is>
      </c>
      <c r="B1750" s="11" t="inlineStr">
        <is>
          <t>Bitumen washer</t>
        </is>
      </c>
      <c r="C1750" s="22" t="inlineStr">
        <is>
          <t>100 Nos</t>
        </is>
      </c>
      <c r="D1750" s="23" t="n">
        <v>0.05</v>
      </c>
      <c r="E1750" s="24" t="n">
        <v>30</v>
      </c>
      <c r="F1750" s="24">
        <f>D1750*E1750</f>
        <v/>
      </c>
      <c r="G1750" s="22" t="n"/>
    </row>
    <row r="1751">
      <c r="A1751" s="22" t="inlineStr">
        <is>
          <t>9977</t>
        </is>
      </c>
      <c r="B1751" s="11" t="inlineStr">
        <is>
          <t>Carriage of barge boards, bolts, nuts and washers</t>
        </is>
      </c>
      <c r="C1751" s="22" t="inlineStr">
        <is>
          <t>L.S.</t>
        </is>
      </c>
      <c r="D1751" s="23" t="n">
        <v>9.359999999999999</v>
      </c>
      <c r="E1751" s="24" t="n">
        <v>2</v>
      </c>
      <c r="F1751" s="24">
        <f>D1751*E1751</f>
        <v/>
      </c>
      <c r="G1751" s="34" t="inlineStr">
        <is>
          <t>DAR prints 16.19; Quantity x Rate = 18.72</t>
        </is>
      </c>
    </row>
    <row r="1752">
      <c r="A1752" s="22" t="inlineStr">
        <is>
          <t>9999</t>
        </is>
      </c>
      <c r="B1752" s="11" t="inlineStr">
        <is>
          <t>Sundries</t>
        </is>
      </c>
      <c r="C1752" s="22" t="inlineStr">
        <is>
          <t>L.S.</t>
        </is>
      </c>
      <c r="D1752" s="23" t="n">
        <v>6.76</v>
      </c>
      <c r="E1752" s="24" t="n">
        <v>2</v>
      </c>
      <c r="F1752" s="24">
        <f>D1752*E1752</f>
        <v/>
      </c>
      <c r="G1752" s="34" t="inlineStr">
        <is>
          <t>DAR prints 11.69; Quantity x Rate = 13.52</t>
        </is>
      </c>
    </row>
    <row r="1753">
      <c r="A1753" s="22" t="inlineStr">
        <is>
          <t>0130</t>
        </is>
      </c>
      <c r="B1753" s="11" t="inlineStr">
        <is>
          <t>Mistry</t>
        </is>
      </c>
      <c r="C1753" s="22" t="inlineStr">
        <is>
          <t>day</t>
        </is>
      </c>
      <c r="D1753" s="23" t="n">
        <v>0.04</v>
      </c>
      <c r="E1753" s="24" t="n">
        <v>738</v>
      </c>
      <c r="F1753" s="24">
        <f>D1753*E1753</f>
        <v/>
      </c>
      <c r="G1753" s="22" t="n"/>
    </row>
    <row r="1754">
      <c r="A1754" s="22" t="inlineStr">
        <is>
          <t>0112</t>
        </is>
      </c>
      <c r="B1754" s="11" t="inlineStr">
        <is>
          <t>Carpenter 2nd class</t>
        </is>
      </c>
      <c r="C1754" s="22" t="inlineStr">
        <is>
          <t>day</t>
        </is>
      </c>
      <c r="D1754" s="23" t="n">
        <v>0.06</v>
      </c>
      <c r="E1754" s="24" t="n">
        <v>679</v>
      </c>
      <c r="F1754" s="24">
        <f>D1754*E1754</f>
        <v/>
      </c>
      <c r="G1754" s="22" t="n"/>
    </row>
    <row r="1755">
      <c r="A1755" s="22" t="inlineStr">
        <is>
          <t>0114</t>
        </is>
      </c>
      <c r="B1755" s="11" t="inlineStr">
        <is>
          <t>Beldar</t>
        </is>
      </c>
      <c r="C1755" s="22" t="inlineStr">
        <is>
          <t>day</t>
        </is>
      </c>
      <c r="D1755" s="23" t="n">
        <v>0.4</v>
      </c>
      <c r="E1755" s="24" t="n">
        <v>558</v>
      </c>
      <c r="F1755" s="24">
        <f>D1755*E1755</f>
        <v/>
      </c>
      <c r="G1755" s="22" t="n"/>
    </row>
    <row r="1756">
      <c r="A1756" s="8" t="inlineStr">
        <is>
          <t>Calculated W - SUM of the Amount column above</t>
        </is>
      </c>
      <c r="B1756" s="9" t="n"/>
      <c r="C1756" s="9" t="n"/>
      <c r="D1756" s="9" t="n"/>
      <c r="E1756" s="9" t="n"/>
      <c r="F1756" s="25">
        <f>SUM(F1747:F1755)</f>
        <v/>
      </c>
      <c r="G1756" s="9" t="n"/>
    </row>
    <row r="1757">
      <c r="A1757" s="26" t="inlineStr">
        <is>
          <t>W as printed in the DAR</t>
        </is>
      </c>
      <c r="B1757" s="22" t="n"/>
      <c r="C1757" s="22" t="n"/>
      <c r="D1757" s="22" t="n"/>
      <c r="E1757" s="22" t="n"/>
      <c r="F1757" s="27" t="n">
        <v>2188.64</v>
      </c>
      <c r="G1757" s="22" t="n"/>
    </row>
    <row r="1758">
      <c r="A1758" s="26" t="inlineStr">
        <is>
          <t>Difference (calculated - printed)</t>
        </is>
      </c>
      <c r="B1758" s="22" t="n"/>
      <c r="C1758" s="22" t="n"/>
      <c r="D1758" s="22" t="n"/>
      <c r="E1758" s="22" t="n"/>
      <c r="F1758" s="27">
        <f>F1756-F1757</f>
        <v/>
      </c>
      <c r="G1758" s="28" t="inlineStr">
        <is>
          <t>DAR's own arithmetic slip(s) - see Cover errata</t>
        </is>
      </c>
    </row>
    <row r="1759">
      <c r="A1759" s="29" t="inlineStr">
        <is>
          <t>SAY (Rs.) - final DAR rate as printed (fixed value, not computed)</t>
        </is>
      </c>
      <c r="B1759" s="30" t="n"/>
      <c r="C1759" s="30" t="n"/>
      <c r="D1759" s="30" t="n"/>
      <c r="E1759" s="30" t="n"/>
      <c r="F1759" s="31" t="n">
        <v>355.8</v>
      </c>
      <c r="G1759" s="30" t="n"/>
    </row>
    <row r="1761" ht="47.5" customHeight="1">
      <c r="A1761" s="8" t="inlineStr">
        <is>
          <t>12.51</t>
        </is>
      </c>
      <c r="B1761"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761" s="9" t="n"/>
      <c r="D1761" s="9" t="n"/>
      <c r="E1761" s="9" t="n"/>
      <c r="F1761" s="9" t="n"/>
      <c r="G1761" s="9" t="n"/>
    </row>
    <row r="1762" ht="18.5" customHeight="1">
      <c r="A1762" s="18" t="inlineStr">
        <is>
          <t>12.51.5</t>
        </is>
      </c>
      <c r="B1762" s="19" t="inlineStr">
        <is>
          <t>Crimp curve Details of crimp curve 20.2 metres long complete length, Area 20.20 x</t>
        </is>
      </c>
      <c r="C1762" s="20" t="n"/>
      <c r="D1762" s="20" t="n"/>
      <c r="E1762" s="20" t="n"/>
      <c r="F1762" s="20" t="n"/>
      <c r="G1762" s="20" t="n"/>
    </row>
    <row r="1763">
      <c r="A1763" s="21" t="inlineStr">
        <is>
          <t>Details of cost for 21.412 sqm   |   Source: CivilDAR_2019_Vol_1.pdf, page 885</t>
        </is>
      </c>
    </row>
    <row r="1764">
      <c r="A1764" s="5" t="inlineStr">
        <is>
          <t>Code</t>
        </is>
      </c>
      <c r="B1764" s="5" t="inlineStr">
        <is>
          <t>Description</t>
        </is>
      </c>
      <c r="C1764" s="5" t="inlineStr">
        <is>
          <t>Unit</t>
        </is>
      </c>
      <c r="D1764" s="5" t="inlineStr">
        <is>
          <t>Quantity</t>
        </is>
      </c>
      <c r="E1764" s="5" t="inlineStr">
        <is>
          <t>Rate (Rs.)</t>
        </is>
      </c>
      <c r="F1764" s="5" t="inlineStr">
        <is>
          <t>Amount (Rs.)</t>
        </is>
      </c>
      <c r="G1764" s="5" t="inlineStr">
        <is>
          <t>Note</t>
        </is>
      </c>
    </row>
    <row r="1765">
      <c r="A1765" s="22" t="inlineStr">
        <is>
          <t>8677</t>
        </is>
      </c>
      <c r="B1765" s="11" t="inlineStr">
        <is>
          <t>Precoated galvanised steel crimp curve</t>
        </is>
      </c>
      <c r="C1765" s="22" t="inlineStr">
        <is>
          <t>sqm</t>
        </is>
      </c>
      <c r="D1765" s="23" t="n">
        <v>22.483</v>
      </c>
      <c r="E1765" s="24" t="n">
        <v>230</v>
      </c>
      <c r="F1765" s="24">
        <f>D1765*E1765</f>
        <v/>
      </c>
      <c r="G1765" s="22" t="n"/>
    </row>
    <row r="1766">
      <c r="A1766" s="22" t="inlineStr">
        <is>
          <t>1023</t>
        </is>
      </c>
      <c r="B1766" s="11" t="inlineStr">
        <is>
          <t>Galvanised steel J or L hooks 8 mm dia</t>
        </is>
      </c>
      <c r="C1766" s="22" t="inlineStr">
        <is>
          <t>10 Nos</t>
        </is>
      </c>
      <c r="D1766" s="23" t="n">
        <v>4</v>
      </c>
      <c r="E1766" s="24" t="n">
        <v>120</v>
      </c>
      <c r="F1766" s="24">
        <f>D1766*E1766</f>
        <v/>
      </c>
      <c r="G1766" s="22" t="n"/>
    </row>
    <row r="1767">
      <c r="A1767" s="22" t="inlineStr">
        <is>
          <t>1209</t>
        </is>
      </c>
      <c r="B1767" s="11" t="inlineStr">
        <is>
          <t>G.I. plain washer thick</t>
        </is>
      </c>
      <c r="C1767" s="22" t="inlineStr">
        <is>
          <t>100 Nos</t>
        </is>
      </c>
      <c r="D1767" s="23" t="n">
        <v>0.4</v>
      </c>
      <c r="E1767" s="24" t="n">
        <v>35</v>
      </c>
      <c r="F1767" s="24">
        <f>D1767*E1767</f>
        <v/>
      </c>
      <c r="G1767" s="22" t="n"/>
    </row>
    <row r="1768">
      <c r="A1768" s="22" t="inlineStr">
        <is>
          <t>1208</t>
        </is>
      </c>
      <c r="B1768" s="11" t="inlineStr">
        <is>
          <t>Bitumen washer</t>
        </is>
      </c>
      <c r="C1768" s="22" t="inlineStr">
        <is>
          <t>100 Nos</t>
        </is>
      </c>
      <c r="D1768" s="23" t="n">
        <v>0.4</v>
      </c>
      <c r="E1768" s="24" t="n">
        <v>30</v>
      </c>
      <c r="F1768" s="24">
        <f>D1768*E1768</f>
        <v/>
      </c>
      <c r="G1768" s="22" t="n"/>
    </row>
    <row r="1769">
      <c r="A1769" s="22" t="inlineStr">
        <is>
          <t>9977</t>
        </is>
      </c>
      <c r="B1769" s="11" t="inlineStr">
        <is>
          <t>Carriage of hooks, nuts, washers and curves</t>
        </is>
      </c>
      <c r="C1769" s="22" t="inlineStr">
        <is>
          <t>L.S.</t>
        </is>
      </c>
      <c r="D1769" s="23" t="n">
        <v>9.880000000000001</v>
      </c>
      <c r="E1769" s="24" t="n">
        <v>2</v>
      </c>
      <c r="F1769" s="24">
        <f>D1769*E1769</f>
        <v/>
      </c>
      <c r="G1769" s="22" t="n"/>
    </row>
    <row r="1770">
      <c r="A1770" s="22" t="inlineStr">
        <is>
          <t>9999</t>
        </is>
      </c>
      <c r="B1770" s="11" t="inlineStr">
        <is>
          <t>Sundries</t>
        </is>
      </c>
      <c r="C1770" s="22" t="inlineStr">
        <is>
          <t>L.S.</t>
        </is>
      </c>
      <c r="D1770" s="23" t="n">
        <v>6.24</v>
      </c>
      <c r="E1770" s="24" t="n">
        <v>2</v>
      </c>
      <c r="F1770" s="24">
        <f>D1770*E1770</f>
        <v/>
      </c>
      <c r="G1770" s="22" t="n"/>
    </row>
    <row r="1771">
      <c r="A1771" s="22" t="inlineStr">
        <is>
          <t>0130</t>
        </is>
      </c>
      <c r="B1771" s="11" t="inlineStr">
        <is>
          <t>Mistry</t>
        </is>
      </c>
      <c r="C1771" s="22" t="inlineStr">
        <is>
          <t>day</t>
        </is>
      </c>
      <c r="D1771" s="23" t="n">
        <v>0.1</v>
      </c>
      <c r="E1771" s="24" t="n">
        <v>738</v>
      </c>
      <c r="F1771" s="24">
        <f>D1771*E1771</f>
        <v/>
      </c>
      <c r="G1771" s="22" t="n"/>
    </row>
    <row r="1772">
      <c r="A1772" s="22" t="inlineStr">
        <is>
          <t>0112</t>
        </is>
      </c>
      <c r="B1772" s="11" t="inlineStr">
        <is>
          <t>Carpenter 2nd class</t>
        </is>
      </c>
      <c r="C1772" s="22" t="inlineStr">
        <is>
          <t>day</t>
        </is>
      </c>
      <c r="D1772" s="23" t="n">
        <v>0.3</v>
      </c>
      <c r="E1772" s="24" t="n">
        <v>679</v>
      </c>
      <c r="F1772" s="24">
        <f>D1772*E1772</f>
        <v/>
      </c>
      <c r="G1772" s="22" t="n"/>
    </row>
    <row r="1773">
      <c r="A1773" s="22" t="inlineStr">
        <is>
          <t>0114</t>
        </is>
      </c>
      <c r="B1773" s="11" t="inlineStr">
        <is>
          <t>Beldar</t>
        </is>
      </c>
      <c r="C1773" s="22" t="inlineStr">
        <is>
          <t>day</t>
        </is>
      </c>
      <c r="D1773" s="23" t="n">
        <v>1</v>
      </c>
      <c r="E1773" s="24" t="n">
        <v>558</v>
      </c>
      <c r="F1773" s="24">
        <f>D1773*E1773</f>
        <v/>
      </c>
      <c r="G1773" s="22" t="n"/>
    </row>
    <row r="1774">
      <c r="A1774" s="8" t="inlineStr">
        <is>
          <t>Calculated W - SUM of the Amount column above</t>
        </is>
      </c>
      <c r="B1774" s="9" t="n"/>
      <c r="C1774" s="9" t="n"/>
      <c r="D1774" s="9" t="n"/>
      <c r="E1774" s="9" t="n"/>
      <c r="F1774" s="25">
        <f>SUM(F1765:F1773)</f>
        <v/>
      </c>
      <c r="G1774" s="9" t="n"/>
    </row>
    <row r="1775">
      <c r="A1775" s="26" t="inlineStr">
        <is>
          <t>W as printed in the DAR</t>
        </is>
      </c>
      <c r="B1775" s="22" t="n"/>
      <c r="C1775" s="22" t="n"/>
      <c r="D1775" s="22" t="n"/>
      <c r="E1775" s="22" t="n"/>
      <c r="F1775" s="27" t="n">
        <v>6544.83</v>
      </c>
      <c r="G1775" s="22" t="n"/>
    </row>
    <row r="1776">
      <c r="A1776" s="26" t="inlineStr">
        <is>
          <t>Difference (calculated - printed)</t>
        </is>
      </c>
      <c r="B1776" s="22" t="n"/>
      <c r="C1776" s="22" t="n"/>
      <c r="D1776" s="22" t="n"/>
      <c r="E1776" s="22" t="n"/>
      <c r="F1776" s="27">
        <f>F1774-F1775</f>
        <v/>
      </c>
      <c r="G1776" s="22" t="n"/>
    </row>
    <row r="1777">
      <c r="A1777" s="29" t="inlineStr">
        <is>
          <t>SAY (Rs.) - final DAR rate as printed (fixed value, not computed)</t>
        </is>
      </c>
      <c r="B1777" s="30" t="n"/>
      <c r="C1777" s="30" t="n"/>
      <c r="D1777" s="30" t="n"/>
      <c r="E1777" s="30" t="n"/>
      <c r="F1777" s="31" t="n">
        <v>408.95</v>
      </c>
      <c r="G1777" s="30" t="n"/>
    </row>
    <row r="1779" ht="47.5" customHeight="1">
      <c r="A1779" s="8" t="inlineStr">
        <is>
          <t>12.51</t>
        </is>
      </c>
      <c r="B1779" s="17"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t>
        </is>
      </c>
      <c r="C1779" s="9" t="n"/>
      <c r="D1779" s="9" t="n"/>
      <c r="E1779" s="9" t="n"/>
      <c r="F1779" s="9" t="n"/>
      <c r="G1779" s="9" t="n"/>
    </row>
    <row r="1780" ht="18.5" customHeight="1">
      <c r="A1780" s="18" t="inlineStr">
        <is>
          <t>12.51.6</t>
        </is>
      </c>
      <c r="B1780" s="19" t="inlineStr">
        <is>
          <t>Gutter (600 mm over all girth)</t>
        </is>
      </c>
      <c r="C1780" s="20" t="n"/>
      <c r="D1780" s="20" t="n"/>
      <c r="E1780" s="20" t="n"/>
      <c r="F1780" s="20" t="n"/>
      <c r="G1780" s="20" t="n"/>
    </row>
    <row r="1781">
      <c r="A1781" s="21" t="inlineStr">
        <is>
          <t>Details of cost for 10 metres   |   Source: CivilDAR_2019_Vol_1.pdf, page 885</t>
        </is>
      </c>
    </row>
    <row r="1782">
      <c r="A1782" s="5" t="inlineStr">
        <is>
          <t>Code</t>
        </is>
      </c>
      <c r="B1782" s="5" t="inlineStr">
        <is>
          <t>Description</t>
        </is>
      </c>
      <c r="C1782" s="5" t="inlineStr">
        <is>
          <t>Unit</t>
        </is>
      </c>
      <c r="D1782" s="5" t="inlineStr">
        <is>
          <t>Quantity</t>
        </is>
      </c>
      <c r="E1782" s="5" t="inlineStr">
        <is>
          <t>Rate (Rs.)</t>
        </is>
      </c>
      <c r="F1782" s="5" t="inlineStr">
        <is>
          <t>Amount (Rs.)</t>
        </is>
      </c>
      <c r="G1782" s="5" t="inlineStr">
        <is>
          <t>Note</t>
        </is>
      </c>
    </row>
    <row r="1783">
      <c r="A1783" s="22" t="inlineStr">
        <is>
          <t>8674</t>
        </is>
      </c>
      <c r="B1783" s="11" t="inlineStr">
        <is>
          <t>Precoated galvanised steel gutter</t>
        </is>
      </c>
      <c r="C1783" s="22" t="inlineStr">
        <is>
          <t>metre</t>
        </is>
      </c>
      <c r="D1783" s="23" t="n">
        <v>10</v>
      </c>
      <c r="E1783" s="24" t="n">
        <v>420</v>
      </c>
      <c r="F1783" s="24">
        <f>D1783*E1783</f>
        <v/>
      </c>
      <c r="G1783" s="22" t="n"/>
    </row>
    <row r="1784">
      <c r="A1784" s="22" t="inlineStr">
        <is>
          <t>9977</t>
        </is>
      </c>
      <c r="B1784" s="11" t="inlineStr">
        <is>
          <t>Carriage of gutter</t>
        </is>
      </c>
      <c r="C1784" s="22" t="inlineStr">
        <is>
          <t>L.S.</t>
        </is>
      </c>
      <c r="D1784" s="23" t="n">
        <v>1.04</v>
      </c>
      <c r="E1784" s="24" t="n">
        <v>2</v>
      </c>
      <c r="F1784" s="24">
        <f>D1784*E1784</f>
        <v/>
      </c>
      <c r="G1784" s="22" t="n"/>
    </row>
    <row r="1785">
      <c r="A1785" s="22" t="inlineStr">
        <is>
          <t>1008</t>
        </is>
      </c>
      <c r="B1785" s="11" t="inlineStr">
        <is>
          <t>Flats upto 10 mm in thickness</t>
        </is>
      </c>
      <c r="C1785" s="22" t="inlineStr">
        <is>
          <t>quintal</t>
        </is>
      </c>
      <c r="D1785" s="23" t="n">
        <v>0.07489999999999999</v>
      </c>
      <c r="E1785" s="24" t="n">
        <v>4500</v>
      </c>
      <c r="F1785" s="24">
        <f>D1785*E1785</f>
        <v/>
      </c>
      <c r="G1785" s="22" t="n"/>
    </row>
    <row r="1786">
      <c r="A1786" s="22" t="inlineStr">
        <is>
          <t>1022</t>
        </is>
      </c>
      <c r="B1786" s="11" t="inlineStr">
        <is>
          <t>Galvanised steel bolts &amp; nuts 6 mm dia and 25 mmlong round head with slots</t>
        </is>
      </c>
      <c r="C1786" s="22" t="inlineStr">
        <is>
          <t>10 Nos</t>
        </is>
      </c>
      <c r="D1786" s="23" t="n">
        <v>2</v>
      </c>
      <c r="E1786" s="24" t="n">
        <v>38</v>
      </c>
      <c r="F1786" s="24">
        <f>D1786*E1786</f>
        <v/>
      </c>
      <c r="G1786" s="22" t="n"/>
    </row>
    <row r="1787">
      <c r="A1787" s="22" t="inlineStr">
        <is>
          <t>1024</t>
        </is>
      </c>
      <c r="B1787" s="11" t="inlineStr">
        <is>
          <t>Galvanised steel bolts &amp; nuts 10 mm dia and 125 mm long round head with slots</t>
        </is>
      </c>
      <c r="C1787" s="22" t="inlineStr">
        <is>
          <t>each</t>
        </is>
      </c>
      <c r="D1787" s="23" t="n">
        <v>30</v>
      </c>
      <c r="E1787" s="24" t="n">
        <v>9</v>
      </c>
      <c r="F1787" s="24">
        <f>D1787*E1787</f>
        <v/>
      </c>
      <c r="G1787" s="22" t="n"/>
    </row>
    <row r="1788">
      <c r="A1788" s="22" t="inlineStr">
        <is>
          <t>1210</t>
        </is>
      </c>
      <c r="B1788" s="11" t="inlineStr">
        <is>
          <t>G.I. plain washer thin</t>
        </is>
      </c>
      <c r="C1788" s="22" t="inlineStr">
        <is>
          <t>100 Nos</t>
        </is>
      </c>
      <c r="D1788" s="23" t="n">
        <v>0.7</v>
      </c>
      <c r="E1788" s="24" t="n">
        <v>21</v>
      </c>
      <c r="F1788" s="24">
        <f>D1788*E1788</f>
        <v/>
      </c>
      <c r="G1788" s="22" t="n"/>
    </row>
    <row r="1789">
      <c r="A1789" s="22" t="inlineStr">
        <is>
          <t>1208</t>
        </is>
      </c>
      <c r="B1789" s="11" t="inlineStr">
        <is>
          <t>Bitumen washer</t>
        </is>
      </c>
      <c r="C1789" s="22" t="inlineStr">
        <is>
          <t>100 Nos</t>
        </is>
      </c>
      <c r="D1789" s="23" t="n">
        <v>0.4</v>
      </c>
      <c r="E1789" s="24" t="n">
        <v>30</v>
      </c>
      <c r="F1789" s="24">
        <f>D1789*E1789</f>
        <v/>
      </c>
      <c r="G1789" s="22" t="n"/>
    </row>
    <row r="1790">
      <c r="A1790" s="22" t="inlineStr">
        <is>
          <t>9977</t>
        </is>
      </c>
      <c r="B1790" s="11" t="inlineStr">
        <is>
          <t>Carriage of G.I. seam bolts and washers</t>
        </is>
      </c>
      <c r="C1790" s="22" t="inlineStr">
        <is>
          <t>L.S.</t>
        </is>
      </c>
      <c r="D1790" s="23" t="n">
        <v>2.73</v>
      </c>
      <c r="E1790" s="24" t="n">
        <v>2</v>
      </c>
      <c r="F1790" s="24">
        <f>D1790*E1790</f>
        <v/>
      </c>
      <c r="G1790" s="22" t="n"/>
    </row>
    <row r="1791">
      <c r="A1791" s="22" t="inlineStr">
        <is>
          <t>9999</t>
        </is>
      </c>
      <c r="B1791" s="11" t="inlineStr">
        <is>
          <t>Sundries</t>
        </is>
      </c>
      <c r="C1791" s="22" t="inlineStr">
        <is>
          <t>L.S.</t>
        </is>
      </c>
      <c r="D1791" s="23" t="n">
        <v>5.33</v>
      </c>
      <c r="E1791" s="24" t="n">
        <v>2</v>
      </c>
      <c r="F1791" s="24">
        <f>D1791*E1791</f>
        <v/>
      </c>
      <c r="G1791" s="22" t="n"/>
    </row>
    <row r="1792">
      <c r="A1792" s="22" t="inlineStr">
        <is>
          <t>0102</t>
        </is>
      </c>
      <c r="B1792" s="11" t="inlineStr">
        <is>
          <t>Blacksmith 1st class</t>
        </is>
      </c>
      <c r="C1792" s="22" t="inlineStr">
        <is>
          <t>day</t>
        </is>
      </c>
      <c r="D1792" s="23" t="n">
        <v>0.5</v>
      </c>
      <c r="E1792" s="24" t="n">
        <v>738</v>
      </c>
      <c r="F1792" s="24">
        <f>D1792*E1792</f>
        <v/>
      </c>
      <c r="G1792" s="22" t="n"/>
    </row>
    <row r="1793">
      <c r="A1793" s="22" t="inlineStr">
        <is>
          <t>0114</t>
        </is>
      </c>
      <c r="B1793" s="11" t="inlineStr">
        <is>
          <t>Beldar</t>
        </is>
      </c>
      <c r="C1793" s="22" t="inlineStr">
        <is>
          <t>day</t>
        </is>
      </c>
      <c r="D1793" s="23" t="n">
        <v>0.5</v>
      </c>
      <c r="E1793" s="24" t="n">
        <v>558</v>
      </c>
      <c r="F1793" s="24">
        <f>D1793*E1793</f>
        <v/>
      </c>
      <c r="G1793" s="22" t="n"/>
    </row>
    <row r="1794">
      <c r="A1794" s="22" t="inlineStr">
        <is>
          <t>9999</t>
        </is>
      </c>
      <c r="B1794" s="11" t="inlineStr">
        <is>
          <t>Sundries</t>
        </is>
      </c>
      <c r="C1794" s="22" t="inlineStr">
        <is>
          <t>L.S.</t>
        </is>
      </c>
      <c r="D1794" s="23" t="n">
        <v>12.61</v>
      </c>
      <c r="E1794" s="24" t="n">
        <v>2</v>
      </c>
      <c r="F1794" s="24">
        <f>D1794*E1794</f>
        <v/>
      </c>
      <c r="G1794" s="22" t="n"/>
    </row>
    <row r="1795">
      <c r="A1795" s="22" t="inlineStr">
        <is>
          <t>0130</t>
        </is>
      </c>
      <c r="B1795" s="11" t="inlineStr">
        <is>
          <t>Mistry</t>
        </is>
      </c>
      <c r="C1795" s="22" t="inlineStr">
        <is>
          <t>day</t>
        </is>
      </c>
      <c r="D1795" s="23" t="n">
        <v>0.28</v>
      </c>
      <c r="E1795" s="24" t="n">
        <v>738</v>
      </c>
      <c r="F1795" s="24">
        <f>D1795*E1795</f>
        <v/>
      </c>
      <c r="G1795" s="22" t="n"/>
    </row>
    <row r="1796">
      <c r="A1796" s="22" t="inlineStr">
        <is>
          <t>0102</t>
        </is>
      </c>
      <c r="B1796" s="11" t="inlineStr">
        <is>
          <t>Blacksmith 1st class</t>
        </is>
      </c>
      <c r="C1796" s="22" t="inlineStr">
        <is>
          <t>day</t>
        </is>
      </c>
      <c r="D1796" s="23" t="n">
        <v>0.84</v>
      </c>
      <c r="E1796" s="24" t="n">
        <v>738</v>
      </c>
      <c r="F1796" s="24">
        <f>D1796*E1796</f>
        <v/>
      </c>
      <c r="G1796" s="22" t="n"/>
    </row>
    <row r="1797">
      <c r="A1797" s="22" t="inlineStr">
        <is>
          <t>0112</t>
        </is>
      </c>
      <c r="B1797" s="11" t="inlineStr">
        <is>
          <t>Carpenter 2nd class</t>
        </is>
      </c>
      <c r="C1797" s="22" t="inlineStr">
        <is>
          <t>day</t>
        </is>
      </c>
      <c r="D1797" s="23" t="n">
        <v>0.62</v>
      </c>
      <c r="E1797" s="24" t="n">
        <v>679</v>
      </c>
      <c r="F1797" s="24">
        <f>D1797*E1797</f>
        <v/>
      </c>
      <c r="G1797" s="22" t="n"/>
    </row>
    <row r="1798">
      <c r="A1798" s="22" t="inlineStr">
        <is>
          <t>0114</t>
        </is>
      </c>
      <c r="B1798" s="11" t="inlineStr">
        <is>
          <t>Beldar</t>
        </is>
      </c>
      <c r="C1798" s="22" t="inlineStr">
        <is>
          <t>day</t>
        </is>
      </c>
      <c r="D1798" s="23" t="n">
        <v>1.68</v>
      </c>
      <c r="E1798" s="24" t="n">
        <v>558</v>
      </c>
      <c r="F1798" s="24">
        <f>D1798*E1798</f>
        <v/>
      </c>
      <c r="G1798" s="22" t="n"/>
    </row>
    <row r="1799">
      <c r="A1799" s="8" t="inlineStr">
        <is>
          <t>Calculated W - SUM of the Amount column above</t>
        </is>
      </c>
      <c r="B1799" s="9" t="n"/>
      <c r="C1799" s="9" t="n"/>
      <c r="D1799" s="9" t="n"/>
      <c r="E1799" s="9" t="n"/>
      <c r="F1799" s="25">
        <f>SUM(F1783:F1798)</f>
        <v/>
      </c>
      <c r="G1799" s="9" t="n"/>
    </row>
    <row r="1800">
      <c r="A1800" s="26" t="inlineStr">
        <is>
          <t>W as printed in the DAR</t>
        </is>
      </c>
      <c r="B1800" s="22" t="n"/>
      <c r="C1800" s="22" t="n"/>
      <c r="D1800" s="22" t="n"/>
      <c r="E1800" s="22" t="n"/>
      <c r="F1800" s="27" t="n">
        <v>7786.15</v>
      </c>
      <c r="G1800" s="22" t="n"/>
    </row>
    <row r="1801">
      <c r="A1801" s="26" t="inlineStr">
        <is>
          <t>Difference (calculated - printed)</t>
        </is>
      </c>
      <c r="B1801" s="22" t="n"/>
      <c r="C1801" s="22" t="n"/>
      <c r="D1801" s="22" t="n"/>
      <c r="E1801" s="22" t="n"/>
      <c r="F1801" s="27">
        <f>F1799-F1800</f>
        <v/>
      </c>
      <c r="G1801" s="22" t="n"/>
    </row>
    <row r="1802">
      <c r="A1802" s="29" t="inlineStr">
        <is>
          <t>SAY (Rs.) - final DAR rate as printed (fixed value, not computed)</t>
        </is>
      </c>
      <c r="B1802" s="30" t="n"/>
      <c r="C1802" s="30" t="n"/>
      <c r="D1802" s="30" t="n"/>
      <c r="E1802" s="30" t="n"/>
      <c r="F1802" s="31" t="n">
        <v>1041.75</v>
      </c>
      <c r="G1802" s="30" t="n"/>
    </row>
    <row r="1804" ht="120" customHeight="1">
      <c r="A1804" s="8" t="inlineStr">
        <is>
          <t>12.52</t>
        </is>
      </c>
      <c r="B1804" s="1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t>
        </is>
      </c>
      <c r="C1804" s="9" t="n"/>
      <c r="D1804" s="9" t="n"/>
      <c r="E1804" s="9" t="n"/>
      <c r="F1804" s="9" t="n"/>
      <c r="G1804" s="9" t="n"/>
    </row>
    <row r="1805" ht="18.5" customHeight="1">
      <c r="A1805" s="9" t="n"/>
      <c r="B1805" s="17" t="inlineStr">
        <is>
          <t>opening for services like diffusers, grills, light fittings, fixtures, smoke detectors etc. Main "T"</t>
        </is>
      </c>
      <c r="C1805" s="9" t="n"/>
      <c r="D1805" s="9" t="n"/>
      <c r="E1805" s="9" t="n"/>
      <c r="F1805" s="9" t="n"/>
      <c r="G1805" s="9" t="n"/>
    </row>
    <row r="1806" ht="47.5" customHeight="1">
      <c r="A1806" s="18" t="inlineStr">
        <is>
          <t>12.52.1</t>
        </is>
      </c>
      <c r="B1806" s="19" t="inlineStr">
        <is>
          <t>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is>
      </c>
      <c r="C1806" s="20" t="n"/>
      <c r="D1806" s="20" t="n"/>
      <c r="E1806" s="20" t="n"/>
      <c r="F1806" s="20" t="n"/>
      <c r="G1806" s="20" t="n"/>
    </row>
    <row r="1807">
      <c r="A1807" s="21" t="inlineStr">
        <is>
          <t>Details of cost for 100 sqm   |   Source: CivilDAR_2019_Vol_1.pdf, page 887</t>
        </is>
      </c>
    </row>
    <row r="1808">
      <c r="A1808" s="5" t="inlineStr">
        <is>
          <t>Code</t>
        </is>
      </c>
      <c r="B1808" s="5" t="inlineStr">
        <is>
          <t>Description</t>
        </is>
      </c>
      <c r="C1808" s="5" t="inlineStr">
        <is>
          <t>Unit</t>
        </is>
      </c>
      <c r="D1808" s="5" t="inlineStr">
        <is>
          <t>Quantity</t>
        </is>
      </c>
      <c r="E1808" s="5" t="inlineStr">
        <is>
          <t>Rate (Rs.)</t>
        </is>
      </c>
      <c r="F1808" s="5" t="inlineStr">
        <is>
          <t>Amount (Rs.)</t>
        </is>
      </c>
      <c r="G1808" s="5" t="inlineStr">
        <is>
          <t>Note</t>
        </is>
      </c>
    </row>
    <row r="1809">
      <c r="A1809" s="22" t="inlineStr">
        <is>
          <t>8599</t>
        </is>
      </c>
      <c r="B1809" s="11" t="inlineStr">
        <is>
          <t>GI Metal Tile Lay-in Plain Tegular edge global white color tiles of Size 595x595mm and 0.5 mm thick</t>
        </is>
      </c>
      <c r="C1809" s="22" t="inlineStr">
        <is>
          <t>sqm</t>
        </is>
      </c>
      <c r="D1809" s="23" t="n">
        <v>105</v>
      </c>
      <c r="E1809" s="24" t="n">
        <v>612</v>
      </c>
      <c r="F1809" s="24">
        <f>D1809*E1809</f>
        <v/>
      </c>
      <c r="G1809" s="22" t="n"/>
    </row>
    <row r="1810">
      <c r="A1810" s="22" t="inlineStr">
        <is>
          <t>8611</t>
        </is>
      </c>
      <c r="B1810" s="11" t="inlineStr">
        <is>
          <t>Main T ceiling sections 24x38x0.3 mm (3 metre long)</t>
        </is>
      </c>
      <c r="C1810" s="22" t="inlineStr">
        <is>
          <t>each</t>
        </is>
      </c>
      <c r="D1810" s="23" t="n">
        <v>29.5</v>
      </c>
      <c r="E1810" s="24" t="n">
        <v>115</v>
      </c>
      <c r="F1810" s="24">
        <f>D1810*E1810</f>
        <v/>
      </c>
      <c r="G1810" s="22" t="n"/>
    </row>
    <row r="1811">
      <c r="A1811" s="22" t="inlineStr">
        <is>
          <t>8612</t>
        </is>
      </c>
      <c r="B1811" s="11" t="inlineStr">
        <is>
          <t>Perimeter wall angle 24x24x0.3mm (3 metre long)</t>
        </is>
      </c>
      <c r="C1811" s="22" t="inlineStr">
        <is>
          <t>each</t>
        </is>
      </c>
      <c r="D1811" s="23" t="n">
        <v>13.5</v>
      </c>
      <c r="E1811" s="24" t="n">
        <v>80</v>
      </c>
      <c r="F1811" s="24">
        <f>D1811*E1811</f>
        <v/>
      </c>
      <c r="G1811" s="22" t="n"/>
    </row>
    <row r="1812">
      <c r="A1812" s="22" t="inlineStr">
        <is>
          <t>8613</t>
        </is>
      </c>
      <c r="B1812" s="11" t="inlineStr">
        <is>
          <t>Intermediate cross T-section 24x25x 0.3mm (1.2 mtrs long)</t>
        </is>
      </c>
      <c r="C1812" s="22" t="inlineStr">
        <is>
          <t>each</t>
        </is>
      </c>
      <c r="D1812" s="23" t="n">
        <v>147</v>
      </c>
      <c r="E1812" s="24" t="n">
        <v>35</v>
      </c>
      <c r="F1812" s="24">
        <f>D1812*E1812</f>
        <v/>
      </c>
      <c r="G1812" s="22" t="n"/>
    </row>
    <row r="1813">
      <c r="A1813" s="22" t="inlineStr">
        <is>
          <t>8614</t>
        </is>
      </c>
      <c r="B1813" s="11" t="inlineStr">
        <is>
          <t>Intermediate cross T-section 24x25x 0.3mm (0.6 mtrs long)</t>
        </is>
      </c>
      <c r="C1813" s="22" t="inlineStr">
        <is>
          <t>each</t>
        </is>
      </c>
      <c r="D1813" s="23" t="n">
        <v>147</v>
      </c>
      <c r="E1813" s="24" t="n">
        <v>17</v>
      </c>
      <c r="F1813" s="24">
        <f>D1813*E1813</f>
        <v/>
      </c>
      <c r="G1813" s="22" t="n"/>
    </row>
    <row r="1814">
      <c r="A1814" s="22" t="inlineStr">
        <is>
          <t>8615</t>
        </is>
      </c>
      <c r="B1814" s="11" t="inlineStr">
        <is>
          <t>Hanger rod 4 mm thick</t>
        </is>
      </c>
      <c r="C1814" s="22" t="inlineStr">
        <is>
          <t>each</t>
        </is>
      </c>
      <c r="D1814" s="23" t="n">
        <v>72</v>
      </c>
      <c r="E1814" s="24" t="n">
        <v>8</v>
      </c>
      <c r="F1814" s="24">
        <f>D1814*E1814</f>
        <v/>
      </c>
      <c r="G1814" s="22" t="n"/>
    </row>
    <row r="1815">
      <c r="A1815" s="22" t="inlineStr">
        <is>
          <t>8616</t>
        </is>
      </c>
      <c r="B1815" s="11" t="inlineStr">
        <is>
          <t>Adjustment clip 85x30x0.8mm</t>
        </is>
      </c>
      <c r="C1815" s="22" t="inlineStr">
        <is>
          <t>each</t>
        </is>
      </c>
      <c r="D1815" s="23" t="n">
        <v>72</v>
      </c>
      <c r="E1815" s="24" t="n">
        <v>5</v>
      </c>
      <c r="F1815" s="24">
        <f>D1815*E1815</f>
        <v/>
      </c>
      <c r="G1815" s="22" t="n"/>
    </row>
    <row r="1816">
      <c r="A1816" s="22" t="inlineStr">
        <is>
          <t>8617</t>
        </is>
      </c>
      <c r="B1816" s="11" t="inlineStr">
        <is>
          <t>Soffit cleat (Size 27x37x25x1.60mm)</t>
        </is>
      </c>
      <c r="C1816" s="22" t="inlineStr">
        <is>
          <t>each</t>
        </is>
      </c>
      <c r="D1816" s="23" t="n">
        <v>72</v>
      </c>
      <c r="E1816" s="24" t="n">
        <v>4</v>
      </c>
      <c r="F1816" s="24">
        <f>D1816*E1816</f>
        <v/>
      </c>
      <c r="G1816" s="22" t="n"/>
    </row>
    <row r="1817">
      <c r="A1817" s="22" t="inlineStr">
        <is>
          <t>7388</t>
        </is>
      </c>
      <c r="B1817" s="11" t="inlineStr">
        <is>
          <t>Dash hold fastener 12.5 mm dia, 40 mm long with 6 mm dia bolt</t>
        </is>
      </c>
      <c r="C1817" s="22" t="inlineStr">
        <is>
          <t>each</t>
        </is>
      </c>
      <c r="D1817" s="23" t="n">
        <v>72</v>
      </c>
      <c r="E1817" s="24" t="n">
        <v>11</v>
      </c>
      <c r="F1817" s="24">
        <f>D1817*E1817</f>
        <v/>
      </c>
      <c r="G1817" s="22" t="n"/>
    </row>
    <row r="1818">
      <c r="A1818" s="22" t="inlineStr">
        <is>
          <t>9999</t>
        </is>
      </c>
      <c r="B1818" s="11" t="inlineStr">
        <is>
          <t>Sundries i.e. scaffolding etc.</t>
        </is>
      </c>
      <c r="C1818" s="22" t="inlineStr">
        <is>
          <t>L.S.</t>
        </is>
      </c>
      <c r="D1818" s="23" t="n">
        <v>187.95</v>
      </c>
      <c r="E1818" s="24" t="n">
        <v>2</v>
      </c>
      <c r="F1818" s="24">
        <f>D1818*E1818</f>
        <v/>
      </c>
      <c r="G1818" s="22" t="n"/>
    </row>
    <row r="1819">
      <c r="A1819" s="22" t="inlineStr">
        <is>
          <t>9977</t>
        </is>
      </c>
      <c r="B1819" s="11" t="inlineStr">
        <is>
          <t>Carriage of materials etc.</t>
        </is>
      </c>
      <c r="C1819" s="22" t="inlineStr">
        <is>
          <t>L.S.</t>
        </is>
      </c>
      <c r="D1819" s="23" t="n">
        <v>89.28</v>
      </c>
      <c r="E1819" s="24" t="n">
        <v>2</v>
      </c>
      <c r="F1819" s="24">
        <f>D1819*E1819</f>
        <v/>
      </c>
      <c r="G1819" s="22" t="n"/>
    </row>
    <row r="1820">
      <c r="A1820" s="22" t="inlineStr">
        <is>
          <t>0111</t>
        </is>
      </c>
      <c r="B1820" s="11" t="inlineStr">
        <is>
          <t>Carpenter 1st class</t>
        </is>
      </c>
      <c r="C1820" s="22" t="inlineStr">
        <is>
          <t>day</t>
        </is>
      </c>
      <c r="D1820" s="23" t="n">
        <v>28</v>
      </c>
      <c r="E1820" s="24" t="n">
        <v>738</v>
      </c>
      <c r="F1820" s="24">
        <f>D1820*E1820</f>
        <v/>
      </c>
      <c r="G1820" s="22" t="n"/>
    </row>
    <row r="1821">
      <c r="A1821" s="22" t="inlineStr">
        <is>
          <t>0114</t>
        </is>
      </c>
      <c r="B1821" s="11" t="inlineStr">
        <is>
          <t>Beldar</t>
        </is>
      </c>
      <c r="C1821" s="22" t="inlineStr">
        <is>
          <t>day</t>
        </is>
      </c>
      <c r="D1821" s="23" t="n">
        <v>23</v>
      </c>
      <c r="E1821" s="24" t="n">
        <v>558</v>
      </c>
      <c r="F1821" s="24">
        <f>D1821*E1821</f>
        <v/>
      </c>
      <c r="G1821" s="22" t="n"/>
    </row>
    <row r="1822">
      <c r="A1822" s="8" t="inlineStr">
        <is>
          <t>Calculated W - SUM of the Amount column above</t>
        </is>
      </c>
      <c r="B1822" s="9" t="n"/>
      <c r="C1822" s="9" t="n"/>
      <c r="D1822" s="9" t="n"/>
      <c r="E1822" s="9" t="n"/>
      <c r="F1822" s="25">
        <f>SUM(F1809:F1821)</f>
        <v/>
      </c>
      <c r="G1822" s="9" t="n"/>
    </row>
    <row r="1823">
      <c r="A1823" s="26" t="inlineStr">
        <is>
          <t>W as printed in the DAR</t>
        </is>
      </c>
      <c r="B1823" s="22" t="n"/>
      <c r="C1823" s="22" t="n"/>
      <c r="D1823" s="22" t="n"/>
      <c r="E1823" s="22" t="n"/>
      <c r="F1823" s="27" t="n">
        <v>112444.96</v>
      </c>
      <c r="G1823" s="22" t="n"/>
    </row>
    <row r="1824">
      <c r="A1824" s="26" t="inlineStr">
        <is>
          <t>Difference (calculated - printed)</t>
        </is>
      </c>
      <c r="B1824" s="22" t="n"/>
      <c r="C1824" s="22" t="n"/>
      <c r="D1824" s="22" t="n"/>
      <c r="E1824" s="22" t="n"/>
      <c r="F1824" s="27">
        <f>F1822-F1823</f>
        <v/>
      </c>
      <c r="G1824" s="22" t="n"/>
    </row>
    <row r="1825">
      <c r="A1825" s="29" t="inlineStr">
        <is>
          <t>SAY (Rs.) - final DAR rate as printed (fixed value, not computed)</t>
        </is>
      </c>
      <c r="B1825" s="30" t="n"/>
      <c r="C1825" s="30" t="n"/>
      <c r="D1825" s="30" t="n"/>
      <c r="E1825" s="30" t="n"/>
      <c r="F1825" s="31" t="n">
        <v>1504.45</v>
      </c>
      <c r="G1825" s="30" t="n"/>
    </row>
    <row r="1827" ht="120" customHeight="1">
      <c r="A1827" s="8" t="inlineStr">
        <is>
          <t>12.52</t>
        </is>
      </c>
      <c r="B1827" s="1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t>
        </is>
      </c>
      <c r="C1827" s="9" t="n"/>
      <c r="D1827" s="9" t="n"/>
      <c r="E1827" s="9" t="n"/>
      <c r="F1827" s="9" t="n"/>
      <c r="G1827" s="9" t="n"/>
    </row>
    <row r="1828" ht="18.5" customHeight="1">
      <c r="A1828" s="9" t="n"/>
      <c r="B1828" s="17" t="inlineStr">
        <is>
          <t>opening for services like diffusers, grills, light fittings, fixtures, smoke detectors etc. Main "T"</t>
        </is>
      </c>
      <c r="C1828" s="9" t="n"/>
      <c r="D1828" s="9" t="n"/>
      <c r="E1828" s="9" t="n"/>
      <c r="F1828" s="9" t="n"/>
      <c r="G1828" s="9" t="n"/>
    </row>
    <row r="1829" ht="62" customHeight="1">
      <c r="A1829" s="18" t="inlineStr">
        <is>
          <t>12.52.2</t>
        </is>
      </c>
      <c r="B1829" s="19" t="inlineStr">
        <is>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is>
      </c>
      <c r="C1829" s="20" t="n"/>
      <c r="D1829" s="20" t="n"/>
      <c r="E1829" s="20" t="n"/>
      <c r="F1829" s="20" t="n"/>
      <c r="G1829" s="20" t="n"/>
    </row>
    <row r="1830">
      <c r="A1830" s="21" t="inlineStr">
        <is>
          <t>Details of cost for 100 sqm   |   Source: CivilDAR_2019_Vol_1.pdf, page 888</t>
        </is>
      </c>
    </row>
    <row r="1831">
      <c r="A1831" s="5" t="inlineStr">
        <is>
          <t>Code</t>
        </is>
      </c>
      <c r="B1831" s="5" t="inlineStr">
        <is>
          <t>Description</t>
        </is>
      </c>
      <c r="C1831" s="5" t="inlineStr">
        <is>
          <t>Unit</t>
        </is>
      </c>
      <c r="D1831" s="5" t="inlineStr">
        <is>
          <t>Quantity</t>
        </is>
      </c>
      <c r="E1831" s="5" t="inlineStr">
        <is>
          <t>Rate (Rs.)</t>
        </is>
      </c>
      <c r="F1831" s="5" t="inlineStr">
        <is>
          <t>Amount (Rs.)</t>
        </is>
      </c>
      <c r="G1831" s="5" t="inlineStr">
        <is>
          <t>Note</t>
        </is>
      </c>
    </row>
    <row r="1832">
      <c r="A1832" s="22" t="inlineStr">
        <is>
          <t>8600</t>
        </is>
      </c>
      <c r="B1832" s="11" t="inlineStr">
        <is>
          <t>GI Metal Tile Lay-in Perforated Tegular edge global white color tiles of Size 595x595mm and 0.5 mm thick</t>
        </is>
      </c>
      <c r="C1832" s="22" t="inlineStr">
        <is>
          <t>sqm</t>
        </is>
      </c>
      <c r="D1832" s="23" t="n">
        <v>105</v>
      </c>
      <c r="E1832" s="24" t="n">
        <v>715</v>
      </c>
      <c r="F1832" s="24">
        <f>D1832*E1832</f>
        <v/>
      </c>
      <c r="G1832" s="22" t="n"/>
    </row>
    <row r="1833">
      <c r="A1833" s="22" t="inlineStr">
        <is>
          <t>8611</t>
        </is>
      </c>
      <c r="B1833" s="11" t="inlineStr">
        <is>
          <t>Main T ceiling sections 24x38x0.3 mm (3 metre long)</t>
        </is>
      </c>
      <c r="C1833" s="22" t="inlineStr">
        <is>
          <t>each</t>
        </is>
      </c>
      <c r="D1833" s="23" t="n">
        <v>29.5</v>
      </c>
      <c r="E1833" s="24" t="n">
        <v>115</v>
      </c>
      <c r="F1833" s="24">
        <f>D1833*E1833</f>
        <v/>
      </c>
      <c r="G1833" s="22" t="n"/>
    </row>
    <row r="1834">
      <c r="A1834" s="22" t="inlineStr">
        <is>
          <t>8612</t>
        </is>
      </c>
      <c r="B1834" s="11" t="inlineStr">
        <is>
          <t>Perimeter wall angle 24x24x0.3mm (3 metre long)</t>
        </is>
      </c>
      <c r="C1834" s="22" t="inlineStr">
        <is>
          <t>each</t>
        </is>
      </c>
      <c r="D1834" s="23" t="n">
        <v>13.5</v>
      </c>
      <c r="E1834" s="24" t="n">
        <v>80</v>
      </c>
      <c r="F1834" s="24">
        <f>D1834*E1834</f>
        <v/>
      </c>
      <c r="G1834" s="22" t="n"/>
    </row>
    <row r="1835">
      <c r="A1835" s="22" t="inlineStr">
        <is>
          <t>8613</t>
        </is>
      </c>
      <c r="B1835" s="11" t="inlineStr">
        <is>
          <t>Intermediate cross T-section 24x25x0.3mm (1.2 mtrs long)</t>
        </is>
      </c>
      <c r="C1835" s="22" t="inlineStr">
        <is>
          <t>each</t>
        </is>
      </c>
      <c r="D1835" s="23" t="n">
        <v>147</v>
      </c>
      <c r="E1835" s="24" t="n">
        <v>35</v>
      </c>
      <c r="F1835" s="24">
        <f>D1835*E1835</f>
        <v/>
      </c>
      <c r="G1835" s="22" t="n"/>
    </row>
    <row r="1836">
      <c r="A1836" s="22" t="inlineStr">
        <is>
          <t>8614</t>
        </is>
      </c>
      <c r="B1836" s="11" t="inlineStr">
        <is>
          <t>Intermediate cross T-section 24x25x 0.3mm (0.6 mtrs long)</t>
        </is>
      </c>
      <c r="C1836" s="22" t="inlineStr">
        <is>
          <t>each</t>
        </is>
      </c>
      <c r="D1836" s="23" t="n">
        <v>147</v>
      </c>
      <c r="E1836" s="24" t="n">
        <v>17</v>
      </c>
      <c r="F1836" s="24">
        <f>D1836*E1836</f>
        <v/>
      </c>
      <c r="G1836" s="22" t="n"/>
    </row>
    <row r="1837">
      <c r="A1837" s="22" t="inlineStr">
        <is>
          <t>8615</t>
        </is>
      </c>
      <c r="B1837" s="11" t="inlineStr">
        <is>
          <t>Hanger rod 4 mm thick</t>
        </is>
      </c>
      <c r="C1837" s="22" t="inlineStr">
        <is>
          <t>each</t>
        </is>
      </c>
      <c r="D1837" s="23" t="n">
        <v>72</v>
      </c>
      <c r="E1837" s="24" t="n">
        <v>8</v>
      </c>
      <c r="F1837" s="24">
        <f>D1837*E1837</f>
        <v/>
      </c>
      <c r="G1837" s="22" t="n"/>
    </row>
    <row r="1838">
      <c r="A1838" s="22" t="inlineStr">
        <is>
          <t>8616</t>
        </is>
      </c>
      <c r="B1838" s="11" t="inlineStr">
        <is>
          <t>Adjustment clip 85x30x0.8mm</t>
        </is>
      </c>
      <c r="C1838" s="22" t="inlineStr">
        <is>
          <t>each</t>
        </is>
      </c>
      <c r="D1838" s="23" t="n">
        <v>72</v>
      </c>
      <c r="E1838" s="24" t="n">
        <v>5</v>
      </c>
      <c r="F1838" s="24">
        <f>D1838*E1838</f>
        <v/>
      </c>
      <c r="G1838" s="22" t="n"/>
    </row>
    <row r="1839">
      <c r="A1839" s="22" t="inlineStr">
        <is>
          <t>8617</t>
        </is>
      </c>
      <c r="B1839" s="11" t="inlineStr">
        <is>
          <t>Soffit cleat (Size 27x37x25x1.60mm)</t>
        </is>
      </c>
      <c r="C1839" s="22" t="inlineStr">
        <is>
          <t>each</t>
        </is>
      </c>
      <c r="D1839" s="23" t="n">
        <v>72</v>
      </c>
      <c r="E1839" s="24" t="n">
        <v>4</v>
      </c>
      <c r="F1839" s="24">
        <f>D1839*E1839</f>
        <v/>
      </c>
      <c r="G1839" s="22" t="n"/>
    </row>
    <row r="1840">
      <c r="A1840" s="22" t="inlineStr">
        <is>
          <t>7388</t>
        </is>
      </c>
      <c r="B1840" s="11" t="inlineStr">
        <is>
          <t>Dash hold fastener 12.5 mm dia, 40 mm long with 6 mm dia bolt</t>
        </is>
      </c>
      <c r="C1840" s="22" t="inlineStr">
        <is>
          <t>each</t>
        </is>
      </c>
      <c r="D1840" s="23" t="n">
        <v>72</v>
      </c>
      <c r="E1840" s="24" t="n">
        <v>11</v>
      </c>
      <c r="F1840" s="24">
        <f>D1840*E1840</f>
        <v/>
      </c>
      <c r="G1840" s="22" t="n"/>
    </row>
    <row r="1841">
      <c r="A1841" s="22" t="inlineStr">
        <is>
          <t>9999</t>
        </is>
      </c>
      <c r="B1841" s="11" t="inlineStr">
        <is>
          <t>Sundries i.e. scaffolding etc.</t>
        </is>
      </c>
      <c r="C1841" s="22" t="inlineStr">
        <is>
          <t>L.S.</t>
        </is>
      </c>
      <c r="D1841" s="23" t="n">
        <v>187.95</v>
      </c>
      <c r="E1841" s="24" t="n">
        <v>2</v>
      </c>
      <c r="F1841" s="24">
        <f>D1841*E1841</f>
        <v/>
      </c>
      <c r="G1841" s="22" t="n"/>
    </row>
    <row r="1842">
      <c r="A1842" s="22" t="inlineStr">
        <is>
          <t>9977</t>
        </is>
      </c>
      <c r="B1842" s="11" t="inlineStr">
        <is>
          <t>Carriage of materials etc.</t>
        </is>
      </c>
      <c r="C1842" s="22" t="inlineStr">
        <is>
          <t>L.S.</t>
        </is>
      </c>
      <c r="D1842" s="23" t="n">
        <v>89.28</v>
      </c>
      <c r="E1842" s="24" t="n">
        <v>2</v>
      </c>
      <c r="F1842" s="24">
        <f>D1842*E1842</f>
        <v/>
      </c>
      <c r="G1842" s="22" t="n"/>
    </row>
    <row r="1843">
      <c r="A1843" s="22" t="inlineStr">
        <is>
          <t>0111</t>
        </is>
      </c>
      <c r="B1843" s="11" t="inlineStr">
        <is>
          <t>Carpenter 1st class</t>
        </is>
      </c>
      <c r="C1843" s="22" t="inlineStr">
        <is>
          <t>day</t>
        </is>
      </c>
      <c r="D1843" s="23" t="n">
        <v>28</v>
      </c>
      <c r="E1843" s="24" t="n">
        <v>738</v>
      </c>
      <c r="F1843" s="24">
        <f>D1843*E1843</f>
        <v/>
      </c>
      <c r="G1843" s="22" t="n"/>
    </row>
    <row r="1844">
      <c r="A1844" s="22" t="inlineStr">
        <is>
          <t>0114</t>
        </is>
      </c>
      <c r="B1844" s="11" t="inlineStr">
        <is>
          <t>Beldar</t>
        </is>
      </c>
      <c r="C1844" s="22" t="inlineStr">
        <is>
          <t>day</t>
        </is>
      </c>
      <c r="D1844" s="23" t="n">
        <v>23</v>
      </c>
      <c r="E1844" s="24" t="n">
        <v>558</v>
      </c>
      <c r="F1844" s="24">
        <f>D1844*E1844</f>
        <v/>
      </c>
      <c r="G1844" s="22" t="n"/>
    </row>
    <row r="1845">
      <c r="A1845" s="8" t="inlineStr">
        <is>
          <t>Calculated W - SUM of the Amount column above</t>
        </is>
      </c>
      <c r="B1845" s="9" t="n"/>
      <c r="C1845" s="9" t="n"/>
      <c r="D1845" s="9" t="n"/>
      <c r="E1845" s="9" t="n"/>
      <c r="F1845" s="25">
        <f>SUM(F1832:F1844)</f>
        <v/>
      </c>
      <c r="G1845" s="9" t="n"/>
    </row>
    <row r="1846">
      <c r="A1846" s="26" t="inlineStr">
        <is>
          <t>W as printed in the DAR</t>
        </is>
      </c>
      <c r="B1846" s="22" t="n"/>
      <c r="C1846" s="22" t="n"/>
      <c r="D1846" s="22" t="n"/>
      <c r="E1846" s="22" t="n"/>
      <c r="F1846" s="27" t="n">
        <v>123259.96</v>
      </c>
      <c r="G1846" s="22" t="n"/>
    </row>
    <row r="1847">
      <c r="A1847" s="26" t="inlineStr">
        <is>
          <t>Difference (calculated - printed)</t>
        </is>
      </c>
      <c r="B1847" s="22" t="n"/>
      <c r="C1847" s="22" t="n"/>
      <c r="D1847" s="22" t="n"/>
      <c r="E1847" s="22" t="n"/>
      <c r="F1847" s="27">
        <f>F1845-F1846</f>
        <v/>
      </c>
      <c r="G1847" s="22" t="n"/>
    </row>
    <row r="1848">
      <c r="A1848" s="29" t="inlineStr">
        <is>
          <t>SAY (Rs.) - final DAR rate as printed (fixed value, not computed)</t>
        </is>
      </c>
      <c r="B1848" s="30" t="n"/>
      <c r="C1848" s="30" t="n"/>
      <c r="D1848" s="30" t="n"/>
      <c r="E1848" s="30" t="n"/>
      <c r="F1848" s="31" t="n">
        <v>1649.15</v>
      </c>
      <c r="G1848" s="30" t="n"/>
    </row>
    <row r="1850" ht="120" customHeight="1">
      <c r="A1850" s="8" t="inlineStr">
        <is>
          <t>12.52</t>
        </is>
      </c>
      <c r="B1850" s="1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t>
        </is>
      </c>
      <c r="C1850" s="9" t="n"/>
      <c r="D1850" s="9" t="n"/>
      <c r="E1850" s="9" t="n"/>
      <c r="F1850" s="9" t="n"/>
      <c r="G1850" s="9" t="n"/>
    </row>
    <row r="1851" ht="18.5" customHeight="1">
      <c r="A1851" s="9" t="n"/>
      <c r="B1851" s="17" t="inlineStr">
        <is>
          <t>opening for services like diffusers, grills, light fittings, fixtures, smoke detectors etc. Main "T"</t>
        </is>
      </c>
      <c r="C1851" s="9" t="n"/>
      <c r="D1851" s="9" t="n"/>
      <c r="E1851" s="9" t="n"/>
      <c r="F1851" s="9" t="n"/>
      <c r="G1851" s="9" t="n"/>
    </row>
    <row r="1852" ht="62" customHeight="1">
      <c r="A1852" s="18" t="inlineStr">
        <is>
          <t>12.52.3</t>
        </is>
      </c>
      <c r="B1852" s="19" t="inlineStr">
        <is>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t>
        </is>
      </c>
      <c r="C1852" s="20" t="n"/>
      <c r="D1852" s="20" t="n"/>
      <c r="E1852" s="20" t="n"/>
      <c r="F1852" s="20" t="n"/>
      <c r="G1852" s="20" t="n"/>
    </row>
    <row r="1853">
      <c r="A1853" s="21" t="inlineStr">
        <is>
          <t>Details of cost for 100 sqm   |   Source: CivilDAR_2019_Vol_1.pdf, page 889</t>
        </is>
      </c>
    </row>
    <row r="1854">
      <c r="A1854" s="5" t="inlineStr">
        <is>
          <t>Code</t>
        </is>
      </c>
      <c r="B1854" s="5" t="inlineStr">
        <is>
          <t>Description</t>
        </is>
      </c>
      <c r="C1854" s="5" t="inlineStr">
        <is>
          <t>Unit</t>
        </is>
      </c>
      <c r="D1854" s="5" t="inlineStr">
        <is>
          <t>Quantity</t>
        </is>
      </c>
      <c r="E1854" s="5" t="inlineStr">
        <is>
          <t>Rate (Rs.)</t>
        </is>
      </c>
      <c r="F1854" s="5" t="inlineStr">
        <is>
          <t>Amount (Rs.)</t>
        </is>
      </c>
      <c r="G1854" s="5" t="inlineStr">
        <is>
          <t>Note</t>
        </is>
      </c>
    </row>
    <row r="1855">
      <c r="A1855" s="22" t="inlineStr">
        <is>
          <t>8601</t>
        </is>
      </c>
      <c r="B1855" s="11" t="inlineStr">
        <is>
          <t>PVC Laminated Gypsum Tiles (Square edge) of Size 595x595 mm and 12.5 mm thick</t>
        </is>
      </c>
      <c r="C1855" s="22" t="inlineStr">
        <is>
          <t>sqm</t>
        </is>
      </c>
      <c r="D1855" s="23" t="n">
        <v>105</v>
      </c>
      <c r="E1855" s="24" t="n">
        <v>880</v>
      </c>
      <c r="F1855" s="24">
        <f>D1855*E1855</f>
        <v/>
      </c>
      <c r="G1855" s="22" t="n"/>
    </row>
    <row r="1856">
      <c r="A1856" s="22" t="inlineStr">
        <is>
          <t>8611</t>
        </is>
      </c>
      <c r="B1856" s="11" t="inlineStr">
        <is>
          <t>Main T ceiling sections 24x38x0.3 mm (3 metre long)</t>
        </is>
      </c>
      <c r="C1856" s="22" t="inlineStr">
        <is>
          <t>each</t>
        </is>
      </c>
      <c r="D1856" s="23" t="n">
        <v>29.5</v>
      </c>
      <c r="E1856" s="24" t="n">
        <v>115</v>
      </c>
      <c r="F1856" s="24">
        <f>D1856*E1856</f>
        <v/>
      </c>
      <c r="G1856" s="22" t="n"/>
    </row>
    <row r="1857">
      <c r="A1857" s="22" t="inlineStr">
        <is>
          <t>8612</t>
        </is>
      </c>
      <c r="B1857" s="11" t="inlineStr">
        <is>
          <t>Perimeter wall angle 24x24x0.3mm (3 metre long)</t>
        </is>
      </c>
      <c r="C1857" s="22" t="inlineStr">
        <is>
          <t>each</t>
        </is>
      </c>
      <c r="D1857" s="23" t="n">
        <v>13.5</v>
      </c>
      <c r="E1857" s="24" t="n">
        <v>80</v>
      </c>
      <c r="F1857" s="24">
        <f>D1857*E1857</f>
        <v/>
      </c>
      <c r="G1857" s="22" t="n"/>
    </row>
    <row r="1858">
      <c r="A1858" s="22" t="inlineStr">
        <is>
          <t>8613</t>
        </is>
      </c>
      <c r="B1858" s="11" t="inlineStr">
        <is>
          <t>Intermediate cross T-section 24x25x0.3mm (1.2 mtrs long)</t>
        </is>
      </c>
      <c r="C1858" s="22" t="inlineStr">
        <is>
          <t>each</t>
        </is>
      </c>
      <c r="D1858" s="23" t="n">
        <v>147</v>
      </c>
      <c r="E1858" s="24" t="n">
        <v>35</v>
      </c>
      <c r="F1858" s="24">
        <f>D1858*E1858</f>
        <v/>
      </c>
      <c r="G1858" s="22" t="n"/>
    </row>
    <row r="1859">
      <c r="A1859" s="22" t="inlineStr">
        <is>
          <t>8614</t>
        </is>
      </c>
      <c r="B1859" s="11" t="inlineStr">
        <is>
          <t>Intermediate cross T-section 24x25x0.3mm (0.6 mtrs long)</t>
        </is>
      </c>
      <c r="C1859" s="22" t="inlineStr">
        <is>
          <t>each</t>
        </is>
      </c>
      <c r="D1859" s="23" t="n">
        <v>147</v>
      </c>
      <c r="E1859" s="24" t="n">
        <v>17</v>
      </c>
      <c r="F1859" s="24">
        <f>D1859*E1859</f>
        <v/>
      </c>
      <c r="G1859" s="22" t="n"/>
    </row>
    <row r="1860">
      <c r="A1860" s="22" t="inlineStr">
        <is>
          <t>8615</t>
        </is>
      </c>
      <c r="B1860" s="11" t="inlineStr">
        <is>
          <t>Hanger rod 4 mm thick</t>
        </is>
      </c>
      <c r="C1860" s="22" t="inlineStr">
        <is>
          <t>each</t>
        </is>
      </c>
      <c r="D1860" s="23" t="n">
        <v>72</v>
      </c>
      <c r="E1860" s="24" t="n">
        <v>8</v>
      </c>
      <c r="F1860" s="24">
        <f>D1860*E1860</f>
        <v/>
      </c>
      <c r="G1860" s="22" t="n"/>
    </row>
    <row r="1861">
      <c r="A1861" s="22" t="inlineStr">
        <is>
          <t>8616</t>
        </is>
      </c>
      <c r="B1861" s="11" t="inlineStr">
        <is>
          <t>Adjustment clip 85x30x0.8mm</t>
        </is>
      </c>
      <c r="C1861" s="22" t="inlineStr">
        <is>
          <t>each</t>
        </is>
      </c>
      <c r="D1861" s="23" t="n">
        <v>72</v>
      </c>
      <c r="E1861" s="24" t="n">
        <v>5</v>
      </c>
      <c r="F1861" s="24">
        <f>D1861*E1861</f>
        <v/>
      </c>
      <c r="G1861" s="22" t="n"/>
    </row>
    <row r="1862">
      <c r="A1862" s="22" t="inlineStr">
        <is>
          <t>8617</t>
        </is>
      </c>
      <c r="B1862" s="11" t="inlineStr">
        <is>
          <t>Soffit cleat (Size 27x37x25x1.60mm)</t>
        </is>
      </c>
      <c r="C1862" s="22" t="inlineStr">
        <is>
          <t>each</t>
        </is>
      </c>
      <c r="D1862" s="23" t="n">
        <v>72</v>
      </c>
      <c r="E1862" s="24" t="n">
        <v>4</v>
      </c>
      <c r="F1862" s="24">
        <f>D1862*E1862</f>
        <v/>
      </c>
      <c r="G1862" s="22" t="n"/>
    </row>
    <row r="1863">
      <c r="A1863" s="22" t="inlineStr">
        <is>
          <t>7388</t>
        </is>
      </c>
      <c r="B1863" s="11" t="inlineStr">
        <is>
          <t>Dash hold fastener 12.5 mm dia, 40 mm long with 6 mm dia bolt</t>
        </is>
      </c>
      <c r="C1863" s="22" t="inlineStr">
        <is>
          <t>each</t>
        </is>
      </c>
      <c r="D1863" s="23" t="n">
        <v>72</v>
      </c>
      <c r="E1863" s="24" t="n">
        <v>11</v>
      </c>
      <c r="F1863" s="24">
        <f>D1863*E1863</f>
        <v/>
      </c>
      <c r="G1863" s="22" t="n"/>
    </row>
    <row r="1864">
      <c r="A1864" s="22" t="inlineStr">
        <is>
          <t>9999</t>
        </is>
      </c>
      <c r="B1864" s="11" t="inlineStr">
        <is>
          <t>Sundries i.e. scaffolding etc.</t>
        </is>
      </c>
      <c r="C1864" s="22" t="inlineStr">
        <is>
          <t>L.S.</t>
        </is>
      </c>
      <c r="D1864" s="23" t="n">
        <v>187.95</v>
      </c>
      <c r="E1864" s="24" t="n">
        <v>2</v>
      </c>
      <c r="F1864" s="24">
        <f>D1864*E1864</f>
        <v/>
      </c>
      <c r="G1864" s="22" t="n"/>
    </row>
    <row r="1865">
      <c r="A1865" s="22" t="inlineStr">
        <is>
          <t>9977</t>
        </is>
      </c>
      <c r="B1865" s="11" t="inlineStr">
        <is>
          <t>Carriage of materials etc.</t>
        </is>
      </c>
      <c r="C1865" s="22" t="inlineStr">
        <is>
          <t>L.S.</t>
        </is>
      </c>
      <c r="D1865" s="23" t="n">
        <v>89.28</v>
      </c>
      <c r="E1865" s="24" t="n">
        <v>2</v>
      </c>
      <c r="F1865" s="24">
        <f>D1865*E1865</f>
        <v/>
      </c>
      <c r="G1865" s="22" t="n"/>
    </row>
    <row r="1866">
      <c r="A1866" s="22" t="inlineStr">
        <is>
          <t>0111</t>
        </is>
      </c>
      <c r="B1866" s="11" t="inlineStr">
        <is>
          <t>Carpenter 1st class</t>
        </is>
      </c>
      <c r="C1866" s="22" t="inlineStr">
        <is>
          <t>day</t>
        </is>
      </c>
      <c r="D1866" s="23" t="n">
        <v>28</v>
      </c>
      <c r="E1866" s="24" t="n">
        <v>738</v>
      </c>
      <c r="F1866" s="24">
        <f>D1866*E1866</f>
        <v/>
      </c>
      <c r="G1866" s="22" t="n"/>
    </row>
    <row r="1867">
      <c r="A1867" s="22" t="inlineStr">
        <is>
          <t>0114</t>
        </is>
      </c>
      <c r="B1867" s="11" t="inlineStr">
        <is>
          <t>Beldar</t>
        </is>
      </c>
      <c r="C1867" s="22" t="inlineStr">
        <is>
          <t>day</t>
        </is>
      </c>
      <c r="D1867" s="23" t="n">
        <v>23</v>
      </c>
      <c r="E1867" s="24" t="n">
        <v>558</v>
      </c>
      <c r="F1867" s="24">
        <f>D1867*E1867</f>
        <v/>
      </c>
      <c r="G1867" s="22" t="n"/>
    </row>
    <row r="1868">
      <c r="A1868" s="8" t="inlineStr">
        <is>
          <t>Calculated W - SUM of the Amount column above</t>
        </is>
      </c>
      <c r="B1868" s="9" t="n"/>
      <c r="C1868" s="9" t="n"/>
      <c r="D1868" s="9" t="n"/>
      <c r="E1868" s="9" t="n"/>
      <c r="F1868" s="25">
        <f>SUM(F1855:F1867)</f>
        <v/>
      </c>
      <c r="G1868" s="9" t="n"/>
    </row>
    <row r="1869">
      <c r="A1869" s="26" t="inlineStr">
        <is>
          <t>W as printed in the DAR</t>
        </is>
      </c>
      <c r="B1869" s="22" t="n"/>
      <c r="C1869" s="22" t="n"/>
      <c r="D1869" s="22" t="n"/>
      <c r="E1869" s="22" t="n"/>
      <c r="F1869" s="27" t="n">
        <v>140584.96</v>
      </c>
      <c r="G1869" s="22" t="n"/>
    </row>
    <row r="1870">
      <c r="A1870" s="26" t="inlineStr">
        <is>
          <t>Difference (calculated - printed)</t>
        </is>
      </c>
      <c r="B1870" s="22" t="n"/>
      <c r="C1870" s="22" t="n"/>
      <c r="D1870" s="22" t="n"/>
      <c r="E1870" s="22" t="n"/>
      <c r="F1870" s="27">
        <f>F1868-F1869</f>
        <v/>
      </c>
      <c r="G1870" s="22" t="n"/>
    </row>
    <row r="1871">
      <c r="A1871" s="29" t="inlineStr">
        <is>
          <t>SAY (Rs.) - final DAR rate as printed (fixed value, not computed)</t>
        </is>
      </c>
      <c r="B1871" s="30" t="n"/>
      <c r="C1871" s="30" t="n"/>
      <c r="D1871" s="30" t="n"/>
      <c r="E1871" s="30" t="n"/>
      <c r="F1871" s="31" t="n">
        <v>1880.95</v>
      </c>
      <c r="G1871" s="30" t="n"/>
    </row>
    <row r="1873" ht="120" customHeight="1">
      <c r="A1873" s="8" t="inlineStr">
        <is>
          <t>12.52</t>
        </is>
      </c>
      <c r="B1873" s="1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t>
        </is>
      </c>
      <c r="C1873" s="9" t="n"/>
      <c r="D1873" s="9" t="n"/>
      <c r="E1873" s="9" t="n"/>
      <c r="F1873" s="9" t="n"/>
      <c r="G1873" s="9" t="n"/>
    </row>
    <row r="1874" ht="18.5" customHeight="1">
      <c r="A1874" s="9" t="n"/>
      <c r="B1874" s="17" t="inlineStr">
        <is>
          <t>opening for services like diffusers, grills, light fittings, fixtures, smoke detectors etc. Main "T"</t>
        </is>
      </c>
      <c r="C1874" s="9" t="n"/>
      <c r="D1874" s="9" t="n"/>
      <c r="E1874" s="9" t="n"/>
      <c r="F1874" s="9" t="n"/>
      <c r="G1874" s="9" t="n"/>
    </row>
    <row r="1875" ht="33" customHeight="1">
      <c r="A1875" s="18" t="inlineStr">
        <is>
          <t>12.52.4</t>
        </is>
      </c>
      <c r="B1875" s="19" t="inlineStr">
        <is>
          <t>12.5 mm thick fully Perforated Gypsum Board tile made from plasterboard having glass fibre conforming to IS: 2095 part I, of size 595x595 mm, having perforation of</t>
        </is>
      </c>
      <c r="C1875" s="20" t="n"/>
      <c r="D1875" s="20" t="n"/>
      <c r="E1875" s="20" t="n"/>
      <c r="F1875" s="20" t="n"/>
      <c r="G1875" s="20" t="n"/>
    </row>
    <row r="1876">
      <c r="A1876" s="21" t="inlineStr">
        <is>
          <t>Details of cost for 100 sqm   |   Source: CivilDAR_2019_Vol_1.pdf, page 890</t>
        </is>
      </c>
    </row>
    <row r="1877">
      <c r="A1877" s="5" t="inlineStr">
        <is>
          <t>Code</t>
        </is>
      </c>
      <c r="B1877" s="5" t="inlineStr">
        <is>
          <t>Description</t>
        </is>
      </c>
      <c r="C1877" s="5" t="inlineStr">
        <is>
          <t>Unit</t>
        </is>
      </c>
      <c r="D1877" s="5" t="inlineStr">
        <is>
          <t>Quantity</t>
        </is>
      </c>
      <c r="E1877" s="5" t="inlineStr">
        <is>
          <t>Rate (Rs.)</t>
        </is>
      </c>
      <c r="F1877" s="5" t="inlineStr">
        <is>
          <t>Amount (Rs.)</t>
        </is>
      </c>
      <c r="G1877" s="5" t="inlineStr">
        <is>
          <t>Note</t>
        </is>
      </c>
    </row>
    <row r="1878">
      <c r="A1878" s="22" t="inlineStr">
        <is>
          <t>8602</t>
        </is>
      </c>
      <c r="B1878" s="11" t="inlineStr">
        <is>
          <t>Gypsum Tiles Fully Perforated Square edge of Size 595x595 mm and 12.5 mm thick</t>
        </is>
      </c>
      <c r="C1878" s="22" t="inlineStr">
        <is>
          <t>sqm</t>
        </is>
      </c>
      <c r="D1878" s="23" t="n">
        <v>105</v>
      </c>
      <c r="E1878" s="24" t="n">
        <v>375</v>
      </c>
      <c r="F1878" s="24">
        <f>D1878*E1878</f>
        <v/>
      </c>
      <c r="G1878" s="22" t="n"/>
    </row>
    <row r="1879">
      <c r="A1879" s="22" t="inlineStr">
        <is>
          <t>8611</t>
        </is>
      </c>
      <c r="B1879" s="11" t="inlineStr">
        <is>
          <t>Main T ceiling sections 24x38x0.3 mm (3 metre long)</t>
        </is>
      </c>
      <c r="C1879" s="22" t="inlineStr">
        <is>
          <t>each</t>
        </is>
      </c>
      <c r="D1879" s="23" t="n">
        <v>29.5</v>
      </c>
      <c r="E1879" s="24" t="n">
        <v>115</v>
      </c>
      <c r="F1879" s="24">
        <f>D1879*E1879</f>
        <v/>
      </c>
      <c r="G1879" s="22" t="n"/>
    </row>
    <row r="1880">
      <c r="A1880" s="22" t="inlineStr">
        <is>
          <t>8612</t>
        </is>
      </c>
      <c r="B1880" s="11" t="inlineStr">
        <is>
          <t>Perimeter wall angle 24x24x0.3mm (3 metre long)</t>
        </is>
      </c>
      <c r="C1880" s="22" t="inlineStr">
        <is>
          <t>each</t>
        </is>
      </c>
      <c r="D1880" s="23" t="n">
        <v>13.5</v>
      </c>
      <c r="E1880" s="24" t="n">
        <v>80</v>
      </c>
      <c r="F1880" s="24">
        <f>D1880*E1880</f>
        <v/>
      </c>
      <c r="G1880" s="22" t="n"/>
    </row>
    <row r="1881">
      <c r="A1881" s="22" t="inlineStr">
        <is>
          <t>8613</t>
        </is>
      </c>
      <c r="B1881" s="11" t="inlineStr">
        <is>
          <t>Intermediate cross T-section 24x25x0.3mm (1.2 mtrs long)</t>
        </is>
      </c>
      <c r="C1881" s="22" t="inlineStr">
        <is>
          <t>each</t>
        </is>
      </c>
      <c r="D1881" s="23" t="n">
        <v>147</v>
      </c>
      <c r="E1881" s="24" t="n">
        <v>35</v>
      </c>
      <c r="F1881" s="24">
        <f>D1881*E1881</f>
        <v/>
      </c>
      <c r="G1881" s="22" t="n"/>
    </row>
    <row r="1882">
      <c r="A1882" s="22" t="inlineStr">
        <is>
          <t>8614</t>
        </is>
      </c>
      <c r="B1882" s="11" t="inlineStr">
        <is>
          <t>Intermediate cross T-section 24x25x0.3mm (0.6 mtrs long)</t>
        </is>
      </c>
      <c r="C1882" s="22" t="inlineStr">
        <is>
          <t>each</t>
        </is>
      </c>
      <c r="D1882" s="23" t="n">
        <v>147</v>
      </c>
      <c r="E1882" s="24" t="n">
        <v>17</v>
      </c>
      <c r="F1882" s="24">
        <f>D1882*E1882</f>
        <v/>
      </c>
      <c r="G1882" s="22" t="n"/>
    </row>
    <row r="1883">
      <c r="A1883" s="22" t="inlineStr">
        <is>
          <t>8615</t>
        </is>
      </c>
      <c r="B1883" s="11" t="inlineStr">
        <is>
          <t>Hanger rod 4 mm thick</t>
        </is>
      </c>
      <c r="C1883" s="22" t="inlineStr">
        <is>
          <t>each</t>
        </is>
      </c>
      <c r="D1883" s="23" t="n">
        <v>72</v>
      </c>
      <c r="E1883" s="24" t="n">
        <v>8</v>
      </c>
      <c r="F1883" s="24">
        <f>D1883*E1883</f>
        <v/>
      </c>
      <c r="G1883" s="22" t="n"/>
    </row>
    <row r="1884">
      <c r="A1884" s="22" t="inlineStr">
        <is>
          <t>8616</t>
        </is>
      </c>
      <c r="B1884" s="11" t="inlineStr">
        <is>
          <t>Adjustment clip 85x30x0.8mm</t>
        </is>
      </c>
      <c r="C1884" s="22" t="inlineStr">
        <is>
          <t>each</t>
        </is>
      </c>
      <c r="D1884" s="23" t="n">
        <v>72</v>
      </c>
      <c r="E1884" s="24" t="n">
        <v>5</v>
      </c>
      <c r="F1884" s="24">
        <f>D1884*E1884</f>
        <v/>
      </c>
      <c r="G1884" s="22" t="n"/>
    </row>
    <row r="1885">
      <c r="A1885" s="22" t="inlineStr">
        <is>
          <t>8617</t>
        </is>
      </c>
      <c r="B1885" s="11" t="inlineStr">
        <is>
          <t>Soffit cleat (Size 27x37x25x1.60mm)</t>
        </is>
      </c>
      <c r="C1885" s="22" t="inlineStr">
        <is>
          <t>each</t>
        </is>
      </c>
      <c r="D1885" s="23" t="n">
        <v>72</v>
      </c>
      <c r="E1885" s="24" t="n">
        <v>4</v>
      </c>
      <c r="F1885" s="24">
        <f>D1885*E1885</f>
        <v/>
      </c>
      <c r="G1885" s="22" t="n"/>
    </row>
    <row r="1886">
      <c r="A1886" s="22" t="inlineStr">
        <is>
          <t>7388</t>
        </is>
      </c>
      <c r="B1886" s="11" t="inlineStr">
        <is>
          <t>Dash hold fastener 12.5 mm dia, 40 mm long with 6 mm dia bolt</t>
        </is>
      </c>
      <c r="C1886" s="22" t="inlineStr">
        <is>
          <t>each</t>
        </is>
      </c>
      <c r="D1886" s="23" t="n">
        <v>72</v>
      </c>
      <c r="E1886" s="24" t="n">
        <v>11</v>
      </c>
      <c r="F1886" s="24">
        <f>D1886*E1886</f>
        <v/>
      </c>
      <c r="G1886" s="22" t="n"/>
    </row>
    <row r="1887">
      <c r="A1887" s="22" t="inlineStr">
        <is>
          <t>9999</t>
        </is>
      </c>
      <c r="B1887" s="11" t="inlineStr">
        <is>
          <t>Sundries i.e. scaffolding etc.</t>
        </is>
      </c>
      <c r="C1887" s="22" t="inlineStr">
        <is>
          <t>L.S.</t>
        </is>
      </c>
      <c r="D1887" s="23" t="n">
        <v>187.95</v>
      </c>
      <c r="E1887" s="24" t="n">
        <v>2</v>
      </c>
      <c r="F1887" s="24">
        <f>D1887*E1887</f>
        <v/>
      </c>
      <c r="G1887" s="22" t="n"/>
    </row>
    <row r="1888">
      <c r="A1888" s="22" t="inlineStr">
        <is>
          <t>9977</t>
        </is>
      </c>
      <c r="B1888" s="11" t="inlineStr">
        <is>
          <t>Carriage of materials etc.</t>
        </is>
      </c>
      <c r="C1888" s="22" t="inlineStr">
        <is>
          <t>L.S.</t>
        </is>
      </c>
      <c r="D1888" s="23" t="n">
        <v>89.28</v>
      </c>
      <c r="E1888" s="24" t="n">
        <v>2</v>
      </c>
      <c r="F1888" s="24">
        <f>D1888*E1888</f>
        <v/>
      </c>
      <c r="G1888" s="22" t="n"/>
    </row>
    <row r="1889">
      <c r="A1889" s="22" t="inlineStr">
        <is>
          <t>0111</t>
        </is>
      </c>
      <c r="B1889" s="11" t="inlineStr">
        <is>
          <t>Carpenter 1st class</t>
        </is>
      </c>
      <c r="C1889" s="22" t="inlineStr">
        <is>
          <t>day</t>
        </is>
      </c>
      <c r="D1889" s="23" t="n">
        <v>28</v>
      </c>
      <c r="E1889" s="24" t="n">
        <v>738</v>
      </c>
      <c r="F1889" s="24">
        <f>D1889*E1889</f>
        <v/>
      </c>
      <c r="G1889" s="22" t="n"/>
    </row>
    <row r="1890">
      <c r="A1890" s="22" t="inlineStr">
        <is>
          <t>0114</t>
        </is>
      </c>
      <c r="B1890" s="11" t="inlineStr">
        <is>
          <t>Beldar</t>
        </is>
      </c>
      <c r="C1890" s="22" t="inlineStr">
        <is>
          <t>day</t>
        </is>
      </c>
      <c r="D1890" s="23" t="n">
        <v>23</v>
      </c>
      <c r="E1890" s="24" t="n">
        <v>558</v>
      </c>
      <c r="F1890" s="24">
        <f>D1890*E1890</f>
        <v/>
      </c>
      <c r="G1890" s="22" t="n"/>
    </row>
    <row r="1891">
      <c r="A1891" s="8" t="inlineStr">
        <is>
          <t>Calculated W - SUM of the Amount column above</t>
        </is>
      </c>
      <c r="B1891" s="9" t="n"/>
      <c r="C1891" s="9" t="n"/>
      <c r="D1891" s="9" t="n"/>
      <c r="E1891" s="9" t="n"/>
      <c r="F1891" s="25">
        <f>SUM(F1878:F1890)</f>
        <v/>
      </c>
      <c r="G1891" s="9" t="n"/>
    </row>
    <row r="1892">
      <c r="A1892" s="26" t="inlineStr">
        <is>
          <t>W as printed in the DAR</t>
        </is>
      </c>
      <c r="B1892" s="22" t="n"/>
      <c r="C1892" s="22" t="n"/>
      <c r="D1892" s="22" t="n"/>
      <c r="E1892" s="22" t="n"/>
      <c r="F1892" s="27" t="n">
        <v>87559.96000000001</v>
      </c>
      <c r="G1892" s="22" t="n"/>
    </row>
    <row r="1893">
      <c r="A1893" s="26" t="inlineStr">
        <is>
          <t>Difference (calculated - printed)</t>
        </is>
      </c>
      <c r="B1893" s="22" t="n"/>
      <c r="C1893" s="22" t="n"/>
      <c r="D1893" s="22" t="n"/>
      <c r="E1893" s="22" t="n"/>
      <c r="F1893" s="27">
        <f>F1891-F1892</f>
        <v/>
      </c>
      <c r="G1893" s="22" t="n"/>
    </row>
    <row r="1894">
      <c r="A1894" s="29" t="inlineStr">
        <is>
          <t>SAY (Rs.) - final DAR rate as printed (fixed value, not computed)</t>
        </is>
      </c>
      <c r="B1894" s="30" t="n"/>
      <c r="C1894" s="30" t="n"/>
      <c r="D1894" s="30" t="n"/>
      <c r="E1894" s="30" t="n"/>
      <c r="F1894" s="31" t="n">
        <v>1171.5</v>
      </c>
      <c r="G1894" s="30" t="n"/>
    </row>
    <row r="1896" ht="120" customHeight="1">
      <c r="A1896" s="18" t="inlineStr">
        <is>
          <t>12.53</t>
        </is>
      </c>
      <c r="B1896" s="19" t="inlineStr">
        <is>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t>
        </is>
      </c>
      <c r="C1896" s="20" t="n"/>
      <c r="D1896" s="20" t="n"/>
      <c r="E1896" s="20" t="n"/>
      <c r="F1896" s="20" t="n"/>
      <c r="G1896" s="20" t="n"/>
    </row>
    <row r="1897" ht="18.5" customHeight="1">
      <c r="A1897" s="20" t="n"/>
      <c r="B1897" s="19" t="inlineStr">
        <is>
          <t>angle pre-coated steel of size(24x24X3000 mm made of 0.40 mm thick (minimum) sheet</t>
        </is>
      </c>
      <c r="C1897" s="20" t="n"/>
      <c r="D1897" s="20" t="n"/>
      <c r="E1897" s="20" t="n"/>
      <c r="F1897" s="20" t="n"/>
      <c r="G1897" s="20" t="n"/>
    </row>
    <row r="1898">
      <c r="A1898" s="21" t="inlineStr">
        <is>
          <t>Details of cost for 100 sqm   |   Source: CivilDAR_2019_Vol_1.pdf, page 891</t>
        </is>
      </c>
    </row>
    <row r="1899">
      <c r="A1899" s="5" t="inlineStr">
        <is>
          <t>Code</t>
        </is>
      </c>
      <c r="B1899" s="5" t="inlineStr">
        <is>
          <t>Description</t>
        </is>
      </c>
      <c r="C1899" s="5" t="inlineStr">
        <is>
          <t>Unit</t>
        </is>
      </c>
      <c r="D1899" s="5" t="inlineStr">
        <is>
          <t>Quantity</t>
        </is>
      </c>
      <c r="E1899" s="5" t="inlineStr">
        <is>
          <t>Rate (Rs.)</t>
        </is>
      </c>
      <c r="F1899" s="5" t="inlineStr">
        <is>
          <t>Amount (Rs.)</t>
        </is>
      </c>
      <c r="G1899" s="5" t="inlineStr">
        <is>
          <t>Note</t>
        </is>
      </c>
    </row>
    <row r="1900">
      <c r="A1900" s="22" t="inlineStr">
        <is>
          <t>8589</t>
        </is>
      </c>
      <c r="B1900" s="11" t="inlineStr">
        <is>
          <t>Calcium Silicate tegular edged celling tiles 495x495 mm and 15 mm thick</t>
        </is>
      </c>
      <c r="C1900" s="22" t="inlineStr">
        <is>
          <t>sqm</t>
        </is>
      </c>
      <c r="D1900" s="23" t="n">
        <v>105</v>
      </c>
      <c r="E1900" s="24" t="n">
        <v>685</v>
      </c>
      <c r="F1900" s="24">
        <f>D1900*E1900</f>
        <v/>
      </c>
      <c r="G1900" s="22" t="n"/>
    </row>
    <row r="1901">
      <c r="A1901" s="22" t="inlineStr">
        <is>
          <t>8590</t>
        </is>
      </c>
      <c r="B1901" s="11" t="inlineStr">
        <is>
          <t>Galvanised Steel main Tee ceiling section Size 24x38x0.33mm (3.00 metre long)</t>
        </is>
      </c>
      <c r="C1901" s="22" t="inlineStr">
        <is>
          <t>each</t>
        </is>
      </c>
      <c r="D1901" s="23" t="n">
        <v>29.5</v>
      </c>
      <c r="E1901" s="24" t="n">
        <v>120</v>
      </c>
      <c r="F1901" s="24">
        <f>D1901*E1901</f>
        <v/>
      </c>
      <c r="G1901" s="22" t="n"/>
    </row>
    <row r="1902">
      <c r="A1902" s="22" t="inlineStr">
        <is>
          <t>8591</t>
        </is>
      </c>
      <c r="B1902" s="11" t="inlineStr">
        <is>
          <t>Galvanised Steel perimeter wall Angle Size 24 x 24 x 0.40 mm (3.00 metre long)</t>
        </is>
      </c>
      <c r="C1902" s="22" t="inlineStr">
        <is>
          <t>each</t>
        </is>
      </c>
      <c r="D1902" s="23" t="n">
        <v>13.5</v>
      </c>
      <c r="E1902" s="24" t="n">
        <v>65</v>
      </c>
      <c r="F1902" s="24">
        <f>D1902*E1902</f>
        <v/>
      </c>
      <c r="G1902" s="22" t="n"/>
    </row>
    <row r="1903">
      <c r="A1903" s="22" t="inlineStr">
        <is>
          <t>8592</t>
        </is>
      </c>
      <c r="B1903" s="11" t="inlineStr">
        <is>
          <t>Galvanised Steel intermediate cross T section Size 24 x 25 x 0.33 mm (1.2 metre long)</t>
        </is>
      </c>
      <c r="C1903" s="22" t="inlineStr">
        <is>
          <t>each</t>
        </is>
      </c>
      <c r="D1903" s="23" t="n">
        <v>147</v>
      </c>
      <c r="E1903" s="24" t="n">
        <v>40</v>
      </c>
      <c r="F1903" s="24">
        <f>D1903*E1903</f>
        <v/>
      </c>
      <c r="G1903" s="22" t="n"/>
    </row>
    <row r="1904">
      <c r="A1904" s="22" t="inlineStr">
        <is>
          <t>8593</t>
        </is>
      </c>
      <c r="B1904" s="11" t="inlineStr">
        <is>
          <t>Galvanised Steel intermediate cross T section Size 24 x 25 x 0.33. ( 0.6 metre long)</t>
        </is>
      </c>
      <c r="C1904" s="22" t="inlineStr">
        <is>
          <t>each</t>
        </is>
      </c>
      <c r="D1904" s="23" t="n">
        <v>147</v>
      </c>
      <c r="E1904" s="24" t="n">
        <v>20</v>
      </c>
      <c r="F1904" s="24">
        <f>D1904*E1904</f>
        <v/>
      </c>
      <c r="G1904" s="22" t="n"/>
    </row>
    <row r="1905">
      <c r="A1905" s="22" t="inlineStr">
        <is>
          <t>8615</t>
        </is>
      </c>
      <c r="B1905" s="11" t="inlineStr">
        <is>
          <t>Hanger rod 4 mm thick</t>
        </is>
      </c>
      <c r="C1905" s="22" t="inlineStr">
        <is>
          <t>each</t>
        </is>
      </c>
      <c r="D1905" s="23" t="n">
        <v>72</v>
      </c>
      <c r="E1905" s="24" t="n">
        <v>8</v>
      </c>
      <c r="F1905" s="24">
        <f>D1905*E1905</f>
        <v/>
      </c>
      <c r="G1905" s="22" t="n"/>
    </row>
    <row r="1906">
      <c r="A1906" s="22" t="inlineStr">
        <is>
          <t>8616</t>
        </is>
      </c>
      <c r="B1906" s="11" t="inlineStr">
        <is>
          <t>Adjustment clip 85x30x0.8mm</t>
        </is>
      </c>
      <c r="C1906" s="22" t="inlineStr">
        <is>
          <t>each</t>
        </is>
      </c>
      <c r="D1906" s="23" t="n">
        <v>72</v>
      </c>
      <c r="E1906" s="24" t="n">
        <v>5</v>
      </c>
      <c r="F1906" s="24">
        <f>D1906*E1906</f>
        <v/>
      </c>
      <c r="G1906" s="22" t="n"/>
    </row>
    <row r="1907">
      <c r="A1907" s="22" t="inlineStr">
        <is>
          <t>7388</t>
        </is>
      </c>
      <c r="B1907" s="11" t="inlineStr">
        <is>
          <t>Dash hold fastener 12.5 mm dia, 40 mm long with 6 mm dia bolt</t>
        </is>
      </c>
      <c r="C1907" s="22" t="inlineStr">
        <is>
          <t>each</t>
        </is>
      </c>
      <c r="D1907" s="23" t="n">
        <v>72</v>
      </c>
      <c r="E1907" s="24" t="n">
        <v>11</v>
      </c>
      <c r="F1907" s="24">
        <f>D1907*E1907</f>
        <v/>
      </c>
      <c r="G1907" s="22" t="n"/>
    </row>
    <row r="1908">
      <c r="A1908" s="22" t="inlineStr">
        <is>
          <t>8617</t>
        </is>
      </c>
      <c r="B1908" s="11" t="inlineStr">
        <is>
          <t>Soffit cleat (Size 27x37x25x1.60mm)</t>
        </is>
      </c>
      <c r="C1908" s="22" t="inlineStr">
        <is>
          <t>each</t>
        </is>
      </c>
      <c r="D1908" s="23" t="n">
        <v>72</v>
      </c>
      <c r="E1908" s="24" t="n">
        <v>4</v>
      </c>
      <c r="F1908" s="24">
        <f>D1908*E1908</f>
        <v/>
      </c>
      <c r="G1908" s="22" t="n"/>
    </row>
    <row r="1909">
      <c r="A1909" s="22" t="inlineStr">
        <is>
          <t>8595</t>
        </is>
      </c>
      <c r="B1909" s="11" t="inlineStr">
        <is>
          <t>Wooden screws with plastic rawl plugs 35x8 mm</t>
        </is>
      </c>
      <c r="C1909" s="22" t="inlineStr">
        <is>
          <t>each</t>
        </is>
      </c>
      <c r="D1909" s="23" t="n">
        <v>100</v>
      </c>
      <c r="E1909" s="24" t="n">
        <v>1</v>
      </c>
      <c r="F1909" s="24">
        <f>D1909*E1909</f>
        <v/>
      </c>
      <c r="G1909" s="22" t="n"/>
    </row>
    <row r="1910">
      <c r="A1910" s="22" t="inlineStr">
        <is>
          <t>9999</t>
        </is>
      </c>
      <c r="B1910" s="11" t="inlineStr">
        <is>
          <t>scaffolding etc.</t>
        </is>
      </c>
      <c r="C1910" s="22" t="inlineStr">
        <is>
          <t>L.S.</t>
        </is>
      </c>
      <c r="D1910" s="23" t="n">
        <v>498.65</v>
      </c>
      <c r="E1910" s="24" t="n">
        <v>2</v>
      </c>
      <c r="F1910" s="24">
        <f>D1910*E1910</f>
        <v/>
      </c>
      <c r="G1910" s="22" t="n"/>
    </row>
    <row r="1911">
      <c r="A1911" s="22" t="inlineStr">
        <is>
          <t>9977</t>
        </is>
      </c>
      <c r="B1911" s="11" t="inlineStr">
        <is>
          <t>Carriage of materials etc.</t>
        </is>
      </c>
      <c r="C1911" s="22" t="inlineStr">
        <is>
          <t>L.S.</t>
        </is>
      </c>
      <c r="D1911" s="23" t="n">
        <v>237.48</v>
      </c>
      <c r="E1911" s="24" t="n">
        <v>2</v>
      </c>
      <c r="F1911" s="24">
        <f>D1911*E1911</f>
        <v/>
      </c>
      <c r="G1911" s="22" t="n"/>
    </row>
    <row r="1912">
      <c r="A1912" s="22" t="inlineStr">
        <is>
          <t>9999</t>
        </is>
      </c>
      <c r="B1912" s="11" t="inlineStr">
        <is>
          <t>Sundries</t>
        </is>
      </c>
      <c r="C1912" s="22" t="inlineStr">
        <is>
          <t>L.S.</t>
        </is>
      </c>
      <c r="D1912" s="23" t="n">
        <v>310.7</v>
      </c>
      <c r="E1912" s="24" t="n">
        <v>2</v>
      </c>
      <c r="F1912" s="24">
        <f>D1912*E1912</f>
        <v/>
      </c>
      <c r="G1912" s="22" t="n"/>
    </row>
    <row r="1913">
      <c r="A1913" s="22" t="inlineStr">
        <is>
          <t>0111</t>
        </is>
      </c>
      <c r="B1913" s="11" t="inlineStr">
        <is>
          <t>Carpenter 1st class</t>
        </is>
      </c>
      <c r="C1913" s="22" t="inlineStr">
        <is>
          <t>day</t>
        </is>
      </c>
      <c r="D1913" s="23" t="n">
        <v>28</v>
      </c>
      <c r="E1913" s="24" t="n">
        <v>738</v>
      </c>
      <c r="F1913" s="24">
        <f>D1913*E1913</f>
        <v/>
      </c>
      <c r="G1913" s="22" t="n"/>
    </row>
    <row r="1914">
      <c r="A1914" s="22" t="inlineStr">
        <is>
          <t>0114</t>
        </is>
      </c>
      <c r="B1914" s="11" t="inlineStr">
        <is>
          <t>Beldar</t>
        </is>
      </c>
      <c r="C1914" s="22" t="inlineStr">
        <is>
          <t>day</t>
        </is>
      </c>
      <c r="D1914" s="23" t="n">
        <v>23</v>
      </c>
      <c r="E1914" s="24" t="n">
        <v>558</v>
      </c>
      <c r="F1914" s="24">
        <f>D1914*E1914</f>
        <v/>
      </c>
      <c r="G1914" s="22" t="n"/>
    </row>
    <row r="1915">
      <c r="A1915" s="8" t="inlineStr">
        <is>
          <t>Calculated W - SUM of the Amount column above</t>
        </is>
      </c>
      <c r="B1915" s="9" t="n"/>
      <c r="C1915" s="9" t="n"/>
      <c r="D1915" s="9" t="n"/>
      <c r="E1915" s="9" t="n"/>
      <c r="F1915" s="25">
        <f>SUM(F1900:F1914)</f>
        <v/>
      </c>
      <c r="G1915" s="9" t="n"/>
    </row>
    <row r="1916">
      <c r="A1916" s="26" t="inlineStr">
        <is>
          <t>W as printed in the DAR</t>
        </is>
      </c>
      <c r="B1916" s="22" t="n"/>
      <c r="C1916" s="22" t="n"/>
      <c r="D1916" s="22" t="n"/>
      <c r="E1916" s="22" t="n"/>
      <c r="F1916" s="27" t="n">
        <v>122870.16</v>
      </c>
      <c r="G1916" s="22" t="n"/>
    </row>
    <row r="1917">
      <c r="A1917" s="26" t="inlineStr">
        <is>
          <t>Difference (calculated - printed)</t>
        </is>
      </c>
      <c r="B1917" s="22" t="n"/>
      <c r="C1917" s="22" t="n"/>
      <c r="D1917" s="22" t="n"/>
      <c r="E1917" s="22" t="n"/>
      <c r="F1917" s="27">
        <f>F1915-F1916</f>
        <v/>
      </c>
      <c r="G1917" s="22" t="n"/>
    </row>
    <row r="1918">
      <c r="A1918" s="29" t="inlineStr">
        <is>
          <t>SAY (Rs.) - final DAR rate as printed (fixed value, not computed)</t>
        </is>
      </c>
      <c r="B1918" s="30" t="n"/>
      <c r="C1918" s="30" t="n"/>
      <c r="D1918" s="30" t="n"/>
      <c r="E1918" s="30" t="n"/>
      <c r="F1918" s="31" t="n">
        <v>1643.95</v>
      </c>
      <c r="G1918" s="30" t="n"/>
    </row>
    <row r="1920" ht="120" customHeight="1">
      <c r="A1920" s="8" t="inlineStr">
        <is>
          <t>12.54</t>
        </is>
      </c>
      <c r="B1920" s="17"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t>
        </is>
      </c>
      <c r="C1920" s="9" t="n"/>
      <c r="D1920" s="9" t="n"/>
      <c r="E1920" s="9" t="n"/>
      <c r="F1920" s="9" t="n"/>
      <c r="G1920" s="9" t="n"/>
    </row>
    <row r="1921" ht="18.5" customHeight="1">
      <c r="A1921" s="9" t="n"/>
      <c r="B1921" s="17" t="inlineStr">
        <is>
          <t>120 gms/ sqm (both side inclusive), fixing with clip in tiles into spring T with :</t>
        </is>
      </c>
      <c r="C1921" s="9" t="n"/>
      <c r="D1921" s="9" t="n"/>
      <c r="E1921" s="9" t="n"/>
      <c r="F1921" s="9" t="n"/>
      <c r="G1921" s="9" t="n"/>
    </row>
    <row r="1922" ht="47.5" customHeight="1">
      <c r="A1922" s="18" t="inlineStr">
        <is>
          <t>12.54.1</t>
        </is>
      </c>
      <c r="B1922" s="19" t="inlineStr">
        <is>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is>
      </c>
      <c r="C1922" s="20" t="n"/>
      <c r="D1922" s="20" t="n"/>
      <c r="E1922" s="20" t="n"/>
      <c r="F1922" s="20" t="n"/>
      <c r="G1922" s="20" t="n"/>
    </row>
    <row r="1923">
      <c r="A1923" s="21" t="inlineStr">
        <is>
          <t>Details of cost for 100 sqm   |   Source: CivilDAR_2019_Vol_1.pdf, page 892</t>
        </is>
      </c>
    </row>
    <row r="1924">
      <c r="A1924" s="5" t="inlineStr">
        <is>
          <t>Code</t>
        </is>
      </c>
      <c r="B1924" s="5" t="inlineStr">
        <is>
          <t>Description</t>
        </is>
      </c>
      <c r="C1924" s="5" t="inlineStr">
        <is>
          <t>Unit</t>
        </is>
      </c>
      <c r="D1924" s="5" t="inlineStr">
        <is>
          <t>Quantity</t>
        </is>
      </c>
      <c r="E1924" s="5" t="inlineStr">
        <is>
          <t>Rate (Rs.)</t>
        </is>
      </c>
      <c r="F1924" s="5" t="inlineStr">
        <is>
          <t>Amount (Rs.)</t>
        </is>
      </c>
      <c r="G1924" s="5" t="inlineStr">
        <is>
          <t>Note</t>
        </is>
      </c>
    </row>
    <row r="1925">
      <c r="A1925" s="22" t="inlineStr">
        <is>
          <t>8597</t>
        </is>
      </c>
      <c r="B1925" s="11" t="inlineStr">
        <is>
          <t>GI Metal Tile Clip in Plain Beveled edge global white colour tiles of size 600x600 mm and 0.5mm thick</t>
        </is>
      </c>
      <c r="C1925" s="22" t="inlineStr">
        <is>
          <t>sqm</t>
        </is>
      </c>
      <c r="D1925" s="23" t="n">
        <v>105</v>
      </c>
      <c r="E1925" s="24" t="n">
        <v>677</v>
      </c>
      <c r="F1925" s="24">
        <f>D1925*E1925</f>
        <v/>
      </c>
      <c r="G1925" s="22" t="n"/>
    </row>
    <row r="1926">
      <c r="A1926" s="22" t="inlineStr">
        <is>
          <t>8604</t>
        </is>
      </c>
      <c r="B1926" s="11" t="inlineStr">
        <is>
          <t>Spring T-section 24x34x0.45 mm (3.00 meter long)</t>
        </is>
      </c>
      <c r="C1926" s="22" t="inlineStr">
        <is>
          <t>metre</t>
        </is>
      </c>
      <c r="D1926" s="23" t="n">
        <v>60</v>
      </c>
      <c r="E1926" s="24" t="n">
        <v>190</v>
      </c>
      <c r="F1926" s="24">
        <f>D1926*E1926</f>
        <v/>
      </c>
      <c r="G1926" s="22" t="n"/>
    </row>
    <row r="1927">
      <c r="A1927" s="22" t="inlineStr">
        <is>
          <t>8605</t>
        </is>
      </c>
      <c r="B1927" s="11" t="inlineStr">
        <is>
          <t>C Wall angle section 20x30x20x 0.50 mm (3.00 meter long)</t>
        </is>
      </c>
      <c r="C1927" s="22" t="inlineStr">
        <is>
          <t>metre</t>
        </is>
      </c>
      <c r="D1927" s="23" t="n">
        <v>27.7</v>
      </c>
      <c r="E1927" s="24" t="n">
        <v>95</v>
      </c>
      <c r="F1927" s="24">
        <f>D1927*E1927</f>
        <v/>
      </c>
      <c r="G1927" s="22" t="n"/>
    </row>
    <row r="1928">
      <c r="A1928" s="22" t="inlineStr">
        <is>
          <t>8606</t>
        </is>
      </c>
      <c r="B1928" s="11" t="inlineStr">
        <is>
          <t>Main C Carrier Size 10x38x10x0.70mm (3.00 meter long)</t>
        </is>
      </c>
      <c r="C1928" s="22" t="inlineStr">
        <is>
          <t>metre</t>
        </is>
      </c>
      <c r="D1928" s="23" t="n">
        <v>33</v>
      </c>
      <c r="E1928" s="24" t="n">
        <v>115</v>
      </c>
      <c r="F1928" s="24">
        <f>D1928*E1928</f>
        <v/>
      </c>
      <c r="G1928" s="22" t="n"/>
    </row>
    <row r="1929">
      <c r="A1929" s="22" t="inlineStr">
        <is>
          <t>8607</t>
        </is>
      </c>
      <c r="B1929" s="11" t="inlineStr">
        <is>
          <t>Spring T-connector</t>
        </is>
      </c>
      <c r="C1929" s="22" t="inlineStr">
        <is>
          <t>each</t>
        </is>
      </c>
      <c r="D1929" s="23" t="n">
        <v>44</v>
      </c>
      <c r="E1929" s="24" t="n">
        <v>5</v>
      </c>
      <c r="F1929" s="24">
        <f>D1929*E1929</f>
        <v/>
      </c>
      <c r="G1929" s="22" t="n"/>
    </row>
    <row r="1930">
      <c r="A1930" s="22" t="inlineStr">
        <is>
          <t>8608</t>
        </is>
      </c>
      <c r="B1930" s="11" t="inlineStr">
        <is>
          <t>C Carrier Connector</t>
        </is>
      </c>
      <c r="C1930" s="22" t="inlineStr">
        <is>
          <t>each</t>
        </is>
      </c>
      <c r="D1930" s="23" t="n">
        <v>44</v>
      </c>
      <c r="E1930" s="24" t="n">
        <v>11</v>
      </c>
      <c r="F1930" s="24">
        <f>D1930*E1930</f>
        <v/>
      </c>
      <c r="G1930" s="22" t="n"/>
    </row>
    <row r="1931">
      <c r="A1931" s="22" t="inlineStr">
        <is>
          <t>8609</t>
        </is>
      </c>
      <c r="B1931" s="11" t="inlineStr">
        <is>
          <t>C Suspension Clip</t>
        </is>
      </c>
      <c r="C1931" s="22" t="inlineStr">
        <is>
          <t>each</t>
        </is>
      </c>
      <c r="D1931" s="23" t="n">
        <v>88</v>
      </c>
      <c r="E1931" s="24" t="n">
        <v>8</v>
      </c>
      <c r="F1931" s="24">
        <f>D1931*E1931</f>
        <v/>
      </c>
      <c r="G1931" s="22" t="n"/>
    </row>
    <row r="1932">
      <c r="A1932" s="22" t="inlineStr">
        <is>
          <t>8610</t>
        </is>
      </c>
      <c r="B1932" s="11" t="inlineStr">
        <is>
          <t>Wire Coupling Clip</t>
        </is>
      </c>
      <c r="C1932" s="22" t="inlineStr">
        <is>
          <t>each</t>
        </is>
      </c>
      <c r="D1932" s="23" t="n">
        <v>333</v>
      </c>
      <c r="E1932" s="24" t="n">
        <v>9</v>
      </c>
      <c r="F1932" s="24">
        <f>D1932*E1932</f>
        <v/>
      </c>
      <c r="G1932" s="22" t="n"/>
    </row>
    <row r="1933">
      <c r="A1933" s="22" t="inlineStr">
        <is>
          <t>8615</t>
        </is>
      </c>
      <c r="B1933" s="11" t="inlineStr">
        <is>
          <t>Hanger rod 4 mm thick</t>
        </is>
      </c>
      <c r="C1933" s="22" t="inlineStr">
        <is>
          <t>each</t>
        </is>
      </c>
      <c r="D1933" s="23" t="n">
        <v>80</v>
      </c>
      <c r="E1933" s="24" t="n">
        <v>8</v>
      </c>
      <c r="F1933" s="24">
        <f>D1933*E1933</f>
        <v/>
      </c>
      <c r="G1933" s="22" t="n"/>
    </row>
    <row r="1934">
      <c r="A1934" s="22" t="inlineStr">
        <is>
          <t>8616</t>
        </is>
      </c>
      <c r="B1934" s="11" t="inlineStr">
        <is>
          <t>Adjustment clip 85x30x0.8mm</t>
        </is>
      </c>
      <c r="C1934" s="22" t="inlineStr">
        <is>
          <t>each</t>
        </is>
      </c>
      <c r="D1934" s="23" t="n">
        <v>80</v>
      </c>
      <c r="E1934" s="24" t="n">
        <v>5</v>
      </c>
      <c r="F1934" s="24">
        <f>D1934*E1934</f>
        <v/>
      </c>
      <c r="G1934" s="22" t="n"/>
    </row>
    <row r="1935">
      <c r="A1935" s="22" t="inlineStr">
        <is>
          <t>8617</t>
        </is>
      </c>
      <c r="B1935" s="11" t="inlineStr">
        <is>
          <t>Soffit cleat (Size 27x37x25x1.60mm)</t>
        </is>
      </c>
      <c r="C1935" s="22" t="inlineStr">
        <is>
          <t>each</t>
        </is>
      </c>
      <c r="D1935" s="23" t="n">
        <v>80</v>
      </c>
      <c r="E1935" s="24" t="n">
        <v>4</v>
      </c>
      <c r="F1935" s="24">
        <f>D1935*E1935</f>
        <v/>
      </c>
      <c r="G1935" s="22" t="n"/>
    </row>
    <row r="1936">
      <c r="A1936" s="22" t="inlineStr">
        <is>
          <t>7388</t>
        </is>
      </c>
      <c r="B1936" s="11" t="inlineStr">
        <is>
          <t>Dash hold fastener 12.5 mm dia, 40 mm long with 6 mm dia bolt</t>
        </is>
      </c>
      <c r="C1936" s="22" t="inlineStr">
        <is>
          <t>each</t>
        </is>
      </c>
      <c r="D1936" s="23" t="n">
        <v>80</v>
      </c>
      <c r="E1936" s="24" t="n">
        <v>11</v>
      </c>
      <c r="F1936" s="24">
        <f>D1936*E1936</f>
        <v/>
      </c>
      <c r="G1936" s="22" t="n"/>
    </row>
    <row r="1937">
      <c r="A1937" s="22" t="inlineStr">
        <is>
          <t>9999</t>
        </is>
      </c>
      <c r="B1937" s="11" t="inlineStr">
        <is>
          <t>Sundries i.e. scaffolding etc.</t>
        </is>
      </c>
      <c r="C1937" s="22" t="inlineStr">
        <is>
          <t>L.S.</t>
        </is>
      </c>
      <c r="D1937" s="23" t="n">
        <v>188</v>
      </c>
      <c r="E1937" s="24" t="n">
        <v>2</v>
      </c>
      <c r="F1937" s="24">
        <f>D1937*E1937</f>
        <v/>
      </c>
      <c r="G1937" s="22" t="n"/>
    </row>
    <row r="1938">
      <c r="A1938" s="22" t="inlineStr">
        <is>
          <t>9977</t>
        </is>
      </c>
      <c r="B1938" s="11" t="inlineStr">
        <is>
          <t>Carriage of materials etc.</t>
        </is>
      </c>
      <c r="C1938" s="22" t="inlineStr">
        <is>
          <t>L.S.</t>
        </is>
      </c>
      <c r="D1938" s="23" t="n">
        <v>90</v>
      </c>
      <c r="E1938" s="24" t="n">
        <v>2</v>
      </c>
      <c r="F1938" s="24">
        <f>D1938*E1938</f>
        <v/>
      </c>
      <c r="G1938" s="22" t="n"/>
    </row>
    <row r="1939">
      <c r="A1939" s="22" t="inlineStr">
        <is>
          <t>0111</t>
        </is>
      </c>
      <c r="B1939" s="11" t="inlineStr">
        <is>
          <t>Carpenter 1st class</t>
        </is>
      </c>
      <c r="C1939" s="22" t="inlineStr">
        <is>
          <t>day</t>
        </is>
      </c>
      <c r="D1939" s="23" t="n">
        <v>28</v>
      </c>
      <c r="E1939" s="24" t="n">
        <v>738</v>
      </c>
      <c r="F1939" s="24">
        <f>D1939*E1939</f>
        <v/>
      </c>
      <c r="G1939" s="22" t="n"/>
    </row>
    <row r="1940">
      <c r="A1940" s="22" t="inlineStr">
        <is>
          <t>0114</t>
        </is>
      </c>
      <c r="B1940" s="11" t="inlineStr">
        <is>
          <t>Beldar</t>
        </is>
      </c>
      <c r="C1940" s="22" t="inlineStr">
        <is>
          <t>day</t>
        </is>
      </c>
      <c r="D1940" s="23" t="n">
        <v>23</v>
      </c>
      <c r="E1940" s="24" t="n">
        <v>558</v>
      </c>
      <c r="F1940" s="24">
        <f>D1940*E1940</f>
        <v/>
      </c>
      <c r="G1940" s="22" t="n"/>
    </row>
    <row r="1941">
      <c r="A1941" s="8" t="inlineStr">
        <is>
          <t>Calculated W - SUM of the Amount column above</t>
        </is>
      </c>
      <c r="B1941" s="9" t="n"/>
      <c r="C1941" s="9" t="n"/>
      <c r="D1941" s="9" t="n"/>
      <c r="E1941" s="9" t="n"/>
      <c r="F1941" s="25">
        <f>SUM(F1925:F1940)</f>
        <v/>
      </c>
      <c r="G1941" s="9" t="n"/>
    </row>
    <row r="1942">
      <c r="A1942" s="26" t="inlineStr">
        <is>
          <t>W as printed in the DAR</t>
        </is>
      </c>
      <c r="B1942" s="22" t="n"/>
      <c r="C1942" s="22" t="n"/>
      <c r="D1942" s="22" t="n"/>
      <c r="E1942" s="22" t="n"/>
      <c r="F1942" s="27" t="n">
        <v>129610.5</v>
      </c>
      <c r="G1942" s="22" t="n"/>
    </row>
    <row r="1943">
      <c r="A1943" s="26" t="inlineStr">
        <is>
          <t>Difference (calculated - printed)</t>
        </is>
      </c>
      <c r="B1943" s="22" t="n"/>
      <c r="C1943" s="22" t="n"/>
      <c r="D1943" s="22" t="n"/>
      <c r="E1943" s="22" t="n"/>
      <c r="F1943" s="27">
        <f>F1941-F1942</f>
        <v/>
      </c>
      <c r="G1943" s="22" t="n"/>
    </row>
    <row r="1944">
      <c r="A1944" s="29" t="inlineStr">
        <is>
          <t>SAY (Rs.) - final DAR rate as printed (fixed value, not computed)</t>
        </is>
      </c>
      <c r="B1944" s="30" t="n"/>
      <c r="C1944" s="30" t="n"/>
      <c r="D1944" s="30" t="n"/>
      <c r="E1944" s="30" t="n"/>
      <c r="F1944" s="31" t="n">
        <v>1734.1</v>
      </c>
      <c r="G1944" s="30" t="n"/>
    </row>
    <row r="1946" ht="120" customHeight="1">
      <c r="A1946" s="8" t="inlineStr">
        <is>
          <t>12.54</t>
        </is>
      </c>
      <c r="B1946" s="17"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t>
        </is>
      </c>
      <c r="C1946" s="9" t="n"/>
      <c r="D1946" s="9" t="n"/>
      <c r="E1946" s="9" t="n"/>
      <c r="F1946" s="9" t="n"/>
      <c r="G1946" s="9" t="n"/>
    </row>
    <row r="1947" ht="18.5" customHeight="1">
      <c r="A1947" s="9" t="n"/>
      <c r="B1947" s="17" t="inlineStr">
        <is>
          <t>120 gms/ sqm (both side inclusive), fixing with clip in tiles into spring T with :</t>
        </is>
      </c>
      <c r="C1947" s="9" t="n"/>
      <c r="D1947" s="9" t="n"/>
      <c r="E1947" s="9" t="n"/>
      <c r="F1947" s="9" t="n"/>
      <c r="G1947" s="9" t="n"/>
    </row>
    <row r="1948" ht="62" customHeight="1">
      <c r="A1948" s="18" t="inlineStr">
        <is>
          <t>12.54.2</t>
        </is>
      </c>
      <c r="B1948" s="19" t="inlineStr">
        <is>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is>
      </c>
      <c r="C1948" s="20" t="n"/>
      <c r="D1948" s="20" t="n"/>
      <c r="E1948" s="20" t="n"/>
      <c r="F1948" s="20" t="n"/>
      <c r="G1948" s="20" t="n"/>
    </row>
    <row r="1949">
      <c r="A1949" s="21" t="inlineStr">
        <is>
          <t>Details of cost for 100 sqm   |   Source: CivilDAR_2019_Vol_1.pdf, page 893</t>
        </is>
      </c>
    </row>
    <row r="1950">
      <c r="A1950" s="5" t="inlineStr">
        <is>
          <t>Code</t>
        </is>
      </c>
      <c r="B1950" s="5" t="inlineStr">
        <is>
          <t>Description</t>
        </is>
      </c>
      <c r="C1950" s="5" t="inlineStr">
        <is>
          <t>Unit</t>
        </is>
      </c>
      <c r="D1950" s="5" t="inlineStr">
        <is>
          <t>Quantity</t>
        </is>
      </c>
      <c r="E1950" s="5" t="inlineStr">
        <is>
          <t>Rate (Rs.)</t>
        </is>
      </c>
      <c r="F1950" s="5" t="inlineStr">
        <is>
          <t>Amount (Rs.)</t>
        </is>
      </c>
      <c r="G1950" s="5" t="inlineStr">
        <is>
          <t>Note</t>
        </is>
      </c>
    </row>
    <row r="1951">
      <c r="A1951" s="22" t="inlineStr">
        <is>
          <t>8598</t>
        </is>
      </c>
      <c r="B1951" s="11" t="inlineStr">
        <is>
          <t>GI Metal Tile Clip in Perforated Beveled edge global white colour tiles of size 600x600 mm and 0.5mm thick</t>
        </is>
      </c>
      <c r="C1951" s="22" t="inlineStr">
        <is>
          <t>sqm</t>
        </is>
      </c>
      <c r="D1951" s="23" t="n">
        <v>105</v>
      </c>
      <c r="E1951" s="24" t="n">
        <v>782</v>
      </c>
      <c r="F1951" s="24">
        <f>D1951*E1951</f>
        <v/>
      </c>
      <c r="G1951" s="22" t="n"/>
    </row>
    <row r="1952">
      <c r="A1952" s="22" t="inlineStr">
        <is>
          <t>8604</t>
        </is>
      </c>
      <c r="B1952" s="11" t="inlineStr">
        <is>
          <t>Spring T-section 24x34x0.45 mm (3.00 meter long)</t>
        </is>
      </c>
      <c r="C1952" s="22" t="inlineStr">
        <is>
          <t>metre</t>
        </is>
      </c>
      <c r="D1952" s="23" t="n">
        <v>60</v>
      </c>
      <c r="E1952" s="24" t="n">
        <v>190</v>
      </c>
      <c r="F1952" s="24">
        <f>D1952*E1952</f>
        <v/>
      </c>
      <c r="G1952" s="22" t="n"/>
    </row>
    <row r="1953">
      <c r="A1953" s="22" t="inlineStr">
        <is>
          <t>8605</t>
        </is>
      </c>
      <c r="B1953" s="11" t="inlineStr">
        <is>
          <t>C Wall angle section 20x30x20x 0.50 mm (3.00 meter long)</t>
        </is>
      </c>
      <c r="C1953" s="22" t="inlineStr">
        <is>
          <t>metre</t>
        </is>
      </c>
      <c r="D1953" s="23" t="n">
        <v>27.7</v>
      </c>
      <c r="E1953" s="24" t="n">
        <v>95</v>
      </c>
      <c r="F1953" s="24">
        <f>D1953*E1953</f>
        <v/>
      </c>
      <c r="G1953" s="22" t="n"/>
    </row>
    <row r="1954">
      <c r="A1954" s="22" t="inlineStr">
        <is>
          <t>8606</t>
        </is>
      </c>
      <c r="B1954" s="11" t="inlineStr">
        <is>
          <t>Main C Carrier Size 10x38x10x0.70mm (3.00 meter long)</t>
        </is>
      </c>
      <c r="C1954" s="22" t="inlineStr">
        <is>
          <t>metre</t>
        </is>
      </c>
      <c r="D1954" s="23" t="n">
        <v>33</v>
      </c>
      <c r="E1954" s="24" t="n">
        <v>115</v>
      </c>
      <c r="F1954" s="24">
        <f>D1954*E1954</f>
        <v/>
      </c>
      <c r="G1954" s="22" t="n"/>
    </row>
    <row r="1955">
      <c r="A1955" s="22" t="inlineStr">
        <is>
          <t>8607</t>
        </is>
      </c>
      <c r="B1955" s="11" t="inlineStr">
        <is>
          <t>Spring T-connector</t>
        </is>
      </c>
      <c r="C1955" s="22" t="inlineStr">
        <is>
          <t>each</t>
        </is>
      </c>
      <c r="D1955" s="23" t="n">
        <v>44</v>
      </c>
      <c r="E1955" s="24" t="n">
        <v>5</v>
      </c>
      <c r="F1955" s="24">
        <f>D1955*E1955</f>
        <v/>
      </c>
      <c r="G1955" s="22" t="n"/>
    </row>
    <row r="1956">
      <c r="A1956" s="22" t="inlineStr">
        <is>
          <t>8608</t>
        </is>
      </c>
      <c r="B1956" s="11" t="inlineStr">
        <is>
          <t>C Carrier Connector</t>
        </is>
      </c>
      <c r="C1956" s="22" t="inlineStr">
        <is>
          <t>each</t>
        </is>
      </c>
      <c r="D1956" s="23" t="n">
        <v>44</v>
      </c>
      <c r="E1956" s="24" t="n">
        <v>11</v>
      </c>
      <c r="F1956" s="24">
        <f>D1956*E1956</f>
        <v/>
      </c>
      <c r="G1956" s="22" t="n"/>
    </row>
    <row r="1957">
      <c r="A1957" s="22" t="inlineStr">
        <is>
          <t>8609</t>
        </is>
      </c>
      <c r="B1957" s="11" t="inlineStr">
        <is>
          <t>C Suspension Clip</t>
        </is>
      </c>
      <c r="C1957" s="22" t="inlineStr">
        <is>
          <t>each</t>
        </is>
      </c>
      <c r="D1957" s="23" t="n">
        <v>88</v>
      </c>
      <c r="E1957" s="24" t="n">
        <v>8</v>
      </c>
      <c r="F1957" s="24">
        <f>D1957*E1957</f>
        <v/>
      </c>
      <c r="G1957" s="22" t="n"/>
    </row>
    <row r="1958">
      <c r="A1958" s="22" t="inlineStr">
        <is>
          <t>8610</t>
        </is>
      </c>
      <c r="B1958" s="11" t="inlineStr">
        <is>
          <t>Wire Coupling Clip</t>
        </is>
      </c>
      <c r="C1958" s="22" t="inlineStr">
        <is>
          <t>each</t>
        </is>
      </c>
      <c r="D1958" s="23" t="n">
        <v>333</v>
      </c>
      <c r="E1958" s="24" t="n">
        <v>9</v>
      </c>
      <c r="F1958" s="24">
        <f>D1958*E1958</f>
        <v/>
      </c>
      <c r="G1958" s="22" t="n"/>
    </row>
    <row r="1959">
      <c r="A1959" s="22" t="inlineStr">
        <is>
          <t>8615</t>
        </is>
      </c>
      <c r="B1959" s="11" t="inlineStr">
        <is>
          <t>Hanger rod 4 mm thick</t>
        </is>
      </c>
      <c r="C1959" s="22" t="inlineStr">
        <is>
          <t>each</t>
        </is>
      </c>
      <c r="D1959" s="23" t="n">
        <v>80</v>
      </c>
      <c r="E1959" s="24" t="n">
        <v>8</v>
      </c>
      <c r="F1959" s="24">
        <f>D1959*E1959</f>
        <v/>
      </c>
      <c r="G1959" s="22" t="n"/>
    </row>
    <row r="1960">
      <c r="A1960" s="22" t="inlineStr">
        <is>
          <t>8616</t>
        </is>
      </c>
      <c r="B1960" s="11" t="inlineStr">
        <is>
          <t>Adjustment clip 85x30x0.8mm</t>
        </is>
      </c>
      <c r="C1960" s="22" t="inlineStr">
        <is>
          <t>each</t>
        </is>
      </c>
      <c r="D1960" s="23" t="n">
        <v>80</v>
      </c>
      <c r="E1960" s="24" t="n">
        <v>5</v>
      </c>
      <c r="F1960" s="24">
        <f>D1960*E1960</f>
        <v/>
      </c>
      <c r="G1960" s="22" t="n"/>
    </row>
    <row r="1961">
      <c r="A1961" s="22" t="inlineStr">
        <is>
          <t>8617</t>
        </is>
      </c>
      <c r="B1961" s="11" t="inlineStr">
        <is>
          <t>Soffit cleat (Size 27x37x25x1.60mm)</t>
        </is>
      </c>
      <c r="C1961" s="22" t="inlineStr">
        <is>
          <t>each</t>
        </is>
      </c>
      <c r="D1961" s="23" t="n">
        <v>80</v>
      </c>
      <c r="E1961" s="24" t="n">
        <v>4</v>
      </c>
      <c r="F1961" s="24">
        <f>D1961*E1961</f>
        <v/>
      </c>
      <c r="G1961" s="22" t="n"/>
    </row>
    <row r="1962">
      <c r="A1962" s="22" t="inlineStr">
        <is>
          <t>7388</t>
        </is>
      </c>
      <c r="B1962" s="11" t="inlineStr">
        <is>
          <t>Dash hold fastener 12.5 mm dia, 40 mm long with 6 mm dia bolt</t>
        </is>
      </c>
      <c r="C1962" s="22" t="inlineStr">
        <is>
          <t>each</t>
        </is>
      </c>
      <c r="D1962" s="23" t="n">
        <v>80</v>
      </c>
      <c r="E1962" s="24" t="n">
        <v>11</v>
      </c>
      <c r="F1962" s="24">
        <f>D1962*E1962</f>
        <v/>
      </c>
      <c r="G1962" s="22" t="n"/>
    </row>
    <row r="1963">
      <c r="A1963" s="22" t="inlineStr">
        <is>
          <t>9999</t>
        </is>
      </c>
      <c r="B1963" s="11" t="inlineStr">
        <is>
          <t>Sundries i.e. scaffolding etc.</t>
        </is>
      </c>
      <c r="C1963" s="22" t="inlineStr">
        <is>
          <t>L.S.</t>
        </is>
      </c>
      <c r="D1963" s="23" t="n">
        <v>188</v>
      </c>
      <c r="E1963" s="24" t="n">
        <v>2</v>
      </c>
      <c r="F1963" s="24">
        <f>D1963*E1963</f>
        <v/>
      </c>
      <c r="G1963" s="22" t="n"/>
    </row>
    <row r="1964">
      <c r="A1964" s="22" t="inlineStr">
        <is>
          <t>9977</t>
        </is>
      </c>
      <c r="B1964" s="11" t="inlineStr">
        <is>
          <t>Carriage of materials etc.</t>
        </is>
      </c>
      <c r="C1964" s="22" t="inlineStr">
        <is>
          <t>L.S.</t>
        </is>
      </c>
      <c r="D1964" s="23" t="n">
        <v>90</v>
      </c>
      <c r="E1964" s="24" t="n">
        <v>2</v>
      </c>
      <c r="F1964" s="24">
        <f>D1964*E1964</f>
        <v/>
      </c>
      <c r="G1964" s="22" t="n"/>
    </row>
    <row r="1965">
      <c r="A1965" s="22" t="inlineStr">
        <is>
          <t>0111</t>
        </is>
      </c>
      <c r="B1965" s="11" t="inlineStr">
        <is>
          <t>Carpenter 1st class</t>
        </is>
      </c>
      <c r="C1965" s="22" t="inlineStr">
        <is>
          <t>day</t>
        </is>
      </c>
      <c r="D1965" s="23" t="n">
        <v>28</v>
      </c>
      <c r="E1965" s="24" t="n">
        <v>738</v>
      </c>
      <c r="F1965" s="24">
        <f>D1965*E1965</f>
        <v/>
      </c>
      <c r="G1965" s="22" t="n"/>
    </row>
    <row r="1966">
      <c r="A1966" s="22" t="inlineStr">
        <is>
          <t>0114</t>
        </is>
      </c>
      <c r="B1966" s="11" t="inlineStr">
        <is>
          <t>Beldar</t>
        </is>
      </c>
      <c r="C1966" s="22" t="inlineStr">
        <is>
          <t>day</t>
        </is>
      </c>
      <c r="D1966" s="23" t="n">
        <v>23</v>
      </c>
      <c r="E1966" s="24" t="n">
        <v>558</v>
      </c>
      <c r="F1966" s="24">
        <f>D1966*E1966</f>
        <v/>
      </c>
      <c r="G1966" s="22" t="n"/>
    </row>
    <row r="1967">
      <c r="A1967" s="8" t="inlineStr">
        <is>
          <t>Calculated W - SUM of the Amount column above</t>
        </is>
      </c>
      <c r="B1967" s="9" t="n"/>
      <c r="C1967" s="9" t="n"/>
      <c r="D1967" s="9" t="n"/>
      <c r="E1967" s="9" t="n"/>
      <c r="F1967" s="25">
        <f>SUM(F1951:F1966)</f>
        <v/>
      </c>
      <c r="G1967" s="9" t="n"/>
    </row>
    <row r="1968">
      <c r="A1968" s="26" t="inlineStr">
        <is>
          <t>W as printed in the DAR</t>
        </is>
      </c>
      <c r="B1968" s="22" t="n"/>
      <c r="C1968" s="22" t="n"/>
      <c r="D1968" s="22" t="n"/>
      <c r="E1968" s="22" t="n"/>
      <c r="F1968" s="27" t="n">
        <v>140635.5</v>
      </c>
      <c r="G1968" s="22" t="n"/>
    </row>
    <row r="1969">
      <c r="A1969" s="26" t="inlineStr">
        <is>
          <t>Difference (calculated - printed)</t>
        </is>
      </c>
      <c r="B1969" s="22" t="n"/>
      <c r="C1969" s="22" t="n"/>
      <c r="D1969" s="22" t="n"/>
      <c r="E1969" s="22" t="n"/>
      <c r="F1969" s="27">
        <f>F1967-F1968</f>
        <v/>
      </c>
      <c r="G1969" s="22" t="n"/>
    </row>
    <row r="1970">
      <c r="A1970" s="29" t="inlineStr">
        <is>
          <t>SAY (Rs.) - final DAR rate as printed (fixed value, not computed)</t>
        </is>
      </c>
      <c r="B1970" s="30" t="n"/>
      <c r="C1970" s="30" t="n"/>
      <c r="D1970" s="30" t="n"/>
      <c r="E1970" s="30" t="n"/>
      <c r="F1970" s="31" t="n">
        <v>1881.6</v>
      </c>
      <c r="G1970" s="30" t="n"/>
    </row>
    <row r="1972" ht="76.5" customHeight="1">
      <c r="A1972" s="18" t="inlineStr">
        <is>
          <t>12.55</t>
        </is>
      </c>
      <c r="B1972" s="19" t="inlineStr">
        <is>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is>
      </c>
      <c r="C1972" s="20" t="n"/>
      <c r="D1972" s="20" t="n"/>
      <c r="E1972" s="20" t="n"/>
      <c r="F1972" s="20" t="n"/>
      <c r="G1972" s="20" t="n"/>
    </row>
    <row r="1973">
      <c r="A1973" s="21" t="inlineStr">
        <is>
          <t>Details of cost for 10 sqm   |   Source: CivilDAR_2019_Vol_1.pdf, page 894</t>
        </is>
      </c>
    </row>
    <row r="1974">
      <c r="A1974" s="5" t="inlineStr">
        <is>
          <t>Code</t>
        </is>
      </c>
      <c r="B1974" s="5" t="inlineStr">
        <is>
          <t>Description</t>
        </is>
      </c>
      <c r="C1974" s="5" t="inlineStr">
        <is>
          <t>Unit</t>
        </is>
      </c>
      <c r="D1974" s="5" t="inlineStr">
        <is>
          <t>Quantity</t>
        </is>
      </c>
      <c r="E1974" s="5" t="inlineStr">
        <is>
          <t>Rate (Rs.)</t>
        </is>
      </c>
      <c r="F1974" s="5" t="inlineStr">
        <is>
          <t>Amount (Rs.)</t>
        </is>
      </c>
      <c r="G1974" s="5" t="inlineStr">
        <is>
          <t>Note</t>
        </is>
      </c>
    </row>
    <row r="1975">
      <c r="A1975" s="22" t="inlineStr">
        <is>
          <t>1204</t>
        </is>
      </c>
      <c r="B1975" s="11" t="inlineStr">
        <is>
          <t>Precast heat resistant terrace tiles (size 300x300mm) and 20mm thick</t>
        </is>
      </c>
      <c r="C1975" s="22" t="inlineStr">
        <is>
          <t>sqm</t>
        </is>
      </c>
      <c r="D1975" s="23" t="n">
        <v>10.3</v>
      </c>
      <c r="E1975" s="24" t="n">
        <v>409</v>
      </c>
      <c r="F1975" s="24">
        <f>D1975*E1975</f>
        <v/>
      </c>
      <c r="G1975" s="22" t="n"/>
    </row>
    <row r="1976">
      <c r="A1976" s="7" t="inlineStr">
        <is>
          <t>3.9</t>
        </is>
      </c>
      <c r="B1976" s="11" t="inlineStr">
        <is>
          <t>Rate as per item 3.9 - Cement mortar 1:4 (1 cement : 4 coarse sand)</t>
        </is>
      </c>
      <c r="C1976" s="22" t="inlineStr">
        <is>
          <t>cum</t>
        </is>
      </c>
      <c r="D1976" s="23" t="n">
        <v>0.224</v>
      </c>
      <c r="E1976" s="24" t="n">
        <v>4010.35</v>
      </c>
      <c r="F1976" s="24">
        <f>D1976*E1976</f>
        <v/>
      </c>
      <c r="G1976" s="22" t="n"/>
    </row>
    <row r="1977">
      <c r="A1977" s="22" t="inlineStr">
        <is>
          <t>0367</t>
        </is>
      </c>
      <c r="B1977" s="11" t="inlineStr">
        <is>
          <t>Portland Cement (OPC-43 grade)</t>
        </is>
      </c>
      <c r="C1977" s="22" t="inlineStr">
        <is>
          <t>tonne</t>
        </is>
      </c>
      <c r="D1977" s="23" t="n">
        <v>0.044</v>
      </c>
      <c r="E1977" s="24" t="n">
        <v>4940</v>
      </c>
      <c r="F1977" s="24">
        <f>D1977*E1977</f>
        <v/>
      </c>
      <c r="G1977" s="22" t="n"/>
    </row>
    <row r="1978">
      <c r="A1978" s="22" t="inlineStr">
        <is>
          <t>0368</t>
        </is>
      </c>
      <c r="B1978" s="11" t="inlineStr">
        <is>
          <t>White Cement</t>
        </is>
      </c>
      <c r="C1978" s="22" t="inlineStr">
        <is>
          <t>tonne</t>
        </is>
      </c>
      <c r="D1978" s="23" t="n">
        <v>0.044</v>
      </c>
      <c r="E1978" s="24" t="n">
        <v>11200</v>
      </c>
      <c r="F1978" s="24">
        <f>D1978*E1978</f>
        <v/>
      </c>
      <c r="G1978" s="22" t="n"/>
    </row>
    <row r="1979">
      <c r="A1979" s="22" t="inlineStr">
        <is>
          <t>2209</t>
        </is>
      </c>
      <c r="B1979" s="11" t="inlineStr">
        <is>
          <t>Carriage of Cement</t>
        </is>
      </c>
      <c r="C1979" s="22" t="inlineStr">
        <is>
          <t>tonne</t>
        </is>
      </c>
      <c r="D1979" s="23" t="n">
        <v>0.08799999999999999</v>
      </c>
      <c r="E1979" s="24" t="n">
        <v>92.23999999999999</v>
      </c>
      <c r="F1979" s="24">
        <f>D1979*E1979</f>
        <v/>
      </c>
      <c r="G1979" s="22" t="n"/>
    </row>
    <row r="1980">
      <c r="A1980" s="22" t="inlineStr">
        <is>
          <t>0875</t>
        </is>
      </c>
      <c r="B1980" s="11" t="inlineStr">
        <is>
          <t>Red, chocolate, orange, buff or yellow (red oxide of iron) light shade pigment</t>
        </is>
      </c>
      <c r="C1980" s="22" t="inlineStr">
        <is>
          <t>kilogram</t>
        </is>
      </c>
      <c r="D1980" s="23" t="n">
        <v>3.08</v>
      </c>
      <c r="E1980" s="24" t="n">
        <v>60</v>
      </c>
      <c r="F1980" s="24">
        <f>D1980*E1980</f>
        <v/>
      </c>
      <c r="G1980" s="22" t="n"/>
    </row>
    <row r="1981">
      <c r="A1981" s="22" t="inlineStr">
        <is>
          <t>0124</t>
        </is>
      </c>
      <c r="B1981" s="11" t="inlineStr">
        <is>
          <t>Mason (brick layer) 2nd class</t>
        </is>
      </c>
      <c r="C1981" s="22" t="inlineStr">
        <is>
          <t>day</t>
        </is>
      </c>
      <c r="D1981" s="23" t="n">
        <v>1.6</v>
      </c>
      <c r="E1981" s="24" t="n">
        <v>679</v>
      </c>
      <c r="F1981" s="24">
        <f>D1981*E1981</f>
        <v/>
      </c>
      <c r="G1981" s="22" t="n"/>
    </row>
    <row r="1982">
      <c r="A1982" s="22" t="inlineStr">
        <is>
          <t>0115</t>
        </is>
      </c>
      <c r="B1982" s="11" t="inlineStr">
        <is>
          <t>Coolie</t>
        </is>
      </c>
      <c r="C1982" s="22" t="inlineStr">
        <is>
          <t>day</t>
        </is>
      </c>
      <c r="D1982" s="23" t="n">
        <v>2</v>
      </c>
      <c r="E1982" s="24" t="n">
        <v>558</v>
      </c>
      <c r="F1982" s="24">
        <f>D1982*E1982</f>
        <v/>
      </c>
      <c r="G1982" s="22" t="n"/>
    </row>
    <row r="1983">
      <c r="A1983" s="22" t="inlineStr">
        <is>
          <t>0139</t>
        </is>
      </c>
      <c r="B1983" s="11" t="inlineStr">
        <is>
          <t>Skilled Beldar (for floor rubbing etc.)</t>
        </is>
      </c>
      <c r="C1983" s="22" t="inlineStr">
        <is>
          <t>day</t>
        </is>
      </c>
      <c r="D1983" s="23" t="n">
        <v>1</v>
      </c>
      <c r="E1983" s="24" t="n">
        <v>617</v>
      </c>
      <c r="F1983" s="24">
        <f>D1983*E1983</f>
        <v/>
      </c>
      <c r="G1983" s="22" t="n"/>
    </row>
    <row r="1984">
      <c r="A1984" s="22" t="inlineStr">
        <is>
          <t>0101</t>
        </is>
      </c>
      <c r="B1984" s="11" t="inlineStr">
        <is>
          <t>Bhisti</t>
        </is>
      </c>
      <c r="C1984" s="22" t="inlineStr">
        <is>
          <t>day</t>
        </is>
      </c>
      <c r="D1984" s="23" t="n">
        <v>1</v>
      </c>
      <c r="E1984" s="24" t="n">
        <v>617</v>
      </c>
      <c r="F1984" s="24">
        <f>D1984*E1984</f>
        <v/>
      </c>
      <c r="G1984" s="22" t="n"/>
    </row>
    <row r="1985">
      <c r="A1985" s="22" t="inlineStr">
        <is>
          <t>0013</t>
        </is>
      </c>
      <c r="B1985" s="11" t="inlineStr">
        <is>
          <t>Machine for rubbing of floors</t>
        </is>
      </c>
      <c r="C1985" s="22" t="inlineStr">
        <is>
          <t>day</t>
        </is>
      </c>
      <c r="D1985" s="23" t="n">
        <v>1.6</v>
      </c>
      <c r="E1985" s="24" t="n">
        <v>300</v>
      </c>
      <c r="F1985" s="24">
        <f>D1985*E1985</f>
        <v/>
      </c>
      <c r="G1985" s="22" t="n"/>
    </row>
    <row r="1986">
      <c r="A1986" s="22" t="inlineStr">
        <is>
          <t>9999</t>
        </is>
      </c>
      <c r="B1986" s="11" t="inlineStr">
        <is>
          <t>Sundries including carborandum stone etc.</t>
        </is>
      </c>
      <c r="C1986" s="22" t="inlineStr">
        <is>
          <t>L.S.</t>
        </is>
      </c>
      <c r="D1986" s="23" t="n">
        <v>169.98</v>
      </c>
      <c r="E1986" s="24" t="n">
        <v>2</v>
      </c>
      <c r="F1986" s="24">
        <f>D1986*E1986</f>
        <v/>
      </c>
      <c r="G1986" s="22" t="n"/>
    </row>
    <row r="1987">
      <c r="A1987" s="8" t="inlineStr">
        <is>
          <t>Calculated W - SUM of the Amount column above</t>
        </is>
      </c>
      <c r="B1987" s="9" t="n"/>
      <c r="C1987" s="9" t="n"/>
      <c r="D1987" s="9" t="n"/>
      <c r="E1987" s="9" t="n"/>
      <c r="F1987" s="25">
        <f>SUM(F1975:F1986)</f>
        <v/>
      </c>
      <c r="G1987" s="9" t="n"/>
    </row>
    <row r="1988">
      <c r="A1988" s="26" t="inlineStr">
        <is>
          <t>W as printed in the DAR</t>
        </is>
      </c>
      <c r="B1988" s="22" t="n"/>
      <c r="C1988" s="22" t="n"/>
      <c r="D1988" s="22" t="n"/>
      <c r="E1988" s="22" t="n"/>
      <c r="F1988" s="27" t="n">
        <v>10270.46</v>
      </c>
      <c r="G1988" s="22" t="n"/>
    </row>
    <row r="1989">
      <c r="A1989" s="26" t="inlineStr">
        <is>
          <t>Difference (calculated - printed)</t>
        </is>
      </c>
      <c r="B1989" s="22" t="n"/>
      <c r="C1989" s="22" t="n"/>
      <c r="D1989" s="22" t="n"/>
      <c r="E1989" s="22" t="n"/>
      <c r="F1989" s="27">
        <f>F1987-F1988</f>
        <v/>
      </c>
      <c r="G1989" s="22" t="n"/>
    </row>
    <row r="1990">
      <c r="A1990" s="29" t="inlineStr">
        <is>
          <t>SAY (Rs.) - final DAR rate as printed (fixed value, not computed)</t>
        </is>
      </c>
      <c r="B1990" s="30" t="n"/>
      <c r="C1990" s="30" t="n"/>
      <c r="D1990" s="30" t="n"/>
      <c r="E1990" s="30" t="n"/>
      <c r="F1990" s="31" t="n">
        <v>1374.1</v>
      </c>
      <c r="G1990" s="30" t="n"/>
    </row>
    <row r="1992" ht="91" customHeight="1">
      <c r="A1992" s="18" t="inlineStr">
        <is>
          <t>12.56</t>
        </is>
      </c>
      <c r="B1992" s="19" t="inlineStr">
        <is>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is>
      </c>
      <c r="C1992" s="20" t="n"/>
      <c r="D1992" s="20" t="n"/>
      <c r="E1992" s="20" t="n"/>
      <c r="F1992" s="20" t="n"/>
      <c r="G1992" s="20" t="n"/>
    </row>
    <row r="1993">
      <c r="A1993" s="21" t="inlineStr">
        <is>
          <t>Details of cost for 1 sqm   |   Source: CivilDAR_2019_Vol_1.pdf, page 895</t>
        </is>
      </c>
    </row>
    <row r="1994">
      <c r="A1994" s="5" t="inlineStr">
        <is>
          <t>Code</t>
        </is>
      </c>
      <c r="B1994" s="5" t="inlineStr">
        <is>
          <t>Description</t>
        </is>
      </c>
      <c r="C1994" s="5" t="inlineStr">
        <is>
          <t>Unit</t>
        </is>
      </c>
      <c r="D1994" s="5" t="inlineStr">
        <is>
          <t>Quantity</t>
        </is>
      </c>
      <c r="E1994" s="5" t="inlineStr">
        <is>
          <t>Rate (Rs.)</t>
        </is>
      </c>
      <c r="F1994" s="5" t="inlineStr">
        <is>
          <t>Amount (Rs.)</t>
        </is>
      </c>
      <c r="G1994" s="5" t="inlineStr">
        <is>
          <t>Note</t>
        </is>
      </c>
    </row>
    <row r="1995">
      <c r="A1995" s="22" t="inlineStr">
        <is>
          <t>7050</t>
        </is>
      </c>
      <c r="B1995" s="11" t="inlineStr">
        <is>
          <t>PU Primer</t>
        </is>
      </c>
      <c r="C1995" s="22" t="inlineStr">
        <is>
          <t>sqm</t>
        </is>
      </c>
      <c r="D1995" s="23" t="n">
        <v>1</v>
      </c>
      <c r="E1995" s="24" t="n">
        <v>60</v>
      </c>
      <c r="F1995" s="24">
        <f>D1995*E1995</f>
        <v/>
      </c>
      <c r="G1995" s="22" t="n"/>
    </row>
    <row r="1996">
      <c r="A1996" s="22" t="inlineStr">
        <is>
          <t>7051</t>
        </is>
      </c>
      <c r="B1996" s="11" t="inlineStr">
        <is>
          <t>40 mm (average) PU spray having 40-45 kg/m3 density</t>
        </is>
      </c>
      <c r="C1996" s="22" t="inlineStr">
        <is>
          <t>sqm</t>
        </is>
      </c>
      <c r="D1996" s="23" t="n">
        <v>1.1</v>
      </c>
      <c r="E1996" s="24" t="n">
        <v>400</v>
      </c>
      <c r="F1996" s="24">
        <f>D1996*E1996</f>
        <v/>
      </c>
      <c r="G1996" s="22" t="n"/>
    </row>
    <row r="1997">
      <c r="A1997" s="22" t="inlineStr">
        <is>
          <t>7052</t>
        </is>
      </c>
      <c r="B1997" s="11" t="inlineStr">
        <is>
          <t>GI wire netting 3/4" x 24 G</t>
        </is>
      </c>
      <c r="C1997" s="22" t="inlineStr">
        <is>
          <t>sqm</t>
        </is>
      </c>
      <c r="D1997" s="23" t="n">
        <v>1</v>
      </c>
      <c r="E1997" s="24" t="n">
        <v>26</v>
      </c>
      <c r="F1997" s="24">
        <f>D1997*E1997</f>
        <v/>
      </c>
      <c r="G1997" s="22" t="n"/>
    </row>
    <row r="1998">
      <c r="A1998" s="22" t="inlineStr">
        <is>
          <t>9999</t>
        </is>
      </c>
      <c r="B1998" s="11" t="inlineStr">
        <is>
          <t>Sundries</t>
        </is>
      </c>
      <c r="C1998" s="22" t="inlineStr">
        <is>
          <t>L.S.</t>
        </is>
      </c>
      <c r="D1998" s="23" t="n">
        <v>6.71</v>
      </c>
      <c r="E1998" s="24" t="n">
        <v>2</v>
      </c>
      <c r="F1998" s="24">
        <f>D1998*E1998</f>
        <v/>
      </c>
      <c r="G1998" s="22" t="n"/>
    </row>
    <row r="1999">
      <c r="A1999" s="22" t="inlineStr">
        <is>
          <t>9999</t>
        </is>
      </c>
      <c r="B1999" s="11" t="inlineStr">
        <is>
          <t>Polymerized mastic for all joints</t>
        </is>
      </c>
      <c r="C1999" s="22" t="inlineStr">
        <is>
          <t>L.S.</t>
        </is>
      </c>
      <c r="D1999" s="23" t="n">
        <v>20.13</v>
      </c>
      <c r="E1999" s="24" t="n">
        <v>2</v>
      </c>
      <c r="F1999" s="24">
        <f>D1999*E1999</f>
        <v/>
      </c>
      <c r="G1999" s="22" t="n"/>
    </row>
    <row r="2000">
      <c r="A2000" s="22" t="inlineStr">
        <is>
          <t>7053</t>
        </is>
      </c>
      <c r="B2000" s="11" t="inlineStr">
        <is>
          <t>400 G polythene sheet</t>
        </is>
      </c>
      <c r="C2000" s="22" t="inlineStr">
        <is>
          <t>sqm</t>
        </is>
      </c>
      <c r="D2000" s="23" t="n">
        <v>1</v>
      </c>
      <c r="E2000" s="24" t="n">
        <v>14</v>
      </c>
      <c r="F2000" s="24">
        <f>D2000*E2000</f>
        <v/>
      </c>
      <c r="G2000" s="22" t="n"/>
    </row>
    <row r="2001">
      <c r="A2001" s="22" t="inlineStr">
        <is>
          <t>9999</t>
        </is>
      </c>
      <c r="B2001" s="11" t="inlineStr">
        <is>
          <t>Cement</t>
        </is>
      </c>
      <c r="C2001" s="22" t="inlineStr">
        <is>
          <t>L.S.</t>
        </is>
      </c>
      <c r="D2001" s="23" t="n">
        <v>44.67</v>
      </c>
      <c r="E2001" s="24" t="n">
        <v>2</v>
      </c>
      <c r="F2001" s="24">
        <f>D2001*E2001</f>
        <v/>
      </c>
      <c r="G2001" s="22" t="n"/>
    </row>
    <row r="2002">
      <c r="A2002" s="22" t="inlineStr">
        <is>
          <t>9999</t>
        </is>
      </c>
      <c r="B2002" s="11" t="inlineStr">
        <is>
          <t>Graded stone</t>
        </is>
      </c>
      <c r="C2002" s="22" t="inlineStr">
        <is>
          <t>L.S.</t>
        </is>
      </c>
      <c r="D2002" s="23" t="n">
        <v>13.75</v>
      </c>
      <c r="E2002" s="24" t="n">
        <v>2</v>
      </c>
      <c r="F2002" s="24">
        <f>D2002*E2002</f>
        <v/>
      </c>
      <c r="G2002" s="22" t="n"/>
    </row>
    <row r="2003">
      <c r="A2003" s="22" t="inlineStr">
        <is>
          <t>9999</t>
        </is>
      </c>
      <c r="B2003" s="11" t="inlineStr">
        <is>
          <t>Sand</t>
        </is>
      </c>
      <c r="C2003" s="22" t="inlineStr">
        <is>
          <t>L.S.</t>
        </is>
      </c>
      <c r="D2003" s="23" t="n">
        <v>21.48</v>
      </c>
      <c r="E2003" s="24" t="n">
        <v>2</v>
      </c>
      <c r="F2003" s="24">
        <f>D2003*E2003</f>
        <v/>
      </c>
      <c r="G2003" s="22" t="n"/>
    </row>
    <row r="2004">
      <c r="A2004" s="22" t="inlineStr">
        <is>
          <t>9977</t>
        </is>
      </c>
      <c r="B2004" s="11" t="inlineStr">
        <is>
          <t>Carriage of material</t>
        </is>
      </c>
      <c r="C2004" s="22" t="inlineStr">
        <is>
          <t>L.S.</t>
        </is>
      </c>
      <c r="D2004" s="23" t="n">
        <v>16.78</v>
      </c>
      <c r="E2004" s="24" t="n">
        <v>2</v>
      </c>
      <c r="F2004" s="24">
        <f>D2004*E2004</f>
        <v/>
      </c>
      <c r="G2004" s="22" t="n"/>
    </row>
    <row r="2005">
      <c r="A2005" s="22" t="inlineStr">
        <is>
          <t>9999</t>
        </is>
      </c>
      <c r="B2005" s="11" t="inlineStr">
        <is>
          <t>For PU spray</t>
        </is>
      </c>
      <c r="C2005" s="22" t="inlineStr">
        <is>
          <t>L.S.</t>
        </is>
      </c>
      <c r="D2005" s="23" t="n">
        <v>80.54000000000001</v>
      </c>
      <c r="E2005" s="24" t="n">
        <v>2</v>
      </c>
      <c r="F2005" s="24">
        <f>D2005*E2005</f>
        <v/>
      </c>
      <c r="G2005" s="22" t="n"/>
    </row>
    <row r="2006">
      <c r="A2006" s="22" t="inlineStr">
        <is>
          <t>9999</t>
        </is>
      </c>
      <c r="B2006" s="11" t="inlineStr">
        <is>
          <t>For cement screed with Polythene sheet</t>
        </is>
      </c>
      <c r="C2006" s="22" t="inlineStr">
        <is>
          <t>L.S.</t>
        </is>
      </c>
      <c r="D2006" s="23" t="n">
        <v>53.69</v>
      </c>
      <c r="E2006" s="24" t="n">
        <v>2</v>
      </c>
      <c r="F2006" s="24">
        <f>D2006*E2006</f>
        <v/>
      </c>
      <c r="G2006" s="22" t="n"/>
    </row>
    <row r="2007">
      <c r="A2007" s="8" t="inlineStr">
        <is>
          <t>Calculated W - SUM of the Amount column above</t>
        </is>
      </c>
      <c r="B2007" s="9" t="n"/>
      <c r="C2007" s="9" t="n"/>
      <c r="D2007" s="9" t="n"/>
      <c r="E2007" s="9" t="n"/>
      <c r="F2007" s="25">
        <f>SUM(F1995:F2006)</f>
        <v/>
      </c>
      <c r="G2007" s="9" t="n"/>
    </row>
    <row r="2008">
      <c r="A2008" s="26" t="inlineStr">
        <is>
          <t>W as printed in the DAR</t>
        </is>
      </c>
      <c r="B2008" s="22" t="n"/>
      <c r="C2008" s="22" t="n"/>
      <c r="D2008" s="22" t="n"/>
      <c r="E2008" s="22" t="n"/>
      <c r="F2008" s="27" t="n">
        <v>1055.5</v>
      </c>
      <c r="G2008" s="22" t="n"/>
    </row>
    <row r="2009">
      <c r="A2009" s="26" t="inlineStr">
        <is>
          <t>Difference (calculated - printed)</t>
        </is>
      </c>
      <c r="B2009" s="22" t="n"/>
      <c r="C2009" s="22" t="n"/>
      <c r="D2009" s="22" t="n"/>
      <c r="E2009" s="22" t="n"/>
      <c r="F2009" s="27">
        <f>F2007-F2008</f>
        <v/>
      </c>
      <c r="G2009" s="22" t="n"/>
    </row>
    <row r="2010">
      <c r="A2010" s="29" t="inlineStr">
        <is>
          <t>SAY (Rs.) - final DAR rate as printed (fixed value, not computed)</t>
        </is>
      </c>
      <c r="B2010" s="30" t="n"/>
      <c r="C2010" s="30" t="n"/>
      <c r="D2010" s="30" t="n"/>
      <c r="E2010" s="30" t="n"/>
      <c r="F2010" s="31" t="n">
        <v>1412.2</v>
      </c>
      <c r="G2010" s="30" t="n"/>
    </row>
    <row r="2012" ht="47.5" customHeight="1">
      <c r="A2012" s="18" t="inlineStr">
        <is>
          <t>12.57</t>
        </is>
      </c>
      <c r="B2012" s="19"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is>
      </c>
      <c r="C2012" s="20" t="n"/>
      <c r="D2012" s="20" t="n"/>
      <c r="E2012" s="20" t="n"/>
      <c r="F2012" s="20" t="n"/>
      <c r="G2012" s="20" t="n"/>
    </row>
    <row r="2013">
      <c r="A2013" s="21" t="inlineStr">
        <is>
          <t>Details of cost for 10 sqm   |   Source: CivilDAR_2019_Vol_1.pdf, page 896</t>
        </is>
      </c>
    </row>
    <row r="2014">
      <c r="A2014" s="5" t="inlineStr">
        <is>
          <t>Code</t>
        </is>
      </c>
      <c r="B2014" s="5" t="inlineStr">
        <is>
          <t>Description</t>
        </is>
      </c>
      <c r="C2014" s="5" t="inlineStr">
        <is>
          <t>Unit</t>
        </is>
      </c>
      <c r="D2014" s="5" t="inlineStr">
        <is>
          <t>Quantity</t>
        </is>
      </c>
      <c r="E2014" s="5" t="inlineStr">
        <is>
          <t>Rate (Rs.)</t>
        </is>
      </c>
      <c r="F2014" s="5" t="inlineStr">
        <is>
          <t>Amount (Rs.)</t>
        </is>
      </c>
      <c r="G2014" s="5" t="inlineStr">
        <is>
          <t>Note</t>
        </is>
      </c>
    </row>
    <row r="2015">
      <c r="A2015" s="22" t="inlineStr">
        <is>
          <t>7232</t>
        </is>
      </c>
      <c r="B2015" s="11" t="inlineStr">
        <is>
          <t>Resin Bonded Glass wool 24 kg/m³ 50 mm thick</t>
        </is>
      </c>
      <c r="C2015" s="22" t="inlineStr">
        <is>
          <t>sqm</t>
        </is>
      </c>
      <c r="D2015" s="23" t="n">
        <v>11</v>
      </c>
      <c r="E2015" s="24" t="n">
        <v>143</v>
      </c>
      <c r="F2015" s="24">
        <f>D2015*E2015</f>
        <v/>
      </c>
      <c r="G2015" s="22" t="n"/>
    </row>
    <row r="2016">
      <c r="A2016" s="22" t="inlineStr">
        <is>
          <t>9999</t>
        </is>
      </c>
      <c r="B2016" s="11" t="inlineStr">
        <is>
          <t>Sundries including GL wire 20 SWg and Virgin polythene bags 200 gram</t>
        </is>
      </c>
      <c r="C2016" s="22" t="inlineStr">
        <is>
          <t>L.S.</t>
        </is>
      </c>
      <c r="D2016" s="23" t="n">
        <v>52</v>
      </c>
      <c r="E2016" s="24" t="n">
        <v>2</v>
      </c>
      <c r="F2016" s="24">
        <f>D2016*E2016</f>
        <v/>
      </c>
      <c r="G2016" s="22" t="n"/>
    </row>
    <row r="2017">
      <c r="A2017" s="22" t="inlineStr">
        <is>
          <t>0111</t>
        </is>
      </c>
      <c r="B2017" s="11" t="inlineStr">
        <is>
          <t>Carpenter 1st class</t>
        </is>
      </c>
      <c r="C2017" s="22" t="inlineStr">
        <is>
          <t>day</t>
        </is>
      </c>
      <c r="D2017" s="23" t="n">
        <v>0.5</v>
      </c>
      <c r="E2017" s="24" t="n">
        <v>738</v>
      </c>
      <c r="F2017" s="24">
        <f>D2017*E2017</f>
        <v/>
      </c>
      <c r="G2017" s="22" t="n"/>
    </row>
    <row r="2018">
      <c r="A2018" s="22" t="inlineStr">
        <is>
          <t>0114</t>
        </is>
      </c>
      <c r="B2018" s="11" t="inlineStr">
        <is>
          <t>Beldar</t>
        </is>
      </c>
      <c r="C2018" s="22" t="inlineStr">
        <is>
          <t>day</t>
        </is>
      </c>
      <c r="D2018" s="23" t="n">
        <v>0.5</v>
      </c>
      <c r="E2018" s="24" t="n">
        <v>558</v>
      </c>
      <c r="F2018" s="24">
        <f>D2018*E2018</f>
        <v/>
      </c>
      <c r="G2018" s="22" t="n"/>
    </row>
    <row r="2019">
      <c r="A2019" s="22" t="inlineStr">
        <is>
          <t>9999</t>
        </is>
      </c>
      <c r="B2019" s="11" t="inlineStr">
        <is>
          <t>Sundries (screws and washers)</t>
        </is>
      </c>
      <c r="C2019" s="22" t="inlineStr">
        <is>
          <t>L.S.</t>
        </is>
      </c>
      <c r="D2019" s="23" t="n">
        <v>20</v>
      </c>
      <c r="E2019" s="24" t="n">
        <v>2</v>
      </c>
      <c r="F2019" s="24">
        <f>D2019*E2019</f>
        <v/>
      </c>
      <c r="G2019" s="22" t="n"/>
    </row>
    <row r="2020">
      <c r="A2020" s="8" t="inlineStr">
        <is>
          <t>Calculated W - SUM of the Amount column above</t>
        </is>
      </c>
      <c r="B2020" s="9" t="n"/>
      <c r="C2020" s="9" t="n"/>
      <c r="D2020" s="9" t="n"/>
      <c r="E2020" s="9" t="n"/>
      <c r="F2020" s="25">
        <f>SUM(F2015:F2019)</f>
        <v/>
      </c>
      <c r="G2020" s="9" t="n"/>
    </row>
    <row r="2021">
      <c r="A2021" s="26" t="inlineStr">
        <is>
          <t>W as printed in the DAR</t>
        </is>
      </c>
      <c r="B2021" s="22" t="n"/>
      <c r="C2021" s="22" t="n"/>
      <c r="D2021" s="22" t="n"/>
      <c r="E2021" s="22" t="n"/>
      <c r="F2021" s="27" t="n">
        <v>2365</v>
      </c>
      <c r="G2021" s="22" t="n"/>
    </row>
    <row r="2022">
      <c r="A2022" s="26" t="inlineStr">
        <is>
          <t>Difference (calculated - printed)</t>
        </is>
      </c>
      <c r="B2022" s="22" t="n"/>
      <c r="C2022" s="22" t="n"/>
      <c r="D2022" s="22" t="n"/>
      <c r="E2022" s="22" t="n"/>
      <c r="F2022" s="27">
        <f>F2020-F2021</f>
        <v/>
      </c>
      <c r="G2022" s="22" t="n"/>
    </row>
    <row r="2023">
      <c r="A2023" s="29" t="inlineStr">
        <is>
          <t>SAY (Rs.) - final DAR rate as printed (fixed value, not computed)</t>
        </is>
      </c>
      <c r="B2023" s="30" t="n"/>
      <c r="C2023" s="30" t="n"/>
      <c r="D2023" s="30" t="n"/>
      <c r="E2023" s="30" t="n"/>
      <c r="F2023" s="31" t="n">
        <v>316.4</v>
      </c>
      <c r="G2023" s="30" t="n"/>
    </row>
    <row r="2025" ht="120" customHeight="1">
      <c r="A2025" s="8" t="inlineStr">
        <is>
          <t>12.58</t>
        </is>
      </c>
      <c r="B2025" s="17" t="inlineStr">
        <is>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t>
        </is>
      </c>
      <c r="C2025" s="9" t="n"/>
      <c r="D2025" s="9" t="n"/>
      <c r="E2025" s="9" t="n"/>
      <c r="F2025" s="9" t="n"/>
      <c r="G2025" s="9" t="n"/>
    </row>
    <row r="2026" ht="18.5" customHeight="1">
      <c r="A2026" s="9" t="n"/>
      <c r="B2026" s="17" t="inlineStr">
        <is>
          <t>opening for services like diffusers, grills, light fittings, fixtures, smoke detectors etc. Main "T"</t>
        </is>
      </c>
      <c r="C2026" s="9" t="n"/>
      <c r="D2026" s="9" t="n"/>
      <c r="E2026" s="9" t="n"/>
      <c r="F2026" s="9" t="n"/>
      <c r="G2026" s="9" t="n"/>
    </row>
    <row r="2027" ht="76.5" customHeight="1">
      <c r="A2027" s="18" t="inlineStr">
        <is>
          <t>12.58.1</t>
        </is>
      </c>
      <c r="B2027" s="19" t="inlineStr">
        <is>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is>
      </c>
      <c r="C2027" s="20" t="n"/>
      <c r="D2027" s="20" t="n"/>
      <c r="E2027" s="20" t="n"/>
      <c r="F2027" s="20" t="n"/>
      <c r="G2027" s="20" t="n"/>
    </row>
    <row r="2028">
      <c r="A2028" s="21" t="inlineStr">
        <is>
          <t>Details of cost for 100 sqm   |   Source: CivilDAR_2019_Vol_1.pdf, page 897</t>
        </is>
      </c>
    </row>
    <row r="2029">
      <c r="A2029" s="5" t="inlineStr">
        <is>
          <t>Code</t>
        </is>
      </c>
      <c r="B2029" s="5" t="inlineStr">
        <is>
          <t>Description</t>
        </is>
      </c>
      <c r="C2029" s="5" t="inlineStr">
        <is>
          <t>Unit</t>
        </is>
      </c>
      <c r="D2029" s="5" t="inlineStr">
        <is>
          <t>Quantity</t>
        </is>
      </c>
      <c r="E2029" s="5" t="inlineStr">
        <is>
          <t>Rate (Rs.)</t>
        </is>
      </c>
      <c r="F2029" s="5" t="inlineStr">
        <is>
          <t>Amount (Rs.)</t>
        </is>
      </c>
      <c r="G2029" s="5" t="inlineStr">
        <is>
          <t>Note</t>
        </is>
      </c>
    </row>
    <row r="2030">
      <c r="A2030" s="22" t="inlineStr">
        <is>
          <t>8784</t>
        </is>
      </c>
      <c r="B2030" s="11" t="inlineStr">
        <is>
          <t>8mm thick Calcium silicate perforated tiles of size 595 x595mm</t>
        </is>
      </c>
      <c r="C2030" s="22" t="inlineStr">
        <is>
          <t>sqm</t>
        </is>
      </c>
      <c r="D2030" s="23" t="n">
        <v>100.05</v>
      </c>
      <c r="E2030" s="24" t="n">
        <v>833</v>
      </c>
      <c r="F2030" s="24">
        <f>D2030*E2030</f>
        <v/>
      </c>
      <c r="G2030" s="22" t="n"/>
    </row>
    <row r="2031">
      <c r="A2031" s="22" t="inlineStr">
        <is>
          <t>8611</t>
        </is>
      </c>
      <c r="B2031" s="11" t="inlineStr">
        <is>
          <t>Main T ceiling sections 24x38x0.3 mm (3 metre long)</t>
        </is>
      </c>
      <c r="C2031" s="22" t="inlineStr">
        <is>
          <t>each</t>
        </is>
      </c>
      <c r="D2031" s="23" t="n">
        <v>29.5</v>
      </c>
      <c r="E2031" s="24" t="n">
        <v>115</v>
      </c>
      <c r="F2031" s="24">
        <f>D2031*E2031</f>
        <v/>
      </c>
      <c r="G2031" s="22" t="n"/>
    </row>
    <row r="2032">
      <c r="A2032" s="22" t="inlineStr">
        <is>
          <t>8612</t>
        </is>
      </c>
      <c r="B2032" s="11" t="inlineStr">
        <is>
          <t>Perimeter wall angle 24x24x0.3mm (3 metre long)</t>
        </is>
      </c>
      <c r="C2032" s="22" t="inlineStr">
        <is>
          <t>each</t>
        </is>
      </c>
      <c r="D2032" s="23" t="n">
        <v>13.5</v>
      </c>
      <c r="E2032" s="24" t="n">
        <v>80</v>
      </c>
      <c r="F2032" s="24">
        <f>D2032*E2032</f>
        <v/>
      </c>
      <c r="G2032" s="22" t="n"/>
    </row>
    <row r="2033">
      <c r="A2033" s="22" t="inlineStr">
        <is>
          <t>8613</t>
        </is>
      </c>
      <c r="B2033" s="11" t="inlineStr">
        <is>
          <t>Intermediate cross T-section 24x25x0.3mm (1.2 mtrs long)</t>
        </is>
      </c>
      <c r="C2033" s="22" t="inlineStr">
        <is>
          <t>each</t>
        </is>
      </c>
      <c r="D2033" s="23" t="n">
        <v>147</v>
      </c>
      <c r="E2033" s="24" t="n">
        <v>35</v>
      </c>
      <c r="F2033" s="24">
        <f>D2033*E2033</f>
        <v/>
      </c>
      <c r="G2033" s="22" t="n"/>
    </row>
    <row r="2034">
      <c r="A2034" s="22" t="inlineStr">
        <is>
          <t>8614</t>
        </is>
      </c>
      <c r="B2034" s="11" t="inlineStr">
        <is>
          <t>Intermediate cross T-section 24x25x0.3mm (0.6 mtrs long)</t>
        </is>
      </c>
      <c r="C2034" s="22" t="inlineStr">
        <is>
          <t>each</t>
        </is>
      </c>
      <c r="D2034" s="23" t="n">
        <v>147</v>
      </c>
      <c r="E2034" s="24" t="n">
        <v>17</v>
      </c>
      <c r="F2034" s="24">
        <f>D2034*E2034</f>
        <v/>
      </c>
      <c r="G2034" s="22" t="n"/>
    </row>
    <row r="2035">
      <c r="A2035" s="22" t="inlineStr">
        <is>
          <t>8615</t>
        </is>
      </c>
      <c r="B2035" s="11" t="inlineStr">
        <is>
          <t>Hanger rod 4 mm thick</t>
        </is>
      </c>
      <c r="C2035" s="22" t="inlineStr">
        <is>
          <t>each</t>
        </is>
      </c>
      <c r="D2035" s="23" t="n">
        <v>72</v>
      </c>
      <c r="E2035" s="24" t="n">
        <v>8</v>
      </c>
      <c r="F2035" s="24">
        <f>D2035*E2035</f>
        <v/>
      </c>
      <c r="G2035" s="22" t="n"/>
    </row>
    <row r="2036">
      <c r="A2036" s="22" t="inlineStr">
        <is>
          <t>8616</t>
        </is>
      </c>
      <c r="B2036" s="11" t="inlineStr">
        <is>
          <t>Adjustment clip 85x30x0.8mm</t>
        </is>
      </c>
      <c r="C2036" s="22" t="inlineStr">
        <is>
          <t>each</t>
        </is>
      </c>
      <c r="D2036" s="23" t="n">
        <v>72</v>
      </c>
      <c r="E2036" s="24" t="n">
        <v>5</v>
      </c>
      <c r="F2036" s="24">
        <f>D2036*E2036</f>
        <v/>
      </c>
      <c r="G2036" s="22" t="n"/>
    </row>
    <row r="2037">
      <c r="A2037" s="22" t="inlineStr">
        <is>
          <t>8617</t>
        </is>
      </c>
      <c r="B2037" s="11" t="inlineStr">
        <is>
          <t>Soffit cleat (Size 27x37x25x1.60mm)</t>
        </is>
      </c>
      <c r="C2037" s="22" t="inlineStr">
        <is>
          <t>each</t>
        </is>
      </c>
      <c r="D2037" s="23" t="n">
        <v>72</v>
      </c>
      <c r="E2037" s="24" t="n">
        <v>4</v>
      </c>
      <c r="F2037" s="24">
        <f>D2037*E2037</f>
        <v/>
      </c>
      <c r="G2037" s="22" t="n"/>
    </row>
    <row r="2038">
      <c r="A2038" s="22" t="inlineStr">
        <is>
          <t>7388</t>
        </is>
      </c>
      <c r="B2038" s="11" t="inlineStr">
        <is>
          <t>Dash hold fastener 12.5 mm dia, 40 mm long with 6 mm dia bolt</t>
        </is>
      </c>
      <c r="C2038" s="22" t="inlineStr">
        <is>
          <t>each</t>
        </is>
      </c>
      <c r="D2038" s="23" t="n">
        <v>72</v>
      </c>
      <c r="E2038" s="24" t="n">
        <v>11</v>
      </c>
      <c r="F2038" s="24">
        <f>D2038*E2038</f>
        <v/>
      </c>
      <c r="G2038" s="22" t="n"/>
    </row>
    <row r="2039">
      <c r="A2039" s="22" t="inlineStr">
        <is>
          <t>9977</t>
        </is>
      </c>
      <c r="B2039" s="11" t="inlineStr">
        <is>
          <t>Sundries</t>
        </is>
      </c>
      <c r="C2039" s="22" t="inlineStr">
        <is>
          <t>L.S.</t>
        </is>
      </c>
      <c r="D2039" s="23" t="n">
        <v>89.28</v>
      </c>
      <c r="E2039" s="24" t="n">
        <v>2</v>
      </c>
      <c r="F2039" s="24">
        <f>D2039*E2039</f>
        <v/>
      </c>
      <c r="G2039" s="22" t="n"/>
    </row>
    <row r="2040">
      <c r="A2040" s="22" t="inlineStr">
        <is>
          <t>9999</t>
        </is>
      </c>
      <c r="B2040" s="11" t="inlineStr">
        <is>
          <t>Sundries i.e scaffolding etc.</t>
        </is>
      </c>
      <c r="C2040" s="22" t="inlineStr">
        <is>
          <t>L.S.</t>
        </is>
      </c>
      <c r="D2040" s="23" t="n">
        <v>187.95</v>
      </c>
      <c r="E2040" s="24" t="n">
        <v>2</v>
      </c>
      <c r="F2040" s="24">
        <f>D2040*E2040</f>
        <v/>
      </c>
      <c r="G2040" s="22" t="n"/>
    </row>
    <row r="2041">
      <c r="A2041" s="22" t="inlineStr">
        <is>
          <t>0111</t>
        </is>
      </c>
      <c r="B2041" s="11" t="inlineStr">
        <is>
          <t>Carpenter 1st class</t>
        </is>
      </c>
      <c r="C2041" s="22" t="inlineStr">
        <is>
          <t>day</t>
        </is>
      </c>
      <c r="D2041" s="23" t="n">
        <v>28</v>
      </c>
      <c r="E2041" s="24" t="n">
        <v>738</v>
      </c>
      <c r="F2041" s="24">
        <f>D2041*E2041</f>
        <v/>
      </c>
      <c r="G2041" s="22" t="n"/>
    </row>
    <row r="2042">
      <c r="A2042" s="22" t="inlineStr">
        <is>
          <t>0114</t>
        </is>
      </c>
      <c r="B2042" s="11" t="inlineStr">
        <is>
          <t>Beldar</t>
        </is>
      </c>
      <c r="C2042" s="22" t="inlineStr">
        <is>
          <t>day</t>
        </is>
      </c>
      <c r="D2042" s="23" t="n">
        <v>23</v>
      </c>
      <c r="E2042" s="24" t="n">
        <v>558</v>
      </c>
      <c r="F2042" s="24">
        <f>D2042*E2042</f>
        <v/>
      </c>
      <c r="G2042" s="22" t="n"/>
    </row>
    <row r="2043">
      <c r="A2043" s="8" t="inlineStr">
        <is>
          <t>Calculated W - SUM of the Amount column above</t>
        </is>
      </c>
      <c r="B2043" s="9" t="n"/>
      <c r="C2043" s="9" t="n"/>
      <c r="D2043" s="9" t="n"/>
      <c r="E2043" s="9" t="n"/>
      <c r="F2043" s="25">
        <f>SUM(F2030:F2042)</f>
        <v/>
      </c>
      <c r="G2043" s="9" t="n"/>
    </row>
    <row r="2044">
      <c r="A2044" s="26" t="inlineStr">
        <is>
          <t>W as printed in the DAR</t>
        </is>
      </c>
      <c r="B2044" s="22" t="n"/>
      <c r="C2044" s="22" t="n"/>
      <c r="D2044" s="22" t="n"/>
      <c r="E2044" s="22" t="n"/>
      <c r="F2044" s="27" t="n">
        <v>131526.61</v>
      </c>
      <c r="G2044" s="22" t="n"/>
    </row>
    <row r="2045">
      <c r="A2045" s="26" t="inlineStr">
        <is>
          <t>Difference (calculated - printed)</t>
        </is>
      </c>
      <c r="B2045" s="22" t="n"/>
      <c r="C2045" s="22" t="n"/>
      <c r="D2045" s="22" t="n"/>
      <c r="E2045" s="22" t="n"/>
      <c r="F2045" s="27">
        <f>F2043-F2044</f>
        <v/>
      </c>
      <c r="G2045" s="22" t="n"/>
    </row>
    <row r="2046">
      <c r="A2046" s="29" t="inlineStr">
        <is>
          <t>SAY (Rs.) - final DAR rate as printed (fixed value, not computed)</t>
        </is>
      </c>
      <c r="B2046" s="30" t="n"/>
      <c r="C2046" s="30" t="n"/>
      <c r="D2046" s="30" t="n"/>
      <c r="E2046" s="30" t="n"/>
      <c r="F2046" s="31" t="n">
        <v>1759.75</v>
      </c>
      <c r="G2046" s="30" t="n"/>
    </row>
    <row r="2048" ht="120" customHeight="1">
      <c r="A2048" s="8" t="inlineStr">
        <is>
          <t>12.59</t>
        </is>
      </c>
      <c r="B2048" s="17" t="inlineStr">
        <is>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 bottom wedge of 80mm with tapered flanges of 26 mm each having lips of 10.5mm, at 450mm c/c, shall be fixed in a direction perpendicular to G.I intermediate channel with connecting</t>
        </is>
      </c>
      <c r="C2048" s="9" t="n"/>
      <c r="D2048" s="9" t="n"/>
      <c r="E2048" s="9" t="n"/>
      <c r="F2048" s="9" t="n"/>
      <c r="G2048" s="9" t="n"/>
    </row>
    <row r="2049" ht="18.5" customHeight="1">
      <c r="A2049" s="9" t="n"/>
      <c r="B2049" s="17" t="inlineStr">
        <is>
          <t>clip made out of</t>
        </is>
      </c>
      <c r="C2049" s="9" t="n"/>
      <c r="D2049" s="9" t="n"/>
      <c r="E2049" s="9" t="n"/>
      <c r="F2049" s="9" t="n"/>
      <c r="G2049" s="9" t="n"/>
    </row>
    <row r="2050" ht="33" customHeight="1">
      <c r="A2050" s="18" t="inlineStr">
        <is>
          <t>12.59.1</t>
        </is>
      </c>
      <c r="B2050" s="19" t="inlineStr">
        <is>
          <t>8 mm thick Calcium Silicate Board made with Calcareous &amp; Siliceous materials reinforced with cellulose fiber manufactured through autoclaving process.</t>
        </is>
      </c>
      <c r="C2050" s="20" t="n"/>
      <c r="D2050" s="20" t="n"/>
      <c r="E2050" s="20" t="n"/>
      <c r="F2050" s="20" t="n"/>
      <c r="G2050" s="20" t="n"/>
    </row>
    <row r="2051">
      <c r="A2051" s="21" t="inlineStr">
        <is>
          <t>Details of cost for 103.68 sqm   |   Source: CivilDAR_2019_Vol_1.pdf, page 898</t>
        </is>
      </c>
    </row>
    <row r="2052">
      <c r="A2052" s="5" t="inlineStr">
        <is>
          <t>Code</t>
        </is>
      </c>
      <c r="B2052" s="5" t="inlineStr">
        <is>
          <t>Description</t>
        </is>
      </c>
      <c r="C2052" s="5" t="inlineStr">
        <is>
          <t>Unit</t>
        </is>
      </c>
      <c r="D2052" s="5" t="inlineStr">
        <is>
          <t>Quantity</t>
        </is>
      </c>
      <c r="E2052" s="5" t="inlineStr">
        <is>
          <t>Rate (Rs.)</t>
        </is>
      </c>
      <c r="F2052" s="5" t="inlineStr">
        <is>
          <t>Amount (Rs.)</t>
        </is>
      </c>
      <c r="G2052" s="5" t="inlineStr">
        <is>
          <t>Note</t>
        </is>
      </c>
    </row>
    <row r="2053">
      <c r="A2053" s="22" t="inlineStr">
        <is>
          <t>8699</t>
        </is>
      </c>
      <c r="B2053" s="11" t="inlineStr">
        <is>
          <t>8 mm thick tapered edge calcium silicate board</t>
        </is>
      </c>
      <c r="C2053" s="22" t="inlineStr">
        <is>
          <t>sqm</t>
        </is>
      </c>
      <c r="D2053" s="23" t="n">
        <v>108.86</v>
      </c>
      <c r="E2053" s="24" t="n">
        <v>265</v>
      </c>
      <c r="F2053" s="24">
        <f>D2053*E2053</f>
        <v/>
      </c>
      <c r="G2053" s="22" t="n"/>
    </row>
    <row r="2054">
      <c r="A2054" s="22" t="inlineStr">
        <is>
          <t>7010</t>
        </is>
      </c>
      <c r="B2054" s="11" t="inlineStr">
        <is>
          <t>G.I Ceiling Section (80 x26mm x 26mm x10.5mm each lip x 0.55 mm)</t>
        </is>
      </c>
      <c r="C2054" s="22" t="inlineStr">
        <is>
          <t>metre</t>
        </is>
      </c>
      <c r="D2054" s="23" t="n">
        <v>238.14</v>
      </c>
      <c r="E2054" s="24" t="n">
        <v>46</v>
      </c>
      <c r="F2054" s="24">
        <f>D2054*E2054</f>
        <v/>
      </c>
      <c r="G2054" s="22" t="n"/>
    </row>
    <row r="2055">
      <c r="A2055" s="22" t="inlineStr">
        <is>
          <t>7011</t>
        </is>
      </c>
      <c r="B2055" s="11" t="inlineStr">
        <is>
          <t>Galvanised Steel perimetre Channel (Size 20x27x30x0.50mm)</t>
        </is>
      </c>
      <c r="C2055" s="22" t="inlineStr">
        <is>
          <t>metre</t>
        </is>
      </c>
      <c r="D2055" s="23" t="n">
        <v>41.84</v>
      </c>
      <c r="E2055" s="24" t="n">
        <v>22</v>
      </c>
      <c r="F2055" s="24">
        <f>D2055*E2055</f>
        <v/>
      </c>
      <c r="G2055" s="22" t="n"/>
    </row>
    <row r="2056">
      <c r="A2056" s="22" t="inlineStr">
        <is>
          <t>7012</t>
        </is>
      </c>
      <c r="B2056" s="11" t="inlineStr">
        <is>
          <t>Galvanised Steel intermediate Channel (Size 15x45x15x0.90mm)</t>
        </is>
      </c>
      <c r="C2056" s="22" t="inlineStr">
        <is>
          <t>metre</t>
        </is>
      </c>
      <c r="D2056" s="23" t="n">
        <v>90.72</v>
      </c>
      <c r="E2056" s="24" t="n">
        <v>38</v>
      </c>
      <c r="F2056" s="24">
        <f>D2056*E2056</f>
        <v/>
      </c>
      <c r="G2056" s="22" t="n"/>
    </row>
    <row r="2057">
      <c r="A2057" s="22" t="inlineStr">
        <is>
          <t>7013</t>
        </is>
      </c>
      <c r="B2057" s="11" t="inlineStr">
        <is>
          <t>Galvanised Steel angle hanger (Celling angle) (Size 25x10x0.50mm)</t>
        </is>
      </c>
      <c r="C2057" s="22" t="inlineStr">
        <is>
          <t>metre</t>
        </is>
      </c>
      <c r="D2057" s="23" t="n">
        <v>10.8</v>
      </c>
      <c r="E2057" s="24" t="n">
        <v>12</v>
      </c>
      <c r="F2057" s="24">
        <f>D2057*E2057</f>
        <v/>
      </c>
      <c r="G2057" s="22" t="n"/>
    </row>
    <row r="2058">
      <c r="A2058" s="22" t="inlineStr">
        <is>
          <t>7014</t>
        </is>
      </c>
      <c r="B2058" s="11" t="inlineStr">
        <is>
          <t>Galvanised Steel connecting clips (2.64mm dia and 230 mm long GI wire)</t>
        </is>
      </c>
      <c r="C2058" s="22" t="inlineStr">
        <is>
          <t>each</t>
        </is>
      </c>
      <c r="D2058" s="23" t="n">
        <v>189</v>
      </c>
      <c r="E2058" s="24" t="n">
        <v>4</v>
      </c>
      <c r="F2058" s="24">
        <f>D2058*E2058</f>
        <v/>
      </c>
      <c r="G2058" s="22" t="n"/>
    </row>
    <row r="2059">
      <c r="A2059" s="22" t="inlineStr">
        <is>
          <t>1022</t>
        </is>
      </c>
      <c r="B2059" s="11" t="inlineStr">
        <is>
          <t>Galvanised steel bolts &amp; nuts 6 mm dia and 25 mmlong round head with slots</t>
        </is>
      </c>
      <c r="C2059" s="22" t="inlineStr">
        <is>
          <t>10 Nos</t>
        </is>
      </c>
      <c r="D2059" s="23" t="n">
        <v>21.6</v>
      </c>
      <c r="E2059" s="24" t="n">
        <v>38</v>
      </c>
      <c r="F2059" s="24">
        <f>D2059*E2059</f>
        <v/>
      </c>
      <c r="G2059" s="22" t="n"/>
    </row>
    <row r="2060">
      <c r="A2060" s="22" t="inlineStr">
        <is>
          <t>8617</t>
        </is>
      </c>
      <c r="B2060" s="11" t="inlineStr">
        <is>
          <t>Soffit cleat (Size 27x37x25x1.60mm)</t>
        </is>
      </c>
      <c r="C2060" s="22" t="inlineStr">
        <is>
          <t>each</t>
        </is>
      </c>
      <c r="D2060" s="23" t="n">
        <v>72</v>
      </c>
      <c r="E2060" s="24" t="n">
        <v>4</v>
      </c>
      <c r="F2060" s="24">
        <f>D2060*E2060</f>
        <v/>
      </c>
      <c r="G2060" s="22" t="n"/>
    </row>
    <row r="2061">
      <c r="A2061" s="22" t="inlineStr">
        <is>
          <t>7020</t>
        </is>
      </c>
      <c r="B2061" s="11" t="inlineStr">
        <is>
          <t>All drive screws ( for gypsum board)</t>
        </is>
      </c>
      <c r="C2061" s="22" t="inlineStr">
        <is>
          <t>100 Nos</t>
        </is>
      </c>
      <c r="D2061" s="23" t="n">
        <v>10</v>
      </c>
      <c r="E2061" s="24" t="n">
        <v>58</v>
      </c>
      <c r="F2061" s="24">
        <f>D2061*E2061</f>
        <v/>
      </c>
      <c r="G2061" s="22" t="n"/>
    </row>
    <row r="2062">
      <c r="A2062" s="22" t="inlineStr">
        <is>
          <t>7016</t>
        </is>
      </c>
      <c r="B2062" s="11" t="inlineStr">
        <is>
          <t>Joint filler</t>
        </is>
      </c>
      <c r="C2062" s="22" t="inlineStr">
        <is>
          <t>kilogram</t>
        </is>
      </c>
      <c r="D2062" s="23" t="n">
        <v>22.81</v>
      </c>
      <c r="E2062" s="24" t="n">
        <v>26</v>
      </c>
      <c r="F2062" s="24">
        <f>D2062*E2062</f>
        <v/>
      </c>
      <c r="G2062" s="22" t="n"/>
    </row>
    <row r="2063">
      <c r="A2063" s="22" t="inlineStr">
        <is>
          <t>7017</t>
        </is>
      </c>
      <c r="B2063" s="11" t="inlineStr">
        <is>
          <t>Joint finisher</t>
        </is>
      </c>
      <c r="C2063" s="22" t="inlineStr">
        <is>
          <t>kilogram</t>
        </is>
      </c>
      <c r="D2063" s="23" t="n">
        <v>34.21</v>
      </c>
      <c r="E2063" s="24" t="n">
        <v>23</v>
      </c>
      <c r="F2063" s="24">
        <f>D2063*E2063</f>
        <v/>
      </c>
      <c r="G2063" s="22" t="n"/>
    </row>
    <row r="2064">
      <c r="A2064" s="22" t="inlineStr">
        <is>
          <t>7388</t>
        </is>
      </c>
      <c r="B2064" s="11" t="inlineStr">
        <is>
          <t>Dash hold fastener 12.5 mm dia, 40 mm long with 6 mm dia bolt</t>
        </is>
      </c>
      <c r="C2064" s="22" t="inlineStr">
        <is>
          <t>each</t>
        </is>
      </c>
      <c r="D2064" s="23" t="n">
        <v>72</v>
      </c>
      <c r="E2064" s="24" t="n">
        <v>11</v>
      </c>
      <c r="F2064" s="24">
        <f>D2064*E2064</f>
        <v/>
      </c>
      <c r="G2064" s="22" t="n"/>
    </row>
    <row r="2065">
      <c r="A2065" s="22" t="inlineStr">
        <is>
          <t>7018</t>
        </is>
      </c>
      <c r="B2065" s="11" t="inlineStr">
        <is>
          <t>Joint Tape roll (120mm Roll)</t>
        </is>
      </c>
      <c r="C2065" s="22" t="inlineStr">
        <is>
          <t>roll</t>
        </is>
      </c>
      <c r="D2065" s="23" t="n">
        <v>1.27</v>
      </c>
      <c r="E2065" s="24" t="n">
        <v>100</v>
      </c>
      <c r="F2065" s="24">
        <f>D2065*E2065</f>
        <v/>
      </c>
      <c r="G2065" s="22" t="n"/>
    </row>
    <row r="2066">
      <c r="A2066" s="22" t="inlineStr">
        <is>
          <t>7021</t>
        </is>
      </c>
      <c r="B2066" s="11" t="inlineStr">
        <is>
          <t>Primer ( for gypsum board// calcium silicate board)</t>
        </is>
      </c>
      <c r="C2066" s="22" t="inlineStr">
        <is>
          <t>litre</t>
        </is>
      </c>
      <c r="D2066" s="23" t="n">
        <v>18.66</v>
      </c>
      <c r="E2066" s="24" t="n">
        <v>85</v>
      </c>
      <c r="F2066" s="24">
        <f>D2066*E2066</f>
        <v/>
      </c>
      <c r="G2066" s="22" t="n"/>
    </row>
    <row r="2067">
      <c r="A2067" s="22" t="inlineStr">
        <is>
          <t>9977</t>
        </is>
      </c>
      <c r="B2067" s="11" t="inlineStr">
        <is>
          <t>Carriage</t>
        </is>
      </c>
      <c r="C2067" s="22" t="inlineStr">
        <is>
          <t>L.S.</t>
        </is>
      </c>
      <c r="D2067" s="23" t="n">
        <v>447.2</v>
      </c>
      <c r="E2067" s="24" t="n">
        <v>2</v>
      </c>
      <c r="F2067" s="24">
        <f>D2067*E2067</f>
        <v/>
      </c>
      <c r="G2067" s="22" t="n"/>
    </row>
    <row r="2068">
      <c r="A2068" s="22" t="inlineStr">
        <is>
          <t>9999</t>
        </is>
      </c>
      <c r="B2068" s="11" t="inlineStr">
        <is>
          <t>Sundries i.e rawl plug, scaffolding etc.</t>
        </is>
      </c>
      <c r="C2068" s="22" t="inlineStr">
        <is>
          <t>L.S.</t>
        </is>
      </c>
      <c r="D2068" s="23" t="n">
        <v>807.3</v>
      </c>
      <c r="E2068" s="24" t="n">
        <v>2</v>
      </c>
      <c r="F2068" s="24">
        <f>D2068*E2068</f>
        <v/>
      </c>
      <c r="G2068" s="22" t="n"/>
    </row>
    <row r="2069">
      <c r="A2069" s="22" t="inlineStr">
        <is>
          <t>0112</t>
        </is>
      </c>
      <c r="B2069" s="11" t="inlineStr">
        <is>
          <t>Carpenter 2nd class</t>
        </is>
      </c>
      <c r="C2069" s="22" t="inlineStr">
        <is>
          <t>day</t>
        </is>
      </c>
      <c r="D2069" s="23" t="n">
        <v>31.1</v>
      </c>
      <c r="E2069" s="24" t="n">
        <v>679</v>
      </c>
      <c r="F2069" s="24">
        <f>D2069*E2069</f>
        <v/>
      </c>
      <c r="G2069" s="22" t="n"/>
    </row>
    <row r="2070">
      <c r="A2070" s="22" t="inlineStr">
        <is>
          <t>0114</t>
        </is>
      </c>
      <c r="B2070" s="11" t="inlineStr">
        <is>
          <t>Beldar</t>
        </is>
      </c>
      <c r="C2070" s="22" t="inlineStr">
        <is>
          <t>day</t>
        </is>
      </c>
      <c r="D2070" s="23" t="n">
        <v>31.1</v>
      </c>
      <c r="E2070" s="24" t="n">
        <v>558</v>
      </c>
      <c r="F2070" s="24">
        <f>D2070*E2070</f>
        <v/>
      </c>
      <c r="G2070" s="22" t="n"/>
    </row>
    <row r="2071">
      <c r="A2071" s="22" t="inlineStr">
        <is>
          <t>0131</t>
        </is>
      </c>
      <c r="B2071" s="11" t="inlineStr">
        <is>
          <t>Painter</t>
        </is>
      </c>
      <c r="C2071" s="22" t="inlineStr">
        <is>
          <t>day</t>
        </is>
      </c>
      <c r="D2071" s="23" t="n">
        <v>10.37</v>
      </c>
      <c r="E2071" s="24" t="n">
        <v>679</v>
      </c>
      <c r="F2071" s="24">
        <f>D2071*E2071</f>
        <v/>
      </c>
      <c r="G2071" s="22" t="n"/>
    </row>
    <row r="2072">
      <c r="A2072" s="8" t="inlineStr">
        <is>
          <t>Calculated W - SUM of the Amount column above</t>
        </is>
      </c>
      <c r="B2072" s="9" t="n"/>
      <c r="C2072" s="9" t="n"/>
      <c r="D2072" s="9" t="n"/>
      <c r="E2072" s="9" t="n"/>
      <c r="F2072" s="25">
        <f>SUM(F2053:F2071)</f>
        <v/>
      </c>
      <c r="G2072" s="9" t="n"/>
    </row>
    <row r="2073">
      <c r="A2073" s="26" t="inlineStr">
        <is>
          <t>W as printed in the DAR</t>
        </is>
      </c>
      <c r="B2073" s="22" t="n"/>
      <c r="C2073" s="22" t="n"/>
      <c r="D2073" s="22" t="n"/>
      <c r="E2073" s="22" t="n"/>
      <c r="F2073" s="27" t="n">
        <v>98650.5</v>
      </c>
      <c r="G2073" s="22" t="n"/>
    </row>
    <row r="2074">
      <c r="A2074" s="26" t="inlineStr">
        <is>
          <t>Difference (calculated - printed)</t>
        </is>
      </c>
      <c r="B2074" s="22" t="n"/>
      <c r="C2074" s="22" t="n"/>
      <c r="D2074" s="22" t="n"/>
      <c r="E2074" s="22" t="n"/>
      <c r="F2074" s="27">
        <f>F2072-F2073</f>
        <v/>
      </c>
      <c r="G2074" s="22" t="n"/>
    </row>
    <row r="2075">
      <c r="A2075" s="29" t="inlineStr">
        <is>
          <t>SAY (Rs.) - final DAR rate as printed (fixed value, not computed)</t>
        </is>
      </c>
      <c r="B2075" s="30" t="n"/>
      <c r="C2075" s="30" t="n"/>
      <c r="D2075" s="30" t="n"/>
      <c r="E2075" s="30" t="n"/>
      <c r="F2075" s="31" t="n">
        <v>1273.05</v>
      </c>
      <c r="G2075" s="30" t="n"/>
    </row>
    <row r="2077" ht="47.5" customHeight="1">
      <c r="A2077" s="18" t="inlineStr">
        <is>
          <t>12.60</t>
        </is>
      </c>
      <c r="B2077" s="19" t="inlineStr">
        <is>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t>
        </is>
      </c>
      <c r="C2077" s="20" t="n"/>
      <c r="D2077" s="20" t="n"/>
      <c r="E2077" s="20" t="n"/>
      <c r="F2077" s="20" t="n"/>
      <c r="G2077" s="20" t="n"/>
    </row>
    <row r="2078">
      <c r="A2078" s="21" t="inlineStr">
        <is>
          <t>Details of cost for 10 sqm   |   Source: CivilDAR_2019_Vol_1.pdf, page 900</t>
        </is>
      </c>
    </row>
    <row r="2079">
      <c r="A2079" s="5" t="inlineStr">
        <is>
          <t>Code</t>
        </is>
      </c>
      <c r="B2079" s="5" t="inlineStr">
        <is>
          <t>Description</t>
        </is>
      </c>
      <c r="C2079" s="5" t="inlineStr">
        <is>
          <t>Unit</t>
        </is>
      </c>
      <c r="D2079" s="5" t="inlineStr">
        <is>
          <t>Quantity</t>
        </is>
      </c>
      <c r="E2079" s="5" t="inlineStr">
        <is>
          <t>Rate (Rs.)</t>
        </is>
      </c>
      <c r="F2079" s="5" t="inlineStr">
        <is>
          <t>Amount (Rs.)</t>
        </is>
      </c>
      <c r="G2079" s="5" t="inlineStr">
        <is>
          <t>Note</t>
        </is>
      </c>
    </row>
    <row r="2080">
      <c r="A2080" s="22" t="inlineStr">
        <is>
          <t>7273</t>
        </is>
      </c>
      <c r="B2080" s="11" t="inlineStr">
        <is>
          <t>Resin Bonded Rockwool 48 kg/m3</t>
        </is>
      </c>
      <c r="C2080" s="22" t="inlineStr">
        <is>
          <t>sqm</t>
        </is>
      </c>
      <c r="D2080" s="23" t="n">
        <v>11</v>
      </c>
      <c r="E2080" s="24" t="n">
        <v>120</v>
      </c>
      <c r="F2080" s="24">
        <f>D2080*E2080</f>
        <v/>
      </c>
      <c r="G2080" s="22" t="n"/>
    </row>
    <row r="2081">
      <c r="A2081" s="22" t="inlineStr">
        <is>
          <t>9999</t>
        </is>
      </c>
      <c r="B2081" s="11" t="inlineStr">
        <is>
          <t>Sundries including GI wire 20 SWG and polythene bags 200gms</t>
        </is>
      </c>
      <c r="C2081" s="22" t="inlineStr">
        <is>
          <t>L.S.</t>
        </is>
      </c>
      <c r="D2081" s="23" t="n">
        <v>104</v>
      </c>
      <c r="E2081" s="24" t="n">
        <v>2</v>
      </c>
      <c r="F2081" s="24">
        <f>D2081*E2081</f>
        <v/>
      </c>
      <c r="G2081" s="22" t="n"/>
    </row>
    <row r="2082">
      <c r="A2082" s="22" t="inlineStr">
        <is>
          <t>9999</t>
        </is>
      </c>
      <c r="B2082" s="11" t="inlineStr">
        <is>
          <t>GI chiken mesh 12.5mm x 24 SWG</t>
        </is>
      </c>
      <c r="C2082" s="22" t="inlineStr">
        <is>
          <t>L.S.</t>
        </is>
      </c>
      <c r="D2082" s="23" t="n">
        <v>351</v>
      </c>
      <c r="E2082" s="24" t="n">
        <v>2</v>
      </c>
      <c r="F2082" s="24">
        <f>D2082*E2082</f>
        <v/>
      </c>
      <c r="G2082" s="22" t="n"/>
    </row>
    <row r="2083">
      <c r="A2083" s="22" t="inlineStr">
        <is>
          <t>0111</t>
        </is>
      </c>
      <c r="B2083" s="11" t="inlineStr">
        <is>
          <t>Carpenter 1st class</t>
        </is>
      </c>
      <c r="C2083" s="22" t="inlineStr">
        <is>
          <t>day</t>
        </is>
      </c>
      <c r="D2083" s="23" t="n">
        <v>1</v>
      </c>
      <c r="E2083" s="24" t="n">
        <v>738</v>
      </c>
      <c r="F2083" s="24">
        <f>D2083*E2083</f>
        <v/>
      </c>
      <c r="G2083" s="22" t="n"/>
    </row>
    <row r="2084">
      <c r="A2084" s="22" t="inlineStr">
        <is>
          <t>0114</t>
        </is>
      </c>
      <c r="B2084" s="11" t="inlineStr">
        <is>
          <t>Beldar</t>
        </is>
      </c>
      <c r="C2084" s="22" t="inlineStr">
        <is>
          <t>day</t>
        </is>
      </c>
      <c r="D2084" s="23" t="n">
        <v>2</v>
      </c>
      <c r="E2084" s="24" t="n">
        <v>558</v>
      </c>
      <c r="F2084" s="24">
        <f>D2084*E2084</f>
        <v/>
      </c>
      <c r="G2084" s="22" t="n"/>
    </row>
    <row r="2085">
      <c r="A2085" s="8" t="inlineStr">
        <is>
          <t>Calculated W - SUM of the Amount column above</t>
        </is>
      </c>
      <c r="B2085" s="9" t="n"/>
      <c r="C2085" s="9" t="n"/>
      <c r="D2085" s="9" t="n"/>
      <c r="E2085" s="9" t="n"/>
      <c r="F2085" s="25">
        <f>SUM(F2080:F2084)</f>
        <v/>
      </c>
      <c r="G2085" s="9" t="n"/>
    </row>
    <row r="2086">
      <c r="A2086" s="26" t="inlineStr">
        <is>
          <t>W as printed in the DAR</t>
        </is>
      </c>
      <c r="B2086" s="22" t="n"/>
      <c r="C2086" s="22" t="n"/>
      <c r="D2086" s="22" t="n"/>
      <c r="E2086" s="22" t="n"/>
      <c r="F2086" s="27" t="n">
        <v>4084</v>
      </c>
      <c r="G2086" s="22" t="n"/>
    </row>
    <row r="2087">
      <c r="A2087" s="26" t="inlineStr">
        <is>
          <t>Difference (calculated - printed)</t>
        </is>
      </c>
      <c r="B2087" s="22" t="n"/>
      <c r="C2087" s="22" t="n"/>
      <c r="D2087" s="22" t="n"/>
      <c r="E2087" s="22" t="n"/>
      <c r="F2087" s="27">
        <f>F2085-F2086</f>
        <v/>
      </c>
      <c r="G2087" s="22" t="n"/>
    </row>
    <row r="2088">
      <c r="A2088" s="29" t="inlineStr">
        <is>
          <t>SAY (Rs.) - final DAR rate as printed (fixed value, not computed)</t>
        </is>
      </c>
      <c r="B2088" s="30" t="n"/>
      <c r="C2088" s="30" t="n"/>
      <c r="D2088" s="30" t="n"/>
      <c r="E2088" s="30" t="n"/>
      <c r="F2088" s="31" t="n">
        <v>546.4</v>
      </c>
      <c r="G2088" s="30" t="n"/>
    </row>
    <row r="2090" ht="33" customHeight="1">
      <c r="A2090" s="18" t="inlineStr">
        <is>
          <t>12.61</t>
        </is>
      </c>
      <c r="B2090" s="19" t="inlineStr">
        <is>
          <t>Providing and fixing thermal insulation with Resin bonded rock wool conforming to IS: 8183, density 48 kg/m3, 50 mm thick, wrapped in 200 G virgin Polythene bags placed over existing false ceilng and held in position by criss-crossing Gl wire.</t>
        </is>
      </c>
      <c r="C2090" s="20" t="n"/>
      <c r="D2090" s="20" t="n"/>
      <c r="E2090" s="20" t="n"/>
      <c r="F2090" s="20" t="n"/>
      <c r="G2090" s="20" t="n"/>
    </row>
    <row r="2091">
      <c r="A2091" s="21" t="inlineStr">
        <is>
          <t>Details of cost for 10 sqm   |   Source: CivilDAR_2019_Vol_1.pdf, page 900</t>
        </is>
      </c>
    </row>
    <row r="2092">
      <c r="A2092" s="5" t="inlineStr">
        <is>
          <t>Code</t>
        </is>
      </c>
      <c r="B2092" s="5" t="inlineStr">
        <is>
          <t>Description</t>
        </is>
      </c>
      <c r="C2092" s="5" t="inlineStr">
        <is>
          <t>Unit</t>
        </is>
      </c>
      <c r="D2092" s="5" t="inlineStr">
        <is>
          <t>Quantity</t>
        </is>
      </c>
      <c r="E2092" s="5" t="inlineStr">
        <is>
          <t>Rate (Rs.)</t>
        </is>
      </c>
      <c r="F2092" s="5" t="inlineStr">
        <is>
          <t>Amount (Rs.)</t>
        </is>
      </c>
      <c r="G2092" s="5" t="inlineStr">
        <is>
          <t>Note</t>
        </is>
      </c>
    </row>
    <row r="2093">
      <c r="A2093" s="22" t="inlineStr">
        <is>
          <t>7273</t>
        </is>
      </c>
      <c r="B2093" s="11" t="inlineStr">
        <is>
          <t>Resin Bonded Rockwool 48 kg/m3</t>
        </is>
      </c>
      <c r="C2093" s="22" t="inlineStr">
        <is>
          <t>sqm</t>
        </is>
      </c>
      <c r="D2093" s="23" t="n">
        <v>11</v>
      </c>
      <c r="E2093" s="24" t="n">
        <v>120</v>
      </c>
      <c r="F2093" s="24">
        <f>D2093*E2093</f>
        <v/>
      </c>
      <c r="G2093" s="22" t="n"/>
    </row>
    <row r="2094">
      <c r="A2094" s="22" t="inlineStr">
        <is>
          <t>9999</t>
        </is>
      </c>
      <c r="B2094" s="11" t="inlineStr">
        <is>
          <t>Sundries including GI wire 20 SWG and polythene bags 200gms</t>
        </is>
      </c>
      <c r="C2094" s="22" t="inlineStr">
        <is>
          <t>L.S.</t>
        </is>
      </c>
      <c r="D2094" s="23" t="n">
        <v>52</v>
      </c>
      <c r="E2094" s="24" t="n">
        <v>2</v>
      </c>
      <c r="F2094" s="24">
        <f>D2094*E2094</f>
        <v/>
      </c>
      <c r="G2094" s="22" t="n"/>
    </row>
    <row r="2095">
      <c r="A2095" s="22" t="inlineStr">
        <is>
          <t>0111</t>
        </is>
      </c>
      <c r="B2095" s="11" t="inlineStr">
        <is>
          <t>Carpenter 1st class</t>
        </is>
      </c>
      <c r="C2095" s="22" t="inlineStr">
        <is>
          <t>day</t>
        </is>
      </c>
      <c r="D2095" s="23" t="n">
        <v>0.5</v>
      </c>
      <c r="E2095" s="24" t="n">
        <v>738</v>
      </c>
      <c r="F2095" s="24">
        <f>D2095*E2095</f>
        <v/>
      </c>
      <c r="G2095" s="22" t="n"/>
    </row>
    <row r="2096">
      <c r="A2096" s="22" t="inlineStr">
        <is>
          <t>0114</t>
        </is>
      </c>
      <c r="B2096" s="11" t="inlineStr">
        <is>
          <t>Beldar</t>
        </is>
      </c>
      <c r="C2096" s="22" t="inlineStr">
        <is>
          <t>day</t>
        </is>
      </c>
      <c r="D2096" s="23" t="n">
        <v>0.5</v>
      </c>
      <c r="E2096" s="24" t="n">
        <v>558</v>
      </c>
      <c r="F2096" s="24">
        <f>D2096*E2096</f>
        <v/>
      </c>
      <c r="G2096" s="22" t="n"/>
    </row>
    <row r="2097">
      <c r="A2097" s="8" t="inlineStr">
        <is>
          <t>Calculated W - SUM of the Amount column above</t>
        </is>
      </c>
      <c r="B2097" s="9" t="n"/>
      <c r="C2097" s="9" t="n"/>
      <c r="D2097" s="9" t="n"/>
      <c r="E2097" s="9" t="n"/>
      <c r="F2097" s="25">
        <f>SUM(F2093:F2096)</f>
        <v/>
      </c>
      <c r="G2097" s="9" t="n"/>
    </row>
    <row r="2098">
      <c r="A2098" s="26" t="inlineStr">
        <is>
          <t>W as printed in the DAR</t>
        </is>
      </c>
      <c r="B2098" s="22" t="n"/>
      <c r="C2098" s="22" t="n"/>
      <c r="D2098" s="22" t="n"/>
      <c r="E2098" s="22" t="n"/>
      <c r="F2098" s="27" t="n">
        <v>2072</v>
      </c>
      <c r="G2098" s="22" t="n"/>
    </row>
    <row r="2099">
      <c r="A2099" s="26" t="inlineStr">
        <is>
          <t>Difference (calculated - printed)</t>
        </is>
      </c>
      <c r="B2099" s="22" t="n"/>
      <c r="C2099" s="22" t="n"/>
      <c r="D2099" s="22" t="n"/>
      <c r="E2099" s="22" t="n"/>
      <c r="F2099" s="27">
        <f>F2097-F2098</f>
        <v/>
      </c>
      <c r="G2099" s="22" t="n"/>
    </row>
    <row r="2100">
      <c r="A2100" s="29" t="inlineStr">
        <is>
          <t>SAY (Rs.) - final DAR rate as printed (fixed value, not computed)</t>
        </is>
      </c>
      <c r="B2100" s="30" t="n"/>
      <c r="C2100" s="30" t="n"/>
      <c r="D2100" s="30" t="n"/>
      <c r="E2100" s="30" t="n"/>
      <c r="F2100" s="31" t="n">
        <v>277.2</v>
      </c>
      <c r="G2100" s="30" t="n"/>
    </row>
    <row r="2102" ht="47.5" customHeight="1">
      <c r="A2102" s="18" t="inlineStr">
        <is>
          <t>12.62</t>
        </is>
      </c>
      <c r="B2102" s="19" t="inlineStr">
        <is>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t>
        </is>
      </c>
      <c r="C2102" s="20" t="n"/>
      <c r="D2102" s="20" t="n"/>
      <c r="E2102" s="20" t="n"/>
      <c r="F2102" s="20" t="n"/>
      <c r="G2102" s="20" t="n"/>
    </row>
    <row r="2103">
      <c r="A2103" s="21" t="inlineStr">
        <is>
          <t>Details of cost for 10 sqm   |   Source: CivilDAR_2019_Vol_1.pdf, page 901</t>
        </is>
      </c>
    </row>
    <row r="2104">
      <c r="A2104" s="5" t="inlineStr">
        <is>
          <t>Code</t>
        </is>
      </c>
      <c r="B2104" s="5" t="inlineStr">
        <is>
          <t>Description</t>
        </is>
      </c>
      <c r="C2104" s="5" t="inlineStr">
        <is>
          <t>Unit</t>
        </is>
      </c>
      <c r="D2104" s="5" t="inlineStr">
        <is>
          <t>Quantity</t>
        </is>
      </c>
      <c r="E2104" s="5" t="inlineStr">
        <is>
          <t>Rate (Rs.)</t>
        </is>
      </c>
      <c r="F2104" s="5" t="inlineStr">
        <is>
          <t>Amount (Rs.)</t>
        </is>
      </c>
      <c r="G2104" s="5" t="inlineStr">
        <is>
          <t>Note</t>
        </is>
      </c>
    </row>
    <row r="2105">
      <c r="A2105" s="22" t="inlineStr">
        <is>
          <t>7273</t>
        </is>
      </c>
      <c r="B2105" s="11" t="inlineStr">
        <is>
          <t>Resin Bonded Rockwool 48 kg/m3</t>
        </is>
      </c>
      <c r="C2105" s="22" t="inlineStr">
        <is>
          <t>sqm</t>
        </is>
      </c>
      <c r="D2105" s="23" t="n">
        <v>11</v>
      </c>
      <c r="E2105" s="24" t="n">
        <v>120</v>
      </c>
      <c r="F2105" s="24">
        <f>D2105*E2105</f>
        <v/>
      </c>
      <c r="G2105" s="22" t="n"/>
    </row>
    <row r="2106">
      <c r="A2106" s="22" t="inlineStr">
        <is>
          <t>9999</t>
        </is>
      </c>
      <c r="B2106" s="11" t="inlineStr">
        <is>
          <t>Sundries including GI wire 20 SWG and Virgin polythene bags 200 gram and Carriage</t>
        </is>
      </c>
      <c r="C2106" s="22" t="inlineStr">
        <is>
          <t>L.S.</t>
        </is>
      </c>
      <c r="D2106" s="23" t="n">
        <v>52</v>
      </c>
      <c r="E2106" s="24" t="n">
        <v>2</v>
      </c>
      <c r="F2106" s="24">
        <f>D2106*E2106</f>
        <v/>
      </c>
      <c r="G2106" s="22" t="n"/>
    </row>
    <row r="2107">
      <c r="A2107" s="22" t="inlineStr">
        <is>
          <t>0111</t>
        </is>
      </c>
      <c r="B2107" s="11" t="inlineStr">
        <is>
          <t>Carpenter 1st class</t>
        </is>
      </c>
      <c r="C2107" s="22" t="inlineStr">
        <is>
          <t>day</t>
        </is>
      </c>
      <c r="D2107" s="23" t="n">
        <v>0.5</v>
      </c>
      <c r="E2107" s="24" t="n">
        <v>738</v>
      </c>
      <c r="F2107" s="24">
        <f>D2107*E2107</f>
        <v/>
      </c>
      <c r="G2107" s="22" t="n"/>
    </row>
    <row r="2108">
      <c r="A2108" s="22" t="inlineStr">
        <is>
          <t>0114</t>
        </is>
      </c>
      <c r="B2108" s="11" t="inlineStr">
        <is>
          <t>Beldar</t>
        </is>
      </c>
      <c r="C2108" s="22" t="inlineStr">
        <is>
          <t>day</t>
        </is>
      </c>
      <c r="D2108" s="23" t="n">
        <v>0.5</v>
      </c>
      <c r="E2108" s="24" t="n">
        <v>558</v>
      </c>
      <c r="F2108" s="24">
        <f>D2108*E2108</f>
        <v/>
      </c>
      <c r="G2108" s="22" t="n"/>
    </row>
    <row r="2109">
      <c r="A2109" s="22" t="inlineStr">
        <is>
          <t>9999</t>
        </is>
      </c>
      <c r="B2109" s="11" t="inlineStr">
        <is>
          <t>Sundries (screws &amp; washers)</t>
        </is>
      </c>
      <c r="C2109" s="22" t="inlineStr">
        <is>
          <t>L.S.</t>
        </is>
      </c>
      <c r="D2109" s="23" t="n">
        <v>20</v>
      </c>
      <c r="E2109" s="24" t="n">
        <v>2</v>
      </c>
      <c r="F2109" s="24">
        <f>D2109*E2109</f>
        <v/>
      </c>
      <c r="G2109" s="22" t="n"/>
    </row>
    <row r="2110">
      <c r="A2110" s="8" t="inlineStr">
        <is>
          <t>Calculated W - SUM of the Amount column above</t>
        </is>
      </c>
      <c r="B2110" s="9" t="n"/>
      <c r="C2110" s="9" t="n"/>
      <c r="D2110" s="9" t="n"/>
      <c r="E2110" s="9" t="n"/>
      <c r="F2110" s="25">
        <f>SUM(F2105:F2109)</f>
        <v/>
      </c>
      <c r="G2110" s="9" t="n"/>
    </row>
    <row r="2111">
      <c r="A2111" s="26" t="inlineStr">
        <is>
          <t>W as printed in the DAR</t>
        </is>
      </c>
      <c r="B2111" s="22" t="n"/>
      <c r="C2111" s="22" t="n"/>
      <c r="D2111" s="22" t="n"/>
      <c r="E2111" s="22" t="n"/>
      <c r="F2111" s="27" t="n">
        <v>2112</v>
      </c>
      <c r="G2111" s="22" t="n"/>
    </row>
    <row r="2112">
      <c r="A2112" s="26" t="inlineStr">
        <is>
          <t>Difference (calculated - printed)</t>
        </is>
      </c>
      <c r="B2112" s="22" t="n"/>
      <c r="C2112" s="22" t="n"/>
      <c r="D2112" s="22" t="n"/>
      <c r="E2112" s="22" t="n"/>
      <c r="F2112" s="27">
        <f>F2110-F2111</f>
        <v/>
      </c>
      <c r="G2112" s="22" t="n"/>
    </row>
    <row r="2113">
      <c r="A2113" s="29" t="inlineStr">
        <is>
          <t>SAY (Rs.) - final DAR rate as printed (fixed value, not computed)</t>
        </is>
      </c>
      <c r="B2113" s="30" t="n"/>
      <c r="C2113" s="30" t="n"/>
      <c r="D2113" s="30" t="n"/>
      <c r="E2113" s="30" t="n"/>
      <c r="F2113" s="31" t="n">
        <v>282.55</v>
      </c>
      <c r="G2113" s="30" t="n"/>
    </row>
    <row r="2115" ht="91" customHeight="1">
      <c r="A2115" s="18" t="inlineStr">
        <is>
          <t>12.63</t>
        </is>
      </c>
      <c r="B2115" s="19" t="inlineStr">
        <is>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is>
      </c>
      <c r="C2115" s="20" t="n"/>
      <c r="D2115" s="20" t="n"/>
      <c r="E2115" s="20" t="n"/>
      <c r="F2115" s="20" t="n"/>
      <c r="G2115" s="20" t="n"/>
    </row>
    <row r="2116">
      <c r="A2116" s="21" t="inlineStr">
        <is>
          <t>Details of cost for 10 sqm   |   Source: CivilDAR_2019_Vol_1.pdf, page 902</t>
        </is>
      </c>
    </row>
    <row r="2117">
      <c r="A2117" s="5" t="inlineStr">
        <is>
          <t>Code</t>
        </is>
      </c>
      <c r="B2117" s="5" t="inlineStr">
        <is>
          <t>Description</t>
        </is>
      </c>
      <c r="C2117" s="5" t="inlineStr">
        <is>
          <t>Unit</t>
        </is>
      </c>
      <c r="D2117" s="5" t="inlineStr">
        <is>
          <t>Quantity</t>
        </is>
      </c>
      <c r="E2117" s="5" t="inlineStr">
        <is>
          <t>Rate (Rs.)</t>
        </is>
      </c>
      <c r="F2117" s="5" t="inlineStr">
        <is>
          <t>Amount (Rs.)</t>
        </is>
      </c>
      <c r="G2117" s="5" t="inlineStr">
        <is>
          <t>Note</t>
        </is>
      </c>
    </row>
    <row r="2118">
      <c r="A2118" s="22" t="inlineStr">
        <is>
          <t>7238</t>
        </is>
      </c>
      <c r="B2118" s="11" t="inlineStr">
        <is>
          <t>High Albedo paint</t>
        </is>
      </c>
      <c r="C2118" s="22" t="inlineStr">
        <is>
          <t>kg</t>
        </is>
      </c>
      <c r="D2118" s="23" t="n">
        <v>7.17</v>
      </c>
      <c r="E2118" s="24" t="n">
        <v>230</v>
      </c>
      <c r="F2118" s="24">
        <f>D2118*E2118</f>
        <v/>
      </c>
      <c r="G2118" s="22" t="n"/>
    </row>
    <row r="2119">
      <c r="A2119" s="22" t="inlineStr">
        <is>
          <t>9977</t>
        </is>
      </c>
      <c r="B2119" s="11" t="inlineStr">
        <is>
          <t>Carriage of paint</t>
        </is>
      </c>
      <c r="C2119" s="22" t="inlineStr">
        <is>
          <t>L.S.</t>
        </is>
      </c>
      <c r="D2119" s="23" t="n">
        <v>4.53</v>
      </c>
      <c r="E2119" s="24" t="n">
        <v>2</v>
      </c>
      <c r="F2119" s="24">
        <f>D2119*E2119</f>
        <v/>
      </c>
      <c r="G2119" s="22" t="n"/>
    </row>
    <row r="2120">
      <c r="A2120" s="22" t="inlineStr">
        <is>
          <t>0114</t>
        </is>
      </c>
      <c r="B2120" s="11" t="inlineStr">
        <is>
          <t>Beldar (for cleanign the surface)</t>
        </is>
      </c>
      <c r="C2120" s="22" t="inlineStr">
        <is>
          <t>day</t>
        </is>
      </c>
      <c r="D2120" s="23" t="n">
        <v>0.54</v>
      </c>
      <c r="E2120" s="24" t="n">
        <v>558</v>
      </c>
      <c r="F2120" s="24">
        <f>D2120*E2120</f>
        <v/>
      </c>
      <c r="G2120" s="22" t="n"/>
    </row>
    <row r="2121">
      <c r="A2121" s="22" t="inlineStr">
        <is>
          <t>0131</t>
        </is>
      </c>
      <c r="B2121" s="11" t="inlineStr">
        <is>
          <t>Painter</t>
        </is>
      </c>
      <c r="C2121" s="22" t="inlineStr">
        <is>
          <t>day</t>
        </is>
      </c>
      <c r="D2121" s="23" t="n">
        <v>0.54</v>
      </c>
      <c r="E2121" s="24" t="n">
        <v>679</v>
      </c>
      <c r="F2121" s="24">
        <f>D2121*E2121</f>
        <v/>
      </c>
      <c r="G2121" s="22" t="n"/>
    </row>
    <row r="2122">
      <c r="A2122" s="22" t="inlineStr">
        <is>
          <t>9999</t>
        </is>
      </c>
      <c r="B2122" s="11" t="inlineStr">
        <is>
          <t>Sundries (Brushes &amp; T&amp;P etc.</t>
        </is>
      </c>
      <c r="C2122" s="22" t="inlineStr">
        <is>
          <t>L.S.</t>
        </is>
      </c>
      <c r="D2122" s="23" t="n">
        <v>13.52</v>
      </c>
      <c r="E2122" s="24" t="n">
        <v>2</v>
      </c>
      <c r="F2122" s="24">
        <f>D2122*E2122</f>
        <v/>
      </c>
      <c r="G2122" s="22" t="n"/>
    </row>
    <row r="2123">
      <c r="A2123" s="8" t="inlineStr">
        <is>
          <t>Calculated W - SUM of the Amount column above</t>
        </is>
      </c>
      <c r="B2123" s="9" t="n"/>
      <c r="C2123" s="9" t="n"/>
      <c r="D2123" s="9" t="n"/>
      <c r="E2123" s="9" t="n"/>
      <c r="F2123" s="25">
        <f>SUM(F2118:F2122)</f>
        <v/>
      </c>
      <c r="G2123" s="9" t="n"/>
    </row>
    <row r="2124">
      <c r="A2124" s="26" t="inlineStr">
        <is>
          <t>W as printed in the DAR</t>
        </is>
      </c>
      <c r="B2124" s="22" t="n"/>
      <c r="C2124" s="22" t="n"/>
      <c r="D2124" s="22" t="n"/>
      <c r="E2124" s="22" t="n"/>
      <c r="F2124" s="27" t="n">
        <v>2353.18</v>
      </c>
      <c r="G2124" s="22" t="n"/>
    </row>
    <row r="2125">
      <c r="A2125" s="26" t="inlineStr">
        <is>
          <t>Difference (calculated - printed)</t>
        </is>
      </c>
      <c r="B2125" s="22" t="n"/>
      <c r="C2125" s="22" t="n"/>
      <c r="D2125" s="22" t="n"/>
      <c r="E2125" s="22" t="n"/>
      <c r="F2125" s="27">
        <f>F2123-F2124</f>
        <v/>
      </c>
      <c r="G2125" s="22" t="n"/>
    </row>
    <row r="2126">
      <c r="A2126" s="29" t="inlineStr">
        <is>
          <t>SAY (Rs.) - final DAR rate as printed (fixed value, not computed)</t>
        </is>
      </c>
      <c r="B2126" s="30" t="n"/>
      <c r="C2126" s="30" t="n"/>
      <c r="D2126" s="30" t="n"/>
      <c r="E2126" s="30" t="n"/>
      <c r="F2126" s="31" t="n">
        <v>314.85</v>
      </c>
      <c r="G2126" s="30" t="n"/>
    </row>
  </sheetData>
  <mergeCells count="834">
    <mergeCell ref="A1080:E1080"/>
    <mergeCell ref="B293:G293"/>
    <mergeCell ref="A319:E319"/>
    <mergeCell ref="A1055:E1055"/>
    <mergeCell ref="B1020:G1020"/>
    <mergeCell ref="B1374:G1374"/>
    <mergeCell ref="A245:G245"/>
    <mergeCell ref="B1349:G1349"/>
    <mergeCell ref="B1545:G1545"/>
    <mergeCell ref="A429:E429"/>
    <mergeCell ref="A727:E727"/>
    <mergeCell ref="B1852:G1852"/>
    <mergeCell ref="B820:G820"/>
    <mergeCell ref="A137:E137"/>
    <mergeCell ref="B375:G375"/>
    <mergeCell ref="A963:E963"/>
    <mergeCell ref="A1672:E1672"/>
    <mergeCell ref="A1763:G1763"/>
    <mergeCell ref="A640:E640"/>
    <mergeCell ref="A1970:E1970"/>
    <mergeCell ref="B1403:G1403"/>
    <mergeCell ref="B344:G344"/>
    <mergeCell ref="A729:E729"/>
    <mergeCell ref="A1438:E1438"/>
    <mergeCell ref="B1710:G1710"/>
    <mergeCell ref="A139:E139"/>
    <mergeCell ref="B1897:G1897"/>
    <mergeCell ref="B1611:G1611"/>
    <mergeCell ref="A1723:E1723"/>
    <mergeCell ref="A2021:E2021"/>
    <mergeCell ref="A2126:E2126"/>
    <mergeCell ref="A483:E483"/>
    <mergeCell ref="B886:G886"/>
    <mergeCell ref="A1738:E1738"/>
    <mergeCell ref="A1445:G1445"/>
    <mergeCell ref="A1759:E1759"/>
    <mergeCell ref="A1892:E1892"/>
    <mergeCell ref="A2123:E2123"/>
    <mergeCell ref="A2023:E2023"/>
    <mergeCell ref="B141:G141"/>
    <mergeCell ref="A1289:E1289"/>
    <mergeCell ref="A63:E63"/>
    <mergeCell ref="A941:E941"/>
    <mergeCell ref="A1745:G1745"/>
    <mergeCell ref="A1304:E1304"/>
    <mergeCell ref="B660:G660"/>
    <mergeCell ref="A1385:E1385"/>
    <mergeCell ref="B1850:G1850"/>
    <mergeCell ref="A546:E546"/>
    <mergeCell ref="B1431:G1431"/>
    <mergeCell ref="A1015:E1015"/>
    <mergeCell ref="A138:E138"/>
    <mergeCell ref="B499:G499"/>
    <mergeCell ref="B470:G470"/>
    <mergeCell ref="B1387:G1387"/>
    <mergeCell ref="A496:E496"/>
    <mergeCell ref="A430:E430"/>
    <mergeCell ref="A982:E982"/>
    <mergeCell ref="A417:E417"/>
    <mergeCell ref="B243:G243"/>
    <mergeCell ref="A1607:E1607"/>
    <mergeCell ref="A548:E548"/>
    <mergeCell ref="B1262:G1262"/>
    <mergeCell ref="A1017:E1017"/>
    <mergeCell ref="A2043:E2043"/>
    <mergeCell ref="B805:G805"/>
    <mergeCell ref="A1215:E1215"/>
    <mergeCell ref="B770:G770"/>
    <mergeCell ref="A354:E354"/>
    <mergeCell ref="A625:E625"/>
    <mergeCell ref="A270:G270"/>
    <mergeCell ref="A1609:E1609"/>
    <mergeCell ref="A1081:E1081"/>
    <mergeCell ref="A264:E264"/>
    <mergeCell ref="A198:E198"/>
    <mergeCell ref="A369:E369"/>
    <mergeCell ref="A1317:E1317"/>
    <mergeCell ref="A1046:G1046"/>
    <mergeCell ref="A2072:E2072"/>
    <mergeCell ref="A356:E356"/>
    <mergeCell ref="B1337:G1337"/>
    <mergeCell ref="A1:G1"/>
    <mergeCell ref="A748:E748"/>
    <mergeCell ref="A1377:G1377"/>
    <mergeCell ref="B390:G390"/>
    <mergeCell ref="A205:G205"/>
    <mergeCell ref="A514:E514"/>
    <mergeCell ref="A1898:G1898"/>
    <mergeCell ref="B389:G389"/>
    <mergeCell ref="A968:G968"/>
    <mergeCell ref="A1673:E1673"/>
    <mergeCell ref="A147:E147"/>
    <mergeCell ref="B131:G131"/>
    <mergeCell ref="A645:G645"/>
    <mergeCell ref="A1477:E1477"/>
    <mergeCell ref="A372:E372"/>
    <mergeCell ref="A432:E432"/>
    <mergeCell ref="A801:E801"/>
    <mergeCell ref="B518:G518"/>
    <mergeCell ref="B1711:G1711"/>
    <mergeCell ref="B1947:G1947"/>
    <mergeCell ref="A534:E534"/>
    <mergeCell ref="B1490:G1490"/>
    <mergeCell ref="B1726:G1726"/>
    <mergeCell ref="B887:G887"/>
    <mergeCell ref="A1608:E1608"/>
    <mergeCell ref="A1399:E1399"/>
    <mergeCell ref="A340:E340"/>
    <mergeCell ref="A436:G436"/>
    <mergeCell ref="A1324:G1324"/>
    <mergeCell ref="A1570:E1570"/>
    <mergeCell ref="A2073:E2073"/>
    <mergeCell ref="A486:E486"/>
    <mergeCell ref="B1479:G1479"/>
    <mergeCell ref="A2051:G2051"/>
    <mergeCell ref="B1948:G1948"/>
    <mergeCell ref="A1597:E1597"/>
    <mergeCell ref="A567:E567"/>
    <mergeCell ref="A865:E865"/>
    <mergeCell ref="A1021:G1021"/>
    <mergeCell ref="A1463:G1463"/>
    <mergeCell ref="B1631:G1631"/>
    <mergeCell ref="A158:E158"/>
    <mergeCell ref="B142:G142"/>
    <mergeCell ref="B1139:G1139"/>
    <mergeCell ref="A1165:E1165"/>
    <mergeCell ref="A1085:G1085"/>
    <mergeCell ref="A1257:E1257"/>
    <mergeCell ref="B905:G905"/>
    <mergeCell ref="A160:E160"/>
    <mergeCell ref="A1757:E1757"/>
    <mergeCell ref="B1263:G1263"/>
    <mergeCell ref="A1167:E1167"/>
    <mergeCell ref="B1632:G1632"/>
    <mergeCell ref="B771:G771"/>
    <mergeCell ref="A1259:E1259"/>
    <mergeCell ref="B836:G836"/>
    <mergeCell ref="B1140:G1140"/>
    <mergeCell ref="B907:G907"/>
    <mergeCell ref="B1376:G1376"/>
    <mergeCell ref="A960:E960"/>
    <mergeCell ref="B615:G615"/>
    <mergeCell ref="A849:E849"/>
    <mergeCell ref="A199:E199"/>
    <mergeCell ref="A1196:E1196"/>
    <mergeCell ref="B1363:G1363"/>
    <mergeCell ref="B1805:G1805"/>
    <mergeCell ref="A1383:E1383"/>
    <mergeCell ref="A799:E799"/>
    <mergeCell ref="A288:E288"/>
    <mergeCell ref="A726:E726"/>
    <mergeCell ref="B552:G552"/>
    <mergeCell ref="A962:E962"/>
    <mergeCell ref="A1260:E1260"/>
    <mergeCell ref="A30:E30"/>
    <mergeCell ref="A734:G734"/>
    <mergeCell ref="B852:G852"/>
    <mergeCell ref="A61:E61"/>
    <mergeCell ref="B1281:G1281"/>
    <mergeCell ref="A1678:G1678"/>
    <mergeCell ref="B1992:G1992"/>
    <mergeCell ref="B1218:G1218"/>
    <mergeCell ref="A2097:E2097"/>
    <mergeCell ref="B997:G997"/>
    <mergeCell ref="A448:E448"/>
    <mergeCell ref="B1124:G1124"/>
    <mergeCell ref="B1295:G1295"/>
    <mergeCell ref="A746:E746"/>
    <mergeCell ref="B1233:G1233"/>
    <mergeCell ref="A817:E817"/>
    <mergeCell ref="B1429:G1429"/>
    <mergeCell ref="A2013:G2013"/>
    <mergeCell ref="A611:E611"/>
    <mergeCell ref="A2112:E2112"/>
    <mergeCell ref="B1518:G1518"/>
    <mergeCell ref="A2099:E2099"/>
    <mergeCell ref="A341:E341"/>
    <mergeCell ref="A512:E512"/>
    <mergeCell ref="B1322:G1322"/>
    <mergeCell ref="B2077:G2077"/>
    <mergeCell ref="A306:E306"/>
    <mergeCell ref="A806:G806"/>
    <mergeCell ref="A501:G501"/>
    <mergeCell ref="A1967:E1967"/>
    <mergeCell ref="A99:G99"/>
    <mergeCell ref="B321:G321"/>
    <mergeCell ref="B1780:G1780"/>
    <mergeCell ref="B1874:G1874"/>
    <mergeCell ref="A466:E466"/>
    <mergeCell ref="A764:E764"/>
    <mergeCell ref="A361:G361"/>
    <mergeCell ref="B906:G906"/>
    <mergeCell ref="B1348:G1348"/>
    <mergeCell ref="A1291:E1291"/>
    <mergeCell ref="A1758:E1758"/>
    <mergeCell ref="A1168:E1168"/>
    <mergeCell ref="A2086:E2086"/>
    <mergeCell ref="A1800:E1800"/>
    <mergeCell ref="A1418:G1418"/>
    <mergeCell ref="A728:E728"/>
    <mergeCell ref="A532:E532"/>
    <mergeCell ref="A1197:E1197"/>
    <mergeCell ref="A1333:E1333"/>
    <mergeCell ref="A1626:E1626"/>
    <mergeCell ref="A1802:E1802"/>
    <mergeCell ref="A2100:E2100"/>
    <mergeCell ref="A1989:E1989"/>
    <mergeCell ref="A2087:E2087"/>
    <mergeCell ref="A928:G928"/>
    <mergeCell ref="A1876:G1876"/>
    <mergeCell ref="B359:G359"/>
    <mergeCell ref="A1092:E1092"/>
    <mergeCell ref="B36:G36"/>
    <mergeCell ref="A179:E179"/>
    <mergeCell ref="A908:G908"/>
    <mergeCell ref="A1692:E1692"/>
    <mergeCell ref="B570:G570"/>
    <mergeCell ref="A2103:G2103"/>
    <mergeCell ref="A1575:G1575"/>
    <mergeCell ref="A1344:E1344"/>
    <mergeCell ref="B1170:G1170"/>
    <mergeCell ref="B1097:G1097"/>
    <mergeCell ref="A881:E881"/>
    <mergeCell ref="A1707:E1707"/>
    <mergeCell ref="A1359:E1359"/>
    <mergeCell ref="A327:E327"/>
    <mergeCell ref="B1234:G1234"/>
    <mergeCell ref="A818:E818"/>
    <mergeCell ref="B1361:G1361"/>
    <mergeCell ref="A376:G376"/>
    <mergeCell ref="A994:E994"/>
    <mergeCell ref="A612:E612"/>
    <mergeCell ref="A883:E883"/>
    <mergeCell ref="A1054:E1054"/>
    <mergeCell ref="A1942:E1942"/>
    <mergeCell ref="A2113:E2113"/>
    <mergeCell ref="A981:E981"/>
    <mergeCell ref="A93:E93"/>
    <mergeCell ref="A1041:E1041"/>
    <mergeCell ref="B1695:G1695"/>
    <mergeCell ref="A220:E220"/>
    <mergeCell ref="A1721:E1721"/>
    <mergeCell ref="A1917:E1917"/>
    <mergeCell ref="A1410:E1410"/>
    <mergeCell ref="A1515:E1515"/>
    <mergeCell ref="A1708:E1708"/>
    <mergeCell ref="A1633:G1633"/>
    <mergeCell ref="A747:E747"/>
    <mergeCell ref="A1944:E1944"/>
    <mergeCell ref="A328:E328"/>
    <mergeCell ref="A983:E983"/>
    <mergeCell ref="A1105:E1105"/>
    <mergeCell ref="A691:E691"/>
    <mergeCell ref="A165:G165"/>
    <mergeCell ref="A1120:E1120"/>
    <mergeCell ref="A594:G594"/>
    <mergeCell ref="A1212:E1212"/>
    <mergeCell ref="A1432:G1432"/>
    <mergeCell ref="A1057:E1057"/>
    <mergeCell ref="A1243:E1243"/>
    <mergeCell ref="A317:E317"/>
    <mergeCell ref="A2020:E2020"/>
    <mergeCell ref="A1541:E1541"/>
    <mergeCell ref="B947:G947"/>
    <mergeCell ref="B1245:G1245"/>
    <mergeCell ref="A1357:E1357"/>
    <mergeCell ref="B453:G453"/>
    <mergeCell ref="A1799:E1799"/>
    <mergeCell ref="A767:E767"/>
    <mergeCell ref="B751:G751"/>
    <mergeCell ref="B1110:G1110"/>
    <mergeCell ref="A1332:E1332"/>
    <mergeCell ref="A1136:E1136"/>
    <mergeCell ref="A515:E515"/>
    <mergeCell ref="A104:E104"/>
    <mergeCell ref="B787:G787"/>
    <mergeCell ref="A1568:E1568"/>
    <mergeCell ref="A1739:E1739"/>
    <mergeCell ref="A2022:E2022"/>
    <mergeCell ref="A533:E533"/>
    <mergeCell ref="A831:E831"/>
    <mergeCell ref="A902:E902"/>
    <mergeCell ref="B2048:G2048"/>
    <mergeCell ref="A106:E106"/>
    <mergeCell ref="A815:E815"/>
    <mergeCell ref="B1280:G1280"/>
    <mergeCell ref="A1868:E1868"/>
    <mergeCell ref="A2110:E2110"/>
    <mergeCell ref="A1519:G1519"/>
    <mergeCell ref="A1411:E1411"/>
    <mergeCell ref="A833:E833"/>
    <mergeCell ref="A1398:E1398"/>
    <mergeCell ref="A1569:E1569"/>
    <mergeCell ref="A1727:G1727"/>
    <mergeCell ref="A289:E289"/>
    <mergeCell ref="A822:G822"/>
    <mergeCell ref="A616:G616"/>
    <mergeCell ref="A1571:E1571"/>
    <mergeCell ref="A201:E201"/>
    <mergeCell ref="B927:G927"/>
    <mergeCell ref="B731:G731"/>
    <mergeCell ref="A1712:G1712"/>
    <mergeCell ref="B1461:G1461"/>
    <mergeCell ref="A332:G332"/>
    <mergeCell ref="B644:G644"/>
    <mergeCell ref="A1487:E1487"/>
    <mergeCell ref="A399:E399"/>
    <mergeCell ref="A1425:E1425"/>
    <mergeCell ref="B1896:G1896"/>
    <mergeCell ref="A1474:E1474"/>
    <mergeCell ref="A1231:E1231"/>
    <mergeCell ref="A2008:E2008"/>
    <mergeCell ref="A1302:E1302"/>
    <mergeCell ref="A920:E920"/>
    <mergeCell ref="A1424:E1424"/>
    <mergeCell ref="A221:E221"/>
    <mergeCell ref="B1696:G1696"/>
    <mergeCell ref="A1660:E1660"/>
    <mergeCell ref="B1827:G1827"/>
    <mergeCell ref="A1345:E1345"/>
    <mergeCell ref="A2044:E2044"/>
    <mergeCell ref="B1308:G1308"/>
    <mergeCell ref="A1647:E1647"/>
    <mergeCell ref="B1664:G1664"/>
    <mergeCell ref="B1462:G1462"/>
    <mergeCell ref="A1774:E1774"/>
    <mergeCell ref="A1823:E1823"/>
    <mergeCell ref="A2010:E2010"/>
    <mergeCell ref="A1426:E1426"/>
    <mergeCell ref="A465:E465"/>
    <mergeCell ref="B1375:G1375"/>
    <mergeCell ref="A998:G998"/>
    <mergeCell ref="A110:G110"/>
    <mergeCell ref="A2074:E2074"/>
    <mergeCell ref="A2045:E2045"/>
    <mergeCell ref="A948:G948"/>
    <mergeCell ref="A1613:G1613"/>
    <mergeCell ref="A472:G472"/>
    <mergeCell ref="B1489:G1489"/>
    <mergeCell ref="A125:E125"/>
    <mergeCell ref="A318:E318"/>
    <mergeCell ref="B1416:G1416"/>
    <mergeCell ref="B1019:G1019"/>
    <mergeCell ref="A1112:G1112"/>
    <mergeCell ref="A772:G772"/>
    <mergeCell ref="A923:E923"/>
    <mergeCell ref="B1084:G1084"/>
    <mergeCell ref="B500:G500"/>
    <mergeCell ref="B1111:G1111"/>
    <mergeCell ref="B223:G223"/>
    <mergeCell ref="A127:E127"/>
    <mergeCell ref="B592:G592"/>
    <mergeCell ref="A114:E114"/>
    <mergeCell ref="A783:E783"/>
    <mergeCell ref="A64:E64"/>
    <mergeCell ref="B803:G803"/>
    <mergeCell ref="B996:G996"/>
    <mergeCell ref="A1596:E1596"/>
    <mergeCell ref="A1894:E1894"/>
    <mergeCell ref="B1922:G1922"/>
    <mergeCell ref="A549:E549"/>
    <mergeCell ref="A178:E178"/>
    <mergeCell ref="A816:E816"/>
    <mergeCell ref="A2111:E2111"/>
    <mergeCell ref="B569:G569"/>
    <mergeCell ref="B1517:G1517"/>
    <mergeCell ref="A121:G121"/>
    <mergeCell ref="A1439:E1439"/>
    <mergeCell ref="A1364:G1364"/>
    <mergeCell ref="A1706:E1706"/>
    <mergeCell ref="B1388:G1388"/>
    <mergeCell ref="A1351:G1351"/>
    <mergeCell ref="A624:E624"/>
    <mergeCell ref="A421:G421"/>
    <mergeCell ref="A888:G888"/>
    <mergeCell ref="A986:G986"/>
    <mergeCell ref="B434:G434"/>
    <mergeCell ref="A2028:G2028"/>
    <mergeCell ref="A629:G629"/>
    <mergeCell ref="A1993:G1993"/>
    <mergeCell ref="A1949:G1949"/>
    <mergeCell ref="B1235:G1235"/>
    <mergeCell ref="A33:E33"/>
    <mergeCell ref="A1303:E1303"/>
    <mergeCell ref="A1241:E1241"/>
    <mergeCell ref="A342:E342"/>
    <mergeCell ref="A1661:E1661"/>
    <mergeCell ref="A1094:E1094"/>
    <mergeCell ref="B945:G945"/>
    <mergeCell ref="A62:E62"/>
    <mergeCell ref="B488:G488"/>
    <mergeCell ref="A1968:E1968"/>
    <mergeCell ref="A1824:E1824"/>
    <mergeCell ref="A765:E765"/>
    <mergeCell ref="A1069:E1069"/>
    <mergeCell ref="B1401:G1401"/>
    <mergeCell ref="A308:E308"/>
    <mergeCell ref="A1305:E1305"/>
    <mergeCell ref="A1427:E1427"/>
    <mergeCell ref="A642:E642"/>
    <mergeCell ref="A322:G322"/>
    <mergeCell ref="A553:G553"/>
    <mergeCell ref="B517:G517"/>
    <mergeCell ref="A2124:E2124"/>
    <mergeCell ref="A1356:E1356"/>
    <mergeCell ref="A402:E402"/>
    <mergeCell ref="A1825:E1825"/>
    <mergeCell ref="A766:E766"/>
    <mergeCell ref="A103:E103"/>
    <mergeCell ref="A538:G538"/>
    <mergeCell ref="A339:E339"/>
    <mergeCell ref="A68:G68"/>
    <mergeCell ref="A547:E547"/>
    <mergeCell ref="B1321:G1321"/>
    <mergeCell ref="A128:E128"/>
    <mergeCell ref="B593:G593"/>
    <mergeCell ref="A490:G490"/>
    <mergeCell ref="B360:G360"/>
    <mergeCell ref="A497:E497"/>
    <mergeCell ref="A1318:E1318"/>
    <mergeCell ref="B1071:G1071"/>
    <mergeCell ref="A484:E484"/>
    <mergeCell ref="A655:E655"/>
    <mergeCell ref="B804:G804"/>
    <mergeCell ref="A1358:E1358"/>
    <mergeCell ref="A136:E136"/>
    <mergeCell ref="A1475:E1475"/>
    <mergeCell ref="A847:E847"/>
    <mergeCell ref="B1350:G1350"/>
    <mergeCell ref="A1316:E1316"/>
    <mergeCell ref="A1382:E1382"/>
    <mergeCell ref="B5:G5"/>
    <mergeCell ref="B1335:G1335"/>
    <mergeCell ref="A1941:E1941"/>
    <mergeCell ref="A415:E415"/>
    <mergeCell ref="A1916:E1916"/>
    <mergeCell ref="B203:G203"/>
    <mergeCell ref="B374:G374"/>
    <mergeCell ref="A657:E657"/>
    <mergeCell ref="A784:E784"/>
    <mergeCell ref="A1219:G1219"/>
    <mergeCell ref="A1390:G1390"/>
    <mergeCell ref="A1082:E1082"/>
    <mergeCell ref="A1720:E1720"/>
    <mergeCell ref="A1384:E1384"/>
    <mergeCell ref="A1240:E1240"/>
    <mergeCell ref="A181:E181"/>
    <mergeCell ref="A1476:E1476"/>
    <mergeCell ref="A37:G37"/>
    <mergeCell ref="A1918:E1918"/>
    <mergeCell ref="A1943:E1943"/>
    <mergeCell ref="A1722:E1722"/>
    <mergeCell ref="A494:E494"/>
    <mergeCell ref="A1665:G1665"/>
    <mergeCell ref="A2007:E2007"/>
    <mergeCell ref="A406:G406"/>
    <mergeCell ref="A1776:E1776"/>
    <mergeCell ref="A1652:G1652"/>
    <mergeCell ref="B152:G152"/>
    <mergeCell ref="A1602:G1602"/>
    <mergeCell ref="B244:G244"/>
    <mergeCell ref="B1574:G1574"/>
    <mergeCell ref="B2012:G2012"/>
    <mergeCell ref="A639:E639"/>
    <mergeCell ref="B1045:G1045"/>
    <mergeCell ref="A1242:E1242"/>
    <mergeCell ref="B1851:G1851"/>
    <mergeCell ref="A1369:E1369"/>
    <mergeCell ref="B452:G452"/>
    <mergeCell ref="B946:G946"/>
    <mergeCell ref="B750:G750"/>
    <mergeCell ref="A1331:E1331"/>
    <mergeCell ref="A1458:E1458"/>
    <mergeCell ref="A1629:E1629"/>
    <mergeCell ref="A370:E370"/>
    <mergeCell ref="A1135:E1135"/>
    <mergeCell ref="A1371:E1371"/>
    <mergeCell ref="A1542:E1542"/>
    <mergeCell ref="A1675:E1675"/>
    <mergeCell ref="A1091:E1091"/>
    <mergeCell ref="A1199:E1199"/>
    <mergeCell ref="A1137:E1137"/>
    <mergeCell ref="A1606:E1606"/>
    <mergeCell ref="A943:E943"/>
    <mergeCell ref="A1372:E1372"/>
    <mergeCell ref="A1543:E1543"/>
    <mergeCell ref="A1166:E1166"/>
    <mergeCell ref="B163:G163"/>
    <mergeCell ref="A1893:E1893"/>
    <mergeCell ref="B1725:G1725"/>
    <mergeCell ref="B837:G837"/>
    <mergeCell ref="A863:E863"/>
    <mergeCell ref="A1230:E1230"/>
    <mergeCell ref="A1987:E1987"/>
    <mergeCell ref="A2078:G2078"/>
    <mergeCell ref="A200:E200"/>
    <mergeCell ref="A265:E265"/>
    <mergeCell ref="B537:G537"/>
    <mergeCell ref="B311:G311"/>
    <mergeCell ref="B966:G966"/>
    <mergeCell ref="A1480:G1480"/>
    <mergeCell ref="B2025:G2025"/>
    <mergeCell ref="A848:E848"/>
    <mergeCell ref="B1677:G1677"/>
    <mergeCell ref="A1845:E1845"/>
    <mergeCell ref="A31:E31"/>
    <mergeCell ref="B1804:G1804"/>
    <mergeCell ref="A329:E329"/>
    <mergeCell ref="B661:G661"/>
    <mergeCell ref="A798:E798"/>
    <mergeCell ref="B732:G732"/>
    <mergeCell ref="A565:E565"/>
    <mergeCell ref="B965:G965"/>
    <mergeCell ref="B1201:G1201"/>
    <mergeCell ref="A1540:E1540"/>
    <mergeCell ref="B551:G551"/>
    <mergeCell ref="A1098:G1098"/>
    <mergeCell ref="A1690:E1690"/>
    <mergeCell ref="A1988:E1988"/>
    <mergeCell ref="B2027:G2027"/>
    <mergeCell ref="A850:E850"/>
    <mergeCell ref="A266:E266"/>
    <mergeCell ref="A1659:E1659"/>
    <mergeCell ref="A1319:E1319"/>
    <mergeCell ref="A431:E431"/>
    <mergeCell ref="A564:E564"/>
    <mergeCell ref="A1847:E1847"/>
    <mergeCell ref="A1969:E1969"/>
    <mergeCell ref="A800:E800"/>
    <mergeCell ref="A1846:E1846"/>
    <mergeCell ref="A1491:G1491"/>
    <mergeCell ref="A1172:G1172"/>
    <mergeCell ref="A658:E658"/>
    <mergeCell ref="A1264:G1264"/>
    <mergeCell ref="A1777:E1777"/>
    <mergeCell ref="A1973:G1973"/>
    <mergeCell ref="A1258:E1258"/>
    <mergeCell ref="A1871:E1871"/>
    <mergeCell ref="B627:G627"/>
    <mergeCell ref="A149:E149"/>
    <mergeCell ref="A447:E447"/>
    <mergeCell ref="A385:E385"/>
    <mergeCell ref="A1247:G1247"/>
    <mergeCell ref="B331:G331"/>
    <mergeCell ref="B1279:G1279"/>
    <mergeCell ref="A2091:G2091"/>
    <mergeCell ref="A6:G6"/>
    <mergeCell ref="A384:E384"/>
    <mergeCell ref="B1875:G1875"/>
    <mergeCell ref="B1946:G1946"/>
    <mergeCell ref="A449:E449"/>
    <mergeCell ref="A1397:E1397"/>
    <mergeCell ref="B97:G97"/>
    <mergeCell ref="B153:G153"/>
    <mergeCell ref="B268:G268"/>
    <mergeCell ref="B224:G224"/>
    <mergeCell ref="A940:E940"/>
    <mergeCell ref="A150:E150"/>
    <mergeCell ref="B1921:G1921"/>
    <mergeCell ref="A1274:E1274"/>
    <mergeCell ref="A386:E386"/>
    <mergeCell ref="B1125:G1125"/>
    <mergeCell ref="A880:E880"/>
    <mergeCell ref="A513:E513"/>
    <mergeCell ref="A1485:E1485"/>
    <mergeCell ref="B184:G184"/>
    <mergeCell ref="A450:E450"/>
    <mergeCell ref="A882:E882"/>
    <mergeCell ref="B471:G471"/>
    <mergeCell ref="B769:G769"/>
    <mergeCell ref="A662:G662"/>
    <mergeCell ref="A291:E291"/>
    <mergeCell ref="A789:G789"/>
    <mergeCell ref="B1443:G1443"/>
    <mergeCell ref="A589:E589"/>
    <mergeCell ref="A241:E241"/>
    <mergeCell ref="B2026:G2026"/>
    <mergeCell ref="B967:G967"/>
    <mergeCell ref="A1923:G1923"/>
    <mergeCell ref="A355:E355"/>
    <mergeCell ref="A1990:E1990"/>
    <mergeCell ref="B869:G869"/>
    <mergeCell ref="B1336:G1336"/>
    <mergeCell ref="B108:G108"/>
    <mergeCell ref="B1743:G1743"/>
    <mergeCell ref="B733:G733"/>
    <mergeCell ref="A566:E566"/>
    <mergeCell ref="B1202:G1202"/>
    <mergeCell ref="A864:E864"/>
    <mergeCell ref="A1106:E1106"/>
    <mergeCell ref="A1781:G1781"/>
    <mergeCell ref="A1848:E1848"/>
    <mergeCell ref="A1093:E1093"/>
    <mergeCell ref="B1972:G1972"/>
    <mergeCell ref="A1456:E1456"/>
    <mergeCell ref="A1627:E1627"/>
    <mergeCell ref="A866:E866"/>
    <mergeCell ref="A1108:E1108"/>
    <mergeCell ref="A346:G346"/>
    <mergeCell ref="A753:G753"/>
    <mergeCell ref="A1691:E1691"/>
    <mergeCell ref="A2098:E2098"/>
    <mergeCell ref="A519:G519"/>
    <mergeCell ref="A2085:E2085"/>
    <mergeCell ref="B1362:G1362"/>
    <mergeCell ref="B985:G985"/>
    <mergeCell ref="A1547:G1547"/>
    <mergeCell ref="A154:G154"/>
    <mergeCell ref="A1338:G1338"/>
    <mergeCell ref="A1807:G1807"/>
    <mergeCell ref="B1293:G1293"/>
    <mergeCell ref="A1119:E1119"/>
    <mergeCell ref="A92:E92"/>
    <mergeCell ref="A1040:E1040"/>
    <mergeCell ref="B1059:G1059"/>
    <mergeCell ref="A1276:E1276"/>
    <mergeCell ref="A692:E692"/>
    <mergeCell ref="B853:G853"/>
    <mergeCell ref="B98:G98"/>
    <mergeCell ref="A1705:E1705"/>
    <mergeCell ref="A1121:E1121"/>
    <mergeCell ref="A2009:E2009"/>
    <mergeCell ref="A94:E94"/>
    <mergeCell ref="A387:E387"/>
    <mergeCell ref="A1042:E1042"/>
    <mergeCell ref="A1213:E1213"/>
    <mergeCell ref="A1413:E1413"/>
    <mergeCell ref="A623:E623"/>
    <mergeCell ref="A1484:E1484"/>
    <mergeCell ref="A694:E694"/>
    <mergeCell ref="A921:E921"/>
    <mergeCell ref="A992:E992"/>
    <mergeCell ref="A1486:E1486"/>
    <mergeCell ref="A1290:E1290"/>
    <mergeCell ref="B696:G696"/>
    <mergeCell ref="A1277:E1277"/>
    <mergeCell ref="A218:E218"/>
    <mergeCell ref="A143:G143"/>
    <mergeCell ref="A1915:E1915"/>
    <mergeCell ref="A316:E316"/>
    <mergeCell ref="A1513:E1513"/>
    <mergeCell ref="B269:G269"/>
    <mergeCell ref="B1217:G1217"/>
    <mergeCell ref="A610:E610"/>
    <mergeCell ref="B752:G752"/>
    <mergeCell ref="A1404:G1404"/>
    <mergeCell ref="A105:E105"/>
    <mergeCell ref="A225:G225"/>
    <mergeCell ref="A468:E468"/>
    <mergeCell ref="A1068:E1068"/>
    <mergeCell ref="B2049:G2049"/>
    <mergeCell ref="A307:E307"/>
    <mergeCell ref="A1697:G1697"/>
    <mergeCell ref="B821:G821"/>
    <mergeCell ref="A1869:E1869"/>
    <mergeCell ref="A641:E641"/>
    <mergeCell ref="B109:G109"/>
    <mergeCell ref="A834:E834"/>
    <mergeCell ref="B1573:G1573"/>
    <mergeCell ref="B1744:G1744"/>
    <mergeCell ref="A961:E961"/>
    <mergeCell ref="B345:G345"/>
    <mergeCell ref="A571:G571"/>
    <mergeCell ref="A371:E371"/>
    <mergeCell ref="A613:E613"/>
    <mergeCell ref="B885:G885"/>
    <mergeCell ref="A1853:G1853"/>
    <mergeCell ref="A901:E901"/>
    <mergeCell ref="A656:E656"/>
    <mergeCell ref="B1444:G1444"/>
    <mergeCell ref="A115:E115"/>
    <mergeCell ref="A1330:E1330"/>
    <mergeCell ref="A1134:E1134"/>
    <mergeCell ref="B1873:G1873"/>
    <mergeCell ref="A1457:E1457"/>
    <mergeCell ref="A1628:E1628"/>
    <mergeCell ref="A1870:E1870"/>
    <mergeCell ref="B2115:G2115"/>
    <mergeCell ref="A400:E400"/>
    <mergeCell ref="A1693:E1693"/>
    <mergeCell ref="B2102:G2102"/>
    <mergeCell ref="A903:E903"/>
    <mergeCell ref="A148:E148"/>
    <mergeCell ref="A1459:E1459"/>
    <mergeCell ref="A1801:E1801"/>
    <mergeCell ref="A980:E980"/>
    <mergeCell ref="A454:G454"/>
    <mergeCell ref="A1060:G1060"/>
    <mergeCell ref="A1396:E1396"/>
    <mergeCell ref="A781:E781"/>
    <mergeCell ref="A391:G391"/>
    <mergeCell ref="B1762:G1762"/>
    <mergeCell ref="B1601:G1601"/>
    <mergeCell ref="B183:G183"/>
    <mergeCell ref="A326:E326"/>
    <mergeCell ref="B925:G925"/>
    <mergeCell ref="A587:E587"/>
    <mergeCell ref="A1646:E1646"/>
    <mergeCell ref="A2088:E2088"/>
    <mergeCell ref="B164:G164"/>
    <mergeCell ref="A1056:E1056"/>
    <mergeCell ref="B1294:G1294"/>
    <mergeCell ref="A239:E239"/>
    <mergeCell ref="A745:E745"/>
    <mergeCell ref="A95:E95"/>
    <mergeCell ref="A1043:E1043"/>
    <mergeCell ref="A1512:E1512"/>
    <mergeCell ref="B1828:G1828"/>
    <mergeCell ref="A1412:E1412"/>
    <mergeCell ref="A993:E993"/>
    <mergeCell ref="B35:G35"/>
    <mergeCell ref="A1648:E1648"/>
    <mergeCell ref="A32:E32"/>
    <mergeCell ref="B404:G404"/>
    <mergeCell ref="A1229:E1229"/>
    <mergeCell ref="A159:E159"/>
    <mergeCell ref="A1107:E1107"/>
    <mergeCell ref="A219:E219"/>
    <mergeCell ref="A290:E290"/>
    <mergeCell ref="A1343:E1343"/>
    <mergeCell ref="A588:E588"/>
    <mergeCell ref="A693:E693"/>
    <mergeCell ref="A1072:G1072"/>
    <mergeCell ref="A1514:E1514"/>
    <mergeCell ref="A1756:E1756"/>
    <mergeCell ref="B1096:G1096"/>
    <mergeCell ref="A1122:E1122"/>
    <mergeCell ref="B66:G66"/>
    <mergeCell ref="A161:E161"/>
    <mergeCell ref="A838:G838"/>
    <mergeCell ref="A1236:G1236"/>
    <mergeCell ref="B2090:G2090"/>
    <mergeCell ref="B130:G130"/>
    <mergeCell ref="A185:G185"/>
    <mergeCell ref="B1612:G1612"/>
    <mergeCell ref="A312:G312"/>
    <mergeCell ref="B2050:G2050"/>
    <mergeCell ref="B67:G67"/>
    <mergeCell ref="A1296:G1296"/>
    <mergeCell ref="A1674:E1674"/>
    <mergeCell ref="A1830:G1830"/>
    <mergeCell ref="B119:G119"/>
    <mergeCell ref="A900:E900"/>
    <mergeCell ref="A1198:E1198"/>
    <mergeCell ref="A1440:E1440"/>
    <mergeCell ref="B1389:G1389"/>
    <mergeCell ref="A535:E535"/>
    <mergeCell ref="B628:G628"/>
    <mergeCell ref="A942:E942"/>
    <mergeCell ref="B926:G926"/>
    <mergeCell ref="A485:E485"/>
    <mergeCell ref="B419:G419"/>
    <mergeCell ref="A1740:E1740"/>
    <mergeCell ref="A238:E238"/>
    <mergeCell ref="A132:G132"/>
    <mergeCell ref="A1288:E1288"/>
    <mergeCell ref="A697:G697"/>
    <mergeCell ref="A1598:E1598"/>
    <mergeCell ref="A1275:E1275"/>
    <mergeCell ref="B1307:G1307"/>
    <mergeCell ref="A1126:G1126"/>
    <mergeCell ref="B786:G786"/>
    <mergeCell ref="A263:E263"/>
    <mergeCell ref="A2116:G2116"/>
    <mergeCell ref="B1309:G1309"/>
    <mergeCell ref="A1282:G1282"/>
    <mergeCell ref="A294:G294"/>
    <mergeCell ref="A401:E401"/>
    <mergeCell ref="B1246:G1246"/>
    <mergeCell ref="A2:G2"/>
    <mergeCell ref="A357:E357"/>
    <mergeCell ref="A2125:E2125"/>
    <mergeCell ref="A1066:E1066"/>
    <mergeCell ref="A1370:E1370"/>
    <mergeCell ref="A922:E922"/>
    <mergeCell ref="B1829:G1829"/>
    <mergeCell ref="A1662:E1662"/>
    <mergeCell ref="B120:G120"/>
    <mergeCell ref="B868:G868"/>
    <mergeCell ref="A1649:E1649"/>
    <mergeCell ref="A590:E590"/>
    <mergeCell ref="A1891:E1891"/>
    <mergeCell ref="A832:E832"/>
    <mergeCell ref="B1546:G1546"/>
    <mergeCell ref="B405:G405"/>
    <mergeCell ref="B1402:G1402"/>
    <mergeCell ref="A1228:E1228"/>
    <mergeCell ref="A467:E467"/>
    <mergeCell ref="A1822:E1822"/>
    <mergeCell ref="A1067:E1067"/>
    <mergeCell ref="B1806:G1806"/>
    <mergeCell ref="A1346:E1346"/>
    <mergeCell ref="A854:G854"/>
    <mergeCell ref="A1310:G1310"/>
    <mergeCell ref="B1920:G1920"/>
    <mergeCell ref="B788:G788"/>
    <mergeCell ref="B204:G204"/>
    <mergeCell ref="A1203:G1203"/>
    <mergeCell ref="A870:G870"/>
    <mergeCell ref="B489:G489"/>
    <mergeCell ref="A1141:G1141"/>
    <mergeCell ref="B1415:G1415"/>
    <mergeCell ref="A1441:E1441"/>
    <mergeCell ref="B1651:G1651"/>
    <mergeCell ref="B4:G4"/>
    <mergeCell ref="A116:E116"/>
    <mergeCell ref="A309:E309"/>
    <mergeCell ref="A414:E414"/>
    <mergeCell ref="A1775:E1775"/>
    <mergeCell ref="A2046:E2046"/>
    <mergeCell ref="B1430:G1430"/>
    <mergeCell ref="A1214:E1214"/>
    <mergeCell ref="A1014:E1014"/>
    <mergeCell ref="A126:E126"/>
    <mergeCell ref="B420:G420"/>
    <mergeCell ref="B1417:G1417"/>
    <mergeCell ref="A1079:E1079"/>
    <mergeCell ref="A495:E495"/>
    <mergeCell ref="A180:E180"/>
    <mergeCell ref="A622:E622"/>
    <mergeCell ref="A240:E240"/>
    <mergeCell ref="A1741:E1741"/>
    <mergeCell ref="A416:E416"/>
    <mergeCell ref="B1323:G1323"/>
    <mergeCell ref="B435:G435"/>
    <mergeCell ref="B1761:G1761"/>
    <mergeCell ref="A2075:E2075"/>
    <mergeCell ref="A1016:E1016"/>
    <mergeCell ref="B1171:G1171"/>
    <mergeCell ref="A117:E117"/>
    <mergeCell ref="B1779:G1779"/>
    <mergeCell ref="A991:E991"/>
    <mergeCell ref="A1599:E1599"/>
    <mergeCell ref="A782:E782"/>
  </mergeCells>
  <conditionalFormatting sqref="F32 F63 F94 F105 F116 F127 F138 F149 F160 F180 F200 F220 F240 F265 F290 F308 F318 F328 F341 F356 F371 F386 F401 F416 F431 F449 F467 F485 F496 F514 F534 F548 F566 F589 F612 F624 F641 F657 F693 F728 F747 F766 F783 F800 F817 F833 F849 F865 F882 F902 F922 F942 F962 F982 F993 F1016 F1042 F1056 F1068 F1081 F1093 F1107 F1121 F1136 F1167 F1198 F1214 F1230 F1242 F1259 F1276 F1290 F1304 F1318 F1332 F1345 F1358 F1371 F1384 F1398 F1412 F1426 F1440 F1458 F1476 F1486 F1514 F1542 F1570 F1598 F1608 F1628 F1648 F1661 F1674 F1692 F1707 F1722 F1740 F1758 F1776 F1801 F1824 F1847 F1870 F1893 F1917 F1943 F1969 F1989 F2009 F2022 F2045 F2074 F2087 F2099 F2112 F2125">
    <cfRule type="cellIs" priority="1" operator="notBetween" dxfId="0">
      <formula>-0.05</formula>
      <formula>0.05</formula>
    </cfRule>
  </conditionalFormatting>
  <hyperlinks>
    <hyperlink xmlns:r="http://schemas.openxmlformats.org/officeDocument/2006/relationships" ref="A574" r:id="rId1"/>
    <hyperlink xmlns:r="http://schemas.openxmlformats.org/officeDocument/2006/relationships" ref="A581" r:id="rId2"/>
    <hyperlink xmlns:r="http://schemas.openxmlformats.org/officeDocument/2006/relationships" ref="A597" r:id="rId3"/>
    <hyperlink xmlns:r="http://schemas.openxmlformats.org/officeDocument/2006/relationships" ref="A604" r:id="rId4"/>
    <hyperlink xmlns:r="http://schemas.openxmlformats.org/officeDocument/2006/relationships" ref="A633" r:id="rId5"/>
    <hyperlink xmlns:r="http://schemas.openxmlformats.org/officeDocument/2006/relationships" ref="A649" r:id="rId6"/>
    <hyperlink xmlns:r="http://schemas.openxmlformats.org/officeDocument/2006/relationships" ref="A651" r:id="rId7"/>
    <hyperlink xmlns:r="http://schemas.openxmlformats.org/officeDocument/2006/relationships" ref="A685" r:id="rId8"/>
    <hyperlink xmlns:r="http://schemas.openxmlformats.org/officeDocument/2006/relationships" ref="A715" r:id="rId9"/>
    <hyperlink xmlns:r="http://schemas.openxmlformats.org/officeDocument/2006/relationships" ref="A738" r:id="rId10"/>
    <hyperlink xmlns:r="http://schemas.openxmlformats.org/officeDocument/2006/relationships" ref="A739" r:id="rId11"/>
    <hyperlink xmlns:r="http://schemas.openxmlformats.org/officeDocument/2006/relationships" ref="A757" r:id="rId12"/>
    <hyperlink xmlns:r="http://schemas.openxmlformats.org/officeDocument/2006/relationships" ref="A763" r:id="rId13"/>
    <hyperlink xmlns:r="http://schemas.openxmlformats.org/officeDocument/2006/relationships" ref="A1976"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2026-09-21T14:45:49Z</dcterms:created>
  <dcterms:modified xmlns:dcterms="http://purl.org/dc/terms/" xmlns:xsi="http://www.w3.org/2001/XMLSchema-instance" xsi:type="dcterms:W3CDTF">2026-09-21T14:45:57Z</dcterms:modified>
</cp:coreProperties>
</file>